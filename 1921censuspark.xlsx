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zikemp/Desktop/parkhouse/thepark/"/>
    </mc:Choice>
  </mc:AlternateContent>
  <xr:revisionPtr revIDLastSave="0" documentId="13_ncr:1_{7C0C69C6-9877-8248-A49D-E2FB094061C3}" xr6:coauthVersionLast="47" xr6:coauthVersionMax="47" xr10:uidLastSave="{00000000-0000-0000-0000-000000000000}"/>
  <bookViews>
    <workbookView xWindow="0" yWindow="500" windowWidth="28800" windowHeight="16180" activeTab="44" xr2:uid="{954B1F59-AFC7-6345-B3A0-EFD3B3FD2152}"/>
  </bookViews>
  <sheets>
    <sheet name="1921CCN" sheetId="2" r:id="rId1"/>
    <sheet name="1921pelham cres" sheetId="1" r:id="rId2"/>
    <sheet name="1921pelhamcrestemplate (2)" sheetId="4" r:id="rId3"/>
    <sheet name="1921WT" sheetId="11" r:id="rId4"/>
    <sheet name="1921bl" sheetId="12" r:id="rId5"/>
    <sheet name="1921LC" sheetId="13" r:id="rId6"/>
    <sheet name="1921NC" sheetId="14" r:id="rId7"/>
    <sheet name="1921PkD" sheetId="15" r:id="rId8"/>
    <sheet name="1921peD" sheetId="17" r:id="rId9"/>
    <sheet name="1921 Clumberrdw" sheetId="19" r:id="rId10"/>
    <sheet name="1921maxtoke" sheetId="20" r:id="rId11"/>
    <sheet name="1921clumbercress" sheetId="21" r:id="rId12"/>
    <sheet name="1921southrd" sheetId="22" r:id="rId13"/>
    <sheet name="1921cavcress" sheetId="23" r:id="rId14"/>
    <sheet name="1921hollescres" sheetId="24" r:id="rId15"/>
    <sheet name="1921 lentonrd" sheetId="18" r:id="rId16"/>
    <sheet name="1921hermitagewalk" sheetId="26" r:id="rId17"/>
    <sheet name="1921lentonave" sheetId="3" r:id="rId18"/>
    <sheet name="1921Kenilworthrd" sheetId="29" r:id="rId19"/>
    <sheet name="1921fishpond" sheetId="32" r:id="rId20"/>
    <sheet name="1921hope" sheetId="33" r:id="rId21"/>
    <sheet name="1921 Hamilton Drive" sheetId="35" r:id="rId22"/>
    <sheet name="1921 park ravine" sheetId="36" r:id="rId23"/>
    <sheet name="1921 park terrace" sheetId="37" r:id="rId24"/>
    <sheet name="1921 park valley" sheetId="38" r:id="rId25"/>
    <sheet name="1921 clare valley" sheetId="25" r:id="rId26"/>
    <sheet name="1921 Newcastle Terrace" sheetId="31" r:id="rId27"/>
    <sheet name="1921 clinton terrace" sheetId="43" r:id="rId28"/>
    <sheet name="1921 Duke william Mount" sheetId="44" r:id="rId29"/>
    <sheet name="1921 tunnel road" sheetId="46" r:id="rId30"/>
    <sheet name="1921 cavendish road east" sheetId="47" r:id="rId31"/>
    <sheet name="1921 clumber rd east" sheetId="48" r:id="rId32"/>
    <sheet name="1921 Castle Grove" sheetId="49" r:id="rId33"/>
    <sheet name="1921 huntingdon drive" sheetId="50" r:id="rId34"/>
    <sheet name="1921 Newcastle Drive" sheetId="51" r:id="rId35"/>
    <sheet name="1921 Park Row" sheetId="52" r:id="rId36"/>
    <sheet name="1921 Pelham crescent" sheetId="53" r:id="rId37"/>
    <sheet name="1921 Tattershall drive" sheetId="54" r:id="rId38"/>
    <sheet name="1921ccntemplate" sheetId="6" r:id="rId39"/>
    <sheet name="1921north rdtemplate" sheetId="5" r:id="rId40"/>
    <sheet name="template" sheetId="42" r:id="rId41"/>
    <sheet name="1921hermitagewalk (2)" sheetId="55" r:id="rId42"/>
    <sheet name="1911compilation" sheetId="9" r:id="rId43"/>
    <sheet name="1921compilation" sheetId="10" r:id="rId44"/>
    <sheet name="comparison1121" sheetId="16" r:id="rId45"/>
    <sheet name="19111921analysiscomparison" sheetId="8" r:id="rId46"/>
  </sheets>
  <externalReferences>
    <externalReference r:id="rId4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1" i="16" l="1"/>
  <c r="AI79" i="16" s="1"/>
  <c r="AI83" i="16"/>
  <c r="AH79" i="16"/>
  <c r="AG79" i="16"/>
  <c r="AE79" i="16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" i="10"/>
  <c r="AG3" i="10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G77" i="16"/>
  <c r="AG78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H58" i="16" s="1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3" i="16"/>
  <c r="D83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AG83" i="16"/>
  <c r="AH83" i="16"/>
  <c r="C83" i="16"/>
  <c r="AE41" i="10"/>
  <c r="AF41" i="10"/>
  <c r="AD41" i="10"/>
  <c r="AC41" i="10"/>
  <c r="C41" i="10"/>
  <c r="AE38" i="16"/>
  <c r="U22" i="55"/>
  <c r="U23" i="55" s="1"/>
  <c r="V22" i="55"/>
  <c r="V23" i="55"/>
  <c r="V36" i="55" s="1"/>
  <c r="V57" i="55" s="1"/>
  <c r="T23" i="55"/>
  <c r="T22" i="55"/>
  <c r="R57" i="55"/>
  <c r="AD36" i="55"/>
  <c r="AD57" i="55" s="1"/>
  <c r="AC36" i="55"/>
  <c r="AC57" i="55" s="1"/>
  <c r="AB36" i="55"/>
  <c r="AB57" i="55" s="1"/>
  <c r="AA36" i="55"/>
  <c r="AA57" i="55" s="1"/>
  <c r="Z36" i="55"/>
  <c r="Z57" i="55" s="1"/>
  <c r="Y36" i="55"/>
  <c r="X36" i="55"/>
  <c r="W36" i="55"/>
  <c r="W57" i="55" s="1"/>
  <c r="S36" i="55"/>
  <c r="R36" i="55"/>
  <c r="Q36" i="55"/>
  <c r="Q37" i="55" s="1"/>
  <c r="Q57" i="55" s="1"/>
  <c r="P36" i="55"/>
  <c r="O36" i="55"/>
  <c r="N36" i="55"/>
  <c r="M36" i="55"/>
  <c r="L36" i="55"/>
  <c r="K36" i="55"/>
  <c r="K37" i="55" s="1"/>
  <c r="I36" i="55"/>
  <c r="H36" i="55"/>
  <c r="G36" i="55"/>
  <c r="AF22" i="55"/>
  <c r="J22" i="55"/>
  <c r="J36" i="55" s="1"/>
  <c r="S21" i="55"/>
  <c r="S57" i="55" s="1"/>
  <c r="S21" i="26"/>
  <c r="J22" i="26"/>
  <c r="AF22" i="26"/>
  <c r="U36" i="55" l="1"/>
  <c r="U57" i="55"/>
  <c r="T36" i="55"/>
  <c r="T57" i="55" s="1"/>
  <c r="G57" i="55"/>
  <c r="G37" i="55"/>
  <c r="AG171" i="51"/>
  <c r="AE171" i="51"/>
  <c r="T172" i="51"/>
  <c r="J172" i="51"/>
  <c r="P171" i="51"/>
  <c r="K171" i="51"/>
  <c r="L171" i="51"/>
  <c r="M171" i="51"/>
  <c r="N171" i="51"/>
  <c r="O171" i="51"/>
  <c r="Q171" i="51"/>
  <c r="R171" i="51"/>
  <c r="S171" i="51"/>
  <c r="T171" i="51"/>
  <c r="U171" i="51"/>
  <c r="V171" i="51"/>
  <c r="W171" i="51"/>
  <c r="X171" i="51"/>
  <c r="Y171" i="51"/>
  <c r="Z171" i="51"/>
  <c r="AA171" i="51"/>
  <c r="AB171" i="51"/>
  <c r="AC171" i="51"/>
  <c r="AD171" i="51"/>
  <c r="AF171" i="51"/>
  <c r="AH171" i="51"/>
  <c r="AI171" i="51"/>
  <c r="J171" i="51"/>
  <c r="AE32" i="44"/>
  <c r="P32" i="44"/>
  <c r="N32" i="44"/>
  <c r="U32" i="44"/>
  <c r="V32" i="44"/>
  <c r="W32" i="44"/>
  <c r="X32" i="44"/>
  <c r="Y32" i="44"/>
  <c r="Z32" i="44"/>
  <c r="AA32" i="44"/>
  <c r="AB32" i="44"/>
  <c r="AC32" i="44"/>
  <c r="AD32" i="44"/>
  <c r="AF32" i="44"/>
  <c r="AG32" i="44"/>
  <c r="K32" i="44"/>
  <c r="L32" i="44"/>
  <c r="M32" i="44"/>
  <c r="O32" i="44"/>
  <c r="Q32" i="44"/>
  <c r="R32" i="44"/>
  <c r="S32" i="44"/>
  <c r="T32" i="44"/>
  <c r="J32" i="44"/>
  <c r="AE9" i="16"/>
  <c r="AE10" i="16"/>
  <c r="AE11" i="16"/>
  <c r="AE12" i="16"/>
  <c r="AE13" i="16"/>
  <c r="AE14" i="16"/>
  <c r="AE15" i="16"/>
  <c r="AE16" i="16"/>
  <c r="AE17" i="16"/>
  <c r="AE18" i="16"/>
  <c r="AE19" i="16"/>
  <c r="AE20" i="16"/>
  <c r="AE21" i="16"/>
  <c r="AE22" i="16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2" i="16"/>
  <c r="AE53" i="16"/>
  <c r="AE54" i="16"/>
  <c r="AE55" i="16"/>
  <c r="AE56" i="16"/>
  <c r="AE57" i="16"/>
  <c r="AE58" i="16"/>
  <c r="AE59" i="16"/>
  <c r="AE61" i="16"/>
  <c r="AE62" i="16"/>
  <c r="AE63" i="16"/>
  <c r="AE64" i="16"/>
  <c r="AE65" i="16"/>
  <c r="AE66" i="16"/>
  <c r="AE67" i="16"/>
  <c r="AE68" i="16"/>
  <c r="AE69" i="16"/>
  <c r="AE70" i="16"/>
  <c r="AE71" i="16"/>
  <c r="AE73" i="16"/>
  <c r="AE74" i="16"/>
  <c r="AE75" i="16"/>
  <c r="AE76" i="16"/>
  <c r="AE77" i="16"/>
  <c r="AE78" i="16"/>
  <c r="AE6" i="16"/>
  <c r="AE7" i="16"/>
  <c r="AE8" i="16"/>
  <c r="AE4" i="16"/>
  <c r="AE5" i="16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2" i="10"/>
  <c r="AE33" i="10"/>
  <c r="AE34" i="10"/>
  <c r="AE35" i="10"/>
  <c r="AE36" i="10"/>
  <c r="AE38" i="10"/>
  <c r="AE39" i="10"/>
  <c r="AE40" i="10"/>
  <c r="AE3" i="10"/>
  <c r="N172" i="51" l="1"/>
  <c r="T33" i="44"/>
  <c r="N33" i="44"/>
  <c r="J33" i="44"/>
  <c r="AG19" i="9"/>
  <c r="AG20" i="9"/>
  <c r="AG21" i="9"/>
  <c r="AG22" i="9"/>
  <c r="AG23" i="9"/>
  <c r="AG24" i="9"/>
  <c r="AG25" i="9"/>
  <c r="AG26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3" i="9"/>
  <c r="AE40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" i="9"/>
  <c r="AE5" i="9"/>
  <c r="AE6" i="9"/>
  <c r="AE7" i="9"/>
  <c r="AE8" i="9"/>
  <c r="AE9" i="9"/>
  <c r="AE10" i="9"/>
  <c r="AE11" i="9"/>
  <c r="AE12" i="9"/>
  <c r="AE3" i="9"/>
  <c r="AE3" i="16"/>
  <c r="I41" i="9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I41" i="10"/>
  <c r="D79" i="16"/>
  <c r="E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D79" i="16"/>
  <c r="AD84" i="16" s="1"/>
  <c r="AH12" i="52"/>
  <c r="AF12" i="52"/>
  <c r="AE12" i="52"/>
  <c r="K12" i="52"/>
  <c r="L12" i="52"/>
  <c r="M12" i="52"/>
  <c r="N12" i="52"/>
  <c r="O12" i="52"/>
  <c r="P12" i="52"/>
  <c r="Q12" i="52"/>
  <c r="R12" i="52"/>
  <c r="S12" i="52"/>
  <c r="T12" i="52"/>
  <c r="T13" i="52" s="1"/>
  <c r="U12" i="52"/>
  <c r="V12" i="52"/>
  <c r="W12" i="52"/>
  <c r="X12" i="52"/>
  <c r="Y12" i="52"/>
  <c r="Z12" i="52"/>
  <c r="AA12" i="52"/>
  <c r="AB12" i="52"/>
  <c r="AC12" i="52"/>
  <c r="AD12" i="52"/>
  <c r="AG12" i="52"/>
  <c r="J12" i="52"/>
  <c r="AF31" i="48"/>
  <c r="AG31" i="48"/>
  <c r="AE31" i="48"/>
  <c r="K31" i="48"/>
  <c r="J32" i="48" s="1"/>
  <c r="L31" i="48"/>
  <c r="M31" i="48"/>
  <c r="N31" i="48"/>
  <c r="O31" i="48"/>
  <c r="P31" i="48"/>
  <c r="Q31" i="48"/>
  <c r="R31" i="48"/>
  <c r="S31" i="48"/>
  <c r="T31" i="48"/>
  <c r="U31" i="48"/>
  <c r="V31" i="48"/>
  <c r="W31" i="48"/>
  <c r="X31" i="48"/>
  <c r="Y31" i="48"/>
  <c r="Z31" i="48"/>
  <c r="J31" i="48"/>
  <c r="AF67" i="48"/>
  <c r="AG67" i="48" s="1"/>
  <c r="AD67" i="48"/>
  <c r="AC67" i="48"/>
  <c r="AE67" i="48" s="1"/>
  <c r="AB67" i="48"/>
  <c r="AA67" i="48"/>
  <c r="Z67" i="48"/>
  <c r="W67" i="48"/>
  <c r="V67" i="48"/>
  <c r="U67" i="48"/>
  <c r="T65" i="48"/>
  <c r="T66" i="48" s="1"/>
  <c r="S65" i="48"/>
  <c r="R65" i="48"/>
  <c r="Q65" i="48"/>
  <c r="K48" i="23"/>
  <c r="L48" i="23"/>
  <c r="M48" i="23"/>
  <c r="N48" i="23"/>
  <c r="O48" i="23"/>
  <c r="P48" i="23"/>
  <c r="Q48" i="23"/>
  <c r="R48" i="23"/>
  <c r="S48" i="23"/>
  <c r="T48" i="23"/>
  <c r="U48" i="23"/>
  <c r="V48" i="23"/>
  <c r="X48" i="23"/>
  <c r="Y48" i="23"/>
  <c r="Z48" i="23"/>
  <c r="AA48" i="23"/>
  <c r="AB48" i="23"/>
  <c r="AC48" i="23"/>
  <c r="AE48" i="23" s="1"/>
  <c r="AD48" i="23"/>
  <c r="AG48" i="23"/>
  <c r="AI48" i="23"/>
  <c r="AL48" i="23"/>
  <c r="AM48" i="23"/>
  <c r="AN48" i="23"/>
  <c r="J48" i="23"/>
  <c r="AD35" i="5"/>
  <c r="AC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E35" i="5"/>
  <c r="H35" i="5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I122" i="6"/>
  <c r="AJ122" i="6"/>
  <c r="K122" i="6"/>
  <c r="AG107" i="37"/>
  <c r="AE107" i="37"/>
  <c r="K107" i="37"/>
  <c r="L107" i="37"/>
  <c r="M107" i="37"/>
  <c r="N107" i="37"/>
  <c r="O107" i="37"/>
  <c r="P107" i="37"/>
  <c r="Q107" i="37"/>
  <c r="R107" i="37"/>
  <c r="S107" i="37"/>
  <c r="T107" i="37"/>
  <c r="U107" i="37"/>
  <c r="V107" i="37"/>
  <c r="W107" i="37"/>
  <c r="X107" i="37"/>
  <c r="Y107" i="37"/>
  <c r="Z107" i="37"/>
  <c r="AA107" i="37"/>
  <c r="AB107" i="37"/>
  <c r="AC107" i="37"/>
  <c r="AD107" i="37"/>
  <c r="AF107" i="37"/>
  <c r="AH107" i="37"/>
  <c r="AI107" i="37"/>
  <c r="AJ107" i="37"/>
  <c r="AK107" i="37"/>
  <c r="AL107" i="37"/>
  <c r="AM107" i="37"/>
  <c r="AN107" i="37"/>
  <c r="AO107" i="37"/>
  <c r="AP107" i="37"/>
  <c r="J107" i="37"/>
  <c r="AQ107" i="37"/>
  <c r="AR107" i="37"/>
  <c r="AS107" i="37"/>
  <c r="AT107" i="37"/>
  <c r="AU107" i="37"/>
  <c r="AV107" i="37"/>
  <c r="AW107" i="37"/>
  <c r="AX107" i="37"/>
  <c r="AY107" i="37"/>
  <c r="AZ107" i="37"/>
  <c r="BA107" i="37"/>
  <c r="BB107" i="37"/>
  <c r="BC107" i="37"/>
  <c r="BD107" i="37"/>
  <c r="N32" i="48" l="1"/>
  <c r="T32" i="48"/>
  <c r="AG122" i="6"/>
  <c r="AG66" i="54" l="1"/>
  <c r="Q66" i="54"/>
  <c r="R66" i="54"/>
  <c r="S66" i="54"/>
  <c r="K66" i="54"/>
  <c r="L66" i="54"/>
  <c r="M66" i="54"/>
  <c r="N66" i="54"/>
  <c r="N67" i="54" s="1"/>
  <c r="T67" i="54" s="1"/>
  <c r="O66" i="54"/>
  <c r="P66" i="54"/>
  <c r="T66" i="54"/>
  <c r="AF66" i="54"/>
  <c r="AA66" i="54"/>
  <c r="AB66" i="54"/>
  <c r="X66" i="54"/>
  <c r="Y66" i="54"/>
  <c r="Z66" i="54"/>
  <c r="J66" i="54"/>
  <c r="AD66" i="54"/>
  <c r="AE66" i="54" s="1"/>
  <c r="AC66" i="54"/>
  <c r="Y16" i="54"/>
  <c r="X16" i="54"/>
  <c r="Z16" i="54"/>
  <c r="AG87" i="53"/>
  <c r="AE87" i="53"/>
  <c r="T88" i="53"/>
  <c r="J88" i="53"/>
  <c r="J87" i="53"/>
  <c r="N88" i="53"/>
  <c r="N87" i="53"/>
  <c r="O87" i="53"/>
  <c r="P87" i="53"/>
  <c r="Q87" i="53"/>
  <c r="R87" i="53"/>
  <c r="S87" i="53"/>
  <c r="T87" i="53"/>
  <c r="U87" i="53"/>
  <c r="V87" i="53"/>
  <c r="W87" i="53"/>
  <c r="X87" i="53"/>
  <c r="Y87" i="53"/>
  <c r="Z87" i="53"/>
  <c r="AA87" i="53"/>
  <c r="AB87" i="53"/>
  <c r="AC87" i="53"/>
  <c r="AF87" i="53"/>
  <c r="AH87" i="53"/>
  <c r="AI87" i="53"/>
  <c r="AJ87" i="53"/>
  <c r="AK87" i="53"/>
  <c r="AL87" i="53"/>
  <c r="AM87" i="53"/>
  <c r="AN87" i="53"/>
  <c r="AO87" i="53"/>
  <c r="AP87" i="53"/>
  <c r="AQ87" i="53"/>
  <c r="AR87" i="53"/>
  <c r="AS87" i="53"/>
  <c r="AT87" i="53"/>
  <c r="AU87" i="53"/>
  <c r="L87" i="53"/>
  <c r="M87" i="53"/>
  <c r="K87" i="53"/>
  <c r="AD113" i="53"/>
  <c r="AC113" i="53"/>
  <c r="AB113" i="53"/>
  <c r="AA113" i="53"/>
  <c r="W97" i="53"/>
  <c r="W113" i="53" s="1"/>
  <c r="V97" i="53"/>
  <c r="V113" i="53" s="1"/>
  <c r="U97" i="53"/>
  <c r="U113" i="53" s="1"/>
  <c r="Z92" i="53"/>
  <c r="Z97" i="53" s="1"/>
  <c r="Z113" i="53" s="1"/>
  <c r="Y92" i="53"/>
  <c r="Y97" i="53" s="1"/>
  <c r="X92" i="53"/>
  <c r="X97" i="53" s="1"/>
  <c r="AD25" i="53"/>
  <c r="AD87" i="53" s="1"/>
  <c r="J67" i="54" l="1"/>
  <c r="Z32" i="54"/>
  <c r="AD33" i="52" l="1"/>
  <c r="AC33" i="52"/>
  <c r="AB33" i="52"/>
  <c r="AA33" i="52"/>
  <c r="W33" i="52"/>
  <c r="V33" i="52"/>
  <c r="U33" i="52"/>
  <c r="K204" i="51"/>
  <c r="L204" i="51"/>
  <c r="M204" i="51"/>
  <c r="N204" i="51"/>
  <c r="O204" i="51"/>
  <c r="P204" i="51"/>
  <c r="Q204" i="51"/>
  <c r="R204" i="51"/>
  <c r="S204" i="51"/>
  <c r="T204" i="51"/>
  <c r="U204" i="51"/>
  <c r="V204" i="51"/>
  <c r="W204" i="51"/>
  <c r="AA204" i="51"/>
  <c r="AB204" i="51"/>
  <c r="AC204" i="51"/>
  <c r="AD204" i="51"/>
  <c r="AF204" i="51"/>
  <c r="AH204" i="51"/>
  <c r="AI204" i="51"/>
  <c r="AJ204" i="51"/>
  <c r="AK204" i="51"/>
  <c r="AL204" i="51"/>
  <c r="AM204" i="51"/>
  <c r="AN204" i="51"/>
  <c r="AO204" i="51"/>
  <c r="AP204" i="51"/>
  <c r="AQ204" i="51"/>
  <c r="AR204" i="51"/>
  <c r="AS204" i="51"/>
  <c r="J204" i="51"/>
  <c r="W221" i="51"/>
  <c r="V221" i="51"/>
  <c r="U221" i="51"/>
  <c r="Z216" i="51"/>
  <c r="Z221" i="51" s="1"/>
  <c r="Y216" i="51"/>
  <c r="Y221" i="51" s="1"/>
  <c r="X216" i="51"/>
  <c r="X221" i="51" s="1"/>
  <c r="Z12" i="51"/>
  <c r="Z17" i="51" s="1"/>
  <c r="Y12" i="51"/>
  <c r="Y17" i="51" s="1"/>
  <c r="X12" i="51"/>
  <c r="X17" i="51" s="1"/>
  <c r="AG63" i="50"/>
  <c r="AE63" i="50"/>
  <c r="T64" i="50"/>
  <c r="N64" i="50"/>
  <c r="J64" i="50"/>
  <c r="L63" i="50"/>
  <c r="M63" i="50"/>
  <c r="N63" i="50"/>
  <c r="O63" i="50"/>
  <c r="P63" i="50"/>
  <c r="Q63" i="50"/>
  <c r="R63" i="50"/>
  <c r="S63" i="50"/>
  <c r="T63" i="50"/>
  <c r="U63" i="50"/>
  <c r="V63" i="50"/>
  <c r="W63" i="50"/>
  <c r="X63" i="50"/>
  <c r="Y63" i="50"/>
  <c r="Z63" i="50"/>
  <c r="AA63" i="50"/>
  <c r="AB63" i="50"/>
  <c r="AF63" i="50"/>
  <c r="AH63" i="50"/>
  <c r="AI63" i="50"/>
  <c r="AJ63" i="50"/>
  <c r="J63" i="50"/>
  <c r="K63" i="50"/>
  <c r="AD97" i="50"/>
  <c r="AC97" i="50"/>
  <c r="AB97" i="50"/>
  <c r="AA97" i="50"/>
  <c r="W81" i="50"/>
  <c r="W97" i="50" s="1"/>
  <c r="V81" i="50"/>
  <c r="V97" i="50" s="1"/>
  <c r="U81" i="50"/>
  <c r="U97" i="50" s="1"/>
  <c r="Z76" i="50"/>
  <c r="Z81" i="50" s="1"/>
  <c r="Z97" i="50" s="1"/>
  <c r="Y76" i="50"/>
  <c r="Y81" i="50" s="1"/>
  <c r="X76" i="50"/>
  <c r="X81" i="50" s="1"/>
  <c r="AD63" i="50"/>
  <c r="AC63" i="50"/>
  <c r="Z12" i="50"/>
  <c r="Z17" i="50" s="1"/>
  <c r="Y12" i="50"/>
  <c r="Y17" i="50" s="1"/>
  <c r="X12" i="50"/>
  <c r="X17" i="50" s="1"/>
  <c r="AG30" i="49"/>
  <c r="AE30" i="49"/>
  <c r="T31" i="49"/>
  <c r="N30" i="49"/>
  <c r="O30" i="49"/>
  <c r="P30" i="49"/>
  <c r="Q30" i="49"/>
  <c r="R30" i="49"/>
  <c r="S30" i="49"/>
  <c r="T30" i="49"/>
  <c r="U30" i="49"/>
  <c r="V30" i="49"/>
  <c r="W30" i="49"/>
  <c r="X30" i="49"/>
  <c r="Y30" i="49"/>
  <c r="Z30" i="49"/>
  <c r="AA30" i="49"/>
  <c r="AA33" i="49" s="1"/>
  <c r="AB30" i="49"/>
  <c r="AB33" i="49" s="1"/>
  <c r="AD30" i="49"/>
  <c r="AD33" i="49" s="1"/>
  <c r="AF30" i="49"/>
  <c r="AH30" i="49"/>
  <c r="AI30" i="49"/>
  <c r="AJ30" i="49"/>
  <c r="K30" i="49"/>
  <c r="L30" i="49"/>
  <c r="M30" i="49"/>
  <c r="J30" i="49"/>
  <c r="W53" i="49"/>
  <c r="V53" i="49"/>
  <c r="U53" i="49"/>
  <c r="Z48" i="49"/>
  <c r="Z53" i="49" s="1"/>
  <c r="Y48" i="49"/>
  <c r="Y53" i="49" s="1"/>
  <c r="X48" i="49"/>
  <c r="X53" i="49" s="1"/>
  <c r="V33" i="49"/>
  <c r="U33" i="49"/>
  <c r="W33" i="49"/>
  <c r="Z12" i="49"/>
  <c r="Z17" i="49" s="1"/>
  <c r="Y12" i="49"/>
  <c r="Y17" i="49" s="1"/>
  <c r="AG28" i="19"/>
  <c r="AF28" i="19"/>
  <c r="AD28" i="19"/>
  <c r="AE28" i="19"/>
  <c r="AC28" i="19"/>
  <c r="T29" i="19"/>
  <c r="O28" i="19"/>
  <c r="P28" i="19"/>
  <c r="Q28" i="19"/>
  <c r="R28" i="19"/>
  <c r="S28" i="19"/>
  <c r="T28" i="19"/>
  <c r="K28" i="19"/>
  <c r="L28" i="19"/>
  <c r="M28" i="19"/>
  <c r="N28" i="19"/>
  <c r="J28" i="19"/>
  <c r="AE204" i="51" l="1"/>
  <c r="N205" i="51"/>
  <c r="AG204" i="51" s="1"/>
  <c r="Z204" i="51"/>
  <c r="J205" i="51"/>
  <c r="Y204" i="51"/>
  <c r="X204" i="51"/>
  <c r="Z33" i="52"/>
  <c r="Z33" i="50"/>
  <c r="AC30" i="49"/>
  <c r="AC33" i="49" s="1"/>
  <c r="Z33" i="49"/>
  <c r="T205" i="51" l="1"/>
  <c r="AD31" i="48"/>
  <c r="AG50" i="47"/>
  <c r="T51" i="47"/>
  <c r="N50" i="47"/>
  <c r="O50" i="47"/>
  <c r="P50" i="47"/>
  <c r="Q50" i="47"/>
  <c r="R50" i="47"/>
  <c r="S50" i="47"/>
  <c r="T50" i="47"/>
  <c r="U50" i="47"/>
  <c r="V50" i="47"/>
  <c r="W50" i="47"/>
  <c r="X50" i="47"/>
  <c r="Y50" i="47"/>
  <c r="Z50" i="47"/>
  <c r="AA50" i="47"/>
  <c r="AB50" i="47"/>
  <c r="AC50" i="47"/>
  <c r="AE50" i="47" s="1"/>
  <c r="J51" i="47"/>
  <c r="K50" i="47"/>
  <c r="L50" i="47"/>
  <c r="M50" i="47"/>
  <c r="J50" i="47"/>
  <c r="AD84" i="47"/>
  <c r="AC84" i="47"/>
  <c r="AB84" i="47"/>
  <c r="AA84" i="47"/>
  <c r="AF68" i="47"/>
  <c r="AG68" i="47" s="1"/>
  <c r="W68" i="47"/>
  <c r="W84" i="47" s="1"/>
  <c r="V68" i="47"/>
  <c r="V84" i="47" s="1"/>
  <c r="U68" i="47"/>
  <c r="U84" i="47" s="1"/>
  <c r="Z63" i="47"/>
  <c r="Y63" i="47"/>
  <c r="Y68" i="47" s="1"/>
  <c r="X63" i="47"/>
  <c r="X68" i="47" s="1"/>
  <c r="AD50" i="47"/>
  <c r="AF50" i="47"/>
  <c r="Z12" i="47"/>
  <c r="Z17" i="47" s="1"/>
  <c r="Z33" i="47" s="1"/>
  <c r="Y12" i="47"/>
  <c r="Y17" i="47" s="1"/>
  <c r="AE22" i="46"/>
  <c r="AA22" i="46"/>
  <c r="AB22" i="46"/>
  <c r="AC22" i="46"/>
  <c r="AD22" i="46"/>
  <c r="AF22" i="46"/>
  <c r="AH22" i="46"/>
  <c r="T22" i="46"/>
  <c r="U22" i="46"/>
  <c r="V22" i="46"/>
  <c r="W22" i="46"/>
  <c r="N22" i="46"/>
  <c r="O22" i="46"/>
  <c r="P22" i="46"/>
  <c r="Q22" i="46"/>
  <c r="R22" i="46"/>
  <c r="S22" i="46"/>
  <c r="K22" i="46"/>
  <c r="L22" i="46"/>
  <c r="M22" i="46"/>
  <c r="J22" i="46"/>
  <c r="J23" i="46" s="1"/>
  <c r="AE28" i="48" l="1"/>
  <c r="AC31" i="48"/>
  <c r="AG22" i="46"/>
  <c r="T23" i="46"/>
  <c r="Z28" i="48"/>
  <c r="Z68" i="47"/>
  <c r="Z84" i="47" s="1"/>
  <c r="AC41" i="46"/>
  <c r="AB41" i="46"/>
  <c r="AA41" i="46"/>
  <c r="Y25" i="46"/>
  <c r="W25" i="46"/>
  <c r="W41" i="46" s="1"/>
  <c r="V25" i="46"/>
  <c r="V41" i="46" s="1"/>
  <c r="U25" i="46"/>
  <c r="U41" i="46" s="1"/>
  <c r="AD41" i="46"/>
  <c r="Z12" i="46"/>
  <c r="Y12" i="46"/>
  <c r="Y22" i="46" s="1"/>
  <c r="X12" i="46"/>
  <c r="AC55" i="44"/>
  <c r="Z52" i="44"/>
  <c r="Y52" i="44"/>
  <c r="X52" i="44"/>
  <c r="AB55" i="44"/>
  <c r="AA55" i="44"/>
  <c r="W55" i="44"/>
  <c r="V55" i="44"/>
  <c r="U55" i="44"/>
  <c r="Z11" i="44"/>
  <c r="Z55" i="44" s="1"/>
  <c r="Y11" i="44"/>
  <c r="X11" i="44"/>
  <c r="X22" i="46" l="1"/>
  <c r="X25" i="46" s="1"/>
  <c r="Z22" i="46"/>
  <c r="Z25" i="46" s="1"/>
  <c r="Z41" i="46" s="1"/>
  <c r="AD55" i="44"/>
  <c r="AC33" i="43"/>
  <c r="AB33" i="43"/>
  <c r="AA33" i="43"/>
  <c r="U33" i="43"/>
  <c r="AF17" i="43"/>
  <c r="AG17" i="43" s="1"/>
  <c r="AD17" i="43"/>
  <c r="AE17" i="43" s="1"/>
  <c r="AC17" i="43"/>
  <c r="AB17" i="43"/>
  <c r="AA17" i="43"/>
  <c r="Z17" i="43"/>
  <c r="X17" i="43"/>
  <c r="W17" i="43"/>
  <c r="W33" i="43" s="1"/>
  <c r="V17" i="43"/>
  <c r="V33" i="43" s="1"/>
  <c r="U17" i="43"/>
  <c r="AD12" i="43"/>
  <c r="AD33" i="43" s="1"/>
  <c r="Z12" i="43"/>
  <c r="Z33" i="43" s="1"/>
  <c r="Y12" i="43"/>
  <c r="Y17" i="43" s="1"/>
  <c r="X12" i="43"/>
  <c r="W33" i="42"/>
  <c r="U33" i="42"/>
  <c r="AB33" i="42"/>
  <c r="AA33" i="42"/>
  <c r="Z17" i="42"/>
  <c r="Z33" i="42" s="1"/>
  <c r="Y17" i="42"/>
  <c r="X17" i="42"/>
  <c r="W17" i="42"/>
  <c r="V17" i="42"/>
  <c r="V33" i="42" s="1"/>
  <c r="U17" i="42"/>
  <c r="Z12" i="42"/>
  <c r="Y12" i="42"/>
  <c r="X12" i="42"/>
  <c r="AG17" i="31"/>
  <c r="AE17" i="31"/>
  <c r="T18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F17" i="31"/>
  <c r="J17" i="31"/>
  <c r="G30" i="31"/>
  <c r="AH51" i="25"/>
  <c r="AG51" i="25"/>
  <c r="AE51" i="25"/>
  <c r="T52" i="25"/>
  <c r="N52" i="25"/>
  <c r="K51" i="25"/>
  <c r="I52" i="25" s="1"/>
  <c r="L51" i="25"/>
  <c r="M51" i="25"/>
  <c r="N51" i="25"/>
  <c r="O51" i="25"/>
  <c r="P51" i="25"/>
  <c r="Q51" i="25"/>
  <c r="R51" i="25"/>
  <c r="S51" i="25"/>
  <c r="T51" i="25"/>
  <c r="U51" i="25"/>
  <c r="V51" i="25"/>
  <c r="W51" i="25"/>
  <c r="X51" i="25"/>
  <c r="Y51" i="25"/>
  <c r="Z51" i="25"/>
  <c r="AA51" i="25"/>
  <c r="AB51" i="25"/>
  <c r="AC51" i="25"/>
  <c r="AD51" i="25"/>
  <c r="AF51" i="25"/>
  <c r="AI51" i="25"/>
  <c r="J51" i="25"/>
  <c r="AH107" i="38"/>
  <c r="AG107" i="38"/>
  <c r="AE107" i="38"/>
  <c r="N108" i="38"/>
  <c r="T108" i="38"/>
  <c r="N107" i="38"/>
  <c r="O107" i="38"/>
  <c r="P107" i="38"/>
  <c r="Q107" i="38"/>
  <c r="R107" i="38"/>
  <c r="S107" i="38"/>
  <c r="T107" i="38"/>
  <c r="U107" i="38"/>
  <c r="V107" i="38"/>
  <c r="W107" i="38"/>
  <c r="X107" i="38"/>
  <c r="Y107" i="38"/>
  <c r="Z107" i="38"/>
  <c r="AA107" i="38"/>
  <c r="AB107" i="38"/>
  <c r="AF107" i="38"/>
  <c r="AI107" i="38"/>
  <c r="K107" i="38"/>
  <c r="L107" i="38"/>
  <c r="M107" i="38"/>
  <c r="J107" i="38"/>
  <c r="I108" i="38" s="1"/>
  <c r="AD107" i="38"/>
  <c r="AC107" i="38"/>
  <c r="X103" i="38"/>
  <c r="AD57" i="37"/>
  <c r="Z57" i="37"/>
  <c r="Y57" i="37"/>
  <c r="AH17" i="36"/>
  <c r="AF17" i="36"/>
  <c r="K17" i="36"/>
  <c r="L17" i="36"/>
  <c r="L46" i="36" s="1"/>
  <c r="M17" i="36"/>
  <c r="N17" i="36"/>
  <c r="N46" i="36" s="1"/>
  <c r="O17" i="36"/>
  <c r="P17" i="36"/>
  <c r="P46" i="36" s="1"/>
  <c r="Q17" i="36"/>
  <c r="R17" i="36"/>
  <c r="R46" i="36" s="1"/>
  <c r="S17" i="36"/>
  <c r="S46" i="36" s="1"/>
  <c r="T17" i="36"/>
  <c r="U17" i="36"/>
  <c r="V17" i="36"/>
  <c r="V46" i="36" s="1"/>
  <c r="W17" i="36"/>
  <c r="W46" i="36" s="1"/>
  <c r="X17" i="36"/>
  <c r="Y17" i="36"/>
  <c r="Z17" i="36"/>
  <c r="Z46" i="36" s="1"/>
  <c r="AA17" i="36"/>
  <c r="AB17" i="36"/>
  <c r="AC17" i="36"/>
  <c r="AC46" i="36" s="1"/>
  <c r="AD17" i="36"/>
  <c r="AD46" i="36" s="1"/>
  <c r="AG17" i="36"/>
  <c r="AI17" i="36"/>
  <c r="J17" i="36"/>
  <c r="M46" i="36"/>
  <c r="U46" i="36"/>
  <c r="AA46" i="36"/>
  <c r="AB46" i="36"/>
  <c r="I46" i="36"/>
  <c r="H46" i="36"/>
  <c r="AH95" i="35"/>
  <c r="AF95" i="35"/>
  <c r="AE95" i="35"/>
  <c r="U95" i="35"/>
  <c r="V95" i="35"/>
  <c r="W95" i="35"/>
  <c r="X95" i="35"/>
  <c r="Y95" i="35"/>
  <c r="Z95" i="35"/>
  <c r="AA95" i="35"/>
  <c r="AA108" i="35" s="1"/>
  <c r="AB95" i="35"/>
  <c r="AC95" i="35"/>
  <c r="AD95" i="35"/>
  <c r="AG95" i="35"/>
  <c r="T96" i="35"/>
  <c r="T95" i="35"/>
  <c r="N96" i="35"/>
  <c r="N95" i="35"/>
  <c r="O95" i="35"/>
  <c r="P95" i="35"/>
  <c r="Q95" i="35"/>
  <c r="R95" i="35"/>
  <c r="R108" i="35" s="1"/>
  <c r="S95" i="35"/>
  <c r="S108" i="35" s="1"/>
  <c r="I96" i="35"/>
  <c r="K95" i="35"/>
  <c r="L95" i="35"/>
  <c r="M95" i="35"/>
  <c r="J95" i="35"/>
  <c r="AD108" i="35"/>
  <c r="AC108" i="35"/>
  <c r="AB108" i="35"/>
  <c r="Z83" i="35"/>
  <c r="W108" i="35"/>
  <c r="Y83" i="35"/>
  <c r="V108" i="35" s="1"/>
  <c r="U108" i="35"/>
  <c r="T108" i="35"/>
  <c r="T54" i="23"/>
  <c r="AO48" i="23"/>
  <c r="AP48" i="23"/>
  <c r="AQ48" i="23"/>
  <c r="T51" i="23"/>
  <c r="AK23" i="23"/>
  <c r="AK48" i="23" s="1"/>
  <c r="AJ23" i="23"/>
  <c r="AJ48" i="23" s="1"/>
  <c r="AH121" i="33"/>
  <c r="AG121" i="33"/>
  <c r="AE121" i="33"/>
  <c r="K121" i="33"/>
  <c r="I122" i="33" s="1"/>
  <c r="L121" i="33"/>
  <c r="M121" i="33"/>
  <c r="N121" i="33"/>
  <c r="O121" i="33"/>
  <c r="P121" i="33"/>
  <c r="Q121" i="33"/>
  <c r="R121" i="33"/>
  <c r="S121" i="33"/>
  <c r="T121" i="33"/>
  <c r="U121" i="33"/>
  <c r="V121" i="33"/>
  <c r="W121" i="33"/>
  <c r="X121" i="33"/>
  <c r="Y121" i="33"/>
  <c r="Z121" i="33"/>
  <c r="AA121" i="33"/>
  <c r="AB121" i="33"/>
  <c r="AD121" i="33"/>
  <c r="AF121" i="33"/>
  <c r="AI121" i="33"/>
  <c r="J121" i="33"/>
  <c r="AC11" i="33"/>
  <c r="Y11" i="33"/>
  <c r="Y32" i="33" s="1"/>
  <c r="AD11" i="33"/>
  <c r="AD32" i="33" s="1"/>
  <c r="Z11" i="33"/>
  <c r="Z32" i="33" s="1"/>
  <c r="AG27" i="32"/>
  <c r="L27" i="32"/>
  <c r="M27" i="32"/>
  <c r="N27" i="32"/>
  <c r="N33" i="32" s="1"/>
  <c r="O27" i="32"/>
  <c r="P27" i="32"/>
  <c r="P33" i="32" s="1"/>
  <c r="Q27" i="32"/>
  <c r="R27" i="32"/>
  <c r="S27" i="32"/>
  <c r="T27" i="32"/>
  <c r="T28" i="32" s="1"/>
  <c r="U27" i="32"/>
  <c r="V27" i="32"/>
  <c r="V33" i="32" s="1"/>
  <c r="W27" i="32"/>
  <c r="X27" i="32"/>
  <c r="Y27" i="32"/>
  <c r="Z27" i="32"/>
  <c r="Z33" i="32" s="1"/>
  <c r="AF27" i="32"/>
  <c r="AH27" i="32"/>
  <c r="J27" i="32"/>
  <c r="K27" i="32"/>
  <c r="H33" i="32"/>
  <c r="AD27" i="32"/>
  <c r="AE27" i="32" s="1"/>
  <c r="AA27" i="32"/>
  <c r="Z12" i="32"/>
  <c r="Y12" i="32"/>
  <c r="M33" i="32"/>
  <c r="L33" i="32"/>
  <c r="J33" i="32"/>
  <c r="I33" i="32"/>
  <c r="G33" i="32"/>
  <c r="AH25" i="29"/>
  <c r="AG25" i="29"/>
  <c r="AE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F25" i="29"/>
  <c r="AI25" i="29"/>
  <c r="J25" i="29"/>
  <c r="Z78" i="37" l="1"/>
  <c r="AD78" i="37"/>
  <c r="N108" i="37"/>
  <c r="AC33" i="42"/>
  <c r="AE17" i="36"/>
  <c r="J18" i="36"/>
  <c r="T18" i="36" s="1"/>
  <c r="T46" i="36" s="1"/>
  <c r="J46" i="36"/>
  <c r="T24" i="36"/>
  <c r="G46" i="36"/>
  <c r="Q46" i="36"/>
  <c r="Z108" i="35"/>
  <c r="G108" i="35"/>
  <c r="Q108" i="35"/>
  <c r="N49" i="23"/>
  <c r="AF48" i="23" s="1"/>
  <c r="AH48" i="23" s="1"/>
  <c r="J49" i="23"/>
  <c r="N122" i="33"/>
  <c r="T122" i="33"/>
  <c r="AC32" i="33"/>
  <c r="AB27" i="32"/>
  <c r="AB33" i="32" s="1"/>
  <c r="AD33" i="32"/>
  <c r="T33" i="32"/>
  <c r="S33" i="32"/>
  <c r="AA33" i="32"/>
  <c r="R33" i="32"/>
  <c r="W33" i="32"/>
  <c r="K33" i="32"/>
  <c r="N26" i="29"/>
  <c r="J26" i="29"/>
  <c r="T26" i="29"/>
  <c r="T49" i="23" l="1"/>
  <c r="T108" i="37"/>
  <c r="AD33" i="42"/>
  <c r="K46" i="36"/>
  <c r="AC121" i="33"/>
  <c r="AC27" i="32"/>
  <c r="AC33" i="32" s="1"/>
  <c r="Q33" i="32" l="1"/>
  <c r="U33" i="32"/>
  <c r="AD12" i="31" l="1"/>
  <c r="AD33" i="31" s="1"/>
  <c r="AC33" i="31"/>
  <c r="AB33" i="31"/>
  <c r="AA33" i="31"/>
  <c r="Z12" i="31"/>
  <c r="Z33" i="31" s="1"/>
  <c r="Y12" i="31"/>
  <c r="X12" i="31"/>
  <c r="W33" i="31"/>
  <c r="V33" i="31"/>
  <c r="U33" i="31"/>
  <c r="T33" i="31"/>
  <c r="S33" i="31"/>
  <c r="R33" i="31"/>
  <c r="W56" i="29"/>
  <c r="T56" i="29"/>
  <c r="AD56" i="29"/>
  <c r="AC56" i="29"/>
  <c r="AB56" i="29"/>
  <c r="AA56" i="29"/>
  <c r="Z56" i="29"/>
  <c r="V56" i="29"/>
  <c r="U56" i="29"/>
  <c r="S56" i="29"/>
  <c r="R56" i="29"/>
  <c r="AD36" i="26"/>
  <c r="AD57" i="26" s="1"/>
  <c r="AC36" i="26"/>
  <c r="AC57" i="26" s="1"/>
  <c r="AB36" i="26"/>
  <c r="AB57" i="26" s="1"/>
  <c r="AA36" i="26"/>
  <c r="AA57" i="26" s="1"/>
  <c r="Z36" i="26"/>
  <c r="Z57" i="26" s="1"/>
  <c r="Y36" i="26"/>
  <c r="X36" i="26"/>
  <c r="W36" i="26"/>
  <c r="W57" i="26" s="1"/>
  <c r="V36" i="26"/>
  <c r="V57" i="26" s="1"/>
  <c r="U36" i="26"/>
  <c r="U57" i="26" s="1"/>
  <c r="T36" i="26"/>
  <c r="T57" i="26" s="1"/>
  <c r="S36" i="26"/>
  <c r="S57" i="26" s="1"/>
  <c r="R36" i="26"/>
  <c r="R57" i="26" s="1"/>
  <c r="Q36" i="26"/>
  <c r="P36" i="26"/>
  <c r="O36" i="26"/>
  <c r="N36" i="26"/>
  <c r="M36" i="26"/>
  <c r="L36" i="26"/>
  <c r="K36" i="26"/>
  <c r="J36" i="26"/>
  <c r="I36" i="26"/>
  <c r="H36" i="26"/>
  <c r="G36" i="26"/>
  <c r="T154" i="18"/>
  <c r="K154" i="18"/>
  <c r="L154" i="18"/>
  <c r="M154" i="18"/>
  <c r="N154" i="18"/>
  <c r="O154" i="18"/>
  <c r="P154" i="18"/>
  <c r="Q154" i="18"/>
  <c r="R154" i="18"/>
  <c r="S154" i="18"/>
  <c r="U154" i="18"/>
  <c r="V154" i="18"/>
  <c r="AF154" i="18"/>
  <c r="AI154" i="18"/>
  <c r="J154" i="18"/>
  <c r="AH11" i="9"/>
  <c r="AH126" i="3"/>
  <c r="AG126" i="3"/>
  <c r="AE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F126" i="3"/>
  <c r="AI126" i="3"/>
  <c r="AJ126" i="3"/>
  <c r="J126" i="3"/>
  <c r="AD72" i="25"/>
  <c r="AC72" i="25"/>
  <c r="AB72" i="25"/>
  <c r="AA72" i="25"/>
  <c r="Z72" i="25"/>
  <c r="W72" i="25"/>
  <c r="V72" i="25"/>
  <c r="U72" i="25"/>
  <c r="T72" i="25"/>
  <c r="S72" i="25"/>
  <c r="R72" i="25"/>
  <c r="G37" i="26" l="1"/>
  <c r="G57" i="26" s="1"/>
  <c r="K37" i="26"/>
  <c r="Q37" i="26" s="1"/>
  <c r="Q57" i="26" s="1"/>
  <c r="Q33" i="31"/>
  <c r="Q56" i="29"/>
  <c r="N155" i="18"/>
  <c r="I155" i="18"/>
  <c r="G72" i="25"/>
  <c r="AH17" i="24"/>
  <c r="AG17" i="24"/>
  <c r="Q17" i="24"/>
  <c r="R17" i="24"/>
  <c r="S17" i="24"/>
  <c r="S36" i="24" s="1"/>
  <c r="N17" i="24"/>
  <c r="N36" i="24" s="1"/>
  <c r="K17" i="24"/>
  <c r="L17" i="24"/>
  <c r="L36" i="24" s="1"/>
  <c r="M17" i="24"/>
  <c r="M36" i="24" s="1"/>
  <c r="O17" i="24"/>
  <c r="P17" i="24"/>
  <c r="P36" i="24" s="1"/>
  <c r="R36" i="24"/>
  <c r="T17" i="24"/>
  <c r="T18" i="24" s="1"/>
  <c r="U17" i="24"/>
  <c r="U36" i="24" s="1"/>
  <c r="V17" i="24"/>
  <c r="V36" i="24" s="1"/>
  <c r="W17" i="24"/>
  <c r="W36" i="24" s="1"/>
  <c r="AE17" i="24"/>
  <c r="AF17" i="24"/>
  <c r="AI17" i="24"/>
  <c r="J17" i="24"/>
  <c r="J36" i="24"/>
  <c r="AD12" i="24"/>
  <c r="AC12" i="24"/>
  <c r="Z12" i="24"/>
  <c r="Z17" i="24" s="1"/>
  <c r="Y12" i="24"/>
  <c r="Y17" i="24" s="1"/>
  <c r="I36" i="24"/>
  <c r="H36" i="24"/>
  <c r="V58" i="23"/>
  <c r="V79" i="23" s="1"/>
  <c r="U58" i="23"/>
  <c r="U79" i="23" s="1"/>
  <c r="AH31" i="22"/>
  <c r="AG31" i="22"/>
  <c r="AE31" i="22"/>
  <c r="T32" i="22"/>
  <c r="N32" i="22"/>
  <c r="J32" i="22"/>
  <c r="K31" i="22"/>
  <c r="L31" i="22"/>
  <c r="M31" i="22"/>
  <c r="N31" i="22"/>
  <c r="O31" i="22"/>
  <c r="O34" i="22" s="1"/>
  <c r="P31" i="22"/>
  <c r="P34" i="22" s="1"/>
  <c r="Q31" i="22"/>
  <c r="Q34" i="22" s="1"/>
  <c r="R31" i="22"/>
  <c r="R34" i="22" s="1"/>
  <c r="R55" i="22" s="1"/>
  <c r="S31" i="22"/>
  <c r="S34" i="22" s="1"/>
  <c r="S55" i="22" s="1"/>
  <c r="T31" i="22"/>
  <c r="V31" i="22"/>
  <c r="W31" i="22"/>
  <c r="W34" i="22" s="1"/>
  <c r="W55" i="22" s="1"/>
  <c r="X31" i="22"/>
  <c r="X34" i="22" s="1"/>
  <c r="Y31" i="22"/>
  <c r="Y34" i="22" s="1"/>
  <c r="Z31" i="22"/>
  <c r="AA31" i="22"/>
  <c r="AB31" i="22"/>
  <c r="AC31" i="22"/>
  <c r="AC34" i="22" s="1"/>
  <c r="AC55" i="22" s="1"/>
  <c r="AD31" i="22"/>
  <c r="AD34" i="22" s="1"/>
  <c r="AD55" i="22" s="1"/>
  <c r="AF31" i="22"/>
  <c r="AI31" i="22"/>
  <c r="AJ31" i="22"/>
  <c r="J31" i="22"/>
  <c r="AB34" i="22"/>
  <c r="AB55" i="22" s="1"/>
  <c r="AA34" i="22"/>
  <c r="AA55" i="22" s="1"/>
  <c r="Z34" i="22"/>
  <c r="Z55" i="22" s="1"/>
  <c r="V34" i="22"/>
  <c r="V55" i="22" s="1"/>
  <c r="U34" i="22"/>
  <c r="U55" i="22" s="1"/>
  <c r="T34" i="22"/>
  <c r="T55" i="22" s="1"/>
  <c r="M34" i="22"/>
  <c r="L34" i="22"/>
  <c r="K34" i="22"/>
  <c r="J34" i="22"/>
  <c r="I34" i="22"/>
  <c r="H34" i="22"/>
  <c r="G34" i="22"/>
  <c r="AG55" i="21"/>
  <c r="AC55" i="21"/>
  <c r="AC77" i="21" s="1"/>
  <c r="AD55" i="21"/>
  <c r="AE55" i="21"/>
  <c r="AF55" i="21"/>
  <c r="T56" i="21"/>
  <c r="N56" i="21"/>
  <c r="N55" i="21"/>
  <c r="O55" i="21"/>
  <c r="P55" i="21"/>
  <c r="Q55" i="21"/>
  <c r="R55" i="21"/>
  <c r="R77" i="21" s="1"/>
  <c r="S55" i="21"/>
  <c r="S77" i="21" s="1"/>
  <c r="T55" i="21"/>
  <c r="T77" i="21" s="1"/>
  <c r="V55" i="21"/>
  <c r="X55" i="21"/>
  <c r="Y55" i="21"/>
  <c r="Y56" i="21" s="1"/>
  <c r="Z55" i="21"/>
  <c r="Z56" i="21" s="1"/>
  <c r="Z77" i="21" s="1"/>
  <c r="AA55" i="21"/>
  <c r="AA56" i="21" s="1"/>
  <c r="AA77" i="21" s="1"/>
  <c r="AB55" i="21"/>
  <c r="AB56" i="21" s="1"/>
  <c r="AB77" i="21" s="1"/>
  <c r="K55" i="21"/>
  <c r="L55" i="21"/>
  <c r="M55" i="21"/>
  <c r="V77" i="21"/>
  <c r="W77" i="21"/>
  <c r="J55" i="21"/>
  <c r="U14" i="21"/>
  <c r="H56" i="21"/>
  <c r="AD77" i="21"/>
  <c r="X56" i="21"/>
  <c r="G56" i="21"/>
  <c r="AH7" i="20"/>
  <c r="AG7" i="20"/>
  <c r="T8" i="20"/>
  <c r="T11" i="20" s="1"/>
  <c r="T32" i="20" s="1"/>
  <c r="J7" i="20"/>
  <c r="K7" i="20"/>
  <c r="L7" i="20"/>
  <c r="L11" i="20" s="1"/>
  <c r="L32" i="20" s="1"/>
  <c r="M7" i="20"/>
  <c r="M11" i="20" s="1"/>
  <c r="M32" i="20" s="1"/>
  <c r="N7" i="20"/>
  <c r="N11" i="20" s="1"/>
  <c r="O7" i="20"/>
  <c r="O11" i="20" s="1"/>
  <c r="Q7" i="20"/>
  <c r="Q11" i="20" s="1"/>
  <c r="R7" i="20"/>
  <c r="R11" i="20" s="1"/>
  <c r="R32" i="20" s="1"/>
  <c r="S7" i="20"/>
  <c r="T7" i="20"/>
  <c r="U7" i="20"/>
  <c r="U11" i="20" s="1"/>
  <c r="V7" i="20"/>
  <c r="V11" i="20" s="1"/>
  <c r="V32" i="20" s="1"/>
  <c r="W7" i="20"/>
  <c r="W11" i="20" s="1"/>
  <c r="W32" i="20" s="1"/>
  <c r="X7" i="20"/>
  <c r="X11" i="20" s="1"/>
  <c r="Y7" i="20"/>
  <c r="Y11" i="20" s="1"/>
  <c r="Z7" i="20"/>
  <c r="Z11" i="20" s="1"/>
  <c r="Z32" i="20" s="1"/>
  <c r="AA7" i="20"/>
  <c r="AA11" i="20" s="1"/>
  <c r="AA32" i="20" s="1"/>
  <c r="AB7" i="20"/>
  <c r="AB11" i="20" s="1"/>
  <c r="AB32" i="20" s="1"/>
  <c r="AC7" i="20"/>
  <c r="AC11" i="20" s="1"/>
  <c r="AC32" i="20" s="1"/>
  <c r="AD7" i="20"/>
  <c r="AD11" i="20" s="1"/>
  <c r="AD32" i="20" s="1"/>
  <c r="AE7" i="20"/>
  <c r="AF7" i="20"/>
  <c r="I7" i="20"/>
  <c r="S11" i="20"/>
  <c r="S32" i="20" s="1"/>
  <c r="K11" i="20"/>
  <c r="J11" i="20"/>
  <c r="J32" i="20" s="1"/>
  <c r="I11" i="20"/>
  <c r="I32" i="20" s="1"/>
  <c r="H11" i="20"/>
  <c r="H32" i="20" s="1"/>
  <c r="G11" i="20"/>
  <c r="R60" i="19"/>
  <c r="S60" i="19"/>
  <c r="U60" i="19"/>
  <c r="V60" i="19"/>
  <c r="AA60" i="19"/>
  <c r="AB60" i="19"/>
  <c r="AH12" i="9"/>
  <c r="Z11" i="19"/>
  <c r="Y11" i="19"/>
  <c r="X11" i="19"/>
  <c r="W60" i="19"/>
  <c r="G60" i="19"/>
  <c r="K149" i="3"/>
  <c r="L149" i="3"/>
  <c r="M149" i="3"/>
  <c r="P149" i="3"/>
  <c r="Q149" i="3"/>
  <c r="R149" i="3"/>
  <c r="S149" i="3"/>
  <c r="U149" i="3"/>
  <c r="V149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G149" i="3"/>
  <c r="H149" i="3"/>
  <c r="AD11" i="18"/>
  <c r="AD154" i="18" s="1"/>
  <c r="AC154" i="18"/>
  <c r="AE154" i="18" s="1"/>
  <c r="AB11" i="18"/>
  <c r="AB154" i="18" s="1"/>
  <c r="AA154" i="18"/>
  <c r="Z11" i="18"/>
  <c r="Z154" i="18" s="1"/>
  <c r="Y11" i="18"/>
  <c r="W11" i="18"/>
  <c r="W154" i="18" s="1"/>
  <c r="T155" i="18" l="1"/>
  <c r="AG154" i="18"/>
  <c r="AH154" i="18" s="1"/>
  <c r="T60" i="19"/>
  <c r="T36" i="24"/>
  <c r="AC17" i="24"/>
  <c r="AC36" i="24" s="1"/>
  <c r="AD17" i="24"/>
  <c r="AD36" i="24" s="1"/>
  <c r="AA36" i="24"/>
  <c r="AB36" i="24"/>
  <c r="Z36" i="24"/>
  <c r="K36" i="24"/>
  <c r="G36" i="24"/>
  <c r="Q36" i="24"/>
  <c r="N34" i="22"/>
  <c r="K35" i="22" s="1"/>
  <c r="Q35" i="22" s="1"/>
  <c r="Q55" i="22" s="1"/>
  <c r="G35" i="22"/>
  <c r="G55" i="22" s="1"/>
  <c r="U77" i="21"/>
  <c r="J56" i="21"/>
  <c r="G57" i="21" s="1"/>
  <c r="G77" i="21" s="1"/>
  <c r="K57" i="21"/>
  <c r="Q57" i="21" s="1"/>
  <c r="Q77" i="21" s="1"/>
  <c r="N32" i="20"/>
  <c r="U32" i="20"/>
  <c r="P11" i="20"/>
  <c r="P32" i="20" s="1"/>
  <c r="G12" i="20"/>
  <c r="G32" i="20" s="1"/>
  <c r="K12" i="20"/>
  <c r="Q12" i="20" s="1"/>
  <c r="Q32" i="20" s="1"/>
  <c r="Z60" i="19"/>
  <c r="AD60" i="19"/>
  <c r="Q60" i="19"/>
  <c r="I127" i="3"/>
  <c r="I149" i="3" s="1"/>
  <c r="J149" i="3"/>
  <c r="N127" i="3"/>
  <c r="N149" i="3" s="1"/>
  <c r="AH69" i="17"/>
  <c r="AG69" i="17"/>
  <c r="AE69" i="17"/>
  <c r="T70" i="17"/>
  <c r="N70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F69" i="17"/>
  <c r="AI69" i="17"/>
  <c r="AJ69" i="17"/>
  <c r="I70" i="17"/>
  <c r="K69" i="17"/>
  <c r="L69" i="17"/>
  <c r="M69" i="17"/>
  <c r="J69" i="17"/>
  <c r="AJ47" i="16"/>
  <c r="AJ45" i="16"/>
  <c r="AH4" i="8"/>
  <c r="AH3" i="8"/>
  <c r="AC3" i="8"/>
  <c r="F3" i="8"/>
  <c r="C3" i="8"/>
  <c r="AH3" i="16"/>
  <c r="F3" i="16"/>
  <c r="F79" i="16" s="1"/>
  <c r="C3" i="16"/>
  <c r="C79" i="16" s="1"/>
  <c r="J38" i="8"/>
  <c r="K38" i="8"/>
  <c r="L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I38" i="8"/>
  <c r="AG41" i="15"/>
  <c r="AF41" i="15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C79" i="16" l="1"/>
  <c r="AC84" i="16" s="1"/>
  <c r="AF79" i="16"/>
  <c r="AC60" i="19"/>
  <c r="K32" i="20"/>
  <c r="T127" i="3"/>
  <c r="T149" i="3" s="1"/>
  <c r="I37" i="8"/>
  <c r="C37" i="8"/>
  <c r="C38" i="8" s="1"/>
  <c r="AE41" i="15"/>
  <c r="AC41" i="15"/>
  <c r="AD41" i="15"/>
  <c r="AD64" i="15" s="1"/>
  <c r="AH41" i="15"/>
  <c r="AI41" i="15"/>
  <c r="K41" i="15"/>
  <c r="L41" i="15"/>
  <c r="M41" i="15"/>
  <c r="N41" i="15"/>
  <c r="N42" i="15" s="1"/>
  <c r="T42" i="15" s="1"/>
  <c r="T64" i="15" s="1"/>
  <c r="O41" i="15"/>
  <c r="P41" i="15"/>
  <c r="Q41" i="15"/>
  <c r="R41" i="15"/>
  <c r="R64" i="15" s="1"/>
  <c r="S41" i="15"/>
  <c r="T41" i="15"/>
  <c r="U41" i="15"/>
  <c r="V41" i="15"/>
  <c r="V64" i="15" s="1"/>
  <c r="W41" i="15"/>
  <c r="W64" i="15" s="1"/>
  <c r="X41" i="15"/>
  <c r="Y41" i="15"/>
  <c r="Z41" i="15"/>
  <c r="Z64" i="15" s="1"/>
  <c r="AA41" i="15"/>
  <c r="AB41" i="15"/>
  <c r="AC64" i="15"/>
  <c r="J41" i="15"/>
  <c r="AB64" i="15"/>
  <c r="AA64" i="15"/>
  <c r="U64" i="15"/>
  <c r="S64" i="15"/>
  <c r="AH33" i="8"/>
  <c r="AH30" i="8"/>
  <c r="AH8" i="9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 s="1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C33" i="8"/>
  <c r="AD33" i="8"/>
  <c r="AE33" i="8"/>
  <c r="AF33" i="8"/>
  <c r="AG33" i="8"/>
  <c r="I33" i="8"/>
  <c r="I32" i="8"/>
  <c r="C32" i="8"/>
  <c r="C33" i="8" s="1"/>
  <c r="C27" i="8"/>
  <c r="C28" i="8" s="1"/>
  <c r="AH18" i="14"/>
  <c r="AG18" i="14"/>
  <c r="AF18" i="14"/>
  <c r="K18" i="14"/>
  <c r="K25" i="14" s="1"/>
  <c r="L18" i="14"/>
  <c r="L25" i="14" s="1"/>
  <c r="M18" i="14"/>
  <c r="N18" i="14"/>
  <c r="O18" i="14"/>
  <c r="O25" i="14" s="1"/>
  <c r="P18" i="14"/>
  <c r="P25" i="14" s="1"/>
  <c r="Q18" i="14"/>
  <c r="Q25" i="14" s="1"/>
  <c r="R18" i="14"/>
  <c r="R25" i="14" s="1"/>
  <c r="R45" i="14" s="1"/>
  <c r="S18" i="14"/>
  <c r="S25" i="14" s="1"/>
  <c r="S45" i="14" s="1"/>
  <c r="T18" i="14"/>
  <c r="U18" i="14"/>
  <c r="U25" i="14" s="1"/>
  <c r="U45" i="14" s="1"/>
  <c r="V18" i="14"/>
  <c r="W18" i="14"/>
  <c r="W25" i="14" s="1"/>
  <c r="W45" i="14" s="1"/>
  <c r="X18" i="14"/>
  <c r="X25" i="14" s="1"/>
  <c r="Y18" i="14"/>
  <c r="Y25" i="14" s="1"/>
  <c r="Z18" i="14"/>
  <c r="Z25" i="14" s="1"/>
  <c r="Z45" i="14" s="1"/>
  <c r="AA25" i="14"/>
  <c r="AA45" i="14" s="1"/>
  <c r="AB25" i="14"/>
  <c r="AB45" i="14" s="1"/>
  <c r="AC18" i="14"/>
  <c r="AC25" i="14" s="1"/>
  <c r="AC45" i="14" s="1"/>
  <c r="AD18" i="14"/>
  <c r="AD25" i="14" s="1"/>
  <c r="AD45" i="14" s="1"/>
  <c r="J18" i="14"/>
  <c r="G25" i="14"/>
  <c r="V25" i="14"/>
  <c r="V45" i="14" s="1"/>
  <c r="M25" i="14"/>
  <c r="I25" i="14"/>
  <c r="H25" i="14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C28" i="8"/>
  <c r="AE28" i="8"/>
  <c r="AF28" i="8"/>
  <c r="AG28" i="8"/>
  <c r="I28" i="8"/>
  <c r="I27" i="8"/>
  <c r="C22" i="8"/>
  <c r="C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25" i="8"/>
  <c r="AH28" i="8" s="1"/>
  <c r="AH21" i="13"/>
  <c r="AF21" i="13"/>
  <c r="AE21" i="13"/>
  <c r="T22" i="13"/>
  <c r="N22" i="13"/>
  <c r="J22" i="13"/>
  <c r="K21" i="13"/>
  <c r="L21" i="13"/>
  <c r="M21" i="13"/>
  <c r="N21" i="13"/>
  <c r="O21" i="13"/>
  <c r="P21" i="13"/>
  <c r="Q21" i="13"/>
  <c r="R21" i="13"/>
  <c r="R31" i="13" s="1"/>
  <c r="S21" i="13"/>
  <c r="S31" i="13" s="1"/>
  <c r="T21" i="13"/>
  <c r="U21" i="13"/>
  <c r="U31" i="13" s="1"/>
  <c r="V21" i="13"/>
  <c r="V31" i="13" s="1"/>
  <c r="W21" i="13"/>
  <c r="W31" i="13" s="1"/>
  <c r="X21" i="13"/>
  <c r="Y21" i="13"/>
  <c r="Z21" i="13"/>
  <c r="AA21" i="13"/>
  <c r="AB21" i="13"/>
  <c r="AC21" i="13"/>
  <c r="AC31" i="13" s="1"/>
  <c r="AD21" i="13"/>
  <c r="AD31" i="13" s="1"/>
  <c r="AG21" i="13"/>
  <c r="J21" i="13"/>
  <c r="AB31" i="13"/>
  <c r="AA31" i="13"/>
  <c r="Z31" i="13"/>
  <c r="T31" i="13"/>
  <c r="AH3" i="10"/>
  <c r="AC32" i="12"/>
  <c r="AF32" i="12"/>
  <c r="AG32" i="12"/>
  <c r="AF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G31" i="12"/>
  <c r="AH31" i="12"/>
  <c r="AI31" i="12"/>
  <c r="AJ31" i="12"/>
  <c r="AK31" i="12"/>
  <c r="AL31" i="12"/>
  <c r="AM31" i="12"/>
  <c r="AN31" i="12"/>
  <c r="AO31" i="12"/>
  <c r="AP31" i="12"/>
  <c r="J31" i="12"/>
  <c r="I31" i="12"/>
  <c r="AH21" i="8"/>
  <c r="AH20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I23" i="8"/>
  <c r="I22" i="8"/>
  <c r="C23" i="8"/>
  <c r="AF54" i="11"/>
  <c r="AD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B54" i="11"/>
  <c r="AC54" i="11"/>
  <c r="AE54" i="11" s="1"/>
  <c r="AI54" i="11"/>
  <c r="J54" i="11"/>
  <c r="I54" i="11"/>
  <c r="AF84" i="16" l="1"/>
  <c r="AG84" i="16"/>
  <c r="AE84" i="16"/>
  <c r="AH27" i="8"/>
  <c r="J42" i="15"/>
  <c r="Q64" i="15"/>
  <c r="AE18" i="14"/>
  <c r="N19" i="14"/>
  <c r="T19" i="14" s="1"/>
  <c r="T25" i="14" s="1"/>
  <c r="T45" i="14" s="1"/>
  <c r="J19" i="14"/>
  <c r="J25" i="14" s="1"/>
  <c r="G26" i="14" s="1"/>
  <c r="G45" i="14" s="1"/>
  <c r="AH22" i="8"/>
  <c r="AH23" i="8" s="1"/>
  <c r="G31" i="13"/>
  <c r="Q31" i="13"/>
  <c r="V32" i="12"/>
  <c r="U32" i="12"/>
  <c r="AJ32" i="12"/>
  <c r="AI32" i="12"/>
  <c r="AK32" i="12"/>
  <c r="AH32" i="12"/>
  <c r="X32" i="12"/>
  <c r="J32" i="12"/>
  <c r="T32" i="12" s="1"/>
  <c r="N32" i="12"/>
  <c r="W32" i="12"/>
  <c r="N55" i="11"/>
  <c r="AG54" i="11" s="1"/>
  <c r="I55" i="11"/>
  <c r="T55" i="11" s="1"/>
  <c r="AH16" i="8"/>
  <c r="AH15" i="8"/>
  <c r="AH11" i="8"/>
  <c r="AH10" i="8"/>
  <c r="AG6" i="8"/>
  <c r="AH6" i="8" s="1"/>
  <c r="AD7" i="8"/>
  <c r="AD8" i="8" s="1"/>
  <c r="AE7" i="8"/>
  <c r="AE8" i="8" s="1"/>
  <c r="AF7" i="8"/>
  <c r="AF8" i="8" s="1"/>
  <c r="N18" i="8"/>
  <c r="T18" i="8"/>
  <c r="I18" i="8"/>
  <c r="AG18" i="8"/>
  <c r="AC18" i="8"/>
  <c r="S18" i="8"/>
  <c r="R18" i="8"/>
  <c r="Q18" i="8"/>
  <c r="P18" i="8"/>
  <c r="O18" i="8"/>
  <c r="L18" i="8"/>
  <c r="K18" i="8"/>
  <c r="J18" i="8"/>
  <c r="C18" i="8"/>
  <c r="T12" i="8"/>
  <c r="T13" i="8"/>
  <c r="I13" i="8"/>
  <c r="U12" i="8"/>
  <c r="V12" i="8"/>
  <c r="W12" i="8"/>
  <c r="X12" i="8"/>
  <c r="Y12" i="8"/>
  <c r="Z12" i="8"/>
  <c r="AA12" i="8"/>
  <c r="AB12" i="8"/>
  <c r="AC12" i="8"/>
  <c r="AC13" i="8" s="1"/>
  <c r="AD12" i="8"/>
  <c r="AD13" i="8" s="1"/>
  <c r="AE12" i="8"/>
  <c r="AE13" i="8" s="1"/>
  <c r="AF12" i="8"/>
  <c r="AF13" i="8" s="1"/>
  <c r="AG12" i="8"/>
  <c r="AG13" i="8" s="1"/>
  <c r="S12" i="8"/>
  <c r="S13" i="8" s="1"/>
  <c r="R12" i="8"/>
  <c r="R13" i="8" s="1"/>
  <c r="Q12" i="8"/>
  <c r="Q13" i="8" s="1"/>
  <c r="P12" i="8"/>
  <c r="P13" i="8" s="1"/>
  <c r="O12" i="8"/>
  <c r="O13" i="8" s="1"/>
  <c r="N12" i="8"/>
  <c r="N13" i="8" s="1"/>
  <c r="M12" i="8"/>
  <c r="L12" i="8"/>
  <c r="L13" i="8" s="1"/>
  <c r="K12" i="8"/>
  <c r="K13" i="8" s="1"/>
  <c r="J12" i="8"/>
  <c r="J13" i="8" s="1"/>
  <c r="I12" i="8"/>
  <c r="AE62" i="4"/>
  <c r="AB62" i="4"/>
  <c r="AC62" i="4"/>
  <c r="AA62" i="4"/>
  <c r="R62" i="4"/>
  <c r="AI41" i="9"/>
  <c r="AD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AH40" i="9"/>
  <c r="AH39" i="9"/>
  <c r="AH38" i="9"/>
  <c r="AH37" i="9"/>
  <c r="AH36" i="9"/>
  <c r="AH35" i="9"/>
  <c r="AH34" i="9"/>
  <c r="AH33" i="9"/>
  <c r="AH32" i="9"/>
  <c r="AH31" i="9"/>
  <c r="AH30" i="9"/>
  <c r="AH29" i="9"/>
  <c r="AH28" i="9"/>
  <c r="AF27" i="9"/>
  <c r="AC27" i="9"/>
  <c r="AE27" i="9" s="1"/>
  <c r="AE41" i="9" s="1"/>
  <c r="AH26" i="9"/>
  <c r="AJ25" i="9"/>
  <c r="AH25" i="9"/>
  <c r="AJ24" i="9"/>
  <c r="AH24" i="9"/>
  <c r="AH23" i="9"/>
  <c r="AH22" i="9"/>
  <c r="AH21" i="9"/>
  <c r="AH20" i="9"/>
  <c r="AH19" i="9"/>
  <c r="AH18" i="9"/>
  <c r="AH17" i="9"/>
  <c r="AH16" i="9"/>
  <c r="AH14" i="9"/>
  <c r="AH13" i="9"/>
  <c r="AH10" i="9"/>
  <c r="AH9" i="9"/>
  <c r="AH7" i="9"/>
  <c r="AH6" i="9"/>
  <c r="AH4" i="9"/>
  <c r="AH3" i="9"/>
  <c r="F3" i="9"/>
  <c r="F41" i="9" s="1"/>
  <c r="C3" i="9"/>
  <c r="C41" i="9" s="1"/>
  <c r="C42" i="9" s="1"/>
  <c r="C12" i="8"/>
  <c r="C13" i="8" s="1"/>
  <c r="C7" i="8"/>
  <c r="C8" i="8" s="1"/>
  <c r="AC7" i="8"/>
  <c r="AC8" i="8" s="1"/>
  <c r="T8" i="8"/>
  <c r="N7" i="8"/>
  <c r="N8" i="8" s="1"/>
  <c r="O7" i="8"/>
  <c r="O8" i="8" s="1"/>
  <c r="P7" i="8"/>
  <c r="P8" i="8" s="1"/>
  <c r="Q7" i="8"/>
  <c r="Q8" i="8" s="1"/>
  <c r="R7" i="8"/>
  <c r="R8" i="8" s="1"/>
  <c r="S7" i="8"/>
  <c r="S8" i="8" s="1"/>
  <c r="L7" i="8"/>
  <c r="L8" i="8" s="1"/>
  <c r="M7" i="8"/>
  <c r="M8" i="8" s="1"/>
  <c r="K7" i="8"/>
  <c r="K8" i="8" s="1"/>
  <c r="J7" i="8"/>
  <c r="J8" i="8" s="1"/>
  <c r="I8" i="8"/>
  <c r="I7" i="8"/>
  <c r="AG5" i="8"/>
  <c r="AH5" i="8" s="1"/>
  <c r="AH84" i="16" l="1"/>
  <c r="AF41" i="9"/>
  <c r="AG42" i="9" s="1"/>
  <c r="AG27" i="9"/>
  <c r="AG41" i="9" s="1"/>
  <c r="N25" i="14"/>
  <c r="K26" i="14" s="1"/>
  <c r="Q26" i="14" s="1"/>
  <c r="Q45" i="14" s="1"/>
  <c r="AH12" i="8"/>
  <c r="AH13" i="8" s="1"/>
  <c r="AH17" i="8"/>
  <c r="AH18" i="8" s="1"/>
  <c r="AG7" i="8"/>
  <c r="AG8" i="8" s="1"/>
  <c r="AH15" i="9"/>
  <c r="AH7" i="8"/>
  <c r="AH8" i="8" s="1"/>
  <c r="T7" i="8"/>
  <c r="AH27" i="9" l="1"/>
  <c r="AH41" i="9" s="1"/>
  <c r="K123" i="6" l="1"/>
  <c r="O123" i="6"/>
  <c r="I62" i="4"/>
  <c r="J62" i="4"/>
  <c r="K62" i="4"/>
  <c r="L62" i="4"/>
  <c r="M62" i="4"/>
  <c r="N62" i="4"/>
  <c r="O62" i="4"/>
  <c r="P62" i="4"/>
  <c r="Q62" i="4"/>
  <c r="H62" i="4"/>
  <c r="H63" i="4" s="1"/>
  <c r="AD64" i="4" s="1"/>
  <c r="AD149" i="3"/>
  <c r="AC149" i="3"/>
  <c r="AB149" i="3"/>
  <c r="AA149" i="3"/>
  <c r="Z149" i="3"/>
  <c r="W149" i="3"/>
  <c r="AH122" i="6" l="1"/>
  <c r="AH123" i="6" s="1"/>
  <c r="AD123" i="6"/>
  <c r="U123" i="6"/>
  <c r="H36" i="5"/>
  <c r="L36" i="5"/>
  <c r="R36" i="5" s="1"/>
  <c r="L63" i="4"/>
  <c r="AB63" i="4"/>
  <c r="K45" i="14"/>
  <c r="L45" i="14"/>
  <c r="P45" i="14"/>
  <c r="J45" i="14"/>
  <c r="H45" i="14"/>
  <c r="I45" i="14"/>
  <c r="M45" i="14"/>
  <c r="N45" i="14"/>
  <c r="Z58" i="23"/>
  <c r="Z79" i="23" s="1"/>
  <c r="Q58" i="23"/>
  <c r="Q59" i="23" s="1"/>
  <c r="Q79" i="23" s="1"/>
  <c r="X58" i="23"/>
  <c r="AA58" i="23"/>
  <c r="AA79" i="23" s="1"/>
  <c r="AB58" i="23"/>
  <c r="AB79" i="23" s="1"/>
  <c r="AD58" i="23"/>
  <c r="AD79" i="23" s="1"/>
  <c r="Y58" i="23"/>
  <c r="S58" i="23"/>
  <c r="S79" i="23" s="1"/>
  <c r="T58" i="23"/>
  <c r="T79" i="23" s="1"/>
  <c r="AC58" i="23"/>
  <c r="AC79" i="23" s="1"/>
  <c r="W58" i="23"/>
  <c r="W79" i="23" s="1"/>
  <c r="R58" i="23"/>
  <c r="R79" i="23" s="1"/>
  <c r="I108" i="37"/>
  <c r="AC41" i="9" l="1"/>
</calcChain>
</file>

<file path=xl/sharedStrings.xml><?xml version="1.0" encoding="utf-8"?>
<sst xmlns="http://schemas.openxmlformats.org/spreadsheetml/2006/main" count="30423" uniqueCount="3248">
  <si>
    <t>First name(s)</t>
  </si>
  <si>
    <t>Last name</t>
  </si>
  <si>
    <t>Relationship to head</t>
  </si>
  <si>
    <t>Sex</t>
  </si>
  <si>
    <t>Birth year</t>
  </si>
  <si>
    <t>Age in years</t>
  </si>
  <si>
    <t>Birth place</t>
  </si>
  <si>
    <t>Occupation</t>
  </si>
  <si>
    <t>Employer</t>
  </si>
  <si>
    <t>Pelham cres</t>
  </si>
  <si>
    <t>Thomas William</t>
  </si>
  <si>
    <t>Cartwright</t>
  </si>
  <si>
    <t>Head</t>
  </si>
  <si>
    <t>Male</t>
  </si>
  <si>
    <t>Nottinghamshire, England</t>
  </si>
  <si>
    <t>Solicitor</t>
  </si>
  <si>
    <t>Own Account</t>
  </si>
  <si>
    <t>Kathleen Christina</t>
  </si>
  <si>
    <t>Wife</t>
  </si>
  <si>
    <t>Female</t>
  </si>
  <si>
    <t>-</t>
  </si>
  <si>
    <t>Mary Elizabeth Kathleen</t>
  </si>
  <si>
    <t>Daughter</t>
  </si>
  <si>
    <t>Patience Christina</t>
  </si>
  <si>
    <t>Annie</t>
  </si>
  <si>
    <t>Pass</t>
  </si>
  <si>
    <t>Servant</t>
  </si>
  <si>
    <t>Beckingham, Lincolnshire, England</t>
  </si>
  <si>
    <t>Housemaid</t>
  </si>
  <si>
    <t>Private</t>
  </si>
  <si>
    <t>Emily Bolton</t>
  </si>
  <si>
    <t>Woodward</t>
  </si>
  <si>
    <t>Unknown</t>
  </si>
  <si>
    <t>Cook</t>
  </si>
  <si>
    <t>Frank N</t>
  </si>
  <si>
    <t>Ley</t>
  </si>
  <si>
    <t>Wool &amp; Cotton Water Merchant &amp; Puller</t>
  </si>
  <si>
    <t>Employer Ibsaen &amp; Sons</t>
  </si>
  <si>
    <t>Lucy A</t>
  </si>
  <si>
    <t>Lucy K</t>
  </si>
  <si>
    <t>Lenton, Nottinghamshire, England</t>
  </si>
  <si>
    <t>Christella</t>
  </si>
  <si>
    <t>Williamson</t>
  </si>
  <si>
    <t>Yorkshire, England</t>
  </si>
  <si>
    <t>Annie E</t>
  </si>
  <si>
    <t>Oakham, Rutland, England</t>
  </si>
  <si>
    <t>Emma</t>
  </si>
  <si>
    <t>None</t>
  </si>
  <si>
    <t>Mabel</t>
  </si>
  <si>
    <t>Nottingham, Nottinghamshire, England</t>
  </si>
  <si>
    <t>Home Duties</t>
  </si>
  <si>
    <t>Son</t>
  </si>
  <si>
    <t>Housekeeper</t>
  </si>
  <si>
    <t>United States</t>
  </si>
  <si>
    <t>Woodborough, Nottinghamshire, England</t>
  </si>
  <si>
    <t>House Parlourmaid</t>
  </si>
  <si>
    <t>Domestic Servant</t>
  </si>
  <si>
    <t>Margaret Annie</t>
  </si>
  <si>
    <t>Visitor</t>
  </si>
  <si>
    <t>Oxfordshire, England</t>
  </si>
  <si>
    <t>Boarder</t>
  </si>
  <si>
    <t>Smith</t>
  </si>
  <si>
    <t>Middlesex, England</t>
  </si>
  <si>
    <t>Helen</t>
  </si>
  <si>
    <t>Elsie</t>
  </si>
  <si>
    <t>Grantham, Lincolnshire, England</t>
  </si>
  <si>
    <t>cavendish crescent nort</t>
  </si>
  <si>
    <t>Daisy</t>
  </si>
  <si>
    <t>Sands</t>
  </si>
  <si>
    <t>General Domestic Service</t>
  </si>
  <si>
    <t>Gertrude Annie</t>
  </si>
  <si>
    <t>Harison</t>
  </si>
  <si>
    <t>Stapleford, Nottinghamshire, England</t>
  </si>
  <si>
    <t>Zillah</t>
  </si>
  <si>
    <t>Spear</t>
  </si>
  <si>
    <t>Clara Emily</t>
  </si>
  <si>
    <t>Stranther</t>
  </si>
  <si>
    <t>Mansfield, Nottinghamshire, England</t>
  </si>
  <si>
    <t>Locke</t>
  </si>
  <si>
    <t>Caroline R</t>
  </si>
  <si>
    <t>Weinberg</t>
  </si>
  <si>
    <t>Baltimore, Maryland, United States</t>
  </si>
  <si>
    <t>Jacob</t>
  </si>
  <si>
    <t>Eli G</t>
  </si>
  <si>
    <t>Betsy</t>
  </si>
  <si>
    <t>Rosenhim</t>
  </si>
  <si>
    <t>Frances Nunes</t>
  </si>
  <si>
    <t>Marting</t>
  </si>
  <si>
    <t>Edmonton, London, England</t>
  </si>
  <si>
    <t>Biola</t>
  </si>
  <si>
    <t>Edith</t>
  </si>
  <si>
    <t>Plowman</t>
  </si>
  <si>
    <t>Elton, Huntingdonshire, England</t>
  </si>
  <si>
    <t>Parlourmaid</t>
  </si>
  <si>
    <t>Rosa Ada</t>
  </si>
  <si>
    <t>Halliday</t>
  </si>
  <si>
    <t>Robert</t>
  </si>
  <si>
    <t>Bury</t>
  </si>
  <si>
    <t>Colne, Lancashire, England</t>
  </si>
  <si>
    <t>Glace Kid Sorter</t>
  </si>
  <si>
    <t>Wade &amp; Co Leather Dressers (Out Of Work)</t>
  </si>
  <si>
    <t>Beatrice Mary</t>
  </si>
  <si>
    <t>Appleton, Cheshire, England</t>
  </si>
  <si>
    <t>Isaac</t>
  </si>
  <si>
    <t>Arthur</t>
  </si>
  <si>
    <t>Civil Servant Clerk</t>
  </si>
  <si>
    <t>Ministry Of Labourer</t>
  </si>
  <si>
    <t>Lewis</t>
  </si>
  <si>
    <t>Hosiery Manufactures Director</t>
  </si>
  <si>
    <t>Marjorie</t>
  </si>
  <si>
    <t>Hickson</t>
  </si>
  <si>
    <t>Mother's help</t>
  </si>
  <si>
    <t>Stragglethorpe, Lincolnshire, England</t>
  </si>
  <si>
    <t>Domestic Duties</t>
  </si>
  <si>
    <t>Minkley</t>
  </si>
  <si>
    <t>Rose</t>
  </si>
  <si>
    <t>Northampton, Northamptonshire, England</t>
  </si>
  <si>
    <t>Joseph William</t>
  </si>
  <si>
    <t>Wright</t>
  </si>
  <si>
    <t>Farm Agent</t>
  </si>
  <si>
    <t>Lottie</t>
  </si>
  <si>
    <t>Annie Elizabeth</t>
  </si>
  <si>
    <t>Hubbs</t>
  </si>
  <si>
    <t>Northamptonshire, England</t>
  </si>
  <si>
    <t>Gill</t>
  </si>
  <si>
    <t>Mr John Leslie Smith, Lace Manufacturer</t>
  </si>
  <si>
    <t>Valerie Leslie</t>
  </si>
  <si>
    <t>Dudley Penny</t>
  </si>
  <si>
    <t>Forman</t>
  </si>
  <si>
    <t>Printer</t>
  </si>
  <si>
    <t>Margaret Mary</t>
  </si>
  <si>
    <t>House Duties</t>
  </si>
  <si>
    <t>Muriel</t>
  </si>
  <si>
    <t>Jenks</t>
  </si>
  <si>
    <t>Staffordshire, England</t>
  </si>
  <si>
    <t>Hannah</t>
  </si>
  <si>
    <t>Geeson</t>
  </si>
  <si>
    <t>House Maid</t>
  </si>
  <si>
    <t>Kate</t>
  </si>
  <si>
    <t>Thorpe</t>
  </si>
  <si>
    <t>Belfast, Antrim, Ireland</t>
  </si>
  <si>
    <t>Independant</t>
  </si>
  <si>
    <t>Eliza Helena</t>
  </si>
  <si>
    <t>Saville</t>
  </si>
  <si>
    <t>Sister</t>
  </si>
  <si>
    <t>Brighton, Sussex, England</t>
  </si>
  <si>
    <t>Nelly Clementina</t>
  </si>
  <si>
    <t>Normanton</t>
  </si>
  <si>
    <t>Cousin</t>
  </si>
  <si>
    <t>Manchester, Lancashire, England</t>
  </si>
  <si>
    <t>Harriet Nelly</t>
  </si>
  <si>
    <t>Harrison</t>
  </si>
  <si>
    <t>Retford, Nottinghamshire, England</t>
  </si>
  <si>
    <t>Phoebe</t>
  </si>
  <si>
    <t>Carlton</t>
  </si>
  <si>
    <t>George Dawson</t>
  </si>
  <si>
    <t>Laing</t>
  </si>
  <si>
    <t>Warwick, Warwickshire, England</t>
  </si>
  <si>
    <t>Wine &amp; Spirit Merchant</t>
  </si>
  <si>
    <t>John Frederick</t>
  </si>
  <si>
    <t>Wine &amp; Spirit Merchants Assistant</t>
  </si>
  <si>
    <t>G Dhing Wine &amp; Spirit Merchant</t>
  </si>
  <si>
    <t>Beatrice</t>
  </si>
  <si>
    <t>Wadmore</t>
  </si>
  <si>
    <t>Hospital Secretary</t>
  </si>
  <si>
    <t>Board Of Management</t>
  </si>
  <si>
    <t>Florence Marion</t>
  </si>
  <si>
    <t>Kent, England</t>
  </si>
  <si>
    <t>Joan Blanche</t>
  </si>
  <si>
    <t>Bedford, Bedfordshire, England</t>
  </si>
  <si>
    <t>Elizabeth</t>
  </si>
  <si>
    <t>Meran</t>
  </si>
  <si>
    <t>Perth, Perthshire, Scotland</t>
  </si>
  <si>
    <t>Clerk</t>
  </si>
  <si>
    <t>Lilian</t>
  </si>
  <si>
    <t>Day</t>
  </si>
  <si>
    <t>London, Middlesex, England</t>
  </si>
  <si>
    <t>Spencer</t>
  </si>
  <si>
    <t>Ginder</t>
  </si>
  <si>
    <t>Nellie</t>
  </si>
  <si>
    <t>Carrington</t>
  </si>
  <si>
    <t>Thomas Hugh</t>
  </si>
  <si>
    <t>Department Manager</t>
  </si>
  <si>
    <t>Messrs Boot &amp; Co Ltd</t>
  </si>
  <si>
    <t>Martha Elizabeth</t>
  </si>
  <si>
    <t>Morris</t>
  </si>
  <si>
    <t>Rotherham, Yorkshire, England</t>
  </si>
  <si>
    <t>Chris Leslie</t>
  </si>
  <si>
    <t>Yarn Agent</t>
  </si>
  <si>
    <t>Margaret Elizabeth</t>
  </si>
  <si>
    <t>Christopher John</t>
  </si>
  <si>
    <t>Joan Margaret</t>
  </si>
  <si>
    <t>Ruth Elizabeth</t>
  </si>
  <si>
    <t>Thirza Elizabeth</t>
  </si>
  <si>
    <t>Simpson</t>
  </si>
  <si>
    <t>Watnall, Nottinghamshire, England</t>
  </si>
  <si>
    <t>House Parlour Maid, Private</t>
  </si>
  <si>
    <t>Sumner</t>
  </si>
  <si>
    <t>Cook General, Private</t>
  </si>
  <si>
    <t>Leslie Norman</t>
  </si>
  <si>
    <t>Groves</t>
  </si>
  <si>
    <t>Department Manager Knitted Goods Manufacturer</t>
  </si>
  <si>
    <t>Sidney Thompson &amp; Co Ltd Jarn Merchants</t>
  </si>
  <si>
    <t>Jane</t>
  </si>
  <si>
    <t>Payne</t>
  </si>
  <si>
    <t>Carbis Bay, Cornwall, England</t>
  </si>
  <si>
    <t>Cecilia</t>
  </si>
  <si>
    <t>Biles</t>
  </si>
  <si>
    <t>Nurse</t>
  </si>
  <si>
    <t>Private Nurse</t>
  </si>
  <si>
    <t>Mr Elder Regent St Nottingham</t>
  </si>
  <si>
    <t>Bansall</t>
  </si>
  <si>
    <t>Derbyshire, England</t>
  </si>
  <si>
    <t>?</t>
  </si>
  <si>
    <t>House ID</t>
  </si>
  <si>
    <t>House Name</t>
  </si>
  <si>
    <t>NO.</t>
  </si>
  <si>
    <t>Address</t>
  </si>
  <si>
    <t>Family</t>
  </si>
  <si>
    <t>Name</t>
  </si>
  <si>
    <t>W/M/G/B</t>
  </si>
  <si>
    <t>Relationship to Head of family</t>
  </si>
  <si>
    <t>Age</t>
  </si>
  <si>
    <t>Married/Single/Widow/er</t>
  </si>
  <si>
    <t>SINGLE</t>
  </si>
  <si>
    <t>Widow/er</t>
  </si>
  <si>
    <t xml:space="preserve">Married yrs </t>
  </si>
  <si>
    <t>Children born</t>
  </si>
  <si>
    <t>children living</t>
  </si>
  <si>
    <t>Personal Occupation</t>
  </si>
  <si>
    <t>Industry</t>
  </si>
  <si>
    <t>Economic participants</t>
  </si>
  <si>
    <t>Employer/worker</t>
  </si>
  <si>
    <t>Born</t>
  </si>
  <si>
    <t>Note</t>
  </si>
  <si>
    <t>largest household</t>
  </si>
  <si>
    <t>smallest household</t>
  </si>
  <si>
    <t>W</t>
  </si>
  <si>
    <t>M</t>
  </si>
  <si>
    <t>G</t>
  </si>
  <si>
    <t>B</t>
  </si>
  <si>
    <t xml:space="preserve">HEAD women head </t>
  </si>
  <si>
    <t>WIFE</t>
  </si>
  <si>
    <t>daughter</t>
  </si>
  <si>
    <t>son</t>
  </si>
  <si>
    <t>Other</t>
  </si>
  <si>
    <t>If &lt;15=child</t>
  </si>
  <si>
    <t>Married woman</t>
  </si>
  <si>
    <t>SINGLE woman</t>
  </si>
  <si>
    <t>Widow er</t>
  </si>
  <si>
    <t>worker</t>
  </si>
  <si>
    <t>Nottinghamshire</t>
  </si>
  <si>
    <t>TOTAL</t>
  </si>
  <si>
    <t>PC</t>
  </si>
  <si>
    <t>Hosiery manuf</t>
  </si>
  <si>
    <t>Notts</t>
  </si>
  <si>
    <t>Home duties</t>
  </si>
  <si>
    <t>Manuf</t>
  </si>
  <si>
    <t>Yorkshire</t>
  </si>
  <si>
    <t>notts</t>
  </si>
  <si>
    <t>mothers help</t>
  </si>
  <si>
    <t>Lincs</t>
  </si>
  <si>
    <t>servant</t>
  </si>
  <si>
    <t>northants</t>
  </si>
  <si>
    <t>visitor</t>
  </si>
  <si>
    <t>Domestic servant</t>
  </si>
  <si>
    <t>Farm</t>
  </si>
  <si>
    <t>Northants</t>
  </si>
  <si>
    <t>Law</t>
  </si>
  <si>
    <t>Newspaper</t>
  </si>
  <si>
    <t>merchant</t>
  </si>
  <si>
    <t>housemaid</t>
  </si>
  <si>
    <t>yorks</t>
  </si>
  <si>
    <t>Rutland</t>
  </si>
  <si>
    <t>cook</t>
  </si>
  <si>
    <t>staffs</t>
  </si>
  <si>
    <t>Ireland</t>
  </si>
  <si>
    <t>sister</t>
  </si>
  <si>
    <t>brighton</t>
  </si>
  <si>
    <t>cousin</t>
  </si>
  <si>
    <t>manchester</t>
  </si>
  <si>
    <t>retford</t>
  </si>
  <si>
    <t>warwick</t>
  </si>
  <si>
    <t>wine &amp; sprit merchant</t>
  </si>
  <si>
    <t>G Dhing wine &amp; spirits</t>
  </si>
  <si>
    <t>middx</t>
  </si>
  <si>
    <t>hosp sec</t>
  </si>
  <si>
    <t>hospital</t>
  </si>
  <si>
    <t>Board of management</t>
  </si>
  <si>
    <t>kent</t>
  </si>
  <si>
    <t>home duties</t>
  </si>
  <si>
    <t>bedford</t>
  </si>
  <si>
    <t>perth</t>
  </si>
  <si>
    <t>clerk</t>
  </si>
  <si>
    <t>london</t>
  </si>
  <si>
    <t>dept mgr</t>
  </si>
  <si>
    <t>chemist</t>
  </si>
  <si>
    <t>boots &amp; co</t>
  </si>
  <si>
    <t>housekeeper</t>
  </si>
  <si>
    <t>rotherham</t>
  </si>
  <si>
    <t>yarn agent</t>
  </si>
  <si>
    <t>house parlour maid</t>
  </si>
  <si>
    <t>general cook</t>
  </si>
  <si>
    <t>sidney thomas and co ltd</t>
  </si>
  <si>
    <t>cornwall</t>
  </si>
  <si>
    <t>nurse</t>
  </si>
  <si>
    <t>private nurse to mr elder regents st nottingham</t>
  </si>
  <si>
    <t>coork</t>
  </si>
  <si>
    <t>derbyshire</t>
  </si>
  <si>
    <t>Relationship</t>
  </si>
  <si>
    <t>stated as head and servant</t>
  </si>
  <si>
    <t>Employee</t>
  </si>
  <si>
    <t>CCN</t>
  </si>
  <si>
    <t>status</t>
  </si>
  <si>
    <t>born</t>
  </si>
  <si>
    <t>John George</t>
  </si>
  <si>
    <t>Dobson</t>
  </si>
  <si>
    <t>Cotton Doubler Retired</t>
  </si>
  <si>
    <t>Emily</t>
  </si>
  <si>
    <t>Gravesend, Kent, England</t>
  </si>
  <si>
    <t>John Ignatius</t>
  </si>
  <si>
    <t>Cotton Doubler</t>
  </si>
  <si>
    <t>Cotton Doblers Dobson &amp; Allsop Ltd</t>
  </si>
  <si>
    <t>Hilda Mary</t>
  </si>
  <si>
    <t>Agnes</t>
  </si>
  <si>
    <t>Ruddington, Nottinghamshire, England</t>
  </si>
  <si>
    <t>May</t>
  </si>
  <si>
    <t>Gladys Nellie</t>
  </si>
  <si>
    <t>Taylor</t>
  </si>
  <si>
    <t>Leicester, Leicestershire, England</t>
  </si>
  <si>
    <t>House Parlour Maid</t>
  </si>
  <si>
    <t>Olive</t>
  </si>
  <si>
    <t>Edgar</t>
  </si>
  <si>
    <t>Heaton, Northumberland, England</t>
  </si>
  <si>
    <t>Bernard Swawrick</t>
  </si>
  <si>
    <t>Kathleen Florence</t>
  </si>
  <si>
    <t>Mary</t>
  </si>
  <si>
    <t>Jovan</t>
  </si>
  <si>
    <t>Pinxton, Derbyshire, England</t>
  </si>
  <si>
    <t>Minnie</t>
  </si>
  <si>
    <t>Creswell</t>
  </si>
  <si>
    <t>Marehay, Derbyshire, England</t>
  </si>
  <si>
    <t>Curtis</t>
  </si>
  <si>
    <t>Cromwell, Nottinghamshire, England</t>
  </si>
  <si>
    <t>General Domestic Servant</t>
  </si>
  <si>
    <t>Hilda</t>
  </si>
  <si>
    <t>Hawksworth, Nottinghamshire, England</t>
  </si>
  <si>
    <t>Emily Paget</t>
  </si>
  <si>
    <t>Summerton</t>
  </si>
  <si>
    <t>South Muskham, Nottinghamshire, England</t>
  </si>
  <si>
    <t>Kathleen</t>
  </si>
  <si>
    <t>Ethel</t>
  </si>
  <si>
    <t>Alice May</t>
  </si>
  <si>
    <t>Bray</t>
  </si>
  <si>
    <t>Lydia</t>
  </si>
  <si>
    <t>Perkins</t>
  </si>
  <si>
    <t>Alfreton, Derbyshire, England</t>
  </si>
  <si>
    <t>Betweenmaid</t>
  </si>
  <si>
    <t>Blinder</t>
  </si>
  <si>
    <t>Moulton, Suffolk, England</t>
  </si>
  <si>
    <t>Parlour Maid</t>
  </si>
  <si>
    <t>Mary Kate</t>
  </si>
  <si>
    <t>Bennett</t>
  </si>
  <si>
    <t>Littlewood</t>
  </si>
  <si>
    <t>Salt</t>
  </si>
  <si>
    <t>Sedgebrook, Lincolnshire, England</t>
  </si>
  <si>
    <t>Sarah</t>
  </si>
  <si>
    <t>Coates</t>
  </si>
  <si>
    <t>Lincolnshire, England</t>
  </si>
  <si>
    <t>Stanley</t>
  </si>
  <si>
    <t>Newborough, Staffordshire, England</t>
  </si>
  <si>
    <t>Richardson</t>
  </si>
  <si>
    <t>Rook</t>
  </si>
  <si>
    <t>Dora</t>
  </si>
  <si>
    <t>Pollard</t>
  </si>
  <si>
    <t>Surrey, England</t>
  </si>
  <si>
    <t>Adelaide</t>
  </si>
  <si>
    <t>Carr</t>
  </si>
  <si>
    <t>Help</t>
  </si>
  <si>
    <t>Governess</t>
  </si>
  <si>
    <t>Beryl</t>
  </si>
  <si>
    <t>Pinder</t>
  </si>
  <si>
    <t>Maud M</t>
  </si>
  <si>
    <t>Dudley, Staffordshire, England</t>
  </si>
  <si>
    <t>Percy</t>
  </si>
  <si>
    <t>Draper</t>
  </si>
  <si>
    <t>John</t>
  </si>
  <si>
    <t>Gambles</t>
  </si>
  <si>
    <t>Lincoln, Lincolnshire, England</t>
  </si>
  <si>
    <t>Paper Importer</t>
  </si>
  <si>
    <t>Dorothy Mary</t>
  </si>
  <si>
    <t>Olive Barbara</t>
  </si>
  <si>
    <t>John Eric</t>
  </si>
  <si>
    <t>Fredrick Richard</t>
  </si>
  <si>
    <t>Haide</t>
  </si>
  <si>
    <t>Wellow, Nottinghamshire, England</t>
  </si>
  <si>
    <t>Ridgeway</t>
  </si>
  <si>
    <t>Chesterfield, Derbyshire, England</t>
  </si>
  <si>
    <t>Lily</t>
  </si>
  <si>
    <t>Robinson</t>
  </si>
  <si>
    <t>Balderton, Nottinghamshire, England</t>
  </si>
  <si>
    <t>Stuart Lyman</t>
  </si>
  <si>
    <t>Page</t>
  </si>
  <si>
    <t>Smallware Dealer</t>
  </si>
  <si>
    <t>Sarah Ann Rayus</t>
  </si>
  <si>
    <t>Hickershothaen</t>
  </si>
  <si>
    <t>Castle Donington, Leicestershire, England</t>
  </si>
  <si>
    <t>House Keeper</t>
  </si>
  <si>
    <t>Lily Mary</t>
  </si>
  <si>
    <t>Fawatt</t>
  </si>
  <si>
    <t>Withern, Lincolnshire, England</t>
  </si>
  <si>
    <t>Thorpeperry</t>
  </si>
  <si>
    <t>Solicitor (Retired)</t>
  </si>
  <si>
    <t>Sarah Annie</t>
  </si>
  <si>
    <t>Cuff</t>
  </si>
  <si>
    <t>Leicestershire, England</t>
  </si>
  <si>
    <t>Sarah Jane</t>
  </si>
  <si>
    <t>Cottam</t>
  </si>
  <si>
    <t>Newton, Derbyshire, England</t>
  </si>
  <si>
    <t>Thomas Parkin</t>
  </si>
  <si>
    <t>Foster</t>
  </si>
  <si>
    <t>Lace Manufacturer (Retired)</t>
  </si>
  <si>
    <t>Florence</t>
  </si>
  <si>
    <t>William</t>
  </si>
  <si>
    <t>Solicitior</t>
  </si>
  <si>
    <t>Turner Bawows &amp; Moss, Solicitors</t>
  </si>
  <si>
    <t>Thomas Gilbert</t>
  </si>
  <si>
    <t>Law Student</t>
  </si>
  <si>
    <t>Florence Eileen</t>
  </si>
  <si>
    <t>Mary Elizabeth</t>
  </si>
  <si>
    <t>Widdowson</t>
  </si>
  <si>
    <t>Parr</t>
  </si>
  <si>
    <t>South Normanton, Derbyshire, England</t>
  </si>
  <si>
    <t>Caeoline Hannah</t>
  </si>
  <si>
    <t>Florentine</t>
  </si>
  <si>
    <t>Annie Kate</t>
  </si>
  <si>
    <t>Messager</t>
  </si>
  <si>
    <t>Maid</t>
  </si>
  <si>
    <t>Birmingham, Warwickshire, England</t>
  </si>
  <si>
    <t>Elsey May</t>
  </si>
  <si>
    <t>York, Yorkshire, England</t>
  </si>
  <si>
    <t>Jessie Rebecca Skice</t>
  </si>
  <si>
    <t>Reid</t>
  </si>
  <si>
    <t>Lakenheath, Suffolk, England</t>
  </si>
  <si>
    <t>Henry</t>
  </si>
  <si>
    <t>Holliwey</t>
  </si>
  <si>
    <t>Lace Curtain Mfctr</t>
  </si>
  <si>
    <t>Eliza Ann</t>
  </si>
  <si>
    <t>Burton</t>
  </si>
  <si>
    <t>Sutton in Ashfield, Nottinghamshire, England</t>
  </si>
  <si>
    <t>Mildred May</t>
  </si>
  <si>
    <t>Saunders</t>
  </si>
  <si>
    <t>Norfolk, England</t>
  </si>
  <si>
    <t>Thomas Clement</t>
  </si>
  <si>
    <t>Usher</t>
  </si>
  <si>
    <t>Gloucester, Gloucestershire, England</t>
  </si>
  <si>
    <t>Mine Coal Factor</t>
  </si>
  <si>
    <t>Kathleen Muriel</t>
  </si>
  <si>
    <t>Enfield, Middlesex, England</t>
  </si>
  <si>
    <t>Amelia</t>
  </si>
  <si>
    <t>Williams</t>
  </si>
  <si>
    <t>Chester, Cheshire, England</t>
  </si>
  <si>
    <t>Cussannow Mabel</t>
  </si>
  <si>
    <t>Housley</t>
  </si>
  <si>
    <t>George</t>
  </si>
  <si>
    <t>Mather</t>
  </si>
  <si>
    <t>Lace Shipping Merchant</t>
  </si>
  <si>
    <t>Loretta</t>
  </si>
  <si>
    <t>Housewife</t>
  </si>
  <si>
    <t>Charles</t>
  </si>
  <si>
    <t>Talbot</t>
  </si>
  <si>
    <t>Caythorpe, Lincolnshire, England</t>
  </si>
  <si>
    <t>Manager</t>
  </si>
  <si>
    <t>Glore Tabric Manufacturer Dept, George Maker</t>
  </si>
  <si>
    <t>Vernie</t>
  </si>
  <si>
    <t>Hannah Hilda</t>
  </si>
  <si>
    <t>Hopewell</t>
  </si>
  <si>
    <t>Spinster, servant</t>
  </si>
  <si>
    <t>Martha Ann</t>
  </si>
  <si>
    <t>Elliott</t>
  </si>
  <si>
    <t>Servant, spinster</t>
  </si>
  <si>
    <t>Ilkeston, Nottinghamshire, England</t>
  </si>
  <si>
    <t>Margaret Jane</t>
  </si>
  <si>
    <t>Button</t>
  </si>
  <si>
    <t>Durham, England</t>
  </si>
  <si>
    <t>Nurse (Certified)</t>
  </si>
  <si>
    <t>Ada Mary</t>
  </si>
  <si>
    <t>Jessop</t>
  </si>
  <si>
    <t>Exeter, Devon, England</t>
  </si>
  <si>
    <t>Household Duties</t>
  </si>
  <si>
    <t>Anne</t>
  </si>
  <si>
    <t>Draw</t>
  </si>
  <si>
    <t>Ellen Annie</t>
  </si>
  <si>
    <t>Bess</t>
  </si>
  <si>
    <t>Cayton, Yorkshire, England</t>
  </si>
  <si>
    <t>Fraser</t>
  </si>
  <si>
    <t>Cecily Paget</t>
  </si>
  <si>
    <t>info</t>
  </si>
  <si>
    <t>CCN1</t>
  </si>
  <si>
    <t>CCN2</t>
  </si>
  <si>
    <t>CCN3</t>
  </si>
  <si>
    <t>CCN4</t>
  </si>
  <si>
    <t>CCN5</t>
  </si>
  <si>
    <t>CCN6</t>
  </si>
  <si>
    <t>CCN7</t>
  </si>
  <si>
    <t>CCN8</t>
  </si>
  <si>
    <t>CCN9</t>
  </si>
  <si>
    <t>CCN10</t>
  </si>
  <si>
    <t>CCN11</t>
  </si>
  <si>
    <t>CCN12</t>
  </si>
  <si>
    <t>CCN13</t>
  </si>
  <si>
    <t>CCN14</t>
  </si>
  <si>
    <t>CCN15</t>
  </si>
  <si>
    <t>CCN16</t>
  </si>
  <si>
    <t>CCN17</t>
  </si>
  <si>
    <t>CCN18</t>
  </si>
  <si>
    <t>?2</t>
  </si>
  <si>
    <t>Park</t>
  </si>
  <si>
    <t>Charnwood</t>
  </si>
  <si>
    <t>Hazlewood</t>
  </si>
  <si>
    <t>Castlemount</t>
  </si>
  <si>
    <t>Normanton Lodge</t>
  </si>
  <si>
    <t>Emp number</t>
  </si>
  <si>
    <t>1911</t>
  </si>
  <si>
    <t>Cavendish Cres N</t>
  </si>
  <si>
    <t>Road ID</t>
  </si>
  <si>
    <t>Year</t>
  </si>
  <si>
    <t># houses</t>
  </si>
  <si>
    <t>Location</t>
  </si>
  <si>
    <t># occupants</t>
  </si>
  <si>
    <t>Changes</t>
  </si>
  <si>
    <t>Percentage</t>
  </si>
  <si>
    <t>Difference between 1911-1921</t>
  </si>
  <si>
    <t>Pelham Cresent</t>
  </si>
  <si>
    <t>Pelham Cres</t>
  </si>
  <si>
    <t>14 houses enunuerated one return missing</t>
  </si>
  <si>
    <t>ID</t>
  </si>
  <si>
    <t>Family names same</t>
  </si>
  <si>
    <t>Married/Single/Widow er</t>
  </si>
  <si>
    <t xml:space="preserve"> Married yrs (some Women only)</t>
  </si>
  <si>
    <t>Children born (some Women only)</t>
  </si>
  <si>
    <t>Children living (some Women only)</t>
  </si>
  <si>
    <t>Birthplace</t>
  </si>
  <si>
    <t xml:space="preserve">HEAD women </t>
  </si>
  <si>
    <t>S</t>
  </si>
  <si>
    <t>See separate table</t>
  </si>
  <si>
    <t>Worker</t>
  </si>
  <si>
    <t>check</t>
  </si>
  <si>
    <t>Rooms</t>
  </si>
  <si>
    <t>BL</t>
  </si>
  <si>
    <t>Barrack Lane</t>
  </si>
  <si>
    <t>WT</t>
  </si>
  <si>
    <t>Western Terr</t>
  </si>
  <si>
    <t>NR</t>
  </si>
  <si>
    <t>North Rd</t>
  </si>
  <si>
    <t>LC</t>
  </si>
  <si>
    <t>Lincoln Circus</t>
  </si>
  <si>
    <t>NC</t>
  </si>
  <si>
    <t>Newcastle circus</t>
  </si>
  <si>
    <t>no head at one house servants only</t>
  </si>
  <si>
    <t>PD</t>
  </si>
  <si>
    <t>Park Drive</t>
  </si>
  <si>
    <t>PeD</t>
  </si>
  <si>
    <t>Peveril Drive</t>
  </si>
  <si>
    <t>LA</t>
  </si>
  <si>
    <t>Lenton Ave</t>
  </si>
  <si>
    <t>2 missing houses</t>
  </si>
  <si>
    <t>CRW</t>
  </si>
  <si>
    <t>Clumber Rd W</t>
  </si>
  <si>
    <t>MR</t>
  </si>
  <si>
    <t>Maxtoke Rd</t>
  </si>
  <si>
    <t>CCS</t>
  </si>
  <si>
    <t>Clumber Cres S</t>
  </si>
  <si>
    <t>SR</t>
  </si>
  <si>
    <t>South Rd</t>
  </si>
  <si>
    <t>CaCs</t>
  </si>
  <si>
    <t>Cavendish Cres S</t>
  </si>
  <si>
    <t>HC</t>
  </si>
  <si>
    <t>Holles cres</t>
  </si>
  <si>
    <t>LR</t>
  </si>
  <si>
    <t>Lenton Rd</t>
  </si>
  <si>
    <t>HW</t>
  </si>
  <si>
    <t>Hermitage Walk</t>
  </si>
  <si>
    <t>KR</t>
  </si>
  <si>
    <t>kenilworth rd</t>
  </si>
  <si>
    <t>FD</t>
  </si>
  <si>
    <t>Fishpond Drive</t>
  </si>
  <si>
    <t>HD</t>
  </si>
  <si>
    <t>Hope Drive</t>
  </si>
  <si>
    <t>HaD</t>
  </si>
  <si>
    <t>Hamilton Drive</t>
  </si>
  <si>
    <t>Pra</t>
  </si>
  <si>
    <t>Park Ravine</t>
  </si>
  <si>
    <t>PT</t>
  </si>
  <si>
    <t>Park Terrace</t>
  </si>
  <si>
    <t>PV</t>
  </si>
  <si>
    <t>Park Valley</t>
  </si>
  <si>
    <t>CV</t>
  </si>
  <si>
    <t>Clare Valley</t>
  </si>
  <si>
    <t>NT</t>
  </si>
  <si>
    <t>Newcastle terr</t>
  </si>
  <si>
    <t>CT</t>
  </si>
  <si>
    <t>Clinton Terrace</t>
  </si>
  <si>
    <t>DWM</t>
  </si>
  <si>
    <t>Duke William Mount</t>
  </si>
  <si>
    <t>TR</t>
  </si>
  <si>
    <t>Tunnel Rd</t>
  </si>
  <si>
    <t>CRE</t>
  </si>
  <si>
    <t>Cavendish rd E</t>
  </si>
  <si>
    <t>CLE</t>
  </si>
  <si>
    <t>Clumber rd E.</t>
  </si>
  <si>
    <t>CG</t>
  </si>
  <si>
    <t>Castlegrove</t>
  </si>
  <si>
    <t>Huntingdon Drive</t>
  </si>
  <si>
    <t>ND</t>
  </si>
  <si>
    <t>Newcastle drive</t>
  </si>
  <si>
    <t>PR</t>
  </si>
  <si>
    <t>Park Row</t>
  </si>
  <si>
    <t>PeT</t>
  </si>
  <si>
    <t>Pelham Terr</t>
  </si>
  <si>
    <t>TD</t>
  </si>
  <si>
    <t>Tattershall Drive</t>
  </si>
  <si>
    <t>INFO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</si>
  <si>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</si>
  <si>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</si>
  <si>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</si>
  <si>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</si>
  <si>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</si>
  <si>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</si>
  <si>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</si>
  <si>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</si>
  <si>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</si>
  <si>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</si>
  <si>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</si>
  <si>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36</t>
  </si>
  <si>
    <t>Sarah Whitehead</t>
  </si>
  <si>
    <t>Wing</t>
  </si>
  <si>
    <t>Emma Walton</t>
  </si>
  <si>
    <t>Evans</t>
  </si>
  <si>
    <t>Frances</t>
  </si>
  <si>
    <t>Collin</t>
  </si>
  <si>
    <t>Rosa</t>
  </si>
  <si>
    <t>Templeman</t>
  </si>
  <si>
    <t>Glamorganshire, Wales</t>
  </si>
  <si>
    <t>Percy Lambe</t>
  </si>
  <si>
    <t>Huskinson</t>
  </si>
  <si>
    <t>Epperstone, Nottinghamshire, England</t>
  </si>
  <si>
    <t>Automobile</t>
  </si>
  <si>
    <t>Muriel Katherine</t>
  </si>
  <si>
    <t>Augustine St George</t>
  </si>
  <si>
    <t>Randall</t>
  </si>
  <si>
    <t>Civil Servant Valuers Inland Revenue</t>
  </si>
  <si>
    <t>Inland Revenue</t>
  </si>
  <si>
    <t>Martha</t>
  </si>
  <si>
    <t>Ball</t>
  </si>
  <si>
    <t>Louisa</t>
  </si>
  <si>
    <t>Kersey</t>
  </si>
  <si>
    <t>Cheltenham, Gloucestershire, England</t>
  </si>
  <si>
    <t>Rhoda</t>
  </si>
  <si>
    <t>Roberts</t>
  </si>
  <si>
    <t>Barkestone, Leicestershire, England</t>
  </si>
  <si>
    <t>William Ernest</t>
  </si>
  <si>
    <t>Griffiths</t>
  </si>
  <si>
    <t>Tobacco Worker</t>
  </si>
  <si>
    <t>Imperial Tobacco Coy Of Great Britton, Ireland</t>
  </si>
  <si>
    <t>Elizabeth Ann</t>
  </si>
  <si>
    <t>Burton on Trent, Staffordshire, England</t>
  </si>
  <si>
    <t>Merriman</t>
  </si>
  <si>
    <t>Annie Edith</t>
  </si>
  <si>
    <t>Humphreys</t>
  </si>
  <si>
    <t>Montgomeryshire, Wales</t>
  </si>
  <si>
    <t>Head Teacher Of Unelementary School</t>
  </si>
  <si>
    <t>Ilkeston Education Authority</t>
  </si>
  <si>
    <t>Harry Judah</t>
  </si>
  <si>
    <t>Wlinkley</t>
  </si>
  <si>
    <t>Lace Curtain &amp; Plain Net Manufacturer &amp; Exporter</t>
  </si>
  <si>
    <t>Harry</t>
  </si>
  <si>
    <t>Finn</t>
  </si>
  <si>
    <t>Evelyn Marian</t>
  </si>
  <si>
    <t>Pell</t>
  </si>
  <si>
    <t>Webster</t>
  </si>
  <si>
    <t>Nuncargate, Nottinghamshire, England</t>
  </si>
  <si>
    <t>James Moses</t>
  </si>
  <si>
    <t>Goodman</t>
  </si>
  <si>
    <t>Business Manager &amp; Manufacturer Ladies Toilet Goods</t>
  </si>
  <si>
    <t>Lillian Frances</t>
  </si>
  <si>
    <t>Barry, Glamorganshire, Wales</t>
  </si>
  <si>
    <t>Ladies Hair Specialist</t>
  </si>
  <si>
    <t>NR1</t>
  </si>
  <si>
    <t>North Road</t>
  </si>
  <si>
    <t>NR2</t>
  </si>
  <si>
    <t>NR3</t>
  </si>
  <si>
    <t>NR4</t>
  </si>
  <si>
    <t>NR5</t>
  </si>
  <si>
    <t>NR6</t>
  </si>
  <si>
    <t>Western Terrace</t>
  </si>
  <si>
    <t>Horace Dickinson</t>
  </si>
  <si>
    <t>Bridght</t>
  </si>
  <si>
    <t>Alfred Stanley</t>
  </si>
  <si>
    <t>Beatrice Eveline</t>
  </si>
  <si>
    <t>Mary Ellen</t>
  </si>
  <si>
    <t>Black</t>
  </si>
  <si>
    <t>Charlotte</t>
  </si>
  <si>
    <t>Carvell</t>
  </si>
  <si>
    <t>Alice</t>
  </si>
  <si>
    <t>Selston, Nottinghamshire, England</t>
  </si>
  <si>
    <t>Ann Hancock</t>
  </si>
  <si>
    <t>Brigham</t>
  </si>
  <si>
    <t>Kitchen Maid</t>
  </si>
  <si>
    <t>Pruceking</t>
  </si>
  <si>
    <t>Arthur Herbert</t>
  </si>
  <si>
    <t>Lecturer And Demonstrator In Physics</t>
  </si>
  <si>
    <t>The Council Of Univercity College Nottingham</t>
  </si>
  <si>
    <t>Zilla Annie</t>
  </si>
  <si>
    <t>Frank Handley</t>
  </si>
  <si>
    <t>Traveller</t>
  </si>
  <si>
    <t>Wholesale Wine &amp; Spirint, Robt James Fen &amp; Co, London</t>
  </si>
  <si>
    <t>Alissimon</t>
  </si>
  <si>
    <t>Newark, Nottinghamshire, England</t>
  </si>
  <si>
    <t>Gertrude Mary Elizabeth</t>
  </si>
  <si>
    <t>Dainty</t>
  </si>
  <si>
    <t>Niece</t>
  </si>
  <si>
    <t>Lewis Edward</t>
  </si>
  <si>
    <t>Powell</t>
  </si>
  <si>
    <t>Isle of Wight, England</t>
  </si>
  <si>
    <t>Hosiery Manufacturer</t>
  </si>
  <si>
    <t>J B Lewis &amp; Son Ltd</t>
  </si>
  <si>
    <t>Amy Gertrude</t>
  </si>
  <si>
    <t>Keane</t>
  </si>
  <si>
    <t>Frederick James</t>
  </si>
  <si>
    <t>Bradley</t>
  </si>
  <si>
    <t>Leather Manufactr</t>
  </si>
  <si>
    <t>Gladys Margaret</t>
  </si>
  <si>
    <t>Beeston, Nottinghamshire, England</t>
  </si>
  <si>
    <t>Leather Manufact</t>
  </si>
  <si>
    <t>Malyon</t>
  </si>
  <si>
    <t>Royston, Hertfordshire, England</t>
  </si>
  <si>
    <t>Hettie</t>
  </si>
  <si>
    <t>Joyce</t>
  </si>
  <si>
    <t>Warwickshire, England</t>
  </si>
  <si>
    <t>Tune</t>
  </si>
  <si>
    <t>Thorganby, Lincolnshire, England</t>
  </si>
  <si>
    <t>Mara Heygate</t>
  </si>
  <si>
    <t>Goddard</t>
  </si>
  <si>
    <t>Factory Manager</t>
  </si>
  <si>
    <t>The Imperial Tobacco Co Of Gt British Indepent, Tobacco Manufacturers</t>
  </si>
  <si>
    <t>Eleanor Annie</t>
  </si>
  <si>
    <t>Edie Annie</t>
  </si>
  <si>
    <t>Shipley</t>
  </si>
  <si>
    <t>Eastwood, Nottinghamshire, England</t>
  </si>
  <si>
    <t>Raddard</t>
  </si>
  <si>
    <t>Charles Henry</t>
  </si>
  <si>
    <t>Clarke</t>
  </si>
  <si>
    <t>Lace Manufacturer Retired</t>
  </si>
  <si>
    <t>Ellen Maria</t>
  </si>
  <si>
    <t>Sneinton, Nottinghamshire, England</t>
  </si>
  <si>
    <t>Ruth</t>
  </si>
  <si>
    <t>Wilkinson</t>
  </si>
  <si>
    <t>Frank</t>
  </si>
  <si>
    <t>Biller</t>
  </si>
  <si>
    <t>Caretaker Of School House</t>
  </si>
  <si>
    <t>Miss Churley Principal School</t>
  </si>
  <si>
    <t>Cotton</t>
  </si>
  <si>
    <t>Blackwell, Derbyshire, England</t>
  </si>
  <si>
    <t>Between Mai</t>
  </si>
  <si>
    <t>A Marion</t>
  </si>
  <si>
    <t>Churley</t>
  </si>
  <si>
    <t>Principal Of Schoo</t>
  </si>
  <si>
    <t>Margaret</t>
  </si>
  <si>
    <t>Hensley</t>
  </si>
  <si>
    <t>Assistant, visitor</t>
  </si>
  <si>
    <t>Hertfordshire, England</t>
  </si>
  <si>
    <t>Modern Lang Mistress</t>
  </si>
  <si>
    <t>Miss A M Churley Principal Of School</t>
  </si>
  <si>
    <t>1&amp;2</t>
  </si>
  <si>
    <t>Leonard Augustus</t>
  </si>
  <si>
    <t>Prime-Stevenson</t>
  </si>
  <si>
    <t>Jenkins Raymond</t>
  </si>
  <si>
    <t>London, London, England</t>
  </si>
  <si>
    <t>Wilfred Leonard Oscar</t>
  </si>
  <si>
    <t>Beatrice Agnes</t>
  </si>
  <si>
    <t>Dietrichsen</t>
  </si>
  <si>
    <t>Widow</t>
  </si>
  <si>
    <t>Dublin, Ireland</t>
  </si>
  <si>
    <t>Christian</t>
  </si>
  <si>
    <t>Beatrice Sibley</t>
  </si>
  <si>
    <t>Rebecca Brown</t>
  </si>
  <si>
    <t>Mitchell</t>
  </si>
  <si>
    <t>Avoca, Wicklow, Ireland</t>
  </si>
  <si>
    <t>Sarah Douglas</t>
  </si>
  <si>
    <t>Lvison</t>
  </si>
  <si>
    <t>Cumberland, England</t>
  </si>
  <si>
    <t>Lorraman</t>
  </si>
  <si>
    <t>Rochester, Kent, England</t>
  </si>
  <si>
    <t>Rowe</t>
  </si>
  <si>
    <t>Carisbrooke</t>
  </si>
  <si>
    <t>See two no. 19 in census Mr Mather signed return</t>
  </si>
  <si>
    <t>WT1</t>
  </si>
  <si>
    <t>WT2</t>
  </si>
  <si>
    <t>WT3</t>
  </si>
  <si>
    <t>WT4</t>
  </si>
  <si>
    <t>count house</t>
  </si>
  <si>
    <t>number in house</t>
  </si>
  <si>
    <t>house NO.</t>
  </si>
  <si>
    <t>house name</t>
  </si>
  <si>
    <t>first name</t>
  </si>
  <si>
    <t>notes</t>
  </si>
  <si>
    <t>year</t>
  </si>
  <si>
    <t>1921</t>
  </si>
  <si>
    <t>number Houses</t>
  </si>
  <si>
    <t>family names same</t>
  </si>
  <si>
    <t>John H</t>
  </si>
  <si>
    <t>Director Of Limited Co</t>
  </si>
  <si>
    <t>Employer Pawnbroker</t>
  </si>
  <si>
    <t>Charlotte B</t>
  </si>
  <si>
    <t>Phyllis A</t>
  </si>
  <si>
    <t>Ellen Winifred</t>
  </si>
  <si>
    <t>Wilson</t>
  </si>
  <si>
    <t>8a</t>
  </si>
  <si>
    <t>Winifred</t>
  </si>
  <si>
    <t>Onion</t>
  </si>
  <si>
    <t>Insurance Agent</t>
  </si>
  <si>
    <t>London &amp; Manchester Assurance Company</t>
  </si>
  <si>
    <t>Gertrude M</t>
  </si>
  <si>
    <t>Hendery</t>
  </si>
  <si>
    <t>Peal Asurance Company</t>
  </si>
  <si>
    <t>Arthur William</t>
  </si>
  <si>
    <t>Cabinet Maker</t>
  </si>
  <si>
    <t>J M Lims House Furnisher</t>
  </si>
  <si>
    <t>Edith Annie</t>
  </si>
  <si>
    <t>Hind</t>
  </si>
  <si>
    <t>Census date</t>
  </si>
  <si>
    <t>Age in months</t>
  </si>
  <si>
    <t>Age as transcribed</t>
  </si>
  <si>
    <t>42 y 6 m</t>
  </si>
  <si>
    <t>Marital status</t>
  </si>
  <si>
    <t>Single</t>
  </si>
  <si>
    <t>Birth town</t>
  </si>
  <si>
    <t>Nottingham</t>
  </si>
  <si>
    <t>Birth county</t>
  </si>
  <si>
    <t>Birth country</t>
  </si>
  <si>
    <t>England</t>
  </si>
  <si>
    <t>Birth place as transcribed</t>
  </si>
  <si>
    <t>Nottinghamshire, Nottingham</t>
  </si>
  <si>
    <t>Hosiery Worker Maker Up</t>
  </si>
  <si>
    <t>Occupation code</t>
  </si>
  <si>
    <t>Occupation code with suffix</t>
  </si>
  <si>
    <t>419/6</t>
  </si>
  <si>
    <t>Messrs J &amp; R Molry Hosiery Manufacturer</t>
  </si>
  <si>
    <t>Employer code</t>
  </si>
  <si>
    <t>Place of work</t>
  </si>
  <si>
    <t>Handel Street, Sninton, Nottingham</t>
  </si>
  <si>
    <t>Number of minor dependants</t>
  </si>
  <si>
    <t>Language used to complete form</t>
  </si>
  <si>
    <t>English</t>
  </si>
  <si>
    <t>Person making return</t>
  </si>
  <si>
    <t>Miss Edith A Hind</t>
  </si>
  <si>
    <t>House number</t>
  </si>
  <si>
    <t>Street</t>
  </si>
  <si>
    <t>3 Barrack Lane</t>
  </si>
  <si>
    <t>Full address as transcribed</t>
  </si>
  <si>
    <t>3 Barrock Janer, Nottingham</t>
  </si>
  <si>
    <t>Parish</t>
  </si>
  <si>
    <t>Registration district</t>
  </si>
  <si>
    <t>Registration district number</t>
  </si>
  <si>
    <t>Sub-district</t>
  </si>
  <si>
    <t>Nottingham South West</t>
  </si>
  <si>
    <t>Sub-district number</t>
  </si>
  <si>
    <t>Enumeration district number</t>
  </si>
  <si>
    <t>County</t>
  </si>
  <si>
    <t>Country</t>
  </si>
  <si>
    <t>Ward of borough or urban district</t>
  </si>
  <si>
    <t>Castle</t>
  </si>
  <si>
    <t>Parliamentary borough or division</t>
  </si>
  <si>
    <t>Nottingham PB, South Div.</t>
  </si>
  <si>
    <t>Archive</t>
  </si>
  <si>
    <t>The National Archives</t>
  </si>
  <si>
    <t>Archive series</t>
  </si>
  <si>
    <t>RG 15</t>
  </si>
  <si>
    <t>Piece number</t>
  </si>
  <si>
    <t>Schedule number</t>
  </si>
  <si>
    <t>District reference</t>
  </si>
  <si>
    <t>RD 430 RS 1 ED 15</t>
  </si>
  <si>
    <t>Schedule type code</t>
  </si>
  <si>
    <t>E</t>
  </si>
  <si>
    <t>Schedule type</t>
  </si>
  <si>
    <t>England household, single page, 10 entries</t>
  </si>
  <si>
    <t>Other household member's first name(s)</t>
  </si>
  <si>
    <t>Other household member's last name</t>
  </si>
  <si>
    <t>Record set</t>
  </si>
  <si>
    <t>1921 Census Of England &amp; Wales</t>
  </si>
  <si>
    <t>Category</t>
  </si>
  <si>
    <t>Census, land &amp; surveys</t>
  </si>
  <si>
    <t>Subcategory</t>
  </si>
  <si>
    <t>Census</t>
  </si>
  <si>
    <t>Collections from</t>
  </si>
  <si>
    <t>Great Britain, England</t>
  </si>
  <si>
    <t>Gordon</t>
  </si>
  <si>
    <t>No Occupation</t>
  </si>
  <si>
    <t>Caroline</t>
  </si>
  <si>
    <t>Stephenson</t>
  </si>
  <si>
    <t>Radford, Nottinghamshire, England</t>
  </si>
  <si>
    <t>William Thomas</t>
  </si>
  <si>
    <t>Harris</t>
  </si>
  <si>
    <t>Building Surveyor</t>
  </si>
  <si>
    <t>Gertrude</t>
  </si>
  <si>
    <t>Clayton</t>
  </si>
  <si>
    <t>Clowne, Derbyshire, England</t>
  </si>
  <si>
    <t>General Domestic</t>
  </si>
  <si>
    <t>Shephard</t>
  </si>
  <si>
    <t>Mother</t>
  </si>
  <si>
    <t>Sidney</t>
  </si>
  <si>
    <t>Maker Up Of Childrens Wearing Appearl In Cotton &amp; Silk</t>
  </si>
  <si>
    <t>S Walker &amp; Co</t>
  </si>
  <si>
    <t>Chapman</t>
  </si>
  <si>
    <t>Thrumpton, Nottinghamshire, England</t>
  </si>
  <si>
    <t>Brown</t>
  </si>
  <si>
    <t>Clerk Room Attendant</t>
  </si>
  <si>
    <t>Imperial Black &amp; Co, Out Of Work</t>
  </si>
  <si>
    <t>Cyril</t>
  </si>
  <si>
    <t>2 houses are number 10</t>
  </si>
  <si>
    <t>Harry Laurine</t>
  </si>
  <si>
    <t>Berkin</t>
  </si>
  <si>
    <t>Lace Manufacturer</t>
  </si>
  <si>
    <t>Olive Isabel</t>
  </si>
  <si>
    <t>Wollaton, Nottinghamshire, England</t>
  </si>
  <si>
    <t>Wightman</t>
  </si>
  <si>
    <t>Gladys Mabel</t>
  </si>
  <si>
    <t>Dean</t>
  </si>
  <si>
    <t>Stamford, Lincolnshire, England</t>
  </si>
  <si>
    <t>Bullen</t>
  </si>
  <si>
    <t>Not Known</t>
  </si>
  <si>
    <t>Hall</t>
  </si>
  <si>
    <t>Whitwick, Leicestershire, England</t>
  </si>
  <si>
    <t>Nurse Domestic</t>
  </si>
  <si>
    <t>Maria</t>
  </si>
  <si>
    <t>Hadnutt</t>
  </si>
  <si>
    <t>Ellen</t>
  </si>
  <si>
    <t>Sweeting</t>
  </si>
  <si>
    <t>Edward</t>
  </si>
  <si>
    <t>Palmer</t>
  </si>
  <si>
    <t>Clackmannanshire, Scotland</t>
  </si>
  <si>
    <t>Gardener</t>
  </si>
  <si>
    <t>Williamthorpe, Derbyshire, England</t>
  </si>
  <si>
    <t>Alfred Charles</t>
  </si>
  <si>
    <t>Radford</t>
  </si>
  <si>
    <t>Lace &amp; Embroidery Manufr Machine Help</t>
  </si>
  <si>
    <t>Doris Mary</t>
  </si>
  <si>
    <t>Ashmore</t>
  </si>
  <si>
    <t>Sick nurse</t>
  </si>
  <si>
    <t>Trained Nurse</t>
  </si>
  <si>
    <t>Godeleive</t>
  </si>
  <si>
    <t>Legaste</t>
  </si>
  <si>
    <t>Bruges, Belgium</t>
  </si>
  <si>
    <t>Margaret Mina</t>
  </si>
  <si>
    <t>Scutt</t>
  </si>
  <si>
    <t>Arundel, Sussex, England</t>
  </si>
  <si>
    <t>Jesse William</t>
  </si>
  <si>
    <t>Lilian Frances</t>
  </si>
  <si>
    <t>Constance</t>
  </si>
  <si>
    <t>Ramsden</t>
  </si>
  <si>
    <t>Manningham, Yorkshire, England</t>
  </si>
  <si>
    <t>Clarice</t>
  </si>
  <si>
    <t>Selby</t>
  </si>
  <si>
    <t>Mary Matilda</t>
  </si>
  <si>
    <t>Sugars</t>
  </si>
  <si>
    <t>Roxton, Bedfordshire, England</t>
  </si>
  <si>
    <t>Marrows</t>
  </si>
  <si>
    <t>South Collingham, Nottinghamshire, England</t>
  </si>
  <si>
    <t>Baldry</t>
  </si>
  <si>
    <t>Edgar Lyon</t>
  </si>
  <si>
    <t>Paget</t>
  </si>
  <si>
    <t>Loughborough, Leicestershire, England</t>
  </si>
  <si>
    <t>Credor Of Manager W Hollens Co Ltd Spinner And Manufacture</t>
  </si>
  <si>
    <t>W Hollins C Ld Spinner Manufacture</t>
  </si>
  <si>
    <t>Mary Warne</t>
  </si>
  <si>
    <t>St Helier, Jersey, Channel Islands</t>
  </si>
  <si>
    <t>Violet L E</t>
  </si>
  <si>
    <t>Rossignot</t>
  </si>
  <si>
    <t>Sister-in-law</t>
  </si>
  <si>
    <t>Boots Past Chemists</t>
  </si>
  <si>
    <t>Wilfred Le</t>
  </si>
  <si>
    <t>Nephew</t>
  </si>
  <si>
    <t>Paddington, London, England</t>
  </si>
  <si>
    <t>Ethel Mary Winifred</t>
  </si>
  <si>
    <t>Horne</t>
  </si>
  <si>
    <t>Gosport, Hampshire, England</t>
  </si>
  <si>
    <t>H Mr Paget</t>
  </si>
  <si>
    <t>Holmes</t>
  </si>
  <si>
    <t>Boston, Lincolnshire, England</t>
  </si>
  <si>
    <t>Parlormaid</t>
  </si>
  <si>
    <t>Mr Paper</t>
  </si>
  <si>
    <t>Ida</t>
  </si>
  <si>
    <t>Dronfield, Derbyshire, England</t>
  </si>
  <si>
    <t>In Paget</t>
  </si>
  <si>
    <t>Dorothy Violet</t>
  </si>
  <si>
    <t>Annie Selina</t>
  </si>
  <si>
    <t>Singer</t>
  </si>
  <si>
    <t>Doris</t>
  </si>
  <si>
    <t>Hunt</t>
  </si>
  <si>
    <t>Douglas</t>
  </si>
  <si>
    <t>McCraith</t>
  </si>
  <si>
    <t>Phyllis Marguerite</t>
  </si>
  <si>
    <t>New York, New York, United States</t>
  </si>
  <si>
    <t>Leonie</t>
  </si>
  <si>
    <t>Borbet</t>
  </si>
  <si>
    <t>Courset, France</t>
  </si>
  <si>
    <t>Ellis</t>
  </si>
  <si>
    <t>Edward Wynne</t>
  </si>
  <si>
    <t>Official Receiver In Banknup ?y</t>
  </si>
  <si>
    <t>Board Of Trade</t>
  </si>
  <si>
    <t>Ashby</t>
  </si>
  <si>
    <t>Herbert</t>
  </si>
  <si>
    <t>Plain Net Manufacturer</t>
  </si>
  <si>
    <t>Lily Maude</t>
  </si>
  <si>
    <t>Burton Joyce, Nottinghamshire, England</t>
  </si>
  <si>
    <t>Lily Marjory</t>
  </si>
  <si>
    <t>Phyllis</t>
  </si>
  <si>
    <t>Wilford, Nottinghamshire, England</t>
  </si>
  <si>
    <t>Emily Mabel</t>
  </si>
  <si>
    <t>Shelton</t>
  </si>
  <si>
    <t>Thomas</t>
  </si>
  <si>
    <t>Pembrokeshire, Wales</t>
  </si>
  <si>
    <t>Civil Service Assistant Superintending Engineers Post Office Engineering Dept</t>
  </si>
  <si>
    <t>Post Office</t>
  </si>
  <si>
    <t>Carmarthenshire, Wales</t>
  </si>
  <si>
    <t>Jennie</t>
  </si>
  <si>
    <t>Starr</t>
  </si>
  <si>
    <t>Walter</t>
  </si>
  <si>
    <t>Sampson</t>
  </si>
  <si>
    <t>Albert E</t>
  </si>
  <si>
    <t>Lace Merchant</t>
  </si>
  <si>
    <t>Directer At Phiplss &amp; Coy</t>
  </si>
  <si>
    <t>Ellie E</t>
  </si>
  <si>
    <t>Mary E</t>
  </si>
  <si>
    <t>Henniker</t>
  </si>
  <si>
    <t>Bath, Somerset, England</t>
  </si>
  <si>
    <t>Sick Nurse</t>
  </si>
  <si>
    <t>Martha A</t>
  </si>
  <si>
    <t>Pindge</t>
  </si>
  <si>
    <t>Mile End, Essex, England</t>
  </si>
  <si>
    <t>Lander</t>
  </si>
  <si>
    <t>Meadow</t>
  </si>
  <si>
    <t>Long Sutton, Lincolnshire, England</t>
  </si>
  <si>
    <t>Flora</t>
  </si>
  <si>
    <t>Howard L</t>
  </si>
  <si>
    <t>Grandson</t>
  </si>
  <si>
    <t>Crewe, Cheshire, England</t>
  </si>
  <si>
    <t>Irene A</t>
  </si>
  <si>
    <t>Hudson</t>
  </si>
  <si>
    <t>New Basford, Nottinghamshire, England</t>
  </si>
  <si>
    <t>#Households</t>
  </si>
  <si>
    <t>Ezekiel Charles</t>
  </si>
  <si>
    <t>Sharper</t>
  </si>
  <si>
    <t>Zbarazh, Ukraine</t>
  </si>
  <si>
    <t>Sight Testing Optician</t>
  </si>
  <si>
    <t>Blackburn, Lancashire, England</t>
  </si>
  <si>
    <t>Leo</t>
  </si>
  <si>
    <t>Bolton, Lancashire, England</t>
  </si>
  <si>
    <t>Isadora</t>
  </si>
  <si>
    <t>Ruby</t>
  </si>
  <si>
    <t>Sheila</t>
  </si>
  <si>
    <t>Lane</t>
  </si>
  <si>
    <t>Suces</t>
  </si>
  <si>
    <t>Shirebrook, Derbyshire, England</t>
  </si>
  <si>
    <t>Bastenological Assistant</t>
  </si>
  <si>
    <t>Nottingham Corporation Heald Department</t>
  </si>
  <si>
    <t>Emily Maria</t>
  </si>
  <si>
    <t>East Bridgford, Nottinghamshire, England</t>
  </si>
  <si>
    <t>Ivy Evelyn</t>
  </si>
  <si>
    <t>Smurthwaite</t>
  </si>
  <si>
    <t>Tvanbe Lodge Peverel Vue The Paul</t>
  </si>
  <si>
    <t>Robertson</t>
  </si>
  <si>
    <t>Dublin, Dublin, Ireland</t>
  </si>
  <si>
    <t>Huntley</t>
  </si>
  <si>
    <t>Highbury, London, England</t>
  </si>
  <si>
    <t>Lifting Machinery Engineering</t>
  </si>
  <si>
    <t>Managing Director Limited Co</t>
  </si>
  <si>
    <t>Florance Mary</t>
  </si>
  <si>
    <t>Barton</t>
  </si>
  <si>
    <t>Fulham, Middlesex, England</t>
  </si>
  <si>
    <t>Mary Emma</t>
  </si>
  <si>
    <t>Tebbitt</t>
  </si>
  <si>
    <t>Buckinghamshire, England</t>
  </si>
  <si>
    <t>Henson</t>
  </si>
  <si>
    <t>Edward Mary Charles</t>
  </si>
  <si>
    <t>Maryan</t>
  </si>
  <si>
    <t>Brixton, London, England</t>
  </si>
  <si>
    <t>Clerk In Holy Orders</t>
  </si>
  <si>
    <t>Ada</t>
  </si>
  <si>
    <t>Not Occupied For A Living</t>
  </si>
  <si>
    <t>Florance Agnes</t>
  </si>
  <si>
    <t>Tupton, Derbyshire, England</t>
  </si>
  <si>
    <t>Cook Housekeeper</t>
  </si>
  <si>
    <t>Marton</t>
  </si>
  <si>
    <t>Annie Agnes</t>
  </si>
  <si>
    <t>O'Brien</t>
  </si>
  <si>
    <t>Cook General</t>
  </si>
  <si>
    <t>Johanna</t>
  </si>
  <si>
    <t>Goodcliffe</t>
  </si>
  <si>
    <t>Henrietta</t>
  </si>
  <si>
    <t>Sharme</t>
  </si>
  <si>
    <t>Marston Montgomery, Derbyshire, England</t>
  </si>
  <si>
    <t>Cook, House Keeper</t>
  </si>
  <si>
    <t>Johnson</t>
  </si>
  <si>
    <t>Toy Manufacturer</t>
  </si>
  <si>
    <t>Employer Parhiner Yates &amp; Co</t>
  </si>
  <si>
    <t>Ellen Angeline</t>
  </si>
  <si>
    <t>Gates &amp; Co</t>
  </si>
  <si>
    <t>Francis Dora</t>
  </si>
  <si>
    <t>Teacher Of Domestic Subjects</t>
  </si>
  <si>
    <t>Nottingham Education Committee</t>
  </si>
  <si>
    <t>Edwin Arthur</t>
  </si>
  <si>
    <t>Polley</t>
  </si>
  <si>
    <t>Acton, Middlesex, England</t>
  </si>
  <si>
    <t>London Central Cold Storage Coy Ltd</t>
  </si>
  <si>
    <t>Emily May</t>
  </si>
  <si>
    <t>Jackson</t>
  </si>
  <si>
    <t>Christopher</t>
  </si>
  <si>
    <t>Great Sturton, Lincolnshire, England</t>
  </si>
  <si>
    <t>Tailor &amp; Clotheir</t>
  </si>
  <si>
    <t>Dixon &amp; Parker Ltd Tailor &amp; Cloteir</t>
  </si>
  <si>
    <t>Sudbury, Suffolk, England</t>
  </si>
  <si>
    <t>Roland Godfrey</t>
  </si>
  <si>
    <t>Tailor Manager</t>
  </si>
  <si>
    <t>Fred Charles Tailor</t>
  </si>
  <si>
    <t>Laura Emilie</t>
  </si>
  <si>
    <t>Wimbledon, London, England</t>
  </si>
  <si>
    <t>Mills</t>
  </si>
  <si>
    <t>Trained Certificated Teacher</t>
  </si>
  <si>
    <t>Assistant Teacher</t>
  </si>
  <si>
    <t>Care</t>
  </si>
  <si>
    <t>Penzance, Cornwall, England</t>
  </si>
  <si>
    <t>Book Keeper &amp; Typist</t>
  </si>
  <si>
    <t>Jacques Bros Ltd Wholesale Clotheiers</t>
  </si>
  <si>
    <t>Richard Walter</t>
  </si>
  <si>
    <t>Cox</t>
  </si>
  <si>
    <t>Representative</t>
  </si>
  <si>
    <t>Best Allcroft &amp; Co Ltd Glogve Manufacturers</t>
  </si>
  <si>
    <t>Lucy Annie</t>
  </si>
  <si>
    <t>Durham, Durham, England</t>
  </si>
  <si>
    <t>Robert Stuart Watson</t>
  </si>
  <si>
    <t>Assisting Electrical Engineer</t>
  </si>
  <si>
    <t>Nottingham Corporation</t>
  </si>
  <si>
    <t>Jemima</t>
  </si>
  <si>
    <t>Jenkins</t>
  </si>
  <si>
    <t>R W Cox 5 Peoviol Dise Nham</t>
  </si>
  <si>
    <t>Kathleen Mary</t>
  </si>
  <si>
    <t>Short</t>
  </si>
  <si>
    <t>Hannah Stauger</t>
  </si>
  <si>
    <t>Lloyd</t>
  </si>
  <si>
    <t>Greenfield</t>
  </si>
  <si>
    <t>2a</t>
  </si>
  <si>
    <t>#house</t>
  </si>
  <si>
    <t>Ivanhoe</t>
  </si>
  <si>
    <t>Lenton Avenue</t>
  </si>
  <si>
    <t>Frederick Lionel</t>
  </si>
  <si>
    <t>Snook</t>
  </si>
  <si>
    <t>Director James Snook Coy Ltd Textile Warehouse Man Wholesale</t>
  </si>
  <si>
    <t>Marjorie Ella</t>
  </si>
  <si>
    <t>Cleethorpes, Lincolnshire, England</t>
  </si>
  <si>
    <t>Joyce Marjorie</t>
  </si>
  <si>
    <t>Peacock</t>
  </si>
  <si>
    <t>Shelborne</t>
  </si>
  <si>
    <t>Denton, Lincolnshire, England</t>
  </si>
  <si>
    <t>Ethel Constance</t>
  </si>
  <si>
    <t>Thompson</t>
  </si>
  <si>
    <t>Thomas Stephenson</t>
  </si>
  <si>
    <t>Ashley</t>
  </si>
  <si>
    <t>Goulceby, Lincolnshire, England</t>
  </si>
  <si>
    <t>Chauffer</t>
  </si>
  <si>
    <t>H F Lancashire Esq Hosiery Manufacturer</t>
  </si>
  <si>
    <t>Edith Priscilla</t>
  </si>
  <si>
    <t>At Home</t>
  </si>
  <si>
    <t>Harmston, Lincolnshire, England</t>
  </si>
  <si>
    <t>Shoe Shop Assistant</t>
  </si>
  <si>
    <t>Cash &amp; Co Boot Manufacturers</t>
  </si>
  <si>
    <t>Arthur Whitby</t>
  </si>
  <si>
    <t>Grocer, Wholesale</t>
  </si>
  <si>
    <t>Edith Lilian</t>
  </si>
  <si>
    <t>Burnley, Lancashire, England</t>
  </si>
  <si>
    <t>Arthur Edward</t>
  </si>
  <si>
    <t>Chappell</t>
  </si>
  <si>
    <t>Chelsea, London, England</t>
  </si>
  <si>
    <t>Chauffeur (Private)</t>
  </si>
  <si>
    <t>Private, James Forman Esqre</t>
  </si>
  <si>
    <t>Jessie</t>
  </si>
  <si>
    <t>Moray, Scotland</t>
  </si>
  <si>
    <t>Vera Jeanetta Gertrude</t>
  </si>
  <si>
    <t>Little Bookham, Surrey, England</t>
  </si>
  <si>
    <t>George Sherbrooke</t>
  </si>
  <si>
    <t>Turpin</t>
  </si>
  <si>
    <t>Headmaster Of Nottm High School</t>
  </si>
  <si>
    <t>Governess Of Nottingham, High School</t>
  </si>
  <si>
    <t>Amy Ellen</t>
  </si>
  <si>
    <t>Sarah Anne</t>
  </si>
  <si>
    <t>Shooter</t>
  </si>
  <si>
    <t>Annesley, Nottinghamshire, England</t>
  </si>
  <si>
    <t>Gt Turpin, 5 Lenton Avenue, Notts</t>
  </si>
  <si>
    <t>Kirkby, Nottinghamshire, England</t>
  </si>
  <si>
    <t>Ernest</t>
  </si>
  <si>
    <t>Glover</t>
  </si>
  <si>
    <t>Great Gidding, Cambridgeshire, England</t>
  </si>
  <si>
    <t>Private Chauffeur</t>
  </si>
  <si>
    <t>Sir James, Mccraith, Solicitor</t>
  </si>
  <si>
    <t>Hampshire, England</t>
  </si>
  <si>
    <t>George William</t>
  </si>
  <si>
    <t>David</t>
  </si>
  <si>
    <t>Brother</t>
  </si>
  <si>
    <t>Sutton, Northamptonshire, England</t>
  </si>
  <si>
    <t>Railway S N W Parcel Dept</t>
  </si>
  <si>
    <t>Albert William</t>
  </si>
  <si>
    <t>Skelton</t>
  </si>
  <si>
    <t>Estate Agent &amp; Viewer</t>
  </si>
  <si>
    <t>Rolfe</t>
  </si>
  <si>
    <t>Seymour</t>
  </si>
  <si>
    <t>Holbeach, Lincolnshire, England</t>
  </si>
  <si>
    <t>Ralph Samuel</t>
  </si>
  <si>
    <t>Coy</t>
  </si>
  <si>
    <t>J G Dolson Peverb House Then Park, Nottingham</t>
  </si>
  <si>
    <t>Eva</t>
  </si>
  <si>
    <t>Alice Ethel Catherine</t>
  </si>
  <si>
    <t>Stannard</t>
  </si>
  <si>
    <t>Norbury, Derbyshire, England</t>
  </si>
  <si>
    <t>Credit Manageress</t>
  </si>
  <si>
    <t>G Hawkin 7 &amp; 9 Carlton St, Nottingham</t>
  </si>
  <si>
    <t>Leonard Stanley</t>
  </si>
  <si>
    <t>Pentecost</t>
  </si>
  <si>
    <t>Manager Lace Blenchley Dyering &amp; Finisbury Works</t>
  </si>
  <si>
    <t>Cindley Lindley Bleqachers Dyers &amp; Lace Dresser</t>
  </si>
  <si>
    <t>Gladys</t>
  </si>
  <si>
    <t>Alan James</t>
  </si>
  <si>
    <t>Joseph</t>
  </si>
  <si>
    <t>Lazonby</t>
  </si>
  <si>
    <t>Father-in-law</t>
  </si>
  <si>
    <t>Wigton, Cumberland, England</t>
  </si>
  <si>
    <t>Secretary To Limited Company Director Of Limited Company</t>
  </si>
  <si>
    <t>Raleigh Cycle Limited Secreatary Archer Gears Limited</t>
  </si>
  <si>
    <t>Mother-in-law</t>
  </si>
  <si>
    <t>Letitia</t>
  </si>
  <si>
    <t>Fletcher</t>
  </si>
  <si>
    <t>Companion</t>
  </si>
  <si>
    <t>Dancer</t>
  </si>
  <si>
    <t>Barnsley, Yorkshire, England</t>
  </si>
  <si>
    <t>Kirk</t>
  </si>
  <si>
    <t>Arnold, Nottinghamshire, England</t>
  </si>
  <si>
    <t>Coachman</t>
  </si>
  <si>
    <t>Mrs Little Wood</t>
  </si>
  <si>
    <t>Plain Net Mendar</t>
  </si>
  <si>
    <t>J E Berrey &amp; Co</t>
  </si>
  <si>
    <t>Rawson</t>
  </si>
  <si>
    <t>Normanton, Nottinghamshire, England</t>
  </si>
  <si>
    <t>Jobbing Gardener</t>
  </si>
  <si>
    <t>Blidworth, Nottinghamshire, England</t>
  </si>
  <si>
    <t>Hanmore</t>
  </si>
  <si>
    <t>Ilkeston, Derbyshire, England</t>
  </si>
  <si>
    <t>Alcock</t>
  </si>
  <si>
    <t>Percival Robert</t>
  </si>
  <si>
    <t>Allen</t>
  </si>
  <si>
    <t>Solicitors Articled Clerk</t>
  </si>
  <si>
    <t>Messrs Warren &amp; Allen Solicitors</t>
  </si>
  <si>
    <t>Christina Margaret</t>
  </si>
  <si>
    <t>Winifred Mary</t>
  </si>
  <si>
    <t>School Mistress</t>
  </si>
  <si>
    <t>Miss Sowels Headmistress</t>
  </si>
  <si>
    <t>Clara May</t>
  </si>
  <si>
    <t>Orange</t>
  </si>
  <si>
    <t>Edna May</t>
  </si>
  <si>
    <t>Sanderson</t>
  </si>
  <si>
    <t>Gath</t>
  </si>
  <si>
    <t>Chartered Accountant In Paractice City Auditor</t>
  </si>
  <si>
    <t>Lily Matilda</t>
  </si>
  <si>
    <t>Walter Dunstan Player</t>
  </si>
  <si>
    <t>Minnie Primrose</t>
  </si>
  <si>
    <t>Payer</t>
  </si>
  <si>
    <t>Clacton on Sea, Essex, England</t>
  </si>
  <si>
    <t>John Robert Smith</t>
  </si>
  <si>
    <t>Bank Manager</t>
  </si>
  <si>
    <t>Nat Prov &amp; Inn Bk Of Eng Ltd</t>
  </si>
  <si>
    <t>Mabel Helen</t>
  </si>
  <si>
    <t>Worcester, Worcestershire, England</t>
  </si>
  <si>
    <t>Joan Aileen</t>
  </si>
  <si>
    <t>Thornton Heath, Surrey, England</t>
  </si>
  <si>
    <t>Geldeford</t>
  </si>
  <si>
    <t>Newhall, Derbyshire, England</t>
  </si>
  <si>
    <t>Nellie Alice</t>
  </si>
  <si>
    <t>Frederick</t>
  </si>
  <si>
    <t>Wadsworth</t>
  </si>
  <si>
    <t>Solicitor Retired</t>
  </si>
  <si>
    <t>Mary Lois</t>
  </si>
  <si>
    <t>Lacey</t>
  </si>
  <si>
    <t>Norton Disney, Lincolnshire, England</t>
  </si>
  <si>
    <t>Webb</t>
  </si>
  <si>
    <t>Sewing Maid</t>
  </si>
  <si>
    <t>Coope</t>
  </si>
  <si>
    <t>Morton, Derbyshire, England</t>
  </si>
  <si>
    <t>no. 23 twice</t>
  </si>
  <si>
    <t>no 23 twice</t>
  </si>
  <si>
    <t>Stephen James</t>
  </si>
  <si>
    <t>Lace Dresser</t>
  </si>
  <si>
    <t>Helena</t>
  </si>
  <si>
    <t>Eric Lancelot Copleston</t>
  </si>
  <si>
    <t>Hicking Pentecor Landresser</t>
  </si>
  <si>
    <t>Alice Winifred</t>
  </si>
  <si>
    <t>Wicks</t>
  </si>
  <si>
    <t>Mary Josephine</t>
  </si>
  <si>
    <t>Hayes</t>
  </si>
  <si>
    <t>Chorley, Lancashire, England</t>
  </si>
  <si>
    <t>Walter Scott</t>
  </si>
  <si>
    <t>Browne</t>
  </si>
  <si>
    <t>Managing Director Lace Curtan Manufacturer</t>
  </si>
  <si>
    <t>Dorothy Jane</t>
  </si>
  <si>
    <t>Dorothy Miriam Dennett</t>
  </si>
  <si>
    <t>Gedling, Nottinghamshire, England</t>
  </si>
  <si>
    <t>Marguerita Scott</t>
  </si>
  <si>
    <t>Vivienne Mary Scott</t>
  </si>
  <si>
    <t>Missing</t>
  </si>
  <si>
    <t>Henry Bell</t>
  </si>
  <si>
    <t>Mary Ann</t>
  </si>
  <si>
    <t>Butterwick, Lincolnshire, England</t>
  </si>
  <si>
    <t>Traveller In Fire Extinginshers</t>
  </si>
  <si>
    <t>Messrs Minning Limited Fire Extingham Manufactures</t>
  </si>
  <si>
    <t>Graves</t>
  </si>
  <si>
    <t>address given as linton Arms</t>
  </si>
  <si>
    <t>is shown as 51 on census</t>
  </si>
  <si>
    <t>could not find through search of names</t>
  </si>
  <si>
    <t>note says 19 on census but found another</t>
  </si>
  <si>
    <t>#occupants</t>
  </si>
  <si>
    <t>William Enfield</t>
  </si>
  <si>
    <t>Dowson</t>
  </si>
  <si>
    <t>Lace &amp; Embroiderer Man Factory</t>
  </si>
  <si>
    <t>Town Councilor Justice Of The Place Etc</t>
  </si>
  <si>
    <t>Lucy</t>
  </si>
  <si>
    <t>Modd</t>
  </si>
  <si>
    <t>Ropsley, Lincolnshire, England</t>
  </si>
  <si>
    <t>Greenway</t>
  </si>
  <si>
    <t>Underwood</t>
  </si>
  <si>
    <t>Leamington, Warwickshire, England</t>
  </si>
  <si>
    <t>Gertrude Ellen</t>
  </si>
  <si>
    <t>Mawby</t>
  </si>
  <si>
    <t>Kate Adeline</t>
  </si>
  <si>
    <t>Homberger</t>
  </si>
  <si>
    <t>Chesman</t>
  </si>
  <si>
    <t>Bransby, Lincolnshire, England</t>
  </si>
  <si>
    <t>Dorothy</t>
  </si>
  <si>
    <t>Bull</t>
  </si>
  <si>
    <t>Basford, Nottinghamshire, England</t>
  </si>
  <si>
    <t>Betts</t>
  </si>
  <si>
    <t>Ladys Maid</t>
  </si>
  <si>
    <t>Netherfield, Nottinghamshire, England</t>
  </si>
  <si>
    <t>Gwendoline Audrey</t>
  </si>
  <si>
    <t>Banton</t>
  </si>
  <si>
    <t>Hucknall, Nottinghamshire, England</t>
  </si>
  <si>
    <t>stowe house not in original list of 1911</t>
  </si>
  <si>
    <t>Clumber rd W</t>
  </si>
  <si>
    <t>Marie Augustine</t>
  </si>
  <si>
    <t>Hesse</t>
  </si>
  <si>
    <t>Brussels, Belgium</t>
  </si>
  <si>
    <t>May Catherine</t>
  </si>
  <si>
    <t>Secretary</t>
  </si>
  <si>
    <t>Sussex, England</t>
  </si>
  <si>
    <t>Elsie Norah</t>
  </si>
  <si>
    <t>Jardine</t>
  </si>
  <si>
    <t>Lace Machine Builder</t>
  </si>
  <si>
    <t>Ada Jane</t>
  </si>
  <si>
    <t>John Granfield</t>
  </si>
  <si>
    <t>O'Connell</t>
  </si>
  <si>
    <t>Napier, New Zealand</t>
  </si>
  <si>
    <t>Managing Director</t>
  </si>
  <si>
    <t>Trent Concrete Ltd, Concrete Products Manfrs</t>
  </si>
  <si>
    <t>John Jardine</t>
  </si>
  <si>
    <t>Evanson</t>
  </si>
  <si>
    <t>Louisa Ellen</t>
  </si>
  <si>
    <t>Brewster</t>
  </si>
  <si>
    <t>Sutton on Sea, Lincolnshire, England</t>
  </si>
  <si>
    <t>Marshall</t>
  </si>
  <si>
    <t>Rush</t>
  </si>
  <si>
    <t>Jenny</t>
  </si>
  <si>
    <t>Topham</t>
  </si>
  <si>
    <t>Kitchenmaid</t>
  </si>
  <si>
    <t>Burten</t>
  </si>
  <si>
    <t>Thorpe, Nottinghamshire, England</t>
  </si>
  <si>
    <t>Nursemaid</t>
  </si>
  <si>
    <t>Frederick Stanley</t>
  </si>
  <si>
    <t>Kipping</t>
  </si>
  <si>
    <t>Professor Of Chemistry</t>
  </si>
  <si>
    <t>The Council Of University College, Nottingham</t>
  </si>
  <si>
    <t>Bridgwater, Somerset, England</t>
  </si>
  <si>
    <t>Frederick Barry</t>
  </si>
  <si>
    <t>Chemistry Student</t>
  </si>
  <si>
    <t>Kathleen Esme</t>
  </si>
  <si>
    <t>Holland</t>
  </si>
  <si>
    <t>John Clarence</t>
  </si>
  <si>
    <t>Jinks</t>
  </si>
  <si>
    <t>Shropshire, England</t>
  </si>
  <si>
    <t>Lecturer In Pharmacuties</t>
  </si>
  <si>
    <t>Doris May</t>
  </si>
  <si>
    <t>Ilfracombe, Devon, England</t>
  </si>
  <si>
    <t>Betty Doreen</t>
  </si>
  <si>
    <t>Kniveton</t>
  </si>
  <si>
    <t>Lady's Maid</t>
  </si>
  <si>
    <t>Scunthorpe, Lincolnshire, England</t>
  </si>
  <si>
    <t>Valentine Muriel</t>
  </si>
  <si>
    <t>Pointer</t>
  </si>
  <si>
    <t>Evelyn Frances</t>
  </si>
  <si>
    <t>Kirkaldy</t>
  </si>
  <si>
    <t>Poplar, London, England</t>
  </si>
  <si>
    <t>Joan</t>
  </si>
  <si>
    <t>Paris, France</t>
  </si>
  <si>
    <t>Adam Willis</t>
  </si>
  <si>
    <t>Oxford, Oxfordshire, England</t>
  </si>
  <si>
    <t>Bertha Swell</t>
  </si>
  <si>
    <t>Baker</t>
  </si>
  <si>
    <t>Morton, Lincolnshire, England</t>
  </si>
  <si>
    <t>Mildred</t>
  </si>
  <si>
    <t>Holbrook, Suffolk, England</t>
  </si>
  <si>
    <t>James William</t>
  </si>
  <si>
    <t>Knight Solicitor</t>
  </si>
  <si>
    <t>Maria Elizabeth</t>
  </si>
  <si>
    <t>Kenneth Yorke</t>
  </si>
  <si>
    <t>Manager Lace Warehouse</t>
  </si>
  <si>
    <t>Birks Manufacturing Co Ltd</t>
  </si>
  <si>
    <t>Violet Muriel</t>
  </si>
  <si>
    <t>Catherine Hasc?que</t>
  </si>
  <si>
    <t>Wood</t>
  </si>
  <si>
    <t>Isabella</t>
  </si>
  <si>
    <t>Katherine</t>
  </si>
  <si>
    <t>Owen</t>
  </si>
  <si>
    <t>Wales</t>
  </si>
  <si>
    <t>Sellars</t>
  </si>
  <si>
    <t>Parlour maid</t>
  </si>
  <si>
    <t>Spalding, Lincolnshire, England</t>
  </si>
  <si>
    <t>Annie Beatrice</t>
  </si>
  <si>
    <t>Hincks</t>
  </si>
  <si>
    <t>Kitchen maid</t>
  </si>
  <si>
    <t>Annie Sarah</t>
  </si>
  <si>
    <t>Kidd</t>
  </si>
  <si>
    <t>Carrington, Nottinghamshire, England</t>
  </si>
  <si>
    <t>Pottinger</t>
  </si>
  <si>
    <t>Ollerton, Nottinghamshire, England</t>
  </si>
  <si>
    <t>Sir</t>
  </si>
  <si>
    <t>John Leo</t>
  </si>
  <si>
    <t>Lewenz</t>
  </si>
  <si>
    <t>Merchant (Lace, Curtains Nots &amp; General Export)</t>
  </si>
  <si>
    <t>Edith Alice</t>
  </si>
  <si>
    <t>Berlin, Germany</t>
  </si>
  <si>
    <t>Beryl Agnes</t>
  </si>
  <si>
    <t>Sayers</t>
  </si>
  <si>
    <t>Florrie</t>
  </si>
  <si>
    <t>Jenkinson</t>
  </si>
  <si>
    <t>Barrow Hill, Derbyshire, England</t>
  </si>
  <si>
    <t>Ethel May</t>
  </si>
  <si>
    <t>Herbert Hardy</t>
  </si>
  <si>
    <t>Wigglesworth</t>
  </si>
  <si>
    <t>Architect</t>
  </si>
  <si>
    <t>Dundee, Forfarshire (Angus), Scotland</t>
  </si>
  <si>
    <t>Yarn Merchant</t>
  </si>
  <si>
    <t>Mary Esther</t>
  </si>
  <si>
    <t>Sheffield, Yorkshire, England</t>
  </si>
  <si>
    <t>Lindall</t>
  </si>
  <si>
    <t>Quorn, Leicestershire, England</t>
  </si>
  <si>
    <t>Harvey</t>
  </si>
  <si>
    <t>Quarton</t>
  </si>
  <si>
    <t>Derby, Derbyshire, England</t>
  </si>
  <si>
    <t>Charles Cooper</t>
  </si>
  <si>
    <t>Neale</t>
  </si>
  <si>
    <t>Auctioneer</t>
  </si>
  <si>
    <t>Employer J Meale &amp; Son Auctioneer</t>
  </si>
  <si>
    <t>Marian</t>
  </si>
  <si>
    <t>Herbert Charles</t>
  </si>
  <si>
    <t>Howe</t>
  </si>
  <si>
    <t>Adopted son</t>
  </si>
  <si>
    <t>Highgate, London, England</t>
  </si>
  <si>
    <t>Mariner Apprentice</t>
  </si>
  <si>
    <t>Geo Thompton &amp; Co Aberden White Leice Lines</t>
  </si>
  <si>
    <t>Raymond Douglas</t>
  </si>
  <si>
    <t>Newcastle, England</t>
  </si>
  <si>
    <t>Leonard</t>
  </si>
  <si>
    <t>Son of servant</t>
  </si>
  <si>
    <t>Gateshead, Durham, England</t>
  </si>
  <si>
    <t>Henry Charles</t>
  </si>
  <si>
    <t>Hadden</t>
  </si>
  <si>
    <t>Aberdeen, Aberdeenshire, Scotland</t>
  </si>
  <si>
    <t>Knitted Fabric Manufacturer</t>
  </si>
  <si>
    <t>Vernonia Olivia Victoria</t>
  </si>
  <si>
    <t>Violetta Elizabeth</t>
  </si>
  <si>
    <t>George Gordon</t>
  </si>
  <si>
    <t>Hardy</t>
  </si>
  <si>
    <t>House Furnisher</t>
  </si>
  <si>
    <t>Minnie Flora</t>
  </si>
  <si>
    <t>Alexander Claude Stronach</t>
  </si>
  <si>
    <t>Liverpool, Lancashire, England</t>
  </si>
  <si>
    <t>John Dudley Stronach</t>
  </si>
  <si>
    <t>Selangor, Malaysia</t>
  </si>
  <si>
    <t>Mary Jane</t>
  </si>
  <si>
    <t>Robbins</t>
  </si>
  <si>
    <t>Langley Mill, Derbyshire, England</t>
  </si>
  <si>
    <t>South Road</t>
  </si>
  <si>
    <t>see two houses with adopted sons</t>
  </si>
  <si>
    <t>Anna</t>
  </si>
  <si>
    <t>Simkin</t>
  </si>
  <si>
    <t>Lucy Ann</t>
  </si>
  <si>
    <t>Pease</t>
  </si>
  <si>
    <t>Scoulton, Norfolk, England</t>
  </si>
  <si>
    <t>Brownsword</t>
  </si>
  <si>
    <t>Wilhelmina</t>
  </si>
  <si>
    <t>Phoebe Elizabeth</t>
  </si>
  <si>
    <t>Brittain</t>
  </si>
  <si>
    <t>Folkingham, Lincolnshire, England</t>
  </si>
  <si>
    <t>Landor</t>
  </si>
  <si>
    <t>Elizabeth Mary</t>
  </si>
  <si>
    <t>Householder</t>
  </si>
  <si>
    <t>Catherine Ada</t>
  </si>
  <si>
    <t>Skipwith</t>
  </si>
  <si>
    <t>Evelyn Annie</t>
  </si>
  <si>
    <t>Skerrett</t>
  </si>
  <si>
    <t>Clarice Selina</t>
  </si>
  <si>
    <t>Fleeman</t>
  </si>
  <si>
    <t>Ruth Margarete</t>
  </si>
  <si>
    <t>Clulow</t>
  </si>
  <si>
    <t>Cavendish Cres S.</t>
  </si>
  <si>
    <t>Stubington</t>
  </si>
  <si>
    <t>Reading, Berkshire, England</t>
  </si>
  <si>
    <t>Cloth Merchant</t>
  </si>
  <si>
    <t>Sarah Helen</t>
  </si>
  <si>
    <t>Fisher</t>
  </si>
  <si>
    <t>Evelyn M</t>
  </si>
  <si>
    <t>Meldrum</t>
  </si>
  <si>
    <t>Barbara</t>
  </si>
  <si>
    <t>Olga</t>
  </si>
  <si>
    <t>Teacher</t>
  </si>
  <si>
    <t>Min Churley Principal</t>
  </si>
  <si>
    <t>Dixon</t>
  </si>
  <si>
    <t>Peterborough, Cambridgeshire, England</t>
  </si>
  <si>
    <t>Mr Meldon</t>
  </si>
  <si>
    <t>Thomas Flewitt</t>
  </si>
  <si>
    <t>Walker</t>
  </si>
  <si>
    <t>Olga Mary</t>
  </si>
  <si>
    <t>Olive Debear</t>
  </si>
  <si>
    <t>Law Clerk</t>
  </si>
  <si>
    <t>Walker &amp; Hauson</t>
  </si>
  <si>
    <t>Holles Cres</t>
  </si>
  <si>
    <t>Alfred James</t>
  </si>
  <si>
    <t>Cooper</t>
  </si>
  <si>
    <t>Retired Lace Manufacture</t>
  </si>
  <si>
    <t>Constance Mary</t>
  </si>
  <si>
    <t>John Alfred</t>
  </si>
  <si>
    <t>Captain Royal Nil Force Retired</t>
  </si>
  <si>
    <t>Noon</t>
  </si>
  <si>
    <t>Edward Lawrence</t>
  </si>
  <si>
    <t>Manning</t>
  </si>
  <si>
    <t>Elise Lina</t>
  </si>
  <si>
    <t>France</t>
  </si>
  <si>
    <t>Agneta Lina</t>
  </si>
  <si>
    <t>Geoffrey Lawrence Frederic</t>
  </si>
  <si>
    <t>Student</t>
  </si>
  <si>
    <t>Ella</t>
  </si>
  <si>
    <t>Brough</t>
  </si>
  <si>
    <t>Annie May</t>
  </si>
  <si>
    <t>Meakin</t>
  </si>
  <si>
    <t>Langley, Derbyshire, England</t>
  </si>
  <si>
    <t>Hull, Yorkshire, England</t>
  </si>
  <si>
    <t>Housing Commissioner</t>
  </si>
  <si>
    <t>Ministry Of Health</t>
  </si>
  <si>
    <t>Home</t>
  </si>
  <si>
    <t>James Douglas</t>
  </si>
  <si>
    <t>Kingston upon Thames, Surrey, England</t>
  </si>
  <si>
    <t>George Anthony</t>
  </si>
  <si>
    <t>Peter Russell</t>
  </si>
  <si>
    <t>John Michael</t>
  </si>
  <si>
    <t>Hindley</t>
  </si>
  <si>
    <t>Lawson</t>
  </si>
  <si>
    <t>Nurse Maid</t>
  </si>
  <si>
    <t>Rose S</t>
  </si>
  <si>
    <t>Angelinetta</t>
  </si>
  <si>
    <t>Furniture Manufacturer</t>
  </si>
  <si>
    <t>Alice P</t>
  </si>
  <si>
    <t>Rita</t>
  </si>
  <si>
    <t>Cerce</t>
  </si>
  <si>
    <t>Shellowon</t>
  </si>
  <si>
    <t>Stell</t>
  </si>
  <si>
    <t>Sarah Ann</t>
  </si>
  <si>
    <t>Richard Henry</t>
  </si>
  <si>
    <t>Lymbery</t>
  </si>
  <si>
    <t>Retired</t>
  </si>
  <si>
    <t>William Henry</t>
  </si>
  <si>
    <t>Mellor</t>
  </si>
  <si>
    <t>Oldham, Lancashire, England</t>
  </si>
  <si>
    <t>Retired Hosiery Manufacturer</t>
  </si>
  <si>
    <t>Phyllis Mary</t>
  </si>
  <si>
    <t>Henry Burgess</t>
  </si>
  <si>
    <t>Lee</t>
  </si>
  <si>
    <t>Clerk In Holy Orders Hon Canon Of Southwell Gathwood Notts</t>
  </si>
  <si>
    <t>Southwell Diversion Finance Association</t>
  </si>
  <si>
    <t>Ida Marian</t>
  </si>
  <si>
    <t>House</t>
  </si>
  <si>
    <t>Wells, Somerset, England</t>
  </si>
  <si>
    <t>Domestic Servant Cook</t>
  </si>
  <si>
    <t>Alexander</t>
  </si>
  <si>
    <t>Stow, Lincolnshire, England</t>
  </si>
  <si>
    <t>Domestic Servant H Parlow Parlourmaid</t>
  </si>
  <si>
    <t>Ellen Mary</t>
  </si>
  <si>
    <t>Cowen</t>
  </si>
  <si>
    <t>Ellen Mary Cower</t>
  </si>
  <si>
    <t>C</t>
  </si>
  <si>
    <t>Worcestershire, England</t>
  </si>
  <si>
    <t>C W</t>
  </si>
  <si>
    <t>Harwood</t>
  </si>
  <si>
    <t>General Servant</t>
  </si>
  <si>
    <t>Amy Marguerite</t>
  </si>
  <si>
    <t>Foreman</t>
  </si>
  <si>
    <t>Julia Anne</t>
  </si>
  <si>
    <t>Sharke</t>
  </si>
  <si>
    <t>Glentham, Lincolnshire, England</t>
  </si>
  <si>
    <t>Housework</t>
  </si>
  <si>
    <t>Aynke, Foreman, Private</t>
  </si>
  <si>
    <t>Edith Anne</t>
  </si>
  <si>
    <t>Kirkman</t>
  </si>
  <si>
    <t>Sandiacre, Derbyshire, England</t>
  </si>
  <si>
    <t>House Work</t>
  </si>
  <si>
    <t>Alley M Foreman, Private</t>
  </si>
  <si>
    <t>William H</t>
  </si>
  <si>
    <t>Heaton</t>
  </si>
  <si>
    <t>College Principal</t>
  </si>
  <si>
    <t>Unworthy Cole Nottm, Court Of Governors</t>
  </si>
  <si>
    <t>Anna L</t>
  </si>
  <si>
    <t>Ipswich, Suffolk, England</t>
  </si>
  <si>
    <t>Geoffrey T</t>
  </si>
  <si>
    <t>Improver At Scientific Instrument Makers</t>
  </si>
  <si>
    <t>Messers John Davis &amp; Son</t>
  </si>
  <si>
    <t>Art Student</t>
  </si>
  <si>
    <t>Nancy T</t>
  </si>
  <si>
    <t>Minnie Kate</t>
  </si>
  <si>
    <t>Durrand</t>
  </si>
  <si>
    <t>Suffolk, England</t>
  </si>
  <si>
    <t>Wyld</t>
  </si>
  <si>
    <t>Constance Katherine</t>
  </si>
  <si>
    <t>Edith Cecily</t>
  </si>
  <si>
    <t>Radio Graphic</t>
  </si>
  <si>
    <t>Nottingham General Hospital House Committee</t>
  </si>
  <si>
    <t>Rollinson</t>
  </si>
  <si>
    <t>Holbrook, Derbyshire, England</t>
  </si>
  <si>
    <t>Poyser</t>
  </si>
  <si>
    <t>Shop Keeper</t>
  </si>
  <si>
    <t>Catherine</t>
  </si>
  <si>
    <t>Donovan</t>
  </si>
  <si>
    <t>Tusley</t>
  </si>
  <si>
    <t>Homer</t>
  </si>
  <si>
    <t>Calladine</t>
  </si>
  <si>
    <t>Maid Attendant</t>
  </si>
  <si>
    <t>Marriatt</t>
  </si>
  <si>
    <t>Lillian</t>
  </si>
  <si>
    <t>Kent</t>
  </si>
  <si>
    <t>Paterson</t>
  </si>
  <si>
    <t>Ayrshire, Scotland</t>
  </si>
  <si>
    <t>London Hospital Traines Nurse, Private Means</t>
  </si>
  <si>
    <t>Fairfield, Lancashire, England</t>
  </si>
  <si>
    <t>Annie Florence</t>
  </si>
  <si>
    <t>Carver</t>
  </si>
  <si>
    <t>Laura</t>
  </si>
  <si>
    <t>Faulks</t>
  </si>
  <si>
    <t>Pilsley, Derbyshire, England</t>
  </si>
  <si>
    <t>Sutton</t>
  </si>
  <si>
    <t>Clay Cross, Derbyshire, England</t>
  </si>
  <si>
    <t>William Francis</t>
  </si>
  <si>
    <t>Employer, Dokon &amp; Allesley L</t>
  </si>
  <si>
    <t>Eleanor</t>
  </si>
  <si>
    <t>Turnford, Hertfordshire, England</t>
  </si>
  <si>
    <t>Ursula Mary Dolores</t>
  </si>
  <si>
    <t>Eva Mary</t>
  </si>
  <si>
    <t>Bristol, Gloucestershire, England</t>
  </si>
  <si>
    <t>Bentley</t>
  </si>
  <si>
    <t>Langwith, Derbyshire, England</t>
  </si>
  <si>
    <t>Delves</t>
  </si>
  <si>
    <t>Childrens Nurse</t>
  </si>
  <si>
    <t>Devon, England</t>
  </si>
  <si>
    <t>Retired Lace Merchant</t>
  </si>
  <si>
    <t>Ghent</t>
  </si>
  <si>
    <t>Vials</t>
  </si>
  <si>
    <t xml:space="preserve">this is lenton avenue on census </t>
  </si>
  <si>
    <t>found in lenton road</t>
  </si>
  <si>
    <t>note found 31 lenton ave in lenton road list</t>
  </si>
  <si>
    <t>Gotham, Nottinghamshire, England</t>
  </si>
  <si>
    <t>George Henry</t>
  </si>
  <si>
    <t>Block Barker</t>
  </si>
  <si>
    <t>Cecil Gordon</t>
  </si>
  <si>
    <t>Christian Nora</t>
  </si>
  <si>
    <t>Winifred Vera</t>
  </si>
  <si>
    <t>Copple</t>
  </si>
  <si>
    <t>Squire</t>
  </si>
  <si>
    <t>Cowe</t>
  </si>
  <si>
    <t>Eliza Adaline</t>
  </si>
  <si>
    <t>Purdey</t>
  </si>
  <si>
    <t>Rachel</t>
  </si>
  <si>
    <t>Bats</t>
  </si>
  <si>
    <t>William Harold</t>
  </si>
  <si>
    <t>Valuer Income Tax Coll &amp; Estate &amp; Agent</t>
  </si>
  <si>
    <t>Edith Othilia</t>
  </si>
  <si>
    <t>Eileen Othilin</t>
  </si>
  <si>
    <t>Clifford Harold</t>
  </si>
  <si>
    <t>Albert</t>
  </si>
  <si>
    <t>Land Agent</t>
  </si>
  <si>
    <t>Harriett</t>
  </si>
  <si>
    <t>Ockbrook, Derbyshire, England</t>
  </si>
  <si>
    <t>Charlotte Matilda</t>
  </si>
  <si>
    <t>Instone</t>
  </si>
  <si>
    <t>Mr Albert Ball</t>
  </si>
  <si>
    <t>Lydia May Cecilia</t>
  </si>
  <si>
    <t>Bell</t>
  </si>
  <si>
    <t>William Hutton</t>
  </si>
  <si>
    <t>Hepplewtrite</t>
  </si>
  <si>
    <t>Retired Civil Servant</t>
  </si>
  <si>
    <t>Home Office Inspector Of Mines</t>
  </si>
  <si>
    <t>Hatton</t>
  </si>
  <si>
    <t>Nuneaton, Warwickshire, England</t>
  </si>
  <si>
    <t>Horace Donald</t>
  </si>
  <si>
    <t>Adopted child</t>
  </si>
  <si>
    <t>Irene Josephine</t>
  </si>
  <si>
    <t>Aspinall</t>
  </si>
  <si>
    <t>Joan Irene</t>
  </si>
  <si>
    <t>Mary Joyec</t>
  </si>
  <si>
    <t>Piper</t>
  </si>
  <si>
    <t>Stephen Robert</t>
  </si>
  <si>
    <t>David Towry</t>
  </si>
  <si>
    <t>Balham, London, England</t>
  </si>
  <si>
    <t>Michael Harvey</t>
  </si>
  <si>
    <t>Emily E</t>
  </si>
  <si>
    <t>Roebuck</t>
  </si>
  <si>
    <t>Bakewell, Derbyshire, England</t>
  </si>
  <si>
    <t>Hovell</t>
  </si>
  <si>
    <t>Cricket Bat Maker</t>
  </si>
  <si>
    <t>Gunn &amp; Moore Cricket Bat Makers</t>
  </si>
  <si>
    <t>Louisa Goodwin</t>
  </si>
  <si>
    <t>Ridgway</t>
  </si>
  <si>
    <t>Lydia Swain</t>
  </si>
  <si>
    <t>Sketchley</t>
  </si>
  <si>
    <t>Stone</t>
  </si>
  <si>
    <t>says 11 on original census not 111</t>
  </si>
  <si>
    <t>householder</t>
  </si>
  <si>
    <t>none found</t>
  </si>
  <si>
    <t>Pemberton</t>
  </si>
  <si>
    <t>Brant Broughton, Lincolnshire, England</t>
  </si>
  <si>
    <t>Mary Gertrude</t>
  </si>
  <si>
    <t>Lucie Ethel</t>
  </si>
  <si>
    <t>Frederick Thomas</t>
  </si>
  <si>
    <t>Elborough</t>
  </si>
  <si>
    <t>Mitcham, Surrey, England</t>
  </si>
  <si>
    <t>Engineers Merchants Colliery Furniture</t>
  </si>
  <si>
    <t>Dorothy Ellen</t>
  </si>
  <si>
    <t>Joyce Beaumont</t>
  </si>
  <si>
    <t>Thomas Wilkinson</t>
  </si>
  <si>
    <t>Hardstaff</t>
  </si>
  <si>
    <t>Vickers Furniture</t>
  </si>
  <si>
    <t>Ethel Dora</t>
  </si>
  <si>
    <t>Huntspill, Somerset, England</t>
  </si>
  <si>
    <t>Arthur Hurman</t>
  </si>
  <si>
    <t>Goodacre</t>
  </si>
  <si>
    <t>Granby, Nottinghamshire, England</t>
  </si>
  <si>
    <t>Rosher</t>
  </si>
  <si>
    <t>Saxony, Germany</t>
  </si>
  <si>
    <t>Messenger For American Exporters Of Dry Goods</t>
  </si>
  <si>
    <t>Mills &amp; Gibb Corporation Exporters Of Dry Goods</t>
  </si>
  <si>
    <t>Allington, Lincolnshire, England</t>
  </si>
  <si>
    <t>Cecil</t>
  </si>
  <si>
    <t>R Evans &amp; Co</t>
  </si>
  <si>
    <t>West Bridgford, Nottinghamshire, England</t>
  </si>
  <si>
    <t>Dry Goods Assistant</t>
  </si>
  <si>
    <t>Out Of Work</t>
  </si>
  <si>
    <t>KW1</t>
  </si>
  <si>
    <t>Kenilworth Rd</t>
  </si>
  <si>
    <t>KW2</t>
  </si>
  <si>
    <t>KW3</t>
  </si>
  <si>
    <t>KW4</t>
  </si>
  <si>
    <t>Kw3</t>
  </si>
  <si>
    <t>Alfred Henry</t>
  </si>
  <si>
    <t>Maston Head Of Boys School</t>
  </si>
  <si>
    <t>Notts Educat Committee</t>
  </si>
  <si>
    <t>Kate Phoebe</t>
  </si>
  <si>
    <t>Winifred Russell</t>
  </si>
  <si>
    <t>Bookkeeper &amp; Typist</t>
  </si>
  <si>
    <t>Claflins Corporalrd</t>
  </si>
  <si>
    <t>Vera Lydia Russell</t>
  </si>
  <si>
    <t>Typist</t>
  </si>
  <si>
    <t>Oceans Accident Guardenr Corporation Limited</t>
  </si>
  <si>
    <t>Kathleen Phyllis Russell</t>
  </si>
  <si>
    <t>Teacher Student</t>
  </si>
  <si>
    <t>Wantage, Berkshire, England</t>
  </si>
  <si>
    <t>Assistant Traffic Manager Transport</t>
  </si>
  <si>
    <t>Boots Cash Chemists, Wholesale &amp; Retail Druggist Etc</t>
  </si>
  <si>
    <t>Ethel Bertha</t>
  </si>
  <si>
    <t>Wirksworth, Derbyshire, England</t>
  </si>
  <si>
    <t>Clara Matilda</t>
  </si>
  <si>
    <t>Clerk (Audit)</t>
  </si>
  <si>
    <t>Boots Cast Chemists, Wholesale &amp; Retail Druggist Etc</t>
  </si>
  <si>
    <t>Bookbinders Assistant</t>
  </si>
  <si>
    <t>Rracow Morris Bookbinder</t>
  </si>
  <si>
    <t>Margorie</t>
  </si>
  <si>
    <t>Brother-in-law</t>
  </si>
  <si>
    <t>Wilton Club Ltd</t>
  </si>
  <si>
    <t>Godfrey</t>
  </si>
  <si>
    <t>Ottery St Mary, Devon, England</t>
  </si>
  <si>
    <t>Calendar Salesman</t>
  </si>
  <si>
    <t>Messrs W T G Baird Ltd, Printers &amp; Stationers Belfast</t>
  </si>
  <si>
    <t>Sabina</t>
  </si>
  <si>
    <t>Boarding House Keeper</t>
  </si>
  <si>
    <t>Annie Maria</t>
  </si>
  <si>
    <t>Scott</t>
  </si>
  <si>
    <t>Adopted daughter</t>
  </si>
  <si>
    <t>Domestic Help</t>
  </si>
  <si>
    <t>Francis</t>
  </si>
  <si>
    <t>Vinyals</t>
  </si>
  <si>
    <t>Spain</t>
  </si>
  <si>
    <t>Master</t>
  </si>
  <si>
    <t>Ladies Tailor</t>
  </si>
  <si>
    <t>William Lougarine</t>
  </si>
  <si>
    <t>Young</t>
  </si>
  <si>
    <t>Arthur Acton</t>
  </si>
  <si>
    <t>Commercial Traveller (Lace)</t>
  </si>
  <si>
    <t>W Bridget &amp; Son Ltd 254 Stoney St, Nottingham</t>
  </si>
  <si>
    <t>Bothamsall, Nottinghamshire, England</t>
  </si>
  <si>
    <t>Kirkby in Ashfield, Nottinghamshire, England</t>
  </si>
  <si>
    <t>Service Wholesale Musterd Rd Bridgford</t>
  </si>
  <si>
    <t>Alfred Cecil</t>
  </si>
  <si>
    <t>Groom</t>
  </si>
  <si>
    <t>Dudley Walker Esq</t>
  </si>
  <si>
    <t>Diver</t>
  </si>
  <si>
    <t>Cambridge, Cambridgeshire, England</t>
  </si>
  <si>
    <t>Chaffeur</t>
  </si>
  <si>
    <t>The Stables</t>
  </si>
  <si>
    <t>Bringham</t>
  </si>
  <si>
    <t>Engineers Pattern Maker</t>
  </si>
  <si>
    <t>Mab</t>
  </si>
  <si>
    <t>Home Duty</t>
  </si>
  <si>
    <t>Brother-in-law, boarder</t>
  </si>
  <si>
    <t>Detective Service</t>
  </si>
  <si>
    <t>Camwell Laira</t>
  </si>
  <si>
    <t>Knight</t>
  </si>
  <si>
    <t>Cropwell Butler, Nottinghamshire, England</t>
  </si>
  <si>
    <t>Curkers Foreman</t>
  </si>
  <si>
    <t>Messrs Pickfords Ltd Carriers</t>
  </si>
  <si>
    <t>Olive Charlotte</t>
  </si>
  <si>
    <t>Old Bolingbroke, Lincolnshire, England</t>
  </si>
  <si>
    <t>George Ross</t>
  </si>
  <si>
    <t>Insurance Clerk</t>
  </si>
  <si>
    <t>Nottingham Permanent Benefit Building Society</t>
  </si>
  <si>
    <t>Bertram</t>
  </si>
  <si>
    <t>Bowels</t>
  </si>
  <si>
    <t>Son-in-law</t>
  </si>
  <si>
    <t>Hosiery Warehouseman</t>
  </si>
  <si>
    <t>J &amp; R Marley</t>
  </si>
  <si>
    <t>Susan Emily</t>
  </si>
  <si>
    <t>Dorothy Edith</t>
  </si>
  <si>
    <t>Granddaughter</t>
  </si>
  <si>
    <t>Herbert Edward</t>
  </si>
  <si>
    <t>George Frederick</t>
  </si>
  <si>
    <t>Herbert E</t>
  </si>
  <si>
    <t>Commorcial Traveller Sholcasale Millnery</t>
  </si>
  <si>
    <t>Messrs Barker &amp; Co Notts Ltd</t>
  </si>
  <si>
    <t>Ivy K</t>
  </si>
  <si>
    <t>James</t>
  </si>
  <si>
    <t>Finney</t>
  </si>
  <si>
    <t>Ashton under Lyne, Lancashire, England</t>
  </si>
  <si>
    <t>Cashier</t>
  </si>
  <si>
    <t>Hicking &amp; Penterveral Lace Bleaching Dyeing Dressing</t>
  </si>
  <si>
    <t>Head Teacher Elementary School</t>
  </si>
  <si>
    <t>Nottingham Educational Committee</t>
  </si>
  <si>
    <t>Emilie Gertrude</t>
  </si>
  <si>
    <t>Assistant Teacher Elementary School</t>
  </si>
  <si>
    <t>Foden</t>
  </si>
  <si>
    <t>Stanley Martin</t>
  </si>
  <si>
    <t>Frost</t>
  </si>
  <si>
    <t>Manager Retail Clothing Male</t>
  </si>
  <si>
    <t>Jas Wallis &amp; Son</t>
  </si>
  <si>
    <t>Kate Evelyn</t>
  </si>
  <si>
    <t>Eric Stanley</t>
  </si>
  <si>
    <t>Royal Insurance</t>
  </si>
  <si>
    <t>Reginald Norman</t>
  </si>
  <si>
    <t>Colin Wallace</t>
  </si>
  <si>
    <t>Kenneth Martin</t>
  </si>
  <si>
    <t>Piggin</t>
  </si>
  <si>
    <t>Dennett Angle Ltd Building Contractors Employer</t>
  </si>
  <si>
    <t>Sarah Rachel</t>
  </si>
  <si>
    <t>Long Eaton, Derbyshire, England</t>
  </si>
  <si>
    <t>Stritevant Redgate</t>
  </si>
  <si>
    <t>Muriel Stanley</t>
  </si>
  <si>
    <t>Bexon</t>
  </si>
  <si>
    <t>Ernest Howard</t>
  </si>
  <si>
    <t>Prest Of The Church Of England</t>
  </si>
  <si>
    <t>Vicar Of S Pauls Nottingham</t>
  </si>
  <si>
    <t>Edith Margaret</t>
  </si>
  <si>
    <t>Conington, Cambridgeshire, England</t>
  </si>
  <si>
    <t>Marie</t>
  </si>
  <si>
    <t>Leiberman</t>
  </si>
  <si>
    <t>Goulding</t>
  </si>
  <si>
    <t>Tailor</t>
  </si>
  <si>
    <t>House Wife</t>
  </si>
  <si>
    <t>Leeds, Yorkshire, England</t>
  </si>
  <si>
    <t>Saddington</t>
  </si>
  <si>
    <t>Rebecca</t>
  </si>
  <si>
    <t>Enistein</t>
  </si>
  <si>
    <t>Cardiff, Glamorganshire, Wales</t>
  </si>
  <si>
    <t>Shorthand Typist</t>
  </si>
  <si>
    <t>Swaton, Lincolnshire, England</t>
  </si>
  <si>
    <t>Retired Farmer</t>
  </si>
  <si>
    <t>Drapers Assistant</t>
  </si>
  <si>
    <t>W Dearn &amp; Co Sister Gate</t>
  </si>
  <si>
    <t>Daughter-in-law</t>
  </si>
  <si>
    <t>Belton, Leicestershire, England</t>
  </si>
  <si>
    <t>Arthur Henry</t>
  </si>
  <si>
    <t>Baldock</t>
  </si>
  <si>
    <t>Lace Finishing Department Manager</t>
  </si>
  <si>
    <t>Messrs Simon May &amp; Co Experting Merchants</t>
  </si>
  <si>
    <t>Clara</t>
  </si>
  <si>
    <t>Madge</t>
  </si>
  <si>
    <t>Clerk Typist</t>
  </si>
  <si>
    <t>Messrs Boots Limited</t>
  </si>
  <si>
    <t>Grace</t>
  </si>
  <si>
    <t>Short Hand Typist</t>
  </si>
  <si>
    <t>Messrs Pickfords Ltd</t>
  </si>
  <si>
    <t>Sherwin</t>
  </si>
  <si>
    <t>Sports Manufacturers</t>
  </si>
  <si>
    <t>Cricket Bats Etc Employer, Mussrs Green &amp; Moore Sports Manufacturers</t>
  </si>
  <si>
    <t>Harold Swern</t>
  </si>
  <si>
    <t>Corporative Clerk</t>
  </si>
  <si>
    <t>Stuart Charles</t>
  </si>
  <si>
    <t>Electrical Engineer</t>
  </si>
  <si>
    <t>J W New &amp; Co Engineers, Bertram Street Nottingham</t>
  </si>
  <si>
    <t>Hurst</t>
  </si>
  <si>
    <t>Wife's sister</t>
  </si>
  <si>
    <t>Sir G T Mc Craith Kt (Late), Out Of Work</t>
  </si>
  <si>
    <t>Frederick William</t>
  </si>
  <si>
    <t>Collins</t>
  </si>
  <si>
    <t>Manufacturing Hosiery</t>
  </si>
  <si>
    <t>Edith Jane</t>
  </si>
  <si>
    <t>Housekeeper For Above</t>
  </si>
  <si>
    <t>Charles Frederick</t>
  </si>
  <si>
    <t>Dalrymple</t>
  </si>
  <si>
    <t>Tyer Packer</t>
  </si>
  <si>
    <t>Dunlop Tyre Company</t>
  </si>
  <si>
    <t>Ethel Kate</t>
  </si>
  <si>
    <t>Blouse Machinist</t>
  </si>
  <si>
    <t>C H Turner Blouse Manufcturer</t>
  </si>
  <si>
    <t>John Eugene</t>
  </si>
  <si>
    <t>Richards</t>
  </si>
  <si>
    <t>Nottingham Corpration</t>
  </si>
  <si>
    <t>Florence Gertrude</t>
  </si>
  <si>
    <t>Hopkinson</t>
  </si>
  <si>
    <t>Whaplode, Lincolnshire, England</t>
  </si>
  <si>
    <t>Doddington, Lincolnshire, England</t>
  </si>
  <si>
    <t>Furniture Storekeeper</t>
  </si>
  <si>
    <t>H Barker &amp; Co Ltd, House Furnitures, Etc</t>
  </si>
  <si>
    <t>Mabel Ethel</t>
  </si>
  <si>
    <t>Shorthand-Typist And Foregin Correspondent</t>
  </si>
  <si>
    <t>Turney Brothers Ltd, Leather Manufacturers</t>
  </si>
  <si>
    <t>Nathaniel J</t>
  </si>
  <si>
    <t>Boon</t>
  </si>
  <si>
    <t>Kirton in Lindsey, Lincolnshire, England</t>
  </si>
  <si>
    <t>Bank Clerk, London County Paris Bank</t>
  </si>
  <si>
    <t>Olive A</t>
  </si>
  <si>
    <t>George Herriny</t>
  </si>
  <si>
    <t>Warren</t>
  </si>
  <si>
    <t>Deal, Kent, England</t>
  </si>
  <si>
    <t>Stationers Traveller</t>
  </si>
  <si>
    <t>Waterlow &amp; Sons Ltd Printers &amp; Stationer</t>
  </si>
  <si>
    <t>Minnie Ellen</t>
  </si>
  <si>
    <t>Uxbridge, Middlesex, England</t>
  </si>
  <si>
    <t>Isabella Louisa Flemins</t>
  </si>
  <si>
    <t>Gloucestershire, England</t>
  </si>
  <si>
    <t>Book Keeper Retired</t>
  </si>
  <si>
    <t>Ministry Of Munitions</t>
  </si>
  <si>
    <t>Billingborough, Lincolnshire, England</t>
  </si>
  <si>
    <t>Janet Kathleen</t>
  </si>
  <si>
    <t>Charles Hugh Henry</t>
  </si>
  <si>
    <t>J B Levis &amp; Sons Ltd Hosiery Manfactuers</t>
  </si>
  <si>
    <t>William Howard</t>
  </si>
  <si>
    <t>Bradwell</t>
  </si>
  <si>
    <t>Southwell, Nottinghamshire, England</t>
  </si>
  <si>
    <t>Auctioneer &amp; Valuer</t>
  </si>
  <si>
    <t>Carine Sarah</t>
  </si>
  <si>
    <t>Joyce Muriel</t>
  </si>
  <si>
    <t>Doris Howard</t>
  </si>
  <si>
    <t>Julia</t>
  </si>
  <si>
    <t>Moult</t>
  </si>
  <si>
    <t>Etheldreda</t>
  </si>
  <si>
    <t>Brooks</t>
  </si>
  <si>
    <t>Finsbury Park, London, England</t>
  </si>
  <si>
    <t>was cavendish cris in census</t>
  </si>
  <si>
    <t>Sarah Elizabeth</t>
  </si>
  <si>
    <t>Maid Of Household</t>
  </si>
  <si>
    <t>Lucy Marel</t>
  </si>
  <si>
    <t>Arnold</t>
  </si>
  <si>
    <t>Church Aston, Shropshire, England</t>
  </si>
  <si>
    <t>Moses Ame Helena</t>
  </si>
  <si>
    <t>Oram</t>
  </si>
  <si>
    <t>Lichfield, Staffordshire, England</t>
  </si>
  <si>
    <t>Archibald Kirkwood</t>
  </si>
  <si>
    <t>Dodds</t>
  </si>
  <si>
    <t>Northumberland, England</t>
  </si>
  <si>
    <t>Civil Engineer</t>
  </si>
  <si>
    <t>L G Monchel &amp; Pts Lt Civil Engineers Westminster</t>
  </si>
  <si>
    <t>Jean</t>
  </si>
  <si>
    <t>Summerseat, Lancashire, England</t>
  </si>
  <si>
    <t>Anthony Kirkwood</t>
  </si>
  <si>
    <t>Turner</t>
  </si>
  <si>
    <t>Mowanat</t>
  </si>
  <si>
    <t>Samuel</t>
  </si>
  <si>
    <t>Pawn Broker</t>
  </si>
  <si>
    <t>Mary Eliza</t>
  </si>
  <si>
    <t>Bottesford, Leicestershire, England</t>
  </si>
  <si>
    <t>Jallands</t>
  </si>
  <si>
    <t>Ferndene Hamilton Devon</t>
  </si>
  <si>
    <t>Eliza Susannah</t>
  </si>
  <si>
    <t>Glassford</t>
  </si>
  <si>
    <t>Bow, London, England</t>
  </si>
  <si>
    <t>Louisa Theadasie</t>
  </si>
  <si>
    <t>London, England</t>
  </si>
  <si>
    <t>Hill</t>
  </si>
  <si>
    <t>Hoveringham, Nottinghamshire, England</t>
  </si>
  <si>
    <t>Eite</t>
  </si>
  <si>
    <t>Kegworth, Leicestershire, England</t>
  </si>
  <si>
    <t>Caretaker</t>
  </si>
  <si>
    <t>Armitage Bros Ltd Grocers Victoria Street</t>
  </si>
  <si>
    <t>Gladys Gurridys</t>
  </si>
  <si>
    <t>Head Shop Assistant Confectionery</t>
  </si>
  <si>
    <t>F Merley &amp; Sons Wheeler Gate Pro Trinity &amp; Bros</t>
  </si>
  <si>
    <t>Sybil</t>
  </si>
  <si>
    <t>Dreintal Cafe Wheeler Gate Pro Armitage Bros</t>
  </si>
  <si>
    <t>Christine G</t>
  </si>
  <si>
    <t>Joseph Walter</t>
  </si>
  <si>
    <t>Clews</t>
  </si>
  <si>
    <t>Southwark, London, England</t>
  </si>
  <si>
    <t>Law Clerk (Managing)</t>
  </si>
  <si>
    <t>Messrs Thorpe Perry &amp; Ford, Solicitors</t>
  </si>
  <si>
    <t>Percy Hulelesuson</t>
  </si>
  <si>
    <t>Foundry Manager, (Coal Iron)</t>
  </si>
  <si>
    <t>Messes Slanton Iron Works Coy Ltd</t>
  </si>
  <si>
    <t>Gwendoline</t>
  </si>
  <si>
    <t>Joan Hastwell</t>
  </si>
  <si>
    <t>Priscilla</t>
  </si>
  <si>
    <t>Swain</t>
  </si>
  <si>
    <t>Lancashire, England</t>
  </si>
  <si>
    <t>Eugene</t>
  </si>
  <si>
    <t>Crossley</t>
  </si>
  <si>
    <t>Out Of Work, (Manager)</t>
  </si>
  <si>
    <t>J Crombie &amp; Son, Conacte Works</t>
  </si>
  <si>
    <t>Ada Manners</t>
  </si>
  <si>
    <t>Middlesbrough, Yorkshire, England</t>
  </si>
  <si>
    <t>1a</t>
  </si>
  <si>
    <t>Howard Norley</t>
  </si>
  <si>
    <t>Wesleyan Methodist Minister</t>
  </si>
  <si>
    <t>Nellie Kenneth</t>
  </si>
  <si>
    <t>Margaret Muriel</t>
  </si>
  <si>
    <t>St Helens, Lancashire, England</t>
  </si>
  <si>
    <t>Smithurst</t>
  </si>
  <si>
    <t>Underwood, Nottinghamshire, England</t>
  </si>
  <si>
    <t>Pacey</t>
  </si>
  <si>
    <t>South Clifton, Nottinghamshire, England</t>
  </si>
  <si>
    <t>Officer</t>
  </si>
  <si>
    <t>Civil Service Custom And Excise</t>
  </si>
  <si>
    <t>East Retford, Nottinghamshire, England</t>
  </si>
  <si>
    <t>Richard Herbert</t>
  </si>
  <si>
    <t>Uttoxeter, Staffordshire, England</t>
  </si>
  <si>
    <t>Florence H</t>
  </si>
  <si>
    <t>Philips</t>
  </si>
  <si>
    <t>Lemaire</t>
  </si>
  <si>
    <t>Emile</t>
  </si>
  <si>
    <t>Gustate</t>
  </si>
  <si>
    <t>Rilder</t>
  </si>
  <si>
    <t>Basle, Switzerland</t>
  </si>
  <si>
    <t>Donald Co Manufrs Merchant</t>
  </si>
  <si>
    <t>Arthur E M</t>
  </si>
  <si>
    <t>Mullan</t>
  </si>
  <si>
    <t>Mining Engineer</t>
  </si>
  <si>
    <t>Emile Dora</t>
  </si>
  <si>
    <t>Elkin</t>
  </si>
  <si>
    <t>Domestic</t>
  </si>
  <si>
    <t>Reginald Blagdon</t>
  </si>
  <si>
    <t>Fuller</t>
  </si>
  <si>
    <t>Lillian Elsie</t>
  </si>
  <si>
    <t>Gunnersbury, Middlesex, England</t>
  </si>
  <si>
    <t>Maud</t>
  </si>
  <si>
    <t>Holborn, London, England</t>
  </si>
  <si>
    <t>George Harold</t>
  </si>
  <si>
    <t>Belton</t>
  </si>
  <si>
    <t>Clarice Edith</t>
  </si>
  <si>
    <t>Pauline Wyrra</t>
  </si>
  <si>
    <t>Fredrick</t>
  </si>
  <si>
    <t>Donne</t>
  </si>
  <si>
    <t>Aden, Aden (Yemen)</t>
  </si>
  <si>
    <t>Mechanical Engineer (District Locomotive Supt)</t>
  </si>
  <si>
    <t>Midland Railway Coy, Nottingham</t>
  </si>
  <si>
    <t>Eleanor Mary</t>
  </si>
  <si>
    <t>Duffield, Derbyshire, England</t>
  </si>
  <si>
    <t>Coctbrand</t>
  </si>
  <si>
    <t>Rugby, Warwickshire, England</t>
  </si>
  <si>
    <t>Boarding Housekeeper</t>
  </si>
  <si>
    <t>Hodgson</t>
  </si>
  <si>
    <t>Clerk Retired</t>
  </si>
  <si>
    <t>Wm Hodgson (Father), Lace Manufactures, Windsor Street, Nottingham</t>
  </si>
  <si>
    <t>Hugh Augustine</t>
  </si>
  <si>
    <t>Bailey</t>
  </si>
  <si>
    <t>Wolverhampton, Staffordshire, England</t>
  </si>
  <si>
    <t>Foreign Correspondence Clerk</t>
  </si>
  <si>
    <t>A Herbert Woolley &amp; Co</t>
  </si>
  <si>
    <t>Charles James</t>
  </si>
  <si>
    <t>Messon</t>
  </si>
  <si>
    <t>Out Of Work Builders</t>
  </si>
  <si>
    <t>Fridle Som</t>
  </si>
  <si>
    <t>Florance Alice</t>
  </si>
  <si>
    <t>Fredrick James</t>
  </si>
  <si>
    <t>Wife's mother</t>
  </si>
  <si>
    <t>Furniss</t>
  </si>
  <si>
    <t>Cambridgeshire, England</t>
  </si>
  <si>
    <t>Hog Salesman</t>
  </si>
  <si>
    <t>Edna</t>
  </si>
  <si>
    <t>Humphrey</t>
  </si>
  <si>
    <t>Shop Keeper Milliner</t>
  </si>
  <si>
    <t>Binder</t>
  </si>
  <si>
    <t>Frank Furness Hog Salesman</t>
  </si>
  <si>
    <t>Sarah Louisa</t>
  </si>
  <si>
    <t>Lea</t>
  </si>
  <si>
    <t>Twycross, Leicestershire, England</t>
  </si>
  <si>
    <t>Welfare Supervision</t>
  </si>
  <si>
    <t>Messrs Cooper &amp; Roc Ltd Hosiery Mfs Nottingham</t>
  </si>
  <si>
    <t>Hannah Ellen</t>
  </si>
  <si>
    <t>Pritchett</t>
  </si>
  <si>
    <t>Wyfordby, Leicestershire, England</t>
  </si>
  <si>
    <t>Miss Sddea</t>
  </si>
  <si>
    <t>Frances Mary</t>
  </si>
  <si>
    <t>Stonehouse</t>
  </si>
  <si>
    <t>Manufacturing Drysalter</t>
  </si>
  <si>
    <t>Cecil Giddings</t>
  </si>
  <si>
    <t>Brawn</t>
  </si>
  <si>
    <t>Local Government Officer Clerk</t>
  </si>
  <si>
    <t>Nottingham Corporation Farn Clerks Dept</t>
  </si>
  <si>
    <t>Gladys Lisle</t>
  </si>
  <si>
    <t>Stephen Francis</t>
  </si>
  <si>
    <t>Lace Made Manager</t>
  </si>
  <si>
    <t>Thornas Adams Ltd</t>
  </si>
  <si>
    <t>Alice Hannah</t>
  </si>
  <si>
    <t>Emily Irene</t>
  </si>
  <si>
    <t>Benson</t>
  </si>
  <si>
    <t>Tamworth, Staffordshire, England</t>
  </si>
  <si>
    <t>Vincent Henry</t>
  </si>
  <si>
    <t>Henrietta Ida</t>
  </si>
  <si>
    <t>Peggy Winifred</t>
  </si>
  <si>
    <t>Wimbledon, Surrey, England</t>
  </si>
  <si>
    <t>Joan Isabelle</t>
  </si>
  <si>
    <t>Phoebe Mary</t>
  </si>
  <si>
    <t>Nellie Emma</t>
  </si>
  <si>
    <t>Domestic Nurse</t>
  </si>
  <si>
    <t>poor address label in census</t>
  </si>
  <si>
    <t>Pattinson</t>
  </si>
  <si>
    <t>Sunderland, Durham, England</t>
  </si>
  <si>
    <t>Rollaton Colliery Co Nottingham</t>
  </si>
  <si>
    <t>Eavans</t>
  </si>
  <si>
    <t>Shiremoor, Northumberland, England</t>
  </si>
  <si>
    <t>Kate Elizabeth</t>
  </si>
  <si>
    <t>Frances May</t>
  </si>
  <si>
    <t>King</t>
  </si>
  <si>
    <t>Clay</t>
  </si>
  <si>
    <t>Trivett</t>
  </si>
  <si>
    <t>Panton, Lincolnshire, England</t>
  </si>
  <si>
    <t>George Ernest</t>
  </si>
  <si>
    <t>Cockburn</t>
  </si>
  <si>
    <t>General Manager</t>
  </si>
  <si>
    <t>Cammell Laird &amp; Co, Railway Rolling Stock, Builders</t>
  </si>
  <si>
    <t>Mary Lucy Alexander</t>
  </si>
  <si>
    <t>Massachusetts, United States</t>
  </si>
  <si>
    <t>Florence May</t>
  </si>
  <si>
    <t>Twigg</t>
  </si>
  <si>
    <t>Engineer Retired</t>
  </si>
  <si>
    <t>Saxby</t>
  </si>
  <si>
    <t>Housekeeper Domestic Help</t>
  </si>
  <si>
    <t>Ethel L</t>
  </si>
  <si>
    <t>Bowser</t>
  </si>
  <si>
    <t>Willoughby on the Wolds, Nottinghamshire, England</t>
  </si>
  <si>
    <t>Turnbell</t>
  </si>
  <si>
    <t>Hawick, Roxburghshire, Scotland</t>
  </si>
  <si>
    <t>Nurse Retired</t>
  </si>
  <si>
    <t>Frome, Somerset, England</t>
  </si>
  <si>
    <t>Dumpleton</t>
  </si>
  <si>
    <t>William Arthur</t>
  </si>
  <si>
    <t>Spalding</t>
  </si>
  <si>
    <t>Islington, London, England</t>
  </si>
  <si>
    <t>Draper Shopkeeper</t>
  </si>
  <si>
    <t>Dorothy Adelaide</t>
  </si>
  <si>
    <t>Bester</t>
  </si>
  <si>
    <t>Warboys, Huntingdonshire, England</t>
  </si>
  <si>
    <t>Wellington, New Zealand</t>
  </si>
  <si>
    <t>Sheila Mary</t>
  </si>
  <si>
    <t>Franklin</t>
  </si>
  <si>
    <t>Service</t>
  </si>
  <si>
    <t>Bickerton</t>
  </si>
  <si>
    <t>Upton Bishop, Herefordshire, England</t>
  </si>
  <si>
    <t>Arthur Raymond</t>
  </si>
  <si>
    <t>Dental Surgeon</t>
  </si>
  <si>
    <t>Goddard &amp; Thomas Dental Surfaces</t>
  </si>
  <si>
    <t>Ernestine</t>
  </si>
  <si>
    <t>Newcastle on Tyne, Northumberland, England</t>
  </si>
  <si>
    <t>Theodore Joan</t>
  </si>
  <si>
    <t>Frederic Tibzey</t>
  </si>
  <si>
    <t>Head Clerk Local Education Authority</t>
  </si>
  <si>
    <t>Notts Education Committee</t>
  </si>
  <si>
    <t>Enid Hilda</t>
  </si>
  <si>
    <t>Mavis Rosemary Tibzey</t>
  </si>
  <si>
    <t>Alice Margaret</t>
  </si>
  <si>
    <t>Causer</t>
  </si>
  <si>
    <t>Tinster</t>
  </si>
  <si>
    <t>Lindey</t>
  </si>
  <si>
    <t>Barrister At Law</t>
  </si>
  <si>
    <t>Constance Agnes</t>
  </si>
  <si>
    <t>Ellan</t>
  </si>
  <si>
    <t>Walliss</t>
  </si>
  <si>
    <t>Polly</t>
  </si>
  <si>
    <t>Brumby</t>
  </si>
  <si>
    <t>Truman</t>
  </si>
  <si>
    <t>Vera</t>
  </si>
  <si>
    <t>Brutnell</t>
  </si>
  <si>
    <t>Eberlin</t>
  </si>
  <si>
    <t>Chemist &amp; Optician</t>
  </si>
  <si>
    <t>Annie C</t>
  </si>
  <si>
    <t>Macclesfield, Cheshire, England</t>
  </si>
  <si>
    <t>Albert Edgar</t>
  </si>
  <si>
    <t>Architects Assistant</t>
  </si>
  <si>
    <t>Stockdale Harrison &amp; Sons Leicester</t>
  </si>
  <si>
    <t>Evelyn</t>
  </si>
  <si>
    <t>Bolsover, Derbyshire, England</t>
  </si>
  <si>
    <t>Private Service</t>
  </si>
  <si>
    <t>Dorothea E</t>
  </si>
  <si>
    <t>Newmarsh</t>
  </si>
  <si>
    <t>Warehouseman</t>
  </si>
  <si>
    <t>Sarah A</t>
  </si>
  <si>
    <t>Grace Awan</t>
  </si>
  <si>
    <t>Music</t>
  </si>
  <si>
    <t>William F</t>
  </si>
  <si>
    <t>Clark</t>
  </si>
  <si>
    <t>Timber Merchant (Retired)</t>
  </si>
  <si>
    <t>Sarah E</t>
  </si>
  <si>
    <t>Lamb</t>
  </si>
  <si>
    <t>Josephine</t>
  </si>
  <si>
    <t>note was son in census</t>
  </si>
  <si>
    <t xml:space="preserve">note both women as head </t>
  </si>
  <si>
    <t>Ord</t>
  </si>
  <si>
    <t>Toronto, Ontario, Canada</t>
  </si>
  <si>
    <t>Works Manager</t>
  </si>
  <si>
    <t>Railway Carriage &amp; Wagon Works Messrs Cammell Laid &amp; Co Ltd</t>
  </si>
  <si>
    <t>Ottawa, Ontario, Canada</t>
  </si>
  <si>
    <t>Kenneth</t>
  </si>
  <si>
    <t>Montreal, Quebec, Canada</t>
  </si>
  <si>
    <t>Sunnyside</t>
  </si>
  <si>
    <t>Clarence</t>
  </si>
  <si>
    <t>Parker</t>
  </si>
  <si>
    <t>Chartered Accountant Sheoherd</t>
  </si>
  <si>
    <t>Christchurch, New Zealand</t>
  </si>
  <si>
    <t>Hammersley</t>
  </si>
  <si>
    <t>Timber Merchant</t>
  </si>
  <si>
    <t>Raynolds</t>
  </si>
  <si>
    <t>Butler</t>
  </si>
  <si>
    <t>Enfield</t>
  </si>
  <si>
    <t>Hampstead, London, England</t>
  </si>
  <si>
    <t>Artist</t>
  </si>
  <si>
    <t>On Own Account</t>
  </si>
  <si>
    <t>Chaffer</t>
  </si>
  <si>
    <t>Alice M</t>
  </si>
  <si>
    <t>Torquay, Devon, England</t>
  </si>
  <si>
    <t>Elizabeth A</t>
  </si>
  <si>
    <t>Body</t>
  </si>
  <si>
    <t>Pearson</t>
  </si>
  <si>
    <t>Land &amp; Property Agent</t>
  </si>
  <si>
    <t>Emily Ann</t>
  </si>
  <si>
    <t>Eliza</t>
  </si>
  <si>
    <t>Colby</t>
  </si>
  <si>
    <t>Henry William</t>
  </si>
  <si>
    <t>Cantie Lintch Co Ltd</t>
  </si>
  <si>
    <t>Adela</t>
  </si>
  <si>
    <t>Domestic - Servant</t>
  </si>
  <si>
    <t>Robert John</t>
  </si>
  <si>
    <t>Willatt</t>
  </si>
  <si>
    <t>Marguerite</t>
  </si>
  <si>
    <t>Robert Hugh</t>
  </si>
  <si>
    <t>Geoffrey</t>
  </si>
  <si>
    <t>Guy Longfield</t>
  </si>
  <si>
    <t>Florence Leslie</t>
  </si>
  <si>
    <t>Bridge</t>
  </si>
  <si>
    <t>Lizzie W</t>
  </si>
  <si>
    <t>George Edward</t>
  </si>
  <si>
    <t>Corby, Northamptonshire, England</t>
  </si>
  <si>
    <t>Steward Of Institute</t>
  </si>
  <si>
    <t>Camel Land &amp; Co</t>
  </si>
  <si>
    <t>Kings Cliffe, Northamptonshire, England</t>
  </si>
  <si>
    <t>Engineers Driller</t>
  </si>
  <si>
    <t>Engineers Cammell Laird &amp; Co</t>
  </si>
  <si>
    <t>Delicia Irene</t>
  </si>
  <si>
    <t>Grace Mary</t>
  </si>
  <si>
    <t>Beatrice Hilda</t>
  </si>
  <si>
    <t>Stoke</t>
  </si>
  <si>
    <t>Stationers Assistant</t>
  </si>
  <si>
    <t>Boots, Limited</t>
  </si>
  <si>
    <t>Edgar Herbert</t>
  </si>
  <si>
    <t>Manufacturer Of Cotton Lace</t>
  </si>
  <si>
    <t>Cleynman</t>
  </si>
  <si>
    <t>Steeple, Essex, England</t>
  </si>
  <si>
    <t>Florence Ruth</t>
  </si>
  <si>
    <t>Haseldine</t>
  </si>
  <si>
    <t>Trowell, Nottinghamshire, England</t>
  </si>
  <si>
    <t>Vickers</t>
  </si>
  <si>
    <t>Lace Manufacturer (Director)</t>
  </si>
  <si>
    <t>Vickers Hine Ltd</t>
  </si>
  <si>
    <t>Jessie Anna</t>
  </si>
  <si>
    <t>Jesse Margaret</t>
  </si>
  <si>
    <t>Anncoe</t>
  </si>
  <si>
    <t>Professional Nurse</t>
  </si>
  <si>
    <t>Thirza</t>
  </si>
  <si>
    <t>Havant, Hampshire, England</t>
  </si>
  <si>
    <t>Miriam Mabel</t>
  </si>
  <si>
    <t>Caster</t>
  </si>
  <si>
    <t>Shelbourne</t>
  </si>
  <si>
    <t>Tutor &amp; Examination Coach</t>
  </si>
  <si>
    <t>Cyril Arthur</t>
  </si>
  <si>
    <t>Geoffrey James</t>
  </si>
  <si>
    <t>Bertha</t>
  </si>
  <si>
    <t>Fitchett</t>
  </si>
  <si>
    <t>Farndon, Nottinghamshire, England</t>
  </si>
  <si>
    <t>Albert Reuben</t>
  </si>
  <si>
    <t>Atkey</t>
  </si>
  <si>
    <t>Motor Agent Member Of Parliament</t>
  </si>
  <si>
    <t>Euphemia Althea</t>
  </si>
  <si>
    <t>Yrette Joyce</t>
  </si>
  <si>
    <t>Lucy Jane</t>
  </si>
  <si>
    <t>Hubbard</t>
  </si>
  <si>
    <t>Timms</t>
  </si>
  <si>
    <t>Ira George</t>
  </si>
  <si>
    <t>Goldhawk</t>
  </si>
  <si>
    <t>Kimpton, Hertfordshire, England</t>
  </si>
  <si>
    <t>Wesleyan Methodist</t>
  </si>
  <si>
    <t>Wesleyan Methodist Conference</t>
  </si>
  <si>
    <t>Godfrey Armstrong</t>
  </si>
  <si>
    <t>West Bromwich, Staffordshire, England</t>
  </si>
  <si>
    <t>Burking</t>
  </si>
  <si>
    <t>Bridgett</t>
  </si>
  <si>
    <t>Director Of W Bridge Stone Ld</t>
  </si>
  <si>
    <t>Beryl Gladys Irena</t>
  </si>
  <si>
    <t>Amy</t>
  </si>
  <si>
    <t>Stubbs</t>
  </si>
  <si>
    <t>Cook Domestic Servant</t>
  </si>
  <si>
    <t>Elsie May</t>
  </si>
  <si>
    <t>Sams</t>
  </si>
  <si>
    <t>Blankney, Lincolnshire, England</t>
  </si>
  <si>
    <t>Housemaid Domestic Servant</t>
  </si>
  <si>
    <t>Bernard</t>
  </si>
  <si>
    <t>Wicker Furnance Dealer</t>
  </si>
  <si>
    <t>Florence Beatrice</t>
  </si>
  <si>
    <t>Daybrook, Nottinghamshire, England</t>
  </si>
  <si>
    <t>Gertrude Eliza</t>
  </si>
  <si>
    <t>Malin</t>
  </si>
  <si>
    <t>Cotgrave, Nottinghamshire, England</t>
  </si>
  <si>
    <t>Arman</t>
  </si>
  <si>
    <t>Wholsale Warehouseman</t>
  </si>
  <si>
    <t>Georgiana</t>
  </si>
  <si>
    <t>Scremby, Lincolnshire, England</t>
  </si>
  <si>
    <t>Kate E</t>
  </si>
  <si>
    <t>Portas</t>
  </si>
  <si>
    <t>sunnyside is listed as two houses</t>
  </si>
  <si>
    <t>Donald S</t>
  </si>
  <si>
    <t>Works Manager &amp; Typewrite Works</t>
  </si>
  <si>
    <t>Barstock Typewriter Co Ltd</t>
  </si>
  <si>
    <t>Antwerp, Belgium</t>
  </si>
  <si>
    <t>Suganne</t>
  </si>
  <si>
    <t>Blain</t>
  </si>
  <si>
    <t>New Cross, London, England</t>
  </si>
  <si>
    <t>Childs Nurse</t>
  </si>
  <si>
    <t>Norah</t>
  </si>
  <si>
    <t>Murray</t>
  </si>
  <si>
    <t>Grove House</t>
  </si>
  <si>
    <t>James Henry</t>
  </si>
  <si>
    <t>Soarrier</t>
  </si>
  <si>
    <t>Nottm Mill Co Timber Merchants</t>
  </si>
  <si>
    <t>Lizzie</t>
  </si>
  <si>
    <t>Branley</t>
  </si>
  <si>
    <t>Groove house on census</t>
  </si>
  <si>
    <t>The Spring on census</t>
  </si>
  <si>
    <t>The Spinney</t>
  </si>
  <si>
    <t>John Rolland</t>
  </si>
  <si>
    <t>Director Wholesale Clothing Company</t>
  </si>
  <si>
    <t>Winns Parker Ltd Houndsgate Nottingham</t>
  </si>
  <si>
    <t>Lucy Mabel</t>
  </si>
  <si>
    <t>Ann</t>
  </si>
  <si>
    <t>Gilding</t>
  </si>
  <si>
    <t>Parkinson</t>
  </si>
  <si>
    <t>Richard</t>
  </si>
  <si>
    <t>Kirby</t>
  </si>
  <si>
    <t>Wallpaper Manufacturer</t>
  </si>
  <si>
    <t>The Wallpaper Ltd, Carlisle &amp; Clagg Branch</t>
  </si>
  <si>
    <t>Eliza Anne</t>
  </si>
  <si>
    <t>Ellen Louisa</t>
  </si>
  <si>
    <t>Casthedine</t>
  </si>
  <si>
    <t>George L</t>
  </si>
  <si>
    <t>Shepherd</t>
  </si>
  <si>
    <t>Engineer Press Work</t>
  </si>
  <si>
    <t>Dorset, England</t>
  </si>
  <si>
    <t>Theresa</t>
  </si>
  <si>
    <t>New Malden, Surrey, England</t>
  </si>
  <si>
    <t>Anthony</t>
  </si>
  <si>
    <t>Issett</t>
  </si>
  <si>
    <t>Curzon</t>
  </si>
  <si>
    <t>Cursham</t>
  </si>
  <si>
    <t>Sheila Moorhouse</t>
  </si>
  <si>
    <t>Donegal, Ireland</t>
  </si>
  <si>
    <t>Evanaa</t>
  </si>
  <si>
    <t>Pepper</t>
  </si>
  <si>
    <t>Foston, Lincolnshire, England</t>
  </si>
  <si>
    <t>E Jessie</t>
  </si>
  <si>
    <t>Wilkins</t>
  </si>
  <si>
    <t>Winifred M</t>
  </si>
  <si>
    <t>Waters</t>
  </si>
  <si>
    <t>Instruction Of Physical Training</t>
  </si>
  <si>
    <t>Notts Ed Committee</t>
  </si>
  <si>
    <t>E Winifred</t>
  </si>
  <si>
    <t>Goldsmith</t>
  </si>
  <si>
    <t>Emma Elizabeth</t>
  </si>
  <si>
    <t>Andover, Hampshire, England</t>
  </si>
  <si>
    <t>Dran</t>
  </si>
  <si>
    <t>Domestic Occupation</t>
  </si>
  <si>
    <t>Edmund Herbert</t>
  </si>
  <si>
    <t>Child</t>
  </si>
  <si>
    <t>Halifax, Yorkshire, England</t>
  </si>
  <si>
    <t>Eveline Annie</t>
  </si>
  <si>
    <t>Geoffrey Edmund</t>
  </si>
  <si>
    <t>Isabel Edith</t>
  </si>
  <si>
    <t>Holrayde</t>
  </si>
  <si>
    <t>Amy Marida</t>
  </si>
  <si>
    <t>Froldlie</t>
  </si>
  <si>
    <t>Martha Amelia</t>
  </si>
  <si>
    <t>Mansfield</t>
  </si>
  <si>
    <t>Woodville, Derbyshire, England</t>
  </si>
  <si>
    <t>Robson</t>
  </si>
  <si>
    <t>Byers Green, Durham, England</t>
  </si>
  <si>
    <t>Ballinger</t>
  </si>
  <si>
    <t>Attercliffe, Yorkshire, England</t>
  </si>
  <si>
    <t>John Parnham</t>
  </si>
  <si>
    <t>Dataller Coal Miner</t>
  </si>
  <si>
    <t>Babbington Colliery Co</t>
  </si>
  <si>
    <t>Newcastle Terrace</t>
  </si>
  <si>
    <t>William Felix</t>
  </si>
  <si>
    <t>Falesman Pickling Dry Saltrey</t>
  </si>
  <si>
    <t>J Pack Fisher Gate Out Of Work</t>
  </si>
  <si>
    <t>Clerk In Hosiery Manufacturer</t>
  </si>
  <si>
    <t>J &amp; R Morley</t>
  </si>
  <si>
    <t>J Jardine</t>
  </si>
  <si>
    <t>is wellington terrace on census</t>
  </si>
  <si>
    <t>there are 20 houses will need to check which are park as 1911 does not give so many houses.</t>
  </si>
  <si>
    <t>need to check</t>
  </si>
  <si>
    <t>Wilfred Owen</t>
  </si>
  <si>
    <t>Timber Merchant The Nottingham Mills Co</t>
  </si>
  <si>
    <t>Vera Lilian</t>
  </si>
  <si>
    <t>Harriet Elvina</t>
  </si>
  <si>
    <t>Weselby</t>
  </si>
  <si>
    <t>West Beckham, Norfolk, England</t>
  </si>
  <si>
    <t>Kathleen Edith</t>
  </si>
  <si>
    <t>Walsham Le Willows, Suffolk, England</t>
  </si>
  <si>
    <t>is down as drive william mount on census</t>
  </si>
  <si>
    <t>Frank William</t>
  </si>
  <si>
    <t>Auctioneer Stationer</t>
  </si>
  <si>
    <t>Millicent Coy</t>
  </si>
  <si>
    <t>Muogesorre</t>
  </si>
  <si>
    <t>Slater</t>
  </si>
  <si>
    <t>Houlton</t>
  </si>
  <si>
    <t>did not return on census check until you do search for names - one of them is down as russell road</t>
  </si>
  <si>
    <t>Plumber</t>
  </si>
  <si>
    <t>Ball &amp; Son Ltd Plumbers Etc</t>
  </si>
  <si>
    <t>New Lenton, Nottinghamshire, England</t>
  </si>
  <si>
    <t>Tom</t>
  </si>
  <si>
    <t>Unemployed</t>
  </si>
  <si>
    <t>Penryn or pensby Cottage</t>
  </si>
  <si>
    <t>albert</t>
  </si>
  <si>
    <t>ada</t>
  </si>
  <si>
    <t>drinkwater</t>
  </si>
  <si>
    <t>harold</t>
  </si>
  <si>
    <t xml:space="preserve">cedar Lodge </t>
  </si>
  <si>
    <t>head</t>
  </si>
  <si>
    <t>wife</t>
  </si>
  <si>
    <t>male</t>
  </si>
  <si>
    <t>female</t>
  </si>
  <si>
    <t>police constable</t>
  </si>
  <si>
    <t>the cottage</t>
  </si>
  <si>
    <t>Mary anne</t>
  </si>
  <si>
    <t>widow</t>
  </si>
  <si>
    <t xml:space="preserve">lace patterns </t>
  </si>
  <si>
    <t xml:space="preserve">samuel settle lace manuf </t>
  </si>
  <si>
    <t>single</t>
  </si>
  <si>
    <t>radford</t>
  </si>
  <si>
    <t>frederick richardson</t>
  </si>
  <si>
    <t>albert edward</t>
  </si>
  <si>
    <t>harriet kate</t>
  </si>
  <si>
    <t>hosier</t>
  </si>
  <si>
    <t>jane annie</t>
  </si>
  <si>
    <t>williams</t>
  </si>
  <si>
    <t>agnes ruth</t>
  </si>
  <si>
    <t>hazleton</t>
  </si>
  <si>
    <t>widower</t>
  </si>
  <si>
    <t>lace manf</t>
  </si>
  <si>
    <t>employer</t>
  </si>
  <si>
    <t>heathcote st notts</t>
  </si>
  <si>
    <t>dorset</t>
  </si>
  <si>
    <t>lincs</t>
  </si>
  <si>
    <t>essex</t>
  </si>
  <si>
    <t>Drinkwater</t>
  </si>
  <si>
    <t>Police Constable</t>
  </si>
  <si>
    <t>Notingham City</t>
  </si>
  <si>
    <t>Harold</t>
  </si>
  <si>
    <t>grees or cedar Lodge ?</t>
  </si>
  <si>
    <t xml:space="preserve">cannot find in search </t>
  </si>
  <si>
    <t>Frederick Richardson</t>
  </si>
  <si>
    <t>Foundry &amp; Ac Manufacturer Nm Retired</t>
  </si>
  <si>
    <t>Albert Edward</t>
  </si>
  <si>
    <t>Harriet Kate</t>
  </si>
  <si>
    <t>Hosier</t>
  </si>
  <si>
    <t>Jane Annie</t>
  </si>
  <si>
    <t>Skellingthorpe, Lincolnshire, England</t>
  </si>
  <si>
    <t>Agnes Ruth</t>
  </si>
  <si>
    <t>Hazelton</t>
  </si>
  <si>
    <t>Tunnel Road</t>
  </si>
  <si>
    <t>Speed</t>
  </si>
  <si>
    <t>Violinist</t>
  </si>
  <si>
    <t>Domestic Service</t>
  </si>
  <si>
    <t>Director Of Various Companies</t>
  </si>
  <si>
    <t>Lizzie Ann</t>
  </si>
  <si>
    <t>Hutchinson</t>
  </si>
  <si>
    <t>Martha Eusden</t>
  </si>
  <si>
    <t>Sargeant</t>
  </si>
  <si>
    <t xml:space="preserve">gertrude house /Gartree </t>
  </si>
  <si>
    <t>Frank Arthur</t>
  </si>
  <si>
    <t>Aline</t>
  </si>
  <si>
    <t>Hartshorn</t>
  </si>
  <si>
    <t>Calais, France</t>
  </si>
  <si>
    <t>Marriett</t>
  </si>
  <si>
    <t>Tomlins</t>
  </si>
  <si>
    <t>Eva Emma</t>
  </si>
  <si>
    <t>Nalls</t>
  </si>
  <si>
    <t>Evay Margey</t>
  </si>
  <si>
    <t>Arterton</t>
  </si>
  <si>
    <t>Redcliffe</t>
  </si>
  <si>
    <t>Bromly</t>
  </si>
  <si>
    <t>Sylvia</t>
  </si>
  <si>
    <t>Whitman</t>
  </si>
  <si>
    <t>Whitmore</t>
  </si>
  <si>
    <t>Lace Trade</t>
  </si>
  <si>
    <t>Elizabeth Christine</t>
  </si>
  <si>
    <t>Whitaker</t>
  </si>
  <si>
    <t>Florence Mary</t>
  </si>
  <si>
    <t>Wootton</t>
  </si>
  <si>
    <t>Wymeswold, Leicestershire, England</t>
  </si>
  <si>
    <t>Blackburne</t>
  </si>
  <si>
    <t>Ancaster, Lincolnshire, England</t>
  </si>
  <si>
    <t>allendale</t>
  </si>
  <si>
    <t>Church</t>
  </si>
  <si>
    <t>had to look up as not listed</t>
  </si>
  <si>
    <t>William C</t>
  </si>
  <si>
    <t xml:space="preserve">Ester </t>
  </si>
  <si>
    <t>Auguster</t>
  </si>
  <si>
    <t>Stockwell</t>
  </si>
  <si>
    <t>Canada</t>
  </si>
  <si>
    <t>Lancs</t>
  </si>
  <si>
    <t>Ches</t>
  </si>
  <si>
    <t>General domestic</t>
  </si>
  <si>
    <t>MD Boots</t>
  </si>
  <si>
    <t>Dobbs</t>
  </si>
  <si>
    <t>overdale</t>
  </si>
  <si>
    <t>Bernard Henry</t>
  </si>
  <si>
    <t>Edith Amy</t>
  </si>
  <si>
    <t>Lace manu 20 Stoney St</t>
  </si>
  <si>
    <t>Watnough</t>
  </si>
  <si>
    <t xml:space="preserve">Edwin </t>
  </si>
  <si>
    <t xml:space="preserve">Elizabeth C </t>
  </si>
  <si>
    <t>Leeds</t>
  </si>
  <si>
    <t>MD E watnorth Co. Confectionary</t>
  </si>
  <si>
    <t>Elmhurst</t>
  </si>
  <si>
    <t>Cavendish Rd East</t>
  </si>
  <si>
    <t>Coalker</t>
  </si>
  <si>
    <t>Mansale Cavinwest Rd East, The Park, Nottingham, Nottinghamshire, England</t>
  </si>
  <si>
    <t>Augusta</t>
  </si>
  <si>
    <t>Allchurch</t>
  </si>
  <si>
    <t>William J</t>
  </si>
  <si>
    <t>Hagley, Worcestershire, England</t>
  </si>
  <si>
    <t>Achurch</t>
  </si>
  <si>
    <t>Geoffrey Berry</t>
  </si>
  <si>
    <t>Dorothy Sylvia</t>
  </si>
  <si>
    <t>Lettia</t>
  </si>
  <si>
    <t>Dexter</t>
  </si>
  <si>
    <t>Parkin</t>
  </si>
  <si>
    <t>Kilburn, Derbyshire, England</t>
  </si>
  <si>
    <t>Hannah M</t>
  </si>
  <si>
    <t>Brittam</t>
  </si>
  <si>
    <t>Green</t>
  </si>
  <si>
    <t>Huntingdonshire, England</t>
  </si>
  <si>
    <t>Aileen K</t>
  </si>
  <si>
    <t>Baxter</t>
  </si>
  <si>
    <t>Woolwich, Kent, England</t>
  </si>
  <si>
    <t>Nurseman</t>
  </si>
  <si>
    <t>Clumber Rd West</t>
  </si>
  <si>
    <t>Kathleen Maud</t>
  </si>
  <si>
    <t>Marriott</t>
  </si>
  <si>
    <t>Head, daughter</t>
  </si>
  <si>
    <t>Private Secretary</t>
  </si>
  <si>
    <t>Richard Mariott Solicitor</t>
  </si>
  <si>
    <t>Adams</t>
  </si>
  <si>
    <t>Uppingham, Rutland, England</t>
  </si>
  <si>
    <t>Mr Rhamolt Castle Grove The Park, Nottin</t>
  </si>
  <si>
    <t>Constance May</t>
  </si>
  <si>
    <t>Wilgoose</t>
  </si>
  <si>
    <t>Kate Mary</t>
  </si>
  <si>
    <t>Farm Duties, None</t>
  </si>
  <si>
    <t>Kathleen May</t>
  </si>
  <si>
    <t>Orston, Nottinghamshire, England</t>
  </si>
  <si>
    <t>Cook At Mrs Snooks</t>
  </si>
  <si>
    <t>Lowdham, Nottinghamshire, England</t>
  </si>
  <si>
    <t>Housemaid (Day) On Own Account</t>
  </si>
  <si>
    <t>Rudolf</t>
  </si>
  <si>
    <t>Vogel</t>
  </si>
  <si>
    <t>Germany</t>
  </si>
  <si>
    <t>Managing Director Of Limited Company Of Lace Manufacturers &amp; Exporters</t>
  </si>
  <si>
    <t>Flersheim &amp; Co Ltd</t>
  </si>
  <si>
    <t>Alice Mary</t>
  </si>
  <si>
    <t>Richard Ernest</t>
  </si>
  <si>
    <t>Veronica Agnes Victoria</t>
  </si>
  <si>
    <t>Kelly</t>
  </si>
  <si>
    <t>Domestic Service Trader</t>
  </si>
  <si>
    <t>Frank Bockitt</t>
  </si>
  <si>
    <t>Consulting Architect</t>
  </si>
  <si>
    <t>Corporation Of Nottingham</t>
  </si>
  <si>
    <t>Ellen Frances</t>
  </si>
  <si>
    <t>Elizabeth Beatrice</t>
  </si>
  <si>
    <t>Printer &amp; Stationer</t>
  </si>
  <si>
    <t>Mabel Maud</t>
  </si>
  <si>
    <t>Bicester, Oxfordshire, England</t>
  </si>
  <si>
    <t>Castle Grove</t>
  </si>
  <si>
    <t>Frederick Percy</t>
  </si>
  <si>
    <t>Auctioner &amp; Valuers</t>
  </si>
  <si>
    <t>F W Johnson Father</t>
  </si>
  <si>
    <t>Madeline Beatrice</t>
  </si>
  <si>
    <t>Sylvia Millicent</t>
  </si>
  <si>
    <t>Buckingham</t>
  </si>
  <si>
    <t>acacia</t>
  </si>
  <si>
    <t>Gertrude Margaret</t>
  </si>
  <si>
    <t>Dobrashian</t>
  </si>
  <si>
    <t>Constantinople, Turkey</t>
  </si>
  <si>
    <t>Qualified Medical Practitioner, M B B S London, Pathologist &amp; Bacteriologist</t>
  </si>
  <si>
    <t>Nottingham Corporation (City Laboratories)</t>
  </si>
  <si>
    <t>Fairford, Gloucestershire, England</t>
  </si>
  <si>
    <t>Private Jobbing</t>
  </si>
  <si>
    <t>Mary Dorcas</t>
  </si>
  <si>
    <t>Brattleby, Lincolnshire, England</t>
  </si>
  <si>
    <t>Brampton</t>
  </si>
  <si>
    <t>Spray</t>
  </si>
  <si>
    <t>Maker Up Of Ladies, Wearing Apparel</t>
  </si>
  <si>
    <t>Paecy</t>
  </si>
  <si>
    <t>Donington, Lincolnshire, England</t>
  </si>
  <si>
    <t>Greendale</t>
  </si>
  <si>
    <t>Samuel Ritchie</t>
  </si>
  <si>
    <t>Milford, Derbyshire, England</t>
  </si>
  <si>
    <t>Lace Manufacturers</t>
  </si>
  <si>
    <t>Margaret Emily</t>
  </si>
  <si>
    <t>Margaret Alys</t>
  </si>
  <si>
    <t>Risley, Derbyshire, England</t>
  </si>
  <si>
    <t>Geoffrey William</t>
  </si>
  <si>
    <t>Beryl Louise</t>
  </si>
  <si>
    <t>Millicent</t>
  </si>
  <si>
    <t>L &amp; C Jackson</t>
  </si>
  <si>
    <t>Kenmore</t>
  </si>
  <si>
    <t>Napier</t>
  </si>
  <si>
    <t>Sidney Richard</t>
  </si>
  <si>
    <t>Tann</t>
  </si>
  <si>
    <t>Olton, Warwickshire, England</t>
  </si>
  <si>
    <t>Mr A Refthey, 11 Park Valley</t>
  </si>
  <si>
    <t>Daisy Chrisball</t>
  </si>
  <si>
    <t>Wordsley, Staffordshire, England</t>
  </si>
  <si>
    <t>The Cottage</t>
  </si>
  <si>
    <t>Godfrey William</t>
  </si>
  <si>
    <t>Mistley, Essex, England</t>
  </si>
  <si>
    <t>Mary Teresa</t>
  </si>
  <si>
    <t>Perry</t>
  </si>
  <si>
    <t>Elisa May</t>
  </si>
  <si>
    <t>Barnett</t>
  </si>
  <si>
    <t>Lilian Rosina</t>
  </si>
  <si>
    <t>Aines</t>
  </si>
  <si>
    <t>Helen Main</t>
  </si>
  <si>
    <t>Robert C</t>
  </si>
  <si>
    <t>Maripalker</t>
  </si>
  <si>
    <t>Oliver</t>
  </si>
  <si>
    <t>Nurse Private</t>
  </si>
  <si>
    <t>Aldis</t>
  </si>
  <si>
    <t>Cattal, Yorkshire, England</t>
  </si>
  <si>
    <t>Matilda</t>
  </si>
  <si>
    <t>Gilletle</t>
  </si>
  <si>
    <t>Latham</t>
  </si>
  <si>
    <t>Andera Louise</t>
  </si>
  <si>
    <t>Porchet</t>
  </si>
  <si>
    <t>Vaud, Switzerland</t>
  </si>
  <si>
    <t>Hedwige Margaret</t>
  </si>
  <si>
    <t>Witschi</t>
  </si>
  <si>
    <t>Dorothea Mary</t>
  </si>
  <si>
    <t>Evelyn Jane</t>
  </si>
  <si>
    <t>Lea, Derbyshire, England</t>
  </si>
  <si>
    <t>John Kenish</t>
  </si>
  <si>
    <t>Jessie Kentish</t>
  </si>
  <si>
    <t>Dorothea Kentish</t>
  </si>
  <si>
    <t>Ursula Kentish</t>
  </si>
  <si>
    <t>Teacher Of Elomtim</t>
  </si>
  <si>
    <t>Lickorish</t>
  </si>
  <si>
    <t>Copeland</t>
  </si>
  <si>
    <t>Bengal, India</t>
  </si>
  <si>
    <t>Army Medical Service Retired</t>
  </si>
  <si>
    <t>Ministry Of Pensioner</t>
  </si>
  <si>
    <t>Madeline</t>
  </si>
  <si>
    <t>Punjab, India</t>
  </si>
  <si>
    <t>Rigby</t>
  </si>
  <si>
    <t>Progress Clerk</t>
  </si>
  <si>
    <t>Commell Laird &amp; Co, Carriage &amp; Wagon Works</t>
  </si>
  <si>
    <t>Insurance Official</t>
  </si>
  <si>
    <t>Liverpool London &amp; Globe Insurance Co</t>
  </si>
  <si>
    <t>Eda</t>
  </si>
  <si>
    <t>Morgan</t>
  </si>
  <si>
    <t>Monks</t>
  </si>
  <si>
    <t>Gee</t>
  </si>
  <si>
    <t>Retired Hosier</t>
  </si>
  <si>
    <t>Hilda Mary Hill</t>
  </si>
  <si>
    <t>Rosenthal</t>
  </si>
  <si>
    <t>Geoffrey Hill</t>
  </si>
  <si>
    <t>Articled To Chartered Accountant</t>
  </si>
  <si>
    <t>Messrs Mellors Basden And Mellors</t>
  </si>
  <si>
    <t>Upwood, Huntingdonshire, England</t>
  </si>
  <si>
    <t>Agnes Mary</t>
  </si>
  <si>
    <t>Kew, Surrey, England</t>
  </si>
  <si>
    <t>Gunby</t>
  </si>
  <si>
    <t>Edith Mary</t>
  </si>
  <si>
    <t>Margaret Helen</t>
  </si>
  <si>
    <t>Arthur James</t>
  </si>
  <si>
    <t>Mechanical Engineer</t>
  </si>
  <si>
    <t>Colonial Ammunition Company Limited</t>
  </si>
  <si>
    <t>Arthur William Alexander</t>
  </si>
  <si>
    <t>Melbourne, Victoria, Australia</t>
  </si>
  <si>
    <t>Isabel May Ruth</t>
  </si>
  <si>
    <t>Jane Hepburn Scott</t>
  </si>
  <si>
    <t>Line</t>
  </si>
  <si>
    <t>Male Attendant</t>
  </si>
  <si>
    <t>Mason</t>
  </si>
  <si>
    <t>Nurse (Domestic)</t>
  </si>
  <si>
    <t>Bellairs</t>
  </si>
  <si>
    <t>Maud May</t>
  </si>
  <si>
    <t>Bland</t>
  </si>
  <si>
    <t>Joseph Roland</t>
  </si>
  <si>
    <t>Lace &amp; Plain Net Manufacturer</t>
  </si>
  <si>
    <t>Maidens</t>
  </si>
  <si>
    <t>Mabel Isabella</t>
  </si>
  <si>
    <t>Ladley</t>
  </si>
  <si>
    <t>Alford, Lincolnshire, England</t>
  </si>
  <si>
    <t>Priestley</t>
  </si>
  <si>
    <t>Bradford, Yorkshire, England</t>
  </si>
  <si>
    <t>Louise</t>
  </si>
  <si>
    <t>Bogaerts</t>
  </si>
  <si>
    <t>Stonton</t>
  </si>
  <si>
    <t>Florence Mabel</t>
  </si>
  <si>
    <t>Barkston, Lincolnshire, England</t>
  </si>
  <si>
    <t>Jenni</t>
  </si>
  <si>
    <t>Bersham, Denbighshire, Wales</t>
  </si>
  <si>
    <t>Newstead, Nottinghamshire, England</t>
  </si>
  <si>
    <t>Newthorpe Common, Nottinghamshire, England</t>
  </si>
  <si>
    <t>Coole</t>
  </si>
  <si>
    <t>Percy Marriott</t>
  </si>
  <si>
    <t>Hammersmith, London, England</t>
  </si>
  <si>
    <t>Surveyor &amp; Valuer</t>
  </si>
  <si>
    <t>Midland Rly Co</t>
  </si>
  <si>
    <t>Maud Madeline</t>
  </si>
  <si>
    <t>Mary Zoei Payne</t>
  </si>
  <si>
    <t>Ethel Charlotte</t>
  </si>
  <si>
    <t>Kelleher</t>
  </si>
  <si>
    <t>Cork, Cork, Ireland</t>
  </si>
  <si>
    <t>Tierney</t>
  </si>
  <si>
    <t>Clare, Ireland</t>
  </si>
  <si>
    <t>Matlock, Derbyshire, England</t>
  </si>
  <si>
    <t>Gertrude Betsy</t>
  </si>
  <si>
    <t>Knabe</t>
  </si>
  <si>
    <t>Coppock</t>
  </si>
  <si>
    <t>Gardener Chauffeur</t>
  </si>
  <si>
    <t>Prwall</t>
  </si>
  <si>
    <t>Beatrice Annie</t>
  </si>
  <si>
    <t>Lineker</t>
  </si>
  <si>
    <t>Forster</t>
  </si>
  <si>
    <t>Charles Littlewood</t>
  </si>
  <si>
    <t>Lieutenant South Bros The Sherwood Foresters</t>
  </si>
  <si>
    <t>Fanny Evelyn</t>
  </si>
  <si>
    <t>Irene</t>
  </si>
  <si>
    <t>Woodland</t>
  </si>
  <si>
    <t>Daisy Mary</t>
  </si>
  <si>
    <t>Dickinson</t>
  </si>
  <si>
    <t>Pickworth, Lincolnshire, England</t>
  </si>
  <si>
    <t>Tayler</t>
  </si>
  <si>
    <t>J P For The County Of Surrey</t>
  </si>
  <si>
    <t>Brenda Massingberd</t>
  </si>
  <si>
    <t>Grahl</t>
  </si>
  <si>
    <t>Step-daughter</t>
  </si>
  <si>
    <t>Doncaster, Yorkshire, England</t>
  </si>
  <si>
    <t>Bristowe</t>
  </si>
  <si>
    <t>Pointon, Lincolnshire, England</t>
  </si>
  <si>
    <t>House Smith</t>
  </si>
  <si>
    <t>Wetherell</t>
  </si>
  <si>
    <t>Pearce</t>
  </si>
  <si>
    <t>Adcock</t>
  </si>
  <si>
    <t>Parlour maid, servant</t>
  </si>
  <si>
    <t>Treswell, Nottinghamshire, England</t>
  </si>
  <si>
    <t>Parlor Maid</t>
  </si>
  <si>
    <t>McGrath</t>
  </si>
  <si>
    <t>Housemaid, servant</t>
  </si>
  <si>
    <t>Aberdeenshire, Scotland</t>
  </si>
  <si>
    <t>Houseman</t>
  </si>
  <si>
    <t>Greenhalgh</t>
  </si>
  <si>
    <t>Farm Labourer</t>
  </si>
  <si>
    <t>Mary Helen</t>
  </si>
  <si>
    <t>Cheshire, England</t>
  </si>
  <si>
    <t>Invalid</t>
  </si>
  <si>
    <t>Gladys Stewart</t>
  </si>
  <si>
    <t>Port Elizabeth, South Africa</t>
  </si>
  <si>
    <t>Annie Kathleen</t>
  </si>
  <si>
    <t>Box</t>
  </si>
  <si>
    <t>Bates</t>
  </si>
  <si>
    <t>John Twells</t>
  </si>
  <si>
    <t>Poole</t>
  </si>
  <si>
    <t>Deptford, London, England</t>
  </si>
  <si>
    <t>Assistant Curate, St Mary's Nottingham</t>
  </si>
  <si>
    <t>Rosamund Allen</t>
  </si>
  <si>
    <t>Hannah Mary</t>
  </si>
  <si>
    <t>Elizabeth Twells</t>
  </si>
  <si>
    <t>Joanna Rosamund</t>
  </si>
  <si>
    <t>Temple Ewell, Kent, England</t>
  </si>
  <si>
    <t>Mary Beatrice</t>
  </si>
  <si>
    <t>Dutton</t>
  </si>
  <si>
    <t>Birkenhead, Cheshire, England</t>
  </si>
  <si>
    <t>Organizing Secretary</t>
  </si>
  <si>
    <t>Charity Organisation Society</t>
  </si>
  <si>
    <t>Robert Sheldon</t>
  </si>
  <si>
    <t>School Master</t>
  </si>
  <si>
    <t>Governess Of Nottingham Highschool</t>
  </si>
  <si>
    <t>Ganton, Yorkshire, England</t>
  </si>
  <si>
    <t>William K</t>
  </si>
  <si>
    <t>Mirst</t>
  </si>
  <si>
    <t>Annie R</t>
  </si>
  <si>
    <t>Selina</t>
  </si>
  <si>
    <t>Hettie Mary</t>
  </si>
  <si>
    <t>Howitt</t>
  </si>
  <si>
    <t>Whiston</t>
  </si>
  <si>
    <t>Claude</t>
  </si>
  <si>
    <t>Moore</t>
  </si>
  <si>
    <t>Lioue</t>
  </si>
  <si>
    <t>Davies</t>
  </si>
  <si>
    <t>Newcastle Drive</t>
  </si>
  <si>
    <t>Ernest J</t>
  </si>
  <si>
    <t>Leather Manufacturers</t>
  </si>
  <si>
    <t>Dicken</t>
  </si>
  <si>
    <t>Stapenhill, Derbyshire, England</t>
  </si>
  <si>
    <t>Pelham Terrace</t>
  </si>
  <si>
    <t xml:space="preserve">had to recheck census as only one house showing originall </t>
  </si>
  <si>
    <t>Pelham Crescent</t>
  </si>
  <si>
    <t>PTC</t>
  </si>
  <si>
    <t>had to recheck census as only one house showing original and has changed from pelham terrace to pelham crescent</t>
  </si>
  <si>
    <t>see pelham terrace 1911</t>
  </si>
  <si>
    <t>in census is down as a 'separate entry' special permission</t>
  </si>
  <si>
    <t>Harold Bradberry</t>
  </si>
  <si>
    <t>West</t>
  </si>
  <si>
    <t>Clerk General Book Keeper</t>
  </si>
  <si>
    <t>Government Regional Hd Qtrs M Op Stoney St Nottm</t>
  </si>
  <si>
    <t>Beatrice Lillie Mather</t>
  </si>
  <si>
    <t>Nora Annie Louis</t>
  </si>
  <si>
    <t>Hyson Green, Nottinghamshire, England</t>
  </si>
  <si>
    <t>Kathleen Olive</t>
  </si>
  <si>
    <t>Estate office (probably Lenton Rd)</t>
  </si>
  <si>
    <t>Percy Banto</t>
  </si>
  <si>
    <t>Rushton</t>
  </si>
  <si>
    <t>Warehouseman &amp; Milling Manufacturre</t>
  </si>
  <si>
    <t>Lilian Alice</t>
  </si>
  <si>
    <t>Joan Broyle</t>
  </si>
  <si>
    <t>Decorator &amp; Builder Retired</t>
  </si>
  <si>
    <t>Florence Alice</t>
  </si>
  <si>
    <t>Merson</t>
  </si>
  <si>
    <t>Tattersall Ave in census</t>
  </si>
  <si>
    <t>Constance Edith</t>
  </si>
  <si>
    <t>Bourne</t>
  </si>
  <si>
    <t>Simla, India</t>
  </si>
  <si>
    <t>Phillips</t>
  </si>
  <si>
    <t>Dudley, Worcestershire, England</t>
  </si>
  <si>
    <t>Winifred Emily</t>
  </si>
  <si>
    <t>Daniels</t>
  </si>
  <si>
    <t>Radcliffe, Nottinghamshire, England</t>
  </si>
  <si>
    <t>Tottersall Drive in census</t>
  </si>
  <si>
    <t>Frances Gwendoline</t>
  </si>
  <si>
    <t>Kease</t>
  </si>
  <si>
    <t>Arthur Osacr</t>
  </si>
  <si>
    <t>Hanish</t>
  </si>
  <si>
    <t>Wisconsin, United States</t>
  </si>
  <si>
    <t>Manufacturer Hosiery Machinery</t>
  </si>
  <si>
    <t>Paramont Hosiery Company, Beeston</t>
  </si>
  <si>
    <t>Arthur A</t>
  </si>
  <si>
    <t>Gunning</t>
  </si>
  <si>
    <t>Boston, Massachusetts, United States</t>
  </si>
  <si>
    <t>Vice Consul Of The U S A</t>
  </si>
  <si>
    <t>U S Government</t>
  </si>
  <si>
    <t>Irene M M</t>
  </si>
  <si>
    <t>Macmillan</t>
  </si>
  <si>
    <t>James G</t>
  </si>
  <si>
    <t>Prestwich, Lancashire, England</t>
  </si>
  <si>
    <t>Manufacture Textile Machinery</t>
  </si>
  <si>
    <t>Standara Machine Works Ltd</t>
  </si>
  <si>
    <t>William A</t>
  </si>
  <si>
    <t>Hollins</t>
  </si>
  <si>
    <t>Malvern, Worcestershire, England</t>
  </si>
  <si>
    <t>Mixture Yarn Spinner</t>
  </si>
  <si>
    <t>Messrs Hollins, Radford Notts</t>
  </si>
  <si>
    <t>Richard Warwick</t>
  </si>
  <si>
    <t>Bond</t>
  </si>
  <si>
    <t>Hindley, Lancashire, England</t>
  </si>
  <si>
    <t>Professor &amp; English Languages &amp; Lit</t>
  </si>
  <si>
    <t>University College Nottingham</t>
  </si>
  <si>
    <t>Amy Constance</t>
  </si>
  <si>
    <t>Walsham</t>
  </si>
  <si>
    <t>Boughton, Nottinghamshire, England</t>
  </si>
  <si>
    <t>Lynwood Tittersall Drive</t>
  </si>
  <si>
    <t>John Raven Erwin</t>
  </si>
  <si>
    <t>Northwich, Cheshire, England</t>
  </si>
  <si>
    <t>Chauffeur</t>
  </si>
  <si>
    <t>St Albans, Hertfordshire, England</t>
  </si>
  <si>
    <t>Gartree Lodge, Tattersett Drive</t>
  </si>
  <si>
    <t>Alice Maud</t>
  </si>
  <si>
    <t>Head, wife</t>
  </si>
  <si>
    <t>Leonard Alfred</t>
  </si>
  <si>
    <t>Assistant (Finishing Dept)</t>
  </si>
  <si>
    <t>Millonery Norway Textiel Oxby Ltd</t>
  </si>
  <si>
    <t>Constance Maud</t>
  </si>
  <si>
    <t>Carlton, Nottinghamshire, England</t>
  </si>
  <si>
    <t>Education</t>
  </si>
  <si>
    <t>Ellington Tattersall Drive</t>
  </si>
  <si>
    <t>Homes</t>
  </si>
  <si>
    <t>Malsters</t>
  </si>
  <si>
    <t>Tottersall Drive</t>
  </si>
  <si>
    <t>Father</t>
  </si>
  <si>
    <t>Lace Maker</t>
  </si>
  <si>
    <t>Lilian Doris</t>
  </si>
  <si>
    <t>Middleton</t>
  </si>
  <si>
    <t>1, Tottessal Drevy South</t>
  </si>
  <si>
    <t>Walter Henry</t>
  </si>
  <si>
    <t>Lilley</t>
  </si>
  <si>
    <t>Withington, Herefordshire, England</t>
  </si>
  <si>
    <t>Chirpidist</t>
  </si>
  <si>
    <t>John Player &amp; Sons</t>
  </si>
  <si>
    <t>Tottersel Drive</t>
  </si>
  <si>
    <t>Professional Musician Retired</t>
  </si>
  <si>
    <t>Vernon</t>
  </si>
  <si>
    <t>Home Duties Retired</t>
  </si>
  <si>
    <t>1, Albury Square Sattis All Drive</t>
  </si>
  <si>
    <t>Wilfred V</t>
  </si>
  <si>
    <t xml:space="preserve">reads as winifred vera on transcript but checked original </t>
  </si>
  <si>
    <t xml:space="preserve">Block Barker is stock broker see 1911 census </t>
  </si>
  <si>
    <t>? 5</t>
  </si>
  <si>
    <t>? Kenilworth House see 1911 census</t>
  </si>
  <si>
    <t xml:space="preserve">? 2 see 1911 </t>
  </si>
  <si>
    <t>? The chestnuts see 1911</t>
  </si>
  <si>
    <t>? Iveston 1911 census</t>
  </si>
  <si>
    <t>? 1</t>
  </si>
  <si>
    <t>? The chestnuts 1911 census</t>
  </si>
  <si>
    <t xml:space="preserve">2 ? 1911 </t>
  </si>
  <si>
    <t>Felixstowe see 1911</t>
  </si>
  <si>
    <t xml:space="preserve">? Holly lodge see 1911 same name servant </t>
  </si>
  <si>
    <t>Peter Morrison</t>
  </si>
  <si>
    <t>Maccoll</t>
  </si>
  <si>
    <t>Perthshire, Scotland</t>
  </si>
  <si>
    <t>House Governess &amp; Secretary</t>
  </si>
  <si>
    <t>Committee Of The General Hosptital, Nottingham</t>
  </si>
  <si>
    <t>Ada Eleanor</t>
  </si>
  <si>
    <t>Nancy Mary</t>
  </si>
  <si>
    <t>Mary Katherine</t>
  </si>
  <si>
    <t xml:space="preserve">tower house park row </t>
  </si>
  <si>
    <t>Stubbing</t>
  </si>
  <si>
    <t>Welbeck, Nottinghamshire, England</t>
  </si>
  <si>
    <t>Attendant</t>
  </si>
  <si>
    <t>Corporation</t>
  </si>
  <si>
    <t>Gunn</t>
  </si>
  <si>
    <t>park lodge park row</t>
  </si>
  <si>
    <t xml:space="preserve">Broxtowe House the park </t>
  </si>
  <si>
    <t>Whittingdale</t>
  </si>
  <si>
    <t>Surgeon</t>
  </si>
  <si>
    <t>House Surgeon</t>
  </si>
  <si>
    <t>Hawes</t>
  </si>
  <si>
    <t>Kneebone</t>
  </si>
  <si>
    <t>South Australia, Australia</t>
  </si>
  <si>
    <t>Physician</t>
  </si>
  <si>
    <t>House Physician</t>
  </si>
  <si>
    <t>Armstrong</t>
  </si>
  <si>
    <t>Sharp</t>
  </si>
  <si>
    <t>Herefordshire, England</t>
  </si>
  <si>
    <t>Gwennon Mary</t>
  </si>
  <si>
    <t>Dorothy Jean</t>
  </si>
  <si>
    <t>Gallie</t>
  </si>
  <si>
    <t>Ivy</t>
  </si>
  <si>
    <t>Billericay, Essex, England</t>
  </si>
  <si>
    <t>Borton</t>
  </si>
  <si>
    <t>Ootacamund, India</t>
  </si>
  <si>
    <t>Gosden</t>
  </si>
  <si>
    <t>Sudbury, Derbyshire, England</t>
  </si>
  <si>
    <t>Painting</t>
  </si>
  <si>
    <t>Little Malvern, Worcestershire, England</t>
  </si>
  <si>
    <t>Angus</t>
  </si>
  <si>
    <t xml:space="preserve">Park Terr the Park </t>
  </si>
  <si>
    <t>John Henry</t>
  </si>
  <si>
    <t>Runge</t>
  </si>
  <si>
    <t>Hanover, Germany</t>
  </si>
  <si>
    <t>Secretary (Retired)</t>
  </si>
  <si>
    <t>L O Tivett Ltd, Manufacture Nots Hosiery</t>
  </si>
  <si>
    <t>Lilly</t>
  </si>
  <si>
    <t>1922</t>
  </si>
  <si>
    <t>1923</t>
  </si>
  <si>
    <t>1924</t>
  </si>
  <si>
    <t>1925</t>
  </si>
  <si>
    <t>1926</t>
  </si>
  <si>
    <t>1927</t>
  </si>
  <si>
    <t>broxstowe house</t>
  </si>
  <si>
    <t>Burnaston, Derbyshire, England</t>
  </si>
  <si>
    <t>Florence Allissinon May</t>
  </si>
  <si>
    <t>Newark on Trent, Nottinghamshire, England</t>
  </si>
  <si>
    <t>Clerk To Nottingham Corporation</t>
  </si>
  <si>
    <t>Maybell Martina</t>
  </si>
  <si>
    <t>Nathaniel</t>
  </si>
  <si>
    <t>Keymer</t>
  </si>
  <si>
    <t>Hertford, Hertfordshire, England</t>
  </si>
  <si>
    <t>Clerk In Holy Orders Retired</t>
  </si>
  <si>
    <t>Perri</t>
  </si>
  <si>
    <t>Levy</t>
  </si>
  <si>
    <t>Junior May Co</t>
  </si>
  <si>
    <t>Moss</t>
  </si>
  <si>
    <t>Robert Percy</t>
  </si>
  <si>
    <t>William Alfred</t>
  </si>
  <si>
    <t>Bird</t>
  </si>
  <si>
    <t>East Leake, Nottinghamshire, England</t>
  </si>
  <si>
    <t>Derby hse derby rd</t>
  </si>
  <si>
    <t xml:space="preserve">no. 3 in 1911 census </t>
  </si>
  <si>
    <t>Warner</t>
  </si>
  <si>
    <t>Dorris Gwendolen</t>
  </si>
  <si>
    <t>Red Cross Nurse</t>
  </si>
  <si>
    <t>Procter</t>
  </si>
  <si>
    <t>Mrs Warner</t>
  </si>
  <si>
    <t>Edith Eveline</t>
  </si>
  <si>
    <t>Summers</t>
  </si>
  <si>
    <t>westwood</t>
  </si>
  <si>
    <t>Chambers</t>
  </si>
  <si>
    <t>Babbington, Nottinghamshire, England</t>
  </si>
  <si>
    <t>Cook Domestic</t>
  </si>
  <si>
    <t>Stanley, Derbyshire, England</t>
  </si>
  <si>
    <t>Nurse &amp; Sewing Maid</t>
  </si>
  <si>
    <t>Hilda Annie</t>
  </si>
  <si>
    <t>Parlourmaid Domestic</t>
  </si>
  <si>
    <t>Housemaid Domestic</t>
  </si>
  <si>
    <t>Brightlands</t>
  </si>
  <si>
    <t>Charles Robert</t>
  </si>
  <si>
    <t>Hemingway</t>
  </si>
  <si>
    <t>Railway Contractor</t>
  </si>
  <si>
    <t>Jessie Sinclair</t>
  </si>
  <si>
    <t>Beatrice Elizabeth</t>
  </si>
  <si>
    <t>Masseuse</t>
  </si>
  <si>
    <t>Mary Isabella</t>
  </si>
  <si>
    <t>Medical Practioner</t>
  </si>
  <si>
    <t>H Creachton Mitter Md</t>
  </si>
  <si>
    <t>Phyllis Duncan</t>
  </si>
  <si>
    <t>Logan</t>
  </si>
  <si>
    <t>Pauline</t>
  </si>
  <si>
    <t>Whiteley</t>
  </si>
  <si>
    <t>Mr Cr Hensieryway</t>
  </si>
  <si>
    <t>Table Maid</t>
  </si>
  <si>
    <t>Mr Cr Heningway</t>
  </si>
  <si>
    <t>Ethel Mansterfield</t>
  </si>
  <si>
    <t>Stainton, Yorkshire, England</t>
  </si>
  <si>
    <t>Penryn</t>
  </si>
  <si>
    <t>Mapperley, Derbyshire, England</t>
  </si>
  <si>
    <t>Cook House Keeper</t>
  </si>
  <si>
    <t>Harlshouse</t>
  </si>
  <si>
    <t>Stanley Common, Derbyshire, England</t>
  </si>
  <si>
    <t>edale</t>
  </si>
  <si>
    <t>Florentine ? Florsheim</t>
  </si>
  <si>
    <t>Holliwell</t>
  </si>
  <si>
    <t>Sir Wright</t>
  </si>
  <si>
    <t xml:space="preserve">Swawrick Bernard </t>
  </si>
  <si>
    <t>? Cavendish Lodge</t>
  </si>
  <si>
    <t>? Hardwick</t>
  </si>
  <si>
    <t>Frederick Iyer</t>
  </si>
  <si>
    <t>Cigar Manufacturer</t>
  </si>
  <si>
    <t>R I Dexter &amp; Sons Ltd</t>
  </si>
  <si>
    <t>Frank Ernest</t>
  </si>
  <si>
    <t>Clement George</t>
  </si>
  <si>
    <t>William Ernest Gladston</t>
  </si>
  <si>
    <t>Savage</t>
  </si>
  <si>
    <t>House Keeping</t>
  </si>
  <si>
    <t>Gedye</t>
  </si>
  <si>
    <t>Florence Maud</t>
  </si>
  <si>
    <t>Pickengill</t>
  </si>
  <si>
    <t>Clara Ellen</t>
  </si>
  <si>
    <t>Cockayne</t>
  </si>
  <si>
    <t>thursmore</t>
  </si>
  <si>
    <t>Thomas Berridge</t>
  </si>
  <si>
    <t>Solicitor &amp; Motor Public</t>
  </si>
  <si>
    <t>Ada Elizabeth</t>
  </si>
  <si>
    <t>Ragsdall</t>
  </si>
  <si>
    <t>Rose Edith</t>
  </si>
  <si>
    <t>Tasker</t>
  </si>
  <si>
    <t>Boothby Graffoe, Lincolnshire, England</t>
  </si>
  <si>
    <t>Eaves</t>
  </si>
  <si>
    <t>Wednesbury, Staffordshire, England</t>
  </si>
  <si>
    <t xml:space="preserve">crescent lodge </t>
  </si>
  <si>
    <t>?14</t>
  </si>
  <si>
    <t>Park?</t>
  </si>
  <si>
    <t>?16</t>
  </si>
  <si>
    <t>?17</t>
  </si>
  <si>
    <t>signed off byy er fraser</t>
  </si>
  <si>
    <t>Holford</t>
  </si>
  <si>
    <t>Llyods &amp; Bank Carlton St Market Place, Nottingham</t>
  </si>
  <si>
    <t>Dann</t>
  </si>
  <si>
    <t>East Kirkby, Nottinghamshire, England</t>
  </si>
  <si>
    <t>Burrows</t>
  </si>
  <si>
    <t>? Heston</t>
  </si>
  <si>
    <t>? Pendower</t>
  </si>
  <si>
    <t>CCN19</t>
  </si>
  <si>
    <t xml:space="preserve">North Lodge </t>
  </si>
  <si>
    <t>John Percy</t>
  </si>
  <si>
    <t>Sport Net &amp; Bobbin Carriage &amp; Comb Manufactures</t>
  </si>
  <si>
    <t>Doris Catherine</t>
  </si>
  <si>
    <t>Emily Elizabeth</t>
  </si>
  <si>
    <t>Riddings, Derbyshire, England</t>
  </si>
  <si>
    <t>Sarah Leah</t>
  </si>
  <si>
    <t>Cunningham</t>
  </si>
  <si>
    <t>Dora Lucy</t>
  </si>
  <si>
    <t>Constance Ethel</t>
  </si>
  <si>
    <t>Lavender</t>
  </si>
  <si>
    <t>Ramsey, Huntingdonshire, England</t>
  </si>
  <si>
    <t>claremont</t>
  </si>
  <si>
    <t>NR7</t>
  </si>
  <si>
    <t>Clumber Rd East</t>
  </si>
  <si>
    <t>TOTAL ALL</t>
  </si>
  <si>
    <t>?33 is so on 1911 census</t>
  </si>
  <si>
    <t>?33 see 1911</t>
  </si>
  <si>
    <t>George Farrand</t>
  </si>
  <si>
    <t>Hormer</t>
  </si>
  <si>
    <t>Bleacher Retired Under Lace</t>
  </si>
  <si>
    <t>Gertrude Mary</t>
  </si>
  <si>
    <t>Cecila Alice</t>
  </si>
  <si>
    <t>Gladys Mildred Barbara</t>
  </si>
  <si>
    <t>Church Worker</t>
  </si>
  <si>
    <t>St Major Major Exeter Rest Young Rector</t>
  </si>
  <si>
    <t>Derick Evelyn Milnes</t>
  </si>
  <si>
    <t>Grandson, visitor</t>
  </si>
  <si>
    <t>Sherwood, Nottinghamshire, England</t>
  </si>
  <si>
    <t>William Frederick</t>
  </si>
  <si>
    <t>Lomax</t>
  </si>
  <si>
    <t>Preston, Lancashire, England</t>
  </si>
  <si>
    <t>London Joint City &amp; Midland Beek</t>
  </si>
  <si>
    <t>Rebecca Crawden</t>
  </si>
  <si>
    <t>Margaret Sybil</t>
  </si>
  <si>
    <t>Thomas Edward</t>
  </si>
  <si>
    <t>Cashier-Fain Bros &amp; Co Ltd, Smallware Manufacturers</t>
  </si>
  <si>
    <t>Leicester</t>
  </si>
  <si>
    <t>Baun</t>
  </si>
  <si>
    <t>Nurse maid</t>
  </si>
  <si>
    <t>Ratby, Leicestershire, England</t>
  </si>
  <si>
    <t>W F Lomax, Fairlawn Dukes</t>
  </si>
  <si>
    <t>Lucy Henrietta</t>
  </si>
  <si>
    <t>Barber</t>
  </si>
  <si>
    <t>Greetham, Lincolnshire, England</t>
  </si>
  <si>
    <t>Sarah Eva</t>
  </si>
  <si>
    <t>Bambery</t>
  </si>
  <si>
    <t>Honiton, Devon, England</t>
  </si>
  <si>
    <t>Marjorie Ann</t>
  </si>
  <si>
    <t>Sharpe</t>
  </si>
  <si>
    <t>fairlawn</t>
  </si>
  <si>
    <t>H Ernest</t>
  </si>
  <si>
    <t>Margaret Anne</t>
  </si>
  <si>
    <t>Bitts</t>
  </si>
  <si>
    <t>Ketton, Rutland, England</t>
  </si>
  <si>
    <t>Jacklin</t>
  </si>
  <si>
    <t>Ethel Millicent</t>
  </si>
  <si>
    <t>Rose Florence</t>
  </si>
  <si>
    <t>Sheen</t>
  </si>
  <si>
    <t>Slapton, Buckinghamshire, England</t>
  </si>
  <si>
    <t>Griggs</t>
  </si>
  <si>
    <t>Kimberley, Nottinghamshire, England</t>
  </si>
  <si>
    <t>Bessie Louisa</t>
  </si>
  <si>
    <t>Abrey</t>
  </si>
  <si>
    <t>Aldercar, Derbyshire, England</t>
  </si>
  <si>
    <t>signed by herbert frances lancaster</t>
  </si>
  <si>
    <t>so 1 DWM is a detached house, 2&amp;3 are semis and 4/5/6 would have been Fairlawn. Linzi Janice We think of the four houses we are the furthest house from Fairlawn, so 1 DWM is a detached house, 2&amp;3 are semis and 4/5/6 would have been Fairlawn.</t>
  </si>
  <si>
    <t>denehurst see 1911</t>
  </si>
  <si>
    <t>Lincoln villa</t>
  </si>
  <si>
    <t>Lincoln Villa</t>
  </si>
  <si>
    <t>11 see Smac email</t>
  </si>
  <si>
    <t>Bridght (? Bright)</t>
  </si>
  <si>
    <t>see sue mac email</t>
  </si>
  <si>
    <t>North</t>
  </si>
  <si>
    <t>Nash Mills, Hertfordshire, England</t>
  </si>
  <si>
    <t>Manageress</t>
  </si>
  <si>
    <t>Jersop &amp; Son Draper</t>
  </si>
  <si>
    <t>Porter</t>
  </si>
  <si>
    <t>Norwich, Norfolk, England</t>
  </si>
  <si>
    <t>Drapers Showroom Assistant</t>
  </si>
  <si>
    <t>Drapers Jersop Nottingham</t>
  </si>
  <si>
    <t>Lucy Enid</t>
  </si>
  <si>
    <t>Langley Mill, Nottinghamshire, England</t>
  </si>
  <si>
    <t>The Hermitage</t>
  </si>
  <si>
    <t>Private Hermitage</t>
  </si>
  <si>
    <t>Hancock</t>
  </si>
  <si>
    <t>Buyer Boot &amp; Shoes</t>
  </si>
  <si>
    <t>Drapers Jersop &amp; Son Nottinghma</t>
  </si>
  <si>
    <t>Milling Showroom</t>
  </si>
  <si>
    <t>Drapers Jessop &amp; Spm</t>
  </si>
  <si>
    <t>Wheeler</t>
  </si>
  <si>
    <t>Jessop &amp; Son Drapers</t>
  </si>
  <si>
    <t>Bradford</t>
  </si>
  <si>
    <t>Ethel Mary</t>
  </si>
  <si>
    <t>St Neots, Huntingdonshire, England</t>
  </si>
  <si>
    <t>Laurie Violet</t>
  </si>
  <si>
    <t>Ford</t>
  </si>
  <si>
    <t>Somerset, England</t>
  </si>
  <si>
    <t>Jessop &amp; Son</t>
  </si>
  <si>
    <t>Sykes</t>
  </si>
  <si>
    <t>Drapery Buyer</t>
  </si>
  <si>
    <t>Jossop Son</t>
  </si>
  <si>
    <t>Isabella A</t>
  </si>
  <si>
    <t>Gilliepie</t>
  </si>
  <si>
    <t>Dress Maker</t>
  </si>
  <si>
    <t>Hilda C</t>
  </si>
  <si>
    <t>Capel St Mary, Suffolk, England</t>
  </si>
  <si>
    <t>Field</t>
  </si>
  <si>
    <t>Lowestoft, Suffolk, England</t>
  </si>
  <si>
    <t>Shop Assistant Draper</t>
  </si>
  <si>
    <t>Pritchard</t>
  </si>
  <si>
    <t>Millinery Buyer</t>
  </si>
  <si>
    <t>Orme</t>
  </si>
  <si>
    <t>Cheadle, Staffordshire, England</t>
  </si>
  <si>
    <t>Lace Buyer</t>
  </si>
  <si>
    <t>Frances Gertrude</t>
  </si>
  <si>
    <t>Beatrice Eleanor</t>
  </si>
  <si>
    <t>Ivy Doris</t>
  </si>
  <si>
    <t>Capon</t>
  </si>
  <si>
    <t>jessops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</si>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</sst>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2"/>
      <color indexed="13"/>
      <name val="Times New Roman"/>
      <family val="1"/>
    </font>
    <font>
      <b/>
      <sz val="12"/>
      <color indexed="8"/>
      <name val="Times New Roman"/>
      <family val="1"/>
    </font>
    <font>
      <sz val="12"/>
      <color indexed="13"/>
      <name val="Calibri"/>
      <family val="2"/>
    </font>
    <font>
      <b/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indexed="8"/>
      <name val="Times New Roman"/>
      <family val="1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sz val="12"/>
      <color indexed="13"/>
      <name val="Times New Roman"/>
      <family val="1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Arial"/>
      <family val="2"/>
    </font>
    <font>
      <sz val="12"/>
      <color rgb="FF000000"/>
      <name val="Helvetica"/>
      <family val="2"/>
    </font>
    <font>
      <b/>
      <sz val="12"/>
      <color theme="9"/>
      <name val="Calibri"/>
      <family val="2"/>
    </font>
    <font>
      <sz val="12"/>
      <color theme="9"/>
      <name val="Calibri"/>
      <family val="2"/>
      <scheme val="minor"/>
    </font>
    <font>
      <b/>
      <sz val="12"/>
      <color theme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9C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4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FF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4" xfId="0" applyFont="1" applyBorder="1" applyAlignment="1">
      <alignment wrapText="1"/>
    </xf>
    <xf numFmtId="0" fontId="5" fillId="0" borderId="4" xfId="0" applyFont="1" applyBorder="1"/>
    <xf numFmtId="0" fontId="4" fillId="0" borderId="6" xfId="0" applyFont="1" applyBorder="1" applyAlignment="1">
      <alignment wrapText="1"/>
    </xf>
    <xf numFmtId="0" fontId="7" fillId="0" borderId="2" xfId="0" applyFont="1" applyBorder="1"/>
    <xf numFmtId="1" fontId="0" fillId="0" borderId="2" xfId="0" applyNumberFormat="1" applyBorder="1"/>
    <xf numFmtId="9" fontId="0" fillId="0" borderId="2" xfId="0" applyNumberFormat="1" applyBorder="1"/>
    <xf numFmtId="164" fontId="0" fillId="0" borderId="2" xfId="0" applyNumberFormat="1" applyBorder="1"/>
    <xf numFmtId="49" fontId="1" fillId="0" borderId="1" xfId="0" applyNumberFormat="1" applyFont="1" applyBorder="1"/>
    <xf numFmtId="0" fontId="1" fillId="0" borderId="2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49" fontId="0" fillId="0" borderId="7" xfId="0" applyNumberFormat="1" applyBorder="1" applyAlignment="1">
      <alignment wrapText="1"/>
    </xf>
    <xf numFmtId="49" fontId="8" fillId="0" borderId="7" xfId="0" applyNumberFormat="1" applyFont="1" applyBorder="1"/>
    <xf numFmtId="49" fontId="0" fillId="0" borderId="7" xfId="0" applyNumberFormat="1" applyBorder="1"/>
    <xf numFmtId="0" fontId="4" fillId="0" borderId="7" xfId="0" applyFont="1" applyBorder="1" applyAlignment="1">
      <alignment wrapText="1"/>
    </xf>
    <xf numFmtId="0" fontId="6" fillId="0" borderId="7" xfId="0" applyFont="1" applyBorder="1"/>
    <xf numFmtId="0" fontId="6" fillId="0" borderId="7" xfId="0" applyFont="1" applyBorder="1" applyAlignment="1">
      <alignment wrapText="1"/>
    </xf>
    <xf numFmtId="0" fontId="5" fillId="0" borderId="7" xfId="0" applyFont="1" applyBorder="1"/>
    <xf numFmtId="0" fontId="2" fillId="0" borderId="7" xfId="0" applyFont="1" applyBorder="1"/>
    <xf numFmtId="1" fontId="0" fillId="0" borderId="7" xfId="0" applyNumberFormat="1" applyBorder="1"/>
    <xf numFmtId="9" fontId="0" fillId="0" borderId="7" xfId="0" applyNumberFormat="1" applyBorder="1"/>
    <xf numFmtId="0" fontId="7" fillId="0" borderId="7" xfId="0" applyFont="1" applyBorder="1"/>
    <xf numFmtId="164" fontId="0" fillId="0" borderId="7" xfId="0" applyNumberFormat="1" applyBorder="1"/>
    <xf numFmtId="0" fontId="6" fillId="0" borderId="8" xfId="0" applyFont="1" applyBorder="1"/>
    <xf numFmtId="0" fontId="1" fillId="0" borderId="7" xfId="0" applyFont="1" applyBorder="1"/>
    <xf numFmtId="1" fontId="1" fillId="0" borderId="7" xfId="0" applyNumberFormat="1" applyFont="1" applyBorder="1"/>
    <xf numFmtId="0" fontId="9" fillId="0" borderId="12" xfId="0" applyFont="1" applyBorder="1"/>
    <xf numFmtId="49" fontId="10" fillId="0" borderId="7" xfId="0" applyNumberFormat="1" applyFont="1" applyBorder="1" applyAlignment="1">
      <alignment wrapText="1"/>
    </xf>
    <xf numFmtId="0" fontId="9" fillId="0" borderId="7" xfId="0" applyFont="1" applyBorder="1"/>
    <xf numFmtId="0" fontId="9" fillId="0" borderId="7" xfId="0" applyFont="1" applyBorder="1" applyAlignment="1">
      <alignment wrapText="1"/>
    </xf>
    <xf numFmtId="49" fontId="9" fillId="0" borderId="7" xfId="0" applyNumberFormat="1" applyFont="1" applyBorder="1" applyAlignment="1">
      <alignment wrapText="1"/>
    </xf>
    <xf numFmtId="49" fontId="12" fillId="0" borderId="7" xfId="0" applyNumberFormat="1" applyFont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14" fillId="0" borderId="9" xfId="0" applyNumberFormat="1" applyFont="1" applyBorder="1"/>
    <xf numFmtId="49" fontId="14" fillId="0" borderId="10" xfId="0" applyNumberFormat="1" applyFont="1" applyBorder="1"/>
    <xf numFmtId="49" fontId="14" fillId="0" borderId="10" xfId="0" applyNumberFormat="1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11" xfId="0" applyFont="1" applyBorder="1"/>
    <xf numFmtId="1" fontId="0" fillId="0" borderId="0" xfId="0" applyNumberFormat="1"/>
    <xf numFmtId="9" fontId="0" fillId="0" borderId="0" xfId="1" applyFont="1"/>
    <xf numFmtId="9" fontId="0" fillId="0" borderId="0" xfId="0" applyNumberFormat="1"/>
    <xf numFmtId="49" fontId="0" fillId="0" borderId="15" xfId="0" applyNumberFormat="1" applyBorder="1"/>
    <xf numFmtId="0" fontId="4" fillId="0" borderId="15" xfId="0" applyFont="1" applyBorder="1"/>
    <xf numFmtId="0" fontId="0" fillId="0" borderId="15" xfId="0" applyBorder="1"/>
    <xf numFmtId="1" fontId="0" fillId="0" borderId="15" xfId="0" applyNumberFormat="1" applyBorder="1"/>
    <xf numFmtId="0" fontId="0" fillId="0" borderId="16" xfId="0" applyBorder="1"/>
    <xf numFmtId="9" fontId="0" fillId="0" borderId="7" xfId="1" applyFont="1" applyBorder="1"/>
    <xf numFmtId="49" fontId="1" fillId="0" borderId="7" xfId="0" applyNumberFormat="1" applyFont="1" applyBorder="1"/>
    <xf numFmtId="1" fontId="0" fillId="0" borderId="7" xfId="1" applyNumberFormat="1" applyFont="1" applyBorder="1"/>
    <xf numFmtId="0" fontId="0" fillId="0" borderId="17" xfId="0" applyBorder="1"/>
    <xf numFmtId="49" fontId="4" fillId="0" borderId="15" xfId="0" applyNumberFormat="1" applyFont="1" applyBorder="1" applyAlignment="1">
      <alignment wrapText="1"/>
    </xf>
    <xf numFmtId="0" fontId="4" fillId="0" borderId="15" xfId="0" applyFont="1" applyBorder="1" applyAlignment="1">
      <alignment wrapText="1"/>
    </xf>
    <xf numFmtId="49" fontId="4" fillId="0" borderId="15" xfId="0" applyNumberFormat="1" applyFont="1" applyBorder="1"/>
    <xf numFmtId="0" fontId="2" fillId="0" borderId="2" xfId="0" applyFont="1" applyBorder="1"/>
    <xf numFmtId="49" fontId="3" fillId="0" borderId="15" xfId="0" applyNumberFormat="1" applyFont="1" applyBorder="1"/>
    <xf numFmtId="49" fontId="3" fillId="0" borderId="15" xfId="0" applyNumberFormat="1" applyFont="1" applyBorder="1" applyAlignment="1">
      <alignment wrapText="1"/>
    </xf>
    <xf numFmtId="1" fontId="3" fillId="0" borderId="15" xfId="0" applyNumberFormat="1" applyFont="1" applyBorder="1" applyAlignment="1">
      <alignment wrapText="1"/>
    </xf>
    <xf numFmtId="0" fontId="3" fillId="0" borderId="15" xfId="0" applyFont="1" applyBorder="1"/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49" fontId="0" fillId="0" borderId="15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5" fillId="0" borderId="15" xfId="0" applyFont="1" applyBorder="1"/>
    <xf numFmtId="49" fontId="16" fillId="0" borderId="15" xfId="0" applyNumberFormat="1" applyFont="1" applyBorder="1"/>
    <xf numFmtId="0" fontId="4" fillId="0" borderId="16" xfId="0" applyFont="1" applyBorder="1"/>
    <xf numFmtId="0" fontId="4" fillId="0" borderId="2" xfId="0" applyFont="1" applyBorder="1"/>
    <xf numFmtId="0" fontId="3" fillId="0" borderId="16" xfId="0" applyFont="1" applyBorder="1"/>
    <xf numFmtId="49" fontId="4" fillId="0" borderId="19" xfId="0" applyNumberFormat="1" applyFont="1" applyBorder="1"/>
    <xf numFmtId="0" fontId="0" fillId="0" borderId="20" xfId="0" applyBorder="1"/>
    <xf numFmtId="49" fontId="2" fillId="0" borderId="15" xfId="0" applyNumberFormat="1" applyFont="1" applyBorder="1"/>
    <xf numFmtId="0" fontId="0" fillId="0" borderId="21" xfId="0" applyBorder="1"/>
    <xf numFmtId="0" fontId="0" fillId="0" borderId="22" xfId="0" applyBorder="1"/>
    <xf numFmtId="49" fontId="2" fillId="0" borderId="23" xfId="0" applyNumberFormat="1" applyFont="1" applyBorder="1"/>
    <xf numFmtId="0" fontId="0" fillId="0" borderId="24" xfId="0" applyBorder="1"/>
    <xf numFmtId="0" fontId="0" fillId="0" borderId="23" xfId="0" applyBorder="1"/>
    <xf numFmtId="49" fontId="2" fillId="0" borderId="25" xfId="0" applyNumberFormat="1" applyFont="1" applyBorder="1"/>
    <xf numFmtId="49" fontId="0" fillId="0" borderId="26" xfId="0" applyNumberFormat="1" applyBorder="1"/>
    <xf numFmtId="0" fontId="0" fillId="0" borderId="27" xfId="0" applyBorder="1"/>
    <xf numFmtId="49" fontId="2" fillId="0" borderId="28" xfId="0" applyNumberFormat="1" applyFont="1" applyBorder="1"/>
    <xf numFmtId="49" fontId="0" fillId="0" borderId="29" xfId="0" applyNumberFormat="1" applyBorder="1"/>
    <xf numFmtId="0" fontId="0" fillId="0" borderId="30" xfId="0" applyBorder="1"/>
    <xf numFmtId="49" fontId="2" fillId="0" borderId="29" xfId="0" applyNumberFormat="1" applyFont="1" applyBorder="1"/>
    <xf numFmtId="0" fontId="0" fillId="0" borderId="31" xfId="0" applyBorder="1"/>
    <xf numFmtId="49" fontId="2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0" fontId="0" fillId="0" borderId="32" xfId="0" applyBorder="1"/>
    <xf numFmtId="49" fontId="0" fillId="0" borderId="6" xfId="0" applyNumberFormat="1" applyBorder="1"/>
    <xf numFmtId="0" fontId="0" fillId="0" borderId="33" xfId="0" applyBorder="1"/>
    <xf numFmtId="49" fontId="0" fillId="0" borderId="0" xfId="0" applyNumberFormat="1"/>
    <xf numFmtId="49" fontId="2" fillId="0" borderId="2" xfId="0" applyNumberFormat="1" applyFont="1" applyBorder="1"/>
    <xf numFmtId="49" fontId="2" fillId="0" borderId="0" xfId="0" applyNumberFormat="1" applyFont="1"/>
    <xf numFmtId="0" fontId="17" fillId="0" borderId="15" xfId="0" applyFont="1" applyBorder="1"/>
    <xf numFmtId="0" fontId="18" fillId="0" borderId="15" xfId="0" applyFont="1" applyBorder="1"/>
    <xf numFmtId="9" fontId="0" fillId="0" borderId="23" xfId="0" applyNumberFormat="1" applyBorder="1"/>
    <xf numFmtId="2" fontId="0" fillId="0" borderId="23" xfId="0" applyNumberFormat="1" applyBorder="1"/>
    <xf numFmtId="0" fontId="0" fillId="0" borderId="34" xfId="0" applyBorder="1"/>
    <xf numFmtId="9" fontId="0" fillId="0" borderId="34" xfId="0" applyNumberFormat="1" applyBorder="1"/>
    <xf numFmtId="9" fontId="0" fillId="0" borderId="2" xfId="1" applyFont="1" applyFill="1" applyBorder="1" applyAlignment="1"/>
    <xf numFmtId="0" fontId="3" fillId="0" borderId="35" xfId="0" applyFont="1" applyBorder="1"/>
    <xf numFmtId="0" fontId="3" fillId="0" borderId="36" xfId="0" applyFont="1" applyBorder="1"/>
    <xf numFmtId="9" fontId="0" fillId="0" borderId="0" xfId="1" applyFont="1" applyFill="1" applyAlignment="1"/>
    <xf numFmtId="1" fontId="3" fillId="3" borderId="15" xfId="0" applyNumberFormat="1" applyFont="1" applyFill="1" applyBorder="1" applyAlignment="1">
      <alignment wrapText="1"/>
    </xf>
    <xf numFmtId="1" fontId="0" fillId="3" borderId="15" xfId="0" applyNumberFormat="1" applyFill="1" applyBorder="1"/>
    <xf numFmtId="1" fontId="0" fillId="3" borderId="2" xfId="0" applyNumberFormat="1" applyFill="1" applyBorder="1"/>
    <xf numFmtId="1" fontId="0" fillId="3" borderId="23" xfId="0" applyNumberFormat="1" applyFill="1" applyBorder="1"/>
    <xf numFmtId="1" fontId="0" fillId="3" borderId="27" xfId="0" applyNumberFormat="1" applyFill="1" applyBorder="1"/>
    <xf numFmtId="1" fontId="0" fillId="3" borderId="30" xfId="0" applyNumberFormat="1" applyFill="1" applyBorder="1"/>
    <xf numFmtId="1" fontId="0" fillId="3" borderId="1" xfId="0" applyNumberFormat="1" applyFill="1" applyBorder="1"/>
    <xf numFmtId="1" fontId="0" fillId="3" borderId="7" xfId="0" applyNumberFormat="1" applyFill="1" applyBorder="1"/>
    <xf numFmtId="1" fontId="0" fillId="3" borderId="6" xfId="0" applyNumberFormat="1" applyFill="1" applyBorder="1"/>
    <xf numFmtId="1" fontId="0" fillId="3" borderId="0" xfId="0" applyNumberFormat="1" applyFill="1"/>
    <xf numFmtId="1" fontId="18" fillId="3" borderId="15" xfId="0" applyNumberFormat="1" applyFont="1" applyFill="1" applyBorder="1"/>
    <xf numFmtId="0" fontId="0" fillId="3" borderId="0" xfId="0" applyFill="1"/>
    <xf numFmtId="49" fontId="1" fillId="3" borderId="1" xfId="0" applyNumberFormat="1" applyFont="1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7" xfId="0" applyFill="1" applyBorder="1"/>
    <xf numFmtId="0" fontId="1" fillId="3" borderId="7" xfId="0" applyFont="1" applyFill="1" applyBorder="1"/>
    <xf numFmtId="9" fontId="0" fillId="0" borderId="7" xfId="1" applyFont="1" applyBorder="1" applyAlignment="1"/>
    <xf numFmtId="1" fontId="1" fillId="0" borderId="2" xfId="0" applyNumberFormat="1" applyFont="1" applyBorder="1"/>
    <xf numFmtId="1" fontId="0" fillId="0" borderId="2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0" xfId="0" applyNumberFormat="1" applyFont="1" applyAlignment="1">
      <alignment wrapText="1"/>
    </xf>
    <xf numFmtId="1" fontId="0" fillId="0" borderId="4" xfId="0" applyNumberFormat="1" applyBorder="1"/>
    <xf numFmtId="1" fontId="0" fillId="0" borderId="5" xfId="0" applyNumberFormat="1" applyBorder="1" applyAlignment="1">
      <alignment wrapText="1"/>
    </xf>
    <xf numFmtId="1" fontId="0" fillId="0" borderId="0" xfId="0" applyNumberFormat="1" applyAlignment="1">
      <alignment wrapText="1"/>
    </xf>
    <xf numFmtId="1" fontId="0" fillId="0" borderId="4" xfId="0" applyNumberFormat="1" applyBorder="1" applyAlignment="1">
      <alignment wrapText="1"/>
    </xf>
    <xf numFmtId="1" fontId="5" fillId="0" borderId="4" xfId="0" applyNumberFormat="1" applyFont="1" applyBorder="1"/>
    <xf numFmtId="1" fontId="1" fillId="0" borderId="0" xfId="0" applyNumberFormat="1" applyFont="1"/>
    <xf numFmtId="1" fontId="6" fillId="0" borderId="2" xfId="0" applyNumberFormat="1" applyFont="1" applyBorder="1"/>
    <xf numFmtId="1" fontId="6" fillId="0" borderId="2" xfId="0" applyNumberFormat="1" applyFont="1" applyBorder="1" applyAlignment="1">
      <alignment wrapText="1"/>
    </xf>
    <xf numFmtId="1" fontId="6" fillId="0" borderId="1" xfId="0" applyNumberFormat="1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" fontId="1" fillId="0" borderId="7" xfId="1" applyNumberFormat="1" applyFont="1" applyBorder="1"/>
    <xf numFmtId="0" fontId="2" fillId="0" borderId="4" xfId="0" applyFont="1" applyBorder="1"/>
    <xf numFmtId="49" fontId="4" fillId="0" borderId="32" xfId="0" applyNumberFormat="1" applyFont="1" applyBorder="1" applyAlignment="1">
      <alignment wrapText="1"/>
    </xf>
    <xf numFmtId="49" fontId="4" fillId="0" borderId="32" xfId="0" applyNumberFormat="1" applyFont="1" applyBorder="1"/>
    <xf numFmtId="49" fontId="4" fillId="0" borderId="7" xfId="0" applyNumberFormat="1" applyFont="1" applyBorder="1"/>
    <xf numFmtId="9" fontId="4" fillId="0" borderId="7" xfId="1" applyFont="1" applyBorder="1" applyAlignment="1">
      <alignment wrapText="1"/>
    </xf>
    <xf numFmtId="9" fontId="4" fillId="0" borderId="7" xfId="1" applyFont="1" applyBorder="1"/>
    <xf numFmtId="0" fontId="4" fillId="0" borderId="32" xfId="0" applyFont="1" applyBorder="1" applyAlignment="1">
      <alignment wrapText="1"/>
    </xf>
    <xf numFmtId="1" fontId="0" fillId="0" borderId="32" xfId="0" applyNumberFormat="1" applyBorder="1"/>
    <xf numFmtId="49" fontId="14" fillId="3" borderId="10" xfId="0" applyNumberFormat="1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9" fontId="0" fillId="3" borderId="7" xfId="1" applyFont="1" applyFill="1" applyBorder="1"/>
    <xf numFmtId="0" fontId="0" fillId="3" borderId="15" xfId="0" applyFill="1" applyBorder="1"/>
    <xf numFmtId="0" fontId="0" fillId="3" borderId="18" xfId="0" applyFill="1" applyBorder="1"/>
    <xf numFmtId="0" fontId="0" fillId="3" borderId="18" xfId="1" applyNumberFormat="1" applyFont="1" applyFill="1" applyBorder="1"/>
    <xf numFmtId="1" fontId="0" fillId="3" borderId="32" xfId="0" applyNumberFormat="1" applyFill="1" applyBorder="1"/>
    <xf numFmtId="0" fontId="0" fillId="3" borderId="7" xfId="1" applyNumberFormat="1" applyFont="1" applyFill="1" applyBorder="1"/>
    <xf numFmtId="1" fontId="0" fillId="0" borderId="23" xfId="0" applyNumberFormat="1" applyBorder="1"/>
    <xf numFmtId="1" fontId="0" fillId="0" borderId="27" xfId="0" applyNumberFormat="1" applyBorder="1"/>
    <xf numFmtId="1" fontId="0" fillId="0" borderId="30" xfId="0" applyNumberFormat="1" applyBorder="1"/>
    <xf numFmtId="1" fontId="0" fillId="0" borderId="6" xfId="0" applyNumberFormat="1" applyBorder="1"/>
    <xf numFmtId="1" fontId="18" fillId="0" borderId="15" xfId="0" applyNumberFormat="1" applyFont="1" applyBorder="1"/>
    <xf numFmtId="0" fontId="1" fillId="0" borderId="0" xfId="0" applyFont="1" applyAlignment="1">
      <alignment wrapText="1"/>
    </xf>
    <xf numFmtId="15" fontId="0" fillId="0" borderId="0" xfId="0" applyNumberFormat="1"/>
    <xf numFmtId="0" fontId="1" fillId="0" borderId="6" xfId="0" applyFont="1" applyBorder="1"/>
    <xf numFmtId="9" fontId="0" fillId="0" borderId="2" xfId="1" applyFont="1" applyBorder="1"/>
    <xf numFmtId="49" fontId="9" fillId="0" borderId="37" xfId="0" applyNumberFormat="1" applyFont="1" applyBorder="1"/>
    <xf numFmtId="49" fontId="9" fillId="0" borderId="38" xfId="0" applyNumberFormat="1" applyFont="1" applyBorder="1"/>
    <xf numFmtId="0" fontId="9" fillId="0" borderId="38" xfId="0" applyFont="1" applyBorder="1"/>
    <xf numFmtId="49" fontId="10" fillId="0" borderId="38" xfId="0" applyNumberFormat="1" applyFont="1" applyBorder="1"/>
    <xf numFmtId="49" fontId="14" fillId="0" borderId="37" xfId="0" applyNumberFormat="1" applyFont="1" applyBorder="1"/>
    <xf numFmtId="49" fontId="14" fillId="0" borderId="38" xfId="0" applyNumberFormat="1" applyFont="1" applyBorder="1"/>
    <xf numFmtId="49" fontId="11" fillId="0" borderId="38" xfId="0" applyNumberFormat="1" applyFont="1" applyBorder="1"/>
    <xf numFmtId="0" fontId="0" fillId="0" borderId="39" xfId="0" applyBorder="1"/>
    <xf numFmtId="0" fontId="0" fillId="0" borderId="40" xfId="0" applyBorder="1"/>
    <xf numFmtId="0" fontId="4" fillId="0" borderId="0" xfId="0" applyFont="1"/>
    <xf numFmtId="0" fontId="4" fillId="0" borderId="1" xfId="0" applyFont="1" applyBorder="1" applyAlignment="1">
      <alignment wrapText="1"/>
    </xf>
    <xf numFmtId="49" fontId="2" fillId="0" borderId="3" xfId="0" applyNumberFormat="1" applyFont="1" applyBorder="1"/>
    <xf numFmtId="0" fontId="0" fillId="0" borderId="41" xfId="0" applyBorder="1"/>
    <xf numFmtId="1" fontId="0" fillId="3" borderId="42" xfId="0" applyNumberFormat="1" applyFill="1" applyBorder="1"/>
    <xf numFmtId="1" fontId="0" fillId="0" borderId="42" xfId="0" applyNumberFormat="1" applyBorder="1"/>
    <xf numFmtId="0" fontId="0" fillId="0" borderId="42" xfId="0" applyBorder="1"/>
    <xf numFmtId="49" fontId="0" fillId="0" borderId="43" xfId="0" applyNumberFormat="1" applyBorder="1"/>
    <xf numFmtId="0" fontId="0" fillId="0" borderId="44" xfId="0" applyBorder="1"/>
    <xf numFmtId="1" fontId="0" fillId="3" borderId="43" xfId="0" applyNumberFormat="1" applyFill="1" applyBorder="1"/>
    <xf numFmtId="1" fontId="0" fillId="0" borderId="43" xfId="0" applyNumberFormat="1" applyBorder="1"/>
    <xf numFmtId="0" fontId="0" fillId="0" borderId="43" xfId="0" applyBorder="1"/>
    <xf numFmtId="49" fontId="14" fillId="0" borderId="10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49" fontId="0" fillId="0" borderId="1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6" xfId="0" applyNumberFormat="1" applyBorder="1" applyAlignment="1">
      <alignment wrapText="1"/>
    </xf>
    <xf numFmtId="1" fontId="0" fillId="0" borderId="45" xfId="0" applyNumberForma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0" xfId="0" applyNumberFormat="1" applyFont="1" applyAlignment="1">
      <alignment wrapText="1"/>
    </xf>
    <xf numFmtId="1" fontId="1" fillId="0" borderId="4" xfId="0" applyNumberFormat="1" applyFont="1" applyBorder="1"/>
    <xf numFmtId="1" fontId="1" fillId="0" borderId="2" xfId="0" applyNumberFormat="1" applyFont="1" applyBorder="1" applyAlignment="1">
      <alignment wrapText="1"/>
    </xf>
    <xf numFmtId="0" fontId="19" fillId="0" borderId="0" xfId="0" applyFont="1"/>
    <xf numFmtId="0" fontId="0" fillId="2" borderId="6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1" fontId="4" fillId="2" borderId="3" xfId="0" applyNumberFormat="1" applyFont="1" applyFill="1" applyBorder="1" applyAlignment="1">
      <alignment wrapText="1"/>
    </xf>
    <xf numFmtId="1" fontId="4" fillId="2" borderId="0" xfId="0" applyNumberFormat="1" applyFont="1" applyFill="1" applyAlignment="1">
      <alignment wrapText="1"/>
    </xf>
    <xf numFmtId="1" fontId="0" fillId="2" borderId="0" xfId="0" applyNumberFormat="1" applyFill="1"/>
    <xf numFmtId="1" fontId="0" fillId="2" borderId="0" xfId="0" applyNumberFormat="1" applyFill="1" applyAlignment="1">
      <alignment wrapText="1"/>
    </xf>
    <xf numFmtId="1" fontId="0" fillId="2" borderId="2" xfId="0" applyNumberFormat="1" applyFill="1" applyBorder="1" applyAlignment="1">
      <alignment wrapText="1"/>
    </xf>
    <xf numFmtId="1" fontId="0" fillId="2" borderId="2" xfId="0" applyNumberFormat="1" applyFill="1" applyBorder="1"/>
    <xf numFmtId="0" fontId="20" fillId="0" borderId="4" xfId="0" applyFont="1" applyBorder="1"/>
    <xf numFmtId="0" fontId="0" fillId="0" borderId="5" xfId="0" applyBorder="1"/>
    <xf numFmtId="1" fontId="6" fillId="0" borderId="4" xfId="0" applyNumberFormat="1" applyFont="1" applyBorder="1" applyAlignment="1">
      <alignment wrapText="1"/>
    </xf>
    <xf numFmtId="0" fontId="9" fillId="2" borderId="0" xfId="0" applyFont="1" applyFill="1"/>
    <xf numFmtId="0" fontId="4" fillId="2" borderId="0" xfId="0" applyFont="1" applyFill="1" applyAlignment="1">
      <alignment wrapText="1"/>
    </xf>
    <xf numFmtId="0" fontId="0" fillId="3" borderId="2" xfId="0" applyFill="1" applyBorder="1"/>
    <xf numFmtId="49" fontId="9" fillId="0" borderId="46" xfId="0" applyNumberFormat="1" applyFont="1" applyBorder="1"/>
    <xf numFmtId="0" fontId="9" fillId="0" borderId="0" xfId="0" applyFont="1"/>
    <xf numFmtId="49" fontId="9" fillId="0" borderId="47" xfId="0" applyNumberFormat="1" applyFont="1" applyBorder="1"/>
    <xf numFmtId="49" fontId="2" fillId="2" borderId="28" xfId="0" applyNumberFormat="1" applyFont="1" applyFill="1" applyBorder="1"/>
    <xf numFmtId="49" fontId="0" fillId="2" borderId="15" xfId="0" applyNumberFormat="1" applyFill="1" applyBorder="1"/>
    <xf numFmtId="49" fontId="2" fillId="2" borderId="29" xfId="0" applyNumberFormat="1" applyFont="1" applyFill="1" applyBorder="1"/>
    <xf numFmtId="1" fontId="0" fillId="0" borderId="0" xfId="0" applyNumberFormat="1" applyAlignment="1">
      <alignment horizontal="left"/>
    </xf>
    <xf numFmtId="49" fontId="21" fillId="4" borderId="7" xfId="0" applyNumberFormat="1" applyFont="1" applyFill="1" applyBorder="1"/>
    <xf numFmtId="49" fontId="21" fillId="4" borderId="15" xfId="0" applyNumberFormat="1" applyFont="1" applyFill="1" applyBorder="1"/>
    <xf numFmtId="0" fontId="21" fillId="4" borderId="0" xfId="0" applyFont="1" applyFill="1"/>
    <xf numFmtId="0" fontId="21" fillId="4" borderId="7" xfId="0" applyFont="1" applyFill="1" applyBorder="1"/>
    <xf numFmtId="0" fontId="21" fillId="4" borderId="0" xfId="0" applyFont="1" applyFill="1" applyAlignment="1">
      <alignment wrapText="1"/>
    </xf>
    <xf numFmtId="1" fontId="6" fillId="0" borderId="2" xfId="0" applyNumberFormat="1" applyFont="1" applyBorder="1" applyAlignment="1">
      <alignment horizontal="left" wrapText="1" indent="2"/>
    </xf>
    <xf numFmtId="0" fontId="0" fillId="0" borderId="3" xfId="0" applyBorder="1"/>
    <xf numFmtId="0" fontId="22" fillId="0" borderId="0" xfId="0" applyFont="1" applyAlignment="1">
      <alignment vertical="center"/>
    </xf>
    <xf numFmtId="1" fontId="0" fillId="0" borderId="2" xfId="0" applyNumberFormat="1" applyBorder="1" applyAlignment="1">
      <alignment horizontal="left"/>
    </xf>
    <xf numFmtId="0" fontId="19" fillId="0" borderId="2" xfId="0" applyFont="1" applyBorder="1"/>
    <xf numFmtId="0" fontId="23" fillId="0" borderId="0" xfId="0" applyFont="1"/>
    <xf numFmtId="0" fontId="19" fillId="2" borderId="2" xfId="0" applyFont="1" applyFill="1" applyBorder="1"/>
    <xf numFmtId="0" fontId="0" fillId="2" borderId="6" xfId="0" applyFill="1" applyBorder="1" applyAlignment="1">
      <alignment wrapText="1"/>
    </xf>
    <xf numFmtId="0" fontId="23" fillId="2" borderId="0" xfId="0" applyFont="1" applyFill="1"/>
    <xf numFmtId="0" fontId="0" fillId="5" borderId="0" xfId="0" applyFill="1"/>
    <xf numFmtId="0" fontId="1" fillId="5" borderId="0" xfId="0" applyFont="1" applyFill="1"/>
    <xf numFmtId="0" fontId="3" fillId="5" borderId="0" xfId="0" applyFont="1" applyFill="1"/>
    <xf numFmtId="49" fontId="9" fillId="0" borderId="9" xfId="0" applyNumberFormat="1" applyFont="1" applyBorder="1"/>
    <xf numFmtId="49" fontId="9" fillId="0" borderId="10" xfId="0" applyNumberFormat="1" applyFont="1" applyBorder="1"/>
    <xf numFmtId="49" fontId="9" fillId="0" borderId="10" xfId="0" applyNumberFormat="1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1" xfId="0" applyFont="1" applyBorder="1"/>
    <xf numFmtId="49" fontId="9" fillId="0" borderId="7" xfId="0" applyNumberFormat="1" applyFont="1" applyBorder="1"/>
    <xf numFmtId="0" fontId="10" fillId="0" borderId="7" xfId="0" applyFont="1" applyBorder="1" applyAlignment="1">
      <alignment wrapText="1"/>
    </xf>
    <xf numFmtId="0" fontId="9" fillId="0" borderId="13" xfId="0" applyFont="1" applyBorder="1"/>
    <xf numFmtId="0" fontId="9" fillId="0" borderId="13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9" fillId="0" borderId="14" xfId="0" applyFont="1" applyBorder="1"/>
    <xf numFmtId="0" fontId="14" fillId="0" borderId="8" xfId="0" applyFont="1" applyBorder="1"/>
    <xf numFmtId="9" fontId="0" fillId="0" borderId="0" xfId="1" applyFont="1" applyFill="1"/>
    <xf numFmtId="0" fontId="14" fillId="0" borderId="0" xfId="0" applyFont="1"/>
    <xf numFmtId="1" fontId="0" fillId="6" borderId="0" xfId="0" applyNumberFormat="1" applyFill="1"/>
    <xf numFmtId="49" fontId="0" fillId="7" borderId="7" xfId="0" applyNumberFormat="1" applyFill="1" applyBorder="1"/>
    <xf numFmtId="49" fontId="0" fillId="7" borderId="0" xfId="0" applyNumberFormat="1" applyFill="1" applyAlignment="1">
      <alignment horizontal="center"/>
    </xf>
    <xf numFmtId="0" fontId="0" fillId="7" borderId="7" xfId="0" applyFill="1" applyBorder="1"/>
    <xf numFmtId="1" fontId="0" fillId="7" borderId="7" xfId="0" applyNumberFormat="1" applyFill="1" applyBorder="1"/>
    <xf numFmtId="0" fontId="0" fillId="0" borderId="8" xfId="0" applyBorder="1"/>
    <xf numFmtId="1" fontId="0" fillId="0" borderId="0" xfId="1" applyNumberFormat="1" applyFont="1"/>
    <xf numFmtId="1" fontId="6" fillId="0" borderId="5" xfId="0" applyNumberFormat="1" applyFont="1" applyBorder="1" applyAlignment="1">
      <alignment wrapText="1"/>
    </xf>
    <xf numFmtId="0" fontId="24" fillId="0" borderId="0" xfId="0" applyFont="1"/>
    <xf numFmtId="49" fontId="25" fillId="0" borderId="15" xfId="0" applyNumberFormat="1" applyFont="1" applyBorder="1"/>
    <xf numFmtId="49" fontId="26" fillId="0" borderId="15" xfId="0" applyNumberFormat="1" applyFont="1" applyBorder="1" applyAlignment="1">
      <alignment horizontal="center"/>
    </xf>
    <xf numFmtId="0" fontId="25" fillId="0" borderId="15" xfId="0" applyFont="1" applyBorder="1"/>
    <xf numFmtId="0" fontId="25" fillId="0" borderId="0" xfId="0" applyFont="1"/>
    <xf numFmtId="1" fontId="25" fillId="3" borderId="15" xfId="0" applyNumberFormat="1" applyFont="1" applyFill="1" applyBorder="1"/>
    <xf numFmtId="1" fontId="25" fillId="0" borderId="15" xfId="0" applyNumberFormat="1" applyFont="1" applyBorder="1"/>
    <xf numFmtId="0" fontId="25" fillId="0" borderId="2" xfId="0" applyFont="1" applyBorder="1"/>
    <xf numFmtId="0" fontId="27" fillId="0" borderId="2" xfId="0" applyFont="1" applyBorder="1" applyAlignment="1">
      <alignment wrapText="1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3" borderId="0" xfId="0" applyFont="1" applyFill="1"/>
    <xf numFmtId="49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9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nzikemp/Desktop/parkhouse/excel1911censusmasterlinzij.xlsx" TargetMode="External"/><Relationship Id="rId1" Type="http://schemas.openxmlformats.org/officeDocument/2006/relationships/externalLinkPath" Target="excel1911censusmasterlinzi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th Rd full"/>
      <sheetName val="north rdp 156"/>
      <sheetName val="Cavendish Cres S p182 (2)"/>
      <sheetName val="Lincoln Circus"/>
      <sheetName val="Lincoln circus p261"/>
      <sheetName val="Park Drive"/>
      <sheetName val="maxtoke rd dan"/>
      <sheetName val="clumbercress dan"/>
      <sheetName val="Hermitage Walkp 256"/>
      <sheetName val="fishpond drive p 286 418"/>
      <sheetName val="Hope Drive p.376"/>
      <sheetName val="ParkRavine p454"/>
      <sheetName val="ParkTerr"/>
      <sheetName val="Pkvalley analysis"/>
      <sheetName val="Park Valley 430 1 11 p 95"/>
      <sheetName val="Clare Valley "/>
      <sheetName val="Clarevalleyanalysis"/>
      <sheetName val="clinton terr p179 "/>
      <sheetName val="clintonterr analysis"/>
      <sheetName val="Duke William Mount p256"/>
      <sheetName val="DWM"/>
      <sheetName val="tunnel rd p 262"/>
      <sheetName val="tunnel rd"/>
      <sheetName val="final"/>
      <sheetName val="Peveril Drive2"/>
      <sheetName val="final (2)"/>
      <sheetName val="tattershaldrive"/>
      <sheetName val="tettashall drive p 135"/>
      <sheetName val="fishpond drive p 286 418 (2)"/>
      <sheetName val="CLE"/>
      <sheetName val="CG"/>
      <sheetName val="ND"/>
      <sheetName val="PR"/>
      <sheetName val="PeT"/>
      <sheetName val="PDrive"/>
      <sheetName val="holles cres p202"/>
      <sheetName val="Kenilworthrd p 259"/>
      <sheetName val="Pk Terr analysis"/>
      <sheetName val="NT analysis (2)"/>
      <sheetName val="HD"/>
      <sheetName val="newcastlecircus"/>
      <sheetName val="lentonave-dan"/>
      <sheetName val="southrd p 168"/>
      <sheetName val="LentonRd p208"/>
      <sheetName val="CRE"/>
      <sheetName val="BL"/>
      <sheetName val="PC"/>
      <sheetName val="WesternTerrace"/>
      <sheetName val="Cavendish Cres S p182"/>
      <sheetName val="Clumber rd W dan"/>
      <sheetName val="HamiltonDrive p 420"/>
      <sheetName val="Cavendish Cres N. p 284"/>
      <sheetName val="Cav cresn"/>
      <sheetName val="final (3)"/>
      <sheetName val="final (5)"/>
      <sheetName val="finalrecent"/>
      <sheetName val="Park Drive (2)"/>
      <sheetName val="comparison (2)"/>
      <sheetName val="Personaloccupation"/>
      <sheetName val="women servants"/>
      <sheetName val="check wome not servants and hds"/>
      <sheetName val="comparison women"/>
      <sheetName val="comparison"/>
      <sheetName val="1921"/>
      <sheetName val="1921 allFirst name(s)_x0009_Last name"/>
      <sheetName val="RWanalysis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1">
          <cell r="Z71">
            <v>45</v>
          </cell>
          <cell r="AC71">
            <v>42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21">
          <cell r="C21">
            <v>4</v>
          </cell>
          <cell r="E21">
            <v>6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6A88-BF28-9449-9A3B-BDA8B1BCB5A3}">
  <dimension ref="A1:L133"/>
  <sheetViews>
    <sheetView topLeftCell="A78" workbookViewId="0">
      <selection activeCell="A96" sqref="A96:H99"/>
    </sheetView>
  </sheetViews>
  <sheetFormatPr baseColWidth="10" defaultRowHeight="16" x14ac:dyDescent="0.2"/>
  <sheetData>
    <row r="1" spans="1:1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s="266" customFormat="1" x14ac:dyDescent="0.2">
      <c r="A2" s="266" t="s">
        <v>67</v>
      </c>
      <c r="B2" s="266" t="s">
        <v>68</v>
      </c>
      <c r="C2" s="266" t="s">
        <v>26</v>
      </c>
      <c r="D2" s="266" t="s">
        <v>19</v>
      </c>
      <c r="E2" s="266">
        <v>1875</v>
      </c>
      <c r="F2" s="266">
        <v>46</v>
      </c>
      <c r="G2" s="266" t="s">
        <v>49</v>
      </c>
      <c r="H2" s="266" t="s">
        <v>69</v>
      </c>
      <c r="I2" s="266" t="s">
        <v>29</v>
      </c>
      <c r="J2" s="267">
        <v>11</v>
      </c>
      <c r="K2" s="268" t="s">
        <v>66</v>
      </c>
      <c r="L2" s="267"/>
    </row>
    <row r="3" spans="1:12" s="266" customFormat="1" x14ac:dyDescent="0.2">
      <c r="A3" s="266" t="s">
        <v>70</v>
      </c>
      <c r="B3" s="266" t="s">
        <v>71</v>
      </c>
      <c r="C3" s="266" t="s">
        <v>26</v>
      </c>
      <c r="D3" s="266" t="s">
        <v>19</v>
      </c>
      <c r="E3" s="266">
        <v>1892</v>
      </c>
      <c r="F3" s="266">
        <v>28</v>
      </c>
      <c r="G3" s="266" t="s">
        <v>72</v>
      </c>
      <c r="H3" s="266" t="s">
        <v>69</v>
      </c>
      <c r="I3" s="266" t="s">
        <v>29</v>
      </c>
      <c r="J3" s="267">
        <v>11</v>
      </c>
      <c r="K3" s="268" t="s">
        <v>66</v>
      </c>
    </row>
    <row r="4" spans="1:12" s="266" customFormat="1" x14ac:dyDescent="0.2">
      <c r="A4" s="266" t="s">
        <v>73</v>
      </c>
      <c r="B4" s="266" t="s">
        <v>74</v>
      </c>
      <c r="C4" s="266" t="s">
        <v>26</v>
      </c>
      <c r="D4" s="266" t="s">
        <v>19</v>
      </c>
      <c r="E4" s="266">
        <v>1901</v>
      </c>
      <c r="F4" s="266">
        <v>19</v>
      </c>
      <c r="G4" s="266" t="s">
        <v>65</v>
      </c>
      <c r="H4" s="266" t="s">
        <v>69</v>
      </c>
      <c r="I4" s="266" t="s">
        <v>29</v>
      </c>
      <c r="J4" s="267">
        <v>11</v>
      </c>
      <c r="K4" s="268" t="s">
        <v>66</v>
      </c>
    </row>
    <row r="5" spans="1:12" s="266" customFormat="1" x14ac:dyDescent="0.2">
      <c r="A5" s="266" t="s">
        <v>75</v>
      </c>
      <c r="B5" s="266" t="s">
        <v>76</v>
      </c>
      <c r="C5" s="266" t="s">
        <v>26</v>
      </c>
      <c r="D5" s="266" t="s">
        <v>19</v>
      </c>
      <c r="E5" s="266">
        <v>1904</v>
      </c>
      <c r="F5" s="266">
        <v>16</v>
      </c>
      <c r="G5" s="266" t="s">
        <v>77</v>
      </c>
      <c r="H5" s="266" t="s">
        <v>69</v>
      </c>
      <c r="I5" s="266" t="s">
        <v>29</v>
      </c>
      <c r="J5" s="267">
        <v>11</v>
      </c>
      <c r="K5" s="268" t="s">
        <v>66</v>
      </c>
    </row>
    <row r="6" spans="1:12" s="266" customFormat="1" x14ac:dyDescent="0.2">
      <c r="A6" s="266" t="s">
        <v>57</v>
      </c>
      <c r="B6" s="266" t="s">
        <v>78</v>
      </c>
      <c r="C6" s="266" t="s">
        <v>26</v>
      </c>
      <c r="D6" s="266" t="s">
        <v>19</v>
      </c>
      <c r="E6" s="266">
        <v>1906</v>
      </c>
      <c r="F6" s="266">
        <v>14</v>
      </c>
      <c r="G6" s="266" t="s">
        <v>59</v>
      </c>
      <c r="H6" s="266" t="s">
        <v>69</v>
      </c>
      <c r="I6" s="266" t="s">
        <v>29</v>
      </c>
      <c r="J6" s="267">
        <v>11</v>
      </c>
      <c r="K6" s="268" t="s">
        <v>66</v>
      </c>
    </row>
    <row r="7" spans="1:12" x14ac:dyDescent="0.2">
      <c r="J7" s="2"/>
      <c r="K7" s="3"/>
    </row>
    <row r="8" spans="1:12" s="266" customFormat="1" x14ac:dyDescent="0.2">
      <c r="A8" s="266" t="s">
        <v>79</v>
      </c>
      <c r="B8" s="266" t="s">
        <v>80</v>
      </c>
      <c r="C8" s="266" t="s">
        <v>12</v>
      </c>
      <c r="D8" s="266" t="s">
        <v>19</v>
      </c>
      <c r="E8" s="266">
        <v>1876</v>
      </c>
      <c r="F8" s="266">
        <v>44</v>
      </c>
      <c r="G8" s="266" t="s">
        <v>81</v>
      </c>
      <c r="H8" s="266" t="s">
        <v>50</v>
      </c>
      <c r="I8" s="266" t="s">
        <v>20</v>
      </c>
      <c r="J8" s="266" t="s">
        <v>213</v>
      </c>
      <c r="K8" s="268" t="s">
        <v>66</v>
      </c>
    </row>
    <row r="9" spans="1:12" s="266" customFormat="1" x14ac:dyDescent="0.2">
      <c r="A9" s="266" t="s">
        <v>82</v>
      </c>
      <c r="B9" s="266" t="s">
        <v>80</v>
      </c>
      <c r="C9" s="266" t="s">
        <v>51</v>
      </c>
      <c r="D9" s="266" t="s">
        <v>13</v>
      </c>
      <c r="E9" s="266">
        <v>1908</v>
      </c>
      <c r="F9" s="266">
        <v>13</v>
      </c>
      <c r="G9" s="266" t="s">
        <v>49</v>
      </c>
      <c r="H9" s="266" t="s">
        <v>20</v>
      </c>
      <c r="I9" s="266" t="s">
        <v>20</v>
      </c>
      <c r="J9" s="266" t="s">
        <v>213</v>
      </c>
      <c r="K9" s="268" t="s">
        <v>66</v>
      </c>
    </row>
    <row r="10" spans="1:12" s="266" customFormat="1" x14ac:dyDescent="0.2">
      <c r="A10" s="266" t="s">
        <v>83</v>
      </c>
      <c r="B10" s="266" t="s">
        <v>80</v>
      </c>
      <c r="C10" s="266" t="s">
        <v>51</v>
      </c>
      <c r="D10" s="266" t="s">
        <v>13</v>
      </c>
      <c r="E10" s="266">
        <v>1910</v>
      </c>
      <c r="F10" s="266">
        <v>10</v>
      </c>
      <c r="G10" s="266" t="s">
        <v>49</v>
      </c>
      <c r="H10" s="266" t="s">
        <v>20</v>
      </c>
      <c r="I10" s="266" t="s">
        <v>20</v>
      </c>
      <c r="J10" s="266" t="s">
        <v>213</v>
      </c>
      <c r="K10" s="268" t="s">
        <v>66</v>
      </c>
    </row>
    <row r="11" spans="1:12" s="266" customFormat="1" x14ac:dyDescent="0.2">
      <c r="A11" s="266" t="s">
        <v>84</v>
      </c>
      <c r="B11" s="266" t="s">
        <v>85</v>
      </c>
      <c r="C11" s="266" t="s">
        <v>58</v>
      </c>
      <c r="D11" s="266" t="s">
        <v>19</v>
      </c>
      <c r="E11" s="266">
        <v>1848</v>
      </c>
      <c r="F11" s="266">
        <v>72</v>
      </c>
      <c r="G11" s="266" t="s">
        <v>53</v>
      </c>
      <c r="H11" s="266" t="s">
        <v>20</v>
      </c>
      <c r="I11" s="266" t="s">
        <v>20</v>
      </c>
      <c r="J11" s="266" t="s">
        <v>213</v>
      </c>
      <c r="K11" s="268" t="s">
        <v>66</v>
      </c>
    </row>
    <row r="12" spans="1:12" s="266" customFormat="1" x14ac:dyDescent="0.2">
      <c r="A12" s="266" t="s">
        <v>86</v>
      </c>
      <c r="B12" s="266" t="s">
        <v>87</v>
      </c>
      <c r="C12" s="266" t="s">
        <v>33</v>
      </c>
      <c r="D12" s="266" t="s">
        <v>19</v>
      </c>
      <c r="E12" s="266">
        <v>1900</v>
      </c>
      <c r="F12" s="266">
        <v>20</v>
      </c>
      <c r="G12" s="266" t="s">
        <v>88</v>
      </c>
      <c r="H12" s="266" t="s">
        <v>33</v>
      </c>
      <c r="I12" s="266" t="s">
        <v>29</v>
      </c>
      <c r="J12" s="266" t="s">
        <v>213</v>
      </c>
      <c r="K12" s="268" t="s">
        <v>66</v>
      </c>
    </row>
    <row r="13" spans="1:12" s="266" customFormat="1" x14ac:dyDescent="0.2">
      <c r="A13" s="266" t="s">
        <v>89</v>
      </c>
      <c r="B13" s="266" t="s">
        <v>85</v>
      </c>
      <c r="C13" s="266" t="s">
        <v>58</v>
      </c>
      <c r="D13" s="266" t="s">
        <v>19</v>
      </c>
      <c r="E13" s="266">
        <v>1884</v>
      </c>
      <c r="F13" s="266">
        <v>37</v>
      </c>
      <c r="G13" s="266" t="s">
        <v>53</v>
      </c>
      <c r="H13" s="266" t="s">
        <v>20</v>
      </c>
      <c r="I13" s="266" t="s">
        <v>20</v>
      </c>
      <c r="J13" s="266" t="s">
        <v>213</v>
      </c>
      <c r="K13" s="268" t="s">
        <v>66</v>
      </c>
    </row>
    <row r="14" spans="1:12" s="266" customFormat="1" x14ac:dyDescent="0.2">
      <c r="A14" s="266" t="s">
        <v>90</v>
      </c>
      <c r="B14" s="266" t="s">
        <v>91</v>
      </c>
      <c r="C14" s="266" t="s">
        <v>26</v>
      </c>
      <c r="D14" s="266" t="s">
        <v>19</v>
      </c>
      <c r="E14" s="266">
        <v>1888</v>
      </c>
      <c r="F14" s="266">
        <v>33</v>
      </c>
      <c r="G14" s="266" t="s">
        <v>92</v>
      </c>
      <c r="H14" s="266" t="s">
        <v>93</v>
      </c>
      <c r="I14" s="266" t="s">
        <v>29</v>
      </c>
      <c r="J14" s="266" t="s">
        <v>213</v>
      </c>
      <c r="K14" s="268" t="s">
        <v>66</v>
      </c>
    </row>
    <row r="15" spans="1:12" s="266" customFormat="1" x14ac:dyDescent="0.2">
      <c r="A15" s="266" t="s">
        <v>94</v>
      </c>
      <c r="B15" s="266" t="s">
        <v>95</v>
      </c>
      <c r="C15" s="266" t="s">
        <v>26</v>
      </c>
      <c r="D15" s="266" t="s">
        <v>19</v>
      </c>
      <c r="E15" s="266">
        <v>1896</v>
      </c>
      <c r="F15" s="266">
        <v>24</v>
      </c>
      <c r="G15" s="266" t="s">
        <v>14</v>
      </c>
      <c r="H15" s="266" t="s">
        <v>28</v>
      </c>
      <c r="I15" s="266" t="s">
        <v>29</v>
      </c>
      <c r="J15" s="266" t="s">
        <v>213</v>
      </c>
      <c r="K15" s="268" t="s">
        <v>66</v>
      </c>
    </row>
    <row r="16" spans="1:12" x14ac:dyDescent="0.2">
      <c r="K16" s="3"/>
    </row>
    <row r="17" spans="1:11" s="266" customFormat="1" x14ac:dyDescent="0.2">
      <c r="A17" s="266" t="s">
        <v>96</v>
      </c>
      <c r="B17" s="266" t="s">
        <v>97</v>
      </c>
      <c r="C17" s="266" t="s">
        <v>58</v>
      </c>
      <c r="D17" s="266" t="s">
        <v>13</v>
      </c>
      <c r="E17" s="266">
        <v>1879</v>
      </c>
      <c r="F17" s="266">
        <v>42</v>
      </c>
      <c r="G17" s="266" t="s">
        <v>98</v>
      </c>
      <c r="H17" s="266" t="s">
        <v>99</v>
      </c>
      <c r="I17" s="266" t="s">
        <v>100</v>
      </c>
      <c r="J17" s="266">
        <v>19</v>
      </c>
      <c r="K17" s="268" t="s">
        <v>66</v>
      </c>
    </row>
    <row r="18" spans="1:11" s="266" customFormat="1" x14ac:dyDescent="0.2">
      <c r="A18" s="266" t="s">
        <v>101</v>
      </c>
      <c r="B18" s="266" t="s">
        <v>97</v>
      </c>
      <c r="C18" s="266" t="s">
        <v>26</v>
      </c>
      <c r="D18" s="266" t="s">
        <v>19</v>
      </c>
      <c r="E18" s="266">
        <v>1891</v>
      </c>
      <c r="F18" s="266">
        <v>30</v>
      </c>
      <c r="G18" s="266" t="s">
        <v>102</v>
      </c>
      <c r="H18" s="266" t="s">
        <v>33</v>
      </c>
      <c r="I18" s="266" t="s">
        <v>29</v>
      </c>
      <c r="K18" s="268" t="s">
        <v>66</v>
      </c>
    </row>
    <row r="19" spans="1:11" s="266" customFormat="1" x14ac:dyDescent="0.2">
      <c r="A19" s="266" t="s">
        <v>103</v>
      </c>
      <c r="B19" s="266" t="s">
        <v>104</v>
      </c>
      <c r="C19" s="266" t="s">
        <v>60</v>
      </c>
      <c r="D19" s="266" t="s">
        <v>19</v>
      </c>
      <c r="E19" s="266">
        <v>1884</v>
      </c>
      <c r="F19" s="266">
        <v>37</v>
      </c>
      <c r="G19" s="266" t="s">
        <v>20</v>
      </c>
      <c r="H19" s="266" t="s">
        <v>105</v>
      </c>
      <c r="I19" s="266" t="s">
        <v>106</v>
      </c>
      <c r="K19" s="268" t="s">
        <v>66</v>
      </c>
    </row>
    <row r="21" spans="1:11" s="266" customFormat="1" x14ac:dyDescent="0.2">
      <c r="A21" s="266" t="s">
        <v>0</v>
      </c>
      <c r="B21" s="266" t="s">
        <v>1</v>
      </c>
      <c r="C21" s="266" t="s">
        <v>2</v>
      </c>
      <c r="D21" s="266" t="s">
        <v>3</v>
      </c>
      <c r="E21" s="266" t="s">
        <v>4</v>
      </c>
      <c r="F21" s="266" t="s">
        <v>5</v>
      </c>
      <c r="G21" s="266" t="s">
        <v>6</v>
      </c>
      <c r="H21" s="266" t="s">
        <v>7</v>
      </c>
      <c r="I21" s="266" t="s">
        <v>8</v>
      </c>
    </row>
    <row r="22" spans="1:11" s="266" customFormat="1" x14ac:dyDescent="0.2">
      <c r="A22" s="266" t="s">
        <v>315</v>
      </c>
      <c r="B22" s="266" t="s">
        <v>316</v>
      </c>
      <c r="C22" s="266" t="s">
        <v>12</v>
      </c>
      <c r="D22" s="266" t="s">
        <v>13</v>
      </c>
      <c r="E22" s="266">
        <v>1857</v>
      </c>
      <c r="F22" s="266">
        <v>63</v>
      </c>
      <c r="G22" s="266" t="s">
        <v>49</v>
      </c>
      <c r="H22" s="266" t="s">
        <v>317</v>
      </c>
      <c r="I22" s="266" t="s">
        <v>20</v>
      </c>
    </row>
    <row r="23" spans="1:11" s="266" customFormat="1" x14ac:dyDescent="0.2">
      <c r="A23" s="266" t="s">
        <v>318</v>
      </c>
      <c r="B23" s="266" t="s">
        <v>316</v>
      </c>
      <c r="C23" s="266" t="s">
        <v>18</v>
      </c>
      <c r="D23" s="266" t="s">
        <v>19</v>
      </c>
      <c r="E23" s="266">
        <v>1866</v>
      </c>
      <c r="F23" s="266">
        <v>54</v>
      </c>
      <c r="G23" s="266" t="s">
        <v>319</v>
      </c>
      <c r="H23" s="266" t="s">
        <v>50</v>
      </c>
      <c r="I23" s="266" t="s">
        <v>20</v>
      </c>
    </row>
    <row r="24" spans="1:11" s="266" customFormat="1" x14ac:dyDescent="0.2">
      <c r="A24" s="266" t="s">
        <v>320</v>
      </c>
      <c r="B24" s="266" t="s">
        <v>316</v>
      </c>
      <c r="C24" s="266" t="s">
        <v>51</v>
      </c>
      <c r="D24" s="266" t="s">
        <v>13</v>
      </c>
      <c r="E24" s="266">
        <v>1896</v>
      </c>
      <c r="F24" s="266">
        <v>24</v>
      </c>
      <c r="G24" s="266" t="s">
        <v>49</v>
      </c>
      <c r="H24" s="266" t="s">
        <v>321</v>
      </c>
      <c r="I24" s="266" t="s">
        <v>322</v>
      </c>
    </row>
    <row r="25" spans="1:11" s="266" customFormat="1" x14ac:dyDescent="0.2">
      <c r="A25" s="266" t="s">
        <v>323</v>
      </c>
      <c r="B25" s="266" t="s">
        <v>316</v>
      </c>
      <c r="C25" s="266" t="s">
        <v>22</v>
      </c>
      <c r="D25" s="266" t="s">
        <v>19</v>
      </c>
      <c r="E25" s="266">
        <v>1898</v>
      </c>
      <c r="F25" s="266">
        <v>22</v>
      </c>
      <c r="G25" s="266" t="s">
        <v>49</v>
      </c>
      <c r="H25" s="266" t="s">
        <v>20</v>
      </c>
      <c r="I25" s="266" t="s">
        <v>20</v>
      </c>
    </row>
    <row r="26" spans="1:11" s="266" customFormat="1" x14ac:dyDescent="0.2">
      <c r="A26" s="266" t="s">
        <v>324</v>
      </c>
      <c r="B26" s="266" t="s">
        <v>316</v>
      </c>
      <c r="C26" s="266" t="s">
        <v>22</v>
      </c>
      <c r="D26" s="266" t="s">
        <v>19</v>
      </c>
      <c r="E26" s="266">
        <v>1900</v>
      </c>
      <c r="F26" s="266">
        <v>20</v>
      </c>
      <c r="G26" s="266" t="s">
        <v>325</v>
      </c>
      <c r="H26" s="266" t="s">
        <v>20</v>
      </c>
      <c r="I26" s="266" t="s">
        <v>20</v>
      </c>
    </row>
    <row r="27" spans="1:11" s="266" customFormat="1" x14ac:dyDescent="0.2">
      <c r="A27" s="266" t="s">
        <v>326</v>
      </c>
      <c r="B27" s="266" t="s">
        <v>316</v>
      </c>
      <c r="C27" s="266" t="s">
        <v>22</v>
      </c>
      <c r="D27" s="266" t="s">
        <v>19</v>
      </c>
      <c r="E27" s="266">
        <v>1902</v>
      </c>
      <c r="F27" s="266">
        <v>19</v>
      </c>
      <c r="G27" s="266" t="s">
        <v>325</v>
      </c>
      <c r="H27" s="266" t="s">
        <v>20</v>
      </c>
      <c r="I27" s="266" t="s">
        <v>20</v>
      </c>
    </row>
    <row r="28" spans="1:11" s="266" customFormat="1" x14ac:dyDescent="0.2">
      <c r="A28" s="266" t="s">
        <v>327</v>
      </c>
      <c r="B28" s="266" t="s">
        <v>328</v>
      </c>
      <c r="C28" s="266" t="s">
        <v>26</v>
      </c>
      <c r="D28" s="266" t="s">
        <v>19</v>
      </c>
      <c r="E28" s="266">
        <v>1900</v>
      </c>
      <c r="F28" s="266">
        <v>20</v>
      </c>
      <c r="G28" s="266" t="s">
        <v>329</v>
      </c>
      <c r="H28" s="266" t="s">
        <v>330</v>
      </c>
      <c r="I28" s="266" t="s">
        <v>29</v>
      </c>
    </row>
    <row r="29" spans="1:11" s="266" customFormat="1" x14ac:dyDescent="0.2">
      <c r="A29" s="266" t="s">
        <v>331</v>
      </c>
      <c r="B29" s="266" t="s">
        <v>332</v>
      </c>
      <c r="C29" s="266" t="s">
        <v>26</v>
      </c>
      <c r="D29" s="266" t="s">
        <v>19</v>
      </c>
      <c r="E29" s="266">
        <v>1896</v>
      </c>
      <c r="F29" s="266">
        <v>24</v>
      </c>
      <c r="G29" s="266" t="s">
        <v>333</v>
      </c>
      <c r="H29" s="266" t="s">
        <v>137</v>
      </c>
      <c r="I29" s="266" t="s">
        <v>29</v>
      </c>
    </row>
    <row r="31" spans="1:11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</row>
    <row r="32" spans="1:11" s="266" customFormat="1" x14ac:dyDescent="0.2">
      <c r="A32" s="266" t="s">
        <v>334</v>
      </c>
      <c r="B32" s="266" t="s">
        <v>118</v>
      </c>
      <c r="C32" s="266" t="s">
        <v>12</v>
      </c>
      <c r="D32" s="266" t="s">
        <v>13</v>
      </c>
      <c r="E32" s="266">
        <v>1876</v>
      </c>
      <c r="F32" s="266">
        <v>45</v>
      </c>
      <c r="G32" s="266" t="s">
        <v>14</v>
      </c>
      <c r="H32" s="266" t="s">
        <v>15</v>
      </c>
      <c r="I32" s="266" t="s">
        <v>8</v>
      </c>
    </row>
    <row r="33" spans="1:9" s="266" customFormat="1" x14ac:dyDescent="0.2">
      <c r="A33" s="266" t="s">
        <v>335</v>
      </c>
      <c r="B33" s="266" t="s">
        <v>118</v>
      </c>
      <c r="C33" s="266" t="s">
        <v>22</v>
      </c>
      <c r="D33" s="266" t="s">
        <v>19</v>
      </c>
      <c r="E33" s="266">
        <v>1902</v>
      </c>
      <c r="F33" s="266">
        <v>18</v>
      </c>
      <c r="G33" s="266" t="s">
        <v>14</v>
      </c>
      <c r="H33" s="266" t="s">
        <v>47</v>
      </c>
      <c r="I33" s="266" t="s">
        <v>20</v>
      </c>
    </row>
    <row r="34" spans="1:9" s="266" customFormat="1" x14ac:dyDescent="0.2">
      <c r="A34" s="266" t="s">
        <v>336</v>
      </c>
      <c r="B34" s="266" t="s">
        <v>337</v>
      </c>
      <c r="C34" s="266" t="s">
        <v>26</v>
      </c>
      <c r="D34" s="266" t="s">
        <v>19</v>
      </c>
      <c r="E34" s="266">
        <v>1891</v>
      </c>
      <c r="F34" s="266">
        <v>29</v>
      </c>
      <c r="G34" s="266" t="s">
        <v>338</v>
      </c>
      <c r="H34" s="266" t="s">
        <v>33</v>
      </c>
      <c r="I34" s="266" t="s">
        <v>29</v>
      </c>
    </row>
    <row r="35" spans="1:9" s="266" customFormat="1" x14ac:dyDescent="0.2">
      <c r="A35" s="266" t="s">
        <v>339</v>
      </c>
      <c r="B35" s="266" t="s">
        <v>340</v>
      </c>
      <c r="C35" s="266" t="s">
        <v>26</v>
      </c>
      <c r="D35" s="266" t="s">
        <v>19</v>
      </c>
      <c r="E35" s="266">
        <v>1896</v>
      </c>
      <c r="F35" s="266">
        <v>24</v>
      </c>
      <c r="G35" s="266" t="s">
        <v>341</v>
      </c>
      <c r="H35" s="266" t="s">
        <v>55</v>
      </c>
      <c r="I35" s="266" t="s">
        <v>29</v>
      </c>
    </row>
    <row r="37" spans="1:9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</row>
    <row r="38" spans="1:9" s="266" customFormat="1" x14ac:dyDescent="0.2">
      <c r="A38" s="266" t="s">
        <v>64</v>
      </c>
      <c r="B38" s="266" t="s">
        <v>342</v>
      </c>
      <c r="C38" s="266" t="s">
        <v>26</v>
      </c>
      <c r="D38" s="266" t="s">
        <v>19</v>
      </c>
      <c r="E38" s="266">
        <v>1896</v>
      </c>
      <c r="F38" s="266">
        <v>24</v>
      </c>
      <c r="G38" s="266" t="s">
        <v>343</v>
      </c>
      <c r="H38" s="266" t="s">
        <v>344</v>
      </c>
      <c r="I38" s="266" t="s">
        <v>29</v>
      </c>
    </row>
    <row r="39" spans="1:9" s="266" customFormat="1" x14ac:dyDescent="0.2">
      <c r="A39" s="266" t="s">
        <v>345</v>
      </c>
      <c r="B39" s="266" t="s">
        <v>342</v>
      </c>
      <c r="C39" s="266" t="s">
        <v>26</v>
      </c>
      <c r="D39" s="266" t="s">
        <v>19</v>
      </c>
      <c r="E39" s="266">
        <v>1899</v>
      </c>
      <c r="F39" s="266">
        <v>21</v>
      </c>
      <c r="G39" s="266" t="s">
        <v>346</v>
      </c>
      <c r="H39" s="266" t="s">
        <v>344</v>
      </c>
      <c r="I39" s="266" t="s">
        <v>29</v>
      </c>
    </row>
    <row r="40" spans="1:9" s="266" customFormat="1" x14ac:dyDescent="0.2">
      <c r="A40" s="266" t="s">
        <v>347</v>
      </c>
      <c r="B40" s="266" t="s">
        <v>342</v>
      </c>
      <c r="C40" s="266" t="s">
        <v>22</v>
      </c>
      <c r="D40" s="266" t="s">
        <v>19</v>
      </c>
      <c r="E40" s="266">
        <v>1914</v>
      </c>
      <c r="F40" s="266">
        <v>7</v>
      </c>
      <c r="G40" s="266" t="s">
        <v>49</v>
      </c>
      <c r="H40" s="266" t="s">
        <v>20</v>
      </c>
      <c r="I40" s="266" t="s">
        <v>20</v>
      </c>
    </row>
    <row r="41" spans="1:9" s="266" customFormat="1" x14ac:dyDescent="0.2">
      <c r="A41" s="266" t="s">
        <v>24</v>
      </c>
      <c r="B41" s="266" t="s">
        <v>348</v>
      </c>
      <c r="C41" s="266" t="s">
        <v>58</v>
      </c>
      <c r="D41" s="266" t="s">
        <v>19</v>
      </c>
      <c r="E41" s="266">
        <v>1870</v>
      </c>
      <c r="F41" s="266">
        <v>51</v>
      </c>
      <c r="G41" s="266" t="s">
        <v>349</v>
      </c>
      <c r="H41" s="266" t="s">
        <v>50</v>
      </c>
      <c r="I41" s="266" t="s">
        <v>20</v>
      </c>
    </row>
    <row r="43" spans="1:9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</row>
    <row r="44" spans="1:9" s="266" customFormat="1" x14ac:dyDescent="0.2">
      <c r="A44" s="266" t="s">
        <v>350</v>
      </c>
      <c r="B44" s="266" t="s">
        <v>128</v>
      </c>
      <c r="C44" s="266" t="s">
        <v>12</v>
      </c>
      <c r="D44" s="266" t="s">
        <v>13</v>
      </c>
      <c r="E44" s="266">
        <v>1855</v>
      </c>
      <c r="F44" s="266">
        <v>65</v>
      </c>
      <c r="G44" s="266" t="s">
        <v>49</v>
      </c>
      <c r="H44" s="266" t="s">
        <v>129</v>
      </c>
      <c r="I44" s="266" t="s">
        <v>8</v>
      </c>
    </row>
    <row r="45" spans="1:9" s="266" customFormat="1" x14ac:dyDescent="0.2">
      <c r="A45" s="266" t="s">
        <v>351</v>
      </c>
      <c r="B45" s="266" t="s">
        <v>128</v>
      </c>
      <c r="C45" s="266" t="s">
        <v>18</v>
      </c>
      <c r="D45" s="266" t="s">
        <v>19</v>
      </c>
      <c r="E45" s="266">
        <v>1862</v>
      </c>
      <c r="F45" s="266">
        <v>58</v>
      </c>
      <c r="G45" s="266" t="s">
        <v>49</v>
      </c>
      <c r="H45" s="266" t="s">
        <v>50</v>
      </c>
      <c r="I45" s="266" t="s">
        <v>20</v>
      </c>
    </row>
    <row r="46" spans="1:9" s="266" customFormat="1" x14ac:dyDescent="0.2">
      <c r="A46" s="266" t="s">
        <v>352</v>
      </c>
      <c r="B46" s="266" t="s">
        <v>353</v>
      </c>
      <c r="C46" s="266" t="s">
        <v>26</v>
      </c>
      <c r="D46" s="266" t="s">
        <v>19</v>
      </c>
      <c r="E46" s="266">
        <v>1892</v>
      </c>
      <c r="F46" s="266">
        <v>29</v>
      </c>
      <c r="G46" s="266" t="s">
        <v>212</v>
      </c>
      <c r="H46" s="266" t="s">
        <v>28</v>
      </c>
      <c r="I46" s="266" t="s">
        <v>29</v>
      </c>
    </row>
    <row r="47" spans="1:9" s="266" customFormat="1" x14ac:dyDescent="0.2">
      <c r="A47" s="266" t="s">
        <v>354</v>
      </c>
      <c r="B47" s="266" t="s">
        <v>355</v>
      </c>
      <c r="C47" s="266" t="s">
        <v>26</v>
      </c>
      <c r="D47" s="266" t="s">
        <v>19</v>
      </c>
      <c r="E47" s="266">
        <v>1905</v>
      </c>
      <c r="F47" s="266">
        <v>15</v>
      </c>
      <c r="G47" s="266" t="s">
        <v>356</v>
      </c>
      <c r="H47" s="266" t="s">
        <v>357</v>
      </c>
      <c r="I47" s="266" t="s">
        <v>29</v>
      </c>
    </row>
    <row r="48" spans="1:9" s="266" customFormat="1" x14ac:dyDescent="0.2">
      <c r="A48" s="266" t="s">
        <v>203</v>
      </c>
      <c r="B48" s="266" t="s">
        <v>358</v>
      </c>
      <c r="C48" s="266" t="s">
        <v>26</v>
      </c>
      <c r="D48" s="266" t="s">
        <v>19</v>
      </c>
      <c r="E48" s="266">
        <v>1888</v>
      </c>
      <c r="F48" s="266">
        <v>32</v>
      </c>
      <c r="G48" s="266" t="s">
        <v>359</v>
      </c>
      <c r="H48" s="266" t="s">
        <v>360</v>
      </c>
      <c r="I48" s="266" t="s">
        <v>29</v>
      </c>
    </row>
    <row r="49" spans="1:9" s="266" customFormat="1" x14ac:dyDescent="0.2">
      <c r="A49" s="266" t="s">
        <v>361</v>
      </c>
      <c r="B49" s="266" t="s">
        <v>362</v>
      </c>
      <c r="C49" s="266" t="s">
        <v>26</v>
      </c>
      <c r="D49" s="266" t="s">
        <v>19</v>
      </c>
      <c r="E49" s="266">
        <v>1890</v>
      </c>
      <c r="F49" s="266">
        <v>31</v>
      </c>
      <c r="G49" s="266" t="s">
        <v>14</v>
      </c>
      <c r="H49" s="266" t="s">
        <v>33</v>
      </c>
      <c r="I49" s="266" t="s">
        <v>29</v>
      </c>
    </row>
    <row r="50" spans="1:9" s="266" customFormat="1" x14ac:dyDescent="0.2"/>
    <row r="51" spans="1:9" s="266" customFormat="1" x14ac:dyDescent="0.2">
      <c r="A51" s="266" t="s">
        <v>0</v>
      </c>
      <c r="B51" s="266" t="s">
        <v>1</v>
      </c>
      <c r="C51" s="266" t="s">
        <v>2</v>
      </c>
      <c r="D51" s="266" t="s">
        <v>3</v>
      </c>
      <c r="E51" s="266" t="s">
        <v>4</v>
      </c>
      <c r="F51" s="266" t="s">
        <v>5</v>
      </c>
      <c r="G51" s="266" t="s">
        <v>6</v>
      </c>
      <c r="H51" s="266" t="s">
        <v>7</v>
      </c>
      <c r="I51" s="266" t="s">
        <v>8</v>
      </c>
    </row>
    <row r="52" spans="1:9" s="266" customFormat="1" x14ac:dyDescent="0.2">
      <c r="A52" s="266" t="s">
        <v>336</v>
      </c>
      <c r="B52" s="266" t="s">
        <v>363</v>
      </c>
      <c r="C52" s="266" t="s">
        <v>12</v>
      </c>
      <c r="D52" s="266" t="s">
        <v>19</v>
      </c>
      <c r="E52" s="266">
        <v>1856</v>
      </c>
      <c r="F52" s="266">
        <v>65</v>
      </c>
      <c r="G52" s="266" t="s">
        <v>49</v>
      </c>
      <c r="H52" s="266" t="s">
        <v>50</v>
      </c>
      <c r="I52" s="266" t="s">
        <v>20</v>
      </c>
    </row>
    <row r="53" spans="1:9" s="266" customFormat="1" x14ac:dyDescent="0.2">
      <c r="A53" s="266" t="s">
        <v>324</v>
      </c>
      <c r="B53" s="266" t="s">
        <v>364</v>
      </c>
      <c r="C53" s="266" t="s">
        <v>58</v>
      </c>
      <c r="D53" s="266" t="s">
        <v>19</v>
      </c>
      <c r="E53" s="266">
        <v>1861</v>
      </c>
      <c r="F53" s="266">
        <v>60</v>
      </c>
      <c r="G53" s="266" t="s">
        <v>365</v>
      </c>
      <c r="H53" s="266" t="s">
        <v>20</v>
      </c>
      <c r="I53" s="266" t="s">
        <v>29</v>
      </c>
    </row>
    <row r="54" spans="1:9" s="266" customFormat="1" x14ac:dyDescent="0.2">
      <c r="A54" s="266" t="s">
        <v>366</v>
      </c>
      <c r="B54" s="266" t="s">
        <v>367</v>
      </c>
      <c r="C54" s="266" t="s">
        <v>26</v>
      </c>
      <c r="D54" s="266" t="s">
        <v>19</v>
      </c>
      <c r="E54" s="266">
        <v>1861</v>
      </c>
      <c r="F54" s="266">
        <v>60</v>
      </c>
      <c r="G54" s="266" t="s">
        <v>368</v>
      </c>
      <c r="H54" s="266" t="s">
        <v>360</v>
      </c>
      <c r="I54" s="266" t="s">
        <v>29</v>
      </c>
    </row>
    <row r="55" spans="1:9" s="266" customFormat="1" x14ac:dyDescent="0.2">
      <c r="A55" s="266" t="s">
        <v>324</v>
      </c>
      <c r="B55" s="266" t="s">
        <v>369</v>
      </c>
      <c r="C55" s="266" t="s">
        <v>26</v>
      </c>
      <c r="D55" s="266" t="s">
        <v>19</v>
      </c>
      <c r="E55" s="266">
        <v>1872</v>
      </c>
      <c r="F55" s="266">
        <v>48</v>
      </c>
      <c r="G55" s="266" t="s">
        <v>370</v>
      </c>
      <c r="H55" s="266" t="s">
        <v>33</v>
      </c>
      <c r="I55" s="266" t="s">
        <v>29</v>
      </c>
    </row>
    <row r="56" spans="1:9" s="266" customFormat="1" x14ac:dyDescent="0.2">
      <c r="A56" s="266" t="s">
        <v>336</v>
      </c>
      <c r="B56" s="266" t="s">
        <v>371</v>
      </c>
      <c r="C56" s="266" t="s">
        <v>26</v>
      </c>
      <c r="D56" s="266" t="s">
        <v>19</v>
      </c>
      <c r="E56" s="266">
        <v>1904</v>
      </c>
      <c r="F56" s="266">
        <v>17</v>
      </c>
      <c r="G56" s="266" t="s">
        <v>54</v>
      </c>
      <c r="H56" s="266" t="s">
        <v>137</v>
      </c>
      <c r="I56" s="266" t="s">
        <v>29</v>
      </c>
    </row>
    <row r="58" spans="1:9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</row>
    <row r="59" spans="1:9" s="266" customFormat="1" x14ac:dyDescent="0.2">
      <c r="A59" s="266" t="s">
        <v>336</v>
      </c>
      <c r="B59" s="266" t="s">
        <v>372</v>
      </c>
      <c r="C59" s="266" t="s">
        <v>26</v>
      </c>
      <c r="D59" s="266" t="s">
        <v>19</v>
      </c>
      <c r="E59" s="266">
        <v>1871</v>
      </c>
      <c r="F59" s="266">
        <v>50</v>
      </c>
      <c r="G59" s="266" t="s">
        <v>20</v>
      </c>
      <c r="H59" s="266" t="s">
        <v>33</v>
      </c>
      <c r="I59" s="266" t="s">
        <v>29</v>
      </c>
    </row>
    <row r="60" spans="1:9" s="266" customFormat="1" x14ac:dyDescent="0.2">
      <c r="A60" s="266" t="s">
        <v>373</v>
      </c>
      <c r="B60" s="266" t="s">
        <v>374</v>
      </c>
      <c r="C60" s="266" t="s">
        <v>26</v>
      </c>
      <c r="D60" s="266" t="s">
        <v>19</v>
      </c>
      <c r="E60" s="266">
        <v>1893</v>
      </c>
      <c r="F60" s="266">
        <v>28</v>
      </c>
      <c r="G60" s="266" t="s">
        <v>375</v>
      </c>
      <c r="H60" s="266" t="s">
        <v>28</v>
      </c>
      <c r="I60" s="266" t="s">
        <v>29</v>
      </c>
    </row>
    <row r="61" spans="1:9" s="266" customFormat="1" x14ac:dyDescent="0.2">
      <c r="A61" s="266" t="s">
        <v>376</v>
      </c>
      <c r="B61" s="266" t="s">
        <v>377</v>
      </c>
      <c r="C61" s="266" t="s">
        <v>378</v>
      </c>
      <c r="D61" s="266" t="s">
        <v>19</v>
      </c>
      <c r="E61" s="266">
        <v>1882</v>
      </c>
      <c r="F61" s="266">
        <v>39</v>
      </c>
      <c r="G61" s="266" t="s">
        <v>49</v>
      </c>
      <c r="H61" s="266" t="s">
        <v>379</v>
      </c>
      <c r="I61" s="266" t="s">
        <v>29</v>
      </c>
    </row>
    <row r="62" spans="1:9" s="266" customFormat="1" x14ac:dyDescent="0.2">
      <c r="A62" s="266" t="s">
        <v>380</v>
      </c>
      <c r="B62" s="266" t="s">
        <v>381</v>
      </c>
      <c r="C62" s="266" t="s">
        <v>22</v>
      </c>
      <c r="D62" s="266" t="s">
        <v>19</v>
      </c>
      <c r="E62" s="266">
        <v>1909</v>
      </c>
      <c r="F62" s="266">
        <v>12</v>
      </c>
      <c r="G62" s="266" t="s">
        <v>49</v>
      </c>
      <c r="H62" s="266" t="s">
        <v>20</v>
      </c>
      <c r="I62" s="266" t="s">
        <v>20</v>
      </c>
    </row>
    <row r="63" spans="1:9" s="266" customFormat="1" x14ac:dyDescent="0.2">
      <c r="A63" s="266" t="s">
        <v>382</v>
      </c>
      <c r="B63" s="266" t="s">
        <v>381</v>
      </c>
      <c r="C63" s="266" t="s">
        <v>18</v>
      </c>
      <c r="D63" s="266" t="s">
        <v>19</v>
      </c>
      <c r="E63" s="266">
        <v>1880</v>
      </c>
      <c r="F63" s="266">
        <v>40</v>
      </c>
      <c r="G63" s="266" t="s">
        <v>383</v>
      </c>
      <c r="H63" s="266" t="s">
        <v>50</v>
      </c>
      <c r="I63" s="266" t="s">
        <v>20</v>
      </c>
    </row>
    <row r="64" spans="1:9" s="266" customFormat="1" x14ac:dyDescent="0.2">
      <c r="A64" s="266" t="s">
        <v>384</v>
      </c>
      <c r="B64" s="266" t="s">
        <v>381</v>
      </c>
      <c r="C64" s="266" t="s">
        <v>12</v>
      </c>
      <c r="D64" s="266" t="s">
        <v>13</v>
      </c>
      <c r="E64" s="266">
        <v>1869</v>
      </c>
      <c r="F64" s="266">
        <v>52</v>
      </c>
      <c r="G64" s="266" t="s">
        <v>49</v>
      </c>
      <c r="H64" s="266" t="s">
        <v>385</v>
      </c>
      <c r="I64" s="266" t="s">
        <v>8</v>
      </c>
    </row>
    <row r="65" spans="1:9" s="266" customFormat="1" x14ac:dyDescent="0.2"/>
    <row r="66" spans="1:9" s="266" customFormat="1" x14ac:dyDescent="0.2">
      <c r="A66" s="266" t="s">
        <v>0</v>
      </c>
      <c r="B66" s="266" t="s">
        <v>1</v>
      </c>
      <c r="C66" s="266" t="s">
        <v>2</v>
      </c>
      <c r="D66" s="266" t="s">
        <v>3</v>
      </c>
      <c r="E66" s="266" t="s">
        <v>4</v>
      </c>
      <c r="F66" s="266" t="s">
        <v>5</v>
      </c>
      <c r="G66" s="266" t="s">
        <v>6</v>
      </c>
      <c r="H66" s="266" t="s">
        <v>7</v>
      </c>
      <c r="I66" s="266" t="s">
        <v>8</v>
      </c>
    </row>
    <row r="67" spans="1:9" s="266" customFormat="1" x14ac:dyDescent="0.2">
      <c r="A67" s="266" t="s">
        <v>386</v>
      </c>
      <c r="B67" s="266" t="s">
        <v>387</v>
      </c>
      <c r="C67" s="266" t="s">
        <v>12</v>
      </c>
      <c r="D67" s="266" t="s">
        <v>13</v>
      </c>
      <c r="E67" s="266">
        <v>1882</v>
      </c>
      <c r="F67" s="266">
        <v>38</v>
      </c>
      <c r="G67" s="266" t="s">
        <v>388</v>
      </c>
      <c r="H67" s="266" t="s">
        <v>389</v>
      </c>
      <c r="I67" s="266" t="s">
        <v>8</v>
      </c>
    </row>
    <row r="68" spans="1:9" s="266" customFormat="1" x14ac:dyDescent="0.2">
      <c r="A68" s="266" t="s">
        <v>390</v>
      </c>
      <c r="B68" s="266" t="s">
        <v>387</v>
      </c>
      <c r="C68" s="266" t="s">
        <v>22</v>
      </c>
      <c r="D68" s="266" t="s">
        <v>19</v>
      </c>
      <c r="E68" s="266">
        <v>1906</v>
      </c>
      <c r="F68" s="266">
        <v>14</v>
      </c>
      <c r="G68" s="266" t="s">
        <v>49</v>
      </c>
      <c r="H68" s="266" t="s">
        <v>20</v>
      </c>
      <c r="I68" s="266" t="s">
        <v>20</v>
      </c>
    </row>
    <row r="69" spans="1:9" s="266" customFormat="1" x14ac:dyDescent="0.2">
      <c r="A69" s="266" t="s">
        <v>391</v>
      </c>
      <c r="B69" s="266" t="s">
        <v>387</v>
      </c>
      <c r="C69" s="266" t="s">
        <v>22</v>
      </c>
      <c r="D69" s="266" t="s">
        <v>19</v>
      </c>
      <c r="E69" s="266">
        <v>1908</v>
      </c>
      <c r="F69" s="266">
        <v>13</v>
      </c>
      <c r="G69" s="266" t="s">
        <v>49</v>
      </c>
      <c r="H69" s="266" t="s">
        <v>20</v>
      </c>
      <c r="I69" s="266" t="s">
        <v>20</v>
      </c>
    </row>
    <row r="70" spans="1:9" s="266" customFormat="1" x14ac:dyDescent="0.2">
      <c r="A70" s="266" t="s">
        <v>392</v>
      </c>
      <c r="B70" s="266" t="s">
        <v>387</v>
      </c>
      <c r="C70" s="266" t="s">
        <v>22</v>
      </c>
      <c r="D70" s="266" t="s">
        <v>13</v>
      </c>
      <c r="E70" s="266">
        <v>1911</v>
      </c>
      <c r="F70" s="266">
        <v>10</v>
      </c>
      <c r="G70" s="266" t="s">
        <v>49</v>
      </c>
      <c r="H70" s="266" t="s">
        <v>20</v>
      </c>
      <c r="I70" s="266" t="s">
        <v>20</v>
      </c>
    </row>
    <row r="71" spans="1:9" s="266" customFormat="1" x14ac:dyDescent="0.2">
      <c r="A71" s="266" t="s">
        <v>393</v>
      </c>
      <c r="B71" s="266" t="s">
        <v>387</v>
      </c>
      <c r="C71" s="266" t="s">
        <v>51</v>
      </c>
      <c r="D71" s="266" t="s">
        <v>13</v>
      </c>
      <c r="E71" s="266">
        <v>1913</v>
      </c>
      <c r="F71" s="266">
        <v>8</v>
      </c>
      <c r="G71" s="266" t="s">
        <v>49</v>
      </c>
      <c r="H71" s="266" t="s">
        <v>20</v>
      </c>
      <c r="I71" s="266" t="s">
        <v>20</v>
      </c>
    </row>
    <row r="72" spans="1:9" s="266" customFormat="1" x14ac:dyDescent="0.2">
      <c r="A72" s="266" t="s">
        <v>64</v>
      </c>
      <c r="B72" s="266" t="s">
        <v>394</v>
      </c>
      <c r="C72" s="266" t="s">
        <v>26</v>
      </c>
      <c r="D72" s="266" t="s">
        <v>19</v>
      </c>
      <c r="E72" s="266">
        <v>1890</v>
      </c>
      <c r="F72" s="266">
        <v>31</v>
      </c>
      <c r="G72" s="266" t="s">
        <v>395</v>
      </c>
      <c r="H72" s="266" t="s">
        <v>52</v>
      </c>
      <c r="I72" s="266" t="s">
        <v>29</v>
      </c>
    </row>
    <row r="73" spans="1:9" s="266" customFormat="1" x14ac:dyDescent="0.2">
      <c r="A73" s="266" t="s">
        <v>24</v>
      </c>
      <c r="B73" s="266" t="s">
        <v>396</v>
      </c>
      <c r="C73" s="266" t="s">
        <v>26</v>
      </c>
      <c r="D73" s="266" t="s">
        <v>19</v>
      </c>
      <c r="E73" s="266">
        <v>1894</v>
      </c>
      <c r="F73" s="266">
        <v>26</v>
      </c>
      <c r="G73" s="266" t="s">
        <v>397</v>
      </c>
      <c r="H73" s="266" t="s">
        <v>33</v>
      </c>
      <c r="I73" s="266" t="s">
        <v>29</v>
      </c>
    </row>
    <row r="74" spans="1:9" s="266" customFormat="1" x14ac:dyDescent="0.2">
      <c r="A74" s="266" t="s">
        <v>398</v>
      </c>
      <c r="B74" s="266" t="s">
        <v>399</v>
      </c>
      <c r="C74" s="266" t="s">
        <v>26</v>
      </c>
      <c r="D74" s="266" t="s">
        <v>19</v>
      </c>
      <c r="E74" s="266">
        <v>1903</v>
      </c>
      <c r="F74" s="266">
        <v>18</v>
      </c>
      <c r="G74" s="266" t="s">
        <v>400</v>
      </c>
      <c r="H74" s="266" t="s">
        <v>28</v>
      </c>
      <c r="I74" s="266" t="s">
        <v>29</v>
      </c>
    </row>
    <row r="76" spans="1:9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</row>
    <row r="77" spans="1:9" s="266" customFormat="1" x14ac:dyDescent="0.2">
      <c r="A77" s="266" t="s">
        <v>401</v>
      </c>
      <c r="B77" s="266" t="s">
        <v>402</v>
      </c>
      <c r="C77" s="266" t="s">
        <v>12</v>
      </c>
      <c r="D77" s="266" t="s">
        <v>13</v>
      </c>
      <c r="E77" s="266">
        <v>1880</v>
      </c>
      <c r="F77" s="266">
        <v>41</v>
      </c>
      <c r="G77" s="266" t="s">
        <v>49</v>
      </c>
      <c r="H77" s="266" t="s">
        <v>403</v>
      </c>
      <c r="I77" s="266" t="s">
        <v>8</v>
      </c>
    </row>
    <row r="78" spans="1:9" s="266" customFormat="1" x14ac:dyDescent="0.2">
      <c r="A78" s="266" t="s">
        <v>404</v>
      </c>
      <c r="B78" s="266" t="s">
        <v>405</v>
      </c>
      <c r="C78" s="266" t="s">
        <v>52</v>
      </c>
      <c r="D78" s="266" t="s">
        <v>19</v>
      </c>
      <c r="E78" s="266">
        <v>1853</v>
      </c>
      <c r="F78" s="266">
        <v>67</v>
      </c>
      <c r="G78" s="266" t="s">
        <v>406</v>
      </c>
      <c r="H78" s="266" t="s">
        <v>407</v>
      </c>
      <c r="I78" s="266" t="s">
        <v>29</v>
      </c>
    </row>
    <row r="79" spans="1:9" s="266" customFormat="1" x14ac:dyDescent="0.2">
      <c r="A79" s="266" t="s">
        <v>408</v>
      </c>
      <c r="B79" s="266" t="s">
        <v>409</v>
      </c>
      <c r="C79" s="266" t="s">
        <v>26</v>
      </c>
      <c r="D79" s="266" t="s">
        <v>19</v>
      </c>
      <c r="E79" s="266">
        <v>1897</v>
      </c>
      <c r="F79" s="266">
        <v>23</v>
      </c>
      <c r="G79" s="266" t="s">
        <v>410</v>
      </c>
      <c r="H79" s="266" t="s">
        <v>28</v>
      </c>
      <c r="I79" s="266" t="s">
        <v>29</v>
      </c>
    </row>
    <row r="81" spans="1:9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</row>
    <row r="82" spans="1:9" s="266" customFormat="1" x14ac:dyDescent="0.2">
      <c r="A82" s="266" t="s">
        <v>386</v>
      </c>
      <c r="B82" s="266" t="s">
        <v>411</v>
      </c>
      <c r="C82" s="266" t="s">
        <v>12</v>
      </c>
      <c r="D82" s="266" t="s">
        <v>13</v>
      </c>
      <c r="E82" s="266">
        <v>1860</v>
      </c>
      <c r="F82" s="266">
        <v>61</v>
      </c>
      <c r="G82" s="266" t="s">
        <v>14</v>
      </c>
      <c r="H82" s="266" t="s">
        <v>412</v>
      </c>
      <c r="I82" s="266" t="s">
        <v>20</v>
      </c>
    </row>
    <row r="83" spans="1:9" s="266" customFormat="1" x14ac:dyDescent="0.2">
      <c r="A83" s="266" t="s">
        <v>413</v>
      </c>
      <c r="B83" s="266" t="s">
        <v>414</v>
      </c>
      <c r="C83" s="266" t="s">
        <v>52</v>
      </c>
      <c r="D83" s="266" t="s">
        <v>19</v>
      </c>
      <c r="E83" s="266">
        <v>1876</v>
      </c>
      <c r="F83" s="266">
        <v>45</v>
      </c>
      <c r="G83" s="266" t="s">
        <v>415</v>
      </c>
      <c r="H83" s="266" t="s">
        <v>52</v>
      </c>
      <c r="I83" s="266" t="s">
        <v>29</v>
      </c>
    </row>
    <row r="84" spans="1:9" s="266" customFormat="1" x14ac:dyDescent="0.2">
      <c r="A84" s="266" t="s">
        <v>416</v>
      </c>
      <c r="B84" s="266" t="s">
        <v>417</v>
      </c>
      <c r="C84" s="266" t="s">
        <v>265</v>
      </c>
      <c r="D84" s="266" t="s">
        <v>19</v>
      </c>
      <c r="E84" s="266">
        <v>1899</v>
      </c>
      <c r="F84" s="266">
        <v>22</v>
      </c>
      <c r="G84" s="266" t="s">
        <v>418</v>
      </c>
      <c r="H84" s="266" t="s">
        <v>56</v>
      </c>
      <c r="I84" s="266" t="s">
        <v>29</v>
      </c>
    </row>
    <row r="86" spans="1:9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</row>
    <row r="87" spans="1:9" s="266" customFormat="1" x14ac:dyDescent="0.2">
      <c r="A87" s="266" t="s">
        <v>419</v>
      </c>
      <c r="B87" s="266" t="s">
        <v>420</v>
      </c>
      <c r="C87" s="266" t="s">
        <v>12</v>
      </c>
      <c r="D87" s="266" t="s">
        <v>13</v>
      </c>
      <c r="E87" s="266">
        <v>1849</v>
      </c>
      <c r="F87" s="266">
        <v>71</v>
      </c>
      <c r="G87" s="266" t="s">
        <v>49</v>
      </c>
      <c r="H87" s="266" t="s">
        <v>421</v>
      </c>
      <c r="I87" s="266" t="s">
        <v>20</v>
      </c>
    </row>
    <row r="88" spans="1:9" s="266" customFormat="1" x14ac:dyDescent="0.2">
      <c r="A88" s="266" t="s">
        <v>422</v>
      </c>
      <c r="B88" s="266" t="s">
        <v>420</v>
      </c>
      <c r="C88" s="266" t="s">
        <v>18</v>
      </c>
      <c r="D88" s="266" t="s">
        <v>19</v>
      </c>
      <c r="E88" s="266">
        <v>1862</v>
      </c>
      <c r="F88" s="266">
        <v>58</v>
      </c>
      <c r="G88" s="266" t="s">
        <v>49</v>
      </c>
      <c r="H88" s="266" t="s">
        <v>20</v>
      </c>
      <c r="I88" s="266" t="s">
        <v>20</v>
      </c>
    </row>
    <row r="89" spans="1:9" s="266" customFormat="1" x14ac:dyDescent="0.2">
      <c r="A89" s="266" t="s">
        <v>423</v>
      </c>
      <c r="B89" s="266" t="s">
        <v>420</v>
      </c>
      <c r="C89" s="266" t="s">
        <v>51</v>
      </c>
      <c r="D89" s="266" t="s">
        <v>13</v>
      </c>
      <c r="E89" s="266">
        <v>1896</v>
      </c>
      <c r="F89" s="266">
        <v>25</v>
      </c>
      <c r="G89" s="266" t="s">
        <v>49</v>
      </c>
      <c r="H89" s="266" t="s">
        <v>424</v>
      </c>
      <c r="I89" s="266" t="s">
        <v>425</v>
      </c>
    </row>
    <row r="90" spans="1:9" s="266" customFormat="1" x14ac:dyDescent="0.2">
      <c r="A90" s="266" t="s">
        <v>426</v>
      </c>
      <c r="B90" s="266" t="s">
        <v>420</v>
      </c>
      <c r="C90" s="266" t="s">
        <v>51</v>
      </c>
      <c r="D90" s="266" t="s">
        <v>13</v>
      </c>
      <c r="E90" s="266">
        <v>1898</v>
      </c>
      <c r="F90" s="266">
        <v>23</v>
      </c>
      <c r="G90" s="266" t="s">
        <v>49</v>
      </c>
      <c r="H90" s="266" t="s">
        <v>427</v>
      </c>
      <c r="I90" s="266" t="s">
        <v>425</v>
      </c>
    </row>
    <row r="91" spans="1:9" s="266" customFormat="1" x14ac:dyDescent="0.2">
      <c r="A91" s="266" t="s">
        <v>428</v>
      </c>
      <c r="B91" s="266" t="s">
        <v>420</v>
      </c>
      <c r="C91" s="266" t="s">
        <v>22</v>
      </c>
      <c r="D91" s="266" t="s">
        <v>19</v>
      </c>
      <c r="E91" s="266">
        <v>1900</v>
      </c>
      <c r="F91" s="266">
        <v>21</v>
      </c>
      <c r="G91" s="266" t="s">
        <v>49</v>
      </c>
      <c r="H91" s="266" t="s">
        <v>20</v>
      </c>
      <c r="I91" s="266" t="s">
        <v>20</v>
      </c>
    </row>
    <row r="92" spans="1:9" s="266" customFormat="1" x14ac:dyDescent="0.2">
      <c r="A92" s="266" t="s">
        <v>429</v>
      </c>
      <c r="B92" s="266" t="s">
        <v>430</v>
      </c>
      <c r="C92" s="266" t="s">
        <v>26</v>
      </c>
      <c r="D92" s="266" t="s">
        <v>19</v>
      </c>
      <c r="E92" s="266">
        <v>1886</v>
      </c>
      <c r="F92" s="266">
        <v>34</v>
      </c>
      <c r="G92" s="266" t="s">
        <v>415</v>
      </c>
      <c r="H92" s="266" t="s">
        <v>33</v>
      </c>
      <c r="I92" s="266" t="s">
        <v>29</v>
      </c>
    </row>
    <row r="93" spans="1:9" s="266" customFormat="1" x14ac:dyDescent="0.2">
      <c r="A93" s="266" t="s">
        <v>351</v>
      </c>
      <c r="B93" s="266" t="s">
        <v>431</v>
      </c>
      <c r="C93" s="266" t="s">
        <v>26</v>
      </c>
      <c r="D93" s="266" t="s">
        <v>19</v>
      </c>
      <c r="E93" s="266">
        <v>1901</v>
      </c>
      <c r="F93" s="266">
        <v>20</v>
      </c>
      <c r="G93" s="266" t="s">
        <v>432</v>
      </c>
      <c r="H93" s="266" t="s">
        <v>137</v>
      </c>
      <c r="I93" s="266" t="s">
        <v>29</v>
      </c>
    </row>
    <row r="95" spans="1:9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</row>
    <row r="96" spans="1:9" s="266" customFormat="1" x14ac:dyDescent="0.2">
      <c r="A96" s="266" t="s">
        <v>433</v>
      </c>
      <c r="B96" s="266" t="s">
        <v>434</v>
      </c>
      <c r="C96" s="266" t="s">
        <v>12</v>
      </c>
      <c r="D96" s="266" t="s">
        <v>19</v>
      </c>
      <c r="E96" s="266">
        <v>1859</v>
      </c>
      <c r="F96" s="266">
        <v>62</v>
      </c>
      <c r="G96" s="266" t="s">
        <v>14</v>
      </c>
      <c r="H96" s="266" t="s">
        <v>47</v>
      </c>
      <c r="I96" s="266" t="s">
        <v>20</v>
      </c>
    </row>
    <row r="97" spans="1:9" s="266" customFormat="1" x14ac:dyDescent="0.2">
      <c r="A97" s="266" t="s">
        <v>435</v>
      </c>
      <c r="B97" s="266" t="s">
        <v>436</v>
      </c>
      <c r="C97" s="266" t="s">
        <v>437</v>
      </c>
      <c r="D97" s="266" t="s">
        <v>19</v>
      </c>
      <c r="E97" s="266">
        <v>1854</v>
      </c>
      <c r="F97" s="266">
        <v>67</v>
      </c>
      <c r="G97" s="266" t="s">
        <v>438</v>
      </c>
      <c r="H97" s="266" t="s">
        <v>33</v>
      </c>
      <c r="I97" s="266" t="s">
        <v>29</v>
      </c>
    </row>
    <row r="98" spans="1:9" s="266" customFormat="1" x14ac:dyDescent="0.2">
      <c r="A98" s="266" t="s">
        <v>439</v>
      </c>
      <c r="B98" s="266" t="s">
        <v>33</v>
      </c>
      <c r="C98" s="266" t="s">
        <v>437</v>
      </c>
      <c r="D98" s="266" t="s">
        <v>19</v>
      </c>
      <c r="E98" s="266">
        <v>1893</v>
      </c>
      <c r="F98" s="266">
        <v>28</v>
      </c>
      <c r="G98" s="266" t="s">
        <v>440</v>
      </c>
      <c r="H98" s="266" t="s">
        <v>360</v>
      </c>
      <c r="I98" s="266" t="s">
        <v>29</v>
      </c>
    </row>
    <row r="99" spans="1:9" s="266" customFormat="1" x14ac:dyDescent="0.2">
      <c r="A99" s="266" t="s">
        <v>441</v>
      </c>
      <c r="B99" s="266" t="s">
        <v>442</v>
      </c>
      <c r="C99" s="266" t="s">
        <v>437</v>
      </c>
      <c r="D99" s="266" t="s">
        <v>19</v>
      </c>
      <c r="E99" s="266">
        <v>1899</v>
      </c>
      <c r="F99" s="266">
        <v>22</v>
      </c>
      <c r="G99" s="266" t="s">
        <v>443</v>
      </c>
      <c r="H99" s="266" t="s">
        <v>28</v>
      </c>
      <c r="I99" s="266" t="s">
        <v>29</v>
      </c>
    </row>
    <row r="101" spans="1:9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</row>
    <row r="102" spans="1:9" s="266" customFormat="1" x14ac:dyDescent="0.2">
      <c r="A102" s="266" t="s">
        <v>444</v>
      </c>
      <c r="B102" s="266" t="s">
        <v>445</v>
      </c>
      <c r="C102" s="266" t="s">
        <v>12</v>
      </c>
      <c r="D102" s="266" t="s">
        <v>13</v>
      </c>
      <c r="E102" s="266">
        <v>1873</v>
      </c>
      <c r="F102" s="266">
        <v>48</v>
      </c>
      <c r="G102" s="266" t="s">
        <v>14</v>
      </c>
      <c r="H102" s="266" t="s">
        <v>446</v>
      </c>
      <c r="I102" s="266" t="s">
        <v>8</v>
      </c>
    </row>
    <row r="103" spans="1:9" s="266" customFormat="1" x14ac:dyDescent="0.2">
      <c r="A103" s="266" t="s">
        <v>447</v>
      </c>
      <c r="B103" s="266" t="s">
        <v>448</v>
      </c>
      <c r="C103" s="266" t="s">
        <v>26</v>
      </c>
      <c r="D103" s="266" t="s">
        <v>19</v>
      </c>
      <c r="E103" s="266">
        <v>1892</v>
      </c>
      <c r="F103" s="266">
        <v>29</v>
      </c>
      <c r="G103" s="266" t="s">
        <v>449</v>
      </c>
      <c r="H103" s="266" t="s">
        <v>33</v>
      </c>
      <c r="I103" s="266" t="s">
        <v>29</v>
      </c>
    </row>
    <row r="104" spans="1:9" s="266" customFormat="1" x14ac:dyDescent="0.2">
      <c r="A104" s="266" t="s">
        <v>450</v>
      </c>
      <c r="B104" s="266" t="s">
        <v>451</v>
      </c>
      <c r="C104" s="266" t="s">
        <v>26</v>
      </c>
      <c r="D104" s="266" t="s">
        <v>19</v>
      </c>
      <c r="E104" s="266">
        <v>1889</v>
      </c>
      <c r="F104" s="266">
        <v>32</v>
      </c>
      <c r="G104" s="266" t="s">
        <v>452</v>
      </c>
      <c r="H104" s="266" t="s">
        <v>28</v>
      </c>
      <c r="I104" s="266" t="s">
        <v>29</v>
      </c>
    </row>
    <row r="107" spans="1:9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</row>
    <row r="108" spans="1:9" s="266" customFormat="1" x14ac:dyDescent="0.2">
      <c r="A108" s="266" t="s">
        <v>3090</v>
      </c>
      <c r="B108" s="266" t="s">
        <v>2589</v>
      </c>
      <c r="C108" s="266" t="s">
        <v>12</v>
      </c>
      <c r="D108" s="266" t="s">
        <v>13</v>
      </c>
      <c r="E108" s="266">
        <v>1869</v>
      </c>
      <c r="F108" s="266">
        <v>52</v>
      </c>
      <c r="G108" s="266" t="s">
        <v>14</v>
      </c>
      <c r="H108" s="266" t="s">
        <v>3091</v>
      </c>
      <c r="I108" s="266" t="s">
        <v>3092</v>
      </c>
    </row>
    <row r="109" spans="1:9" s="266" customFormat="1" x14ac:dyDescent="0.2">
      <c r="A109" s="266" t="s">
        <v>3093</v>
      </c>
      <c r="B109" s="266" t="s">
        <v>2589</v>
      </c>
      <c r="C109" s="266" t="s">
        <v>1208</v>
      </c>
      <c r="D109" s="266" t="s">
        <v>13</v>
      </c>
      <c r="E109" s="266">
        <v>1870</v>
      </c>
      <c r="F109" s="266">
        <v>51</v>
      </c>
      <c r="G109" s="266" t="s">
        <v>14</v>
      </c>
      <c r="H109" s="266" t="s">
        <v>3091</v>
      </c>
      <c r="I109" s="266" t="s">
        <v>3092</v>
      </c>
    </row>
    <row r="110" spans="1:9" s="266" customFormat="1" x14ac:dyDescent="0.2">
      <c r="A110" s="266" t="s">
        <v>3094</v>
      </c>
      <c r="B110" s="266" t="s">
        <v>2589</v>
      </c>
      <c r="C110" s="266" t="s">
        <v>1208</v>
      </c>
      <c r="D110" s="266" t="s">
        <v>13</v>
      </c>
      <c r="E110" s="266">
        <v>1874</v>
      </c>
      <c r="F110" s="266">
        <v>47</v>
      </c>
      <c r="G110" s="266" t="s">
        <v>14</v>
      </c>
      <c r="H110" s="266" t="s">
        <v>3091</v>
      </c>
      <c r="I110" s="266" t="s">
        <v>3092</v>
      </c>
    </row>
    <row r="111" spans="1:9" s="266" customFormat="1" x14ac:dyDescent="0.2">
      <c r="A111" s="266" t="s">
        <v>3095</v>
      </c>
      <c r="B111" s="266" t="s">
        <v>2589</v>
      </c>
      <c r="C111" s="266" t="s">
        <v>1208</v>
      </c>
      <c r="D111" s="266" t="s">
        <v>13</v>
      </c>
      <c r="E111" s="266">
        <v>1878</v>
      </c>
      <c r="F111" s="266">
        <v>43</v>
      </c>
      <c r="G111" s="266" t="s">
        <v>14</v>
      </c>
      <c r="H111" s="266" t="s">
        <v>3091</v>
      </c>
      <c r="I111" s="266" t="s">
        <v>3092</v>
      </c>
    </row>
    <row r="112" spans="1:9" s="266" customFormat="1" x14ac:dyDescent="0.2">
      <c r="A112" s="266" t="s">
        <v>46</v>
      </c>
      <c r="B112" s="266" t="s">
        <v>3096</v>
      </c>
      <c r="C112" s="266" t="s">
        <v>52</v>
      </c>
      <c r="D112" s="266" t="s">
        <v>19</v>
      </c>
      <c r="E112" s="266">
        <v>1850</v>
      </c>
      <c r="F112" s="266">
        <v>70</v>
      </c>
      <c r="G112" s="266" t="s">
        <v>1431</v>
      </c>
      <c r="H112" s="266" t="s">
        <v>407</v>
      </c>
      <c r="I112" s="266" t="s">
        <v>3097</v>
      </c>
    </row>
    <row r="113" spans="1:9" s="266" customFormat="1" x14ac:dyDescent="0.2">
      <c r="A113" s="266" t="s">
        <v>1220</v>
      </c>
      <c r="B113" s="266" t="s">
        <v>3098</v>
      </c>
      <c r="C113" s="266" t="s">
        <v>437</v>
      </c>
      <c r="D113" s="266" t="s">
        <v>19</v>
      </c>
      <c r="E113" s="266">
        <v>1891</v>
      </c>
      <c r="F113" s="266">
        <v>30</v>
      </c>
      <c r="G113" s="266" t="s">
        <v>368</v>
      </c>
      <c r="H113" s="266" t="s">
        <v>93</v>
      </c>
      <c r="I113" s="266" t="s">
        <v>29</v>
      </c>
    </row>
    <row r="114" spans="1:9" s="266" customFormat="1" x14ac:dyDescent="0.2">
      <c r="A114" s="266" t="s">
        <v>3099</v>
      </c>
      <c r="B114" s="266" t="s">
        <v>3100</v>
      </c>
      <c r="C114" s="266" t="s">
        <v>437</v>
      </c>
      <c r="D114" s="266" t="s">
        <v>19</v>
      </c>
      <c r="E114" s="266">
        <v>1893</v>
      </c>
      <c r="F114" s="266">
        <v>28</v>
      </c>
      <c r="G114" s="266" t="s">
        <v>45</v>
      </c>
      <c r="H114" s="266" t="s">
        <v>33</v>
      </c>
      <c r="I114" s="266" t="s">
        <v>29</v>
      </c>
    </row>
    <row r="115" spans="1:9" s="266" customFormat="1" x14ac:dyDescent="0.2">
      <c r="A115" s="266" t="s">
        <v>3101</v>
      </c>
      <c r="B115" s="266" t="s">
        <v>3102</v>
      </c>
      <c r="C115" s="266" t="s">
        <v>437</v>
      </c>
      <c r="D115" s="266" t="s">
        <v>19</v>
      </c>
      <c r="E115" s="266">
        <v>1898</v>
      </c>
      <c r="F115" s="266">
        <v>22</v>
      </c>
      <c r="G115" s="266" t="s">
        <v>397</v>
      </c>
      <c r="H115" s="266" t="s">
        <v>28</v>
      </c>
      <c r="I115" s="266" t="s">
        <v>29</v>
      </c>
    </row>
    <row r="116" spans="1:9" s="266" customFormat="1" x14ac:dyDescent="0.2"/>
    <row r="117" spans="1:9" s="266" customFormat="1" x14ac:dyDescent="0.2">
      <c r="A117" s="266" t="s">
        <v>0</v>
      </c>
      <c r="B117" s="266" t="s">
        <v>1</v>
      </c>
      <c r="C117" s="266" t="s">
        <v>2</v>
      </c>
      <c r="D117" s="266" t="s">
        <v>3</v>
      </c>
      <c r="E117" s="266" t="s">
        <v>4</v>
      </c>
      <c r="F117" s="266" t="s">
        <v>5</v>
      </c>
      <c r="G117" s="266" t="s">
        <v>6</v>
      </c>
      <c r="H117" s="266" t="s">
        <v>7</v>
      </c>
      <c r="I117" s="266" t="s">
        <v>8</v>
      </c>
    </row>
    <row r="118" spans="1:9" s="266" customFormat="1" x14ac:dyDescent="0.2">
      <c r="A118" s="266" t="s">
        <v>96</v>
      </c>
      <c r="B118" s="266" t="s">
        <v>97</v>
      </c>
      <c r="C118" s="266" t="s">
        <v>58</v>
      </c>
      <c r="D118" s="266" t="s">
        <v>13</v>
      </c>
      <c r="E118" s="266">
        <v>1879</v>
      </c>
      <c r="F118" s="266">
        <v>42</v>
      </c>
      <c r="G118" s="266" t="s">
        <v>98</v>
      </c>
      <c r="H118" s="266" t="s">
        <v>99</v>
      </c>
      <c r="I118" s="266" t="s">
        <v>100</v>
      </c>
    </row>
    <row r="119" spans="1:9" s="266" customFormat="1" x14ac:dyDescent="0.2">
      <c r="A119" s="266" t="s">
        <v>101</v>
      </c>
      <c r="B119" s="266" t="s">
        <v>97</v>
      </c>
      <c r="C119" s="266" t="s">
        <v>26</v>
      </c>
      <c r="D119" s="266" t="s">
        <v>19</v>
      </c>
      <c r="E119" s="266">
        <v>1891</v>
      </c>
      <c r="F119" s="266">
        <v>30</v>
      </c>
      <c r="G119" s="266" t="s">
        <v>102</v>
      </c>
      <c r="H119" s="266" t="s">
        <v>33</v>
      </c>
      <c r="I119" s="266" t="s">
        <v>29</v>
      </c>
    </row>
    <row r="120" spans="1:9" s="266" customFormat="1" x14ac:dyDescent="0.2">
      <c r="A120" s="266" t="s">
        <v>103</v>
      </c>
      <c r="B120" s="266" t="s">
        <v>104</v>
      </c>
      <c r="C120" s="266" t="s">
        <v>60</v>
      </c>
      <c r="D120" s="266" t="s">
        <v>19</v>
      </c>
      <c r="E120" s="266">
        <v>1884</v>
      </c>
      <c r="F120" s="266">
        <v>37</v>
      </c>
      <c r="G120" s="266" t="s">
        <v>20</v>
      </c>
      <c r="H120" s="266" t="s">
        <v>105</v>
      </c>
      <c r="I120" s="266" t="s">
        <v>106</v>
      </c>
    </row>
    <row r="122" spans="1:9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</row>
    <row r="123" spans="1:9" s="266" customFormat="1" x14ac:dyDescent="0.2">
      <c r="A123" s="266" t="s">
        <v>3104</v>
      </c>
      <c r="B123" s="266" t="s">
        <v>1136</v>
      </c>
      <c r="C123" s="266" t="s">
        <v>12</v>
      </c>
      <c r="D123" s="266" t="s">
        <v>13</v>
      </c>
      <c r="E123" s="266">
        <v>1875</v>
      </c>
      <c r="F123" s="266">
        <v>46</v>
      </c>
      <c r="G123" s="266" t="s">
        <v>14</v>
      </c>
      <c r="H123" s="266" t="s">
        <v>3105</v>
      </c>
      <c r="I123" s="266" t="s">
        <v>8</v>
      </c>
    </row>
    <row r="124" spans="1:9" s="266" customFormat="1" x14ac:dyDescent="0.2">
      <c r="A124" s="266" t="s">
        <v>3106</v>
      </c>
      <c r="B124" s="266" t="s">
        <v>1136</v>
      </c>
      <c r="C124" s="266" t="s">
        <v>144</v>
      </c>
      <c r="D124" s="266" t="s">
        <v>19</v>
      </c>
      <c r="E124" s="266">
        <v>1868</v>
      </c>
      <c r="F124" s="266">
        <v>53</v>
      </c>
      <c r="G124" s="266" t="s">
        <v>14</v>
      </c>
      <c r="H124" s="266" t="s">
        <v>50</v>
      </c>
      <c r="I124" s="266" t="s">
        <v>20</v>
      </c>
    </row>
    <row r="125" spans="1:9" s="266" customFormat="1" x14ac:dyDescent="0.2">
      <c r="A125" s="266" t="s">
        <v>24</v>
      </c>
      <c r="B125" s="266" t="s">
        <v>3107</v>
      </c>
      <c r="C125" s="266" t="s">
        <v>26</v>
      </c>
      <c r="D125" s="266" t="s">
        <v>19</v>
      </c>
      <c r="E125" s="266">
        <v>1884</v>
      </c>
      <c r="F125" s="266">
        <v>37</v>
      </c>
      <c r="G125" s="266" t="s">
        <v>14</v>
      </c>
      <c r="H125" s="266" t="s">
        <v>344</v>
      </c>
      <c r="I125" s="266" t="s">
        <v>29</v>
      </c>
    </row>
    <row r="126" spans="1:9" s="266" customFormat="1" x14ac:dyDescent="0.2">
      <c r="A126" s="266" t="s">
        <v>3108</v>
      </c>
      <c r="B126" s="266" t="s">
        <v>3109</v>
      </c>
      <c r="C126" s="266" t="s">
        <v>26</v>
      </c>
      <c r="D126" s="266" t="s">
        <v>19</v>
      </c>
      <c r="E126" s="266">
        <v>1900</v>
      </c>
      <c r="F126" s="266">
        <v>20</v>
      </c>
      <c r="G126" s="266" t="s">
        <v>3110</v>
      </c>
      <c r="H126" s="266" t="s">
        <v>344</v>
      </c>
      <c r="I126" s="266" t="s">
        <v>29</v>
      </c>
    </row>
    <row r="127" spans="1:9" s="266" customFormat="1" x14ac:dyDescent="0.2">
      <c r="A127" s="266" t="s">
        <v>704</v>
      </c>
      <c r="B127" s="266" t="s">
        <v>3111</v>
      </c>
      <c r="C127" s="266" t="s">
        <v>26</v>
      </c>
      <c r="D127" s="266" t="s">
        <v>19</v>
      </c>
      <c r="E127" s="266">
        <v>1876</v>
      </c>
      <c r="F127" s="266">
        <v>45</v>
      </c>
      <c r="G127" s="266" t="s">
        <v>3112</v>
      </c>
      <c r="H127" s="266" t="s">
        <v>3053</v>
      </c>
      <c r="I127" s="266" t="s">
        <v>29</v>
      </c>
    </row>
    <row r="128" spans="1:9" s="266" customFormat="1" x14ac:dyDescent="0.2"/>
    <row r="129" spans="1:9" s="266" customFormat="1" x14ac:dyDescent="0.2">
      <c r="A129" s="266" t="s">
        <v>0</v>
      </c>
      <c r="B129" s="266" t="s">
        <v>1</v>
      </c>
      <c r="C129" s="266" t="s">
        <v>2</v>
      </c>
      <c r="D129" s="266" t="s">
        <v>3</v>
      </c>
      <c r="E129" s="266" t="s">
        <v>4</v>
      </c>
      <c r="F129" s="266" t="s">
        <v>5</v>
      </c>
      <c r="G129" s="266" t="s">
        <v>6</v>
      </c>
      <c r="H129" s="266" t="s">
        <v>7</v>
      </c>
      <c r="I129" s="266" t="s">
        <v>8</v>
      </c>
    </row>
    <row r="130" spans="1:9" s="266" customFormat="1" x14ac:dyDescent="0.2">
      <c r="A130" s="266" t="s">
        <v>444</v>
      </c>
      <c r="B130" s="266" t="s">
        <v>3119</v>
      </c>
      <c r="C130" s="266" t="s">
        <v>12</v>
      </c>
      <c r="D130" s="266" t="s">
        <v>13</v>
      </c>
      <c r="E130" s="266">
        <v>1861</v>
      </c>
      <c r="F130" s="266">
        <v>60</v>
      </c>
      <c r="G130" s="266" t="s">
        <v>1967</v>
      </c>
      <c r="H130" s="266" t="s">
        <v>1277</v>
      </c>
      <c r="I130" s="266" t="s">
        <v>3120</v>
      </c>
    </row>
    <row r="131" spans="1:9" s="266" customFormat="1" x14ac:dyDescent="0.2">
      <c r="A131" s="266" t="s">
        <v>48</v>
      </c>
      <c r="B131" s="266" t="s">
        <v>3121</v>
      </c>
      <c r="C131" s="266" t="s">
        <v>58</v>
      </c>
      <c r="D131" s="266" t="s">
        <v>19</v>
      </c>
      <c r="E131" s="266">
        <v>1880</v>
      </c>
      <c r="F131" s="266">
        <v>40</v>
      </c>
      <c r="G131" s="266" t="s">
        <v>212</v>
      </c>
      <c r="H131" s="266" t="s">
        <v>1090</v>
      </c>
      <c r="I131" s="266" t="s">
        <v>20</v>
      </c>
    </row>
    <row r="132" spans="1:9" s="266" customFormat="1" x14ac:dyDescent="0.2">
      <c r="A132" s="266" t="s">
        <v>1510</v>
      </c>
      <c r="B132" s="266" t="s">
        <v>2888</v>
      </c>
      <c r="C132" s="266" t="s">
        <v>26</v>
      </c>
      <c r="D132" s="266" t="s">
        <v>19</v>
      </c>
      <c r="E132" s="266">
        <v>1874</v>
      </c>
      <c r="F132" s="266">
        <v>46</v>
      </c>
      <c r="G132" s="266" t="s">
        <v>3122</v>
      </c>
      <c r="H132" s="266" t="s">
        <v>33</v>
      </c>
      <c r="I132" s="266" t="s">
        <v>29</v>
      </c>
    </row>
    <row r="133" spans="1:9" s="266" customFormat="1" x14ac:dyDescent="0.2">
      <c r="A133" s="266" t="s">
        <v>2036</v>
      </c>
      <c r="B133" s="266" t="s">
        <v>3123</v>
      </c>
      <c r="C133" s="266" t="s">
        <v>26</v>
      </c>
      <c r="D133" s="266" t="s">
        <v>19</v>
      </c>
      <c r="E133" s="266">
        <v>1901</v>
      </c>
      <c r="F133" s="266">
        <v>19</v>
      </c>
      <c r="G133" s="266" t="s">
        <v>2054</v>
      </c>
      <c r="H133" s="266" t="s">
        <v>28</v>
      </c>
      <c r="I133" s="26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7A93-CF59-8F4A-A72F-A1F486930541}">
  <dimension ref="A1:K60"/>
  <sheetViews>
    <sheetView workbookViewId="0">
      <selection activeCell="A16" sqref="A16"/>
    </sheetView>
  </sheetViews>
  <sheetFormatPr baseColWidth="10" defaultRowHeight="16" x14ac:dyDescent="0.2"/>
  <cols>
    <col min="1" max="1" width="23" customWidth="1"/>
    <col min="6" max="6" width="11.1640625" customWidth="1"/>
    <col min="7" max="7" width="19.83203125" customWidth="1"/>
    <col min="8" max="8" width="24.1640625" customWidth="1"/>
    <col min="9" max="9" width="22.5" customWidth="1"/>
    <col min="11" max="11" width="20.1640625" customWidth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x14ac:dyDescent="0.2">
      <c r="A2" t="s">
        <v>104</v>
      </c>
      <c r="B2" t="s">
        <v>107</v>
      </c>
      <c r="C2" t="s">
        <v>12</v>
      </c>
      <c r="D2" t="s">
        <v>13</v>
      </c>
      <c r="E2">
        <v>1871</v>
      </c>
      <c r="F2">
        <v>50</v>
      </c>
      <c r="G2" t="s">
        <v>49</v>
      </c>
      <c r="H2" t="s">
        <v>108</v>
      </c>
      <c r="I2" t="s">
        <v>8</v>
      </c>
      <c r="J2">
        <v>3</v>
      </c>
      <c r="K2" s="1" t="s">
        <v>9</v>
      </c>
    </row>
    <row r="3" spans="1:11" x14ac:dyDescent="0.2">
      <c r="A3" t="s">
        <v>64</v>
      </c>
      <c r="B3" t="s">
        <v>107</v>
      </c>
      <c r="C3" t="s">
        <v>18</v>
      </c>
      <c r="D3" t="s">
        <v>19</v>
      </c>
      <c r="E3">
        <v>1888</v>
      </c>
      <c r="F3">
        <v>32</v>
      </c>
      <c r="G3" t="s">
        <v>43</v>
      </c>
      <c r="H3" t="s">
        <v>50</v>
      </c>
      <c r="I3" t="s">
        <v>20</v>
      </c>
      <c r="J3">
        <v>3</v>
      </c>
      <c r="K3" s="1" t="s">
        <v>9</v>
      </c>
    </row>
    <row r="4" spans="1:11" x14ac:dyDescent="0.2">
      <c r="A4" t="s">
        <v>109</v>
      </c>
      <c r="B4" t="s">
        <v>107</v>
      </c>
      <c r="C4" t="s">
        <v>22</v>
      </c>
      <c r="D4" t="s">
        <v>19</v>
      </c>
      <c r="E4">
        <v>1920</v>
      </c>
      <c r="F4" t="s">
        <v>20</v>
      </c>
      <c r="G4" t="s">
        <v>49</v>
      </c>
      <c r="H4" t="s">
        <v>20</v>
      </c>
      <c r="I4" t="s">
        <v>20</v>
      </c>
      <c r="J4">
        <v>3</v>
      </c>
      <c r="K4" s="1" t="s">
        <v>9</v>
      </c>
    </row>
    <row r="5" spans="1:11" x14ac:dyDescent="0.2">
      <c r="A5" t="s">
        <v>90</v>
      </c>
      <c r="B5" t="s">
        <v>110</v>
      </c>
      <c r="C5" t="s">
        <v>111</v>
      </c>
      <c r="D5" t="s">
        <v>19</v>
      </c>
      <c r="E5">
        <v>1881</v>
      </c>
      <c r="F5">
        <v>39</v>
      </c>
      <c r="G5" t="s">
        <v>112</v>
      </c>
      <c r="H5" t="s">
        <v>113</v>
      </c>
      <c r="I5" t="s">
        <v>29</v>
      </c>
      <c r="J5">
        <v>3</v>
      </c>
      <c r="K5" s="1" t="s">
        <v>9</v>
      </c>
    </row>
    <row r="6" spans="1:11" x14ac:dyDescent="0.2">
      <c r="A6" t="s">
        <v>24</v>
      </c>
      <c r="B6" t="s">
        <v>114</v>
      </c>
      <c r="C6" t="s">
        <v>26</v>
      </c>
      <c r="D6" t="s">
        <v>19</v>
      </c>
      <c r="E6">
        <v>1878</v>
      </c>
      <c r="F6">
        <v>42</v>
      </c>
      <c r="G6" t="s">
        <v>14</v>
      </c>
      <c r="H6" t="s">
        <v>33</v>
      </c>
      <c r="I6" t="s">
        <v>29</v>
      </c>
      <c r="J6">
        <v>3</v>
      </c>
      <c r="K6" s="1" t="s">
        <v>9</v>
      </c>
    </row>
    <row r="7" spans="1:11" x14ac:dyDescent="0.2">
      <c r="A7" t="s">
        <v>48</v>
      </c>
      <c r="B7" t="s">
        <v>115</v>
      </c>
      <c r="C7" t="s">
        <v>26</v>
      </c>
      <c r="D7" t="s">
        <v>19</v>
      </c>
      <c r="E7">
        <v>1887</v>
      </c>
      <c r="F7">
        <v>33</v>
      </c>
      <c r="G7" t="s">
        <v>116</v>
      </c>
      <c r="H7" t="s">
        <v>55</v>
      </c>
      <c r="I7" t="s">
        <v>29</v>
      </c>
      <c r="J7">
        <v>3</v>
      </c>
      <c r="K7" s="1" t="s">
        <v>9</v>
      </c>
    </row>
    <row r="8" spans="1:11" x14ac:dyDescent="0.2">
      <c r="A8" t="s">
        <v>117</v>
      </c>
      <c r="B8" t="s">
        <v>118</v>
      </c>
      <c r="C8" t="s">
        <v>12</v>
      </c>
      <c r="D8" t="s">
        <v>13</v>
      </c>
      <c r="E8">
        <v>1857</v>
      </c>
      <c r="F8">
        <v>64</v>
      </c>
      <c r="G8" t="s">
        <v>49</v>
      </c>
      <c r="H8" t="s">
        <v>119</v>
      </c>
      <c r="I8" t="s">
        <v>8</v>
      </c>
      <c r="J8">
        <v>5</v>
      </c>
      <c r="K8" s="1" t="s">
        <v>9</v>
      </c>
    </row>
    <row r="9" spans="1:11" x14ac:dyDescent="0.2">
      <c r="A9" t="s">
        <v>120</v>
      </c>
      <c r="B9" t="s">
        <v>118</v>
      </c>
      <c r="C9" t="s">
        <v>58</v>
      </c>
      <c r="D9" t="s">
        <v>19</v>
      </c>
      <c r="E9">
        <v>1869</v>
      </c>
      <c r="F9">
        <v>51</v>
      </c>
      <c r="G9" t="s">
        <v>49</v>
      </c>
      <c r="H9" t="s">
        <v>47</v>
      </c>
      <c r="I9" t="s">
        <v>20</v>
      </c>
      <c r="J9">
        <v>5</v>
      </c>
      <c r="K9" s="1" t="s">
        <v>9</v>
      </c>
    </row>
    <row r="10" spans="1:11" x14ac:dyDescent="0.2">
      <c r="A10" t="s">
        <v>121</v>
      </c>
      <c r="B10" t="s">
        <v>122</v>
      </c>
      <c r="C10" t="s">
        <v>26</v>
      </c>
      <c r="D10" t="s">
        <v>19</v>
      </c>
      <c r="E10">
        <v>1899</v>
      </c>
      <c r="F10">
        <v>21</v>
      </c>
      <c r="G10" t="s">
        <v>123</v>
      </c>
      <c r="H10" t="s">
        <v>56</v>
      </c>
      <c r="I10" t="s">
        <v>29</v>
      </c>
      <c r="J10">
        <v>5</v>
      </c>
      <c r="K10" s="1" t="s">
        <v>9</v>
      </c>
    </row>
    <row r="11" spans="1:11" x14ac:dyDescent="0.2">
      <c r="A11" t="s">
        <v>10</v>
      </c>
      <c r="B11" t="s">
        <v>11</v>
      </c>
      <c r="C11" t="s">
        <v>12</v>
      </c>
      <c r="D11" t="s">
        <v>13</v>
      </c>
      <c r="E11">
        <v>1878</v>
      </c>
      <c r="F11">
        <v>43</v>
      </c>
      <c r="G11" t="s">
        <v>14</v>
      </c>
      <c r="H11" t="s">
        <v>15</v>
      </c>
      <c r="I11" t="s">
        <v>16</v>
      </c>
      <c r="J11">
        <v>7</v>
      </c>
      <c r="K11" s="1" t="s">
        <v>9</v>
      </c>
    </row>
    <row r="12" spans="1:11" x14ac:dyDescent="0.2">
      <c r="A12" t="s">
        <v>17</v>
      </c>
      <c r="B12" t="s">
        <v>11</v>
      </c>
      <c r="C12" t="s">
        <v>18</v>
      </c>
      <c r="D12" t="s">
        <v>19</v>
      </c>
      <c r="E12">
        <v>1879</v>
      </c>
      <c r="F12">
        <v>42</v>
      </c>
      <c r="G12" t="s">
        <v>14</v>
      </c>
      <c r="H12" t="s">
        <v>20</v>
      </c>
      <c r="I12" t="s">
        <v>20</v>
      </c>
      <c r="J12">
        <v>7</v>
      </c>
      <c r="K12" s="1" t="s">
        <v>9</v>
      </c>
    </row>
    <row r="13" spans="1:11" x14ac:dyDescent="0.2">
      <c r="A13" t="s">
        <v>21</v>
      </c>
      <c r="B13" t="s">
        <v>11</v>
      </c>
      <c r="C13" t="s">
        <v>22</v>
      </c>
      <c r="D13" t="s">
        <v>19</v>
      </c>
      <c r="E13">
        <v>1908</v>
      </c>
      <c r="F13">
        <v>13</v>
      </c>
      <c r="G13" t="s">
        <v>14</v>
      </c>
      <c r="H13" t="s">
        <v>20</v>
      </c>
      <c r="I13" t="s">
        <v>20</v>
      </c>
      <c r="J13">
        <v>7</v>
      </c>
      <c r="K13" s="1" t="s">
        <v>9</v>
      </c>
    </row>
    <row r="14" spans="1:11" x14ac:dyDescent="0.2">
      <c r="A14" t="s">
        <v>23</v>
      </c>
      <c r="B14" t="s">
        <v>11</v>
      </c>
      <c r="C14" t="s">
        <v>22</v>
      </c>
      <c r="D14" t="s">
        <v>19</v>
      </c>
      <c r="E14">
        <v>1913</v>
      </c>
      <c r="F14">
        <v>8</v>
      </c>
      <c r="G14" t="s">
        <v>14</v>
      </c>
      <c r="H14" t="s">
        <v>20</v>
      </c>
      <c r="I14" t="s">
        <v>20</v>
      </c>
      <c r="J14">
        <v>7</v>
      </c>
      <c r="K14" s="1" t="s">
        <v>9</v>
      </c>
    </row>
    <row r="15" spans="1:11" x14ac:dyDescent="0.2">
      <c r="A15" t="s">
        <v>24</v>
      </c>
      <c r="B15" t="s">
        <v>25</v>
      </c>
      <c r="C15" t="s">
        <v>26</v>
      </c>
      <c r="D15" t="s">
        <v>19</v>
      </c>
      <c r="E15">
        <v>1892</v>
      </c>
      <c r="F15">
        <v>28</v>
      </c>
      <c r="G15" t="s">
        <v>27</v>
      </c>
      <c r="H15" t="s">
        <v>28</v>
      </c>
      <c r="I15" t="s">
        <v>29</v>
      </c>
      <c r="J15">
        <v>7</v>
      </c>
      <c r="K15" s="1" t="s">
        <v>9</v>
      </c>
    </row>
    <row r="16" spans="1:11" x14ac:dyDescent="0.2">
      <c r="A16" t="s">
        <v>30</v>
      </c>
      <c r="B16" t="s">
        <v>31</v>
      </c>
      <c r="C16" t="s">
        <v>26</v>
      </c>
      <c r="D16" t="s">
        <v>32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>
        <v>7</v>
      </c>
      <c r="K16" s="1" t="s">
        <v>9</v>
      </c>
    </row>
    <row r="17" spans="1:11" x14ac:dyDescent="0.2">
      <c r="A17" t="s">
        <v>20</v>
      </c>
      <c r="B17" t="s">
        <v>20</v>
      </c>
      <c r="C17" t="s">
        <v>20</v>
      </c>
      <c r="D17" t="s">
        <v>19</v>
      </c>
      <c r="E17">
        <v>1859</v>
      </c>
      <c r="F17">
        <v>62</v>
      </c>
      <c r="G17" t="s">
        <v>14</v>
      </c>
      <c r="H17" t="s">
        <v>33</v>
      </c>
      <c r="I17" t="s">
        <v>29</v>
      </c>
      <c r="J17">
        <v>7</v>
      </c>
      <c r="K17" s="1" t="s">
        <v>9</v>
      </c>
    </row>
    <row r="18" spans="1:11" x14ac:dyDescent="0.2">
      <c r="A18" t="s">
        <v>34</v>
      </c>
      <c r="B18" t="s">
        <v>35</v>
      </c>
      <c r="C18" t="s">
        <v>12</v>
      </c>
      <c r="D18" t="s">
        <v>13</v>
      </c>
      <c r="E18">
        <v>1883</v>
      </c>
      <c r="F18">
        <v>38</v>
      </c>
      <c r="G18" t="s">
        <v>14</v>
      </c>
      <c r="H18" t="s">
        <v>36</v>
      </c>
      <c r="I18" t="s">
        <v>37</v>
      </c>
      <c r="J18">
        <v>9</v>
      </c>
      <c r="K18" s="1" t="s">
        <v>9</v>
      </c>
    </row>
    <row r="19" spans="1:11" x14ac:dyDescent="0.2">
      <c r="A19" t="s">
        <v>38</v>
      </c>
      <c r="B19" t="s">
        <v>35</v>
      </c>
      <c r="C19" t="s">
        <v>18</v>
      </c>
      <c r="D19" t="s">
        <v>19</v>
      </c>
      <c r="E19">
        <v>1883</v>
      </c>
      <c r="F19">
        <v>38</v>
      </c>
      <c r="G19" t="s">
        <v>14</v>
      </c>
      <c r="H19" t="s">
        <v>20</v>
      </c>
      <c r="I19" t="s">
        <v>20</v>
      </c>
      <c r="J19">
        <v>9</v>
      </c>
      <c r="K19" s="1" t="s">
        <v>9</v>
      </c>
    </row>
    <row r="20" spans="1:11" x14ac:dyDescent="0.2">
      <c r="A20" t="s">
        <v>39</v>
      </c>
      <c r="B20" t="s">
        <v>35</v>
      </c>
      <c r="C20" t="s">
        <v>22</v>
      </c>
      <c r="D20" t="s">
        <v>19</v>
      </c>
      <c r="E20">
        <v>1916</v>
      </c>
      <c r="F20">
        <v>4</v>
      </c>
      <c r="G20" t="s">
        <v>40</v>
      </c>
      <c r="H20" t="s">
        <v>20</v>
      </c>
      <c r="I20" t="s">
        <v>20</v>
      </c>
      <c r="J20">
        <v>9</v>
      </c>
      <c r="K20" s="1" t="s">
        <v>9</v>
      </c>
    </row>
    <row r="21" spans="1:11" x14ac:dyDescent="0.2">
      <c r="A21" t="s">
        <v>41</v>
      </c>
      <c r="B21" t="s">
        <v>42</v>
      </c>
      <c r="C21" t="s">
        <v>26</v>
      </c>
      <c r="D21" t="s">
        <v>19</v>
      </c>
      <c r="E21">
        <v>1900</v>
      </c>
      <c r="F21">
        <v>20</v>
      </c>
      <c r="G21" t="s">
        <v>43</v>
      </c>
      <c r="H21" t="s">
        <v>28</v>
      </c>
      <c r="I21" t="s">
        <v>29</v>
      </c>
      <c r="J21">
        <v>9</v>
      </c>
      <c r="K21" s="1" t="s">
        <v>9</v>
      </c>
    </row>
    <row r="22" spans="1:11" x14ac:dyDescent="0.2">
      <c r="A22" t="s">
        <v>44</v>
      </c>
      <c r="B22" t="s">
        <v>20</v>
      </c>
      <c r="C22" t="s">
        <v>26</v>
      </c>
      <c r="D22" t="s">
        <v>19</v>
      </c>
      <c r="E22">
        <v>1894</v>
      </c>
      <c r="F22">
        <v>27</v>
      </c>
      <c r="G22" t="s">
        <v>45</v>
      </c>
      <c r="H22" t="s">
        <v>33</v>
      </c>
      <c r="I22" t="s">
        <v>29</v>
      </c>
      <c r="J22">
        <v>9</v>
      </c>
      <c r="K22" s="1" t="s">
        <v>9</v>
      </c>
    </row>
    <row r="23" spans="1:11" x14ac:dyDescent="0.2">
      <c r="A23" t="s">
        <v>127</v>
      </c>
      <c r="B23" t="s">
        <v>128</v>
      </c>
      <c r="C23" t="s">
        <v>12</v>
      </c>
      <c r="D23" t="s">
        <v>13</v>
      </c>
      <c r="E23">
        <v>1887</v>
      </c>
      <c r="F23">
        <v>34</v>
      </c>
      <c r="G23" t="s">
        <v>49</v>
      </c>
      <c r="H23" t="s">
        <v>129</v>
      </c>
      <c r="I23" t="s">
        <v>8</v>
      </c>
      <c r="J23">
        <v>13</v>
      </c>
      <c r="K23" s="1" t="s">
        <v>9</v>
      </c>
    </row>
    <row r="24" spans="1:11" x14ac:dyDescent="0.2">
      <c r="A24" t="s">
        <v>130</v>
      </c>
      <c r="B24" t="s">
        <v>128</v>
      </c>
      <c r="C24" t="s">
        <v>18</v>
      </c>
      <c r="D24" t="s">
        <v>19</v>
      </c>
      <c r="E24">
        <v>1885</v>
      </c>
      <c r="F24">
        <v>36</v>
      </c>
      <c r="G24" t="s">
        <v>49</v>
      </c>
      <c r="H24" t="s">
        <v>131</v>
      </c>
      <c r="I24" t="s">
        <v>20</v>
      </c>
      <c r="J24">
        <v>13</v>
      </c>
      <c r="K24" s="1" t="s">
        <v>9</v>
      </c>
    </row>
    <row r="25" spans="1:11" x14ac:dyDescent="0.2">
      <c r="A25" t="s">
        <v>132</v>
      </c>
      <c r="B25" t="s">
        <v>133</v>
      </c>
      <c r="C25" t="s">
        <v>26</v>
      </c>
      <c r="D25" t="s">
        <v>19</v>
      </c>
      <c r="E25">
        <v>1897</v>
      </c>
      <c r="F25">
        <v>23</v>
      </c>
      <c r="G25" t="s">
        <v>134</v>
      </c>
      <c r="H25" t="s">
        <v>33</v>
      </c>
      <c r="I25" t="s">
        <v>29</v>
      </c>
      <c r="J25">
        <v>13</v>
      </c>
      <c r="K25" s="1" t="s">
        <v>9</v>
      </c>
    </row>
    <row r="26" spans="1:11" x14ac:dyDescent="0.2">
      <c r="A26" t="s">
        <v>135</v>
      </c>
      <c r="B26" t="s">
        <v>136</v>
      </c>
      <c r="C26" t="s">
        <v>26</v>
      </c>
      <c r="D26" t="s">
        <v>19</v>
      </c>
      <c r="E26">
        <v>1889</v>
      </c>
      <c r="F26">
        <v>31</v>
      </c>
      <c r="G26" t="s">
        <v>134</v>
      </c>
      <c r="H26" t="s">
        <v>137</v>
      </c>
      <c r="I26" t="s">
        <v>29</v>
      </c>
      <c r="J26">
        <v>13</v>
      </c>
      <c r="K26" s="1" t="s">
        <v>9</v>
      </c>
    </row>
    <row r="27" spans="1:11" x14ac:dyDescent="0.2">
      <c r="A27" t="s">
        <v>138</v>
      </c>
      <c r="B27" t="s">
        <v>139</v>
      </c>
      <c r="C27" t="s">
        <v>12</v>
      </c>
      <c r="D27" t="s">
        <v>19</v>
      </c>
      <c r="E27">
        <v>1836</v>
      </c>
      <c r="F27">
        <v>84</v>
      </c>
      <c r="G27" t="s">
        <v>140</v>
      </c>
      <c r="H27" t="s">
        <v>141</v>
      </c>
      <c r="I27" t="s">
        <v>20</v>
      </c>
      <c r="J27">
        <v>15</v>
      </c>
      <c r="K27" s="1" t="s">
        <v>9</v>
      </c>
    </row>
    <row r="28" spans="1:11" x14ac:dyDescent="0.2">
      <c r="A28" t="s">
        <v>142</v>
      </c>
      <c r="B28" t="s">
        <v>143</v>
      </c>
      <c r="C28" t="s">
        <v>144</v>
      </c>
      <c r="D28" t="s">
        <v>19</v>
      </c>
      <c r="E28">
        <v>1842</v>
      </c>
      <c r="F28">
        <v>78</v>
      </c>
      <c r="G28" t="s">
        <v>145</v>
      </c>
      <c r="H28" t="s">
        <v>141</v>
      </c>
      <c r="I28" t="s">
        <v>20</v>
      </c>
      <c r="J28">
        <v>15</v>
      </c>
      <c r="K28" s="1" t="s">
        <v>9</v>
      </c>
    </row>
    <row r="29" spans="1:11" x14ac:dyDescent="0.2">
      <c r="A29" t="s">
        <v>146</v>
      </c>
      <c r="B29" t="s">
        <v>147</v>
      </c>
      <c r="C29" t="s">
        <v>148</v>
      </c>
      <c r="D29" t="s">
        <v>19</v>
      </c>
      <c r="E29">
        <v>1860</v>
      </c>
      <c r="F29">
        <v>60</v>
      </c>
      <c r="G29" t="s">
        <v>149</v>
      </c>
      <c r="H29" t="s">
        <v>141</v>
      </c>
      <c r="I29" t="s">
        <v>20</v>
      </c>
      <c r="J29">
        <v>15</v>
      </c>
      <c r="K29" s="1" t="s">
        <v>9</v>
      </c>
    </row>
    <row r="30" spans="1:11" x14ac:dyDescent="0.2">
      <c r="A30" t="s">
        <v>150</v>
      </c>
      <c r="B30" t="s">
        <v>147</v>
      </c>
      <c r="C30" t="s">
        <v>148</v>
      </c>
      <c r="D30" t="s">
        <v>19</v>
      </c>
      <c r="E30">
        <v>1862</v>
      </c>
      <c r="F30">
        <v>58</v>
      </c>
      <c r="G30" t="s">
        <v>149</v>
      </c>
      <c r="H30" t="s">
        <v>20</v>
      </c>
      <c r="I30" t="s">
        <v>20</v>
      </c>
      <c r="J30">
        <v>15</v>
      </c>
      <c r="K30" s="1" t="s">
        <v>9</v>
      </c>
    </row>
    <row r="31" spans="1:11" x14ac:dyDescent="0.2">
      <c r="A31" t="s">
        <v>121</v>
      </c>
      <c r="B31" t="s">
        <v>151</v>
      </c>
      <c r="C31" t="s">
        <v>26</v>
      </c>
      <c r="D31" t="s">
        <v>19</v>
      </c>
      <c r="E31">
        <v>1878</v>
      </c>
      <c r="F31">
        <v>42</v>
      </c>
      <c r="G31" t="s">
        <v>152</v>
      </c>
      <c r="H31" t="s">
        <v>69</v>
      </c>
      <c r="I31" t="s">
        <v>29</v>
      </c>
      <c r="J31">
        <v>15</v>
      </c>
      <c r="K31" s="1" t="s">
        <v>9</v>
      </c>
    </row>
    <row r="32" spans="1:11" x14ac:dyDescent="0.2">
      <c r="A32" t="s">
        <v>153</v>
      </c>
      <c r="B32" t="s">
        <v>154</v>
      </c>
      <c r="C32" t="s">
        <v>26</v>
      </c>
      <c r="D32" t="s">
        <v>19</v>
      </c>
      <c r="E32">
        <v>1896</v>
      </c>
      <c r="F32">
        <v>24</v>
      </c>
      <c r="G32" t="s">
        <v>20</v>
      </c>
      <c r="H32" t="s">
        <v>69</v>
      </c>
      <c r="I32" t="s">
        <v>29</v>
      </c>
      <c r="J32">
        <v>15</v>
      </c>
      <c r="K32" s="1" t="s">
        <v>9</v>
      </c>
    </row>
    <row r="33" spans="1:11" x14ac:dyDescent="0.2">
      <c r="A33" t="s">
        <v>90</v>
      </c>
      <c r="B33" t="s">
        <v>124</v>
      </c>
      <c r="C33" t="s">
        <v>33</v>
      </c>
      <c r="D33" t="s">
        <v>19</v>
      </c>
      <c r="E33">
        <v>1900</v>
      </c>
      <c r="F33">
        <v>20</v>
      </c>
      <c r="G33" t="s">
        <v>20</v>
      </c>
      <c r="H33" t="s">
        <v>33</v>
      </c>
      <c r="I33" t="s">
        <v>125</v>
      </c>
      <c r="J33">
        <v>17</v>
      </c>
      <c r="K33" s="1" t="s">
        <v>9</v>
      </c>
    </row>
    <row r="34" spans="1:11" x14ac:dyDescent="0.2">
      <c r="A34" t="s">
        <v>126</v>
      </c>
      <c r="B34" t="s">
        <v>61</v>
      </c>
      <c r="C34" t="s">
        <v>22</v>
      </c>
      <c r="D34" t="s">
        <v>19</v>
      </c>
      <c r="E34">
        <v>1915</v>
      </c>
      <c r="F34">
        <v>5</v>
      </c>
      <c r="G34" t="s">
        <v>20</v>
      </c>
      <c r="H34" t="s">
        <v>20</v>
      </c>
      <c r="I34" t="s">
        <v>20</v>
      </c>
      <c r="J34">
        <v>17</v>
      </c>
      <c r="K34" s="1" t="s">
        <v>9</v>
      </c>
    </row>
    <row r="35" spans="1:11" x14ac:dyDescent="0.2">
      <c r="A35" t="s">
        <v>155</v>
      </c>
      <c r="B35" t="s">
        <v>156</v>
      </c>
      <c r="C35" t="s">
        <v>12</v>
      </c>
      <c r="D35" t="s">
        <v>13</v>
      </c>
      <c r="E35">
        <v>1848</v>
      </c>
      <c r="F35">
        <v>72</v>
      </c>
      <c r="G35" t="s">
        <v>157</v>
      </c>
      <c r="H35" t="s">
        <v>158</v>
      </c>
      <c r="I35" t="s">
        <v>8</v>
      </c>
      <c r="J35">
        <v>19</v>
      </c>
      <c r="K35" s="1" t="s">
        <v>9</v>
      </c>
    </row>
    <row r="36" spans="1:11" x14ac:dyDescent="0.2">
      <c r="A36" t="s">
        <v>159</v>
      </c>
      <c r="B36" t="s">
        <v>156</v>
      </c>
      <c r="C36" t="s">
        <v>51</v>
      </c>
      <c r="D36" t="s">
        <v>13</v>
      </c>
      <c r="E36">
        <v>1889</v>
      </c>
      <c r="F36">
        <v>31</v>
      </c>
      <c r="G36" t="s">
        <v>49</v>
      </c>
      <c r="H36" t="s">
        <v>160</v>
      </c>
      <c r="I36" t="s">
        <v>161</v>
      </c>
      <c r="J36">
        <v>19</v>
      </c>
      <c r="K36" s="1" t="s">
        <v>9</v>
      </c>
    </row>
    <row r="37" spans="1:11" x14ac:dyDescent="0.2">
      <c r="A37" t="s">
        <v>162</v>
      </c>
      <c r="B37" t="s">
        <v>163</v>
      </c>
      <c r="C37" t="s">
        <v>58</v>
      </c>
      <c r="D37" t="s">
        <v>13</v>
      </c>
      <c r="E37">
        <v>1861</v>
      </c>
      <c r="F37">
        <v>59</v>
      </c>
      <c r="G37" t="s">
        <v>62</v>
      </c>
      <c r="H37" t="s">
        <v>164</v>
      </c>
      <c r="I37" t="s">
        <v>165</v>
      </c>
      <c r="J37">
        <v>19</v>
      </c>
      <c r="K37" s="1" t="s">
        <v>9</v>
      </c>
    </row>
    <row r="38" spans="1:11" x14ac:dyDescent="0.2">
      <c r="A38" t="s">
        <v>166</v>
      </c>
      <c r="B38" t="s">
        <v>163</v>
      </c>
      <c r="C38" t="s">
        <v>58</v>
      </c>
      <c r="D38" t="s">
        <v>19</v>
      </c>
      <c r="E38">
        <v>1874</v>
      </c>
      <c r="F38">
        <v>46</v>
      </c>
      <c r="G38" t="s">
        <v>167</v>
      </c>
      <c r="H38" t="s">
        <v>50</v>
      </c>
      <c r="I38" t="s">
        <v>20</v>
      </c>
      <c r="J38">
        <v>19</v>
      </c>
      <c r="K38" s="1" t="s">
        <v>9</v>
      </c>
    </row>
    <row r="39" spans="1:11" x14ac:dyDescent="0.2">
      <c r="A39" t="s">
        <v>168</v>
      </c>
      <c r="B39" t="s">
        <v>163</v>
      </c>
      <c r="C39" t="s">
        <v>58</v>
      </c>
      <c r="D39" t="s">
        <v>19</v>
      </c>
      <c r="E39">
        <v>1911</v>
      </c>
      <c r="F39">
        <v>10</v>
      </c>
      <c r="G39" t="s">
        <v>169</v>
      </c>
      <c r="H39" t="s">
        <v>20</v>
      </c>
      <c r="I39" t="s">
        <v>20</v>
      </c>
      <c r="J39">
        <v>19</v>
      </c>
      <c r="K39" s="1" t="s">
        <v>9</v>
      </c>
    </row>
    <row r="40" spans="1:11" x14ac:dyDescent="0.2">
      <c r="A40" t="s">
        <v>170</v>
      </c>
      <c r="B40" t="s">
        <v>171</v>
      </c>
      <c r="C40" t="s">
        <v>26</v>
      </c>
      <c r="D40" t="s">
        <v>19</v>
      </c>
      <c r="E40">
        <v>1893</v>
      </c>
      <c r="F40">
        <v>28</v>
      </c>
      <c r="G40" t="s">
        <v>172</v>
      </c>
      <c r="H40" t="s">
        <v>173</v>
      </c>
      <c r="I40" t="s">
        <v>29</v>
      </c>
      <c r="J40">
        <v>19</v>
      </c>
      <c r="K40" s="1" t="s">
        <v>9</v>
      </c>
    </row>
    <row r="41" spans="1:11" x14ac:dyDescent="0.2">
      <c r="A41" t="s">
        <v>174</v>
      </c>
      <c r="B41" t="s">
        <v>175</v>
      </c>
      <c r="C41" t="s">
        <v>26</v>
      </c>
      <c r="D41" t="s">
        <v>19</v>
      </c>
      <c r="E41">
        <v>1894</v>
      </c>
      <c r="F41">
        <v>27</v>
      </c>
      <c r="G41" t="s">
        <v>176</v>
      </c>
      <c r="H41" t="s">
        <v>28</v>
      </c>
      <c r="I41" t="s">
        <v>29</v>
      </c>
      <c r="J41">
        <v>19</v>
      </c>
      <c r="K41" s="1" t="s">
        <v>9</v>
      </c>
    </row>
    <row r="42" spans="1:11" x14ac:dyDescent="0.2">
      <c r="A42" t="s">
        <v>90</v>
      </c>
      <c r="B42" t="s">
        <v>177</v>
      </c>
      <c r="C42" t="s">
        <v>26</v>
      </c>
      <c r="D42" t="s">
        <v>19</v>
      </c>
      <c r="E42">
        <v>1899</v>
      </c>
      <c r="F42">
        <v>21</v>
      </c>
      <c r="G42" t="s">
        <v>54</v>
      </c>
      <c r="H42" t="s">
        <v>93</v>
      </c>
      <c r="I42" t="s">
        <v>29</v>
      </c>
      <c r="J42">
        <v>19</v>
      </c>
      <c r="K42" s="1" t="s">
        <v>9</v>
      </c>
    </row>
    <row r="43" spans="1:11" x14ac:dyDescent="0.2">
      <c r="A43" t="s">
        <v>138</v>
      </c>
      <c r="B43" t="s">
        <v>178</v>
      </c>
      <c r="C43" t="s">
        <v>12</v>
      </c>
      <c r="D43" t="s">
        <v>19</v>
      </c>
      <c r="E43">
        <v>1867</v>
      </c>
      <c r="F43">
        <v>53</v>
      </c>
      <c r="G43" t="s">
        <v>49</v>
      </c>
      <c r="H43" t="s">
        <v>141</v>
      </c>
      <c r="I43" t="s">
        <v>20</v>
      </c>
      <c r="J43">
        <v>10</v>
      </c>
      <c r="K43" s="1" t="s">
        <v>9</v>
      </c>
    </row>
    <row r="44" spans="1:11" x14ac:dyDescent="0.2">
      <c r="A44" t="s">
        <v>48</v>
      </c>
      <c r="B44" t="s">
        <v>178</v>
      </c>
      <c r="C44" t="s">
        <v>144</v>
      </c>
      <c r="D44" t="s">
        <v>19</v>
      </c>
      <c r="E44">
        <v>1878</v>
      </c>
      <c r="F44">
        <v>42</v>
      </c>
      <c r="G44" t="s">
        <v>49</v>
      </c>
      <c r="H44" t="s">
        <v>20</v>
      </c>
      <c r="I44" t="s">
        <v>20</v>
      </c>
      <c r="J44">
        <v>10</v>
      </c>
      <c r="K44" s="1" t="s">
        <v>9</v>
      </c>
    </row>
    <row r="45" spans="1:11" x14ac:dyDescent="0.2">
      <c r="A45" t="s">
        <v>179</v>
      </c>
      <c r="B45" t="s">
        <v>180</v>
      </c>
      <c r="C45" t="s">
        <v>12</v>
      </c>
      <c r="D45" t="s">
        <v>19</v>
      </c>
      <c r="E45">
        <v>1874</v>
      </c>
      <c r="F45">
        <v>47</v>
      </c>
      <c r="G45" t="s">
        <v>14</v>
      </c>
      <c r="H45" t="s">
        <v>20</v>
      </c>
      <c r="I45" t="s">
        <v>20</v>
      </c>
      <c r="J45">
        <v>14</v>
      </c>
      <c r="K45" s="1" t="s">
        <v>9</v>
      </c>
    </row>
    <row r="46" spans="1:11" x14ac:dyDescent="0.2">
      <c r="A46" t="s">
        <v>181</v>
      </c>
      <c r="B46" t="s">
        <v>180</v>
      </c>
      <c r="C46" t="s">
        <v>51</v>
      </c>
      <c r="D46" t="s">
        <v>13</v>
      </c>
      <c r="E46">
        <v>1892</v>
      </c>
      <c r="F46">
        <v>29</v>
      </c>
      <c r="G46" t="s">
        <v>14</v>
      </c>
      <c r="H46" t="s">
        <v>182</v>
      </c>
      <c r="I46" t="s">
        <v>183</v>
      </c>
      <c r="J46">
        <v>14</v>
      </c>
      <c r="K46" s="1" t="s">
        <v>9</v>
      </c>
    </row>
    <row r="47" spans="1:11" x14ac:dyDescent="0.2">
      <c r="A47" t="s">
        <v>184</v>
      </c>
      <c r="B47" t="s">
        <v>185</v>
      </c>
      <c r="C47" t="s">
        <v>52</v>
      </c>
      <c r="D47" t="s">
        <v>19</v>
      </c>
      <c r="E47">
        <v>1865</v>
      </c>
      <c r="F47">
        <v>56</v>
      </c>
      <c r="G47" t="s">
        <v>186</v>
      </c>
      <c r="H47" t="s">
        <v>29</v>
      </c>
      <c r="I47" t="s">
        <v>20</v>
      </c>
      <c r="J47">
        <v>14</v>
      </c>
      <c r="K47" s="1" t="s">
        <v>9</v>
      </c>
    </row>
    <row r="48" spans="1:11" x14ac:dyDescent="0.2">
      <c r="A48" t="s">
        <v>187</v>
      </c>
      <c r="B48" t="s">
        <v>107</v>
      </c>
      <c r="C48" t="s">
        <v>12</v>
      </c>
      <c r="D48" t="s">
        <v>13</v>
      </c>
      <c r="E48">
        <v>1884</v>
      </c>
      <c r="F48">
        <v>36</v>
      </c>
      <c r="G48" t="s">
        <v>49</v>
      </c>
      <c r="H48" t="s">
        <v>188</v>
      </c>
      <c r="I48" t="s">
        <v>8</v>
      </c>
      <c r="J48">
        <v>19</v>
      </c>
      <c r="K48" s="1" t="s">
        <v>9</v>
      </c>
    </row>
    <row r="49" spans="1:11" x14ac:dyDescent="0.2">
      <c r="A49" t="s">
        <v>189</v>
      </c>
      <c r="B49" t="s">
        <v>107</v>
      </c>
      <c r="C49" t="s">
        <v>18</v>
      </c>
      <c r="D49" t="s">
        <v>19</v>
      </c>
      <c r="E49">
        <v>1891</v>
      </c>
      <c r="F49">
        <v>30</v>
      </c>
      <c r="G49" t="s">
        <v>49</v>
      </c>
      <c r="H49" t="s">
        <v>50</v>
      </c>
      <c r="I49" t="s">
        <v>20</v>
      </c>
      <c r="J49">
        <v>19</v>
      </c>
      <c r="K49" s="1" t="s">
        <v>9</v>
      </c>
    </row>
    <row r="50" spans="1:11" x14ac:dyDescent="0.2">
      <c r="A50" t="s">
        <v>190</v>
      </c>
      <c r="B50" t="s">
        <v>107</v>
      </c>
      <c r="C50" t="s">
        <v>51</v>
      </c>
      <c r="D50" t="s">
        <v>13</v>
      </c>
      <c r="E50">
        <v>1915</v>
      </c>
      <c r="F50">
        <v>6</v>
      </c>
      <c r="G50" t="s">
        <v>49</v>
      </c>
      <c r="H50" t="s">
        <v>20</v>
      </c>
      <c r="I50" t="s">
        <v>20</v>
      </c>
      <c r="J50">
        <v>19</v>
      </c>
      <c r="K50" s="1" t="s">
        <v>9</v>
      </c>
    </row>
    <row r="51" spans="1:11" x14ac:dyDescent="0.2">
      <c r="A51" t="s">
        <v>191</v>
      </c>
      <c r="B51" t="s">
        <v>107</v>
      </c>
      <c r="C51" t="s">
        <v>22</v>
      </c>
      <c r="D51" t="s">
        <v>19</v>
      </c>
      <c r="E51">
        <v>1916</v>
      </c>
      <c r="F51">
        <v>4</v>
      </c>
      <c r="G51" t="s">
        <v>49</v>
      </c>
      <c r="H51" t="s">
        <v>20</v>
      </c>
      <c r="I51" t="s">
        <v>20</v>
      </c>
      <c r="J51">
        <v>19</v>
      </c>
      <c r="K51" s="1" t="s">
        <v>9</v>
      </c>
    </row>
    <row r="52" spans="1:11" x14ac:dyDescent="0.2">
      <c r="A52" t="s">
        <v>192</v>
      </c>
      <c r="B52" t="s">
        <v>107</v>
      </c>
      <c r="C52" t="s">
        <v>22</v>
      </c>
      <c r="D52" t="s">
        <v>19</v>
      </c>
      <c r="E52">
        <v>1920</v>
      </c>
      <c r="F52">
        <v>1</v>
      </c>
      <c r="G52" t="s">
        <v>49</v>
      </c>
      <c r="H52" t="s">
        <v>20</v>
      </c>
      <c r="I52" t="s">
        <v>20</v>
      </c>
      <c r="J52">
        <v>19</v>
      </c>
      <c r="K52" s="1" t="s">
        <v>9</v>
      </c>
    </row>
    <row r="53" spans="1:11" x14ac:dyDescent="0.2">
      <c r="A53" t="s">
        <v>193</v>
      </c>
      <c r="B53" t="s">
        <v>194</v>
      </c>
      <c r="C53" t="s">
        <v>26</v>
      </c>
      <c r="D53" t="s">
        <v>19</v>
      </c>
      <c r="E53">
        <v>1892</v>
      </c>
      <c r="F53">
        <v>29</v>
      </c>
      <c r="G53" t="s">
        <v>195</v>
      </c>
      <c r="H53" t="s">
        <v>196</v>
      </c>
      <c r="I53" t="s">
        <v>20</v>
      </c>
      <c r="J53">
        <v>19</v>
      </c>
      <c r="K53" s="1" t="s">
        <v>9</v>
      </c>
    </row>
    <row r="54" spans="1:11" x14ac:dyDescent="0.2">
      <c r="A54" t="s">
        <v>63</v>
      </c>
      <c r="B54" t="s">
        <v>197</v>
      </c>
      <c r="C54" t="s">
        <v>26</v>
      </c>
      <c r="D54" t="s">
        <v>19</v>
      </c>
      <c r="E54">
        <v>1898</v>
      </c>
      <c r="F54">
        <v>23</v>
      </c>
      <c r="G54" t="s">
        <v>20</v>
      </c>
      <c r="H54" t="s">
        <v>198</v>
      </c>
      <c r="I54" t="s">
        <v>20</v>
      </c>
      <c r="J54">
        <v>19</v>
      </c>
      <c r="K54" s="1" t="s">
        <v>9</v>
      </c>
    </row>
    <row r="55" spans="1:11" x14ac:dyDescent="0.2">
      <c r="A55" t="s">
        <v>199</v>
      </c>
      <c r="B55" t="s">
        <v>200</v>
      </c>
      <c r="C55" t="s">
        <v>12</v>
      </c>
      <c r="D55" t="s">
        <v>13</v>
      </c>
      <c r="E55">
        <v>1885</v>
      </c>
      <c r="F55">
        <v>36</v>
      </c>
      <c r="G55" t="s">
        <v>49</v>
      </c>
      <c r="H55" t="s">
        <v>201</v>
      </c>
      <c r="I55" t="s">
        <v>202</v>
      </c>
      <c r="J55">
        <v>12</v>
      </c>
      <c r="K55" s="1" t="s">
        <v>9</v>
      </c>
    </row>
    <row r="56" spans="1:11" x14ac:dyDescent="0.2">
      <c r="A56" t="s">
        <v>130</v>
      </c>
      <c r="B56" t="s">
        <v>200</v>
      </c>
      <c r="C56" t="s">
        <v>18</v>
      </c>
      <c r="D56" t="s">
        <v>19</v>
      </c>
      <c r="E56">
        <v>1894</v>
      </c>
      <c r="F56">
        <v>27</v>
      </c>
      <c r="G56" t="s">
        <v>49</v>
      </c>
      <c r="H56" t="s">
        <v>20</v>
      </c>
      <c r="I56" t="s">
        <v>20</v>
      </c>
      <c r="J56">
        <v>12</v>
      </c>
      <c r="K56" s="1" t="s">
        <v>9</v>
      </c>
    </row>
    <row r="57" spans="1:11" x14ac:dyDescent="0.2">
      <c r="A57" t="s">
        <v>203</v>
      </c>
      <c r="B57" t="s">
        <v>200</v>
      </c>
      <c r="C57" t="s">
        <v>22</v>
      </c>
      <c r="D57" t="s">
        <v>19</v>
      </c>
      <c r="E57">
        <v>1920</v>
      </c>
      <c r="F57" t="s">
        <v>20</v>
      </c>
      <c r="G57" t="s">
        <v>49</v>
      </c>
      <c r="H57" t="s">
        <v>20</v>
      </c>
      <c r="I57" t="s">
        <v>20</v>
      </c>
      <c r="J57">
        <v>12</v>
      </c>
      <c r="K57" s="1" t="s">
        <v>9</v>
      </c>
    </row>
    <row r="58" spans="1:11" x14ac:dyDescent="0.2">
      <c r="A58" t="s">
        <v>48</v>
      </c>
      <c r="B58" t="s">
        <v>204</v>
      </c>
      <c r="C58" t="s">
        <v>26</v>
      </c>
      <c r="D58" t="s">
        <v>19</v>
      </c>
      <c r="E58">
        <v>1889</v>
      </c>
      <c r="F58">
        <v>32</v>
      </c>
      <c r="G58" t="s">
        <v>205</v>
      </c>
      <c r="H58" t="s">
        <v>28</v>
      </c>
      <c r="I58" t="s">
        <v>29</v>
      </c>
      <c r="J58">
        <v>12</v>
      </c>
      <c r="K58" s="1" t="s">
        <v>9</v>
      </c>
    </row>
    <row r="59" spans="1:11" x14ac:dyDescent="0.2">
      <c r="A59" t="s">
        <v>206</v>
      </c>
      <c r="B59" t="s">
        <v>207</v>
      </c>
      <c r="C59" t="s">
        <v>208</v>
      </c>
      <c r="D59" t="s">
        <v>19</v>
      </c>
      <c r="E59">
        <v>1888</v>
      </c>
      <c r="F59">
        <v>33</v>
      </c>
      <c r="G59" t="s">
        <v>20</v>
      </c>
      <c r="H59" t="s">
        <v>209</v>
      </c>
      <c r="I59" t="s">
        <v>210</v>
      </c>
      <c r="J59">
        <v>12</v>
      </c>
      <c r="K59" s="1" t="s">
        <v>9</v>
      </c>
    </row>
    <row r="60" spans="1:11" x14ac:dyDescent="0.2">
      <c r="A60" t="s">
        <v>46</v>
      </c>
      <c r="B60" t="s">
        <v>211</v>
      </c>
      <c r="C60" t="s">
        <v>33</v>
      </c>
      <c r="D60" t="s">
        <v>19</v>
      </c>
      <c r="E60">
        <v>1883</v>
      </c>
      <c r="F60">
        <v>38</v>
      </c>
      <c r="G60" t="s">
        <v>212</v>
      </c>
      <c r="H60" t="s">
        <v>33</v>
      </c>
      <c r="I60" t="s">
        <v>29</v>
      </c>
      <c r="J60">
        <v>12</v>
      </c>
      <c r="K60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6E7C-2CE2-5448-91A1-31FE20A6631A}">
  <dimension ref="A1:AZ73"/>
  <sheetViews>
    <sheetView workbookViewId="0">
      <pane ySplit="2" topLeftCell="A3" activePane="bottomLeft" state="frozen"/>
      <selection pane="bottomLeft" activeCell="E16" sqref="E16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22.83203125" customWidth="1"/>
    <col min="7" max="7" width="22.83203125" style="141" customWidth="1"/>
    <col min="8" max="8" width="11.5" customWidth="1"/>
    <col min="9" max="9" width="7.6640625" customWidth="1"/>
    <col min="10" max="10" width="6.5" customWidth="1"/>
    <col min="11" max="11" width="7" customWidth="1"/>
    <col min="12" max="12" width="19.1640625" customWidth="1"/>
    <col min="13" max="13" width="7.83203125" customWidth="1"/>
    <col min="14" max="14" width="10" customWidth="1"/>
    <col min="15" max="15" width="8.6640625" customWidth="1"/>
    <col min="16" max="16" width="6.83203125" customWidth="1"/>
    <col min="17" max="17" width="11.5" customWidth="1"/>
    <col min="18" max="18" width="11.6640625" customWidth="1"/>
    <col min="19" max="19" width="19.33203125" customWidth="1"/>
    <col min="21" max="21" width="15.1640625" customWidth="1"/>
    <col min="25" max="25" width="31" customWidth="1"/>
    <col min="26" max="26" width="19.83203125" customWidth="1"/>
    <col min="27" max="27" width="12.1640625" customWidth="1"/>
    <col min="28" max="28" width="17.5" customWidth="1"/>
    <col min="29" max="31" width="16.5" customWidth="1"/>
    <col min="32" max="32" width="23.83203125" customWidth="1"/>
    <col min="33" max="33" width="15.1640625" customWidth="1"/>
    <col min="34" max="34" width="11" customWidth="1"/>
    <col min="35" max="35" width="11.1640625" customWidth="1"/>
    <col min="36" max="36" width="7.83203125" customWidth="1"/>
    <col min="39" max="39" width="7.33203125" customWidth="1"/>
    <col min="41" max="41" width="9.1640625" customWidth="1"/>
    <col min="43" max="43" width="12.5" customWidth="1"/>
    <col min="44" max="44" width="13" customWidth="1"/>
  </cols>
  <sheetData>
    <row r="1" spans="1:52" s="2" customFormat="1" ht="34" x14ac:dyDescent="0.2">
      <c r="A1" s="23" t="s">
        <v>214</v>
      </c>
      <c r="B1" s="23" t="s">
        <v>215</v>
      </c>
      <c r="C1" s="23" t="s">
        <v>216</v>
      </c>
      <c r="D1" s="25" t="s">
        <v>217</v>
      </c>
      <c r="E1" s="23" t="s">
        <v>218</v>
      </c>
      <c r="F1" s="25" t="s">
        <v>219</v>
      </c>
      <c r="G1" s="142"/>
      <c r="H1" s="25" t="s">
        <v>220</v>
      </c>
      <c r="I1" s="27"/>
      <c r="J1" s="27"/>
      <c r="K1" s="27"/>
      <c r="L1" s="25" t="s">
        <v>221</v>
      </c>
      <c r="M1" s="27"/>
      <c r="N1" s="27"/>
      <c r="O1" s="27"/>
      <c r="P1" s="27"/>
      <c r="Q1" s="27"/>
      <c r="R1" s="25" t="s">
        <v>222</v>
      </c>
      <c r="S1" s="25" t="s">
        <v>223</v>
      </c>
      <c r="T1" s="25" t="s">
        <v>224</v>
      </c>
      <c r="U1" s="25" t="s">
        <v>225</v>
      </c>
      <c r="V1" s="25" t="s">
        <v>226</v>
      </c>
      <c r="W1" s="25" t="s">
        <v>227</v>
      </c>
      <c r="X1" s="25" t="s">
        <v>228</v>
      </c>
      <c r="Y1" s="25" t="s">
        <v>229</v>
      </c>
      <c r="Z1" s="25" t="s">
        <v>230</v>
      </c>
      <c r="AA1" s="25" t="s">
        <v>231</v>
      </c>
      <c r="AB1" s="25" t="s">
        <v>232</v>
      </c>
      <c r="AC1" s="27"/>
      <c r="AD1" s="25" t="s">
        <v>233</v>
      </c>
      <c r="AE1" s="27"/>
      <c r="AF1" s="23" t="s">
        <v>234</v>
      </c>
      <c r="AG1" s="24" t="s">
        <v>309</v>
      </c>
      <c r="AH1" s="12"/>
      <c r="AI1" s="12"/>
      <c r="AJ1" s="24"/>
      <c r="AK1" s="24"/>
      <c r="AL1" s="26"/>
      <c r="AM1" s="24"/>
      <c r="AN1" s="24"/>
      <c r="AO1" s="24"/>
      <c r="AP1" s="26"/>
      <c r="AQ1" s="12"/>
      <c r="AR1" s="12"/>
      <c r="AS1" s="12"/>
      <c r="AT1" s="12"/>
      <c r="AU1" s="12"/>
      <c r="AV1" s="12"/>
      <c r="AW1" s="12"/>
      <c r="AX1" s="24"/>
      <c r="AY1" s="26"/>
      <c r="AZ1" s="26"/>
    </row>
    <row r="2" spans="1:52" ht="34" x14ac:dyDescent="0.2">
      <c r="A2" s="28" t="s">
        <v>235</v>
      </c>
      <c r="B2" s="28" t="s">
        <v>236</v>
      </c>
      <c r="C2" s="29"/>
      <c r="D2" s="30"/>
      <c r="E2" s="29"/>
      <c r="F2" s="30"/>
      <c r="G2" s="143"/>
      <c r="H2" s="31" t="s">
        <v>237</v>
      </c>
      <c r="I2" s="31" t="s">
        <v>238</v>
      </c>
      <c r="J2" s="31" t="s">
        <v>239</v>
      </c>
      <c r="K2" s="31" t="s">
        <v>240</v>
      </c>
      <c r="L2" s="31" t="s">
        <v>241</v>
      </c>
      <c r="M2" s="31" t="s">
        <v>242</v>
      </c>
      <c r="N2" s="31" t="s">
        <v>243</v>
      </c>
      <c r="O2" s="31" t="s">
        <v>244</v>
      </c>
      <c r="P2" s="31" t="s">
        <v>245</v>
      </c>
      <c r="Q2" s="31" t="s">
        <v>26</v>
      </c>
      <c r="R2" s="31" t="s">
        <v>246</v>
      </c>
      <c r="S2" s="31" t="s">
        <v>247</v>
      </c>
      <c r="T2" s="31" t="s">
        <v>248</v>
      </c>
      <c r="U2" s="32" t="s">
        <v>249</v>
      </c>
      <c r="V2" s="30"/>
      <c r="W2" s="30"/>
      <c r="X2" s="30"/>
      <c r="Y2" s="30"/>
      <c r="Z2" s="30"/>
      <c r="AA2" s="30"/>
      <c r="AB2" s="31" t="s">
        <v>8</v>
      </c>
      <c r="AC2" s="31" t="s">
        <v>311</v>
      </c>
      <c r="AD2" s="31" t="s">
        <v>251</v>
      </c>
      <c r="AE2" s="33" t="s">
        <v>245</v>
      </c>
      <c r="AF2" s="29"/>
      <c r="AG2" s="8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ht="19" customHeight="1" x14ac:dyDescent="0.2">
      <c r="A3" s="29" t="s">
        <v>623</v>
      </c>
      <c r="B3" s="29"/>
      <c r="C3" s="29">
        <v>3</v>
      </c>
      <c r="D3" s="29" t="s">
        <v>9</v>
      </c>
      <c r="E3" s="29" t="s">
        <v>107</v>
      </c>
      <c r="F3" s="30" t="s">
        <v>104</v>
      </c>
      <c r="G3" s="143"/>
      <c r="H3" s="30"/>
      <c r="I3" s="30">
        <v>1</v>
      </c>
      <c r="J3" s="30"/>
      <c r="K3" s="30"/>
      <c r="L3" s="30">
        <v>1</v>
      </c>
      <c r="M3" s="30"/>
      <c r="N3" s="30"/>
      <c r="O3" s="30"/>
      <c r="P3" s="30"/>
      <c r="Q3" s="30"/>
      <c r="R3" s="30">
        <v>50</v>
      </c>
      <c r="S3" s="30">
        <v>1</v>
      </c>
      <c r="T3" s="30"/>
      <c r="U3" s="30"/>
      <c r="V3" s="30"/>
      <c r="W3" s="30"/>
      <c r="X3" s="30"/>
      <c r="Y3" s="30" t="s">
        <v>254</v>
      </c>
      <c r="Z3" s="30" t="s">
        <v>257</v>
      </c>
      <c r="AA3" s="30">
        <v>1</v>
      </c>
      <c r="AB3" s="30">
        <v>1</v>
      </c>
      <c r="AC3" s="30"/>
      <c r="AD3" s="30" t="s">
        <v>255</v>
      </c>
      <c r="AE3" s="30"/>
      <c r="AF3" s="29"/>
      <c r="AG3" s="8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ht="17.5" customHeight="1" x14ac:dyDescent="0.2">
      <c r="A4" s="29" t="s">
        <v>623</v>
      </c>
      <c r="B4" s="29"/>
      <c r="C4" s="29">
        <v>3</v>
      </c>
      <c r="D4" s="29" t="s">
        <v>9</v>
      </c>
      <c r="E4" s="29" t="s">
        <v>107</v>
      </c>
      <c r="F4" s="29" t="s">
        <v>64</v>
      </c>
      <c r="G4" s="144"/>
      <c r="H4" s="29">
        <v>1</v>
      </c>
      <c r="I4" s="29"/>
      <c r="J4" s="29"/>
      <c r="K4" s="29"/>
      <c r="L4" s="29"/>
      <c r="M4" s="29">
        <v>1</v>
      </c>
      <c r="N4" s="34"/>
      <c r="O4" s="34"/>
      <c r="P4" s="34"/>
      <c r="Q4" s="34"/>
      <c r="R4" s="29">
        <v>32</v>
      </c>
      <c r="S4" s="34">
        <v>1</v>
      </c>
      <c r="T4" s="34"/>
      <c r="U4" s="29"/>
      <c r="V4" s="29"/>
      <c r="W4" s="29"/>
      <c r="X4" s="29"/>
      <c r="Y4" s="29" t="s">
        <v>256</v>
      </c>
      <c r="Z4" s="29"/>
      <c r="AA4" s="29">
        <v>0</v>
      </c>
      <c r="AB4" s="29"/>
      <c r="AC4" s="29"/>
      <c r="AD4" s="29" t="s">
        <v>258</v>
      </c>
      <c r="AE4" s="29">
        <v>1</v>
      </c>
      <c r="AF4" s="29"/>
      <c r="AG4" s="8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ht="17.5" customHeight="1" x14ac:dyDescent="0.2">
      <c r="A5" s="29" t="s">
        <v>623</v>
      </c>
      <c r="B5" s="29"/>
      <c r="C5" s="29">
        <v>3</v>
      </c>
      <c r="D5" s="29" t="s">
        <v>9</v>
      </c>
      <c r="E5" s="29" t="s">
        <v>107</v>
      </c>
      <c r="F5" s="29" t="s">
        <v>109</v>
      </c>
      <c r="G5" s="144"/>
      <c r="H5" s="29"/>
      <c r="I5" s="29"/>
      <c r="J5" s="29">
        <v>1</v>
      </c>
      <c r="K5" s="29"/>
      <c r="L5" s="29"/>
      <c r="M5" s="29"/>
      <c r="N5" s="34">
        <v>1</v>
      </c>
      <c r="O5" s="34"/>
      <c r="P5" s="34"/>
      <c r="Q5" s="34"/>
      <c r="R5" s="34">
        <v>1</v>
      </c>
      <c r="S5" s="34"/>
      <c r="T5" s="34"/>
      <c r="U5" s="34"/>
      <c r="V5" s="29"/>
      <c r="W5" s="29"/>
      <c r="X5" s="29"/>
      <c r="Y5" s="29"/>
      <c r="Z5" s="29"/>
      <c r="AA5" s="29"/>
      <c r="AB5" s="29"/>
      <c r="AC5" s="29"/>
      <c r="AD5" s="29" t="s">
        <v>259</v>
      </c>
      <c r="AE5" s="29"/>
      <c r="AF5" s="29"/>
      <c r="AG5" s="8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ht="17.5" customHeight="1" x14ac:dyDescent="0.2">
      <c r="A6" s="29" t="s">
        <v>623</v>
      </c>
      <c r="B6" s="29"/>
      <c r="C6" s="29">
        <v>3</v>
      </c>
      <c r="D6" s="29" t="s">
        <v>9</v>
      </c>
      <c r="E6" s="29" t="s">
        <v>110</v>
      </c>
      <c r="F6" s="29" t="s">
        <v>90</v>
      </c>
      <c r="G6" s="144"/>
      <c r="H6" s="29">
        <v>1</v>
      </c>
      <c r="I6" s="29"/>
      <c r="J6" s="29"/>
      <c r="K6" s="29"/>
      <c r="L6" s="29"/>
      <c r="M6" s="29"/>
      <c r="N6" s="34"/>
      <c r="O6" s="34"/>
      <c r="P6" s="34"/>
      <c r="Q6" s="34">
        <v>1</v>
      </c>
      <c r="R6" s="34">
        <v>39</v>
      </c>
      <c r="S6" s="34"/>
      <c r="T6" s="34"/>
      <c r="U6" s="34"/>
      <c r="V6" s="29"/>
      <c r="W6" s="29"/>
      <c r="X6" s="29"/>
      <c r="Y6" s="29" t="s">
        <v>260</v>
      </c>
      <c r="Z6" s="29"/>
      <c r="AA6" s="29">
        <v>1</v>
      </c>
      <c r="AB6" s="29"/>
      <c r="AC6" s="29">
        <v>1</v>
      </c>
      <c r="AD6" s="29" t="s">
        <v>261</v>
      </c>
      <c r="AE6" s="29">
        <v>1</v>
      </c>
      <c r="AF6" s="29"/>
      <c r="AG6" s="8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ht="17.5" customHeight="1" x14ac:dyDescent="0.2">
      <c r="A7" s="29" t="s">
        <v>623</v>
      </c>
      <c r="B7" s="29"/>
      <c r="C7" s="29">
        <v>3</v>
      </c>
      <c r="D7" s="29" t="s">
        <v>9</v>
      </c>
      <c r="E7" s="29" t="s">
        <v>114</v>
      </c>
      <c r="F7" s="29" t="s">
        <v>24</v>
      </c>
      <c r="G7" s="144"/>
      <c r="H7" s="29">
        <v>1</v>
      </c>
      <c r="I7" s="29"/>
      <c r="J7" s="29"/>
      <c r="K7" s="29"/>
      <c r="L7" s="29"/>
      <c r="M7" s="29"/>
      <c r="N7" s="34"/>
      <c r="O7" s="34"/>
      <c r="P7" s="34"/>
      <c r="Q7" s="34">
        <v>1</v>
      </c>
      <c r="R7" s="34">
        <v>42</v>
      </c>
      <c r="S7" s="34"/>
      <c r="T7" s="34"/>
      <c r="U7" s="34"/>
      <c r="V7" s="29"/>
      <c r="W7" s="29"/>
      <c r="X7" s="29"/>
      <c r="Y7" s="29" t="s">
        <v>33</v>
      </c>
      <c r="Z7" s="29"/>
      <c r="AA7" s="29">
        <v>1</v>
      </c>
      <c r="AB7" s="29"/>
      <c r="AC7" s="29">
        <v>1</v>
      </c>
      <c r="AD7" s="29" t="s">
        <v>255</v>
      </c>
      <c r="AE7" s="29"/>
      <c r="AF7" s="29"/>
      <c r="AG7" s="8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 ht="17.5" customHeight="1" x14ac:dyDescent="0.2">
      <c r="A8" s="29" t="s">
        <v>623</v>
      </c>
      <c r="B8" s="29"/>
      <c r="C8" s="29">
        <v>3</v>
      </c>
      <c r="D8" s="29" t="s">
        <v>9</v>
      </c>
      <c r="E8" s="29" t="s">
        <v>115</v>
      </c>
      <c r="F8" s="29" t="s">
        <v>48</v>
      </c>
      <c r="G8" s="144"/>
      <c r="H8" s="29">
        <v>1</v>
      </c>
      <c r="I8" s="29"/>
      <c r="J8" s="29"/>
      <c r="K8" s="29"/>
      <c r="L8" s="29"/>
      <c r="M8" s="29"/>
      <c r="N8" s="34"/>
      <c r="O8" s="34"/>
      <c r="P8" s="34"/>
      <c r="Q8" s="34">
        <v>1</v>
      </c>
      <c r="R8" s="34">
        <v>33</v>
      </c>
      <c r="S8" s="34"/>
      <c r="T8" s="34"/>
      <c r="U8" s="34"/>
      <c r="V8" s="29"/>
      <c r="W8" s="29"/>
      <c r="X8" s="29"/>
      <c r="Y8" s="29" t="s">
        <v>262</v>
      </c>
      <c r="Z8" s="29"/>
      <c r="AA8" s="29">
        <v>1</v>
      </c>
      <c r="AB8" s="29"/>
      <c r="AC8" s="29">
        <v>1</v>
      </c>
      <c r="AD8" s="29" t="s">
        <v>263</v>
      </c>
      <c r="AE8" s="29">
        <v>1</v>
      </c>
      <c r="AF8" s="29"/>
      <c r="AG8" s="8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1:52" ht="17.5" customHeight="1" x14ac:dyDescent="0.2">
      <c r="A9" s="29" t="s">
        <v>624</v>
      </c>
      <c r="B9" s="29"/>
      <c r="C9" s="29">
        <v>5</v>
      </c>
      <c r="D9" s="29" t="s">
        <v>9</v>
      </c>
      <c r="E9" s="29" t="s">
        <v>118</v>
      </c>
      <c r="F9" s="29" t="s">
        <v>117</v>
      </c>
      <c r="G9" s="144"/>
      <c r="H9" s="29"/>
      <c r="I9" s="29">
        <v>1</v>
      </c>
      <c r="J9" s="29"/>
      <c r="K9" s="29"/>
      <c r="L9" s="29">
        <v>1</v>
      </c>
      <c r="M9" s="29"/>
      <c r="N9" s="34"/>
      <c r="O9" s="34"/>
      <c r="P9" s="34"/>
      <c r="Q9" s="34"/>
      <c r="R9" s="29">
        <v>64</v>
      </c>
      <c r="S9" s="34"/>
      <c r="T9" s="34"/>
      <c r="U9" s="29"/>
      <c r="V9" s="29"/>
      <c r="W9" s="29"/>
      <c r="X9" s="29"/>
      <c r="Y9" s="29" t="s">
        <v>119</v>
      </c>
      <c r="Z9" s="29" t="s">
        <v>266</v>
      </c>
      <c r="AA9" s="29">
        <v>1</v>
      </c>
      <c r="AB9" s="29">
        <v>1</v>
      </c>
      <c r="AC9" s="29"/>
      <c r="AD9" s="29" t="s">
        <v>259</v>
      </c>
      <c r="AE9" s="29"/>
      <c r="AF9" s="29"/>
      <c r="AG9" s="8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2" ht="17.5" customHeight="1" x14ac:dyDescent="0.2">
      <c r="A10" s="29" t="s">
        <v>624</v>
      </c>
      <c r="B10" s="29"/>
      <c r="C10" s="29">
        <v>5</v>
      </c>
      <c r="D10" s="29" t="s">
        <v>9</v>
      </c>
      <c r="E10" s="29" t="s">
        <v>118</v>
      </c>
      <c r="F10" s="29" t="s">
        <v>120</v>
      </c>
      <c r="G10" s="144"/>
      <c r="H10" s="29">
        <v>1</v>
      </c>
      <c r="I10" s="29"/>
      <c r="J10" s="29"/>
      <c r="K10" s="29"/>
      <c r="L10" s="29"/>
      <c r="M10" s="29"/>
      <c r="N10" s="34"/>
      <c r="O10" s="34"/>
      <c r="P10" s="34">
        <v>1</v>
      </c>
      <c r="Q10" s="34"/>
      <c r="R10" s="34">
        <v>51</v>
      </c>
      <c r="S10" s="34"/>
      <c r="T10" s="34"/>
      <c r="U10" s="34"/>
      <c r="V10" s="29"/>
      <c r="W10" s="29"/>
      <c r="X10" s="29"/>
      <c r="Y10" s="29"/>
      <c r="Z10" s="29"/>
      <c r="AA10" s="29"/>
      <c r="AB10" s="29"/>
      <c r="AC10" s="29"/>
      <c r="AD10" s="29" t="s">
        <v>259</v>
      </c>
      <c r="AE10" s="29"/>
      <c r="AF10" s="29"/>
      <c r="AG10" s="34" t="s">
        <v>264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ht="17.5" customHeight="1" x14ac:dyDescent="0.2">
      <c r="A11" s="29" t="s">
        <v>624</v>
      </c>
      <c r="B11" s="29"/>
      <c r="C11" s="29">
        <v>5</v>
      </c>
      <c r="D11" s="29" t="s">
        <v>9</v>
      </c>
      <c r="E11" s="29" t="s">
        <v>122</v>
      </c>
      <c r="F11" s="29" t="s">
        <v>121</v>
      </c>
      <c r="G11" s="144"/>
      <c r="H11" s="29">
        <v>1</v>
      </c>
      <c r="I11" s="29"/>
      <c r="J11" s="29"/>
      <c r="K11" s="29"/>
      <c r="L11" s="29"/>
      <c r="M11" s="29"/>
      <c r="N11" s="34"/>
      <c r="O11" s="34"/>
      <c r="P11" s="29"/>
      <c r="Q11" s="34">
        <v>1</v>
      </c>
      <c r="R11" s="34">
        <v>21</v>
      </c>
      <c r="S11" s="34"/>
      <c r="T11" s="34"/>
      <c r="U11" s="34"/>
      <c r="V11" s="29"/>
      <c r="W11" s="29"/>
      <c r="X11" s="29"/>
      <c r="Y11" s="29" t="s">
        <v>265</v>
      </c>
      <c r="Z11" s="29"/>
      <c r="AA11" s="29">
        <v>1</v>
      </c>
      <c r="AB11" s="29"/>
      <c r="AC11" s="29">
        <v>1</v>
      </c>
      <c r="AD11" s="29" t="s">
        <v>267</v>
      </c>
      <c r="AE11" s="29">
        <v>1</v>
      </c>
      <c r="AF11" s="29"/>
      <c r="AG11" s="29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 ht="17.5" customHeight="1" x14ac:dyDescent="0.2">
      <c r="A12" s="29" t="s">
        <v>625</v>
      </c>
      <c r="B12" s="29"/>
      <c r="C12" s="29">
        <v>7</v>
      </c>
      <c r="D12" s="29" t="s">
        <v>9</v>
      </c>
      <c r="E12" s="29" t="s">
        <v>11</v>
      </c>
      <c r="F12" s="29" t="s">
        <v>10</v>
      </c>
      <c r="G12" s="144"/>
      <c r="H12" s="29"/>
      <c r="I12" s="29">
        <v>1</v>
      </c>
      <c r="J12" s="29"/>
      <c r="K12" s="29"/>
      <c r="L12" s="29">
        <v>1</v>
      </c>
      <c r="M12" s="29"/>
      <c r="N12" s="34"/>
      <c r="O12" s="34"/>
      <c r="P12" s="29"/>
      <c r="Q12" s="34"/>
      <c r="R12" s="29">
        <v>43</v>
      </c>
      <c r="S12" s="34"/>
      <c r="T12" s="34"/>
      <c r="U12" s="34"/>
      <c r="V12" s="29"/>
      <c r="W12" s="29"/>
      <c r="X12" s="29"/>
      <c r="Y12" s="29" t="s">
        <v>15</v>
      </c>
      <c r="Z12" s="29" t="s">
        <v>268</v>
      </c>
      <c r="AA12" s="29">
        <v>1</v>
      </c>
      <c r="AB12" s="29"/>
      <c r="AC12" s="29">
        <v>1</v>
      </c>
      <c r="AD12" s="29" t="s">
        <v>259</v>
      </c>
      <c r="AE12" s="29"/>
      <c r="AF12" s="29" t="s">
        <v>310</v>
      </c>
      <c r="AG12" s="29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 ht="17.5" customHeight="1" x14ac:dyDescent="0.2">
      <c r="A13" s="29" t="s">
        <v>625</v>
      </c>
      <c r="B13" s="29"/>
      <c r="C13" s="29">
        <v>7</v>
      </c>
      <c r="D13" s="29" t="s">
        <v>9</v>
      </c>
      <c r="E13" s="29" t="s">
        <v>11</v>
      </c>
      <c r="F13" s="29" t="s">
        <v>17</v>
      </c>
      <c r="G13" s="144"/>
      <c r="H13" s="29">
        <v>1</v>
      </c>
      <c r="I13" s="29"/>
      <c r="J13" s="29"/>
      <c r="K13" s="29"/>
      <c r="L13" s="29"/>
      <c r="M13" s="29">
        <v>1</v>
      </c>
      <c r="N13" s="34"/>
      <c r="O13" s="34"/>
      <c r="P13" s="29"/>
      <c r="Q13" s="34" t="s">
        <v>20</v>
      </c>
      <c r="R13" s="29">
        <v>42</v>
      </c>
      <c r="S13" s="34"/>
      <c r="T13" s="34"/>
      <c r="U13" s="34"/>
      <c r="V13" s="29"/>
      <c r="W13" s="29"/>
      <c r="X13" s="29"/>
      <c r="Y13" s="29"/>
      <c r="Z13" s="29"/>
      <c r="AA13" s="29"/>
      <c r="AB13" s="29"/>
      <c r="AC13" s="29"/>
      <c r="AD13" s="29" t="s">
        <v>259</v>
      </c>
      <c r="AE13" s="29"/>
      <c r="AF13" s="29"/>
      <c r="AG13" s="29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 ht="17.5" customHeight="1" x14ac:dyDescent="0.2">
      <c r="A14" s="29" t="s">
        <v>625</v>
      </c>
      <c r="B14" s="29"/>
      <c r="C14" s="29">
        <v>7</v>
      </c>
      <c r="D14" s="29" t="s">
        <v>9</v>
      </c>
      <c r="E14" s="29" t="s">
        <v>11</v>
      </c>
      <c r="F14" s="29" t="s">
        <v>21</v>
      </c>
      <c r="G14" s="144"/>
      <c r="H14" s="29">
        <v>1</v>
      </c>
      <c r="I14" s="29"/>
      <c r="J14" s="29"/>
      <c r="K14" s="29"/>
      <c r="L14" s="29"/>
      <c r="M14" s="29"/>
      <c r="N14" s="34">
        <v>1</v>
      </c>
      <c r="O14" s="34"/>
      <c r="P14" s="29"/>
      <c r="Q14" s="34"/>
      <c r="R14" s="29">
        <v>13</v>
      </c>
      <c r="S14" s="34"/>
      <c r="T14" s="34"/>
      <c r="U14" s="34"/>
      <c r="V14" s="29"/>
      <c r="W14" s="29"/>
      <c r="X14" s="29"/>
      <c r="Y14" s="29"/>
      <c r="Z14" s="29"/>
      <c r="AA14" s="29"/>
      <c r="AB14" s="29"/>
      <c r="AC14" s="29"/>
      <c r="AD14" s="29" t="s">
        <v>259</v>
      </c>
      <c r="AE14" s="29"/>
      <c r="AF14" s="29"/>
      <c r="AG14" s="29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 ht="17.5" customHeight="1" x14ac:dyDescent="0.2">
      <c r="A15" s="29" t="s">
        <v>625</v>
      </c>
      <c r="B15" s="29"/>
      <c r="C15" s="29">
        <v>7</v>
      </c>
      <c r="D15" s="29" t="s">
        <v>9</v>
      </c>
      <c r="E15" s="29" t="s">
        <v>11</v>
      </c>
      <c r="F15" s="29" t="s">
        <v>23</v>
      </c>
      <c r="G15" s="144"/>
      <c r="H15" s="29"/>
      <c r="I15" s="29"/>
      <c r="J15" s="29">
        <v>1</v>
      </c>
      <c r="K15" s="29"/>
      <c r="L15" s="29"/>
      <c r="M15" s="29"/>
      <c r="N15" s="34">
        <v>1</v>
      </c>
      <c r="O15" s="34"/>
      <c r="P15" s="29"/>
      <c r="Q15" s="34"/>
      <c r="R15" s="29">
        <v>8</v>
      </c>
      <c r="S15" s="34"/>
      <c r="T15" s="34"/>
      <c r="U15" s="34"/>
      <c r="V15" s="29"/>
      <c r="W15" s="29"/>
      <c r="X15" s="29"/>
      <c r="Y15" s="29"/>
      <c r="Z15" s="29"/>
      <c r="AA15" s="29"/>
      <c r="AB15" s="29"/>
      <c r="AC15" s="29"/>
      <c r="AD15" s="29" t="s">
        <v>259</v>
      </c>
      <c r="AE15" s="29"/>
      <c r="AF15" s="29"/>
      <c r="AG15" s="29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ht="17.5" customHeight="1" x14ac:dyDescent="0.2">
      <c r="A16" s="29" t="s">
        <v>625</v>
      </c>
      <c r="B16" s="29"/>
      <c r="C16" s="29">
        <v>7</v>
      </c>
      <c r="D16" s="29" t="s">
        <v>9</v>
      </c>
      <c r="E16" s="29" t="s">
        <v>25</v>
      </c>
      <c r="F16" s="29" t="s">
        <v>24</v>
      </c>
      <c r="G16" s="144"/>
      <c r="H16" s="29">
        <v>1</v>
      </c>
      <c r="I16" s="29"/>
      <c r="J16" s="29"/>
      <c r="K16" s="29"/>
      <c r="L16" s="29"/>
      <c r="M16" s="29"/>
      <c r="N16" s="34"/>
      <c r="O16" s="34"/>
      <c r="P16" s="29"/>
      <c r="Q16" s="34">
        <v>1</v>
      </c>
      <c r="R16" s="29">
        <v>28</v>
      </c>
      <c r="S16" s="34"/>
      <c r="T16" s="34"/>
      <c r="U16" s="34"/>
      <c r="V16" s="29"/>
      <c r="W16" s="29"/>
      <c r="X16" s="29"/>
      <c r="Y16" s="29" t="s">
        <v>28</v>
      </c>
      <c r="Z16" s="29"/>
      <c r="AA16" s="29">
        <v>1</v>
      </c>
      <c r="AB16" s="29"/>
      <c r="AC16" s="29">
        <v>1</v>
      </c>
      <c r="AD16" s="29" t="s">
        <v>261</v>
      </c>
      <c r="AE16" s="29">
        <v>1</v>
      </c>
      <c r="AF16" s="29"/>
      <c r="AG16" s="29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ht="17.5" customHeight="1" x14ac:dyDescent="0.2">
      <c r="A17" s="29" t="s">
        <v>625</v>
      </c>
      <c r="B17" s="29"/>
      <c r="C17" s="29">
        <v>7</v>
      </c>
      <c r="D17" s="29" t="s">
        <v>9</v>
      </c>
      <c r="E17" s="29" t="s">
        <v>31</v>
      </c>
      <c r="F17" s="29" t="s">
        <v>30</v>
      </c>
      <c r="G17" s="144"/>
      <c r="H17" s="29">
        <v>1</v>
      </c>
      <c r="I17" s="29"/>
      <c r="J17" s="29"/>
      <c r="K17" s="29"/>
      <c r="L17" s="29"/>
      <c r="M17" s="29"/>
      <c r="N17" s="34"/>
      <c r="O17" s="34"/>
      <c r="P17" s="29"/>
      <c r="Q17" s="34">
        <v>1</v>
      </c>
      <c r="R17" s="29" t="s">
        <v>20</v>
      </c>
      <c r="S17" s="34"/>
      <c r="T17" s="34"/>
      <c r="U17" s="34"/>
      <c r="V17" s="29"/>
      <c r="W17" s="29"/>
      <c r="X17" s="29"/>
      <c r="Y17" s="29" t="s">
        <v>262</v>
      </c>
      <c r="Z17" s="29"/>
      <c r="AA17" s="29">
        <v>1</v>
      </c>
      <c r="AB17" s="29"/>
      <c r="AC17" s="29">
        <v>1</v>
      </c>
      <c r="AD17" s="29" t="s">
        <v>20</v>
      </c>
      <c r="AE17" s="29"/>
      <c r="AF17" s="29"/>
      <c r="AG17" s="29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 ht="17.5" customHeight="1" x14ac:dyDescent="0.2">
      <c r="A18" s="29" t="s">
        <v>625</v>
      </c>
      <c r="B18" s="29"/>
      <c r="C18" s="29">
        <v>7</v>
      </c>
      <c r="D18" s="29" t="s">
        <v>9</v>
      </c>
      <c r="E18" s="29" t="s">
        <v>20</v>
      </c>
      <c r="F18" s="29" t="s">
        <v>20</v>
      </c>
      <c r="G18" s="144"/>
      <c r="H18" s="29">
        <v>1</v>
      </c>
      <c r="I18" s="29"/>
      <c r="J18" s="29"/>
      <c r="K18" s="29"/>
      <c r="L18" s="29"/>
      <c r="M18" s="29"/>
      <c r="N18" s="34"/>
      <c r="O18" s="34"/>
      <c r="P18" s="29"/>
      <c r="Q18" s="34">
        <v>1</v>
      </c>
      <c r="R18" s="29">
        <v>62</v>
      </c>
      <c r="S18" s="34"/>
      <c r="T18" s="34"/>
      <c r="U18" s="34"/>
      <c r="V18" s="29"/>
      <c r="W18" s="29"/>
      <c r="X18" s="29"/>
      <c r="Y18" s="29" t="s">
        <v>33</v>
      </c>
      <c r="Z18" s="29"/>
      <c r="AA18" s="29">
        <v>1</v>
      </c>
      <c r="AB18" s="29"/>
      <c r="AC18" s="29">
        <v>1</v>
      </c>
      <c r="AD18" s="29"/>
      <c r="AE18" s="29"/>
      <c r="AF18" s="29"/>
      <c r="AG18" s="29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 ht="17.5" customHeight="1" x14ac:dyDescent="0.2">
      <c r="A19" s="29" t="s">
        <v>626</v>
      </c>
      <c r="B19" s="29"/>
      <c r="C19" s="29">
        <v>9</v>
      </c>
      <c r="D19" s="29" t="s">
        <v>9</v>
      </c>
      <c r="E19" s="29" t="s">
        <v>35</v>
      </c>
      <c r="F19" s="29" t="s">
        <v>34</v>
      </c>
      <c r="G19" s="144"/>
      <c r="H19" s="29"/>
      <c r="I19" s="29">
        <v>1</v>
      </c>
      <c r="J19" s="29"/>
      <c r="K19" s="29"/>
      <c r="L19" s="29">
        <v>1</v>
      </c>
      <c r="M19" s="29"/>
      <c r="N19" s="34"/>
      <c r="O19" s="34"/>
      <c r="P19" s="34"/>
      <c r="Q19" s="34"/>
      <c r="R19" s="29">
        <v>38</v>
      </c>
      <c r="S19" s="34"/>
      <c r="T19" s="34"/>
      <c r="U19" s="34"/>
      <c r="V19" s="29"/>
      <c r="W19" s="29"/>
      <c r="X19" s="29"/>
      <c r="Y19" s="29" t="s">
        <v>36</v>
      </c>
      <c r="Z19" s="29" t="s">
        <v>270</v>
      </c>
      <c r="AA19" s="29">
        <v>1</v>
      </c>
      <c r="AB19" s="29">
        <v>1</v>
      </c>
      <c r="AC19" s="29"/>
      <c r="AD19" s="29"/>
      <c r="AE19" s="29"/>
      <c r="AF19" s="29"/>
      <c r="AG19" s="34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ht="17.5" customHeight="1" x14ac:dyDescent="0.2">
      <c r="A20" s="29" t="s">
        <v>626</v>
      </c>
      <c r="B20" s="29"/>
      <c r="C20" s="29">
        <v>9</v>
      </c>
      <c r="D20" s="29" t="s">
        <v>9</v>
      </c>
      <c r="E20" s="29" t="s">
        <v>35</v>
      </c>
      <c r="F20" s="29" t="s">
        <v>38</v>
      </c>
      <c r="G20" s="144"/>
      <c r="H20" s="29">
        <v>1</v>
      </c>
      <c r="I20" s="29"/>
      <c r="J20" s="29"/>
      <c r="K20" s="29"/>
      <c r="L20" s="29"/>
      <c r="M20" s="29">
        <v>1</v>
      </c>
      <c r="N20" s="34"/>
      <c r="O20" s="34"/>
      <c r="P20" s="34"/>
      <c r="Q20" s="34"/>
      <c r="R20" s="29">
        <v>38</v>
      </c>
      <c r="S20" s="34"/>
      <c r="T20" s="34"/>
      <c r="U20" s="34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4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ht="17.5" customHeight="1" x14ac:dyDescent="0.2">
      <c r="A21" s="29" t="s">
        <v>626</v>
      </c>
      <c r="B21" s="29"/>
      <c r="C21" s="29">
        <v>9</v>
      </c>
      <c r="D21" s="29" t="s">
        <v>9</v>
      </c>
      <c r="E21" s="29" t="s">
        <v>35</v>
      </c>
      <c r="F21" s="29" t="s">
        <v>39</v>
      </c>
      <c r="G21" s="144"/>
      <c r="H21" s="29"/>
      <c r="I21" s="29"/>
      <c r="J21" s="29">
        <v>1</v>
      </c>
      <c r="K21" s="29"/>
      <c r="L21" s="29"/>
      <c r="M21" s="29"/>
      <c r="N21" s="34">
        <v>1</v>
      </c>
      <c r="O21" s="34"/>
      <c r="P21" s="34"/>
      <c r="Q21" s="34"/>
      <c r="R21" s="29">
        <v>4</v>
      </c>
      <c r="S21" s="34"/>
      <c r="T21" s="34"/>
      <c r="U21" s="34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4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ht="17.5" customHeight="1" x14ac:dyDescent="0.2">
      <c r="A22" s="29" t="s">
        <v>626</v>
      </c>
      <c r="B22" s="29"/>
      <c r="C22" s="29">
        <v>9</v>
      </c>
      <c r="D22" s="29" t="s">
        <v>9</v>
      </c>
      <c r="E22" s="29" t="s">
        <v>42</v>
      </c>
      <c r="F22" s="29" t="s">
        <v>41</v>
      </c>
      <c r="G22" s="144"/>
      <c r="H22" s="29">
        <v>1</v>
      </c>
      <c r="I22" s="29"/>
      <c r="J22" s="29"/>
      <c r="K22" s="29"/>
      <c r="L22" s="29"/>
      <c r="M22" s="29"/>
      <c r="N22" s="34"/>
      <c r="O22" s="34"/>
      <c r="P22" s="34"/>
      <c r="Q22" s="34">
        <v>1</v>
      </c>
      <c r="R22" s="29">
        <v>20</v>
      </c>
      <c r="S22" s="34"/>
      <c r="T22" s="34"/>
      <c r="U22" s="34"/>
      <c r="V22" s="29"/>
      <c r="W22" s="29"/>
      <c r="X22" s="29"/>
      <c r="Y22" s="29" t="s">
        <v>271</v>
      </c>
      <c r="Z22" s="29"/>
      <c r="AA22" s="29">
        <v>1</v>
      </c>
      <c r="AB22" s="29"/>
      <c r="AC22" s="29">
        <v>1</v>
      </c>
      <c r="AD22" s="29" t="s">
        <v>272</v>
      </c>
      <c r="AE22" s="29">
        <v>1</v>
      </c>
      <c r="AF22" s="29"/>
      <c r="AG22" s="34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ht="17.5" customHeight="1" x14ac:dyDescent="0.2">
      <c r="A23" s="29" t="s">
        <v>626</v>
      </c>
      <c r="B23" s="29"/>
      <c r="C23" s="29">
        <v>9</v>
      </c>
      <c r="D23" s="29" t="s">
        <v>9</v>
      </c>
      <c r="E23" s="29" t="s">
        <v>20</v>
      </c>
      <c r="F23" s="29" t="s">
        <v>44</v>
      </c>
      <c r="G23" s="144"/>
      <c r="H23" s="29">
        <v>1</v>
      </c>
      <c r="I23" s="29"/>
      <c r="J23" s="29"/>
      <c r="K23" s="29"/>
      <c r="L23" s="29"/>
      <c r="M23" s="29"/>
      <c r="N23" s="34"/>
      <c r="O23" s="34"/>
      <c r="P23" s="34"/>
      <c r="Q23" s="34">
        <v>1</v>
      </c>
      <c r="R23" s="29">
        <v>27</v>
      </c>
      <c r="S23" s="34"/>
      <c r="T23" s="34"/>
      <c r="U23" s="34"/>
      <c r="V23" s="29"/>
      <c r="W23" s="29"/>
      <c r="X23" s="29"/>
      <c r="Y23" s="29" t="s">
        <v>33</v>
      </c>
      <c r="Z23" s="29"/>
      <c r="AA23" s="29">
        <v>1</v>
      </c>
      <c r="AB23" s="29"/>
      <c r="AC23" s="29">
        <v>1</v>
      </c>
      <c r="AD23" s="29" t="s">
        <v>273</v>
      </c>
      <c r="AE23" s="29">
        <v>1</v>
      </c>
      <c r="AF23" s="29"/>
      <c r="AG23" s="34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1:52" ht="17.5" customHeight="1" x14ac:dyDescent="0.2">
      <c r="A24" s="29" t="s">
        <v>627</v>
      </c>
      <c r="B24" s="29"/>
      <c r="C24" s="29">
        <v>13</v>
      </c>
      <c r="D24" s="29" t="s">
        <v>9</v>
      </c>
      <c r="E24" s="29" t="s">
        <v>128</v>
      </c>
      <c r="F24" s="29" t="s">
        <v>127</v>
      </c>
      <c r="G24" s="144"/>
      <c r="H24" s="29"/>
      <c r="I24" s="29">
        <v>1</v>
      </c>
      <c r="J24" s="29"/>
      <c r="K24" s="29"/>
      <c r="L24" s="29">
        <v>1</v>
      </c>
      <c r="M24" s="29"/>
      <c r="N24" s="34"/>
      <c r="O24" s="34"/>
      <c r="P24" s="34"/>
      <c r="Q24" s="34"/>
      <c r="R24" s="34">
        <v>34</v>
      </c>
      <c r="S24" s="34"/>
      <c r="T24" s="34"/>
      <c r="U24" s="34"/>
      <c r="V24" s="29"/>
      <c r="W24" s="29"/>
      <c r="X24" s="29"/>
      <c r="Y24" s="29" t="s">
        <v>129</v>
      </c>
      <c r="Z24" s="29" t="s">
        <v>269</v>
      </c>
      <c r="AA24" s="29">
        <v>1</v>
      </c>
      <c r="AB24" s="29">
        <v>1</v>
      </c>
      <c r="AC24" s="29"/>
      <c r="AD24" s="29"/>
      <c r="AE24" s="29"/>
      <c r="AF24" s="29"/>
      <c r="AG24" s="34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 ht="17" customHeight="1" x14ac:dyDescent="0.2">
      <c r="A25" s="29" t="s">
        <v>627</v>
      </c>
      <c r="B25" s="29"/>
      <c r="C25" s="29">
        <v>13</v>
      </c>
      <c r="D25" s="29" t="s">
        <v>9</v>
      </c>
      <c r="E25" s="29" t="s">
        <v>128</v>
      </c>
      <c r="F25" s="29" t="s">
        <v>130</v>
      </c>
      <c r="G25" s="144"/>
      <c r="H25" s="29">
        <v>1</v>
      </c>
      <c r="I25" s="29"/>
      <c r="J25" s="29"/>
      <c r="K25" s="29"/>
      <c r="L25" s="29"/>
      <c r="M25" s="29">
        <v>1</v>
      </c>
      <c r="N25" s="29"/>
      <c r="O25" s="29"/>
      <c r="P25" s="29"/>
      <c r="Q25" s="29"/>
      <c r="R25" s="29">
        <v>36</v>
      </c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1:52" ht="17.5" customHeight="1" x14ac:dyDescent="0.2">
      <c r="A26" s="29" t="s">
        <v>627</v>
      </c>
      <c r="B26" s="29"/>
      <c r="C26" s="29">
        <v>13</v>
      </c>
      <c r="D26" s="29" t="s">
        <v>9</v>
      </c>
      <c r="E26" s="29" t="s">
        <v>133</v>
      </c>
      <c r="F26" s="29" t="s">
        <v>132</v>
      </c>
      <c r="G26" s="144"/>
      <c r="H26" s="29">
        <v>1</v>
      </c>
      <c r="I26" s="29"/>
      <c r="J26" s="29"/>
      <c r="K26" s="29"/>
      <c r="L26" s="29"/>
      <c r="M26" s="29"/>
      <c r="N26" s="34"/>
      <c r="O26" s="34"/>
      <c r="P26" s="34"/>
      <c r="Q26" s="34">
        <v>1</v>
      </c>
      <c r="R26" s="34">
        <v>23</v>
      </c>
      <c r="S26" s="34"/>
      <c r="T26" s="34"/>
      <c r="U26" s="34"/>
      <c r="V26" s="29"/>
      <c r="W26" s="29"/>
      <c r="X26" s="29"/>
      <c r="Y26" s="29" t="s">
        <v>274</v>
      </c>
      <c r="Z26" s="29"/>
      <c r="AA26" s="29">
        <v>1</v>
      </c>
      <c r="AB26" s="29"/>
      <c r="AC26" s="29">
        <v>1</v>
      </c>
      <c r="AD26" s="29" t="s">
        <v>275</v>
      </c>
      <c r="AE26" s="29">
        <v>1</v>
      </c>
      <c r="AF26" s="29"/>
      <c r="AG26" s="34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ht="17.5" customHeight="1" x14ac:dyDescent="0.2">
      <c r="A27" s="29" t="s">
        <v>627</v>
      </c>
      <c r="B27" s="29"/>
      <c r="C27" s="29">
        <v>13</v>
      </c>
      <c r="D27" s="29" t="s">
        <v>9</v>
      </c>
      <c r="E27" s="29" t="s">
        <v>136</v>
      </c>
      <c r="F27" s="29" t="s">
        <v>135</v>
      </c>
      <c r="G27" s="144"/>
      <c r="H27" s="29">
        <v>1</v>
      </c>
      <c r="I27" s="29"/>
      <c r="J27" s="29"/>
      <c r="K27" s="29"/>
      <c r="L27" s="29"/>
      <c r="M27" s="29"/>
      <c r="N27" s="34"/>
      <c r="O27" s="34"/>
      <c r="P27" s="34"/>
      <c r="Q27" s="34">
        <v>1</v>
      </c>
      <c r="R27" s="34">
        <v>31</v>
      </c>
      <c r="S27" s="34"/>
      <c r="T27" s="34"/>
      <c r="U27" s="34"/>
      <c r="V27" s="29"/>
      <c r="W27" s="29"/>
      <c r="X27" s="29"/>
      <c r="Y27" s="29" t="s">
        <v>271</v>
      </c>
      <c r="Z27" s="29"/>
      <c r="AA27" s="29">
        <v>1</v>
      </c>
      <c r="AB27" s="29"/>
      <c r="AC27" s="29">
        <v>1</v>
      </c>
      <c r="AD27" s="29" t="s">
        <v>275</v>
      </c>
      <c r="AE27" s="29">
        <v>1</v>
      </c>
      <c r="AF27" s="29"/>
      <c r="AG27" s="34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ht="17.5" customHeight="1" x14ac:dyDescent="0.2">
      <c r="A28" s="29" t="s">
        <v>628</v>
      </c>
      <c r="B28" s="35"/>
      <c r="C28" s="35">
        <v>15</v>
      </c>
      <c r="D28" s="29" t="s">
        <v>9</v>
      </c>
      <c r="E28" s="29" t="s">
        <v>139</v>
      </c>
      <c r="F28" s="29" t="s">
        <v>138</v>
      </c>
      <c r="G28" s="144"/>
      <c r="H28" s="36">
        <v>1</v>
      </c>
      <c r="I28" s="36"/>
      <c r="J28" s="36"/>
      <c r="K28" s="36"/>
      <c r="L28" s="36">
        <v>1</v>
      </c>
      <c r="M28" s="36"/>
      <c r="N28" s="36"/>
      <c r="O28" s="36"/>
      <c r="P28" s="36"/>
      <c r="Q28" s="36"/>
      <c r="R28" s="36">
        <v>84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 t="s">
        <v>276</v>
      </c>
      <c r="AE28" s="29">
        <v>1</v>
      </c>
      <c r="AF28" s="29"/>
      <c r="AG28" s="3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1:52" ht="28" customHeight="1" x14ac:dyDescent="0.2">
      <c r="A29" s="29" t="s">
        <v>628</v>
      </c>
      <c r="B29" s="35"/>
      <c r="C29" s="35">
        <v>15</v>
      </c>
      <c r="D29" s="29" t="s">
        <v>9</v>
      </c>
      <c r="E29" s="29" t="s">
        <v>143</v>
      </c>
      <c r="F29" s="29" t="s">
        <v>142</v>
      </c>
      <c r="G29" s="144"/>
      <c r="H29" s="36">
        <v>1</v>
      </c>
      <c r="I29" s="36"/>
      <c r="J29" s="36"/>
      <c r="K29" s="36"/>
      <c r="L29" s="36"/>
      <c r="M29" s="36"/>
      <c r="N29" s="36"/>
      <c r="O29" s="36"/>
      <c r="P29" s="36">
        <v>1</v>
      </c>
      <c r="Q29" s="36"/>
      <c r="R29" s="36">
        <v>78</v>
      </c>
      <c r="S29" s="36"/>
      <c r="T29" s="36"/>
      <c r="U29" s="37"/>
      <c r="V29" s="36"/>
      <c r="W29" s="36"/>
      <c r="X29" s="36"/>
      <c r="Y29" s="36"/>
      <c r="Z29" s="36"/>
      <c r="AA29" s="36"/>
      <c r="AB29" s="36"/>
      <c r="AC29" s="36"/>
      <c r="AD29" s="36" t="s">
        <v>278</v>
      </c>
      <c r="AE29" s="29">
        <v>1</v>
      </c>
      <c r="AF29" s="29"/>
      <c r="AG29" s="36" t="s">
        <v>277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1:52" ht="28" customHeight="1" x14ac:dyDescent="0.2">
      <c r="A30" s="29" t="s">
        <v>628</v>
      </c>
      <c r="B30" s="35"/>
      <c r="C30" s="35">
        <v>15</v>
      </c>
      <c r="D30" s="29" t="s">
        <v>9</v>
      </c>
      <c r="E30" s="29" t="s">
        <v>147</v>
      </c>
      <c r="F30" s="29" t="s">
        <v>146</v>
      </c>
      <c r="G30" s="144"/>
      <c r="H30" s="36">
        <v>1</v>
      </c>
      <c r="I30" s="36"/>
      <c r="J30" s="36"/>
      <c r="K30" s="36"/>
      <c r="L30" s="36"/>
      <c r="M30" s="36"/>
      <c r="N30" s="36"/>
      <c r="O30" s="36"/>
      <c r="P30" s="36">
        <v>1</v>
      </c>
      <c r="Q30" s="36"/>
      <c r="R30" s="36">
        <v>60</v>
      </c>
      <c r="S30" s="36"/>
      <c r="T30" s="36"/>
      <c r="U30" s="37"/>
      <c r="V30" s="36"/>
      <c r="W30" s="36"/>
      <c r="X30" s="36"/>
      <c r="Y30" s="36"/>
      <c r="Z30" s="36"/>
      <c r="AA30" s="36"/>
      <c r="AB30" s="36"/>
      <c r="AC30" s="36"/>
      <c r="AD30" s="36" t="s">
        <v>280</v>
      </c>
      <c r="AE30" s="29">
        <v>1</v>
      </c>
      <c r="AF30" s="29"/>
      <c r="AG30" s="36" t="s">
        <v>279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ht="17" customHeight="1" x14ac:dyDescent="0.2">
      <c r="A31" s="29" t="s">
        <v>628</v>
      </c>
      <c r="B31" s="29"/>
      <c r="C31" s="35">
        <v>15</v>
      </c>
      <c r="D31" s="29" t="s">
        <v>9</v>
      </c>
      <c r="E31" s="29" t="s">
        <v>147</v>
      </c>
      <c r="F31" s="29" t="s">
        <v>150</v>
      </c>
      <c r="G31" s="144"/>
      <c r="H31" s="36">
        <v>1</v>
      </c>
      <c r="I31" s="29"/>
      <c r="J31" s="29"/>
      <c r="K31" s="29"/>
      <c r="L31" s="38"/>
      <c r="M31" s="29"/>
      <c r="N31" s="29"/>
      <c r="O31" s="29"/>
      <c r="P31" s="29">
        <v>1</v>
      </c>
      <c r="Q31" s="29"/>
      <c r="R31" s="39">
        <v>58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 t="s">
        <v>280</v>
      </c>
      <c r="AE31" s="29">
        <v>1</v>
      </c>
      <c r="AF31" s="29"/>
      <c r="AG31" s="29" t="s">
        <v>279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ht="17" customHeight="1" x14ac:dyDescent="0.2">
      <c r="A32" s="29" t="s">
        <v>628</v>
      </c>
      <c r="B32" s="29"/>
      <c r="C32" s="35">
        <v>15</v>
      </c>
      <c r="D32" s="29" t="s">
        <v>9</v>
      </c>
      <c r="E32" s="29" t="s">
        <v>151</v>
      </c>
      <c r="F32" s="29" t="s">
        <v>121</v>
      </c>
      <c r="G32" s="144"/>
      <c r="H32" s="36">
        <v>1</v>
      </c>
      <c r="I32" s="29"/>
      <c r="J32" s="29"/>
      <c r="K32" s="29"/>
      <c r="L32" s="38"/>
      <c r="M32" s="29"/>
      <c r="N32" s="29"/>
      <c r="O32" s="29"/>
      <c r="P32" s="29"/>
      <c r="Q32" s="29">
        <v>1</v>
      </c>
      <c r="R32" s="39">
        <v>42</v>
      </c>
      <c r="S32" s="40"/>
      <c r="T32" s="40"/>
      <c r="U32" s="40"/>
      <c r="V32" s="29"/>
      <c r="W32" s="29"/>
      <c r="X32" s="29"/>
      <c r="Y32" s="29" t="s">
        <v>262</v>
      </c>
      <c r="Z32" s="29"/>
      <c r="AA32" s="29">
        <v>1</v>
      </c>
      <c r="AB32" s="29"/>
      <c r="AC32" s="29">
        <v>1</v>
      </c>
      <c r="AD32" s="29" t="s">
        <v>281</v>
      </c>
      <c r="AE32" s="29">
        <v>1</v>
      </c>
      <c r="AF32" s="29"/>
      <c r="AG32" s="29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1:52" ht="17.5" customHeight="1" x14ac:dyDescent="0.2">
      <c r="A33" s="29" t="s">
        <v>628</v>
      </c>
      <c r="B33" s="29"/>
      <c r="C33" s="35">
        <v>15</v>
      </c>
      <c r="D33" s="29" t="s">
        <v>9</v>
      </c>
      <c r="E33" s="29" t="s">
        <v>154</v>
      </c>
      <c r="F33" s="29" t="s">
        <v>153</v>
      </c>
      <c r="G33" s="144"/>
      <c r="H33" s="36">
        <v>1</v>
      </c>
      <c r="I33" s="29"/>
      <c r="J33" s="29"/>
      <c r="K33" s="29"/>
      <c r="L33" s="38"/>
      <c r="M33" s="29"/>
      <c r="N33" s="29"/>
      <c r="O33" s="29"/>
      <c r="P33" s="29"/>
      <c r="Q33" s="29">
        <v>1</v>
      </c>
      <c r="R33" s="29">
        <v>24</v>
      </c>
      <c r="S33" s="34"/>
      <c r="T33" s="34"/>
      <c r="U33" s="41"/>
      <c r="V33" s="29"/>
      <c r="W33" s="29"/>
      <c r="X33" s="29"/>
      <c r="Y33" s="29" t="s">
        <v>262</v>
      </c>
      <c r="Z33" s="29"/>
      <c r="AA33" s="29">
        <v>1</v>
      </c>
      <c r="AB33" s="29"/>
      <c r="AC33" s="29">
        <v>1</v>
      </c>
      <c r="AD33" s="29"/>
      <c r="AE33" s="29"/>
      <c r="AF33" s="29"/>
      <c r="AG33" s="29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ht="17" customHeight="1" x14ac:dyDescent="0.2">
      <c r="A34" s="29" t="s">
        <v>629</v>
      </c>
      <c r="B34" s="29"/>
      <c r="C34" s="35">
        <v>17</v>
      </c>
      <c r="D34" s="29" t="s">
        <v>9</v>
      </c>
      <c r="E34" s="29" t="s">
        <v>124</v>
      </c>
      <c r="F34" s="29" t="s">
        <v>90</v>
      </c>
      <c r="G34" s="144"/>
      <c r="H34" s="36">
        <v>1</v>
      </c>
      <c r="I34" s="29"/>
      <c r="J34" s="29"/>
      <c r="K34" s="29"/>
      <c r="L34" s="38"/>
      <c r="M34" s="29"/>
      <c r="N34" s="29"/>
      <c r="O34" s="29"/>
      <c r="P34" s="29"/>
      <c r="Q34" s="29">
        <v>1</v>
      </c>
      <c r="R34" s="29">
        <v>20</v>
      </c>
      <c r="S34" s="40"/>
      <c r="T34" s="40"/>
      <c r="U34" s="40"/>
      <c r="V34" s="29"/>
      <c r="W34" s="29"/>
      <c r="X34" s="29"/>
      <c r="Y34" s="29" t="s">
        <v>274</v>
      </c>
      <c r="Z34" s="29"/>
      <c r="AA34" s="29">
        <v>1</v>
      </c>
      <c r="AB34" s="29"/>
      <c r="AC34" s="29">
        <v>1</v>
      </c>
      <c r="AD34" s="42"/>
      <c r="AE34" s="42"/>
      <c r="AF34" s="29"/>
      <c r="AG34" s="29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ht="17.5" customHeight="1" x14ac:dyDescent="0.2">
      <c r="A35" s="29" t="s">
        <v>629</v>
      </c>
      <c r="B35" s="29"/>
      <c r="C35" s="35">
        <v>17</v>
      </c>
      <c r="D35" s="29" t="s">
        <v>9</v>
      </c>
      <c r="E35" s="29" t="s">
        <v>61</v>
      </c>
      <c r="F35" s="29" t="s">
        <v>126</v>
      </c>
      <c r="G35" s="144"/>
      <c r="H35" s="36">
        <v>1</v>
      </c>
      <c r="I35" s="29"/>
      <c r="J35" s="29"/>
      <c r="K35" s="29"/>
      <c r="L35" s="38"/>
      <c r="M35" s="29"/>
      <c r="N35" s="29">
        <v>1</v>
      </c>
      <c r="O35" s="29"/>
      <c r="P35" s="29"/>
      <c r="Q35" s="29"/>
      <c r="R35" s="29">
        <v>5</v>
      </c>
      <c r="S35" s="34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1:52" x14ac:dyDescent="0.2">
      <c r="A36" s="29" t="s">
        <v>629</v>
      </c>
      <c r="B36" s="29"/>
      <c r="C36" s="35">
        <v>17</v>
      </c>
      <c r="D36" s="29" t="s">
        <v>9</v>
      </c>
      <c r="E36" s="29" t="s">
        <v>156</v>
      </c>
      <c r="F36" s="29" t="s">
        <v>155</v>
      </c>
      <c r="G36" s="144"/>
      <c r="H36" s="29"/>
      <c r="I36" s="29">
        <v>1</v>
      </c>
      <c r="J36" s="29"/>
      <c r="K36" s="29"/>
      <c r="L36" s="38">
        <v>1</v>
      </c>
      <c r="M36" s="29"/>
      <c r="N36" s="29"/>
      <c r="O36" s="29"/>
      <c r="P36" s="29"/>
      <c r="Q36" s="29"/>
      <c r="R36" s="29">
        <v>72</v>
      </c>
      <c r="S36" s="29"/>
      <c r="T36" s="29"/>
      <c r="U36" s="29"/>
      <c r="V36" s="29"/>
      <c r="W36" s="29"/>
      <c r="X36" s="29"/>
      <c r="Y36" s="29" t="s">
        <v>283</v>
      </c>
      <c r="Z36" s="29" t="s">
        <v>283</v>
      </c>
      <c r="AA36" s="29">
        <v>1</v>
      </c>
      <c r="AB36" s="29">
        <v>1</v>
      </c>
      <c r="AC36" s="29"/>
      <c r="AD36" s="29" t="s">
        <v>282</v>
      </c>
      <c r="AE36" s="29">
        <v>1</v>
      </c>
      <c r="AF36" s="29"/>
      <c r="AG36" s="29"/>
    </row>
    <row r="37" spans="1:52" x14ac:dyDescent="0.2">
      <c r="A37" s="29" t="s">
        <v>629</v>
      </c>
      <c r="B37" s="29"/>
      <c r="C37" s="35">
        <v>17</v>
      </c>
      <c r="D37" s="29" t="s">
        <v>9</v>
      </c>
      <c r="E37" s="29" t="s">
        <v>156</v>
      </c>
      <c r="F37" s="29" t="s">
        <v>159</v>
      </c>
      <c r="G37" s="144"/>
      <c r="H37" s="29"/>
      <c r="I37" s="29">
        <v>1</v>
      </c>
      <c r="J37" s="29"/>
      <c r="K37" s="29"/>
      <c r="L37" s="38"/>
      <c r="M37" s="29"/>
      <c r="N37" s="29"/>
      <c r="O37" s="29">
        <v>1</v>
      </c>
      <c r="P37" s="29"/>
      <c r="Q37" s="29"/>
      <c r="R37" s="29">
        <v>31</v>
      </c>
      <c r="S37" s="29"/>
      <c r="T37" s="29"/>
      <c r="U37" s="29"/>
      <c r="V37" s="29"/>
      <c r="W37" s="29"/>
      <c r="X37" s="29"/>
      <c r="Y37" s="29" t="s">
        <v>283</v>
      </c>
      <c r="Z37" s="29" t="s">
        <v>283</v>
      </c>
      <c r="AA37" s="29">
        <v>1</v>
      </c>
      <c r="AB37" s="29"/>
      <c r="AC37" s="29">
        <v>1</v>
      </c>
      <c r="AD37" s="29"/>
      <c r="AE37" s="29"/>
      <c r="AF37" s="29" t="s">
        <v>284</v>
      </c>
      <c r="AG37" s="29"/>
    </row>
    <row r="38" spans="1:52" x14ac:dyDescent="0.2">
      <c r="A38" s="29" t="s">
        <v>629</v>
      </c>
      <c r="B38" s="29"/>
      <c r="C38" s="35">
        <v>17</v>
      </c>
      <c r="D38" s="29" t="s">
        <v>9</v>
      </c>
      <c r="E38" s="29" t="s">
        <v>163</v>
      </c>
      <c r="F38" s="29" t="s">
        <v>162</v>
      </c>
      <c r="G38" s="144"/>
      <c r="H38" s="36">
        <v>1</v>
      </c>
      <c r="I38" s="29"/>
      <c r="J38" s="29"/>
      <c r="K38" s="29"/>
      <c r="L38" s="38"/>
      <c r="M38" s="29"/>
      <c r="N38" s="29"/>
      <c r="O38" s="29"/>
      <c r="P38" s="29">
        <v>1</v>
      </c>
      <c r="Q38" s="29"/>
      <c r="R38" s="29">
        <v>59</v>
      </c>
      <c r="S38" s="29"/>
      <c r="T38" s="29"/>
      <c r="U38" s="29"/>
      <c r="V38" s="29"/>
      <c r="W38" s="29"/>
      <c r="X38" s="29"/>
      <c r="Y38" s="29" t="s">
        <v>286</v>
      </c>
      <c r="Z38" s="29" t="s">
        <v>287</v>
      </c>
      <c r="AA38" s="29">
        <v>1</v>
      </c>
      <c r="AB38" s="29"/>
      <c r="AC38" s="29">
        <v>1</v>
      </c>
      <c r="AD38" s="29" t="s">
        <v>285</v>
      </c>
      <c r="AE38" s="29">
        <v>1</v>
      </c>
      <c r="AF38" s="29" t="s">
        <v>288</v>
      </c>
      <c r="AG38" s="29" t="s">
        <v>264</v>
      </c>
    </row>
    <row r="39" spans="1:52" x14ac:dyDescent="0.2">
      <c r="A39" s="29" t="s">
        <v>629</v>
      </c>
      <c r="B39" s="29"/>
      <c r="C39" s="35">
        <v>17</v>
      </c>
      <c r="D39" s="29" t="s">
        <v>9</v>
      </c>
      <c r="E39" s="29" t="s">
        <v>163</v>
      </c>
      <c r="F39" s="29" t="s">
        <v>166</v>
      </c>
      <c r="G39" s="144"/>
      <c r="H39" s="36">
        <v>1</v>
      </c>
      <c r="I39" s="29"/>
      <c r="J39" s="29"/>
      <c r="K39" s="29"/>
      <c r="L39" s="38"/>
      <c r="M39" s="29"/>
      <c r="N39" s="29"/>
      <c r="O39" s="29"/>
      <c r="P39" s="29">
        <v>1</v>
      </c>
      <c r="Q39" s="29"/>
      <c r="R39" s="29">
        <v>46</v>
      </c>
      <c r="S39" s="29"/>
      <c r="T39" s="29"/>
      <c r="U39" s="29"/>
      <c r="V39" s="29"/>
      <c r="W39" s="29"/>
      <c r="X39" s="29"/>
      <c r="Y39" s="29" t="s">
        <v>290</v>
      </c>
      <c r="Z39" s="29"/>
      <c r="AA39" s="29"/>
      <c r="AB39" s="29"/>
      <c r="AC39" s="29"/>
      <c r="AD39" s="29" t="s">
        <v>289</v>
      </c>
      <c r="AE39" s="29">
        <v>1</v>
      </c>
      <c r="AF39" s="29"/>
      <c r="AG39" s="29" t="s">
        <v>264</v>
      </c>
    </row>
    <row r="40" spans="1:52" x14ac:dyDescent="0.2">
      <c r="A40" s="29" t="s">
        <v>629</v>
      </c>
      <c r="B40" s="29"/>
      <c r="C40" s="35">
        <v>17</v>
      </c>
      <c r="D40" s="29" t="s">
        <v>9</v>
      </c>
      <c r="E40" s="29" t="s">
        <v>163</v>
      </c>
      <c r="F40" s="29" t="s">
        <v>168</v>
      </c>
      <c r="G40" s="144"/>
      <c r="H40" s="36"/>
      <c r="I40" s="29"/>
      <c r="J40" s="29">
        <v>1</v>
      </c>
      <c r="K40" s="29"/>
      <c r="L40" s="38"/>
      <c r="M40" s="29"/>
      <c r="N40" s="29"/>
      <c r="O40" s="29"/>
      <c r="P40" s="29">
        <v>1</v>
      </c>
      <c r="Q40" s="29"/>
      <c r="R40" s="29">
        <v>10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s">
        <v>291</v>
      </c>
      <c r="AE40" s="29">
        <v>1</v>
      </c>
      <c r="AF40" s="29"/>
      <c r="AG40" s="29" t="s">
        <v>264</v>
      </c>
    </row>
    <row r="41" spans="1:52" x14ac:dyDescent="0.2">
      <c r="A41" s="29" t="s">
        <v>629</v>
      </c>
      <c r="B41" s="29"/>
      <c r="C41" s="35">
        <v>17</v>
      </c>
      <c r="D41" s="29" t="s">
        <v>9</v>
      </c>
      <c r="E41" s="29" t="s">
        <v>171</v>
      </c>
      <c r="F41" s="29" t="s">
        <v>170</v>
      </c>
      <c r="G41" s="144"/>
      <c r="H41" s="36">
        <v>1</v>
      </c>
      <c r="I41" s="29"/>
      <c r="J41" s="29"/>
      <c r="K41" s="29"/>
      <c r="L41" s="38"/>
      <c r="M41" s="29"/>
      <c r="N41" s="29"/>
      <c r="O41" s="29"/>
      <c r="P41" s="29"/>
      <c r="Q41" s="29">
        <v>1</v>
      </c>
      <c r="R41" s="29">
        <v>28</v>
      </c>
      <c r="S41" s="29"/>
      <c r="T41" s="29"/>
      <c r="U41" s="29"/>
      <c r="V41" s="29"/>
      <c r="W41" s="29"/>
      <c r="X41" s="29"/>
      <c r="Y41" s="29" t="s">
        <v>293</v>
      </c>
      <c r="Z41" s="29"/>
      <c r="AA41" s="29">
        <v>1</v>
      </c>
      <c r="AB41" s="29"/>
      <c r="AC41" s="29">
        <v>1</v>
      </c>
      <c r="AD41" s="29" t="s">
        <v>292</v>
      </c>
      <c r="AE41" s="29">
        <v>1</v>
      </c>
      <c r="AF41" s="29"/>
      <c r="AG41" s="29"/>
    </row>
    <row r="42" spans="1:52" x14ac:dyDescent="0.2">
      <c r="A42" s="29" t="s">
        <v>629</v>
      </c>
      <c r="B42" s="29"/>
      <c r="C42" s="35">
        <v>17</v>
      </c>
      <c r="D42" s="29" t="s">
        <v>9</v>
      </c>
      <c r="E42" s="29" t="s">
        <v>175</v>
      </c>
      <c r="F42" s="29" t="s">
        <v>174</v>
      </c>
      <c r="G42" s="144"/>
      <c r="H42" s="36">
        <v>1</v>
      </c>
      <c r="I42" s="29"/>
      <c r="J42" s="29"/>
      <c r="K42" s="29"/>
      <c r="L42" s="38"/>
      <c r="M42" s="29"/>
      <c r="N42" s="29"/>
      <c r="O42" s="29"/>
      <c r="P42" s="29"/>
      <c r="Q42" s="29">
        <v>1</v>
      </c>
      <c r="R42" s="29">
        <v>27</v>
      </c>
      <c r="S42" s="29"/>
      <c r="T42" s="29"/>
      <c r="U42" s="29"/>
      <c r="V42" s="29"/>
      <c r="W42" s="29"/>
      <c r="X42" s="29"/>
      <c r="Y42" s="29" t="s">
        <v>271</v>
      </c>
      <c r="Z42" s="29"/>
      <c r="AA42" s="29">
        <v>1</v>
      </c>
      <c r="AB42" s="29"/>
      <c r="AC42" s="29">
        <v>1</v>
      </c>
      <c r="AD42" s="29" t="s">
        <v>294</v>
      </c>
      <c r="AE42" s="29">
        <v>1</v>
      </c>
      <c r="AF42" s="29"/>
      <c r="AG42" s="29"/>
    </row>
    <row r="43" spans="1:52" x14ac:dyDescent="0.2">
      <c r="A43" s="29" t="s">
        <v>629</v>
      </c>
      <c r="B43" s="29"/>
      <c r="C43" s="35">
        <v>17</v>
      </c>
      <c r="D43" s="29" t="s">
        <v>9</v>
      </c>
      <c r="E43" s="29" t="s">
        <v>177</v>
      </c>
      <c r="F43" s="29" t="s">
        <v>90</v>
      </c>
      <c r="G43" s="144"/>
      <c r="H43" s="36">
        <v>1</v>
      </c>
      <c r="I43" s="29"/>
      <c r="J43" s="29"/>
      <c r="K43" s="29"/>
      <c r="L43" s="38"/>
      <c r="M43" s="29"/>
      <c r="N43" s="29"/>
      <c r="O43" s="29"/>
      <c r="P43" s="29"/>
      <c r="Q43" s="29">
        <v>1</v>
      </c>
      <c r="R43" s="29">
        <v>21</v>
      </c>
      <c r="S43" s="29"/>
      <c r="T43" s="29"/>
      <c r="U43" s="29"/>
      <c r="V43" s="29"/>
      <c r="W43" s="29"/>
      <c r="X43" s="29"/>
      <c r="Y43" s="29" t="s">
        <v>93</v>
      </c>
      <c r="Z43" s="29"/>
      <c r="AA43" s="29">
        <v>1</v>
      </c>
      <c r="AB43" s="29"/>
      <c r="AC43" s="29">
        <v>1</v>
      </c>
      <c r="AD43" s="29"/>
      <c r="AE43" s="29"/>
      <c r="AF43" s="29"/>
      <c r="AG43" s="29"/>
    </row>
    <row r="44" spans="1:52" x14ac:dyDescent="0.2">
      <c r="A44" s="29" t="s">
        <v>630</v>
      </c>
      <c r="B44" s="29"/>
      <c r="C44" s="29">
        <v>10</v>
      </c>
      <c r="D44" s="29" t="s">
        <v>9</v>
      </c>
      <c r="E44" s="29" t="s">
        <v>178</v>
      </c>
      <c r="F44" s="29" t="s">
        <v>138</v>
      </c>
      <c r="G44" s="144"/>
      <c r="H44" s="36">
        <v>1</v>
      </c>
      <c r="I44" s="29"/>
      <c r="J44" s="29"/>
      <c r="K44" s="29"/>
      <c r="L44" s="38">
        <v>1</v>
      </c>
      <c r="M44" s="29"/>
      <c r="N44" s="29"/>
      <c r="O44" s="29"/>
      <c r="P44" s="29"/>
      <c r="Q44" s="29"/>
      <c r="R44" s="29">
        <v>53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52" x14ac:dyDescent="0.2">
      <c r="A45" s="29" t="s">
        <v>630</v>
      </c>
      <c r="B45" s="29"/>
      <c r="C45" s="29">
        <v>10</v>
      </c>
      <c r="D45" s="29" t="s">
        <v>9</v>
      </c>
      <c r="E45" s="29" t="s">
        <v>178</v>
      </c>
      <c r="F45" s="29" t="s">
        <v>48</v>
      </c>
      <c r="G45" s="144"/>
      <c r="H45" s="36">
        <v>1</v>
      </c>
      <c r="I45" s="29"/>
      <c r="J45" s="29"/>
      <c r="K45" s="29"/>
      <c r="L45" s="38"/>
      <c r="M45" s="29"/>
      <c r="N45" s="29"/>
      <c r="O45" s="29"/>
      <c r="P45" s="29">
        <v>1</v>
      </c>
      <c r="Q45" s="29"/>
      <c r="R45" s="29">
        <v>42</v>
      </c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 t="s">
        <v>277</v>
      </c>
    </row>
    <row r="46" spans="1:52" x14ac:dyDescent="0.2">
      <c r="A46" s="29" t="s">
        <v>631</v>
      </c>
      <c r="B46" s="29"/>
      <c r="C46" s="43">
        <v>14</v>
      </c>
      <c r="D46" s="29" t="s">
        <v>9</v>
      </c>
      <c r="E46" s="29" t="s">
        <v>180</v>
      </c>
      <c r="F46" s="29" t="s">
        <v>179</v>
      </c>
      <c r="G46" s="144"/>
      <c r="H46" s="36">
        <v>1</v>
      </c>
      <c r="I46" s="29"/>
      <c r="J46" s="29"/>
      <c r="K46" s="29"/>
      <c r="L46" s="38">
        <v>1</v>
      </c>
      <c r="M46" s="29"/>
      <c r="N46" s="29"/>
      <c r="O46" s="29"/>
      <c r="P46" s="29"/>
      <c r="Q46" s="29"/>
      <c r="R46" s="29">
        <v>47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52" x14ac:dyDescent="0.2">
      <c r="A47" s="29" t="s">
        <v>631</v>
      </c>
      <c r="B47" s="29"/>
      <c r="C47" s="29">
        <v>14</v>
      </c>
      <c r="D47" s="29" t="s">
        <v>9</v>
      </c>
      <c r="E47" s="29" t="s">
        <v>180</v>
      </c>
      <c r="F47" s="29" t="s">
        <v>181</v>
      </c>
      <c r="G47" s="144"/>
      <c r="H47" s="29"/>
      <c r="I47" s="29">
        <v>1</v>
      </c>
      <c r="J47" s="29"/>
      <c r="K47" s="29"/>
      <c r="L47" s="38"/>
      <c r="M47" s="29"/>
      <c r="N47" s="29"/>
      <c r="O47" s="29">
        <v>1</v>
      </c>
      <c r="P47" s="29"/>
      <c r="Q47" s="29"/>
      <c r="R47" s="29">
        <v>29</v>
      </c>
      <c r="S47" s="29"/>
      <c r="T47" s="29"/>
      <c r="U47" s="29"/>
      <c r="V47" s="29"/>
      <c r="W47" s="29"/>
      <c r="X47" s="29"/>
      <c r="Y47" s="29" t="s">
        <v>295</v>
      </c>
      <c r="Z47" s="29" t="s">
        <v>296</v>
      </c>
      <c r="AA47" s="29">
        <v>1</v>
      </c>
      <c r="AB47" s="29"/>
      <c r="AC47" s="29">
        <v>1</v>
      </c>
      <c r="AD47" s="29"/>
      <c r="AE47" s="29"/>
      <c r="AF47" s="29" t="s">
        <v>297</v>
      </c>
      <c r="AG47" s="29"/>
    </row>
    <row r="48" spans="1:52" x14ac:dyDescent="0.2">
      <c r="A48" s="29" t="s">
        <v>631</v>
      </c>
      <c r="B48" s="29"/>
      <c r="C48" s="29">
        <v>14</v>
      </c>
      <c r="D48" s="29" t="s">
        <v>9</v>
      </c>
      <c r="E48" s="29" t="s">
        <v>185</v>
      </c>
      <c r="F48" s="29" t="s">
        <v>184</v>
      </c>
      <c r="G48" s="144"/>
      <c r="H48" s="36">
        <v>1</v>
      </c>
      <c r="I48" s="29"/>
      <c r="J48" s="29"/>
      <c r="K48" s="29"/>
      <c r="L48" s="38"/>
      <c r="M48" s="29"/>
      <c r="N48" s="29"/>
      <c r="O48" s="29"/>
      <c r="P48" s="29"/>
      <c r="Q48" s="29">
        <v>1</v>
      </c>
      <c r="R48" s="29">
        <v>56</v>
      </c>
      <c r="S48" s="29"/>
      <c r="T48" s="29"/>
      <c r="U48" s="29"/>
      <c r="V48" s="29"/>
      <c r="W48" s="29"/>
      <c r="X48" s="29"/>
      <c r="Y48" s="29" t="s">
        <v>298</v>
      </c>
      <c r="Z48" s="29"/>
      <c r="AA48" s="29">
        <v>1</v>
      </c>
      <c r="AB48" s="29"/>
      <c r="AC48" s="29">
        <v>1</v>
      </c>
      <c r="AD48" s="29" t="s">
        <v>299</v>
      </c>
      <c r="AE48" s="29">
        <v>1</v>
      </c>
      <c r="AF48" s="29"/>
      <c r="AG48" s="29"/>
    </row>
    <row r="49" spans="1:33" x14ac:dyDescent="0.2">
      <c r="A49" s="29" t="s">
        <v>632</v>
      </c>
      <c r="B49" s="29"/>
      <c r="C49" s="29">
        <v>19</v>
      </c>
      <c r="D49" s="29" t="s">
        <v>9</v>
      </c>
      <c r="E49" s="29" t="s">
        <v>107</v>
      </c>
      <c r="F49" s="29" t="s">
        <v>187</v>
      </c>
      <c r="G49" s="144"/>
      <c r="H49" s="29"/>
      <c r="I49" s="29">
        <v>1</v>
      </c>
      <c r="J49" s="29"/>
      <c r="K49" s="29"/>
      <c r="L49" s="38">
        <v>1</v>
      </c>
      <c r="M49" s="29"/>
      <c r="N49" s="29"/>
      <c r="O49" s="29"/>
      <c r="P49" s="29"/>
      <c r="Q49" s="29"/>
      <c r="R49" s="29">
        <v>36</v>
      </c>
      <c r="S49" s="29"/>
      <c r="T49" s="29"/>
      <c r="U49" s="29"/>
      <c r="V49" s="29"/>
      <c r="W49" s="29"/>
      <c r="X49" s="29"/>
      <c r="Y49" s="29" t="s">
        <v>300</v>
      </c>
      <c r="Z49" s="29"/>
      <c r="AA49" s="29">
        <v>1</v>
      </c>
      <c r="AB49" s="29">
        <v>1</v>
      </c>
      <c r="AC49" s="29"/>
      <c r="AD49" s="29"/>
      <c r="AE49" s="29"/>
      <c r="AF49" s="29"/>
      <c r="AG49" s="29"/>
    </row>
    <row r="50" spans="1:33" x14ac:dyDescent="0.2">
      <c r="A50" s="29" t="s">
        <v>632</v>
      </c>
      <c r="B50" s="29"/>
      <c r="C50" s="29">
        <v>19</v>
      </c>
      <c r="D50" s="29" t="s">
        <v>9</v>
      </c>
      <c r="E50" s="29" t="s">
        <v>107</v>
      </c>
      <c r="F50" s="29" t="s">
        <v>189</v>
      </c>
      <c r="G50" s="144"/>
      <c r="H50" s="36">
        <v>1</v>
      </c>
      <c r="I50" s="29"/>
      <c r="J50" s="29"/>
      <c r="K50" s="29"/>
      <c r="L50" s="38"/>
      <c r="M50" s="29">
        <v>1</v>
      </c>
      <c r="N50" s="29"/>
      <c r="O50" s="29"/>
      <c r="P50" s="29"/>
      <c r="Q50" s="29"/>
      <c r="R50" s="29">
        <v>30</v>
      </c>
      <c r="S50" s="29"/>
      <c r="T50" s="29"/>
      <c r="U50" s="29"/>
      <c r="V50" s="29"/>
      <c r="W50" s="29"/>
      <c r="X50" s="29"/>
      <c r="Y50" s="29" t="s">
        <v>290</v>
      </c>
      <c r="Z50" s="29"/>
      <c r="AA50" s="29"/>
      <c r="AB50" s="29"/>
      <c r="AC50" s="29"/>
      <c r="AD50" s="29"/>
      <c r="AE50" s="29"/>
      <c r="AF50" s="29"/>
      <c r="AG50" s="29"/>
    </row>
    <row r="51" spans="1:33" x14ac:dyDescent="0.2">
      <c r="A51" s="29" t="s">
        <v>632</v>
      </c>
      <c r="B51" s="29"/>
      <c r="C51" s="29">
        <v>19</v>
      </c>
      <c r="D51" s="29" t="s">
        <v>9</v>
      </c>
      <c r="E51" s="29" t="s">
        <v>107</v>
      </c>
      <c r="F51" s="29" t="s">
        <v>190</v>
      </c>
      <c r="G51" s="144"/>
      <c r="H51" s="29"/>
      <c r="I51" s="29">
        <v>1</v>
      </c>
      <c r="J51" s="29"/>
      <c r="K51" s="29"/>
      <c r="L51" s="38"/>
      <c r="M51" s="29"/>
      <c r="N51" s="29"/>
      <c r="O51" s="29">
        <v>1</v>
      </c>
      <c r="P51" s="29"/>
      <c r="Q51" s="29"/>
      <c r="R51" s="29">
        <v>6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33" x14ac:dyDescent="0.2">
      <c r="A52" s="29" t="s">
        <v>632</v>
      </c>
      <c r="B52" s="29"/>
      <c r="C52" s="29">
        <v>19</v>
      </c>
      <c r="D52" s="29" t="s">
        <v>9</v>
      </c>
      <c r="E52" s="29" t="s">
        <v>107</v>
      </c>
      <c r="F52" s="29" t="s">
        <v>191</v>
      </c>
      <c r="G52" s="144"/>
      <c r="H52" s="29">
        <v>1</v>
      </c>
      <c r="I52" s="29"/>
      <c r="J52" s="29"/>
      <c r="K52" s="29"/>
      <c r="L52" s="38"/>
      <c r="M52" s="29"/>
      <c r="N52" s="29">
        <v>1</v>
      </c>
      <c r="O52" s="29"/>
      <c r="P52" s="29"/>
      <c r="Q52" s="29"/>
      <c r="R52" s="29">
        <v>4</v>
      </c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 x14ac:dyDescent="0.2">
      <c r="A53" s="29" t="s">
        <v>632</v>
      </c>
      <c r="B53" s="29"/>
      <c r="C53" s="29">
        <v>19</v>
      </c>
      <c r="D53" s="29" t="s">
        <v>9</v>
      </c>
      <c r="E53" s="29" t="s">
        <v>107</v>
      </c>
      <c r="F53" s="29" t="s">
        <v>192</v>
      </c>
      <c r="G53" s="144"/>
      <c r="H53" s="29">
        <v>1</v>
      </c>
      <c r="I53" s="29"/>
      <c r="J53" s="29"/>
      <c r="K53" s="29"/>
      <c r="L53" s="38"/>
      <c r="M53" s="29"/>
      <c r="N53" s="29">
        <v>1</v>
      </c>
      <c r="O53" s="29"/>
      <c r="P53" s="29"/>
      <c r="Q53" s="29"/>
      <c r="R53" s="29">
        <v>1</v>
      </c>
      <c r="S53" s="29"/>
      <c r="T53" s="29"/>
      <c r="U53" s="29"/>
      <c r="V53" s="29"/>
      <c r="W53" s="29"/>
      <c r="X53" s="29"/>
      <c r="Y53" s="29"/>
      <c r="Z53" s="29"/>
      <c r="AA53" s="29">
        <v>1</v>
      </c>
      <c r="AB53" s="29"/>
      <c r="AC53" s="29">
        <v>1</v>
      </c>
      <c r="AD53" s="29"/>
      <c r="AE53" s="29"/>
      <c r="AF53" s="29"/>
      <c r="AG53" s="29"/>
    </row>
    <row r="54" spans="1:33" x14ac:dyDescent="0.2">
      <c r="A54" s="29" t="s">
        <v>632</v>
      </c>
      <c r="B54" s="29"/>
      <c r="C54" s="29">
        <v>19</v>
      </c>
      <c r="D54" s="29" t="s">
        <v>9</v>
      </c>
      <c r="E54" s="29" t="s">
        <v>194</v>
      </c>
      <c r="F54" s="29" t="s">
        <v>193</v>
      </c>
      <c r="G54" s="144"/>
      <c r="H54" s="29">
        <v>1</v>
      </c>
      <c r="I54" s="29"/>
      <c r="J54" s="29"/>
      <c r="K54" s="29"/>
      <c r="L54" s="38"/>
      <c r="M54" s="29"/>
      <c r="N54" s="29"/>
      <c r="O54" s="29"/>
      <c r="P54" s="29"/>
      <c r="Q54" s="29">
        <v>1</v>
      </c>
      <c r="R54" s="29">
        <v>29</v>
      </c>
      <c r="S54" s="29"/>
      <c r="T54" s="29"/>
      <c r="U54" s="29"/>
      <c r="V54" s="29"/>
      <c r="W54" s="29"/>
      <c r="X54" s="29"/>
      <c r="Y54" s="29" t="s">
        <v>301</v>
      </c>
      <c r="Z54" s="29"/>
      <c r="AA54" s="29"/>
      <c r="AB54" s="29"/>
      <c r="AC54" s="29"/>
      <c r="AD54" s="29"/>
      <c r="AE54" s="29"/>
      <c r="AF54" s="29"/>
      <c r="AG54" s="29"/>
    </row>
    <row r="55" spans="1:33" x14ac:dyDescent="0.2">
      <c r="A55" s="29" t="s">
        <v>632</v>
      </c>
      <c r="B55" s="29"/>
      <c r="C55" s="29">
        <v>19</v>
      </c>
      <c r="D55" s="29" t="s">
        <v>9</v>
      </c>
      <c r="E55" s="29" t="s">
        <v>197</v>
      </c>
      <c r="F55" s="29" t="s">
        <v>63</v>
      </c>
      <c r="G55" s="144"/>
      <c r="H55" s="29">
        <v>1</v>
      </c>
      <c r="I55" s="29"/>
      <c r="J55" s="29"/>
      <c r="K55" s="29"/>
      <c r="L55" s="38"/>
      <c r="M55" s="29"/>
      <c r="N55" s="29"/>
      <c r="O55" s="29"/>
      <c r="P55" s="29"/>
      <c r="Q55" s="29">
        <v>1</v>
      </c>
      <c r="R55" s="29">
        <v>23</v>
      </c>
      <c r="S55" s="29"/>
      <c r="T55" s="29"/>
      <c r="U55" s="29"/>
      <c r="V55" s="29"/>
      <c r="W55" s="29"/>
      <c r="X55" s="29"/>
      <c r="Y55" s="29" t="s">
        <v>302</v>
      </c>
      <c r="Z55" s="29"/>
      <c r="AA55" s="29">
        <v>1</v>
      </c>
      <c r="AB55" s="29"/>
      <c r="AC55" s="29">
        <v>1</v>
      </c>
      <c r="AD55" s="29"/>
      <c r="AE55" s="29"/>
      <c r="AF55" s="29"/>
      <c r="AG55" s="29"/>
    </row>
    <row r="56" spans="1:33" x14ac:dyDescent="0.2">
      <c r="A56" s="29" t="s">
        <v>633</v>
      </c>
      <c r="B56" s="29"/>
      <c r="C56" s="29">
        <v>12</v>
      </c>
      <c r="D56" s="29" t="s">
        <v>9</v>
      </c>
      <c r="E56" s="29" t="s">
        <v>200</v>
      </c>
      <c r="F56" s="29" t="s">
        <v>199</v>
      </c>
      <c r="G56" s="144"/>
      <c r="H56" s="29"/>
      <c r="I56" s="29">
        <v>1</v>
      </c>
      <c r="J56" s="29"/>
      <c r="K56" s="29"/>
      <c r="L56" s="38">
        <v>1</v>
      </c>
      <c r="M56" s="29"/>
      <c r="N56" s="29"/>
      <c r="O56" s="29"/>
      <c r="P56" s="29"/>
      <c r="Q56" s="29"/>
      <c r="R56" s="29">
        <v>36</v>
      </c>
      <c r="S56" s="29"/>
      <c r="T56" s="29"/>
      <c r="U56" s="29"/>
      <c r="V56" s="29"/>
      <c r="W56" s="29"/>
      <c r="X56" s="29"/>
      <c r="Y56" s="29" t="s">
        <v>295</v>
      </c>
      <c r="Z56" s="29"/>
      <c r="AA56" s="29">
        <v>1</v>
      </c>
      <c r="AB56" s="29"/>
      <c r="AC56" s="29">
        <v>1</v>
      </c>
      <c r="AD56" s="29"/>
      <c r="AE56" s="29"/>
      <c r="AF56" s="29" t="s">
        <v>303</v>
      </c>
      <c r="AG56" s="29"/>
    </row>
    <row r="57" spans="1:33" x14ac:dyDescent="0.2">
      <c r="A57" s="29" t="s">
        <v>633</v>
      </c>
      <c r="B57" s="29"/>
      <c r="C57" s="29">
        <v>12</v>
      </c>
      <c r="D57" s="29" t="s">
        <v>9</v>
      </c>
      <c r="E57" s="29" t="s">
        <v>200</v>
      </c>
      <c r="F57" s="29" t="s">
        <v>130</v>
      </c>
      <c r="G57" s="144"/>
      <c r="H57" s="29">
        <v>1</v>
      </c>
      <c r="I57" s="29"/>
      <c r="J57" s="29"/>
      <c r="K57" s="29"/>
      <c r="L57" s="38"/>
      <c r="M57" s="29">
        <v>1</v>
      </c>
      <c r="N57" s="29"/>
      <c r="O57" s="29"/>
      <c r="P57" s="29"/>
      <c r="Q57" s="29"/>
      <c r="R57" s="29">
        <v>27</v>
      </c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spans="1:33" x14ac:dyDescent="0.2">
      <c r="A58" s="29" t="s">
        <v>633</v>
      </c>
      <c r="B58" s="29"/>
      <c r="C58" s="29">
        <v>12</v>
      </c>
      <c r="D58" s="29" t="s">
        <v>9</v>
      </c>
      <c r="E58" s="29" t="s">
        <v>200</v>
      </c>
      <c r="F58" s="29" t="s">
        <v>203</v>
      </c>
      <c r="G58" s="144"/>
      <c r="H58" s="29">
        <v>1</v>
      </c>
      <c r="I58" s="29"/>
      <c r="J58" s="29"/>
      <c r="K58" s="29"/>
      <c r="L58" s="38"/>
      <c r="M58" s="29"/>
      <c r="N58" s="29">
        <v>1</v>
      </c>
      <c r="O58" s="29"/>
      <c r="P58" s="29"/>
      <c r="Q58" s="29"/>
      <c r="R58" s="29">
        <v>1</v>
      </c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 x14ac:dyDescent="0.2">
      <c r="A59" s="29" t="s">
        <v>633</v>
      </c>
      <c r="B59" s="29"/>
      <c r="C59" s="29">
        <v>12</v>
      </c>
      <c r="D59" s="29" t="s">
        <v>9</v>
      </c>
      <c r="E59" s="29" t="s">
        <v>204</v>
      </c>
      <c r="F59" s="29" t="s">
        <v>48</v>
      </c>
      <c r="G59" s="144"/>
      <c r="H59" s="29">
        <v>1</v>
      </c>
      <c r="I59" s="29"/>
      <c r="J59" s="29"/>
      <c r="K59" s="29"/>
      <c r="L59" s="38"/>
      <c r="M59" s="29"/>
      <c r="N59" s="29"/>
      <c r="O59" s="29"/>
      <c r="P59" s="29"/>
      <c r="Q59" s="29">
        <v>1</v>
      </c>
      <c r="R59" s="29">
        <v>32</v>
      </c>
      <c r="S59" s="29"/>
      <c r="T59" s="29"/>
      <c r="U59" s="29"/>
      <c r="V59" s="29"/>
      <c r="W59" s="29"/>
      <c r="X59" s="29"/>
      <c r="Y59" s="29" t="s">
        <v>271</v>
      </c>
      <c r="Z59" s="29"/>
      <c r="AA59" s="29">
        <v>1</v>
      </c>
      <c r="AB59" s="29"/>
      <c r="AC59" s="29">
        <v>1</v>
      </c>
      <c r="AD59" s="29" t="s">
        <v>304</v>
      </c>
      <c r="AE59" s="29">
        <v>1</v>
      </c>
      <c r="AF59" s="29"/>
      <c r="AG59" s="29"/>
    </row>
    <row r="60" spans="1:33" x14ac:dyDescent="0.2">
      <c r="A60" s="29" t="s">
        <v>633</v>
      </c>
      <c r="B60" s="29"/>
      <c r="C60" s="29">
        <v>12</v>
      </c>
      <c r="D60" s="29" t="s">
        <v>9</v>
      </c>
      <c r="E60" s="29" t="s">
        <v>207</v>
      </c>
      <c r="F60" s="29" t="s">
        <v>206</v>
      </c>
      <c r="G60" s="144"/>
      <c r="H60" s="29">
        <v>1</v>
      </c>
      <c r="I60" s="29"/>
      <c r="J60" s="29"/>
      <c r="K60" s="29"/>
      <c r="L60" s="38"/>
      <c r="M60" s="29"/>
      <c r="N60" s="29"/>
      <c r="O60" s="29"/>
      <c r="P60" s="29"/>
      <c r="Q60" s="29">
        <v>1</v>
      </c>
      <c r="R60" s="29">
        <v>33</v>
      </c>
      <c r="S60" s="29"/>
      <c r="T60" s="29"/>
      <c r="U60" s="29"/>
      <c r="V60" s="29"/>
      <c r="W60" s="29"/>
      <c r="X60" s="29"/>
      <c r="Y60" s="29" t="s">
        <v>305</v>
      </c>
      <c r="Z60" s="29"/>
      <c r="AA60" s="29">
        <v>1</v>
      </c>
      <c r="AB60" s="29"/>
      <c r="AC60" s="29">
        <v>1</v>
      </c>
      <c r="AD60" s="29"/>
      <c r="AE60" s="29"/>
      <c r="AF60" s="29" t="s">
        <v>306</v>
      </c>
      <c r="AG60" s="29"/>
    </row>
    <row r="61" spans="1:33" x14ac:dyDescent="0.2">
      <c r="A61" s="29" t="s">
        <v>633</v>
      </c>
      <c r="B61" s="29"/>
      <c r="C61" s="29">
        <v>12</v>
      </c>
      <c r="D61" s="29" t="s">
        <v>9</v>
      </c>
      <c r="E61" s="29" t="s">
        <v>211</v>
      </c>
      <c r="F61" s="29" t="s">
        <v>46</v>
      </c>
      <c r="G61" s="144"/>
      <c r="H61" s="29">
        <v>1</v>
      </c>
      <c r="I61" s="29"/>
      <c r="J61" s="29"/>
      <c r="K61" s="29"/>
      <c r="L61" s="38"/>
      <c r="M61" s="29"/>
      <c r="N61" s="29"/>
      <c r="O61" s="29"/>
      <c r="P61" s="29"/>
      <c r="Q61" s="29">
        <v>1</v>
      </c>
      <c r="R61" s="29">
        <v>38</v>
      </c>
      <c r="S61" s="29"/>
      <c r="T61" s="29"/>
      <c r="U61" s="29"/>
      <c r="V61" s="29"/>
      <c r="W61" s="29"/>
      <c r="X61" s="29"/>
      <c r="Y61" s="29" t="s">
        <v>307</v>
      </c>
      <c r="Z61" s="29"/>
      <c r="AA61" s="29">
        <v>1</v>
      </c>
      <c r="AB61" s="29"/>
      <c r="AC61" s="29">
        <v>1</v>
      </c>
      <c r="AD61" s="29" t="s">
        <v>308</v>
      </c>
      <c r="AE61" s="29">
        <v>1</v>
      </c>
      <c r="AF61" s="29"/>
      <c r="AG61" s="29"/>
    </row>
    <row r="62" spans="1:33" s="2" customFormat="1" x14ac:dyDescent="0.2">
      <c r="A62" s="44"/>
      <c r="B62" s="44"/>
      <c r="C62" s="44">
        <v>11</v>
      </c>
      <c r="D62" s="29" t="s">
        <v>9</v>
      </c>
      <c r="E62" s="44"/>
      <c r="F62" s="44">
        <v>59</v>
      </c>
      <c r="G62" s="145"/>
      <c r="H62" s="44">
        <f>SUM(H3:H61)</f>
        <v>44</v>
      </c>
      <c r="I62" s="44">
        <f t="shared" ref="I62:Q62" si="0">SUM(I3:I61)</f>
        <v>11</v>
      </c>
      <c r="J62" s="44">
        <f t="shared" si="0"/>
        <v>4</v>
      </c>
      <c r="K62" s="44">
        <f t="shared" si="0"/>
        <v>0</v>
      </c>
      <c r="L62" s="44">
        <f t="shared" si="0"/>
        <v>11</v>
      </c>
      <c r="M62" s="44">
        <f t="shared" si="0"/>
        <v>6</v>
      </c>
      <c r="N62" s="44">
        <f t="shared" si="0"/>
        <v>8</v>
      </c>
      <c r="O62" s="44">
        <f t="shared" si="0"/>
        <v>3</v>
      </c>
      <c r="P62" s="44">
        <f t="shared" si="0"/>
        <v>8</v>
      </c>
      <c r="Q62" s="44">
        <f t="shared" si="0"/>
        <v>23</v>
      </c>
      <c r="R62" s="45">
        <f>SUM(R1:R61)</f>
        <v>1968</v>
      </c>
      <c r="S62" s="44"/>
      <c r="T62" s="44"/>
      <c r="U62" s="44"/>
      <c r="V62" s="44"/>
      <c r="W62" s="44"/>
      <c r="X62" s="44"/>
      <c r="Y62" s="44"/>
      <c r="Z62" s="44"/>
      <c r="AA62" s="73">
        <f>SUM(AA1:AA61)</f>
        <v>34</v>
      </c>
      <c r="AB62" s="73">
        <f>SUM(AB1:AB61)</f>
        <v>6</v>
      </c>
      <c r="AC62" s="73">
        <f>SUM(AC1:AC61)</f>
        <v>28</v>
      </c>
      <c r="AD62" s="73" t="s">
        <v>634</v>
      </c>
      <c r="AE62" s="73">
        <f>SUM(AE1:AE61)</f>
        <v>23</v>
      </c>
      <c r="AF62" s="44"/>
    </row>
    <row r="63" spans="1:33" x14ac:dyDescent="0.2">
      <c r="A63" s="9"/>
      <c r="D63" s="9"/>
      <c r="H63">
        <f>H62+I62+J62+K62</f>
        <v>59</v>
      </c>
      <c r="L63" s="1">
        <f>L62+M62+N62+O62+P62+Q62</f>
        <v>59</v>
      </c>
      <c r="AB63">
        <f>AB62+AC62</f>
        <v>34</v>
      </c>
      <c r="AD63" t="s">
        <v>255</v>
      </c>
    </row>
    <row r="64" spans="1:33" x14ac:dyDescent="0.2">
      <c r="A64" s="7"/>
      <c r="D64" s="7"/>
      <c r="L64" s="1"/>
      <c r="AD64">
        <f>H63-AE63</f>
        <v>59</v>
      </c>
    </row>
    <row r="65" spans="1:12" x14ac:dyDescent="0.2">
      <c r="A65" s="7"/>
      <c r="D65" s="7"/>
      <c r="L65" s="1"/>
    </row>
    <row r="66" spans="1:12" x14ac:dyDescent="0.2">
      <c r="A66" s="7"/>
      <c r="D66" s="7"/>
      <c r="L66" s="1"/>
    </row>
    <row r="67" spans="1:12" x14ac:dyDescent="0.2">
      <c r="A67" s="7"/>
      <c r="D67" s="7"/>
      <c r="L67" s="1"/>
    </row>
    <row r="68" spans="1:12" x14ac:dyDescent="0.2">
      <c r="A68" s="7"/>
      <c r="D68" s="7"/>
      <c r="L68" s="1"/>
    </row>
    <row r="69" spans="1:12" x14ac:dyDescent="0.2">
      <c r="A69" s="7"/>
      <c r="D69" s="7"/>
      <c r="L69" s="1"/>
    </row>
    <row r="70" spans="1:12" x14ac:dyDescent="0.2">
      <c r="A70" s="7"/>
      <c r="D70" s="7"/>
      <c r="L70" s="1"/>
    </row>
    <row r="71" spans="1:12" x14ac:dyDescent="0.2">
      <c r="A71" s="7"/>
      <c r="D71" s="7"/>
      <c r="L71" s="1"/>
    </row>
    <row r="72" spans="1:12" x14ac:dyDescent="0.2">
      <c r="A72" s="7"/>
      <c r="D72" s="7"/>
      <c r="L72" s="1"/>
    </row>
    <row r="73" spans="1:12" x14ac:dyDescent="0.2">
      <c r="A73" s="7"/>
      <c r="D73" s="7"/>
      <c r="L73" s="1"/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7ECB-2376-D441-B318-007DE0AE20DB}">
  <dimension ref="A1:BC129"/>
  <sheetViews>
    <sheetView topLeftCell="AB1" zoomScale="116" zoomScaleNormal="116" workbookViewId="0">
      <pane ySplit="2" topLeftCell="A3" activePane="bottomLeft" state="frozen"/>
      <selection pane="bottomLeft" activeCell="AJ16" sqref="AJ16"/>
    </sheetView>
  </sheetViews>
  <sheetFormatPr baseColWidth="10" defaultRowHeight="16" x14ac:dyDescent="0.2"/>
  <cols>
    <col min="6" max="6" width="20.6640625" customWidth="1"/>
    <col min="7" max="7" width="20.1640625" customWidth="1"/>
    <col min="14" max="14" width="13.83203125" customWidth="1"/>
    <col min="20" max="20" width="12.6640625" bestFit="1" customWidth="1"/>
    <col min="27" max="27" width="13.83203125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34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x14ac:dyDescent="0.2">
      <c r="A3" t="s">
        <v>797</v>
      </c>
      <c r="C3">
        <v>1</v>
      </c>
      <c r="D3" t="s">
        <v>695</v>
      </c>
      <c r="E3" t="s">
        <v>3196</v>
      </c>
      <c r="F3" t="s">
        <v>3197</v>
      </c>
      <c r="G3" t="s">
        <v>3198</v>
      </c>
      <c r="H3" t="s">
        <v>696</v>
      </c>
      <c r="I3">
        <v>1</v>
      </c>
      <c r="K3">
        <v>1</v>
      </c>
      <c r="N3">
        <v>1</v>
      </c>
      <c r="T3">
        <v>40</v>
      </c>
      <c r="AA3" t="s">
        <v>15</v>
      </c>
      <c r="AC3">
        <v>1</v>
      </c>
      <c r="AD3">
        <v>1</v>
      </c>
      <c r="AF3">
        <v>1</v>
      </c>
      <c r="AG3" t="s">
        <v>49</v>
      </c>
      <c r="AI3">
        <v>1</v>
      </c>
    </row>
    <row r="4" spans="1:55" x14ac:dyDescent="0.2">
      <c r="A4" t="s">
        <v>551</v>
      </c>
      <c r="C4">
        <v>1</v>
      </c>
      <c r="D4" t="s">
        <v>695</v>
      </c>
      <c r="E4" t="s">
        <v>3196</v>
      </c>
      <c r="F4" t="s">
        <v>3197</v>
      </c>
      <c r="G4" t="s">
        <v>3198</v>
      </c>
      <c r="H4" t="s">
        <v>698</v>
      </c>
      <c r="I4">
        <v>2</v>
      </c>
      <c r="K4">
        <v>1</v>
      </c>
      <c r="N4">
        <v>1</v>
      </c>
      <c r="T4">
        <v>38</v>
      </c>
      <c r="AA4" t="s">
        <v>15</v>
      </c>
      <c r="AC4">
        <v>1</v>
      </c>
      <c r="AD4">
        <v>1</v>
      </c>
      <c r="AF4">
        <v>1</v>
      </c>
      <c r="AG4" t="s">
        <v>49</v>
      </c>
      <c r="AI4">
        <v>1</v>
      </c>
    </row>
    <row r="5" spans="1:55" x14ac:dyDescent="0.2">
      <c r="A5" t="s">
        <v>551</v>
      </c>
      <c r="C5">
        <v>1</v>
      </c>
      <c r="D5" t="s">
        <v>695</v>
      </c>
      <c r="E5" t="s">
        <v>3196</v>
      </c>
      <c r="F5" t="s">
        <v>3197</v>
      </c>
      <c r="G5" t="s">
        <v>3198</v>
      </c>
      <c r="H5" t="s">
        <v>699</v>
      </c>
      <c r="I5">
        <v>3</v>
      </c>
      <c r="J5">
        <v>1</v>
      </c>
      <c r="N5" t="s">
        <v>144</v>
      </c>
      <c r="R5">
        <v>1</v>
      </c>
      <c r="T5">
        <v>37</v>
      </c>
      <c r="AA5" t="s">
        <v>50</v>
      </c>
      <c r="AD5" t="s">
        <v>20</v>
      </c>
      <c r="AF5">
        <v>1</v>
      </c>
      <c r="AG5" t="s">
        <v>49</v>
      </c>
      <c r="AI5" t="s">
        <v>144</v>
      </c>
    </row>
    <row r="6" spans="1:55" x14ac:dyDescent="0.2">
      <c r="A6" t="s">
        <v>551</v>
      </c>
      <c r="C6">
        <v>1</v>
      </c>
      <c r="D6" t="s">
        <v>695</v>
      </c>
      <c r="E6" t="s">
        <v>3196</v>
      </c>
      <c r="F6" t="s">
        <v>3197</v>
      </c>
      <c r="G6" t="s">
        <v>701</v>
      </c>
      <c r="H6" t="s">
        <v>700</v>
      </c>
      <c r="I6">
        <v>4</v>
      </c>
      <c r="J6">
        <v>1</v>
      </c>
      <c r="N6" t="s">
        <v>26</v>
      </c>
      <c r="S6">
        <v>1</v>
      </c>
      <c r="T6">
        <v>53</v>
      </c>
      <c r="AA6" t="s">
        <v>33</v>
      </c>
      <c r="AC6">
        <v>1</v>
      </c>
      <c r="AD6" t="s">
        <v>29</v>
      </c>
      <c r="AF6">
        <v>1</v>
      </c>
      <c r="AG6" t="s">
        <v>49</v>
      </c>
      <c r="AI6" t="s">
        <v>26</v>
      </c>
    </row>
    <row r="7" spans="1:55" x14ac:dyDescent="0.2">
      <c r="A7" t="s">
        <v>551</v>
      </c>
      <c r="C7">
        <v>1</v>
      </c>
      <c r="D7" t="s">
        <v>695</v>
      </c>
      <c r="E7" t="s">
        <v>3196</v>
      </c>
      <c r="F7" t="s">
        <v>3197</v>
      </c>
      <c r="G7" t="s">
        <v>703</v>
      </c>
      <c r="H7" t="s">
        <v>702</v>
      </c>
      <c r="I7">
        <v>5</v>
      </c>
      <c r="J7">
        <v>1</v>
      </c>
      <c r="N7" t="s">
        <v>26</v>
      </c>
      <c r="S7">
        <v>1</v>
      </c>
      <c r="T7">
        <v>37</v>
      </c>
      <c r="AA7" t="s">
        <v>93</v>
      </c>
      <c r="AC7">
        <v>1</v>
      </c>
      <c r="AD7" t="s">
        <v>29</v>
      </c>
      <c r="AF7">
        <v>1</v>
      </c>
      <c r="AG7" t="s">
        <v>49</v>
      </c>
      <c r="AI7" t="s">
        <v>26</v>
      </c>
    </row>
    <row r="8" spans="1:55" x14ac:dyDescent="0.2">
      <c r="A8" t="s">
        <v>551</v>
      </c>
      <c r="C8">
        <v>1</v>
      </c>
      <c r="D8" t="s">
        <v>695</v>
      </c>
      <c r="E8" t="s">
        <v>3196</v>
      </c>
      <c r="F8" t="s">
        <v>3197</v>
      </c>
      <c r="G8" t="s">
        <v>33</v>
      </c>
      <c r="H8" t="s">
        <v>704</v>
      </c>
      <c r="I8">
        <v>6</v>
      </c>
      <c r="J8">
        <v>1</v>
      </c>
      <c r="N8" t="s">
        <v>26</v>
      </c>
      <c r="S8">
        <v>1</v>
      </c>
      <c r="T8">
        <v>34</v>
      </c>
      <c r="AA8" t="s">
        <v>28</v>
      </c>
      <c r="AC8">
        <v>1</v>
      </c>
      <c r="AD8" t="s">
        <v>29</v>
      </c>
      <c r="AG8" t="s">
        <v>705</v>
      </c>
      <c r="AI8" t="s">
        <v>26</v>
      </c>
    </row>
    <row r="9" spans="1:55" x14ac:dyDescent="0.2">
      <c r="A9" t="s">
        <v>551</v>
      </c>
      <c r="C9">
        <v>1</v>
      </c>
      <c r="D9" t="s">
        <v>695</v>
      </c>
      <c r="E9" t="s">
        <v>3196</v>
      </c>
      <c r="F9" t="s">
        <v>3197</v>
      </c>
      <c r="G9" t="s">
        <v>707</v>
      </c>
      <c r="H9" t="s">
        <v>706</v>
      </c>
      <c r="I9">
        <v>7</v>
      </c>
      <c r="J9">
        <v>1</v>
      </c>
      <c r="N9" t="s">
        <v>26</v>
      </c>
      <c r="S9">
        <v>1</v>
      </c>
      <c r="T9">
        <v>16</v>
      </c>
      <c r="AA9" t="s">
        <v>708</v>
      </c>
      <c r="AC9">
        <v>1</v>
      </c>
      <c r="AD9" t="s">
        <v>29</v>
      </c>
      <c r="AG9" t="s">
        <v>212</v>
      </c>
      <c r="AI9" t="s">
        <v>26</v>
      </c>
    </row>
    <row r="10" spans="1:55" x14ac:dyDescent="0.2">
      <c r="A10" t="s">
        <v>551</v>
      </c>
      <c r="C10">
        <v>1</v>
      </c>
      <c r="D10" t="s">
        <v>695</v>
      </c>
      <c r="E10" t="s">
        <v>3196</v>
      </c>
      <c r="F10" t="s">
        <v>3197</v>
      </c>
      <c r="G10" t="s">
        <v>709</v>
      </c>
      <c r="H10" t="s">
        <v>639</v>
      </c>
      <c r="I10">
        <v>8</v>
      </c>
      <c r="J10">
        <v>1</v>
      </c>
      <c r="N10" t="s">
        <v>26</v>
      </c>
      <c r="S10">
        <v>1</v>
      </c>
      <c r="T10">
        <v>15</v>
      </c>
      <c r="AA10" t="s">
        <v>28</v>
      </c>
      <c r="AC10">
        <v>1</v>
      </c>
      <c r="AD10" t="s">
        <v>29</v>
      </c>
      <c r="AG10" t="s">
        <v>356</v>
      </c>
      <c r="AI10" t="s">
        <v>26</v>
      </c>
    </row>
    <row r="12" spans="1:55" x14ac:dyDescent="0.2">
      <c r="A12" t="s">
        <v>798</v>
      </c>
      <c r="C12">
        <v>2</v>
      </c>
      <c r="D12" t="s">
        <v>695</v>
      </c>
      <c r="F12">
        <v>3</v>
      </c>
      <c r="G12" t="s">
        <v>194</v>
      </c>
      <c r="H12" t="s">
        <v>710</v>
      </c>
      <c r="I12">
        <v>9</v>
      </c>
      <c r="K12">
        <v>1</v>
      </c>
      <c r="N12">
        <v>1</v>
      </c>
      <c r="T12">
        <v>67</v>
      </c>
      <c r="AA12" t="s">
        <v>711</v>
      </c>
      <c r="AC12">
        <v>1</v>
      </c>
      <c r="AF12">
        <v>1</v>
      </c>
      <c r="AG12" t="s">
        <v>49</v>
      </c>
      <c r="AI12">
        <v>1</v>
      </c>
    </row>
    <row r="13" spans="1:55" x14ac:dyDescent="0.2">
      <c r="A13" t="s">
        <v>551</v>
      </c>
      <c r="C13">
        <v>2</v>
      </c>
      <c r="D13" t="s">
        <v>695</v>
      </c>
      <c r="F13">
        <v>3</v>
      </c>
      <c r="G13" t="s">
        <v>194</v>
      </c>
      <c r="H13" t="s">
        <v>713</v>
      </c>
      <c r="I13">
        <v>10</v>
      </c>
      <c r="J13">
        <v>1</v>
      </c>
      <c r="O13">
        <v>1</v>
      </c>
      <c r="T13">
        <v>69</v>
      </c>
      <c r="AA13" t="s">
        <v>50</v>
      </c>
      <c r="AF13">
        <v>1</v>
      </c>
      <c r="AG13" t="s">
        <v>49</v>
      </c>
    </row>
    <row r="15" spans="1:55" x14ac:dyDescent="0.2">
      <c r="A15" t="s">
        <v>799</v>
      </c>
      <c r="C15">
        <v>3</v>
      </c>
      <c r="D15" t="s">
        <v>695</v>
      </c>
      <c r="F15">
        <v>7</v>
      </c>
      <c r="G15" t="s">
        <v>476</v>
      </c>
      <c r="H15" t="s">
        <v>714</v>
      </c>
      <c r="I15">
        <v>11</v>
      </c>
      <c r="K15">
        <v>1</v>
      </c>
      <c r="N15">
        <v>1</v>
      </c>
      <c r="T15">
        <v>65</v>
      </c>
      <c r="AA15" t="s">
        <v>715</v>
      </c>
      <c r="AB15" t="s">
        <v>716</v>
      </c>
      <c r="AC15">
        <v>1</v>
      </c>
      <c r="AG15" t="s">
        <v>77</v>
      </c>
      <c r="AI15">
        <v>1</v>
      </c>
      <c r="AJ15" t="s">
        <v>3199</v>
      </c>
    </row>
    <row r="16" spans="1:55" x14ac:dyDescent="0.2">
      <c r="A16" t="s">
        <v>551</v>
      </c>
      <c r="C16">
        <v>3</v>
      </c>
      <c r="D16" t="s">
        <v>695</v>
      </c>
      <c r="F16">
        <v>7</v>
      </c>
      <c r="G16" t="s">
        <v>476</v>
      </c>
      <c r="H16" t="s">
        <v>717</v>
      </c>
      <c r="I16">
        <v>12</v>
      </c>
      <c r="J16">
        <v>1</v>
      </c>
      <c r="N16" t="s">
        <v>18</v>
      </c>
      <c r="O16">
        <v>1</v>
      </c>
      <c r="R16">
        <v>1</v>
      </c>
      <c r="T16">
        <v>57</v>
      </c>
      <c r="AA16" t="s">
        <v>50</v>
      </c>
      <c r="AD16" t="s">
        <v>20</v>
      </c>
      <c r="AG16" t="s">
        <v>718</v>
      </c>
      <c r="AI16" t="s">
        <v>18</v>
      </c>
    </row>
    <row r="17" spans="1:35" x14ac:dyDescent="0.2">
      <c r="A17" t="s">
        <v>551</v>
      </c>
      <c r="C17">
        <v>3</v>
      </c>
      <c r="D17" t="s">
        <v>695</v>
      </c>
      <c r="F17">
        <v>7</v>
      </c>
      <c r="G17" t="s">
        <v>720</v>
      </c>
      <c r="H17" t="s">
        <v>719</v>
      </c>
      <c r="I17">
        <v>13</v>
      </c>
      <c r="J17">
        <v>1</v>
      </c>
      <c r="N17" t="s">
        <v>721</v>
      </c>
      <c r="T17">
        <v>46</v>
      </c>
      <c r="AA17" t="s">
        <v>50</v>
      </c>
      <c r="AD17" t="s">
        <v>20</v>
      </c>
      <c r="AG17" t="s">
        <v>145</v>
      </c>
      <c r="AI17" t="s">
        <v>721</v>
      </c>
    </row>
    <row r="18" spans="1:35" x14ac:dyDescent="0.2">
      <c r="A18" t="s">
        <v>551</v>
      </c>
      <c r="C18">
        <v>3</v>
      </c>
      <c r="D18" t="s">
        <v>695</v>
      </c>
      <c r="F18">
        <v>7</v>
      </c>
      <c r="G18" t="s">
        <v>723</v>
      </c>
      <c r="H18" t="s">
        <v>722</v>
      </c>
      <c r="I18">
        <v>14</v>
      </c>
      <c r="K18">
        <v>1</v>
      </c>
      <c r="N18" t="s">
        <v>60</v>
      </c>
      <c r="R18">
        <v>1</v>
      </c>
      <c r="T18">
        <v>27</v>
      </c>
      <c r="AA18" t="s">
        <v>725</v>
      </c>
      <c r="AB18" t="s">
        <v>726</v>
      </c>
      <c r="AC18">
        <v>1</v>
      </c>
      <c r="AG18" t="s">
        <v>724</v>
      </c>
      <c r="AI18" t="s">
        <v>60</v>
      </c>
    </row>
    <row r="19" spans="1:35" x14ac:dyDescent="0.2">
      <c r="A19" t="s">
        <v>551</v>
      </c>
      <c r="C19">
        <v>3</v>
      </c>
      <c r="D19" t="s">
        <v>695</v>
      </c>
      <c r="F19">
        <v>7</v>
      </c>
      <c r="G19" t="s">
        <v>728</v>
      </c>
      <c r="H19" t="s">
        <v>727</v>
      </c>
      <c r="I19">
        <v>15</v>
      </c>
      <c r="J19">
        <v>1</v>
      </c>
      <c r="N19" t="s">
        <v>60</v>
      </c>
      <c r="R19">
        <v>1</v>
      </c>
      <c r="T19">
        <v>48</v>
      </c>
      <c r="AA19" t="s">
        <v>20</v>
      </c>
      <c r="AD19" t="s">
        <v>20</v>
      </c>
      <c r="AF19">
        <v>1</v>
      </c>
      <c r="AG19" t="s">
        <v>14</v>
      </c>
      <c r="AI19" t="s">
        <v>60</v>
      </c>
    </row>
    <row r="21" spans="1:35" x14ac:dyDescent="0.2">
      <c r="A21" t="s">
        <v>800</v>
      </c>
      <c r="C21">
        <v>4</v>
      </c>
      <c r="D21" t="s">
        <v>695</v>
      </c>
      <c r="F21">
        <v>8</v>
      </c>
      <c r="G21" t="s">
        <v>730</v>
      </c>
      <c r="H21" t="s">
        <v>729</v>
      </c>
      <c r="I21">
        <v>16</v>
      </c>
      <c r="K21">
        <v>1</v>
      </c>
      <c r="N21">
        <v>1</v>
      </c>
      <c r="T21">
        <v>75</v>
      </c>
      <c r="AA21" t="s">
        <v>731</v>
      </c>
      <c r="AC21">
        <v>1</v>
      </c>
      <c r="AD21">
        <v>1</v>
      </c>
      <c r="AF21">
        <v>1</v>
      </c>
      <c r="AG21" t="s">
        <v>14</v>
      </c>
      <c r="AI21">
        <v>1</v>
      </c>
    </row>
    <row r="22" spans="1:35" x14ac:dyDescent="0.2">
      <c r="A22" t="s">
        <v>551</v>
      </c>
      <c r="C22">
        <v>4</v>
      </c>
      <c r="D22" t="s">
        <v>695</v>
      </c>
      <c r="F22">
        <v>8</v>
      </c>
      <c r="G22" t="s">
        <v>730</v>
      </c>
      <c r="H22" t="s">
        <v>732</v>
      </c>
      <c r="I22">
        <v>17</v>
      </c>
      <c r="J22">
        <v>1</v>
      </c>
      <c r="N22" t="s">
        <v>22</v>
      </c>
      <c r="P22">
        <v>1</v>
      </c>
      <c r="T22">
        <v>40</v>
      </c>
      <c r="AA22" t="s">
        <v>734</v>
      </c>
      <c r="AC22">
        <v>1</v>
      </c>
      <c r="AD22">
        <v>1</v>
      </c>
      <c r="AG22" t="s">
        <v>733</v>
      </c>
      <c r="AI22" t="s">
        <v>22</v>
      </c>
    </row>
    <row r="23" spans="1:35" x14ac:dyDescent="0.2">
      <c r="A23" t="s">
        <v>551</v>
      </c>
      <c r="C23">
        <v>4</v>
      </c>
      <c r="D23" t="s">
        <v>695</v>
      </c>
      <c r="F23">
        <v>8</v>
      </c>
      <c r="G23" t="s">
        <v>735</v>
      </c>
      <c r="H23" t="s">
        <v>179</v>
      </c>
      <c r="I23">
        <v>18</v>
      </c>
      <c r="J23">
        <v>1</v>
      </c>
      <c r="N23" t="s">
        <v>265</v>
      </c>
      <c r="S23">
        <v>1</v>
      </c>
      <c r="T23">
        <v>33</v>
      </c>
      <c r="AA23" t="s">
        <v>26</v>
      </c>
      <c r="AC23">
        <v>1</v>
      </c>
      <c r="AD23" t="s">
        <v>29</v>
      </c>
      <c r="AG23" t="s">
        <v>736</v>
      </c>
      <c r="AI23" t="s">
        <v>265</v>
      </c>
    </row>
    <row r="24" spans="1:35" x14ac:dyDescent="0.2">
      <c r="A24" t="s">
        <v>551</v>
      </c>
      <c r="C24">
        <v>4</v>
      </c>
      <c r="D24" t="s">
        <v>695</v>
      </c>
      <c r="F24">
        <v>8</v>
      </c>
      <c r="G24" t="s">
        <v>738</v>
      </c>
      <c r="H24" t="s">
        <v>737</v>
      </c>
      <c r="I24">
        <v>19</v>
      </c>
      <c r="J24">
        <v>1</v>
      </c>
      <c r="N24" t="s">
        <v>265</v>
      </c>
      <c r="S24">
        <v>1</v>
      </c>
      <c r="T24">
        <v>31</v>
      </c>
      <c r="AA24" t="s">
        <v>26</v>
      </c>
      <c r="AC24">
        <v>1</v>
      </c>
      <c r="AD24" t="s">
        <v>29</v>
      </c>
      <c r="AG24" t="s">
        <v>739</v>
      </c>
      <c r="AI24" t="s">
        <v>265</v>
      </c>
    </row>
    <row r="25" spans="1:35" x14ac:dyDescent="0.2">
      <c r="A25" t="s">
        <v>551</v>
      </c>
      <c r="C25">
        <v>4</v>
      </c>
      <c r="D25" t="s">
        <v>695</v>
      </c>
      <c r="F25">
        <v>8</v>
      </c>
      <c r="G25" t="s">
        <v>740</v>
      </c>
      <c r="H25" t="s">
        <v>121</v>
      </c>
      <c r="I25">
        <v>20</v>
      </c>
      <c r="J25">
        <v>1</v>
      </c>
      <c r="N25" t="s">
        <v>265</v>
      </c>
      <c r="S25">
        <v>1</v>
      </c>
      <c r="T25">
        <v>58</v>
      </c>
      <c r="AA25" t="s">
        <v>26</v>
      </c>
      <c r="AC25">
        <v>1</v>
      </c>
      <c r="AD25" t="s">
        <v>29</v>
      </c>
      <c r="AG25" t="s">
        <v>741</v>
      </c>
      <c r="AI25" t="s">
        <v>265</v>
      </c>
    </row>
    <row r="27" spans="1:35" x14ac:dyDescent="0.2">
      <c r="A27" t="s">
        <v>551</v>
      </c>
      <c r="C27">
        <v>5</v>
      </c>
      <c r="D27" t="s">
        <v>695</v>
      </c>
      <c r="F27">
        <v>9</v>
      </c>
      <c r="G27" t="s">
        <v>743</v>
      </c>
      <c r="H27" t="s">
        <v>742</v>
      </c>
      <c r="I27">
        <v>21</v>
      </c>
      <c r="K27">
        <v>1</v>
      </c>
      <c r="N27">
        <v>1</v>
      </c>
      <c r="T27">
        <v>43</v>
      </c>
      <c r="AA27" t="s">
        <v>744</v>
      </c>
      <c r="AB27" t="s">
        <v>745</v>
      </c>
      <c r="AC27">
        <v>1</v>
      </c>
      <c r="AF27">
        <v>1</v>
      </c>
      <c r="AG27" t="s">
        <v>49</v>
      </c>
      <c r="AI27">
        <v>1</v>
      </c>
    </row>
    <row r="28" spans="1:35" x14ac:dyDescent="0.2">
      <c r="A28" t="s">
        <v>551</v>
      </c>
      <c r="C28">
        <v>5</v>
      </c>
      <c r="D28" t="s">
        <v>695</v>
      </c>
      <c r="F28">
        <v>9</v>
      </c>
      <c r="G28" t="s">
        <v>743</v>
      </c>
      <c r="H28" t="s">
        <v>746</v>
      </c>
      <c r="I28">
        <v>22</v>
      </c>
      <c r="J28">
        <v>1</v>
      </c>
      <c r="N28" t="s">
        <v>18</v>
      </c>
      <c r="O28">
        <v>1</v>
      </c>
      <c r="T28">
        <v>40</v>
      </c>
      <c r="AA28" t="s">
        <v>20</v>
      </c>
      <c r="AD28" t="s">
        <v>20</v>
      </c>
      <c r="AG28" t="s">
        <v>20</v>
      </c>
      <c r="AI28" t="s">
        <v>18</v>
      </c>
    </row>
    <row r="29" spans="1:35" x14ac:dyDescent="0.2">
      <c r="A29" t="s">
        <v>551</v>
      </c>
      <c r="C29">
        <v>5</v>
      </c>
      <c r="D29" t="s">
        <v>695</v>
      </c>
      <c r="F29">
        <v>9</v>
      </c>
      <c r="G29" t="s">
        <v>748</v>
      </c>
      <c r="H29" t="s">
        <v>747</v>
      </c>
      <c r="I29">
        <v>23</v>
      </c>
      <c r="J29">
        <v>1</v>
      </c>
      <c r="N29" t="s">
        <v>26</v>
      </c>
      <c r="S29">
        <v>1</v>
      </c>
      <c r="T29">
        <v>17</v>
      </c>
      <c r="AA29" t="s">
        <v>137</v>
      </c>
      <c r="AB29" t="s">
        <v>750</v>
      </c>
      <c r="AC29">
        <v>1</v>
      </c>
      <c r="AF29">
        <v>1</v>
      </c>
      <c r="AG29" t="s">
        <v>749</v>
      </c>
      <c r="AI29" t="s">
        <v>26</v>
      </c>
    </row>
    <row r="31" spans="1:35" x14ac:dyDescent="0.2">
      <c r="A31" t="s">
        <v>551</v>
      </c>
      <c r="C31">
        <v>6</v>
      </c>
      <c r="D31" t="s">
        <v>695</v>
      </c>
      <c r="F31">
        <v>10</v>
      </c>
      <c r="G31" t="s">
        <v>752</v>
      </c>
      <c r="H31" t="s">
        <v>751</v>
      </c>
      <c r="I31">
        <v>24</v>
      </c>
      <c r="K31">
        <v>1</v>
      </c>
      <c r="N31">
        <v>1</v>
      </c>
      <c r="T31">
        <v>73</v>
      </c>
      <c r="AA31" t="s">
        <v>753</v>
      </c>
      <c r="AC31">
        <v>1</v>
      </c>
      <c r="AD31" t="s">
        <v>20</v>
      </c>
      <c r="AF31">
        <v>1</v>
      </c>
      <c r="AG31" t="s">
        <v>49</v>
      </c>
      <c r="AI31">
        <v>1</v>
      </c>
    </row>
    <row r="32" spans="1:35" x14ac:dyDescent="0.2">
      <c r="A32" t="s">
        <v>551</v>
      </c>
      <c r="C32">
        <v>6</v>
      </c>
      <c r="D32" t="s">
        <v>695</v>
      </c>
      <c r="F32">
        <v>10</v>
      </c>
      <c r="G32" t="s">
        <v>752</v>
      </c>
      <c r="H32" t="s">
        <v>754</v>
      </c>
      <c r="I32">
        <v>25</v>
      </c>
      <c r="J32">
        <v>1</v>
      </c>
      <c r="N32" t="s">
        <v>144</v>
      </c>
      <c r="R32">
        <v>1</v>
      </c>
      <c r="T32">
        <v>66</v>
      </c>
      <c r="AA32" t="s">
        <v>20</v>
      </c>
      <c r="AD32" t="s">
        <v>20</v>
      </c>
      <c r="AF32">
        <v>1</v>
      </c>
      <c r="AG32" t="s">
        <v>755</v>
      </c>
      <c r="AI32" t="s">
        <v>144</v>
      </c>
    </row>
    <row r="33" spans="1:35" x14ac:dyDescent="0.2">
      <c r="A33" t="s">
        <v>551</v>
      </c>
      <c r="C33">
        <v>6</v>
      </c>
      <c r="D33" t="s">
        <v>695</v>
      </c>
      <c r="F33">
        <v>10</v>
      </c>
      <c r="G33" t="s">
        <v>757</v>
      </c>
      <c r="H33" t="s">
        <v>756</v>
      </c>
      <c r="I33">
        <v>26</v>
      </c>
      <c r="J33">
        <v>1</v>
      </c>
      <c r="N33" t="s">
        <v>26</v>
      </c>
      <c r="S33">
        <v>1</v>
      </c>
      <c r="T33">
        <v>19</v>
      </c>
      <c r="AA33" t="s">
        <v>56</v>
      </c>
      <c r="AC33">
        <v>1</v>
      </c>
      <c r="AD33" t="s">
        <v>29</v>
      </c>
      <c r="AG33" t="s">
        <v>432</v>
      </c>
      <c r="AI33" t="s">
        <v>26</v>
      </c>
    </row>
    <row r="35" spans="1:35" x14ac:dyDescent="0.2">
      <c r="A35" t="s">
        <v>551</v>
      </c>
      <c r="C35">
        <v>7</v>
      </c>
      <c r="D35" t="s">
        <v>695</v>
      </c>
      <c r="F35" t="s">
        <v>774</v>
      </c>
      <c r="G35" t="s">
        <v>759</v>
      </c>
      <c r="H35" t="s">
        <v>758</v>
      </c>
      <c r="I35">
        <v>27</v>
      </c>
      <c r="K35">
        <v>1</v>
      </c>
      <c r="N35">
        <v>1</v>
      </c>
      <c r="T35">
        <v>43</v>
      </c>
      <c r="AA35" t="s">
        <v>760</v>
      </c>
      <c r="AB35" t="s">
        <v>761</v>
      </c>
      <c r="AC35">
        <v>1</v>
      </c>
      <c r="AF35">
        <v>1</v>
      </c>
      <c r="AG35" t="s">
        <v>40</v>
      </c>
      <c r="AI35">
        <v>1</v>
      </c>
    </row>
    <row r="36" spans="1:35" x14ac:dyDescent="0.2">
      <c r="A36" t="s">
        <v>551</v>
      </c>
      <c r="C36">
        <v>7</v>
      </c>
      <c r="D36" t="s">
        <v>695</v>
      </c>
      <c r="F36" t="s">
        <v>774</v>
      </c>
      <c r="G36" t="s">
        <v>759</v>
      </c>
      <c r="H36" t="s">
        <v>655</v>
      </c>
      <c r="I36">
        <v>28</v>
      </c>
      <c r="J36">
        <v>1</v>
      </c>
      <c r="N36" t="s">
        <v>18</v>
      </c>
      <c r="O36">
        <v>1</v>
      </c>
      <c r="T36">
        <v>48</v>
      </c>
      <c r="AA36" t="s">
        <v>760</v>
      </c>
      <c r="AB36" t="s">
        <v>761</v>
      </c>
      <c r="AC36">
        <v>1</v>
      </c>
      <c r="AF36">
        <v>1</v>
      </c>
      <c r="AG36" t="s">
        <v>755</v>
      </c>
      <c r="AI36" t="s">
        <v>18</v>
      </c>
    </row>
    <row r="37" spans="1:35" x14ac:dyDescent="0.2">
      <c r="A37" t="s">
        <v>551</v>
      </c>
      <c r="C37">
        <v>7</v>
      </c>
      <c r="D37" t="s">
        <v>695</v>
      </c>
      <c r="F37" t="s">
        <v>774</v>
      </c>
      <c r="G37" t="s">
        <v>762</v>
      </c>
      <c r="H37" t="s">
        <v>24</v>
      </c>
      <c r="I37">
        <v>29</v>
      </c>
      <c r="J37">
        <v>1</v>
      </c>
      <c r="N37" t="s">
        <v>26</v>
      </c>
      <c r="S37">
        <v>1</v>
      </c>
      <c r="T37">
        <v>17</v>
      </c>
      <c r="AA37" t="s">
        <v>764</v>
      </c>
      <c r="AC37">
        <v>1</v>
      </c>
      <c r="AD37" t="s">
        <v>29</v>
      </c>
      <c r="AG37" t="s">
        <v>763</v>
      </c>
      <c r="AI37" t="s">
        <v>26</v>
      </c>
    </row>
    <row r="38" spans="1:35" x14ac:dyDescent="0.2">
      <c r="A38" t="s">
        <v>551</v>
      </c>
      <c r="C38">
        <v>7</v>
      </c>
      <c r="D38" t="s">
        <v>695</v>
      </c>
      <c r="F38" t="s">
        <v>774</v>
      </c>
      <c r="G38" t="s">
        <v>766</v>
      </c>
      <c r="H38" t="s">
        <v>765</v>
      </c>
      <c r="I38">
        <v>30</v>
      </c>
      <c r="J38">
        <v>1</v>
      </c>
      <c r="N38">
        <v>1</v>
      </c>
      <c r="T38">
        <v>45</v>
      </c>
      <c r="AA38" t="s">
        <v>767</v>
      </c>
      <c r="AC38">
        <v>1</v>
      </c>
      <c r="AD38">
        <v>1</v>
      </c>
      <c r="AG38" t="s">
        <v>438</v>
      </c>
      <c r="AI38">
        <v>1</v>
      </c>
    </row>
    <row r="39" spans="1:35" x14ac:dyDescent="0.2">
      <c r="A39" t="s">
        <v>551</v>
      </c>
      <c r="C39">
        <v>7</v>
      </c>
      <c r="D39" t="s">
        <v>695</v>
      </c>
      <c r="F39" t="s">
        <v>774</v>
      </c>
      <c r="G39" t="s">
        <v>769</v>
      </c>
      <c r="H39" t="s">
        <v>768</v>
      </c>
      <c r="I39">
        <v>31</v>
      </c>
      <c r="J39">
        <v>1</v>
      </c>
      <c r="N39" t="s">
        <v>770</v>
      </c>
      <c r="R39">
        <v>1</v>
      </c>
      <c r="T39">
        <v>55</v>
      </c>
      <c r="AA39" t="s">
        <v>772</v>
      </c>
      <c r="AB39" t="s">
        <v>773</v>
      </c>
      <c r="AC39">
        <v>1</v>
      </c>
      <c r="AG39" t="s">
        <v>771</v>
      </c>
      <c r="AI39" t="s">
        <v>770</v>
      </c>
    </row>
    <row r="41" spans="1:35" x14ac:dyDescent="0.2">
      <c r="A41" t="s">
        <v>551</v>
      </c>
      <c r="C41">
        <v>8</v>
      </c>
      <c r="D41" t="s">
        <v>695</v>
      </c>
      <c r="F41">
        <v>3</v>
      </c>
      <c r="G41" t="s">
        <v>776</v>
      </c>
      <c r="H41" t="s">
        <v>775</v>
      </c>
      <c r="I41">
        <v>32</v>
      </c>
      <c r="K41">
        <v>1</v>
      </c>
      <c r="N41">
        <v>1</v>
      </c>
      <c r="T41">
        <v>47</v>
      </c>
      <c r="AA41" t="s">
        <v>47</v>
      </c>
      <c r="AD41" t="s">
        <v>20</v>
      </c>
      <c r="AG41" t="s">
        <v>20</v>
      </c>
      <c r="AI41">
        <v>1</v>
      </c>
    </row>
    <row r="42" spans="1:35" x14ac:dyDescent="0.2">
      <c r="A42" t="s">
        <v>551</v>
      </c>
      <c r="C42">
        <v>8</v>
      </c>
      <c r="D42" t="s">
        <v>695</v>
      </c>
      <c r="F42">
        <v>3</v>
      </c>
      <c r="G42" t="s">
        <v>776</v>
      </c>
      <c r="H42" t="s">
        <v>777</v>
      </c>
      <c r="I42">
        <v>33</v>
      </c>
      <c r="J42">
        <v>1</v>
      </c>
      <c r="N42" t="s">
        <v>18</v>
      </c>
      <c r="O42">
        <v>1</v>
      </c>
      <c r="T42">
        <v>38</v>
      </c>
      <c r="AA42" t="s">
        <v>50</v>
      </c>
      <c r="AD42" t="s">
        <v>20</v>
      </c>
      <c r="AG42" t="s">
        <v>778</v>
      </c>
      <c r="AI42" t="s">
        <v>18</v>
      </c>
    </row>
    <row r="43" spans="1:35" x14ac:dyDescent="0.2">
      <c r="A43" t="s">
        <v>551</v>
      </c>
      <c r="C43">
        <v>8</v>
      </c>
      <c r="D43" t="s">
        <v>695</v>
      </c>
      <c r="F43">
        <v>3</v>
      </c>
      <c r="G43" t="s">
        <v>776</v>
      </c>
      <c r="H43" t="s">
        <v>779</v>
      </c>
      <c r="I43">
        <v>34</v>
      </c>
      <c r="M43">
        <v>1</v>
      </c>
      <c r="N43" t="s">
        <v>51</v>
      </c>
      <c r="Q43">
        <v>1</v>
      </c>
      <c r="T43">
        <v>9</v>
      </c>
      <c r="AA43" t="s">
        <v>20</v>
      </c>
      <c r="AD43" t="s">
        <v>20</v>
      </c>
      <c r="AG43" t="s">
        <v>167</v>
      </c>
      <c r="AI43" t="s">
        <v>51</v>
      </c>
    </row>
    <row r="44" spans="1:35" x14ac:dyDescent="0.2">
      <c r="A44" t="s">
        <v>551</v>
      </c>
    </row>
    <row r="45" spans="1:35" x14ac:dyDescent="0.2">
      <c r="A45" t="s">
        <v>551</v>
      </c>
      <c r="C45">
        <v>9</v>
      </c>
      <c r="D45" t="s">
        <v>695</v>
      </c>
      <c r="F45">
        <v>5</v>
      </c>
      <c r="G45" t="s">
        <v>781</v>
      </c>
      <c r="H45" t="s">
        <v>780</v>
      </c>
      <c r="I45">
        <v>35</v>
      </c>
      <c r="J45">
        <v>1</v>
      </c>
      <c r="N45">
        <v>1</v>
      </c>
      <c r="T45">
        <v>40</v>
      </c>
      <c r="W45">
        <v>1</v>
      </c>
      <c r="AA45" t="s">
        <v>50</v>
      </c>
      <c r="AG45" t="s">
        <v>783</v>
      </c>
      <c r="AI45" t="s">
        <v>782</v>
      </c>
    </row>
    <row r="46" spans="1:35" x14ac:dyDescent="0.2">
      <c r="A46" t="s">
        <v>551</v>
      </c>
      <c r="C46">
        <v>9</v>
      </c>
      <c r="D46" t="s">
        <v>695</v>
      </c>
      <c r="F46">
        <v>5</v>
      </c>
      <c r="G46" t="s">
        <v>781</v>
      </c>
      <c r="H46" t="s">
        <v>784</v>
      </c>
      <c r="I46">
        <v>36</v>
      </c>
      <c r="M46">
        <v>1</v>
      </c>
      <c r="N46" t="s">
        <v>51</v>
      </c>
      <c r="Q46">
        <v>1</v>
      </c>
      <c r="T46">
        <v>9</v>
      </c>
      <c r="AA46" t="s">
        <v>20</v>
      </c>
      <c r="AD46" t="s">
        <v>20</v>
      </c>
      <c r="AF46">
        <v>1</v>
      </c>
      <c r="AG46" t="s">
        <v>49</v>
      </c>
      <c r="AI46" t="s">
        <v>51</v>
      </c>
    </row>
    <row r="47" spans="1:35" x14ac:dyDescent="0.2">
      <c r="A47" t="s">
        <v>551</v>
      </c>
      <c r="C47">
        <v>9</v>
      </c>
      <c r="D47" t="s">
        <v>695</v>
      </c>
      <c r="F47">
        <v>5</v>
      </c>
      <c r="G47" t="s">
        <v>781</v>
      </c>
      <c r="H47" t="s">
        <v>785</v>
      </c>
      <c r="I47">
        <v>37</v>
      </c>
      <c r="J47">
        <v>1</v>
      </c>
      <c r="M47">
        <v>1</v>
      </c>
      <c r="N47" t="s">
        <v>22</v>
      </c>
      <c r="P47">
        <v>1</v>
      </c>
      <c r="T47">
        <v>8</v>
      </c>
      <c r="AA47" t="s">
        <v>20</v>
      </c>
      <c r="AD47" t="s">
        <v>20</v>
      </c>
      <c r="AF47">
        <v>1</v>
      </c>
      <c r="AG47" t="s">
        <v>49</v>
      </c>
      <c r="AI47" t="s">
        <v>22</v>
      </c>
    </row>
    <row r="48" spans="1:35" x14ac:dyDescent="0.2">
      <c r="A48" t="s">
        <v>551</v>
      </c>
      <c r="C48">
        <v>9</v>
      </c>
      <c r="D48" t="s">
        <v>695</v>
      </c>
      <c r="F48">
        <v>5</v>
      </c>
      <c r="G48" t="s">
        <v>787</v>
      </c>
      <c r="H48" t="s">
        <v>786</v>
      </c>
      <c r="I48">
        <v>38</v>
      </c>
      <c r="J48">
        <v>1</v>
      </c>
      <c r="N48" t="s">
        <v>58</v>
      </c>
      <c r="R48">
        <v>1</v>
      </c>
      <c r="T48">
        <v>78</v>
      </c>
      <c r="AA48" t="s">
        <v>20</v>
      </c>
      <c r="AD48" t="s">
        <v>20</v>
      </c>
      <c r="AG48" t="s">
        <v>788</v>
      </c>
      <c r="AI48" t="s">
        <v>58</v>
      </c>
    </row>
    <row r="49" spans="1:35" x14ac:dyDescent="0.2">
      <c r="A49" t="s">
        <v>551</v>
      </c>
      <c r="C49">
        <v>9</v>
      </c>
      <c r="D49" t="s">
        <v>695</v>
      </c>
      <c r="F49">
        <v>5</v>
      </c>
      <c r="G49" t="s">
        <v>790</v>
      </c>
      <c r="H49" t="s">
        <v>789</v>
      </c>
      <c r="I49">
        <v>39</v>
      </c>
      <c r="J49">
        <v>1</v>
      </c>
      <c r="N49" t="s">
        <v>379</v>
      </c>
      <c r="S49">
        <v>1</v>
      </c>
      <c r="T49">
        <v>26</v>
      </c>
      <c r="AA49" t="s">
        <v>379</v>
      </c>
      <c r="AC49">
        <v>1</v>
      </c>
      <c r="AD49" t="s">
        <v>29</v>
      </c>
      <c r="AG49" t="s">
        <v>791</v>
      </c>
      <c r="AI49" t="s">
        <v>379</v>
      </c>
    </row>
    <row r="50" spans="1:35" x14ac:dyDescent="0.2">
      <c r="A50" t="s">
        <v>551</v>
      </c>
      <c r="C50">
        <v>9</v>
      </c>
      <c r="D50" t="s">
        <v>695</v>
      </c>
      <c r="F50">
        <v>5</v>
      </c>
      <c r="G50" t="s">
        <v>792</v>
      </c>
      <c r="H50" t="s">
        <v>704</v>
      </c>
      <c r="I50">
        <v>40</v>
      </c>
      <c r="J50">
        <v>1</v>
      </c>
      <c r="N50" t="s">
        <v>58</v>
      </c>
      <c r="R50">
        <v>1</v>
      </c>
      <c r="T50">
        <v>58</v>
      </c>
      <c r="AA50" t="s">
        <v>344</v>
      </c>
      <c r="AC50">
        <v>1</v>
      </c>
      <c r="AD50" t="s">
        <v>29</v>
      </c>
      <c r="AG50" t="s">
        <v>793</v>
      </c>
      <c r="AI50" t="s">
        <v>58</v>
      </c>
    </row>
    <row r="51" spans="1:35" x14ac:dyDescent="0.2">
      <c r="A51" t="s">
        <v>551</v>
      </c>
    </row>
    <row r="52" spans="1:35" x14ac:dyDescent="0.2">
      <c r="A52" t="s">
        <v>551</v>
      </c>
      <c r="C52">
        <v>10</v>
      </c>
      <c r="D52" t="s">
        <v>695</v>
      </c>
      <c r="F52">
        <v>6</v>
      </c>
      <c r="G52" t="s">
        <v>794</v>
      </c>
      <c r="H52" t="s">
        <v>135</v>
      </c>
      <c r="I52">
        <v>41</v>
      </c>
      <c r="J52">
        <v>1</v>
      </c>
      <c r="N52" t="s">
        <v>26</v>
      </c>
      <c r="S52">
        <v>1</v>
      </c>
      <c r="T52">
        <v>32</v>
      </c>
      <c r="AA52" t="s">
        <v>33</v>
      </c>
      <c r="AC52">
        <v>1</v>
      </c>
      <c r="AD52" t="s">
        <v>29</v>
      </c>
      <c r="AG52" t="s">
        <v>212</v>
      </c>
      <c r="AI52" t="s">
        <v>26</v>
      </c>
    </row>
    <row r="53" spans="1:35" x14ac:dyDescent="0.2">
      <c r="A53" t="s">
        <v>551</v>
      </c>
      <c r="C53">
        <v>10</v>
      </c>
      <c r="D53" t="s">
        <v>695</v>
      </c>
      <c r="F53">
        <v>6</v>
      </c>
      <c r="G53" t="s">
        <v>794</v>
      </c>
      <c r="H53" t="s">
        <v>115</v>
      </c>
      <c r="I53">
        <v>42</v>
      </c>
      <c r="N53" t="s">
        <v>26</v>
      </c>
      <c r="S53">
        <v>1</v>
      </c>
      <c r="T53">
        <v>21</v>
      </c>
      <c r="AA53" t="s">
        <v>137</v>
      </c>
      <c r="AC53">
        <v>1</v>
      </c>
      <c r="AD53" t="s">
        <v>29</v>
      </c>
      <c r="AG53" t="s">
        <v>212</v>
      </c>
      <c r="AI53" t="s">
        <v>26</v>
      </c>
    </row>
    <row r="54" spans="1:35" s="2" customFormat="1" x14ac:dyDescent="0.2">
      <c r="A54" s="2" t="s">
        <v>551</v>
      </c>
      <c r="C54" s="2">
        <v>10</v>
      </c>
      <c r="I54" s="2">
        <f>I53</f>
        <v>42</v>
      </c>
      <c r="J54" s="2">
        <f>SUM(J3:J53)</f>
        <v>29</v>
      </c>
      <c r="K54" s="2">
        <f t="shared" ref="K54:AF54" si="0">SUM(K3:K53)</f>
        <v>10</v>
      </c>
      <c r="L54" s="2">
        <f t="shared" si="0"/>
        <v>0</v>
      </c>
      <c r="M54" s="2">
        <f t="shared" si="0"/>
        <v>3</v>
      </c>
      <c r="N54" s="2">
        <f t="shared" si="0"/>
        <v>11</v>
      </c>
      <c r="O54" s="2">
        <f t="shared" si="0"/>
        <v>5</v>
      </c>
      <c r="P54" s="2">
        <f t="shared" si="0"/>
        <v>2</v>
      </c>
      <c r="Q54" s="2">
        <f t="shared" si="0"/>
        <v>2</v>
      </c>
      <c r="R54" s="2">
        <f t="shared" si="0"/>
        <v>8</v>
      </c>
      <c r="S54" s="2">
        <f t="shared" si="0"/>
        <v>14</v>
      </c>
      <c r="T54" s="2">
        <f t="shared" si="0"/>
        <v>1718</v>
      </c>
      <c r="U54" s="2">
        <f>SUM(AG3:AG53)</f>
        <v>0</v>
      </c>
      <c r="V54" s="2">
        <f>SUM(AA3:AA53)</f>
        <v>0</v>
      </c>
      <c r="W54" s="2">
        <f>SUM(AD3:AD53)</f>
        <v>5</v>
      </c>
      <c r="X54" s="2">
        <f t="shared" si="0"/>
        <v>0</v>
      </c>
      <c r="Y54" s="2">
        <f t="shared" si="0"/>
        <v>0</v>
      </c>
      <c r="Z54" s="2">
        <f t="shared" si="0"/>
        <v>0</v>
      </c>
      <c r="AB54" s="2">
        <f t="shared" si="0"/>
        <v>0</v>
      </c>
      <c r="AC54" s="2">
        <f t="shared" si="0"/>
        <v>28</v>
      </c>
      <c r="AD54" s="2">
        <f t="shared" si="0"/>
        <v>5</v>
      </c>
      <c r="AE54" s="2">
        <f>AC54-AD54</f>
        <v>23</v>
      </c>
      <c r="AF54" s="2">
        <f t="shared" si="0"/>
        <v>17</v>
      </c>
      <c r="AG54" s="2">
        <f>N55-AF54</f>
        <v>25</v>
      </c>
      <c r="AI54" s="2" t="e">
        <f>SUM(#REF!)</f>
        <v>#REF!</v>
      </c>
    </row>
    <row r="55" spans="1:35" x14ac:dyDescent="0.2">
      <c r="I55">
        <f>SUM(J54:M54)</f>
        <v>42</v>
      </c>
      <c r="N55">
        <f>SUM(N54:S54)</f>
        <v>42</v>
      </c>
      <c r="T55" s="64">
        <f>T54/I55</f>
        <v>40.904761904761905</v>
      </c>
    </row>
    <row r="57" spans="1:35" x14ac:dyDescent="0.2">
      <c r="H57" t="s">
        <v>0</v>
      </c>
      <c r="I57" t="s">
        <v>1</v>
      </c>
      <c r="J57" t="s">
        <v>2</v>
      </c>
      <c r="K57" t="s">
        <v>3</v>
      </c>
      <c r="L57" t="s">
        <v>4</v>
      </c>
      <c r="M57" t="s">
        <v>5</v>
      </c>
      <c r="N57" t="s">
        <v>6</v>
      </c>
      <c r="O57" t="s">
        <v>7</v>
      </c>
      <c r="P57" t="s">
        <v>8</v>
      </c>
    </row>
    <row r="58" spans="1:35" x14ac:dyDescent="0.2">
      <c r="E58" t="s">
        <v>3195</v>
      </c>
      <c r="H58" t="s">
        <v>696</v>
      </c>
      <c r="I58" t="s">
        <v>697</v>
      </c>
      <c r="J58" t="s">
        <v>12</v>
      </c>
      <c r="K58" t="s">
        <v>13</v>
      </c>
      <c r="L58">
        <v>1881</v>
      </c>
      <c r="M58">
        <v>40</v>
      </c>
      <c r="N58" t="s">
        <v>49</v>
      </c>
      <c r="O58" t="s">
        <v>15</v>
      </c>
      <c r="P58" t="s">
        <v>8</v>
      </c>
    </row>
    <row r="59" spans="1:35" x14ac:dyDescent="0.2">
      <c r="H59" t="s">
        <v>698</v>
      </c>
      <c r="I59" t="s">
        <v>697</v>
      </c>
      <c r="J59" t="s">
        <v>12</v>
      </c>
      <c r="K59" t="s">
        <v>13</v>
      </c>
      <c r="L59">
        <v>1882</v>
      </c>
      <c r="M59">
        <v>38</v>
      </c>
      <c r="N59" t="s">
        <v>49</v>
      </c>
      <c r="O59" t="s">
        <v>15</v>
      </c>
      <c r="P59" t="s">
        <v>8</v>
      </c>
    </row>
    <row r="60" spans="1:35" x14ac:dyDescent="0.2">
      <c r="H60" t="s">
        <v>699</v>
      </c>
      <c r="I60" t="s">
        <v>697</v>
      </c>
      <c r="J60" t="s">
        <v>144</v>
      </c>
      <c r="K60" t="s">
        <v>19</v>
      </c>
      <c r="L60">
        <v>1884</v>
      </c>
      <c r="M60">
        <v>37</v>
      </c>
      <c r="N60" t="s">
        <v>49</v>
      </c>
      <c r="O60" t="s">
        <v>50</v>
      </c>
      <c r="P60" t="s">
        <v>20</v>
      </c>
    </row>
    <row r="61" spans="1:35" x14ac:dyDescent="0.2">
      <c r="H61" t="s">
        <v>700</v>
      </c>
      <c r="I61" t="s">
        <v>701</v>
      </c>
      <c r="J61" t="s">
        <v>26</v>
      </c>
      <c r="K61" t="s">
        <v>19</v>
      </c>
      <c r="L61">
        <v>1868</v>
      </c>
      <c r="M61">
        <v>53</v>
      </c>
      <c r="N61" t="s">
        <v>49</v>
      </c>
      <c r="O61" t="s">
        <v>33</v>
      </c>
      <c r="P61" t="s">
        <v>29</v>
      </c>
    </row>
    <row r="62" spans="1:35" x14ac:dyDescent="0.2">
      <c r="H62" t="s">
        <v>702</v>
      </c>
      <c r="I62" t="s">
        <v>703</v>
      </c>
      <c r="J62" t="s">
        <v>26</v>
      </c>
      <c r="K62" t="s">
        <v>19</v>
      </c>
      <c r="L62">
        <v>1884</v>
      </c>
      <c r="M62">
        <v>37</v>
      </c>
      <c r="N62" t="s">
        <v>49</v>
      </c>
      <c r="O62" t="s">
        <v>93</v>
      </c>
      <c r="P62" t="s">
        <v>29</v>
      </c>
    </row>
    <row r="63" spans="1:35" x14ac:dyDescent="0.2">
      <c r="H63" t="s">
        <v>704</v>
      </c>
      <c r="I63" t="s">
        <v>33</v>
      </c>
      <c r="J63" t="s">
        <v>26</v>
      </c>
      <c r="K63" t="s">
        <v>19</v>
      </c>
      <c r="L63">
        <v>1887</v>
      </c>
      <c r="M63">
        <v>34</v>
      </c>
      <c r="N63" t="s">
        <v>705</v>
      </c>
      <c r="O63" t="s">
        <v>28</v>
      </c>
      <c r="P63" t="s">
        <v>29</v>
      </c>
    </row>
    <row r="64" spans="1:35" x14ac:dyDescent="0.2">
      <c r="H64" t="s">
        <v>706</v>
      </c>
      <c r="I64" t="s">
        <v>707</v>
      </c>
      <c r="J64" t="s">
        <v>26</v>
      </c>
      <c r="K64" t="s">
        <v>19</v>
      </c>
      <c r="L64">
        <v>1904</v>
      </c>
      <c r="M64">
        <v>16</v>
      </c>
      <c r="N64" t="s">
        <v>212</v>
      </c>
      <c r="O64" t="s">
        <v>708</v>
      </c>
      <c r="P64" t="s">
        <v>29</v>
      </c>
    </row>
    <row r="65" spans="6:16" x14ac:dyDescent="0.2">
      <c r="H65" t="s">
        <v>639</v>
      </c>
      <c r="I65" t="s">
        <v>709</v>
      </c>
      <c r="J65" t="s">
        <v>26</v>
      </c>
      <c r="K65" t="s">
        <v>19</v>
      </c>
      <c r="L65">
        <v>1905</v>
      </c>
      <c r="M65">
        <v>15</v>
      </c>
      <c r="N65" t="s">
        <v>356</v>
      </c>
      <c r="O65" t="s">
        <v>28</v>
      </c>
      <c r="P65" t="s">
        <v>29</v>
      </c>
    </row>
    <row r="67" spans="6:16" x14ac:dyDescent="0.2">
      <c r="H67" t="s">
        <v>0</v>
      </c>
      <c r="I67" t="s">
        <v>1</v>
      </c>
      <c r="J67" t="s">
        <v>2</v>
      </c>
      <c r="K67" t="s">
        <v>3</v>
      </c>
      <c r="L67" t="s">
        <v>4</v>
      </c>
      <c r="M67" t="s">
        <v>5</v>
      </c>
      <c r="N67" t="s">
        <v>6</v>
      </c>
      <c r="O67" t="s">
        <v>7</v>
      </c>
      <c r="P67" t="s">
        <v>8</v>
      </c>
    </row>
    <row r="68" spans="6:16" x14ac:dyDescent="0.2">
      <c r="F68">
        <v>3</v>
      </c>
      <c r="H68" t="s">
        <v>710</v>
      </c>
      <c r="I68" t="s">
        <v>194</v>
      </c>
      <c r="J68" t="s">
        <v>12</v>
      </c>
      <c r="K68" t="s">
        <v>13</v>
      </c>
      <c r="L68">
        <v>1854</v>
      </c>
      <c r="M68">
        <v>67</v>
      </c>
      <c r="N68" t="s">
        <v>49</v>
      </c>
      <c r="O68" t="s">
        <v>711</v>
      </c>
      <c r="P68" t="s">
        <v>712</v>
      </c>
    </row>
    <row r="69" spans="6:16" x14ac:dyDescent="0.2">
      <c r="H69" t="s">
        <v>713</v>
      </c>
      <c r="I69" t="s">
        <v>194</v>
      </c>
      <c r="J69" t="s">
        <v>18</v>
      </c>
      <c r="K69" t="s">
        <v>19</v>
      </c>
      <c r="L69">
        <v>1851</v>
      </c>
      <c r="M69">
        <v>69</v>
      </c>
      <c r="N69" t="s">
        <v>49</v>
      </c>
      <c r="O69" t="s">
        <v>50</v>
      </c>
      <c r="P69" t="s">
        <v>20</v>
      </c>
    </row>
    <row r="71" spans="6:16" x14ac:dyDescent="0.2">
      <c r="H71" t="s">
        <v>0</v>
      </c>
      <c r="I71" t="s">
        <v>1</v>
      </c>
      <c r="J71" t="s">
        <v>2</v>
      </c>
      <c r="K71" t="s">
        <v>3</v>
      </c>
      <c r="L71" t="s">
        <v>4</v>
      </c>
      <c r="M71" t="s">
        <v>5</v>
      </c>
      <c r="N71" t="s">
        <v>6</v>
      </c>
      <c r="O71" t="s">
        <v>7</v>
      </c>
      <c r="P71" t="s">
        <v>8</v>
      </c>
    </row>
    <row r="72" spans="6:16" x14ac:dyDescent="0.2">
      <c r="F72">
        <v>7</v>
      </c>
      <c r="H72" t="s">
        <v>714</v>
      </c>
      <c r="I72" t="s">
        <v>476</v>
      </c>
      <c r="J72" t="s">
        <v>12</v>
      </c>
      <c r="K72" t="s">
        <v>13</v>
      </c>
      <c r="L72">
        <v>1856</v>
      </c>
      <c r="M72">
        <v>65</v>
      </c>
      <c r="N72" t="s">
        <v>77</v>
      </c>
      <c r="O72" t="s">
        <v>715</v>
      </c>
      <c r="P72" t="s">
        <v>716</v>
      </c>
    </row>
    <row r="73" spans="6:16" x14ac:dyDescent="0.2">
      <c r="H73" t="s">
        <v>717</v>
      </c>
      <c r="I73" t="s">
        <v>476</v>
      </c>
      <c r="J73" t="s">
        <v>18</v>
      </c>
      <c r="K73" t="s">
        <v>19</v>
      </c>
      <c r="L73">
        <v>1863</v>
      </c>
      <c r="M73">
        <v>57</v>
      </c>
      <c r="N73" t="s">
        <v>718</v>
      </c>
      <c r="O73" t="s">
        <v>50</v>
      </c>
      <c r="P73" t="s">
        <v>20</v>
      </c>
    </row>
    <row r="74" spans="6:16" x14ac:dyDescent="0.2">
      <c r="H74" t="s">
        <v>719</v>
      </c>
      <c r="I74" t="s">
        <v>720</v>
      </c>
      <c r="J74" t="s">
        <v>721</v>
      </c>
      <c r="K74" t="s">
        <v>19</v>
      </c>
      <c r="L74">
        <v>1874</v>
      </c>
      <c r="M74">
        <v>46</v>
      </c>
      <c r="N74" t="s">
        <v>145</v>
      </c>
      <c r="O74" t="s">
        <v>50</v>
      </c>
      <c r="P74" t="s">
        <v>20</v>
      </c>
    </row>
    <row r="75" spans="6:16" x14ac:dyDescent="0.2">
      <c r="H75" t="s">
        <v>722</v>
      </c>
      <c r="I75" t="s">
        <v>723</v>
      </c>
      <c r="J75" t="s">
        <v>60</v>
      </c>
      <c r="K75" t="s">
        <v>13</v>
      </c>
      <c r="L75">
        <v>1893</v>
      </c>
      <c r="M75">
        <v>27</v>
      </c>
      <c r="N75" t="s">
        <v>724</v>
      </c>
      <c r="O75" t="s">
        <v>725</v>
      </c>
      <c r="P75" t="s">
        <v>726</v>
      </c>
    </row>
    <row r="76" spans="6:16" x14ac:dyDescent="0.2">
      <c r="H76" t="s">
        <v>727</v>
      </c>
      <c r="I76" t="s">
        <v>728</v>
      </c>
      <c r="J76" t="s">
        <v>60</v>
      </c>
      <c r="K76" t="s">
        <v>19</v>
      </c>
      <c r="L76">
        <v>1872</v>
      </c>
      <c r="M76">
        <v>48</v>
      </c>
      <c r="N76" t="s">
        <v>14</v>
      </c>
      <c r="O76" t="s">
        <v>20</v>
      </c>
      <c r="P76" t="s">
        <v>20</v>
      </c>
    </row>
    <row r="78" spans="6:16" x14ac:dyDescent="0.2">
      <c r="H78" t="s">
        <v>0</v>
      </c>
      <c r="I78" t="s">
        <v>1</v>
      </c>
      <c r="J78" t="s">
        <v>2</v>
      </c>
      <c r="K78" t="s">
        <v>3</v>
      </c>
      <c r="L78" t="s">
        <v>4</v>
      </c>
      <c r="M78" t="s">
        <v>5</v>
      </c>
      <c r="N78" t="s">
        <v>6</v>
      </c>
      <c r="O78" t="s">
        <v>7</v>
      </c>
      <c r="P78" t="s">
        <v>8</v>
      </c>
    </row>
    <row r="79" spans="6:16" x14ac:dyDescent="0.2">
      <c r="F79">
        <v>8</v>
      </c>
      <c r="H79" t="s">
        <v>729</v>
      </c>
      <c r="I79" t="s">
        <v>730</v>
      </c>
      <c r="J79" t="s">
        <v>12</v>
      </c>
      <c r="K79" t="s">
        <v>13</v>
      </c>
      <c r="L79">
        <v>1846</v>
      </c>
      <c r="M79">
        <v>75</v>
      </c>
      <c r="N79" t="s">
        <v>14</v>
      </c>
      <c r="O79" t="s">
        <v>731</v>
      </c>
      <c r="P79" t="s">
        <v>8</v>
      </c>
    </row>
    <row r="80" spans="6:16" x14ac:dyDescent="0.2">
      <c r="H80" t="s">
        <v>732</v>
      </c>
      <c r="I80" t="s">
        <v>730</v>
      </c>
      <c r="J80" t="s">
        <v>22</v>
      </c>
      <c r="K80" t="s">
        <v>19</v>
      </c>
      <c r="L80">
        <v>1880</v>
      </c>
      <c r="M80">
        <v>40</v>
      </c>
      <c r="N80" t="s">
        <v>733</v>
      </c>
      <c r="O80" t="s">
        <v>734</v>
      </c>
      <c r="P80" t="s">
        <v>8</v>
      </c>
    </row>
    <row r="81" spans="6:16" x14ac:dyDescent="0.2">
      <c r="H81" t="s">
        <v>179</v>
      </c>
      <c r="I81" t="s">
        <v>735</v>
      </c>
      <c r="J81" t="s">
        <v>265</v>
      </c>
      <c r="K81" t="s">
        <v>19</v>
      </c>
      <c r="L81">
        <v>1888</v>
      </c>
      <c r="M81">
        <v>33</v>
      </c>
      <c r="N81" t="s">
        <v>736</v>
      </c>
      <c r="O81" t="s">
        <v>26</v>
      </c>
      <c r="P81" t="s">
        <v>29</v>
      </c>
    </row>
    <row r="82" spans="6:16" x14ac:dyDescent="0.2">
      <c r="H82" t="s">
        <v>737</v>
      </c>
      <c r="I82" t="s">
        <v>738</v>
      </c>
      <c r="J82" t="s">
        <v>265</v>
      </c>
      <c r="K82" t="s">
        <v>19</v>
      </c>
      <c r="L82">
        <v>1890</v>
      </c>
      <c r="M82">
        <v>31</v>
      </c>
      <c r="N82" t="s">
        <v>739</v>
      </c>
      <c r="O82" t="s">
        <v>26</v>
      </c>
      <c r="P82" t="s">
        <v>29</v>
      </c>
    </row>
    <row r="83" spans="6:16" x14ac:dyDescent="0.2">
      <c r="H83" t="s">
        <v>121</v>
      </c>
      <c r="I83" t="s">
        <v>740</v>
      </c>
      <c r="J83" t="s">
        <v>265</v>
      </c>
      <c r="K83" t="s">
        <v>19</v>
      </c>
      <c r="L83">
        <v>1863</v>
      </c>
      <c r="M83">
        <v>58</v>
      </c>
      <c r="N83" t="s">
        <v>741</v>
      </c>
      <c r="O83" t="s">
        <v>26</v>
      </c>
      <c r="P83" t="s">
        <v>29</v>
      </c>
    </row>
    <row r="85" spans="6:16" x14ac:dyDescent="0.2">
      <c r="H85" t="s">
        <v>0</v>
      </c>
      <c r="I85" t="s">
        <v>1</v>
      </c>
      <c r="J85" t="s">
        <v>2</v>
      </c>
      <c r="K85" t="s">
        <v>3</v>
      </c>
      <c r="L85" t="s">
        <v>4</v>
      </c>
      <c r="M85" t="s">
        <v>5</v>
      </c>
      <c r="N85" t="s">
        <v>6</v>
      </c>
      <c r="O85" t="s">
        <v>7</v>
      </c>
      <c r="P85" t="s">
        <v>8</v>
      </c>
    </row>
    <row r="86" spans="6:16" x14ac:dyDescent="0.2">
      <c r="F86">
        <v>9</v>
      </c>
      <c r="H86" t="s">
        <v>742</v>
      </c>
      <c r="I86" t="s">
        <v>743</v>
      </c>
      <c r="J86" t="s">
        <v>12</v>
      </c>
      <c r="K86" t="s">
        <v>13</v>
      </c>
      <c r="L86">
        <v>1877</v>
      </c>
      <c r="M86">
        <v>43</v>
      </c>
      <c r="N86" t="s">
        <v>49</v>
      </c>
      <c r="O86" t="s">
        <v>744</v>
      </c>
      <c r="P86" t="s">
        <v>745</v>
      </c>
    </row>
    <row r="87" spans="6:16" x14ac:dyDescent="0.2">
      <c r="H87" t="s">
        <v>746</v>
      </c>
      <c r="I87" t="s">
        <v>743</v>
      </c>
      <c r="J87" t="s">
        <v>18</v>
      </c>
      <c r="K87" t="s">
        <v>19</v>
      </c>
      <c r="L87">
        <v>1880</v>
      </c>
      <c r="M87">
        <v>40</v>
      </c>
      <c r="N87" t="s">
        <v>20</v>
      </c>
      <c r="O87" t="s">
        <v>20</v>
      </c>
      <c r="P87" t="s">
        <v>20</v>
      </c>
    </row>
    <row r="88" spans="6:16" x14ac:dyDescent="0.2">
      <c r="H88" t="s">
        <v>747</v>
      </c>
      <c r="I88" t="s">
        <v>748</v>
      </c>
      <c r="J88" t="s">
        <v>26</v>
      </c>
      <c r="K88" t="s">
        <v>19</v>
      </c>
      <c r="L88">
        <v>1904</v>
      </c>
      <c r="M88">
        <v>17</v>
      </c>
      <c r="N88" t="s">
        <v>749</v>
      </c>
      <c r="O88" t="s">
        <v>137</v>
      </c>
      <c r="P88" t="s">
        <v>750</v>
      </c>
    </row>
    <row r="90" spans="6:16" x14ac:dyDescent="0.2">
      <c r="H90" t="s">
        <v>0</v>
      </c>
      <c r="I90" t="s">
        <v>1</v>
      </c>
      <c r="J90" t="s">
        <v>2</v>
      </c>
      <c r="K90" t="s">
        <v>3</v>
      </c>
      <c r="L90" t="s">
        <v>4</v>
      </c>
      <c r="M90" t="s">
        <v>5</v>
      </c>
      <c r="N90" t="s">
        <v>6</v>
      </c>
      <c r="O90" t="s">
        <v>7</v>
      </c>
      <c r="P90" t="s">
        <v>8</v>
      </c>
    </row>
    <row r="91" spans="6:16" x14ac:dyDescent="0.2">
      <c r="F91">
        <v>10</v>
      </c>
      <c r="H91" t="s">
        <v>751</v>
      </c>
      <c r="I91" t="s">
        <v>752</v>
      </c>
      <c r="J91" t="s">
        <v>12</v>
      </c>
      <c r="K91" t="s">
        <v>13</v>
      </c>
      <c r="L91">
        <v>1848</v>
      </c>
      <c r="M91">
        <v>73</v>
      </c>
      <c r="N91" t="s">
        <v>49</v>
      </c>
      <c r="O91" t="s">
        <v>753</v>
      </c>
      <c r="P91" t="s">
        <v>20</v>
      </c>
    </row>
    <row r="92" spans="6:16" x14ac:dyDescent="0.2">
      <c r="H92" t="s">
        <v>754</v>
      </c>
      <c r="I92" t="s">
        <v>752</v>
      </c>
      <c r="J92" t="s">
        <v>144</v>
      </c>
      <c r="K92" t="s">
        <v>19</v>
      </c>
      <c r="L92">
        <v>1854</v>
      </c>
      <c r="M92">
        <v>66</v>
      </c>
      <c r="N92" t="s">
        <v>755</v>
      </c>
      <c r="O92" t="s">
        <v>20</v>
      </c>
      <c r="P92" t="s">
        <v>20</v>
      </c>
    </row>
    <row r="93" spans="6:16" x14ac:dyDescent="0.2">
      <c r="H93" t="s">
        <v>756</v>
      </c>
      <c r="I93" t="s">
        <v>757</v>
      </c>
      <c r="J93" t="s">
        <v>26</v>
      </c>
      <c r="K93" t="s">
        <v>19</v>
      </c>
      <c r="L93">
        <v>1902</v>
      </c>
      <c r="M93">
        <v>19</v>
      </c>
      <c r="N93" t="s">
        <v>432</v>
      </c>
      <c r="O93" t="s">
        <v>56</v>
      </c>
      <c r="P93" t="s">
        <v>29</v>
      </c>
    </row>
    <row r="95" spans="6:16" x14ac:dyDescent="0.2">
      <c r="H95" t="s">
        <v>0</v>
      </c>
      <c r="I95" t="s">
        <v>1</v>
      </c>
      <c r="J95" t="s">
        <v>2</v>
      </c>
      <c r="K95" t="s">
        <v>3</v>
      </c>
      <c r="L95" t="s">
        <v>4</v>
      </c>
      <c r="M95" t="s">
        <v>5</v>
      </c>
      <c r="N95" t="s">
        <v>6</v>
      </c>
      <c r="O95" t="s">
        <v>7</v>
      </c>
      <c r="P95" t="s">
        <v>8</v>
      </c>
    </row>
    <row r="96" spans="6:16" x14ac:dyDescent="0.2">
      <c r="F96" t="s">
        <v>774</v>
      </c>
      <c r="H96" t="s">
        <v>758</v>
      </c>
      <c r="I96" t="s">
        <v>759</v>
      </c>
      <c r="J96" t="s">
        <v>12</v>
      </c>
      <c r="K96" t="s">
        <v>13</v>
      </c>
      <c r="L96">
        <v>1878</v>
      </c>
      <c r="M96">
        <v>43</v>
      </c>
      <c r="N96" t="s">
        <v>40</v>
      </c>
      <c r="O96" t="s">
        <v>760</v>
      </c>
      <c r="P96" t="s">
        <v>761</v>
      </c>
    </row>
    <row r="97" spans="6:16" x14ac:dyDescent="0.2">
      <c r="H97" t="s">
        <v>655</v>
      </c>
      <c r="I97" t="s">
        <v>759</v>
      </c>
      <c r="J97" t="s">
        <v>18</v>
      </c>
      <c r="K97" t="s">
        <v>19</v>
      </c>
      <c r="L97">
        <v>1873</v>
      </c>
      <c r="M97">
        <v>48</v>
      </c>
      <c r="N97" t="s">
        <v>755</v>
      </c>
      <c r="O97" t="s">
        <v>760</v>
      </c>
      <c r="P97" t="s">
        <v>761</v>
      </c>
    </row>
    <row r="98" spans="6:16" x14ac:dyDescent="0.2">
      <c r="H98" t="s">
        <v>24</v>
      </c>
      <c r="I98" t="s">
        <v>762</v>
      </c>
      <c r="J98" t="s">
        <v>26</v>
      </c>
      <c r="K98" t="s">
        <v>19</v>
      </c>
      <c r="L98">
        <v>1903</v>
      </c>
      <c r="M98">
        <v>17</v>
      </c>
      <c r="N98" t="s">
        <v>763</v>
      </c>
      <c r="O98" t="s">
        <v>764</v>
      </c>
      <c r="P98" t="s">
        <v>29</v>
      </c>
    </row>
    <row r="99" spans="6:16" x14ac:dyDescent="0.2">
      <c r="H99" t="s">
        <v>765</v>
      </c>
      <c r="I99" t="s">
        <v>766</v>
      </c>
      <c r="J99" t="s">
        <v>12</v>
      </c>
      <c r="K99" t="s">
        <v>19</v>
      </c>
      <c r="L99">
        <v>1875</v>
      </c>
      <c r="M99">
        <v>45</v>
      </c>
      <c r="N99" t="s">
        <v>438</v>
      </c>
      <c r="O99" t="s">
        <v>767</v>
      </c>
      <c r="P99" t="s">
        <v>8</v>
      </c>
    </row>
    <row r="100" spans="6:16" x14ac:dyDescent="0.2">
      <c r="H100" t="s">
        <v>768</v>
      </c>
      <c r="I100" t="s">
        <v>769</v>
      </c>
      <c r="J100" t="s">
        <v>770</v>
      </c>
      <c r="K100" t="s">
        <v>19</v>
      </c>
      <c r="L100">
        <v>1866</v>
      </c>
      <c r="M100">
        <v>55</v>
      </c>
      <c r="N100" t="s">
        <v>771</v>
      </c>
      <c r="O100" t="s">
        <v>772</v>
      </c>
      <c r="P100" t="s">
        <v>773</v>
      </c>
    </row>
    <row r="102" spans="6:16" x14ac:dyDescent="0.2">
      <c r="H102" t="s">
        <v>0</v>
      </c>
      <c r="I102" t="s">
        <v>1</v>
      </c>
      <c r="J102" t="s">
        <v>2</v>
      </c>
      <c r="K102" t="s">
        <v>3</v>
      </c>
      <c r="L102" t="s">
        <v>4</v>
      </c>
      <c r="M102" t="s">
        <v>5</v>
      </c>
      <c r="N102" t="s">
        <v>6</v>
      </c>
      <c r="O102" t="s">
        <v>7</v>
      </c>
      <c r="P102" t="s">
        <v>8</v>
      </c>
    </row>
    <row r="103" spans="6:16" x14ac:dyDescent="0.2">
      <c r="F103">
        <v>3</v>
      </c>
      <c r="H103" t="s">
        <v>775</v>
      </c>
      <c r="I103" t="s">
        <v>776</v>
      </c>
      <c r="J103" t="s">
        <v>12</v>
      </c>
      <c r="K103" t="s">
        <v>13</v>
      </c>
      <c r="L103">
        <v>1874</v>
      </c>
      <c r="M103">
        <v>47</v>
      </c>
      <c r="N103" t="s">
        <v>20</v>
      </c>
      <c r="O103" t="s">
        <v>47</v>
      </c>
      <c r="P103" t="s">
        <v>20</v>
      </c>
    </row>
    <row r="104" spans="6:16" x14ac:dyDescent="0.2">
      <c r="H104" t="s">
        <v>777</v>
      </c>
      <c r="I104" t="s">
        <v>776</v>
      </c>
      <c r="J104" t="s">
        <v>18</v>
      </c>
      <c r="K104" t="s">
        <v>19</v>
      </c>
      <c r="L104">
        <v>1882</v>
      </c>
      <c r="M104">
        <v>38</v>
      </c>
      <c r="N104" t="s">
        <v>778</v>
      </c>
      <c r="O104" t="s">
        <v>50</v>
      </c>
      <c r="P104" t="s">
        <v>20</v>
      </c>
    </row>
    <row r="105" spans="6:16" x14ac:dyDescent="0.2">
      <c r="H105" t="s">
        <v>779</v>
      </c>
      <c r="I105" t="s">
        <v>776</v>
      </c>
      <c r="J105" t="s">
        <v>51</v>
      </c>
      <c r="K105" t="s">
        <v>13</v>
      </c>
      <c r="L105">
        <v>1911</v>
      </c>
      <c r="M105">
        <v>9</v>
      </c>
      <c r="N105" t="s">
        <v>167</v>
      </c>
      <c r="O105" t="s">
        <v>20</v>
      </c>
      <c r="P105" t="s">
        <v>20</v>
      </c>
    </row>
    <row r="107" spans="6:16" x14ac:dyDescent="0.2">
      <c r="H107" t="s">
        <v>0</v>
      </c>
      <c r="I107" t="s">
        <v>1</v>
      </c>
      <c r="J107" t="s">
        <v>2</v>
      </c>
      <c r="K107" t="s">
        <v>3</v>
      </c>
      <c r="L107" t="s">
        <v>4</v>
      </c>
      <c r="M107" t="s">
        <v>5</v>
      </c>
      <c r="N107" t="s">
        <v>6</v>
      </c>
      <c r="O107" t="s">
        <v>7</v>
      </c>
      <c r="P107" t="s">
        <v>8</v>
      </c>
    </row>
    <row r="108" spans="6:16" x14ac:dyDescent="0.2">
      <c r="F108">
        <v>5</v>
      </c>
      <c r="H108" t="s">
        <v>780</v>
      </c>
      <c r="I108" t="s">
        <v>781</v>
      </c>
      <c r="J108" t="s">
        <v>782</v>
      </c>
      <c r="K108" t="s">
        <v>19</v>
      </c>
      <c r="L108">
        <v>1880</v>
      </c>
      <c r="M108">
        <v>40</v>
      </c>
      <c r="N108" t="s">
        <v>783</v>
      </c>
      <c r="O108" t="s">
        <v>50</v>
      </c>
      <c r="P108" t="s">
        <v>20</v>
      </c>
    </row>
    <row r="109" spans="6:16" x14ac:dyDescent="0.2">
      <c r="H109" t="s">
        <v>784</v>
      </c>
      <c r="I109" t="s">
        <v>781</v>
      </c>
      <c r="J109" t="s">
        <v>51</v>
      </c>
      <c r="K109" t="s">
        <v>13</v>
      </c>
      <c r="L109">
        <v>1911</v>
      </c>
      <c r="M109">
        <v>9</v>
      </c>
      <c r="N109" t="s">
        <v>49</v>
      </c>
      <c r="O109" t="s">
        <v>20</v>
      </c>
      <c r="P109" t="s">
        <v>20</v>
      </c>
    </row>
    <row r="110" spans="6:16" x14ac:dyDescent="0.2">
      <c r="H110" t="s">
        <v>785</v>
      </c>
      <c r="I110" t="s">
        <v>781</v>
      </c>
      <c r="J110" t="s">
        <v>22</v>
      </c>
      <c r="K110" t="s">
        <v>19</v>
      </c>
      <c r="L110">
        <v>1913</v>
      </c>
      <c r="M110">
        <v>8</v>
      </c>
      <c r="N110" t="s">
        <v>49</v>
      </c>
      <c r="O110" t="s">
        <v>20</v>
      </c>
      <c r="P110" t="s">
        <v>20</v>
      </c>
    </row>
    <row r="111" spans="6:16" x14ac:dyDescent="0.2">
      <c r="H111" t="s">
        <v>786</v>
      </c>
      <c r="I111" t="s">
        <v>787</v>
      </c>
      <c r="J111" t="s">
        <v>58</v>
      </c>
      <c r="K111" t="s">
        <v>19</v>
      </c>
      <c r="L111">
        <v>1843</v>
      </c>
      <c r="M111">
        <v>78</v>
      </c>
      <c r="N111" t="s">
        <v>788</v>
      </c>
      <c r="O111" t="s">
        <v>20</v>
      </c>
      <c r="P111" t="s">
        <v>20</v>
      </c>
    </row>
    <row r="112" spans="6:16" x14ac:dyDescent="0.2">
      <c r="H112" t="s">
        <v>789</v>
      </c>
      <c r="I112" t="s">
        <v>790</v>
      </c>
      <c r="J112" t="s">
        <v>379</v>
      </c>
      <c r="K112" t="s">
        <v>19</v>
      </c>
      <c r="L112">
        <v>1895</v>
      </c>
      <c r="M112">
        <v>26</v>
      </c>
      <c r="N112" t="s">
        <v>791</v>
      </c>
      <c r="O112" t="s">
        <v>379</v>
      </c>
      <c r="P112" t="s">
        <v>29</v>
      </c>
    </row>
    <row r="113" spans="5:16" x14ac:dyDescent="0.2">
      <c r="H113" t="s">
        <v>704</v>
      </c>
      <c r="I113" t="s">
        <v>792</v>
      </c>
      <c r="J113" t="s">
        <v>58</v>
      </c>
      <c r="K113" t="s">
        <v>19</v>
      </c>
      <c r="L113">
        <v>1863</v>
      </c>
      <c r="M113">
        <v>58</v>
      </c>
      <c r="N113" t="s">
        <v>793</v>
      </c>
      <c r="O113" t="s">
        <v>344</v>
      </c>
      <c r="P113" t="s">
        <v>29</v>
      </c>
    </row>
    <row r="115" spans="5:16" x14ac:dyDescent="0.2">
      <c r="F115">
        <v>6</v>
      </c>
      <c r="H115" t="s">
        <v>0</v>
      </c>
      <c r="I115" t="s">
        <v>1</v>
      </c>
      <c r="J115" t="s">
        <v>2</v>
      </c>
      <c r="K115" t="s">
        <v>3</v>
      </c>
      <c r="L115" t="s">
        <v>4</v>
      </c>
      <c r="M115" t="s">
        <v>5</v>
      </c>
      <c r="N115" t="s">
        <v>6</v>
      </c>
      <c r="O115" t="s">
        <v>7</v>
      </c>
      <c r="P115" t="s">
        <v>8</v>
      </c>
    </row>
    <row r="116" spans="5:16" x14ac:dyDescent="0.2">
      <c r="H116" t="s">
        <v>135</v>
      </c>
      <c r="I116" t="s">
        <v>794</v>
      </c>
      <c r="J116" t="s">
        <v>26</v>
      </c>
      <c r="K116" t="s">
        <v>19</v>
      </c>
      <c r="L116">
        <v>1888</v>
      </c>
      <c r="M116">
        <v>32</v>
      </c>
      <c r="N116" t="s">
        <v>212</v>
      </c>
      <c r="O116" t="s">
        <v>33</v>
      </c>
      <c r="P116" t="s">
        <v>29</v>
      </c>
    </row>
    <row r="117" spans="5:16" x14ac:dyDescent="0.2">
      <c r="H117" t="s">
        <v>115</v>
      </c>
      <c r="I117" t="s">
        <v>794</v>
      </c>
      <c r="J117" t="s">
        <v>26</v>
      </c>
      <c r="K117" t="s">
        <v>19</v>
      </c>
      <c r="L117">
        <v>1900</v>
      </c>
      <c r="M117">
        <v>21</v>
      </c>
      <c r="N117" t="s">
        <v>212</v>
      </c>
      <c r="O117" t="s">
        <v>137</v>
      </c>
      <c r="P117" t="s">
        <v>29</v>
      </c>
    </row>
    <row r="120" spans="5:16" x14ac:dyDescent="0.2">
      <c r="E120" t="s">
        <v>3041</v>
      </c>
      <c r="H120" t="s">
        <v>0</v>
      </c>
      <c r="I120" t="s">
        <v>1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</row>
    <row r="121" spans="5:16" x14ac:dyDescent="0.2">
      <c r="H121" t="s">
        <v>366</v>
      </c>
      <c r="I121" t="s">
        <v>757</v>
      </c>
      <c r="J121" t="s">
        <v>12</v>
      </c>
      <c r="K121" t="s">
        <v>19</v>
      </c>
      <c r="L121">
        <v>1849</v>
      </c>
      <c r="M121">
        <v>72</v>
      </c>
      <c r="N121" t="s">
        <v>3024</v>
      </c>
      <c r="O121" t="s">
        <v>1804</v>
      </c>
      <c r="P121" t="s">
        <v>20</v>
      </c>
    </row>
    <row r="122" spans="5:16" x14ac:dyDescent="0.2">
      <c r="H122" t="s">
        <v>3025</v>
      </c>
      <c r="I122" t="s">
        <v>757</v>
      </c>
      <c r="J122" t="s">
        <v>22</v>
      </c>
      <c r="K122" t="s">
        <v>19</v>
      </c>
      <c r="L122">
        <v>1874</v>
      </c>
      <c r="M122">
        <v>47</v>
      </c>
      <c r="N122" t="s">
        <v>3026</v>
      </c>
      <c r="O122" t="s">
        <v>173</v>
      </c>
      <c r="P122" t="s">
        <v>3027</v>
      </c>
    </row>
    <row r="123" spans="5:16" x14ac:dyDescent="0.2">
      <c r="H123" t="s">
        <v>3028</v>
      </c>
      <c r="I123" t="s">
        <v>757</v>
      </c>
      <c r="J123" t="s">
        <v>22</v>
      </c>
      <c r="K123" t="s">
        <v>19</v>
      </c>
      <c r="L123">
        <v>1876</v>
      </c>
      <c r="M123">
        <v>44</v>
      </c>
      <c r="N123" t="s">
        <v>3026</v>
      </c>
      <c r="O123" t="s">
        <v>50</v>
      </c>
      <c r="P123" t="s">
        <v>20</v>
      </c>
    </row>
    <row r="124" spans="5:16" x14ac:dyDescent="0.2">
      <c r="H124" t="s">
        <v>3029</v>
      </c>
      <c r="I124" t="s">
        <v>3030</v>
      </c>
      <c r="J124" t="s">
        <v>60</v>
      </c>
      <c r="K124" t="s">
        <v>13</v>
      </c>
      <c r="L124">
        <v>1844</v>
      </c>
      <c r="M124">
        <v>77</v>
      </c>
      <c r="N124" t="s">
        <v>3031</v>
      </c>
      <c r="O124" t="s">
        <v>3032</v>
      </c>
      <c r="P124" t="s">
        <v>20</v>
      </c>
    </row>
    <row r="125" spans="5:16" x14ac:dyDescent="0.2">
      <c r="H125" t="s">
        <v>3033</v>
      </c>
      <c r="I125" t="s">
        <v>3034</v>
      </c>
      <c r="J125" t="s">
        <v>60</v>
      </c>
      <c r="K125" t="s">
        <v>13</v>
      </c>
      <c r="L125">
        <v>1893</v>
      </c>
      <c r="M125">
        <v>27</v>
      </c>
      <c r="N125" t="s">
        <v>1408</v>
      </c>
      <c r="O125" t="s">
        <v>173</v>
      </c>
      <c r="P125" t="s">
        <v>3035</v>
      </c>
    </row>
    <row r="126" spans="5:16" x14ac:dyDescent="0.2">
      <c r="H126" t="s">
        <v>423</v>
      </c>
      <c r="I126" t="s">
        <v>3036</v>
      </c>
      <c r="J126" t="s">
        <v>60</v>
      </c>
      <c r="K126" t="s">
        <v>13</v>
      </c>
      <c r="L126">
        <v>1863</v>
      </c>
      <c r="M126">
        <v>58</v>
      </c>
      <c r="N126" t="s">
        <v>1458</v>
      </c>
      <c r="O126" t="s">
        <v>15</v>
      </c>
      <c r="P126" t="s">
        <v>8</v>
      </c>
    </row>
    <row r="127" spans="5:16" x14ac:dyDescent="0.2">
      <c r="H127" t="s">
        <v>3037</v>
      </c>
      <c r="I127" t="s">
        <v>743</v>
      </c>
      <c r="J127" t="s">
        <v>60</v>
      </c>
      <c r="K127" t="s">
        <v>13</v>
      </c>
      <c r="L127">
        <v>1873</v>
      </c>
      <c r="M127">
        <v>48</v>
      </c>
      <c r="N127" t="s">
        <v>49</v>
      </c>
      <c r="O127" t="s">
        <v>2661</v>
      </c>
      <c r="P127" t="s">
        <v>8</v>
      </c>
    </row>
    <row r="128" spans="5:16" x14ac:dyDescent="0.2">
      <c r="H128" t="s">
        <v>3038</v>
      </c>
      <c r="I128" t="s">
        <v>3039</v>
      </c>
      <c r="J128" t="s">
        <v>26</v>
      </c>
      <c r="K128" t="s">
        <v>13</v>
      </c>
      <c r="L128">
        <v>1892</v>
      </c>
      <c r="M128">
        <v>28</v>
      </c>
      <c r="N128" t="s">
        <v>2937</v>
      </c>
      <c r="O128" t="s">
        <v>26</v>
      </c>
      <c r="P128" t="s">
        <v>29</v>
      </c>
    </row>
    <row r="129" spans="8:16" x14ac:dyDescent="0.2">
      <c r="H129" t="s">
        <v>366</v>
      </c>
      <c r="I129" t="s">
        <v>1806</v>
      </c>
      <c r="J129" t="s">
        <v>26</v>
      </c>
      <c r="K129" t="s">
        <v>19</v>
      </c>
      <c r="L129">
        <v>1891</v>
      </c>
      <c r="M129">
        <v>29</v>
      </c>
      <c r="N129" t="s">
        <v>3040</v>
      </c>
      <c r="O129" t="s">
        <v>2075</v>
      </c>
      <c r="P129" t="s">
        <v>29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B703-134F-9348-9786-1CB76A7B6D35}">
  <dimension ref="A1:BC169"/>
  <sheetViews>
    <sheetView workbookViewId="0">
      <pane ySplit="2" topLeftCell="A9" activePane="bottomLeft" state="frozen"/>
      <selection pane="bottomLeft" activeCell="A31" sqref="A31:XFD31"/>
    </sheetView>
  </sheetViews>
  <sheetFormatPr baseColWidth="10" defaultRowHeight="16" x14ac:dyDescent="0.2"/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x14ac:dyDescent="0.2">
      <c r="A3" t="s">
        <v>549</v>
      </c>
      <c r="B3">
        <v>1921</v>
      </c>
      <c r="C3">
        <v>1</v>
      </c>
      <c r="D3" t="s">
        <v>550</v>
      </c>
      <c r="F3" t="s">
        <v>818</v>
      </c>
      <c r="G3" t="s">
        <v>752</v>
      </c>
      <c r="H3" t="s">
        <v>811</v>
      </c>
      <c r="I3">
        <v>1</v>
      </c>
      <c r="J3" t="s">
        <v>13</v>
      </c>
      <c r="K3">
        <v>1</v>
      </c>
      <c r="N3">
        <v>1</v>
      </c>
      <c r="T3">
        <v>54</v>
      </c>
      <c r="AA3" t="s">
        <v>812</v>
      </c>
      <c r="AB3" t="s">
        <v>813</v>
      </c>
      <c r="AC3">
        <v>1</v>
      </c>
      <c r="AF3" t="s">
        <v>14</v>
      </c>
    </row>
    <row r="4" spans="1:55" x14ac:dyDescent="0.2">
      <c r="A4" t="s">
        <v>549</v>
      </c>
      <c r="B4">
        <v>1921</v>
      </c>
      <c r="D4" t="s">
        <v>550</v>
      </c>
      <c r="G4" t="s">
        <v>752</v>
      </c>
      <c r="H4" t="s">
        <v>814</v>
      </c>
      <c r="I4">
        <v>2</v>
      </c>
      <c r="J4">
        <v>1</v>
      </c>
      <c r="N4" t="s">
        <v>18</v>
      </c>
      <c r="O4">
        <v>1</v>
      </c>
      <c r="T4">
        <v>49</v>
      </c>
      <c r="AA4" t="s">
        <v>50</v>
      </c>
      <c r="AB4" t="s">
        <v>20</v>
      </c>
      <c r="AF4" t="s">
        <v>14</v>
      </c>
    </row>
    <row r="5" spans="1:55" x14ac:dyDescent="0.2">
      <c r="A5" t="s">
        <v>549</v>
      </c>
      <c r="B5">
        <v>1921</v>
      </c>
      <c r="D5" t="s">
        <v>550</v>
      </c>
      <c r="G5" t="s">
        <v>752</v>
      </c>
      <c r="H5" t="s">
        <v>815</v>
      </c>
      <c r="I5">
        <v>3</v>
      </c>
      <c r="J5">
        <v>1</v>
      </c>
      <c r="N5" t="s">
        <v>22</v>
      </c>
      <c r="P5">
        <v>1</v>
      </c>
      <c r="T5">
        <v>18</v>
      </c>
      <c r="AA5" t="s">
        <v>50</v>
      </c>
      <c r="AB5" t="s">
        <v>20</v>
      </c>
      <c r="AF5" t="s">
        <v>14</v>
      </c>
    </row>
    <row r="6" spans="1:55" x14ac:dyDescent="0.2">
      <c r="A6" t="s">
        <v>549</v>
      </c>
      <c r="B6">
        <v>1921</v>
      </c>
      <c r="D6" t="s">
        <v>550</v>
      </c>
      <c r="E6">
        <v>4</v>
      </c>
      <c r="G6" t="s">
        <v>817</v>
      </c>
      <c r="H6" t="s">
        <v>816</v>
      </c>
      <c r="I6">
        <v>4</v>
      </c>
      <c r="J6">
        <v>1</v>
      </c>
      <c r="N6" t="s">
        <v>26</v>
      </c>
      <c r="S6">
        <v>1</v>
      </c>
      <c r="T6">
        <v>23</v>
      </c>
      <c r="AA6" t="s">
        <v>344</v>
      </c>
      <c r="AB6" t="s">
        <v>29</v>
      </c>
      <c r="AC6">
        <v>1</v>
      </c>
      <c r="AF6" t="s">
        <v>705</v>
      </c>
    </row>
    <row r="8" spans="1:55" x14ac:dyDescent="0.2">
      <c r="A8" t="s">
        <v>549</v>
      </c>
      <c r="B8">
        <v>1921</v>
      </c>
      <c r="C8">
        <v>2</v>
      </c>
      <c r="D8" t="s">
        <v>550</v>
      </c>
      <c r="F8">
        <v>1</v>
      </c>
      <c r="G8" t="s">
        <v>820</v>
      </c>
      <c r="H8" t="s">
        <v>819</v>
      </c>
      <c r="I8">
        <v>5</v>
      </c>
      <c r="J8">
        <v>1</v>
      </c>
      <c r="N8">
        <v>1</v>
      </c>
      <c r="T8">
        <v>33</v>
      </c>
      <c r="AA8" t="s">
        <v>821</v>
      </c>
      <c r="AB8" t="s">
        <v>822</v>
      </c>
      <c r="AC8">
        <v>1</v>
      </c>
      <c r="AF8" t="s">
        <v>14</v>
      </c>
    </row>
    <row r="9" spans="1:55" x14ac:dyDescent="0.2">
      <c r="A9" t="s">
        <v>549</v>
      </c>
      <c r="B9">
        <v>1921</v>
      </c>
      <c r="D9" t="s">
        <v>550</v>
      </c>
      <c r="E9">
        <v>2</v>
      </c>
      <c r="G9" t="s">
        <v>824</v>
      </c>
      <c r="H9" t="s">
        <v>823</v>
      </c>
      <c r="I9">
        <v>6</v>
      </c>
      <c r="J9">
        <v>1</v>
      </c>
      <c r="N9" t="s">
        <v>58</v>
      </c>
      <c r="R9">
        <v>1</v>
      </c>
      <c r="T9">
        <v>32</v>
      </c>
      <c r="AA9" t="s">
        <v>821</v>
      </c>
      <c r="AB9" t="s">
        <v>825</v>
      </c>
      <c r="AC9">
        <v>1</v>
      </c>
      <c r="AF9" t="s">
        <v>14</v>
      </c>
    </row>
    <row r="11" spans="1:55" x14ac:dyDescent="0.2">
      <c r="A11" t="s">
        <v>549</v>
      </c>
      <c r="B11">
        <v>1921</v>
      </c>
      <c r="C11">
        <v>3</v>
      </c>
      <c r="D11" t="s">
        <v>550</v>
      </c>
      <c r="F11">
        <v>2</v>
      </c>
      <c r="G11" t="s">
        <v>61</v>
      </c>
      <c r="H11" t="s">
        <v>826</v>
      </c>
      <c r="I11">
        <v>7</v>
      </c>
      <c r="J11" t="s">
        <v>13</v>
      </c>
      <c r="K11">
        <v>1</v>
      </c>
      <c r="N11">
        <v>1</v>
      </c>
      <c r="T11">
        <v>52</v>
      </c>
      <c r="AA11" t="s">
        <v>827</v>
      </c>
      <c r="AB11" t="s">
        <v>828</v>
      </c>
      <c r="AC11">
        <v>1</v>
      </c>
      <c r="AF11" t="s">
        <v>49</v>
      </c>
    </row>
    <row r="12" spans="1:55" x14ac:dyDescent="0.2">
      <c r="A12" t="s">
        <v>549</v>
      </c>
      <c r="B12">
        <v>1921</v>
      </c>
      <c r="D12" t="s">
        <v>550</v>
      </c>
      <c r="E12">
        <v>2</v>
      </c>
      <c r="G12" t="s">
        <v>61</v>
      </c>
      <c r="H12" t="s">
        <v>665</v>
      </c>
      <c r="I12">
        <v>8</v>
      </c>
      <c r="J12">
        <v>1</v>
      </c>
      <c r="N12" t="s">
        <v>18</v>
      </c>
      <c r="O12">
        <v>1</v>
      </c>
      <c r="T12">
        <v>53</v>
      </c>
      <c r="AA12" t="s">
        <v>50</v>
      </c>
      <c r="AB12" t="s">
        <v>20</v>
      </c>
      <c r="AF12" t="s">
        <v>49</v>
      </c>
    </row>
    <row r="14" spans="1:55" s="55" customFormat="1" x14ac:dyDescent="0.2">
      <c r="A14" t="s">
        <v>549</v>
      </c>
      <c r="B14">
        <v>1921</v>
      </c>
      <c r="C14" s="55">
        <v>4</v>
      </c>
      <c r="D14" t="s">
        <v>550</v>
      </c>
      <c r="E14" s="55">
        <v>1</v>
      </c>
      <c r="F14" s="55">
        <v>3</v>
      </c>
      <c r="G14" s="55" t="s">
        <v>830</v>
      </c>
      <c r="H14" s="55" t="s">
        <v>829</v>
      </c>
      <c r="I14" s="55">
        <v>9</v>
      </c>
      <c r="J14" s="55">
        <v>1</v>
      </c>
      <c r="N14" s="55">
        <v>1</v>
      </c>
      <c r="T14" s="55">
        <v>42</v>
      </c>
      <c r="V14" s="55">
        <v>1</v>
      </c>
      <c r="AA14" t="s">
        <v>844</v>
      </c>
      <c r="AC14" s="55">
        <v>1</v>
      </c>
    </row>
    <row r="16" spans="1:55" x14ac:dyDescent="0.2">
      <c r="A16" t="s">
        <v>549</v>
      </c>
      <c r="B16">
        <v>1921</v>
      </c>
      <c r="C16">
        <v>5</v>
      </c>
      <c r="D16" t="s">
        <v>550</v>
      </c>
      <c r="F16">
        <v>6</v>
      </c>
      <c r="G16" t="s">
        <v>897</v>
      </c>
      <c r="H16" t="s">
        <v>170</v>
      </c>
      <c r="I16">
        <v>10</v>
      </c>
      <c r="J16">
        <v>1</v>
      </c>
      <c r="N16">
        <v>1</v>
      </c>
      <c r="T16">
        <v>86</v>
      </c>
      <c r="AA16" t="s">
        <v>898</v>
      </c>
      <c r="AB16" t="s">
        <v>20</v>
      </c>
      <c r="AF16" t="s">
        <v>14</v>
      </c>
    </row>
    <row r="17" spans="1:42" x14ac:dyDescent="0.2">
      <c r="A17" t="s">
        <v>549</v>
      </c>
      <c r="B17">
        <v>1921</v>
      </c>
      <c r="D17" t="s">
        <v>550</v>
      </c>
      <c r="E17">
        <v>2</v>
      </c>
      <c r="G17" t="s">
        <v>900</v>
      </c>
      <c r="H17" t="s">
        <v>899</v>
      </c>
      <c r="I17">
        <v>11</v>
      </c>
      <c r="J17">
        <v>1</v>
      </c>
      <c r="N17" t="s">
        <v>26</v>
      </c>
      <c r="S17">
        <v>1</v>
      </c>
      <c r="T17">
        <v>46</v>
      </c>
      <c r="AA17" t="s">
        <v>26</v>
      </c>
      <c r="AB17" t="s">
        <v>29</v>
      </c>
      <c r="AC17">
        <v>1</v>
      </c>
      <c r="AF17" t="s">
        <v>901</v>
      </c>
    </row>
    <row r="19" spans="1:42" x14ac:dyDescent="0.2">
      <c r="A19" t="s">
        <v>549</v>
      </c>
      <c r="B19">
        <v>1921</v>
      </c>
      <c r="C19">
        <v>6</v>
      </c>
      <c r="D19" t="s">
        <v>550</v>
      </c>
      <c r="F19">
        <v>8</v>
      </c>
      <c r="G19" t="s">
        <v>903</v>
      </c>
      <c r="H19" t="s">
        <v>902</v>
      </c>
      <c r="I19">
        <v>12</v>
      </c>
      <c r="J19" t="s">
        <v>13</v>
      </c>
      <c r="K19">
        <v>1</v>
      </c>
      <c r="N19">
        <v>1</v>
      </c>
      <c r="T19">
        <v>54</v>
      </c>
      <c r="AA19" t="s">
        <v>904</v>
      </c>
      <c r="AB19" t="s">
        <v>16</v>
      </c>
      <c r="AC19">
        <v>1</v>
      </c>
      <c r="AF19" t="s">
        <v>329</v>
      </c>
      <c r="AG19">
        <v>1</v>
      </c>
    </row>
    <row r="20" spans="1:42" x14ac:dyDescent="0.2">
      <c r="A20" t="s">
        <v>549</v>
      </c>
      <c r="B20">
        <v>1921</v>
      </c>
      <c r="D20" t="s">
        <v>550</v>
      </c>
      <c r="G20" t="s">
        <v>903</v>
      </c>
      <c r="H20" t="s">
        <v>170</v>
      </c>
      <c r="I20">
        <v>13</v>
      </c>
      <c r="J20">
        <v>1</v>
      </c>
      <c r="N20" t="s">
        <v>18</v>
      </c>
      <c r="O20">
        <v>1</v>
      </c>
      <c r="T20">
        <v>56</v>
      </c>
      <c r="AA20" t="s">
        <v>50</v>
      </c>
      <c r="AB20" t="s">
        <v>20</v>
      </c>
      <c r="AF20" t="s">
        <v>49</v>
      </c>
    </row>
    <row r="21" spans="1:42" x14ac:dyDescent="0.2">
      <c r="A21" t="s">
        <v>549</v>
      </c>
      <c r="B21">
        <v>1921</v>
      </c>
      <c r="D21" t="s">
        <v>550</v>
      </c>
      <c r="E21">
        <v>3</v>
      </c>
      <c r="G21" t="s">
        <v>906</v>
      </c>
      <c r="H21" t="s">
        <v>905</v>
      </c>
      <c r="I21">
        <v>14</v>
      </c>
      <c r="J21">
        <v>1</v>
      </c>
      <c r="N21" t="s">
        <v>26</v>
      </c>
      <c r="S21">
        <v>1</v>
      </c>
      <c r="T21">
        <v>19</v>
      </c>
      <c r="AA21" t="s">
        <v>908</v>
      </c>
      <c r="AB21" t="s">
        <v>29</v>
      </c>
      <c r="AC21">
        <v>1</v>
      </c>
      <c r="AF21" t="s">
        <v>907</v>
      </c>
      <c r="AG21">
        <v>1</v>
      </c>
    </row>
    <row r="23" spans="1:42" x14ac:dyDescent="0.2">
      <c r="A23" t="s">
        <v>549</v>
      </c>
      <c r="B23">
        <v>1921</v>
      </c>
      <c r="C23">
        <v>7</v>
      </c>
      <c r="D23" t="s">
        <v>550</v>
      </c>
      <c r="F23">
        <v>10</v>
      </c>
      <c r="G23" t="s">
        <v>909</v>
      </c>
      <c r="H23" t="s">
        <v>336</v>
      </c>
      <c r="I23">
        <v>15</v>
      </c>
      <c r="J23">
        <v>1</v>
      </c>
      <c r="N23" t="s">
        <v>910</v>
      </c>
      <c r="R23">
        <v>1</v>
      </c>
      <c r="T23">
        <v>59</v>
      </c>
      <c r="AA23" t="s">
        <v>898</v>
      </c>
      <c r="AB23" t="s">
        <v>20</v>
      </c>
      <c r="AF23" t="s">
        <v>40</v>
      </c>
      <c r="AI23" t="s">
        <v>920</v>
      </c>
    </row>
    <row r="24" spans="1:42" x14ac:dyDescent="0.2">
      <c r="A24" t="s">
        <v>549</v>
      </c>
      <c r="B24">
        <v>1921</v>
      </c>
      <c r="D24" t="s">
        <v>550</v>
      </c>
      <c r="G24" t="s">
        <v>909</v>
      </c>
      <c r="H24" t="s">
        <v>911</v>
      </c>
      <c r="I24">
        <v>16</v>
      </c>
      <c r="J24" t="s">
        <v>13</v>
      </c>
      <c r="K24">
        <v>1</v>
      </c>
      <c r="N24" t="s">
        <v>51</v>
      </c>
      <c r="Q24">
        <v>1</v>
      </c>
      <c r="T24">
        <v>27</v>
      </c>
      <c r="AA24" t="s">
        <v>912</v>
      </c>
      <c r="AB24" t="s">
        <v>913</v>
      </c>
      <c r="AC24">
        <v>1</v>
      </c>
      <c r="AF24" t="s">
        <v>901</v>
      </c>
    </row>
    <row r="25" spans="1:42" x14ac:dyDescent="0.2">
      <c r="A25" t="s">
        <v>549</v>
      </c>
      <c r="B25">
        <v>1921</v>
      </c>
      <c r="D25" t="s">
        <v>550</v>
      </c>
      <c r="E25">
        <v>3</v>
      </c>
      <c r="G25" t="s">
        <v>914</v>
      </c>
      <c r="H25" t="s">
        <v>48</v>
      </c>
      <c r="I25">
        <v>17</v>
      </c>
      <c r="J25">
        <v>1</v>
      </c>
      <c r="N25" t="s">
        <v>26</v>
      </c>
      <c r="S25">
        <v>1</v>
      </c>
      <c r="T25">
        <v>35</v>
      </c>
      <c r="AA25" t="s">
        <v>20</v>
      </c>
      <c r="AB25" t="s">
        <v>29</v>
      </c>
      <c r="AC25">
        <v>1</v>
      </c>
      <c r="AF25" t="s">
        <v>915</v>
      </c>
    </row>
    <row r="26" spans="1:42" x14ac:dyDescent="0.2">
      <c r="A26" t="s">
        <v>549</v>
      </c>
      <c r="B26">
        <v>1921</v>
      </c>
      <c r="D26" t="s">
        <v>550</v>
      </c>
    </row>
    <row r="27" spans="1:42" x14ac:dyDescent="0.2">
      <c r="A27" t="s">
        <v>549</v>
      </c>
      <c r="B27">
        <v>1921</v>
      </c>
      <c r="D27" t="s">
        <v>550</v>
      </c>
      <c r="F27">
        <v>10</v>
      </c>
      <c r="G27" t="s">
        <v>916</v>
      </c>
      <c r="H27" t="s">
        <v>423</v>
      </c>
      <c r="I27">
        <v>18</v>
      </c>
      <c r="J27" t="s">
        <v>13</v>
      </c>
      <c r="K27">
        <v>1</v>
      </c>
      <c r="N27">
        <v>1</v>
      </c>
      <c r="T27">
        <v>56</v>
      </c>
      <c r="AA27" t="s">
        <v>917</v>
      </c>
      <c r="AB27" t="s">
        <v>918</v>
      </c>
      <c r="AC27">
        <v>1</v>
      </c>
      <c r="AF27" t="s">
        <v>368</v>
      </c>
      <c r="AG27">
        <v>1</v>
      </c>
      <c r="AI27" t="s">
        <v>920</v>
      </c>
    </row>
    <row r="28" spans="1:42" x14ac:dyDescent="0.2">
      <c r="A28" t="s">
        <v>549</v>
      </c>
      <c r="B28">
        <v>1921</v>
      </c>
      <c r="D28" t="s">
        <v>550</v>
      </c>
      <c r="G28" t="s">
        <v>61</v>
      </c>
      <c r="H28" t="s">
        <v>48</v>
      </c>
      <c r="I28">
        <v>19</v>
      </c>
      <c r="J28">
        <v>1</v>
      </c>
      <c r="N28" t="s">
        <v>721</v>
      </c>
      <c r="R28">
        <v>1</v>
      </c>
      <c r="T28">
        <v>34</v>
      </c>
      <c r="W28" t="s">
        <v>20</v>
      </c>
      <c r="AA28" t="s">
        <v>50</v>
      </c>
      <c r="AF28" t="s">
        <v>14</v>
      </c>
    </row>
    <row r="29" spans="1:42" x14ac:dyDescent="0.2">
      <c r="A29" t="s">
        <v>549</v>
      </c>
      <c r="B29">
        <v>1921</v>
      </c>
      <c r="D29" t="s">
        <v>550</v>
      </c>
      <c r="G29" t="s">
        <v>61</v>
      </c>
      <c r="H29" t="s">
        <v>919</v>
      </c>
      <c r="I29">
        <v>20</v>
      </c>
      <c r="J29" t="s">
        <v>13</v>
      </c>
      <c r="M29">
        <v>1</v>
      </c>
      <c r="N29" t="s">
        <v>51</v>
      </c>
      <c r="Q29">
        <v>1</v>
      </c>
      <c r="T29">
        <v>3</v>
      </c>
      <c r="V29" t="s">
        <v>20</v>
      </c>
      <c r="W29" t="s">
        <v>20</v>
      </c>
      <c r="AF29" t="s">
        <v>49</v>
      </c>
    </row>
    <row r="30" spans="1:42" x14ac:dyDescent="0.2">
      <c r="A30" t="s">
        <v>549</v>
      </c>
      <c r="B30">
        <v>1921</v>
      </c>
      <c r="D30" t="s">
        <v>550</v>
      </c>
      <c r="E30">
        <v>4</v>
      </c>
      <c r="G30" t="s">
        <v>61</v>
      </c>
      <c r="H30" t="s">
        <v>331</v>
      </c>
      <c r="I30">
        <v>21</v>
      </c>
      <c r="L30">
        <v>1</v>
      </c>
      <c r="N30" t="s">
        <v>22</v>
      </c>
      <c r="P30">
        <v>1</v>
      </c>
      <c r="T30">
        <v>1</v>
      </c>
      <c r="V30" t="s">
        <v>20</v>
      </c>
      <c r="W30" t="s">
        <v>20</v>
      </c>
      <c r="AF30" t="s">
        <v>49</v>
      </c>
    </row>
    <row r="31" spans="1:42" x14ac:dyDescent="0.2">
      <c r="A31" t="s">
        <v>549</v>
      </c>
      <c r="B31">
        <v>1921</v>
      </c>
      <c r="C31">
        <v>7</v>
      </c>
      <c r="D31" t="s">
        <v>550</v>
      </c>
      <c r="I31">
        <f>I30</f>
        <v>21</v>
      </c>
      <c r="J31">
        <f>SUM(J3:J30)</f>
        <v>14</v>
      </c>
      <c r="K31">
        <f t="shared" ref="K31:AP31" si="0">SUM(K3:K30)</f>
        <v>5</v>
      </c>
      <c r="L31">
        <f t="shared" si="0"/>
        <v>1</v>
      </c>
      <c r="M31">
        <f t="shared" si="0"/>
        <v>1</v>
      </c>
      <c r="N31">
        <f t="shared" si="0"/>
        <v>7</v>
      </c>
      <c r="O31">
        <f t="shared" si="0"/>
        <v>3</v>
      </c>
      <c r="P31">
        <f t="shared" si="0"/>
        <v>2</v>
      </c>
      <c r="Q31">
        <f t="shared" si="0"/>
        <v>2</v>
      </c>
      <c r="R31">
        <f t="shared" si="0"/>
        <v>3</v>
      </c>
      <c r="S31">
        <f t="shared" si="0"/>
        <v>4</v>
      </c>
      <c r="T31">
        <f t="shared" si="0"/>
        <v>832</v>
      </c>
      <c r="U31">
        <f>SUM(AF3:AF30)</f>
        <v>0</v>
      </c>
      <c r="V31">
        <f t="shared" si="0"/>
        <v>1</v>
      </c>
      <c r="W31">
        <f t="shared" si="0"/>
        <v>0</v>
      </c>
      <c r="X31">
        <f t="shared" si="0"/>
        <v>0</v>
      </c>
      <c r="Y31">
        <f t="shared" si="0"/>
        <v>0</v>
      </c>
      <c r="Z31">
        <f t="shared" si="0"/>
        <v>0</v>
      </c>
      <c r="AA31">
        <f>SUM(AA3:AA30)</f>
        <v>0</v>
      </c>
      <c r="AB31">
        <f>SUM(AB3:AB30)</f>
        <v>0</v>
      </c>
      <c r="AC31">
        <f t="shared" si="0"/>
        <v>12</v>
      </c>
      <c r="AD31">
        <f t="shared" si="0"/>
        <v>0</v>
      </c>
      <c r="AE31">
        <f t="shared" si="0"/>
        <v>0</v>
      </c>
      <c r="AF31">
        <f>N32-AG31</f>
        <v>18</v>
      </c>
      <c r="AG31">
        <f t="shared" si="0"/>
        <v>3</v>
      </c>
      <c r="AH31">
        <f t="shared" si="0"/>
        <v>0</v>
      </c>
      <c r="AI31">
        <f t="shared" si="0"/>
        <v>0</v>
      </c>
      <c r="AJ31">
        <f t="shared" si="0"/>
        <v>0</v>
      </c>
      <c r="AK31">
        <f t="shared" si="0"/>
        <v>0</v>
      </c>
      <c r="AL31">
        <f t="shared" si="0"/>
        <v>0</v>
      </c>
      <c r="AM31">
        <f t="shared" si="0"/>
        <v>0</v>
      </c>
      <c r="AN31">
        <f t="shared" si="0"/>
        <v>0</v>
      </c>
      <c r="AO31">
        <f t="shared" si="0"/>
        <v>0</v>
      </c>
      <c r="AP31">
        <f t="shared" si="0"/>
        <v>0</v>
      </c>
    </row>
    <row r="32" spans="1:42" x14ac:dyDescent="0.2">
      <c r="A32" t="s">
        <v>549</v>
      </c>
      <c r="B32">
        <v>1921</v>
      </c>
      <c r="C32">
        <v>7</v>
      </c>
      <c r="D32" t="s">
        <v>550</v>
      </c>
      <c r="J32">
        <f>SUM(J31:M31)</f>
        <v>21</v>
      </c>
      <c r="N32">
        <f>SUM(N31:S31)</f>
        <v>21</v>
      </c>
      <c r="T32" s="64">
        <f>T31/J32</f>
        <v>39.61904761904762</v>
      </c>
      <c r="U32">
        <f t="shared" ref="U32:AK32" si="1">SUM(V31:Y31)</f>
        <v>1</v>
      </c>
      <c r="V32">
        <f t="shared" si="1"/>
        <v>0</v>
      </c>
      <c r="W32">
        <f t="shared" si="1"/>
        <v>0</v>
      </c>
      <c r="X32">
        <f t="shared" si="1"/>
        <v>0</v>
      </c>
      <c r="AC32" s="65">
        <f>AC31/J32</f>
        <v>0.5714285714285714</v>
      </c>
      <c r="AF32" s="65">
        <f>AF31/N32</f>
        <v>0.8571428571428571</v>
      </c>
      <c r="AG32" s="65">
        <f>AG31/N32</f>
        <v>0.14285714285714285</v>
      </c>
      <c r="AH32">
        <f t="shared" si="1"/>
        <v>0</v>
      </c>
      <c r="AI32">
        <f t="shared" si="1"/>
        <v>0</v>
      </c>
      <c r="AJ32">
        <f t="shared" si="1"/>
        <v>0</v>
      </c>
      <c r="AK32">
        <f t="shared" si="1"/>
        <v>0</v>
      </c>
    </row>
    <row r="33" spans="33:33" x14ac:dyDescent="0.2">
      <c r="AG33" s="65"/>
    </row>
    <row r="84" spans="6:16" x14ac:dyDescent="0.2">
      <c r="H84" t="s">
        <v>0</v>
      </c>
      <c r="I84" t="s">
        <v>1</v>
      </c>
      <c r="J84" t="s">
        <v>2</v>
      </c>
      <c r="K84" t="s">
        <v>3</v>
      </c>
      <c r="L84" t="s">
        <v>4</v>
      </c>
      <c r="M84" t="s">
        <v>5</v>
      </c>
      <c r="N84" t="s">
        <v>6</v>
      </c>
      <c r="O84" t="s">
        <v>7</v>
      </c>
      <c r="P84" t="s">
        <v>8</v>
      </c>
    </row>
    <row r="85" spans="6:16" x14ac:dyDescent="0.2">
      <c r="F85" t="s">
        <v>818</v>
      </c>
      <c r="H85" t="s">
        <v>811</v>
      </c>
      <c r="I85" t="s">
        <v>752</v>
      </c>
      <c r="J85" t="s">
        <v>12</v>
      </c>
      <c r="K85" t="s">
        <v>13</v>
      </c>
      <c r="L85">
        <v>1867</v>
      </c>
      <c r="M85">
        <v>54</v>
      </c>
      <c r="N85" t="s">
        <v>14</v>
      </c>
      <c r="O85" t="s">
        <v>812</v>
      </c>
      <c r="P85" t="s">
        <v>813</v>
      </c>
    </row>
    <row r="86" spans="6:16" x14ac:dyDescent="0.2">
      <c r="H86" t="s">
        <v>814</v>
      </c>
      <c r="I86" t="s">
        <v>752</v>
      </c>
      <c r="J86" t="s">
        <v>18</v>
      </c>
      <c r="K86" t="s">
        <v>19</v>
      </c>
      <c r="L86">
        <v>1871</v>
      </c>
      <c r="M86">
        <v>49</v>
      </c>
      <c r="N86" t="s">
        <v>14</v>
      </c>
      <c r="O86" t="s">
        <v>50</v>
      </c>
      <c r="P86" t="s">
        <v>20</v>
      </c>
    </row>
    <row r="87" spans="6:16" x14ac:dyDescent="0.2">
      <c r="H87" t="s">
        <v>815</v>
      </c>
      <c r="I87" t="s">
        <v>752</v>
      </c>
      <c r="J87" t="s">
        <v>22</v>
      </c>
      <c r="K87" t="s">
        <v>19</v>
      </c>
      <c r="L87">
        <v>1902</v>
      </c>
      <c r="M87">
        <v>18</v>
      </c>
      <c r="N87" t="s">
        <v>14</v>
      </c>
      <c r="O87" t="s">
        <v>50</v>
      </c>
      <c r="P87" t="s">
        <v>20</v>
      </c>
    </row>
    <row r="88" spans="6:16" x14ac:dyDescent="0.2">
      <c r="H88" t="s">
        <v>816</v>
      </c>
      <c r="I88" t="s">
        <v>817</v>
      </c>
      <c r="J88" t="s">
        <v>26</v>
      </c>
      <c r="K88" t="s">
        <v>19</v>
      </c>
      <c r="L88">
        <v>1898</v>
      </c>
      <c r="M88">
        <v>23</v>
      </c>
      <c r="N88" t="s">
        <v>705</v>
      </c>
      <c r="O88" t="s">
        <v>344</v>
      </c>
      <c r="P88" t="s">
        <v>29</v>
      </c>
    </row>
    <row r="90" spans="6:16" x14ac:dyDescent="0.2">
      <c r="H90" t="s">
        <v>0</v>
      </c>
      <c r="I90" t="s">
        <v>1</v>
      </c>
      <c r="J90" t="s">
        <v>2</v>
      </c>
      <c r="K90" t="s">
        <v>3</v>
      </c>
      <c r="L90" t="s">
        <v>4</v>
      </c>
      <c r="M90" t="s">
        <v>5</v>
      </c>
      <c r="N90" t="s">
        <v>6</v>
      </c>
      <c r="O90" t="s">
        <v>7</v>
      </c>
      <c r="P90" t="s">
        <v>8</v>
      </c>
    </row>
    <row r="91" spans="6:16" x14ac:dyDescent="0.2">
      <c r="F91">
        <v>1</v>
      </c>
      <c r="H91" t="s">
        <v>819</v>
      </c>
      <c r="I91" t="s">
        <v>820</v>
      </c>
      <c r="J91" t="s">
        <v>12</v>
      </c>
      <c r="K91" t="s">
        <v>19</v>
      </c>
      <c r="L91">
        <v>1888</v>
      </c>
      <c r="M91">
        <v>33</v>
      </c>
      <c r="N91" t="s">
        <v>14</v>
      </c>
      <c r="O91" t="s">
        <v>821</v>
      </c>
      <c r="P91" t="s">
        <v>822</v>
      </c>
    </row>
    <row r="92" spans="6:16" x14ac:dyDescent="0.2">
      <c r="H92" t="s">
        <v>823</v>
      </c>
      <c r="I92" t="s">
        <v>824</v>
      </c>
      <c r="J92" t="s">
        <v>58</v>
      </c>
      <c r="K92" t="s">
        <v>19</v>
      </c>
      <c r="L92">
        <v>1889</v>
      </c>
      <c r="M92">
        <v>32</v>
      </c>
      <c r="N92" t="s">
        <v>14</v>
      </c>
      <c r="O92" t="s">
        <v>821</v>
      </c>
      <c r="P92" t="s">
        <v>825</v>
      </c>
    </row>
    <row r="94" spans="6:16" x14ac:dyDescent="0.2">
      <c r="H94" t="s">
        <v>0</v>
      </c>
      <c r="I94" t="s">
        <v>1</v>
      </c>
      <c r="J94" t="s">
        <v>2</v>
      </c>
      <c r="K94" t="s">
        <v>3</v>
      </c>
      <c r="L94" t="s">
        <v>4</v>
      </c>
      <c r="M94" t="s">
        <v>5</v>
      </c>
      <c r="N94" t="s">
        <v>6</v>
      </c>
      <c r="O94" t="s">
        <v>7</v>
      </c>
      <c r="P94" t="s">
        <v>8</v>
      </c>
    </row>
    <row r="95" spans="6:16" x14ac:dyDescent="0.2">
      <c r="F95">
        <v>2</v>
      </c>
      <c r="H95" t="s">
        <v>826</v>
      </c>
      <c r="I95" t="s">
        <v>61</v>
      </c>
      <c r="J95" t="s">
        <v>12</v>
      </c>
      <c r="K95" t="s">
        <v>13</v>
      </c>
      <c r="L95">
        <v>1869</v>
      </c>
      <c r="M95">
        <v>52</v>
      </c>
      <c r="N95" t="s">
        <v>49</v>
      </c>
      <c r="O95" t="s">
        <v>827</v>
      </c>
      <c r="P95" t="s">
        <v>828</v>
      </c>
    </row>
    <row r="96" spans="6:16" x14ac:dyDescent="0.2">
      <c r="H96" t="s">
        <v>665</v>
      </c>
      <c r="I96" t="s">
        <v>61</v>
      </c>
      <c r="J96" t="s">
        <v>18</v>
      </c>
      <c r="K96" t="s">
        <v>19</v>
      </c>
      <c r="L96">
        <v>1867</v>
      </c>
      <c r="M96">
        <v>53</v>
      </c>
      <c r="N96" t="s">
        <v>49</v>
      </c>
      <c r="O96" t="s">
        <v>50</v>
      </c>
      <c r="P96" t="s">
        <v>20</v>
      </c>
    </row>
    <row r="98" spans="6:9" x14ac:dyDescent="0.2">
      <c r="H98" t="s">
        <v>0</v>
      </c>
      <c r="I98" t="s">
        <v>829</v>
      </c>
    </row>
    <row r="99" spans="6:9" x14ac:dyDescent="0.2">
      <c r="H99" t="s">
        <v>1</v>
      </c>
      <c r="I99" t="s">
        <v>830</v>
      </c>
    </row>
    <row r="100" spans="6:9" x14ac:dyDescent="0.2">
      <c r="F100">
        <v>3</v>
      </c>
      <c r="H100" t="s">
        <v>3</v>
      </c>
      <c r="I100" t="s">
        <v>19</v>
      </c>
    </row>
    <row r="101" spans="6:9" x14ac:dyDescent="0.2">
      <c r="H101" t="s">
        <v>4</v>
      </c>
      <c r="I101">
        <v>1879</v>
      </c>
    </row>
    <row r="102" spans="6:9" x14ac:dyDescent="0.2">
      <c r="H102" t="s">
        <v>831</v>
      </c>
      <c r="I102" s="187">
        <v>7841</v>
      </c>
    </row>
    <row r="103" spans="6:9" x14ac:dyDescent="0.2">
      <c r="H103" t="s">
        <v>5</v>
      </c>
      <c r="I103">
        <v>42</v>
      </c>
    </row>
    <row r="104" spans="6:9" x14ac:dyDescent="0.2">
      <c r="H104" t="s">
        <v>832</v>
      </c>
      <c r="I104">
        <v>6</v>
      </c>
    </row>
    <row r="105" spans="6:9" x14ac:dyDescent="0.2">
      <c r="H105" t="s">
        <v>833</v>
      </c>
      <c r="I105" t="s">
        <v>834</v>
      </c>
    </row>
    <row r="106" spans="6:9" x14ac:dyDescent="0.2">
      <c r="H106" t="s">
        <v>2</v>
      </c>
      <c r="I106" t="s">
        <v>12</v>
      </c>
    </row>
    <row r="107" spans="6:9" x14ac:dyDescent="0.2">
      <c r="H107" t="s">
        <v>835</v>
      </c>
      <c r="I107" t="s">
        <v>836</v>
      </c>
    </row>
    <row r="108" spans="6:9" x14ac:dyDescent="0.2">
      <c r="H108" t="s">
        <v>6</v>
      </c>
      <c r="I108" t="s">
        <v>49</v>
      </c>
    </row>
    <row r="109" spans="6:9" x14ac:dyDescent="0.2">
      <c r="H109" t="s">
        <v>837</v>
      </c>
      <c r="I109" t="s">
        <v>838</v>
      </c>
    </row>
    <row r="110" spans="6:9" x14ac:dyDescent="0.2">
      <c r="H110" t="s">
        <v>839</v>
      </c>
      <c r="I110" t="s">
        <v>251</v>
      </c>
    </row>
    <row r="111" spans="6:9" x14ac:dyDescent="0.2">
      <c r="H111" t="s">
        <v>840</v>
      </c>
      <c r="I111" t="s">
        <v>841</v>
      </c>
    </row>
    <row r="112" spans="6:9" x14ac:dyDescent="0.2">
      <c r="H112" t="s">
        <v>842</v>
      </c>
      <c r="I112" t="s">
        <v>843</v>
      </c>
    </row>
    <row r="113" spans="8:9" x14ac:dyDescent="0.2">
      <c r="H113" t="s">
        <v>7</v>
      </c>
      <c r="I113" t="s">
        <v>844</v>
      </c>
    </row>
    <row r="114" spans="8:9" x14ac:dyDescent="0.2">
      <c r="H114" t="s">
        <v>845</v>
      </c>
      <c r="I114">
        <v>419</v>
      </c>
    </row>
    <row r="115" spans="8:9" x14ac:dyDescent="0.2">
      <c r="H115" t="s">
        <v>846</v>
      </c>
      <c r="I115" t="s">
        <v>847</v>
      </c>
    </row>
    <row r="116" spans="8:9" x14ac:dyDescent="0.2">
      <c r="H116" t="s">
        <v>8</v>
      </c>
      <c r="I116" t="s">
        <v>848</v>
      </c>
    </row>
    <row r="117" spans="8:9" x14ac:dyDescent="0.2">
      <c r="H117" t="s">
        <v>849</v>
      </c>
      <c r="I117">
        <v>300</v>
      </c>
    </row>
    <row r="118" spans="8:9" x14ac:dyDescent="0.2">
      <c r="H118" t="s">
        <v>850</v>
      </c>
      <c r="I118" t="s">
        <v>851</v>
      </c>
    </row>
    <row r="119" spans="8:9" x14ac:dyDescent="0.2">
      <c r="H119" t="s">
        <v>852</v>
      </c>
      <c r="I119">
        <v>0</v>
      </c>
    </row>
    <row r="120" spans="8:9" x14ac:dyDescent="0.2">
      <c r="H120" t="s">
        <v>853</v>
      </c>
      <c r="I120" t="s">
        <v>854</v>
      </c>
    </row>
    <row r="121" spans="8:9" x14ac:dyDescent="0.2">
      <c r="H121" t="s">
        <v>855</v>
      </c>
      <c r="I121" t="s">
        <v>856</v>
      </c>
    </row>
    <row r="122" spans="8:9" x14ac:dyDescent="0.2">
      <c r="H122" t="s">
        <v>857</v>
      </c>
      <c r="I122">
        <v>3</v>
      </c>
    </row>
    <row r="123" spans="8:9" x14ac:dyDescent="0.2">
      <c r="H123" t="s">
        <v>858</v>
      </c>
      <c r="I123" t="s">
        <v>550</v>
      </c>
    </row>
    <row r="124" spans="8:9" x14ac:dyDescent="0.2">
      <c r="H124" t="s">
        <v>217</v>
      </c>
      <c r="I124" t="s">
        <v>859</v>
      </c>
    </row>
    <row r="125" spans="8:9" x14ac:dyDescent="0.2">
      <c r="H125" t="s">
        <v>860</v>
      </c>
      <c r="I125" t="s">
        <v>861</v>
      </c>
    </row>
    <row r="126" spans="8:9" x14ac:dyDescent="0.2">
      <c r="H126" t="s">
        <v>862</v>
      </c>
      <c r="I126" t="s">
        <v>838</v>
      </c>
    </row>
    <row r="127" spans="8:9" x14ac:dyDescent="0.2">
      <c r="H127" t="s">
        <v>863</v>
      </c>
      <c r="I127" t="s">
        <v>838</v>
      </c>
    </row>
    <row r="128" spans="8:9" x14ac:dyDescent="0.2">
      <c r="H128" t="s">
        <v>864</v>
      </c>
      <c r="I128">
        <v>430</v>
      </c>
    </row>
    <row r="129" spans="8:9" x14ac:dyDescent="0.2">
      <c r="H129" t="s">
        <v>865</v>
      </c>
      <c r="I129" t="s">
        <v>866</v>
      </c>
    </row>
    <row r="130" spans="8:9" x14ac:dyDescent="0.2">
      <c r="H130" t="s">
        <v>867</v>
      </c>
      <c r="I130">
        <v>1</v>
      </c>
    </row>
    <row r="131" spans="8:9" x14ac:dyDescent="0.2">
      <c r="H131" t="s">
        <v>868</v>
      </c>
      <c r="I131">
        <v>15</v>
      </c>
    </row>
    <row r="132" spans="8:9" x14ac:dyDescent="0.2">
      <c r="H132" t="s">
        <v>869</v>
      </c>
      <c r="I132" t="s">
        <v>251</v>
      </c>
    </row>
    <row r="133" spans="8:9" x14ac:dyDescent="0.2">
      <c r="H133" t="s">
        <v>870</v>
      </c>
      <c r="I133" t="s">
        <v>841</v>
      </c>
    </row>
    <row r="134" spans="8:9" x14ac:dyDescent="0.2">
      <c r="H134" t="s">
        <v>871</v>
      </c>
      <c r="I134" t="s">
        <v>872</v>
      </c>
    </row>
    <row r="135" spans="8:9" x14ac:dyDescent="0.2">
      <c r="H135" t="s">
        <v>873</v>
      </c>
      <c r="I135" t="s">
        <v>874</v>
      </c>
    </row>
    <row r="136" spans="8:9" x14ac:dyDescent="0.2">
      <c r="H136" t="s">
        <v>875</v>
      </c>
      <c r="I136" t="s">
        <v>876</v>
      </c>
    </row>
    <row r="137" spans="8:9" x14ac:dyDescent="0.2">
      <c r="H137" t="s">
        <v>877</v>
      </c>
      <c r="I137" t="s">
        <v>878</v>
      </c>
    </row>
    <row r="138" spans="8:9" x14ac:dyDescent="0.2">
      <c r="H138" t="s">
        <v>879</v>
      </c>
      <c r="I138">
        <v>15945</v>
      </c>
    </row>
    <row r="139" spans="8:9" x14ac:dyDescent="0.2">
      <c r="H139" t="s">
        <v>880</v>
      </c>
      <c r="I139">
        <v>4</v>
      </c>
    </row>
    <row r="140" spans="8:9" x14ac:dyDescent="0.2">
      <c r="H140" t="s">
        <v>881</v>
      </c>
      <c r="I140" t="s">
        <v>882</v>
      </c>
    </row>
    <row r="141" spans="8:9" x14ac:dyDescent="0.2">
      <c r="H141" t="s">
        <v>883</v>
      </c>
      <c r="I141" t="s">
        <v>884</v>
      </c>
    </row>
    <row r="142" spans="8:9" x14ac:dyDescent="0.2">
      <c r="H142" t="s">
        <v>885</v>
      </c>
      <c r="I142" t="s">
        <v>886</v>
      </c>
    </row>
    <row r="143" spans="8:9" x14ac:dyDescent="0.2">
      <c r="H143" t="s">
        <v>887</v>
      </c>
      <c r="I143" t="s">
        <v>20</v>
      </c>
    </row>
    <row r="144" spans="8:9" x14ac:dyDescent="0.2">
      <c r="H144" t="s">
        <v>888</v>
      </c>
      <c r="I144" t="s">
        <v>20</v>
      </c>
    </row>
    <row r="145" spans="6:16" x14ac:dyDescent="0.2">
      <c r="H145" t="s">
        <v>889</v>
      </c>
      <c r="I145" t="s">
        <v>890</v>
      </c>
    </row>
    <row r="146" spans="6:16" x14ac:dyDescent="0.2">
      <c r="H146" t="s">
        <v>891</v>
      </c>
      <c r="I146" t="s">
        <v>892</v>
      </c>
    </row>
    <row r="147" spans="6:16" x14ac:dyDescent="0.2">
      <c r="H147" t="s">
        <v>893</v>
      </c>
      <c r="I147" t="s">
        <v>894</v>
      </c>
    </row>
    <row r="148" spans="6:16" x14ac:dyDescent="0.2">
      <c r="H148" t="s">
        <v>895</v>
      </c>
      <c r="I148" t="s">
        <v>896</v>
      </c>
    </row>
    <row r="150" spans="6:16" x14ac:dyDescent="0.2">
      <c r="H150" t="s">
        <v>0</v>
      </c>
      <c r="I150" t="s">
        <v>1</v>
      </c>
      <c r="J150" t="s">
        <v>2</v>
      </c>
      <c r="K150" t="s">
        <v>3</v>
      </c>
      <c r="L150" t="s">
        <v>4</v>
      </c>
      <c r="M150" t="s">
        <v>5</v>
      </c>
      <c r="N150" t="s">
        <v>6</v>
      </c>
      <c r="O150" t="s">
        <v>7</v>
      </c>
      <c r="P150" t="s">
        <v>8</v>
      </c>
    </row>
    <row r="151" spans="6:16" x14ac:dyDescent="0.2">
      <c r="F151">
        <v>6</v>
      </c>
      <c r="H151" t="s">
        <v>170</v>
      </c>
      <c r="I151" t="s">
        <v>897</v>
      </c>
      <c r="J151" t="s">
        <v>12</v>
      </c>
      <c r="K151" t="s">
        <v>19</v>
      </c>
      <c r="L151">
        <v>1835</v>
      </c>
      <c r="M151">
        <v>86</v>
      </c>
      <c r="N151" t="s">
        <v>14</v>
      </c>
      <c r="O151" t="s">
        <v>898</v>
      </c>
      <c r="P151" t="s">
        <v>20</v>
      </c>
    </row>
    <row r="152" spans="6:16" x14ac:dyDescent="0.2">
      <c r="H152" t="s">
        <v>899</v>
      </c>
      <c r="I152" t="s">
        <v>900</v>
      </c>
      <c r="J152" t="s">
        <v>26</v>
      </c>
      <c r="K152" t="s">
        <v>19</v>
      </c>
      <c r="L152">
        <v>1875</v>
      </c>
      <c r="M152">
        <v>46</v>
      </c>
      <c r="N152" t="s">
        <v>901</v>
      </c>
      <c r="O152" t="s">
        <v>26</v>
      </c>
      <c r="P152" t="s">
        <v>29</v>
      </c>
    </row>
    <row r="155" spans="6:16" x14ac:dyDescent="0.2">
      <c r="F155">
        <v>8</v>
      </c>
      <c r="H155" t="s">
        <v>0</v>
      </c>
      <c r="I155" t="s">
        <v>1</v>
      </c>
      <c r="J155" t="s">
        <v>2</v>
      </c>
      <c r="K155" t="s">
        <v>3</v>
      </c>
      <c r="L155" t="s">
        <v>4</v>
      </c>
      <c r="M155" t="s">
        <v>5</v>
      </c>
      <c r="N155" t="s">
        <v>6</v>
      </c>
      <c r="O155" t="s">
        <v>7</v>
      </c>
      <c r="P155" t="s">
        <v>8</v>
      </c>
    </row>
    <row r="156" spans="6:16" x14ac:dyDescent="0.2">
      <c r="H156" t="s">
        <v>902</v>
      </c>
      <c r="I156" t="s">
        <v>903</v>
      </c>
      <c r="J156" t="s">
        <v>12</v>
      </c>
      <c r="K156" t="s">
        <v>13</v>
      </c>
      <c r="L156">
        <v>1866</v>
      </c>
      <c r="M156">
        <v>54</v>
      </c>
      <c r="N156" t="s">
        <v>329</v>
      </c>
      <c r="O156" t="s">
        <v>904</v>
      </c>
      <c r="P156" t="s">
        <v>16</v>
      </c>
    </row>
    <row r="157" spans="6:16" x14ac:dyDescent="0.2">
      <c r="H157" t="s">
        <v>170</v>
      </c>
      <c r="I157" t="s">
        <v>903</v>
      </c>
      <c r="J157" t="s">
        <v>18</v>
      </c>
      <c r="K157" t="s">
        <v>19</v>
      </c>
      <c r="L157">
        <v>1865</v>
      </c>
      <c r="M157">
        <v>56</v>
      </c>
      <c r="N157" t="s">
        <v>49</v>
      </c>
      <c r="O157" t="s">
        <v>50</v>
      </c>
      <c r="P157" t="s">
        <v>20</v>
      </c>
    </row>
    <row r="158" spans="6:16" x14ac:dyDescent="0.2">
      <c r="H158" t="s">
        <v>905</v>
      </c>
      <c r="I158" t="s">
        <v>906</v>
      </c>
      <c r="J158" t="s">
        <v>26</v>
      </c>
      <c r="K158" t="s">
        <v>19</v>
      </c>
      <c r="L158">
        <v>1901</v>
      </c>
      <c r="M158">
        <v>19</v>
      </c>
      <c r="N158" t="s">
        <v>907</v>
      </c>
      <c r="O158" t="s">
        <v>908</v>
      </c>
      <c r="P158" t="s">
        <v>29</v>
      </c>
    </row>
    <row r="160" spans="6:16" x14ac:dyDescent="0.2">
      <c r="H160" t="s">
        <v>0</v>
      </c>
      <c r="I160" t="s">
        <v>1</v>
      </c>
      <c r="J160" t="s">
        <v>2</v>
      </c>
      <c r="K160" t="s">
        <v>3</v>
      </c>
      <c r="L160" t="s">
        <v>4</v>
      </c>
      <c r="M160" t="s">
        <v>5</v>
      </c>
      <c r="N160" t="s">
        <v>6</v>
      </c>
      <c r="O160" t="s">
        <v>7</v>
      </c>
      <c r="P160" t="s">
        <v>8</v>
      </c>
    </row>
    <row r="161" spans="6:16" x14ac:dyDescent="0.2">
      <c r="F161">
        <v>10</v>
      </c>
      <c r="H161" t="s">
        <v>336</v>
      </c>
      <c r="I161" t="s">
        <v>909</v>
      </c>
      <c r="J161" t="s">
        <v>910</v>
      </c>
      <c r="K161" t="s">
        <v>19</v>
      </c>
      <c r="L161">
        <v>1862</v>
      </c>
      <c r="M161">
        <v>59</v>
      </c>
      <c r="N161" t="s">
        <v>40</v>
      </c>
      <c r="O161" t="s">
        <v>898</v>
      </c>
      <c r="P161" t="s">
        <v>20</v>
      </c>
    </row>
    <row r="162" spans="6:16" x14ac:dyDescent="0.2">
      <c r="H162" t="s">
        <v>911</v>
      </c>
      <c r="I162" t="s">
        <v>909</v>
      </c>
      <c r="J162" t="s">
        <v>51</v>
      </c>
      <c r="K162" t="s">
        <v>13</v>
      </c>
      <c r="L162">
        <v>1894</v>
      </c>
      <c r="M162">
        <v>27</v>
      </c>
      <c r="N162" t="s">
        <v>901</v>
      </c>
      <c r="O162" t="s">
        <v>912</v>
      </c>
      <c r="P162" t="s">
        <v>913</v>
      </c>
    </row>
    <row r="163" spans="6:16" x14ac:dyDescent="0.2">
      <c r="H163" t="s">
        <v>48</v>
      </c>
      <c r="I163" t="s">
        <v>914</v>
      </c>
      <c r="J163" t="s">
        <v>26</v>
      </c>
      <c r="K163" t="s">
        <v>19</v>
      </c>
      <c r="L163">
        <v>1886</v>
      </c>
      <c r="M163">
        <v>35</v>
      </c>
      <c r="N163" t="s">
        <v>915</v>
      </c>
      <c r="O163" t="s">
        <v>20</v>
      </c>
      <c r="P163" t="s">
        <v>29</v>
      </c>
    </row>
    <row r="165" spans="6:16" x14ac:dyDescent="0.2">
      <c r="H165" t="s">
        <v>0</v>
      </c>
      <c r="I165" t="s">
        <v>1</v>
      </c>
      <c r="J165" t="s">
        <v>2</v>
      </c>
      <c r="K165" t="s">
        <v>3</v>
      </c>
      <c r="L165" t="s">
        <v>4</v>
      </c>
      <c r="M165" t="s">
        <v>5</v>
      </c>
      <c r="N165" t="s">
        <v>6</v>
      </c>
      <c r="O165" t="s">
        <v>7</v>
      </c>
      <c r="P165" t="s">
        <v>8</v>
      </c>
    </row>
    <row r="166" spans="6:16" x14ac:dyDescent="0.2">
      <c r="F166">
        <v>10</v>
      </c>
      <c r="H166" t="s">
        <v>423</v>
      </c>
      <c r="I166" t="s">
        <v>916</v>
      </c>
      <c r="J166" t="s">
        <v>12</v>
      </c>
      <c r="K166" t="s">
        <v>13</v>
      </c>
      <c r="L166">
        <v>1864</v>
      </c>
      <c r="M166">
        <v>56</v>
      </c>
      <c r="N166" t="s">
        <v>368</v>
      </c>
      <c r="O166" t="s">
        <v>917</v>
      </c>
      <c r="P166" t="s">
        <v>918</v>
      </c>
    </row>
    <row r="167" spans="6:16" x14ac:dyDescent="0.2">
      <c r="H167" t="s">
        <v>48</v>
      </c>
      <c r="I167" t="s">
        <v>61</v>
      </c>
      <c r="J167" t="s">
        <v>721</v>
      </c>
      <c r="K167" t="s">
        <v>19</v>
      </c>
      <c r="L167">
        <v>1887</v>
      </c>
      <c r="M167">
        <v>34</v>
      </c>
      <c r="N167" t="s">
        <v>14</v>
      </c>
      <c r="O167" t="s">
        <v>50</v>
      </c>
      <c r="P167" t="s">
        <v>20</v>
      </c>
    </row>
    <row r="168" spans="6:16" x14ac:dyDescent="0.2">
      <c r="H168" t="s">
        <v>919</v>
      </c>
      <c r="I168" t="s">
        <v>61</v>
      </c>
      <c r="J168" t="s">
        <v>51</v>
      </c>
      <c r="K168" t="s">
        <v>13</v>
      </c>
      <c r="L168">
        <v>1918</v>
      </c>
      <c r="M168">
        <v>3</v>
      </c>
      <c r="N168" t="s">
        <v>49</v>
      </c>
      <c r="O168" t="s">
        <v>20</v>
      </c>
      <c r="P168" t="s">
        <v>20</v>
      </c>
    </row>
    <row r="169" spans="6:16" x14ac:dyDescent="0.2">
      <c r="H169" t="s">
        <v>331</v>
      </c>
      <c r="I169" t="s">
        <v>61</v>
      </c>
      <c r="J169" t="s">
        <v>22</v>
      </c>
      <c r="K169" t="s">
        <v>19</v>
      </c>
      <c r="L169">
        <v>1919</v>
      </c>
      <c r="M169">
        <v>1</v>
      </c>
      <c r="N169" t="s">
        <v>49</v>
      </c>
      <c r="O169" t="s">
        <v>20</v>
      </c>
      <c r="P169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77D5-1F19-A942-BCEB-26554BBDBF49}">
  <dimension ref="A1:BC72"/>
  <sheetViews>
    <sheetView workbookViewId="0">
      <selection activeCell="A21" sqref="A21:XFD21"/>
    </sheetView>
  </sheetViews>
  <sheetFormatPr baseColWidth="10" defaultColWidth="10.83203125" defaultRowHeight="16" x14ac:dyDescent="0.2"/>
  <cols>
    <col min="4" max="4" width="13.5" customWidth="1"/>
    <col min="5" max="5" width="20.1640625" customWidth="1"/>
    <col min="6" max="6" width="10.6640625" customWidth="1"/>
    <col min="11" max="11" width="19.164062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555</v>
      </c>
      <c r="B3" s="9">
        <v>1921</v>
      </c>
      <c r="C3" s="7">
        <v>1</v>
      </c>
      <c r="D3" s="7" t="s">
        <v>556</v>
      </c>
      <c r="E3" s="7"/>
      <c r="F3" s="5"/>
      <c r="G3" s="7" t="s">
        <v>922</v>
      </c>
      <c r="H3" s="7" t="s">
        <v>921</v>
      </c>
      <c r="I3">
        <v>1</v>
      </c>
      <c r="J3" s="7" t="s">
        <v>13</v>
      </c>
      <c r="K3" s="10">
        <v>1</v>
      </c>
      <c r="L3" s="5"/>
      <c r="M3" s="5"/>
      <c r="N3" s="7">
        <v>1</v>
      </c>
      <c r="P3" s="7"/>
      <c r="T3" s="6">
        <v>49</v>
      </c>
      <c r="X3" s="5"/>
      <c r="Y3" s="5"/>
      <c r="Z3" s="5"/>
      <c r="AA3" s="6" t="s">
        <v>923</v>
      </c>
      <c r="AB3" s="5"/>
      <c r="AC3" s="5">
        <v>1</v>
      </c>
      <c r="AD3" s="6">
        <v>1</v>
      </c>
      <c r="AE3" s="7"/>
      <c r="AF3" s="6" t="s">
        <v>49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555</v>
      </c>
      <c r="B4" s="9">
        <v>1921</v>
      </c>
      <c r="C4" s="7">
        <v>1</v>
      </c>
      <c r="D4" s="7" t="s">
        <v>556</v>
      </c>
      <c r="E4" s="7"/>
      <c r="F4" s="7"/>
      <c r="G4" s="7" t="s">
        <v>922</v>
      </c>
      <c r="H4" s="7" t="s">
        <v>924</v>
      </c>
      <c r="I4">
        <v>2</v>
      </c>
      <c r="J4" s="7">
        <v>1</v>
      </c>
      <c r="K4" s="7"/>
      <c r="L4" s="7"/>
      <c r="M4" s="6"/>
      <c r="N4" s="7" t="s">
        <v>18</v>
      </c>
      <c r="O4">
        <v>1</v>
      </c>
      <c r="P4" s="7"/>
      <c r="T4" s="6">
        <v>38</v>
      </c>
      <c r="X4" s="7"/>
      <c r="Y4" s="7"/>
      <c r="Z4" s="7"/>
      <c r="AA4" s="6" t="s">
        <v>50</v>
      </c>
      <c r="AB4" s="7"/>
      <c r="AC4" s="5"/>
      <c r="AD4" s="6" t="s">
        <v>20</v>
      </c>
      <c r="AE4" s="7"/>
      <c r="AF4" s="6" t="s">
        <v>925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555</v>
      </c>
      <c r="B5" s="9">
        <v>1921</v>
      </c>
      <c r="C5" s="7">
        <v>1</v>
      </c>
      <c r="D5" s="7" t="s">
        <v>556</v>
      </c>
      <c r="E5" s="7"/>
      <c r="F5" s="7"/>
      <c r="G5" s="7" t="s">
        <v>926</v>
      </c>
      <c r="H5" s="7" t="s">
        <v>665</v>
      </c>
      <c r="I5">
        <v>3</v>
      </c>
      <c r="J5" s="7">
        <v>1</v>
      </c>
      <c r="K5" s="7"/>
      <c r="L5" s="7"/>
      <c r="M5" s="6"/>
      <c r="N5" s="7" t="s">
        <v>26</v>
      </c>
      <c r="P5" s="7"/>
      <c r="S5">
        <v>1</v>
      </c>
      <c r="T5" s="6">
        <v>38</v>
      </c>
      <c r="X5" s="7"/>
      <c r="Y5" s="7"/>
      <c r="Z5" s="7"/>
      <c r="AA5" s="6" t="s">
        <v>56</v>
      </c>
      <c r="AB5" s="7"/>
      <c r="AC5" s="5">
        <v>1</v>
      </c>
      <c r="AD5" s="6" t="s">
        <v>29</v>
      </c>
      <c r="AE5" s="7"/>
      <c r="AF5" s="6" t="s">
        <v>212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555</v>
      </c>
      <c r="B6" s="9">
        <v>1921</v>
      </c>
      <c r="C6" s="7">
        <v>1</v>
      </c>
      <c r="D6" s="7" t="s">
        <v>556</v>
      </c>
      <c r="E6" s="7"/>
      <c r="F6" s="7"/>
      <c r="G6" s="7" t="s">
        <v>928</v>
      </c>
      <c r="H6" s="7" t="s">
        <v>927</v>
      </c>
      <c r="I6">
        <v>4</v>
      </c>
      <c r="J6" s="7">
        <v>1</v>
      </c>
      <c r="K6" s="7"/>
      <c r="L6" s="7"/>
      <c r="M6" s="6"/>
      <c r="N6" s="7" t="s">
        <v>26</v>
      </c>
      <c r="P6" s="7"/>
      <c r="S6">
        <v>1</v>
      </c>
      <c r="T6" s="6">
        <v>21</v>
      </c>
      <c r="X6" s="7"/>
      <c r="Y6" s="7"/>
      <c r="Z6" s="7"/>
      <c r="AA6" s="6" t="s">
        <v>56</v>
      </c>
      <c r="AB6" s="7"/>
      <c r="AC6" s="5">
        <v>1</v>
      </c>
      <c r="AD6" s="6" t="s">
        <v>29</v>
      </c>
      <c r="AE6" s="7"/>
      <c r="AF6" s="6" t="s">
        <v>929</v>
      </c>
      <c r="AG6" s="7">
        <v>1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555</v>
      </c>
      <c r="B7" s="9">
        <v>1921</v>
      </c>
      <c r="C7" s="7">
        <v>1</v>
      </c>
      <c r="D7" s="7" t="s">
        <v>556</v>
      </c>
      <c r="E7" s="7"/>
      <c r="F7" s="7"/>
      <c r="G7" s="7" t="s">
        <v>930</v>
      </c>
      <c r="H7" s="7" t="s">
        <v>704</v>
      </c>
      <c r="I7">
        <v>5</v>
      </c>
      <c r="J7" s="7">
        <v>1</v>
      </c>
      <c r="K7" s="7"/>
      <c r="L7" s="7"/>
      <c r="M7" s="6"/>
      <c r="N7" s="7" t="s">
        <v>26</v>
      </c>
      <c r="P7" s="7"/>
      <c r="S7">
        <v>1</v>
      </c>
      <c r="T7" s="6">
        <v>29</v>
      </c>
      <c r="X7" s="7"/>
      <c r="Y7" s="7"/>
      <c r="Z7" s="7"/>
      <c r="AA7" s="6" t="s">
        <v>56</v>
      </c>
      <c r="AB7" s="7"/>
      <c r="AC7" s="5">
        <v>1</v>
      </c>
      <c r="AD7" s="6" t="s">
        <v>29</v>
      </c>
      <c r="AE7" s="7"/>
      <c r="AF7" s="6" t="s">
        <v>931</v>
      </c>
      <c r="AG7" s="7">
        <v>1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555</v>
      </c>
      <c r="B8" s="9">
        <v>1921</v>
      </c>
      <c r="C8" s="7">
        <v>1</v>
      </c>
      <c r="D8" s="7" t="s">
        <v>556</v>
      </c>
      <c r="E8" s="7"/>
      <c r="F8" s="7"/>
      <c r="G8" s="7" t="s">
        <v>932</v>
      </c>
      <c r="H8" s="7" t="s">
        <v>138</v>
      </c>
      <c r="I8">
        <v>6</v>
      </c>
      <c r="J8" s="7">
        <v>1</v>
      </c>
      <c r="K8" s="7"/>
      <c r="L8" s="7"/>
      <c r="M8" s="6"/>
      <c r="N8" s="7" t="s">
        <v>26</v>
      </c>
      <c r="P8" s="7"/>
      <c r="S8">
        <v>1</v>
      </c>
      <c r="T8" s="6">
        <v>43</v>
      </c>
      <c r="X8" s="7"/>
      <c r="Y8" s="7"/>
      <c r="Z8" s="7"/>
      <c r="AA8" s="6" t="s">
        <v>934</v>
      </c>
      <c r="AB8" s="7"/>
      <c r="AC8" s="5">
        <v>1</v>
      </c>
      <c r="AD8" s="6" t="s">
        <v>29</v>
      </c>
      <c r="AE8" s="7"/>
      <c r="AF8" s="6" t="s">
        <v>933</v>
      </c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555</v>
      </c>
      <c r="B9" s="9">
        <v>1921</v>
      </c>
      <c r="C9" s="7">
        <v>1</v>
      </c>
      <c r="D9" s="7" t="s">
        <v>556</v>
      </c>
      <c r="E9" s="7"/>
      <c r="F9" s="7"/>
      <c r="G9" s="7" t="s">
        <v>936</v>
      </c>
      <c r="H9" s="7" t="s">
        <v>935</v>
      </c>
      <c r="I9">
        <v>7</v>
      </c>
      <c r="J9" s="7">
        <v>1</v>
      </c>
      <c r="K9" s="7"/>
      <c r="L9" s="7"/>
      <c r="M9" s="6"/>
      <c r="N9" s="7" t="s">
        <v>26</v>
      </c>
      <c r="P9" s="7"/>
      <c r="S9">
        <v>1</v>
      </c>
      <c r="T9" s="6">
        <v>25</v>
      </c>
      <c r="X9" s="7"/>
      <c r="Y9" s="7"/>
      <c r="Z9" s="7"/>
      <c r="AA9" s="6" t="s">
        <v>56</v>
      </c>
      <c r="AB9" s="7"/>
      <c r="AC9" s="5">
        <v>1</v>
      </c>
      <c r="AD9" s="6" t="s">
        <v>29</v>
      </c>
      <c r="AE9" s="7"/>
      <c r="AF9" s="6" t="s">
        <v>20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555</v>
      </c>
      <c r="B10" s="9">
        <v>1921</v>
      </c>
      <c r="C10" s="7">
        <v>1</v>
      </c>
      <c r="D10" s="7" t="s">
        <v>556</v>
      </c>
      <c r="E10" s="7">
        <v>8</v>
      </c>
      <c r="F10" s="7"/>
      <c r="G10" s="7" t="s">
        <v>938</v>
      </c>
      <c r="H10" s="7" t="s">
        <v>937</v>
      </c>
      <c r="I10">
        <v>8</v>
      </c>
      <c r="J10" s="7">
        <v>1</v>
      </c>
      <c r="K10" s="7"/>
      <c r="L10" s="7"/>
      <c r="M10" s="6"/>
      <c r="N10" s="7" t="s">
        <v>26</v>
      </c>
      <c r="P10" s="7"/>
      <c r="S10">
        <v>1</v>
      </c>
      <c r="T10" s="7">
        <v>19</v>
      </c>
      <c r="X10" s="7"/>
      <c r="Y10" s="7"/>
      <c r="Z10" s="7"/>
      <c r="AA10" s="7" t="s">
        <v>56</v>
      </c>
      <c r="AB10" s="7"/>
      <c r="AC10" s="5">
        <v>1</v>
      </c>
      <c r="AD10" s="7" t="s">
        <v>29</v>
      </c>
      <c r="AE10" s="7"/>
      <c r="AF10" s="7" t="s">
        <v>356</v>
      </c>
      <c r="AG10" s="7">
        <v>1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555</v>
      </c>
      <c r="B11" s="9">
        <v>1921</v>
      </c>
      <c r="C11" s="7"/>
      <c r="D11" s="7" t="s">
        <v>556</v>
      </c>
      <c r="E11" s="7"/>
      <c r="F11" s="7"/>
      <c r="G11" s="7"/>
      <c r="H11" s="7"/>
      <c r="J11" s="7"/>
      <c r="K11" s="7"/>
      <c r="L11" s="7"/>
      <c r="M11" s="6"/>
      <c r="N11" s="7"/>
      <c r="P11" s="7"/>
      <c r="T11" s="6"/>
      <c r="X11" s="7"/>
      <c r="Y11" s="7"/>
      <c r="Z11" s="7"/>
      <c r="AA11" s="6"/>
      <c r="AB11" s="7"/>
      <c r="AC11" s="5"/>
      <c r="AD11" s="6"/>
      <c r="AE11" s="7"/>
      <c r="AF11" s="6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9" t="s">
        <v>555</v>
      </c>
      <c r="B12" s="9">
        <v>1921</v>
      </c>
      <c r="C12" s="7">
        <v>2</v>
      </c>
      <c r="D12" s="7" t="s">
        <v>556</v>
      </c>
      <c r="E12" s="7"/>
      <c r="F12" s="7"/>
      <c r="G12" s="7" t="s">
        <v>940</v>
      </c>
      <c r="H12" s="7" t="s">
        <v>939</v>
      </c>
      <c r="I12">
        <v>9</v>
      </c>
      <c r="J12" s="7" t="s">
        <v>13</v>
      </c>
      <c r="K12" s="7">
        <v>1</v>
      </c>
      <c r="L12" s="7"/>
      <c r="M12" s="6"/>
      <c r="N12" s="7">
        <v>1</v>
      </c>
      <c r="P12" s="7"/>
      <c r="T12" s="6">
        <v>57</v>
      </c>
      <c r="X12" s="7"/>
      <c r="Y12" s="7"/>
      <c r="Z12" s="7"/>
      <c r="AA12" s="6" t="s">
        <v>942</v>
      </c>
      <c r="AB12" s="7"/>
      <c r="AC12" s="5">
        <v>1</v>
      </c>
      <c r="AD12" s="6" t="s">
        <v>29</v>
      </c>
      <c r="AE12" s="7"/>
      <c r="AF12" s="6" t="s">
        <v>941</v>
      </c>
      <c r="AG12" s="7">
        <v>1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555</v>
      </c>
      <c r="B13" s="9">
        <v>1921</v>
      </c>
      <c r="C13" s="7">
        <v>2</v>
      </c>
      <c r="D13" s="7" t="s">
        <v>556</v>
      </c>
      <c r="E13" s="7">
        <v>2</v>
      </c>
      <c r="F13" s="7"/>
      <c r="G13" s="7" t="s">
        <v>940</v>
      </c>
      <c r="H13" s="7" t="s">
        <v>704</v>
      </c>
      <c r="I13">
        <v>10</v>
      </c>
      <c r="J13" s="7">
        <v>1</v>
      </c>
      <c r="K13" s="7"/>
      <c r="L13" s="7"/>
      <c r="M13" s="6"/>
      <c r="N13" s="7" t="s">
        <v>18</v>
      </c>
      <c r="O13">
        <v>1</v>
      </c>
      <c r="P13" s="7"/>
      <c r="T13" s="6">
        <v>60</v>
      </c>
      <c r="X13" s="7"/>
      <c r="Y13" s="7"/>
      <c r="Z13" s="7"/>
      <c r="AA13" s="6" t="s">
        <v>50</v>
      </c>
      <c r="AB13" s="7"/>
      <c r="AC13" s="5"/>
      <c r="AD13" s="6" t="s">
        <v>20</v>
      </c>
      <c r="AE13" s="7"/>
      <c r="AF13" s="6" t="s">
        <v>943</v>
      </c>
      <c r="AG13" s="7">
        <v>1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555</v>
      </c>
      <c r="B14" s="9">
        <v>1921</v>
      </c>
      <c r="C14" s="11"/>
      <c r="D14" s="7" t="s">
        <v>556</v>
      </c>
      <c r="E14" s="11"/>
      <c r="F14" s="12"/>
      <c r="G14" s="7"/>
      <c r="H14" s="7"/>
      <c r="J14" s="7"/>
      <c r="K14" s="13"/>
      <c r="L14" s="12"/>
      <c r="M14" s="12"/>
      <c r="N14" s="7"/>
      <c r="P14" s="7"/>
      <c r="T14" s="6"/>
      <c r="X14" s="12"/>
      <c r="Y14" s="12"/>
      <c r="Z14" s="12"/>
      <c r="AA14" s="6"/>
      <c r="AB14" s="12"/>
      <c r="AC14" s="5"/>
      <c r="AD14" s="6"/>
      <c r="AE14" s="7"/>
      <c r="AF14" s="6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555</v>
      </c>
      <c r="B15" s="9">
        <v>1921</v>
      </c>
      <c r="C15" s="7">
        <v>3</v>
      </c>
      <c r="D15" s="7" t="s">
        <v>556</v>
      </c>
      <c r="E15" s="7"/>
      <c r="F15" s="7"/>
      <c r="G15" s="7" t="s">
        <v>945</v>
      </c>
      <c r="H15" s="7" t="s">
        <v>944</v>
      </c>
      <c r="I15">
        <v>11</v>
      </c>
      <c r="J15" s="7" t="s">
        <v>13</v>
      </c>
      <c r="K15" s="9">
        <v>1</v>
      </c>
      <c r="L15" s="7"/>
      <c r="M15" s="6"/>
      <c r="N15" s="7">
        <v>1</v>
      </c>
      <c r="P15" s="7"/>
      <c r="T15" s="6">
        <v>56</v>
      </c>
      <c r="X15" s="7"/>
      <c r="Y15" s="7"/>
      <c r="Z15" s="7"/>
      <c r="AA15" s="6" t="s">
        <v>946</v>
      </c>
      <c r="AB15" s="7"/>
      <c r="AC15" s="5">
        <v>1</v>
      </c>
      <c r="AD15" s="6">
        <v>1</v>
      </c>
      <c r="AE15" s="7"/>
      <c r="AF15" s="6" t="s">
        <v>733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555</v>
      </c>
      <c r="B16" s="9">
        <v>1921</v>
      </c>
      <c r="C16" s="7">
        <v>3</v>
      </c>
      <c r="D16" s="7" t="s">
        <v>556</v>
      </c>
      <c r="E16" s="7"/>
      <c r="F16" s="7"/>
      <c r="G16" s="7" t="s">
        <v>945</v>
      </c>
      <c r="H16" s="7" t="s">
        <v>179</v>
      </c>
      <c r="I16">
        <v>12</v>
      </c>
      <c r="J16" s="7">
        <v>1</v>
      </c>
      <c r="N16" s="7"/>
      <c r="O16">
        <v>1</v>
      </c>
      <c r="P16" s="7"/>
      <c r="T16" s="7">
        <v>53</v>
      </c>
      <c r="X16" s="7"/>
      <c r="Y16" s="7"/>
      <c r="Z16" s="7"/>
      <c r="AA16" s="7" t="s">
        <v>20</v>
      </c>
      <c r="AB16" s="7"/>
      <c r="AC16" s="5"/>
      <c r="AD16" s="7" t="s">
        <v>20</v>
      </c>
      <c r="AE16" s="7"/>
      <c r="AF16" s="7" t="s">
        <v>329</v>
      </c>
      <c r="AG16" s="7">
        <v>1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555</v>
      </c>
      <c r="B17" s="9">
        <v>1921</v>
      </c>
      <c r="C17" s="7">
        <v>3</v>
      </c>
      <c r="D17" s="7" t="s">
        <v>556</v>
      </c>
      <c r="E17" s="7"/>
      <c r="F17" s="7"/>
      <c r="G17" s="7" t="s">
        <v>945</v>
      </c>
      <c r="H17" s="7" t="s">
        <v>947</v>
      </c>
      <c r="I17">
        <v>13</v>
      </c>
      <c r="J17" s="7">
        <v>1</v>
      </c>
      <c r="N17" s="7" t="s">
        <v>22</v>
      </c>
      <c r="P17" s="7">
        <v>1</v>
      </c>
      <c r="T17" s="7">
        <v>23</v>
      </c>
      <c r="X17" s="7"/>
      <c r="Y17" s="7"/>
      <c r="Z17" s="7"/>
      <c r="AA17" s="7" t="s">
        <v>20</v>
      </c>
      <c r="AB17" s="7"/>
      <c r="AC17" s="5"/>
      <c r="AD17" s="7" t="s">
        <v>20</v>
      </c>
      <c r="AE17" s="7"/>
      <c r="AF17" s="7" t="s">
        <v>40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555</v>
      </c>
      <c r="B18" s="9">
        <v>1921</v>
      </c>
      <c r="C18" s="7">
        <v>3</v>
      </c>
      <c r="D18" s="7" t="s">
        <v>556</v>
      </c>
      <c r="E18" s="7"/>
      <c r="F18" s="7"/>
      <c r="G18" s="21" t="s">
        <v>948</v>
      </c>
      <c r="H18" s="21" t="s">
        <v>24</v>
      </c>
      <c r="I18">
        <v>14</v>
      </c>
      <c r="J18" s="7">
        <v>1</v>
      </c>
      <c r="N18" s="7" t="s">
        <v>949</v>
      </c>
      <c r="P18" s="7"/>
      <c r="R18">
        <v>1</v>
      </c>
      <c r="T18" s="7">
        <v>38</v>
      </c>
      <c r="X18" s="7"/>
      <c r="Y18" s="7"/>
      <c r="Z18" s="7"/>
      <c r="AA18" s="7" t="s">
        <v>950</v>
      </c>
      <c r="AB18" s="7"/>
      <c r="AC18" s="5">
        <v>1</v>
      </c>
      <c r="AD18" s="7" t="s">
        <v>29</v>
      </c>
      <c r="AE18" s="7"/>
      <c r="AF18" s="7" t="s">
        <v>40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555</v>
      </c>
      <c r="B19" s="9">
        <v>1921</v>
      </c>
      <c r="C19" s="7">
        <v>3</v>
      </c>
      <c r="D19" s="7" t="s">
        <v>556</v>
      </c>
      <c r="E19" s="7"/>
      <c r="F19" s="7"/>
      <c r="G19" s="7" t="s">
        <v>952</v>
      </c>
      <c r="H19" s="7" t="s">
        <v>951</v>
      </c>
      <c r="I19">
        <v>15</v>
      </c>
      <c r="J19" s="7">
        <v>1</v>
      </c>
      <c r="N19" s="7" t="s">
        <v>26</v>
      </c>
      <c r="P19" s="7"/>
      <c r="S19">
        <v>1</v>
      </c>
      <c r="T19" s="7">
        <v>29</v>
      </c>
      <c r="X19" s="7"/>
      <c r="Y19" s="7"/>
      <c r="Z19" s="7"/>
      <c r="AA19" s="7" t="s">
        <v>33</v>
      </c>
      <c r="AB19" s="7"/>
      <c r="AC19" s="5">
        <v>1</v>
      </c>
      <c r="AD19" s="7" t="s">
        <v>29</v>
      </c>
      <c r="AE19" s="7"/>
      <c r="AF19" s="7" t="s">
        <v>953</v>
      </c>
      <c r="AG19" s="7">
        <v>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555</v>
      </c>
      <c r="B20" s="9">
        <v>1921</v>
      </c>
      <c r="C20" s="7">
        <v>3</v>
      </c>
      <c r="D20" s="7" t="s">
        <v>556</v>
      </c>
      <c r="E20" s="7">
        <v>6</v>
      </c>
      <c r="F20" s="7"/>
      <c r="G20" s="7" t="s">
        <v>955</v>
      </c>
      <c r="H20" s="7" t="s">
        <v>954</v>
      </c>
      <c r="I20">
        <v>16</v>
      </c>
      <c r="J20" s="7">
        <v>1</v>
      </c>
      <c r="N20" s="7" t="s">
        <v>26</v>
      </c>
      <c r="P20" s="7"/>
      <c r="S20">
        <v>1</v>
      </c>
      <c r="T20" s="7">
        <v>22</v>
      </c>
      <c r="X20" s="7"/>
      <c r="Y20" s="7"/>
      <c r="Z20" s="7"/>
      <c r="AA20" s="7" t="s">
        <v>28</v>
      </c>
      <c r="AB20" s="7"/>
      <c r="AC20" s="5">
        <v>1</v>
      </c>
      <c r="AD20" s="7" t="s">
        <v>29</v>
      </c>
      <c r="AE20" s="7"/>
      <c r="AF20" s="7" t="s">
        <v>956</v>
      </c>
      <c r="AG20" s="7">
        <v>1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s="2" customFormat="1" ht="17.5" customHeight="1" x14ac:dyDescent="0.2">
      <c r="A21" s="188" t="s">
        <v>555</v>
      </c>
      <c r="B21" s="188">
        <v>1921</v>
      </c>
      <c r="C21" s="26">
        <v>3</v>
      </c>
      <c r="D21" s="26" t="s">
        <v>556</v>
      </c>
      <c r="E21" s="26"/>
      <c r="F21" s="26"/>
      <c r="G21" s="26"/>
      <c r="I21" s="2">
        <v>16</v>
      </c>
      <c r="J21" s="2">
        <f>SUM(J3:J20)</f>
        <v>13</v>
      </c>
      <c r="K21" s="2">
        <f t="shared" ref="K21:AG21" si="0">SUM(K3:K20)</f>
        <v>3</v>
      </c>
      <c r="L21" s="2">
        <f t="shared" si="0"/>
        <v>0</v>
      </c>
      <c r="M21" s="2">
        <f t="shared" si="0"/>
        <v>0</v>
      </c>
      <c r="N21" s="2">
        <f t="shared" si="0"/>
        <v>3</v>
      </c>
      <c r="O21" s="2">
        <f t="shared" si="0"/>
        <v>3</v>
      </c>
      <c r="P21" s="2">
        <f t="shared" si="0"/>
        <v>1</v>
      </c>
      <c r="Q21" s="2">
        <f t="shared" si="0"/>
        <v>0</v>
      </c>
      <c r="R21" s="2">
        <f t="shared" si="0"/>
        <v>1</v>
      </c>
      <c r="S21" s="2">
        <f t="shared" si="0"/>
        <v>8</v>
      </c>
      <c r="T21" s="2">
        <f t="shared" si="0"/>
        <v>600</v>
      </c>
      <c r="U21" s="2">
        <f t="shared" si="0"/>
        <v>0</v>
      </c>
      <c r="V21" s="2">
        <f t="shared" si="0"/>
        <v>0</v>
      </c>
      <c r="W21" s="2">
        <f t="shared" si="0"/>
        <v>0</v>
      </c>
      <c r="X21" s="2">
        <f t="shared" si="0"/>
        <v>0</v>
      </c>
      <c r="Y21" s="2">
        <f t="shared" si="0"/>
        <v>0</v>
      </c>
      <c r="Z21" s="2">
        <f t="shared" si="0"/>
        <v>0</v>
      </c>
      <c r="AA21" s="2">
        <f t="shared" si="0"/>
        <v>0</v>
      </c>
      <c r="AB21" s="2">
        <f t="shared" si="0"/>
        <v>0</v>
      </c>
      <c r="AC21" s="2">
        <f t="shared" si="0"/>
        <v>12</v>
      </c>
      <c r="AD21" s="2">
        <f t="shared" si="0"/>
        <v>2</v>
      </c>
      <c r="AE21" s="2">
        <f>AC21-AD21</f>
        <v>10</v>
      </c>
      <c r="AF21" s="2">
        <f>N22-AG21</f>
        <v>7</v>
      </c>
      <c r="AG21" s="2">
        <f t="shared" si="0"/>
        <v>9</v>
      </c>
      <c r="AH21" s="2">
        <f>AG21+AF21</f>
        <v>16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</row>
    <row r="22" spans="1:51" ht="17.5" customHeight="1" x14ac:dyDescent="0.2">
      <c r="A22" s="7"/>
      <c r="B22" s="7"/>
      <c r="C22" s="7"/>
      <c r="D22" s="7"/>
      <c r="E22" s="7"/>
      <c r="F22" s="7"/>
      <c r="G22" s="7"/>
      <c r="J22">
        <f>SUM(J21:M21)</f>
        <v>16</v>
      </c>
      <c r="N22">
        <f>SUM(N21:S21)</f>
        <v>16</v>
      </c>
      <c r="Q22" s="7"/>
      <c r="R22" s="6"/>
      <c r="S22" s="6"/>
      <c r="T22" s="20">
        <f>T21/N22</f>
        <v>37.5</v>
      </c>
      <c r="U22" s="6"/>
      <c r="V22" s="6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" customHeight="1" x14ac:dyDescent="0.2">
      <c r="A23" s="7"/>
      <c r="B23" s="7"/>
      <c r="C23" s="7"/>
      <c r="D23" s="7"/>
      <c r="E23" s="7"/>
      <c r="F23" s="7"/>
      <c r="G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/>
      <c r="B24" s="7"/>
      <c r="C24" s="7"/>
      <c r="D24" s="7"/>
      <c r="E24" s="7"/>
      <c r="F24" s="7"/>
      <c r="G24" s="7"/>
      <c r="Q24" s="7"/>
      <c r="R24" s="6"/>
      <c r="S24" s="6"/>
      <c r="T24" s="19"/>
      <c r="U24" s="6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7"/>
      <c r="B25" s="7"/>
      <c r="C25" s="7"/>
      <c r="D25" s="7"/>
      <c r="E25" s="7"/>
      <c r="F25" s="7"/>
      <c r="G25" s="7"/>
      <c r="Q25" s="7"/>
      <c r="R25" s="6"/>
      <c r="S25" s="6"/>
      <c r="T25" s="7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Q26" s="7"/>
      <c r="R26" s="6"/>
      <c r="S26" s="6"/>
      <c r="T26" s="7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Q27" s="7"/>
      <c r="R27" s="6"/>
      <c r="S27" s="6"/>
      <c r="T27" s="19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Q28" s="7"/>
      <c r="R28" s="6"/>
      <c r="S28" s="6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Q29" s="7"/>
      <c r="R29" s="6"/>
      <c r="S29" s="6"/>
      <c r="T29" s="7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" customHeight="1" x14ac:dyDescent="0.2">
      <c r="A31" s="4" t="s">
        <v>252</v>
      </c>
      <c r="B31" s="7"/>
      <c r="C31" s="7"/>
      <c r="D31" s="7"/>
      <c r="E31" s="7"/>
      <c r="F31" s="7"/>
      <c r="G31" s="7">
        <f>SUM(G3:G30)</f>
        <v>0</v>
      </c>
      <c r="Q31" s="7">
        <f t="shared" ref="Q31:W31" si="1">SUM(Q3:Q30)</f>
        <v>0</v>
      </c>
      <c r="R31" s="7">
        <f t="shared" si="1"/>
        <v>2</v>
      </c>
      <c r="S31" s="7">
        <f t="shared" si="1"/>
        <v>16</v>
      </c>
      <c r="T31" s="7">
        <f t="shared" si="1"/>
        <v>1237.5</v>
      </c>
      <c r="U31" s="7">
        <f t="shared" si="1"/>
        <v>0</v>
      </c>
      <c r="V31" s="7">
        <f t="shared" si="1"/>
        <v>0</v>
      </c>
      <c r="W31" s="7">
        <f t="shared" si="1"/>
        <v>0</v>
      </c>
      <c r="X31" s="7"/>
      <c r="Y31" s="7"/>
      <c r="Z31" s="7">
        <f>SUM(Z3:Z30)</f>
        <v>0</v>
      </c>
      <c r="AA31" s="7">
        <f>SUM(AA3:AA30)</f>
        <v>0</v>
      </c>
      <c r="AB31" s="7">
        <f>SUM(AB3:AB30)</f>
        <v>0</v>
      </c>
      <c r="AC31" s="7">
        <f>SUM(AC3:AC30)</f>
        <v>24</v>
      </c>
      <c r="AD31" s="7">
        <f>SUM(AD3:AD30)</f>
        <v>4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7"/>
      <c r="B32" s="7"/>
      <c r="C32" s="7"/>
      <c r="D32" s="7"/>
      <c r="E32" s="7"/>
      <c r="F32" s="7"/>
      <c r="G32" s="7"/>
      <c r="Q32" s="20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7"/>
      <c r="B33" s="7"/>
      <c r="C33" s="7"/>
      <c r="D33" s="7"/>
      <c r="E33" s="7"/>
      <c r="F33" s="7"/>
      <c r="G33" s="21"/>
      <c r="Q33" s="20"/>
      <c r="R33" s="21"/>
      <c r="S33" s="21"/>
      <c r="T33" s="21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Q34" s="7"/>
      <c r="R34" s="6"/>
      <c r="S34" s="6"/>
      <c r="T34" s="19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7"/>
      <c r="Q35" s="7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22"/>
      <c r="AD35" s="22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52" spans="8:16" ht="34" x14ac:dyDescent="0.2">
      <c r="H52" s="7" t="s">
        <v>0</v>
      </c>
      <c r="I52" s="7" t="s">
        <v>1</v>
      </c>
      <c r="J52" s="7" t="s">
        <v>2</v>
      </c>
      <c r="K52" s="9" t="s">
        <v>3</v>
      </c>
      <c r="L52" s="7" t="s">
        <v>4</v>
      </c>
      <c r="M52" s="6" t="s">
        <v>5</v>
      </c>
      <c r="N52" s="6" t="s">
        <v>6</v>
      </c>
      <c r="O52" s="6" t="s">
        <v>7</v>
      </c>
      <c r="P52" s="6" t="s">
        <v>8</v>
      </c>
    </row>
    <row r="53" spans="8:16" ht="85" x14ac:dyDescent="0.2">
      <c r="H53" s="7" t="s">
        <v>921</v>
      </c>
      <c r="I53" s="7" t="s">
        <v>922</v>
      </c>
      <c r="J53" s="7" t="s">
        <v>12</v>
      </c>
      <c r="K53" s="7" t="s">
        <v>13</v>
      </c>
      <c r="L53" s="7">
        <v>1872</v>
      </c>
      <c r="M53" s="6">
        <v>49</v>
      </c>
      <c r="N53" s="6" t="s">
        <v>49</v>
      </c>
      <c r="O53" s="6" t="s">
        <v>923</v>
      </c>
      <c r="P53" s="6" t="s">
        <v>8</v>
      </c>
    </row>
    <row r="54" spans="8:16" ht="85" x14ac:dyDescent="0.2">
      <c r="H54" s="7" t="s">
        <v>924</v>
      </c>
      <c r="I54" s="7" t="s">
        <v>922</v>
      </c>
      <c r="J54" s="7" t="s">
        <v>18</v>
      </c>
      <c r="K54" s="7" t="s">
        <v>19</v>
      </c>
      <c r="L54" s="7">
        <v>1882</v>
      </c>
      <c r="M54" s="6">
        <v>38</v>
      </c>
      <c r="N54" s="6" t="s">
        <v>925</v>
      </c>
      <c r="O54" s="6" t="s">
        <v>50</v>
      </c>
      <c r="P54" s="6" t="s">
        <v>20</v>
      </c>
    </row>
    <row r="55" spans="8:16" ht="51" x14ac:dyDescent="0.2">
      <c r="H55" s="7" t="s">
        <v>665</v>
      </c>
      <c r="I55" s="7" t="s">
        <v>926</v>
      </c>
      <c r="J55" s="7" t="s">
        <v>26</v>
      </c>
      <c r="K55" s="7" t="s">
        <v>19</v>
      </c>
      <c r="L55" s="7">
        <v>1883</v>
      </c>
      <c r="M55" s="6">
        <v>38</v>
      </c>
      <c r="N55" s="6" t="s">
        <v>212</v>
      </c>
      <c r="O55" s="6" t="s">
        <v>56</v>
      </c>
      <c r="P55" s="6" t="s">
        <v>29</v>
      </c>
    </row>
    <row r="56" spans="8:16" ht="85" x14ac:dyDescent="0.2">
      <c r="H56" s="7" t="s">
        <v>927</v>
      </c>
      <c r="I56" s="7" t="s">
        <v>928</v>
      </c>
      <c r="J56" s="7" t="s">
        <v>26</v>
      </c>
      <c r="K56" s="7" t="s">
        <v>19</v>
      </c>
      <c r="L56" s="7">
        <v>1899</v>
      </c>
      <c r="M56" s="6">
        <v>21</v>
      </c>
      <c r="N56" s="6" t="s">
        <v>929</v>
      </c>
      <c r="O56" s="6" t="s">
        <v>56</v>
      </c>
      <c r="P56" s="6" t="s">
        <v>29</v>
      </c>
    </row>
    <row r="57" spans="8:16" ht="34" x14ac:dyDescent="0.2">
      <c r="H57" s="7" t="s">
        <v>704</v>
      </c>
      <c r="I57" s="7" t="s">
        <v>930</v>
      </c>
      <c r="J57" s="7" t="s">
        <v>26</v>
      </c>
      <c r="K57" s="7" t="s">
        <v>19</v>
      </c>
      <c r="L57" s="7">
        <v>1892</v>
      </c>
      <c r="M57" s="6">
        <v>29</v>
      </c>
      <c r="N57" s="6" t="s">
        <v>931</v>
      </c>
      <c r="O57" s="6" t="s">
        <v>56</v>
      </c>
      <c r="P57" s="6" t="s">
        <v>29</v>
      </c>
    </row>
    <row r="58" spans="8:16" ht="85" x14ac:dyDescent="0.2">
      <c r="H58" s="7" t="s">
        <v>138</v>
      </c>
      <c r="I58" s="7" t="s">
        <v>932</v>
      </c>
      <c r="J58" s="7" t="s">
        <v>26</v>
      </c>
      <c r="K58" s="7" t="s">
        <v>19</v>
      </c>
      <c r="L58" s="7">
        <v>1878</v>
      </c>
      <c r="M58" s="6">
        <v>43</v>
      </c>
      <c r="N58" s="6" t="s">
        <v>933</v>
      </c>
      <c r="O58" s="6" t="s">
        <v>934</v>
      </c>
      <c r="P58" s="6" t="s">
        <v>29</v>
      </c>
    </row>
    <row r="59" spans="8:16" ht="17" x14ac:dyDescent="0.2">
      <c r="H59" s="7" t="s">
        <v>935</v>
      </c>
      <c r="I59" s="7" t="s">
        <v>936</v>
      </c>
      <c r="J59" s="7" t="s">
        <v>26</v>
      </c>
      <c r="K59" s="7" t="s">
        <v>19</v>
      </c>
      <c r="L59" s="7">
        <v>1895</v>
      </c>
      <c r="M59" s="6">
        <v>25</v>
      </c>
      <c r="N59" s="6" t="s">
        <v>20</v>
      </c>
      <c r="O59" s="6" t="s">
        <v>56</v>
      </c>
      <c r="P59" s="6" t="s">
        <v>29</v>
      </c>
    </row>
    <row r="60" spans="8:16" x14ac:dyDescent="0.2">
      <c r="H60" s="7" t="s">
        <v>937</v>
      </c>
      <c r="I60" s="7" t="s">
        <v>938</v>
      </c>
      <c r="J60" s="7" t="s">
        <v>26</v>
      </c>
      <c r="K60" s="7" t="s">
        <v>19</v>
      </c>
      <c r="L60" s="7">
        <v>1901</v>
      </c>
      <c r="M60" s="7">
        <v>19</v>
      </c>
      <c r="N60" s="7" t="s">
        <v>356</v>
      </c>
      <c r="O60" s="7" t="s">
        <v>56</v>
      </c>
      <c r="P60" s="7" t="s">
        <v>29</v>
      </c>
    </row>
    <row r="61" spans="8:16" x14ac:dyDescent="0.2">
      <c r="H61" s="7"/>
      <c r="I61" s="7"/>
      <c r="J61" s="7"/>
      <c r="K61" s="7"/>
      <c r="L61" s="7"/>
      <c r="M61" s="6"/>
      <c r="N61" s="6"/>
      <c r="O61" s="6"/>
      <c r="P61" s="6"/>
    </row>
    <row r="62" spans="8:16" ht="34" x14ac:dyDescent="0.2">
      <c r="H62" s="7" t="s">
        <v>0</v>
      </c>
      <c r="I62" s="7" t="s">
        <v>1</v>
      </c>
      <c r="J62" s="7" t="s">
        <v>2</v>
      </c>
      <c r="K62" s="7" t="s">
        <v>3</v>
      </c>
      <c r="L62" s="7" t="s">
        <v>4</v>
      </c>
      <c r="M62" s="6" t="s">
        <v>5</v>
      </c>
      <c r="N62" s="6" t="s">
        <v>6</v>
      </c>
      <c r="O62" s="6" t="s">
        <v>7</v>
      </c>
      <c r="P62" s="6" t="s">
        <v>8</v>
      </c>
    </row>
    <row r="63" spans="8:16" ht="68" x14ac:dyDescent="0.2">
      <c r="H63" s="7" t="s">
        <v>939</v>
      </c>
      <c r="I63" s="7" t="s">
        <v>940</v>
      </c>
      <c r="J63" s="7" t="s">
        <v>12</v>
      </c>
      <c r="K63" s="7" t="s">
        <v>13</v>
      </c>
      <c r="L63" s="7">
        <v>1864</v>
      </c>
      <c r="M63" s="6">
        <v>57</v>
      </c>
      <c r="N63" s="6" t="s">
        <v>941</v>
      </c>
      <c r="O63" s="6" t="s">
        <v>942</v>
      </c>
      <c r="P63" s="6" t="s">
        <v>29</v>
      </c>
    </row>
    <row r="64" spans="8:16" ht="85" x14ac:dyDescent="0.2">
      <c r="H64" s="7" t="s">
        <v>704</v>
      </c>
      <c r="I64" s="7" t="s">
        <v>940</v>
      </c>
      <c r="J64" s="7" t="s">
        <v>18</v>
      </c>
      <c r="K64" s="7" t="s">
        <v>19</v>
      </c>
      <c r="L64" s="7">
        <v>1861</v>
      </c>
      <c r="M64" s="6">
        <v>60</v>
      </c>
      <c r="N64" s="6" t="s">
        <v>943</v>
      </c>
      <c r="O64" s="6" t="s">
        <v>50</v>
      </c>
      <c r="P64" s="6" t="s">
        <v>20</v>
      </c>
    </row>
    <row r="65" spans="8:16" x14ac:dyDescent="0.2">
      <c r="H65" s="7"/>
      <c r="I65" s="7"/>
      <c r="J65" s="7"/>
      <c r="K65" s="7"/>
      <c r="L65" s="7"/>
      <c r="M65" s="6"/>
      <c r="N65" s="6"/>
      <c r="O65" s="6"/>
      <c r="P65" s="6"/>
    </row>
    <row r="66" spans="8:16" ht="34" x14ac:dyDescent="0.2">
      <c r="H66" s="7" t="s">
        <v>0</v>
      </c>
      <c r="I66" s="7" t="s">
        <v>1</v>
      </c>
      <c r="J66" s="7" t="s">
        <v>2</v>
      </c>
      <c r="K66" s="7" t="s">
        <v>3</v>
      </c>
      <c r="L66" s="7" t="s">
        <v>4</v>
      </c>
      <c r="M66" s="6" t="s">
        <v>5</v>
      </c>
      <c r="N66" s="6" t="s">
        <v>6</v>
      </c>
      <c r="O66" s="6" t="s">
        <v>7</v>
      </c>
      <c r="P66" s="6" t="s">
        <v>8</v>
      </c>
    </row>
    <row r="67" spans="8:16" ht="68" x14ac:dyDescent="0.2">
      <c r="H67" s="7" t="s">
        <v>944</v>
      </c>
      <c r="I67" s="7" t="s">
        <v>945</v>
      </c>
      <c r="J67" s="7" t="s">
        <v>12</v>
      </c>
      <c r="K67" s="7" t="s">
        <v>13</v>
      </c>
      <c r="L67" s="7">
        <v>1865</v>
      </c>
      <c r="M67" s="6">
        <v>56</v>
      </c>
      <c r="N67" s="6" t="s">
        <v>733</v>
      </c>
      <c r="O67" s="6" t="s">
        <v>946</v>
      </c>
      <c r="P67" s="6" t="s">
        <v>8</v>
      </c>
    </row>
    <row r="68" spans="8:16" x14ac:dyDescent="0.2">
      <c r="H68" s="7" t="s">
        <v>179</v>
      </c>
      <c r="I68" s="7" t="s">
        <v>945</v>
      </c>
      <c r="J68" s="7" t="s">
        <v>18</v>
      </c>
      <c r="K68" s="7" t="s">
        <v>19</v>
      </c>
      <c r="L68" s="7">
        <v>1867</v>
      </c>
      <c r="M68" s="7">
        <v>53</v>
      </c>
      <c r="N68" s="7" t="s">
        <v>329</v>
      </c>
      <c r="O68" s="7" t="s">
        <v>20</v>
      </c>
      <c r="P68" s="7" t="s">
        <v>20</v>
      </c>
    </row>
    <row r="69" spans="8:16" x14ac:dyDescent="0.2">
      <c r="H69" s="7" t="s">
        <v>947</v>
      </c>
      <c r="I69" s="7" t="s">
        <v>945</v>
      </c>
      <c r="J69" s="7" t="s">
        <v>22</v>
      </c>
      <c r="K69" s="7" t="s">
        <v>19</v>
      </c>
      <c r="L69" s="7">
        <v>1897</v>
      </c>
      <c r="M69" s="7">
        <v>23</v>
      </c>
      <c r="N69" s="7" t="s">
        <v>40</v>
      </c>
      <c r="O69" s="7" t="s">
        <v>20</v>
      </c>
      <c r="P69" s="7" t="s">
        <v>20</v>
      </c>
    </row>
    <row r="70" spans="8:16" x14ac:dyDescent="0.2">
      <c r="H70" s="21" t="s">
        <v>24</v>
      </c>
      <c r="I70" s="21" t="s">
        <v>948</v>
      </c>
      <c r="J70" s="7" t="s">
        <v>949</v>
      </c>
      <c r="K70" s="7" t="s">
        <v>19</v>
      </c>
      <c r="L70" s="7">
        <v>1882</v>
      </c>
      <c r="M70" s="7">
        <v>38</v>
      </c>
      <c r="N70" s="7" t="s">
        <v>40</v>
      </c>
      <c r="O70" s="7" t="s">
        <v>950</v>
      </c>
      <c r="P70" s="7" t="s">
        <v>29</v>
      </c>
    </row>
    <row r="71" spans="8:16" x14ac:dyDescent="0.2">
      <c r="H71" s="7" t="s">
        <v>951</v>
      </c>
      <c r="I71" s="7" t="s">
        <v>952</v>
      </c>
      <c r="J71" s="7" t="s">
        <v>26</v>
      </c>
      <c r="K71" s="7" t="s">
        <v>19</v>
      </c>
      <c r="L71" s="7">
        <v>1892</v>
      </c>
      <c r="M71" s="7">
        <v>29</v>
      </c>
      <c r="N71" s="7" t="s">
        <v>953</v>
      </c>
      <c r="O71" s="7" t="s">
        <v>33</v>
      </c>
      <c r="P71" s="7" t="s">
        <v>29</v>
      </c>
    </row>
    <row r="72" spans="8:16" x14ac:dyDescent="0.2">
      <c r="H72" s="7" t="s">
        <v>954</v>
      </c>
      <c r="I72" s="7" t="s">
        <v>955</v>
      </c>
      <c r="J72" s="7" t="s">
        <v>26</v>
      </c>
      <c r="K72" s="7" t="s">
        <v>19</v>
      </c>
      <c r="L72" s="7">
        <v>1899</v>
      </c>
      <c r="M72" s="7">
        <v>22</v>
      </c>
      <c r="N72" s="7" t="s">
        <v>956</v>
      </c>
      <c r="O72" s="7" t="s">
        <v>28</v>
      </c>
      <c r="P72" s="7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3987-7FA6-3241-BABE-0B3D5069C05B}">
  <dimension ref="A1:BC71"/>
  <sheetViews>
    <sheetView workbookViewId="0">
      <selection activeCell="A18" sqref="A18:XFD18"/>
    </sheetView>
  </sheetViews>
  <sheetFormatPr baseColWidth="10" defaultColWidth="10.83203125" defaultRowHeight="16" x14ac:dyDescent="0.2"/>
  <cols>
    <col min="4" max="4" width="17.83203125" customWidth="1"/>
    <col min="5" max="5" width="16" customWidth="1"/>
    <col min="6" max="6" width="11.83203125" customWidth="1"/>
    <col min="11" max="11" width="6" customWidth="1"/>
    <col min="12" max="12" width="7.83203125" customWidth="1"/>
    <col min="13" max="13" width="10" customWidth="1"/>
    <col min="14" max="14" width="8.6640625" customWidth="1"/>
    <col min="15" max="15" width="8.1640625" customWidth="1"/>
    <col min="16" max="16" width="11.5" customWidth="1"/>
    <col min="17" max="17" width="11.6640625" customWidth="1"/>
    <col min="18" max="18" width="12.33203125" customWidth="1"/>
    <col min="20" max="20" width="10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2" max="32" width="14.832031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190" t="s">
        <v>557</v>
      </c>
      <c r="B3" s="191" t="s">
        <v>808</v>
      </c>
      <c r="C3" s="192">
        <v>1</v>
      </c>
      <c r="D3" s="193" t="s">
        <v>558</v>
      </c>
      <c r="E3" s="7">
        <v>1</v>
      </c>
      <c r="F3" s="5"/>
      <c r="G3" s="7" t="s">
        <v>830</v>
      </c>
      <c r="H3" s="7" t="s">
        <v>957</v>
      </c>
      <c r="I3" s="5">
        <v>1</v>
      </c>
      <c r="J3" s="9" t="s">
        <v>13</v>
      </c>
      <c r="K3" s="10">
        <v>1</v>
      </c>
      <c r="L3" s="5"/>
      <c r="M3" s="5"/>
      <c r="N3" s="7">
        <v>1</v>
      </c>
      <c r="P3" s="7"/>
      <c r="T3" s="6">
        <v>54</v>
      </c>
      <c r="X3" s="5"/>
      <c r="Y3" s="5"/>
      <c r="Z3" s="5"/>
      <c r="AA3" s="6" t="s">
        <v>424</v>
      </c>
      <c r="AB3" s="6" t="s">
        <v>8</v>
      </c>
      <c r="AC3" s="5">
        <v>1</v>
      </c>
      <c r="AD3" s="5">
        <v>1</v>
      </c>
      <c r="AE3" s="7"/>
      <c r="AF3">
        <v>1</v>
      </c>
      <c r="AG3" s="6" t="s">
        <v>49</v>
      </c>
      <c r="AH3" s="7"/>
      <c r="AI3" s="7" t="s">
        <v>12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190" t="s">
        <v>557</v>
      </c>
      <c r="B4" s="191" t="s">
        <v>808</v>
      </c>
      <c r="C4" s="192">
        <v>1</v>
      </c>
      <c r="D4" s="193" t="s">
        <v>558</v>
      </c>
      <c r="E4" s="7">
        <v>2</v>
      </c>
      <c r="F4" s="7"/>
      <c r="G4" s="7" t="s">
        <v>830</v>
      </c>
      <c r="H4" s="7" t="s">
        <v>958</v>
      </c>
      <c r="I4" s="5">
        <v>2</v>
      </c>
      <c r="J4" s="7">
        <v>1</v>
      </c>
      <c r="K4" s="7"/>
      <c r="L4" s="7"/>
      <c r="M4" s="6"/>
      <c r="N4" s="7" t="s">
        <v>18</v>
      </c>
      <c r="O4">
        <v>1</v>
      </c>
      <c r="P4" s="7"/>
      <c r="T4" s="6">
        <v>52</v>
      </c>
      <c r="X4" s="7"/>
      <c r="Y4" s="7"/>
      <c r="Z4" s="7"/>
      <c r="AA4" s="6" t="s">
        <v>20</v>
      </c>
      <c r="AB4" s="6" t="s">
        <v>20</v>
      </c>
      <c r="AC4" s="5"/>
      <c r="AD4" s="7"/>
      <c r="AE4" s="7"/>
      <c r="AG4" s="6" t="s">
        <v>62</v>
      </c>
      <c r="AH4" s="7"/>
      <c r="AI4" s="7" t="s">
        <v>18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190" t="s">
        <v>557</v>
      </c>
      <c r="B5" s="191" t="s">
        <v>808</v>
      </c>
      <c r="C5" s="192">
        <v>1</v>
      </c>
      <c r="D5" s="193" t="s">
        <v>558</v>
      </c>
      <c r="E5" s="7">
        <v>3</v>
      </c>
      <c r="F5" s="7"/>
      <c r="G5" s="7" t="s">
        <v>960</v>
      </c>
      <c r="H5" s="7" t="s">
        <v>959</v>
      </c>
      <c r="I5" s="5">
        <v>3</v>
      </c>
      <c r="J5" s="7">
        <v>1</v>
      </c>
      <c r="K5" s="7"/>
      <c r="L5" s="7"/>
      <c r="M5" s="6"/>
      <c r="N5" s="7" t="s">
        <v>26</v>
      </c>
      <c r="P5" s="7"/>
      <c r="S5">
        <v>1</v>
      </c>
      <c r="T5" s="6">
        <v>28</v>
      </c>
      <c r="X5" s="7"/>
      <c r="Y5" s="7"/>
      <c r="Z5" s="7"/>
      <c r="AA5" s="6" t="s">
        <v>56</v>
      </c>
      <c r="AB5" s="6" t="s">
        <v>29</v>
      </c>
      <c r="AC5" s="5">
        <v>1</v>
      </c>
      <c r="AD5" s="7"/>
      <c r="AE5" s="7"/>
      <c r="AG5" s="6" t="s">
        <v>961</v>
      </c>
      <c r="AH5" s="7"/>
      <c r="AI5" s="7" t="s">
        <v>26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190" t="s">
        <v>557</v>
      </c>
      <c r="B6" s="191" t="s">
        <v>808</v>
      </c>
      <c r="C6" s="192">
        <v>1</v>
      </c>
      <c r="D6" s="193" t="s">
        <v>558</v>
      </c>
      <c r="E6" s="7">
        <v>4</v>
      </c>
      <c r="F6" s="7"/>
      <c r="G6" s="7" t="s">
        <v>963</v>
      </c>
      <c r="H6" s="7" t="s">
        <v>962</v>
      </c>
      <c r="I6" s="5">
        <v>4</v>
      </c>
      <c r="J6" s="7">
        <v>1</v>
      </c>
      <c r="K6" s="7"/>
      <c r="L6" s="7"/>
      <c r="M6" s="6"/>
      <c r="N6" s="7" t="s">
        <v>26</v>
      </c>
      <c r="P6" s="7"/>
      <c r="S6">
        <v>1</v>
      </c>
      <c r="T6" s="6">
        <v>28</v>
      </c>
      <c r="X6" s="7"/>
      <c r="Y6" s="7"/>
      <c r="Z6" s="7"/>
      <c r="AA6" s="6" t="s">
        <v>56</v>
      </c>
      <c r="AB6" s="6" t="s">
        <v>29</v>
      </c>
      <c r="AC6" s="5">
        <v>1</v>
      </c>
      <c r="AD6" s="7"/>
      <c r="AE6" s="7"/>
      <c r="AF6">
        <v>1</v>
      </c>
      <c r="AG6" s="6" t="s">
        <v>49</v>
      </c>
      <c r="AH6" s="7"/>
      <c r="AI6" s="7" t="s">
        <v>26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190" t="s">
        <v>557</v>
      </c>
      <c r="B7" s="191" t="s">
        <v>808</v>
      </c>
      <c r="C7" s="192">
        <v>1</v>
      </c>
      <c r="D7" s="193" t="s">
        <v>558</v>
      </c>
      <c r="E7" s="7">
        <v>5</v>
      </c>
      <c r="F7" s="7"/>
      <c r="G7" s="7" t="s">
        <v>965</v>
      </c>
      <c r="H7" s="7" t="s">
        <v>964</v>
      </c>
      <c r="I7" s="5">
        <v>5</v>
      </c>
      <c r="J7" s="7">
        <v>1</v>
      </c>
      <c r="K7" s="7"/>
      <c r="L7" s="7"/>
      <c r="M7" s="6"/>
      <c r="N7" s="7" t="s">
        <v>26</v>
      </c>
      <c r="P7" s="7"/>
      <c r="S7">
        <v>1</v>
      </c>
      <c r="T7" s="6">
        <v>45</v>
      </c>
      <c r="X7" s="7"/>
      <c r="Y7" s="7"/>
      <c r="Z7" s="7"/>
      <c r="AA7" s="6" t="s">
        <v>56</v>
      </c>
      <c r="AB7" s="6" t="s">
        <v>29</v>
      </c>
      <c r="AC7" s="5">
        <v>1</v>
      </c>
      <c r="AD7" s="7"/>
      <c r="AE7" s="7"/>
      <c r="AG7" s="6" t="s">
        <v>966</v>
      </c>
      <c r="AH7" s="7"/>
      <c r="AI7" s="7" t="s">
        <v>26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190" t="s">
        <v>557</v>
      </c>
      <c r="B8" s="191" t="s">
        <v>808</v>
      </c>
      <c r="C8" s="192">
        <v>1</v>
      </c>
      <c r="D8" s="193" t="s">
        <v>558</v>
      </c>
      <c r="E8" s="7">
        <v>6</v>
      </c>
      <c r="F8" s="7"/>
      <c r="G8" s="7" t="s">
        <v>967</v>
      </c>
      <c r="H8" s="7" t="s">
        <v>63</v>
      </c>
      <c r="I8" s="5">
        <v>6</v>
      </c>
      <c r="J8" s="7">
        <v>1</v>
      </c>
      <c r="K8" s="7"/>
      <c r="L8" s="7"/>
      <c r="M8" s="6"/>
      <c r="N8" s="7" t="s">
        <v>26</v>
      </c>
      <c r="P8" s="7"/>
      <c r="S8">
        <v>1</v>
      </c>
      <c r="T8" s="6">
        <v>25</v>
      </c>
      <c r="X8" s="7"/>
      <c r="Y8" s="7"/>
      <c r="Z8" s="7"/>
      <c r="AA8" s="6" t="s">
        <v>56</v>
      </c>
      <c r="AB8" s="6" t="s">
        <v>29</v>
      </c>
      <c r="AC8" s="5">
        <v>1</v>
      </c>
      <c r="AD8" s="7"/>
      <c r="AE8" s="7"/>
      <c r="AG8" s="6" t="s">
        <v>968</v>
      </c>
      <c r="AH8" s="7"/>
      <c r="AI8" s="7" t="s">
        <v>26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190" t="s">
        <v>557</v>
      </c>
      <c r="B9" s="191" t="s">
        <v>808</v>
      </c>
      <c r="C9" s="192">
        <v>1</v>
      </c>
      <c r="D9" s="193" t="s">
        <v>558</v>
      </c>
      <c r="E9" s="7">
        <v>7</v>
      </c>
      <c r="F9" s="7"/>
      <c r="G9" s="7" t="s">
        <v>969</v>
      </c>
      <c r="H9" s="7" t="s">
        <v>64</v>
      </c>
      <c r="I9" s="5">
        <v>7</v>
      </c>
      <c r="J9" s="7"/>
      <c r="K9" s="7"/>
      <c r="L9" s="7">
        <v>1</v>
      </c>
      <c r="M9" s="6"/>
      <c r="N9" s="7" t="s">
        <v>26</v>
      </c>
      <c r="P9" s="7"/>
      <c r="S9">
        <v>1</v>
      </c>
      <c r="T9" s="6">
        <v>16</v>
      </c>
      <c r="X9" s="7"/>
      <c r="Y9" s="7"/>
      <c r="Z9" s="7"/>
      <c r="AA9" s="6" t="s">
        <v>56</v>
      </c>
      <c r="AB9" s="6" t="s">
        <v>29</v>
      </c>
      <c r="AC9" s="5">
        <v>1</v>
      </c>
      <c r="AD9" s="7"/>
      <c r="AE9" s="7"/>
      <c r="AG9" s="6" t="s">
        <v>65</v>
      </c>
      <c r="AH9" s="7"/>
      <c r="AI9" s="7" t="s">
        <v>26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190"/>
      <c r="B10" s="191"/>
      <c r="C10" s="7"/>
      <c r="D10" s="193"/>
      <c r="E10" s="7"/>
      <c r="F10" s="7"/>
      <c r="G10" s="7"/>
      <c r="H10" s="7"/>
      <c r="I10" s="7"/>
      <c r="J10" s="7"/>
      <c r="K10" s="7"/>
      <c r="L10" s="7"/>
      <c r="M10" s="6"/>
      <c r="N10" s="7"/>
      <c r="P10" s="7"/>
      <c r="T10" s="6"/>
      <c r="X10" s="7"/>
      <c r="Y10" s="7"/>
      <c r="Z10" s="7"/>
      <c r="AA10" s="6"/>
      <c r="AB10" s="6"/>
      <c r="AC10" s="5"/>
      <c r="AD10" s="7"/>
      <c r="AE10" s="7"/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190" t="s">
        <v>557</v>
      </c>
      <c r="B11" s="191" t="s">
        <v>808</v>
      </c>
      <c r="C11" s="7">
        <v>2</v>
      </c>
      <c r="D11" s="193" t="s">
        <v>558</v>
      </c>
      <c r="E11" s="7">
        <v>2</v>
      </c>
      <c r="F11" s="7"/>
      <c r="G11" s="7" t="s">
        <v>971</v>
      </c>
      <c r="H11" s="7" t="s">
        <v>970</v>
      </c>
      <c r="I11" s="7">
        <v>8</v>
      </c>
      <c r="J11" s="7"/>
      <c r="K11" s="7">
        <v>1</v>
      </c>
      <c r="L11" s="7"/>
      <c r="M11" s="6"/>
      <c r="N11" s="7">
        <v>1</v>
      </c>
      <c r="P11" s="7"/>
      <c r="T11" s="6">
        <v>52</v>
      </c>
      <c r="X11" s="7"/>
      <c r="Y11" s="7"/>
      <c r="Z11" s="7"/>
      <c r="AA11" s="6" t="s">
        <v>973</v>
      </c>
      <c r="AB11" s="6" t="s">
        <v>974</v>
      </c>
      <c r="AC11" s="5">
        <v>1</v>
      </c>
      <c r="AD11" s="7"/>
      <c r="AE11" s="7"/>
      <c r="AG11" s="6" t="s">
        <v>972</v>
      </c>
      <c r="AH11" s="7"/>
      <c r="AI11" s="7" t="s">
        <v>12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190" t="s">
        <v>557</v>
      </c>
      <c r="B12" s="191" t="s">
        <v>808</v>
      </c>
      <c r="C12" s="7">
        <v>2</v>
      </c>
      <c r="D12" s="193" t="s">
        <v>558</v>
      </c>
      <c r="E12" s="7">
        <v>3</v>
      </c>
      <c r="F12" s="7"/>
      <c r="G12" s="7" t="s">
        <v>971</v>
      </c>
      <c r="H12" s="7" t="s">
        <v>975</v>
      </c>
      <c r="I12" s="7">
        <v>9</v>
      </c>
      <c r="J12" s="7">
        <v>1</v>
      </c>
      <c r="K12" s="7"/>
      <c r="L12" s="7"/>
      <c r="M12" s="6"/>
      <c r="N12" s="7" t="s">
        <v>18</v>
      </c>
      <c r="O12">
        <v>1</v>
      </c>
      <c r="P12" s="7"/>
      <c r="T12" s="6">
        <v>48</v>
      </c>
      <c r="X12" s="7"/>
      <c r="Y12" s="7"/>
      <c r="Z12" s="7"/>
      <c r="AA12" s="6" t="s">
        <v>50</v>
      </c>
      <c r="AB12" s="6" t="s">
        <v>20</v>
      </c>
      <c r="AC12" s="5"/>
      <c r="AD12" s="7"/>
      <c r="AE12" s="7"/>
      <c r="AG12" s="6" t="s">
        <v>976</v>
      </c>
      <c r="AH12" s="7"/>
      <c r="AI12" s="7" t="s">
        <v>18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190" t="s">
        <v>557</v>
      </c>
      <c r="B13" s="191" t="s">
        <v>808</v>
      </c>
      <c r="C13" s="7">
        <v>2</v>
      </c>
      <c r="D13" s="193" t="s">
        <v>558</v>
      </c>
      <c r="E13" s="7">
        <v>4</v>
      </c>
      <c r="F13" s="7"/>
      <c r="G13" s="7" t="s">
        <v>978</v>
      </c>
      <c r="H13" s="7" t="s">
        <v>977</v>
      </c>
      <c r="I13" s="7">
        <v>10</v>
      </c>
      <c r="J13" s="7">
        <v>1</v>
      </c>
      <c r="K13" s="7"/>
      <c r="L13" s="7"/>
      <c r="M13" s="6"/>
      <c r="N13" s="7" t="s">
        <v>979</v>
      </c>
      <c r="P13" s="7"/>
      <c r="R13">
        <v>1</v>
      </c>
      <c r="T13" s="6">
        <v>41</v>
      </c>
      <c r="X13" s="7"/>
      <c r="Y13" s="7"/>
      <c r="Z13" s="7"/>
      <c r="AA13" s="6" t="s">
        <v>173</v>
      </c>
      <c r="AB13" s="6" t="s">
        <v>980</v>
      </c>
      <c r="AC13" s="5">
        <v>1</v>
      </c>
      <c r="AD13" s="7"/>
      <c r="AE13" s="7"/>
      <c r="AG13" s="6" t="s">
        <v>976</v>
      </c>
      <c r="AH13" s="7"/>
      <c r="AI13" s="7" t="s">
        <v>979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190" t="s">
        <v>557</v>
      </c>
      <c r="B14" s="191" t="s">
        <v>808</v>
      </c>
      <c r="C14" s="7">
        <v>2</v>
      </c>
      <c r="D14" s="193" t="s">
        <v>558</v>
      </c>
      <c r="E14" s="7">
        <v>5</v>
      </c>
      <c r="F14" s="7"/>
      <c r="G14" s="7" t="s">
        <v>978</v>
      </c>
      <c r="H14" s="7" t="s">
        <v>981</v>
      </c>
      <c r="I14" s="7">
        <v>11</v>
      </c>
      <c r="J14" s="7" t="s">
        <v>13</v>
      </c>
      <c r="K14" s="7"/>
      <c r="L14" s="7"/>
      <c r="M14" s="6">
        <v>1</v>
      </c>
      <c r="N14" s="7"/>
      <c r="P14" s="7"/>
      <c r="R14">
        <v>1</v>
      </c>
      <c r="T14" s="6">
        <v>16</v>
      </c>
      <c r="X14" s="7"/>
      <c r="Y14" s="7"/>
      <c r="Z14" s="7"/>
      <c r="AA14" s="6" t="s">
        <v>20</v>
      </c>
      <c r="AB14" s="6" t="s">
        <v>20</v>
      </c>
      <c r="AC14" s="5"/>
      <c r="AD14" s="7"/>
      <c r="AE14" s="7"/>
      <c r="AG14" s="6" t="s">
        <v>983</v>
      </c>
      <c r="AH14" s="7"/>
      <c r="AI14" s="7" t="s">
        <v>982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190" t="s">
        <v>557</v>
      </c>
      <c r="B15" s="191" t="s">
        <v>808</v>
      </c>
      <c r="C15" s="7">
        <v>2</v>
      </c>
      <c r="D15" s="193" t="s">
        <v>558</v>
      </c>
      <c r="E15" s="7">
        <v>6</v>
      </c>
      <c r="F15" s="7"/>
      <c r="G15" s="7" t="s">
        <v>985</v>
      </c>
      <c r="H15" s="7" t="s">
        <v>984</v>
      </c>
      <c r="I15" s="7">
        <v>12</v>
      </c>
      <c r="J15" s="7">
        <v>1</v>
      </c>
      <c r="K15" s="7"/>
      <c r="L15" s="7"/>
      <c r="M15" s="6"/>
      <c r="N15" s="7" t="s">
        <v>26</v>
      </c>
      <c r="P15" s="7"/>
      <c r="S15">
        <v>1</v>
      </c>
      <c r="T15" s="6">
        <v>24</v>
      </c>
      <c r="X15" s="7"/>
      <c r="Y15" s="7"/>
      <c r="Z15" s="7"/>
      <c r="AA15" s="6" t="s">
        <v>33</v>
      </c>
      <c r="AB15" s="6" t="s">
        <v>987</v>
      </c>
      <c r="AC15" s="5">
        <v>1</v>
      </c>
      <c r="AD15" s="7"/>
      <c r="AE15" s="7"/>
      <c r="AG15" s="6" t="s">
        <v>986</v>
      </c>
      <c r="AH15" s="7"/>
      <c r="AI15" s="7" t="s">
        <v>26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190" t="s">
        <v>557</v>
      </c>
      <c r="B16" s="191" t="s">
        <v>808</v>
      </c>
      <c r="C16" s="7">
        <v>2</v>
      </c>
      <c r="D16" s="193" t="s">
        <v>558</v>
      </c>
      <c r="E16" s="7">
        <v>7</v>
      </c>
      <c r="F16" s="7"/>
      <c r="G16" s="7" t="s">
        <v>988</v>
      </c>
      <c r="H16" s="7" t="s">
        <v>331</v>
      </c>
      <c r="I16" s="7">
        <v>13</v>
      </c>
      <c r="J16" s="7"/>
      <c r="K16" s="7"/>
      <c r="L16" s="7">
        <v>1</v>
      </c>
      <c r="M16" s="6"/>
      <c r="N16" s="7" t="s">
        <v>26</v>
      </c>
      <c r="P16" s="7"/>
      <c r="S16">
        <v>1</v>
      </c>
      <c r="T16" s="6">
        <v>15</v>
      </c>
      <c r="X16" s="7"/>
      <c r="Y16" s="7"/>
      <c r="Z16" s="7"/>
      <c r="AA16" s="6" t="s">
        <v>990</v>
      </c>
      <c r="AB16" s="6" t="s">
        <v>991</v>
      </c>
      <c r="AC16" s="5">
        <v>1</v>
      </c>
      <c r="AD16" s="7"/>
      <c r="AE16" s="7"/>
      <c r="AG16" s="6" t="s">
        <v>989</v>
      </c>
      <c r="AH16" s="7"/>
      <c r="AI16" s="7" t="s">
        <v>26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190" t="s">
        <v>557</v>
      </c>
      <c r="B17" s="191" t="s">
        <v>808</v>
      </c>
      <c r="C17" s="7">
        <v>2</v>
      </c>
      <c r="D17" s="193" t="s">
        <v>558</v>
      </c>
      <c r="E17" s="7">
        <v>8</v>
      </c>
      <c r="F17" s="7"/>
      <c r="G17" s="7" t="s">
        <v>903</v>
      </c>
      <c r="H17" s="7" t="s">
        <v>992</v>
      </c>
      <c r="I17" s="7">
        <v>14</v>
      </c>
      <c r="J17" s="7"/>
      <c r="K17" s="7"/>
      <c r="L17" s="7">
        <v>1</v>
      </c>
      <c r="M17" s="6"/>
      <c r="N17" s="7" t="s">
        <v>26</v>
      </c>
      <c r="P17" s="7"/>
      <c r="S17">
        <v>1</v>
      </c>
      <c r="T17" s="6">
        <v>16</v>
      </c>
      <c r="X17" s="7"/>
      <c r="Y17" s="7"/>
      <c r="Z17" s="7"/>
      <c r="AA17" s="6" t="s">
        <v>28</v>
      </c>
      <c r="AB17" s="6" t="s">
        <v>994</v>
      </c>
      <c r="AC17" s="5">
        <v>1</v>
      </c>
      <c r="AD17" s="7"/>
      <c r="AE17" s="7"/>
      <c r="AG17" s="6" t="s">
        <v>993</v>
      </c>
      <c r="AH17" s="7"/>
      <c r="AI17" s="7" t="s">
        <v>26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s="2" customFormat="1" ht="17.5" customHeight="1" x14ac:dyDescent="0.2">
      <c r="A18" s="194" t="s">
        <v>557</v>
      </c>
      <c r="B18" s="195" t="s">
        <v>808</v>
      </c>
      <c r="C18" s="26">
        <v>2</v>
      </c>
      <c r="D18" s="196" t="s">
        <v>558</v>
      </c>
      <c r="E18" s="26"/>
      <c r="F18" s="26"/>
      <c r="G18" s="26"/>
      <c r="H18" s="26"/>
      <c r="I18" s="26">
        <v>14</v>
      </c>
      <c r="J18" s="26">
        <f>SUM(J3:J17)</f>
        <v>8</v>
      </c>
      <c r="K18" s="26">
        <f t="shared" ref="K18:AD18" si="0">SUM(K3:K17)</f>
        <v>2</v>
      </c>
      <c r="L18" s="26">
        <f t="shared" si="0"/>
        <v>3</v>
      </c>
      <c r="M18" s="26">
        <f t="shared" si="0"/>
        <v>1</v>
      </c>
      <c r="N18" s="26">
        <f t="shared" si="0"/>
        <v>2</v>
      </c>
      <c r="O18" s="26">
        <f t="shared" si="0"/>
        <v>2</v>
      </c>
      <c r="P18" s="26">
        <f t="shared" si="0"/>
        <v>0</v>
      </c>
      <c r="Q18" s="26">
        <f t="shared" si="0"/>
        <v>0</v>
      </c>
      <c r="R18" s="26">
        <f t="shared" si="0"/>
        <v>2</v>
      </c>
      <c r="S18" s="26">
        <f t="shared" si="0"/>
        <v>8</v>
      </c>
      <c r="T18" s="26">
        <f t="shared" si="0"/>
        <v>460</v>
      </c>
      <c r="U18" s="26">
        <f>SUM(AG3:AG17)</f>
        <v>0</v>
      </c>
      <c r="V18" s="26">
        <f>SUM(AA3:AA17)</f>
        <v>0</v>
      </c>
      <c r="W18" s="26">
        <f>SUM(AB3:AB17)</f>
        <v>0</v>
      </c>
      <c r="X18" s="26">
        <f t="shared" si="0"/>
        <v>0</v>
      </c>
      <c r="Y18" s="26">
        <f t="shared" si="0"/>
        <v>0</v>
      </c>
      <c r="Z18" s="26">
        <f t="shared" si="0"/>
        <v>0</v>
      </c>
      <c r="AA18" s="26"/>
      <c r="AB18" s="26"/>
      <c r="AC18" s="26">
        <f t="shared" si="0"/>
        <v>11</v>
      </c>
      <c r="AD18" s="26">
        <f t="shared" si="0"/>
        <v>1</v>
      </c>
      <c r="AE18" s="26">
        <f>AC18-AD18</f>
        <v>10</v>
      </c>
      <c r="AF18" s="26">
        <f>SUM(AF3:AF17)</f>
        <v>2</v>
      </c>
      <c r="AG18" s="26">
        <f>N19-AF18</f>
        <v>12</v>
      </c>
      <c r="AH18" s="26">
        <f>AG18+AF18</f>
        <v>14</v>
      </c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</row>
    <row r="19" spans="1:51" ht="17.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>
        <f>SUM(J18:M18)</f>
        <v>14</v>
      </c>
      <c r="K19" s="7"/>
      <c r="L19" s="7"/>
      <c r="M19" s="6"/>
      <c r="N19" s="6">
        <f>SUM(N18:S18)</f>
        <v>14</v>
      </c>
      <c r="O19" s="6"/>
      <c r="P19" s="6"/>
      <c r="Q19" s="6"/>
      <c r="R19" s="6"/>
      <c r="S19" s="6"/>
      <c r="T19" s="150">
        <f>T18/N19</f>
        <v>32.857142857142854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6"/>
      <c r="R21" s="6"/>
      <c r="S21" s="6"/>
      <c r="T21" s="6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6"/>
      <c r="N22" s="6"/>
      <c r="O22" s="6"/>
      <c r="P22" s="6"/>
      <c r="Q22" s="7"/>
      <c r="R22" s="6"/>
      <c r="S22" s="6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6"/>
      <c r="R23" s="6"/>
      <c r="S23" s="6"/>
      <c r="T23" s="6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6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4" t="s">
        <v>252</v>
      </c>
      <c r="B25" s="7"/>
      <c r="C25" s="7"/>
      <c r="D25" s="7"/>
      <c r="E25" s="7"/>
      <c r="F25" s="7"/>
      <c r="G25" s="7">
        <f t="shared" ref="G25:M25" si="1">SUM(G3:G24)</f>
        <v>0</v>
      </c>
      <c r="H25" s="7">
        <f t="shared" si="1"/>
        <v>0</v>
      </c>
      <c r="I25" s="7">
        <f t="shared" si="1"/>
        <v>119</v>
      </c>
      <c r="J25" s="7">
        <f t="shared" si="1"/>
        <v>30</v>
      </c>
      <c r="K25" s="7">
        <f t="shared" si="1"/>
        <v>4</v>
      </c>
      <c r="L25" s="7">
        <f t="shared" si="1"/>
        <v>6</v>
      </c>
      <c r="M25" s="7">
        <f t="shared" si="1"/>
        <v>2</v>
      </c>
      <c r="N25" s="7">
        <f t="shared" ref="N25:W25" si="2">SUM(N3:N24)</f>
        <v>18</v>
      </c>
      <c r="O25" s="7">
        <f t="shared" si="2"/>
        <v>4</v>
      </c>
      <c r="P25" s="7">
        <f t="shared" si="2"/>
        <v>0</v>
      </c>
      <c r="Q25" s="7">
        <f t="shared" si="2"/>
        <v>0</v>
      </c>
      <c r="R25" s="7">
        <f t="shared" si="2"/>
        <v>4</v>
      </c>
      <c r="S25" s="7">
        <f t="shared" si="2"/>
        <v>16</v>
      </c>
      <c r="T25" s="7">
        <f t="shared" si="2"/>
        <v>952.85714285714289</v>
      </c>
      <c r="U25" s="7">
        <f t="shared" si="2"/>
        <v>0</v>
      </c>
      <c r="V25" s="7">
        <f t="shared" si="2"/>
        <v>0</v>
      </c>
      <c r="W25" s="7">
        <f t="shared" si="2"/>
        <v>0</v>
      </c>
      <c r="X25" s="7">
        <f t="shared" ref="X25:AD25" si="3">SUM(X3:X24)</f>
        <v>0</v>
      </c>
      <c r="Y25" s="7">
        <f t="shared" si="3"/>
        <v>0</v>
      </c>
      <c r="Z25" s="7">
        <f t="shared" si="3"/>
        <v>0</v>
      </c>
      <c r="AA25" s="7">
        <f t="shared" si="3"/>
        <v>0</v>
      </c>
      <c r="AB25" s="7">
        <f t="shared" si="3"/>
        <v>0</v>
      </c>
      <c r="AC25" s="7">
        <f t="shared" si="3"/>
        <v>22</v>
      </c>
      <c r="AD25" s="7">
        <f t="shared" si="3"/>
        <v>2</v>
      </c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>
        <f>G25+H25+I25+J25</f>
        <v>149</v>
      </c>
      <c r="H26" s="7"/>
      <c r="I26" s="7"/>
      <c r="J26" s="7"/>
      <c r="K26" s="7">
        <f>K25+L25+M25+N25+O25+P25</f>
        <v>34</v>
      </c>
      <c r="L26" s="7"/>
      <c r="M26" s="6"/>
      <c r="N26" s="6"/>
      <c r="O26" s="6"/>
      <c r="P26" s="6"/>
      <c r="Q26" s="6">
        <f>Q25/K26</f>
        <v>0</v>
      </c>
      <c r="R26" s="6"/>
      <c r="S26" s="6"/>
      <c r="T26" s="6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11"/>
      <c r="B28" s="11"/>
      <c r="C28" s="11"/>
      <c r="D28" s="12"/>
      <c r="E28" s="11"/>
      <c r="F28" s="12"/>
      <c r="G28" s="12"/>
      <c r="H28" s="12"/>
      <c r="I28" s="12"/>
      <c r="J28" s="12"/>
      <c r="K28" s="13"/>
      <c r="L28" s="12"/>
      <c r="M28" s="12"/>
      <c r="N28" s="12"/>
      <c r="O28" s="12"/>
      <c r="P28" s="12"/>
      <c r="Q28" s="13"/>
      <c r="R28" s="13"/>
      <c r="S28" s="13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B29" s="7"/>
      <c r="C29" s="7"/>
      <c r="D29" s="7"/>
      <c r="E29" s="7"/>
      <c r="F29" s="7"/>
      <c r="G29" s="7"/>
      <c r="Q29" s="18"/>
      <c r="R29" s="18"/>
      <c r="S29" s="18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Q30" s="7"/>
      <c r="R30" s="6"/>
      <c r="S30" s="6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Q31" s="6"/>
      <c r="R31" s="6"/>
      <c r="S31" s="6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Q32" s="6"/>
      <c r="R32" s="6"/>
      <c r="S32" s="6"/>
      <c r="T32" s="7"/>
      <c r="U32" s="6"/>
      <c r="V32" s="6"/>
      <c r="W32" s="6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Q33" s="7"/>
      <c r="R33" s="6"/>
      <c r="S33" s="6"/>
      <c r="T33" s="7"/>
      <c r="U33" s="6"/>
      <c r="V33" s="6"/>
      <c r="W33" s="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Q34" s="7"/>
      <c r="R34" s="6"/>
      <c r="S34" s="6"/>
      <c r="T34" s="7"/>
      <c r="U34" s="6"/>
      <c r="V34" s="6"/>
      <c r="W34" s="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/>
      <c r="G35" s="7"/>
      <c r="Q35" s="7"/>
      <c r="R35" s="6"/>
      <c r="S35" s="6"/>
      <c r="T35" s="7"/>
      <c r="U35" s="6"/>
      <c r="V35" s="6"/>
      <c r="W35" s="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Q36" s="7"/>
      <c r="R36" s="6"/>
      <c r="S36" s="6"/>
      <c r="T36" s="7"/>
      <c r="U36" s="6"/>
      <c r="V36" s="6"/>
      <c r="W36" s="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Q38" s="7"/>
      <c r="R38" s="6"/>
      <c r="S38" s="6"/>
      <c r="T38" s="19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7"/>
      <c r="B39" s="7"/>
      <c r="C39" s="7"/>
      <c r="D39" s="7"/>
      <c r="E39" s="7"/>
      <c r="F39" s="7"/>
      <c r="G39" s="7"/>
      <c r="Q39" s="7"/>
      <c r="R39" s="6"/>
      <c r="S39" s="6"/>
      <c r="T39" s="7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7"/>
      <c r="B40" s="7"/>
      <c r="C40" s="7"/>
      <c r="D40" s="7"/>
      <c r="E40" s="7"/>
      <c r="F40" s="7"/>
      <c r="G40" s="7"/>
      <c r="Q40" s="7"/>
      <c r="R40" s="6"/>
      <c r="S40" s="6"/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/>
      <c r="B41" s="7"/>
      <c r="C41" s="7"/>
      <c r="D41" s="7"/>
      <c r="E41" s="7"/>
      <c r="F41" s="7"/>
      <c r="G41" s="7"/>
      <c r="Q41" s="7"/>
      <c r="R41" s="6"/>
      <c r="S41" s="6"/>
      <c r="T41" s="19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Q42" s="7"/>
      <c r="R42" s="6"/>
      <c r="S42" s="6"/>
      <c r="T42" s="7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7"/>
      <c r="B43" s="7"/>
      <c r="C43" s="7"/>
      <c r="D43" s="7"/>
      <c r="E43" s="7"/>
      <c r="F43" s="7"/>
      <c r="G43" s="7"/>
      <c r="Q43" s="7"/>
      <c r="R43" s="6"/>
      <c r="S43" s="6"/>
      <c r="T43" s="7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Q44" s="7"/>
      <c r="R44" s="6"/>
      <c r="S44" s="6"/>
      <c r="T44" s="7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" customHeight="1" x14ac:dyDescent="0.2">
      <c r="A45" s="4" t="s">
        <v>252</v>
      </c>
      <c r="B45" s="7"/>
      <c r="C45" s="7"/>
      <c r="D45" s="7"/>
      <c r="E45" s="7"/>
      <c r="F45" s="7"/>
      <c r="G45" s="7">
        <f>SUM(G3:G44)</f>
        <v>149</v>
      </c>
      <c r="H45" s="7">
        <f>SUM(H3:H28)</f>
        <v>0</v>
      </c>
      <c r="I45" s="7">
        <f>SUM(I3:I44)</f>
        <v>238</v>
      </c>
      <c r="J45" s="7">
        <f>SUM(J3:J44)</f>
        <v>60</v>
      </c>
      <c r="K45" s="7">
        <f>SUM(K3:K44)</f>
        <v>42</v>
      </c>
      <c r="L45" s="7">
        <f>SUM(L3:L44)</f>
        <v>12</v>
      </c>
      <c r="M45" s="7">
        <f>SUM(M3:M44)</f>
        <v>4</v>
      </c>
      <c r="N45" s="7">
        <f>SUM(AG3:AG17)</f>
        <v>0</v>
      </c>
      <c r="O45" s="7"/>
      <c r="P45" s="7">
        <f>SUM(AB3:AB17)</f>
        <v>0</v>
      </c>
      <c r="Q45" s="7">
        <f t="shared" ref="Q45:W45" si="4">SUM(Q3:Q44)</f>
        <v>0</v>
      </c>
      <c r="R45" s="7">
        <f t="shared" si="4"/>
        <v>8</v>
      </c>
      <c r="S45" s="7">
        <f t="shared" si="4"/>
        <v>32</v>
      </c>
      <c r="T45" s="7">
        <f t="shared" si="4"/>
        <v>1905.7142857142858</v>
      </c>
      <c r="U45" s="7">
        <f t="shared" si="4"/>
        <v>0</v>
      </c>
      <c r="V45" s="7">
        <f t="shared" si="4"/>
        <v>0</v>
      </c>
      <c r="W45" s="7">
        <f t="shared" si="4"/>
        <v>0</v>
      </c>
      <c r="X45" s="7"/>
      <c r="Y45" s="7"/>
      <c r="Z45" s="7">
        <f>SUM(Z3:Z44)</f>
        <v>0</v>
      </c>
      <c r="AA45" s="7">
        <f>SUM(AA3:AA44)</f>
        <v>0</v>
      </c>
      <c r="AB45" s="7">
        <f>SUM(AB3:AB44)</f>
        <v>0</v>
      </c>
      <c r="AC45" s="7">
        <f>SUM(AC3:AC44)</f>
        <v>44</v>
      </c>
      <c r="AD45" s="7">
        <f>SUM(AD3:AD44)</f>
        <v>4</v>
      </c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20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" customHeight="1" x14ac:dyDescent="0.2">
      <c r="A47" s="7"/>
      <c r="B47" s="7"/>
      <c r="C47" s="7"/>
      <c r="D47" s="7"/>
      <c r="E47" s="7"/>
      <c r="F47" s="7"/>
      <c r="G47" s="21"/>
      <c r="H47" s="21"/>
      <c r="I47" s="21"/>
      <c r="J47" s="7"/>
      <c r="K47" s="7"/>
      <c r="L47" s="7"/>
      <c r="M47" s="7"/>
      <c r="N47" s="7"/>
      <c r="O47" s="7"/>
      <c r="P47" s="7"/>
      <c r="Q47" s="20"/>
      <c r="R47" s="21"/>
      <c r="S47" s="21"/>
      <c r="T47" s="21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6"/>
      <c r="S48" s="6"/>
      <c r="T48" s="19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21"/>
      <c r="S49" s="21"/>
      <c r="T49" s="21"/>
      <c r="U49" s="7"/>
      <c r="V49" s="7"/>
      <c r="W49" s="7"/>
      <c r="X49" s="7"/>
      <c r="Y49" s="7"/>
      <c r="Z49" s="7"/>
      <c r="AA49" s="7"/>
      <c r="AB49" s="7"/>
      <c r="AC49" s="22"/>
      <c r="AD49" s="22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6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5" spans="1:51" ht="34" x14ac:dyDescent="0.2">
      <c r="H55" s="12" t="s">
        <v>0</v>
      </c>
      <c r="I55" s="12" t="s">
        <v>1</v>
      </c>
      <c r="J55" s="14" t="s">
        <v>2</v>
      </c>
      <c r="K55" s="15" t="s">
        <v>3</v>
      </c>
      <c r="L55" s="16" t="s">
        <v>4</v>
      </c>
      <c r="M55" s="12" t="s">
        <v>5</v>
      </c>
      <c r="N55" s="12" t="s">
        <v>6</v>
      </c>
      <c r="O55" s="12" t="s">
        <v>7</v>
      </c>
      <c r="P55" s="14" t="s">
        <v>8</v>
      </c>
    </row>
    <row r="56" spans="1:51" ht="85" x14ac:dyDescent="0.2">
      <c r="H56" s="7" t="s">
        <v>957</v>
      </c>
      <c r="I56" s="7" t="s">
        <v>830</v>
      </c>
      <c r="J56" s="7" t="s">
        <v>12</v>
      </c>
      <c r="K56" s="9" t="s">
        <v>13</v>
      </c>
      <c r="L56" s="7">
        <v>1866</v>
      </c>
      <c r="M56" s="6">
        <v>54</v>
      </c>
      <c r="N56" s="6" t="s">
        <v>49</v>
      </c>
      <c r="O56" s="6" t="s">
        <v>424</v>
      </c>
      <c r="P56" s="6" t="s">
        <v>8</v>
      </c>
    </row>
    <row r="57" spans="1:51" ht="51" x14ac:dyDescent="0.2">
      <c r="H57" s="7" t="s">
        <v>958</v>
      </c>
      <c r="I57" s="7" t="s">
        <v>830</v>
      </c>
      <c r="J57" s="7" t="s">
        <v>18</v>
      </c>
      <c r="K57" s="7" t="s">
        <v>19</v>
      </c>
      <c r="L57" s="7">
        <v>1868</v>
      </c>
      <c r="M57" s="6">
        <v>52</v>
      </c>
      <c r="N57" s="6" t="s">
        <v>62</v>
      </c>
      <c r="O57" s="6" t="s">
        <v>20</v>
      </c>
      <c r="P57" s="6" t="s">
        <v>20</v>
      </c>
    </row>
    <row r="58" spans="1:51" ht="85" x14ac:dyDescent="0.2">
      <c r="H58" s="7" t="s">
        <v>959</v>
      </c>
      <c r="I58" s="7" t="s">
        <v>960</v>
      </c>
      <c r="J58" s="7" t="s">
        <v>26</v>
      </c>
      <c r="K58" s="7" t="s">
        <v>19</v>
      </c>
      <c r="L58" s="7">
        <v>1892</v>
      </c>
      <c r="M58" s="6">
        <v>28</v>
      </c>
      <c r="N58" s="6" t="s">
        <v>961</v>
      </c>
      <c r="O58" s="6" t="s">
        <v>56</v>
      </c>
      <c r="P58" s="6" t="s">
        <v>29</v>
      </c>
    </row>
    <row r="59" spans="1:51" ht="85" x14ac:dyDescent="0.2">
      <c r="H59" s="7" t="s">
        <v>962</v>
      </c>
      <c r="I59" s="7" t="s">
        <v>963</v>
      </c>
      <c r="J59" s="7" t="s">
        <v>26</v>
      </c>
      <c r="K59" s="7" t="s">
        <v>19</v>
      </c>
      <c r="L59" s="7">
        <v>1893</v>
      </c>
      <c r="M59" s="6">
        <v>28</v>
      </c>
      <c r="N59" s="6" t="s">
        <v>49</v>
      </c>
      <c r="O59" s="6" t="s">
        <v>56</v>
      </c>
      <c r="P59" s="6" t="s">
        <v>29</v>
      </c>
    </row>
    <row r="60" spans="1:51" ht="68" x14ac:dyDescent="0.2">
      <c r="H60" s="7" t="s">
        <v>964</v>
      </c>
      <c r="I60" s="7" t="s">
        <v>965</v>
      </c>
      <c r="J60" s="7" t="s">
        <v>26</v>
      </c>
      <c r="K60" s="7" t="s">
        <v>19</v>
      </c>
      <c r="L60" s="7">
        <v>1875</v>
      </c>
      <c r="M60" s="6">
        <v>45</v>
      </c>
      <c r="N60" s="6" t="s">
        <v>966</v>
      </c>
      <c r="O60" s="6" t="s">
        <v>56</v>
      </c>
      <c r="P60" s="6" t="s">
        <v>29</v>
      </c>
    </row>
    <row r="61" spans="1:51" ht="102" x14ac:dyDescent="0.2">
      <c r="H61" s="7" t="s">
        <v>63</v>
      </c>
      <c r="I61" s="7" t="s">
        <v>967</v>
      </c>
      <c r="J61" s="7" t="s">
        <v>26</v>
      </c>
      <c r="K61" s="7" t="s">
        <v>19</v>
      </c>
      <c r="L61" s="7">
        <v>1896</v>
      </c>
      <c r="M61" s="6">
        <v>25</v>
      </c>
      <c r="N61" s="6" t="s">
        <v>968</v>
      </c>
      <c r="O61" s="6" t="s">
        <v>56</v>
      </c>
      <c r="P61" s="6" t="s">
        <v>29</v>
      </c>
    </row>
    <row r="62" spans="1:51" ht="85" x14ac:dyDescent="0.2">
      <c r="H62" s="7" t="s">
        <v>64</v>
      </c>
      <c r="I62" s="7" t="s">
        <v>969</v>
      </c>
      <c r="J62" s="7" t="s">
        <v>26</v>
      </c>
      <c r="K62" s="7" t="s">
        <v>19</v>
      </c>
      <c r="L62" s="7">
        <v>1904</v>
      </c>
      <c r="M62" s="6">
        <v>16</v>
      </c>
      <c r="N62" s="6" t="s">
        <v>65</v>
      </c>
      <c r="O62" s="6" t="s">
        <v>56</v>
      </c>
      <c r="P62" s="6" t="s">
        <v>29</v>
      </c>
    </row>
    <row r="63" spans="1:51" x14ac:dyDescent="0.2">
      <c r="H63" s="7"/>
      <c r="I63" s="7"/>
      <c r="J63" s="7"/>
      <c r="K63" s="7"/>
      <c r="L63" s="7"/>
      <c r="M63" s="6"/>
      <c r="N63" s="6"/>
      <c r="O63" s="6"/>
      <c r="P63" s="6"/>
    </row>
    <row r="64" spans="1:51" x14ac:dyDescent="0.2">
      <c r="H64" s="7" t="s">
        <v>0</v>
      </c>
      <c r="I64" s="7" t="s">
        <v>1</v>
      </c>
      <c r="J64" s="7" t="s">
        <v>2</v>
      </c>
      <c r="K64" s="7" t="s">
        <v>3</v>
      </c>
      <c r="L64" s="7" t="s">
        <v>4</v>
      </c>
      <c r="M64" s="7" t="s">
        <v>5</v>
      </c>
      <c r="N64" s="7" t="s">
        <v>6</v>
      </c>
      <c r="O64" s="7" t="s">
        <v>7</v>
      </c>
      <c r="P64" s="7" t="s">
        <v>8</v>
      </c>
    </row>
    <row r="65" spans="8:16" ht="170" x14ac:dyDescent="0.2">
      <c r="H65" s="7" t="s">
        <v>970</v>
      </c>
      <c r="I65" s="7" t="s">
        <v>971</v>
      </c>
      <c r="J65" s="7" t="s">
        <v>12</v>
      </c>
      <c r="K65" s="7" t="s">
        <v>13</v>
      </c>
      <c r="L65" s="7">
        <v>1869</v>
      </c>
      <c r="M65" s="6">
        <v>52</v>
      </c>
      <c r="N65" s="6" t="s">
        <v>972</v>
      </c>
      <c r="O65" s="6" t="s">
        <v>973</v>
      </c>
      <c r="P65" s="6" t="s">
        <v>974</v>
      </c>
    </row>
    <row r="66" spans="8:16" ht="68" x14ac:dyDescent="0.2">
      <c r="H66" s="7" t="s">
        <v>975</v>
      </c>
      <c r="I66" s="7" t="s">
        <v>971</v>
      </c>
      <c r="J66" s="7" t="s">
        <v>18</v>
      </c>
      <c r="K66" s="7" t="s">
        <v>19</v>
      </c>
      <c r="L66" s="7">
        <v>1872</v>
      </c>
      <c r="M66" s="6">
        <v>48</v>
      </c>
      <c r="N66" s="6" t="s">
        <v>976</v>
      </c>
      <c r="O66" s="6" t="s">
        <v>50</v>
      </c>
      <c r="P66" s="6" t="s">
        <v>20</v>
      </c>
    </row>
    <row r="67" spans="8:16" ht="68" x14ac:dyDescent="0.2">
      <c r="H67" s="7" t="s">
        <v>977</v>
      </c>
      <c r="I67" s="7" t="s">
        <v>978</v>
      </c>
      <c r="J67" s="7" t="s">
        <v>979</v>
      </c>
      <c r="K67" s="7" t="s">
        <v>19</v>
      </c>
      <c r="L67" s="7">
        <v>1879</v>
      </c>
      <c r="M67" s="6">
        <v>41</v>
      </c>
      <c r="N67" s="6" t="s">
        <v>976</v>
      </c>
      <c r="O67" s="6" t="s">
        <v>173</v>
      </c>
      <c r="P67" s="6" t="s">
        <v>980</v>
      </c>
    </row>
    <row r="68" spans="8:16" ht="68" x14ac:dyDescent="0.2">
      <c r="H68" s="7" t="s">
        <v>981</v>
      </c>
      <c r="I68" s="7" t="s">
        <v>978</v>
      </c>
      <c r="J68" s="7" t="s">
        <v>982</v>
      </c>
      <c r="K68" s="7" t="s">
        <v>13</v>
      </c>
      <c r="L68" s="7">
        <v>1905</v>
      </c>
      <c r="M68" s="6">
        <v>16</v>
      </c>
      <c r="N68" s="6" t="s">
        <v>983</v>
      </c>
      <c r="O68" s="6" t="s">
        <v>20</v>
      </c>
      <c r="P68" s="6" t="s">
        <v>20</v>
      </c>
    </row>
    <row r="69" spans="8:16" ht="68" x14ac:dyDescent="0.2">
      <c r="H69" s="7" t="s">
        <v>984</v>
      </c>
      <c r="I69" s="7" t="s">
        <v>985</v>
      </c>
      <c r="J69" s="7" t="s">
        <v>26</v>
      </c>
      <c r="K69" s="7" t="s">
        <v>19</v>
      </c>
      <c r="L69" s="7">
        <v>1896</v>
      </c>
      <c r="M69" s="6">
        <v>24</v>
      </c>
      <c r="N69" s="6" t="s">
        <v>986</v>
      </c>
      <c r="O69" s="6" t="s">
        <v>33</v>
      </c>
      <c r="P69" s="6" t="s">
        <v>987</v>
      </c>
    </row>
    <row r="70" spans="8:16" ht="68" x14ac:dyDescent="0.2">
      <c r="H70" s="7" t="s">
        <v>331</v>
      </c>
      <c r="I70" s="7" t="s">
        <v>988</v>
      </c>
      <c r="J70" s="7" t="s">
        <v>26</v>
      </c>
      <c r="K70" s="7" t="s">
        <v>19</v>
      </c>
      <c r="L70" s="7">
        <v>1906</v>
      </c>
      <c r="M70" s="6">
        <v>15</v>
      </c>
      <c r="N70" s="6" t="s">
        <v>989</v>
      </c>
      <c r="O70" s="6" t="s">
        <v>990</v>
      </c>
      <c r="P70" s="6" t="s">
        <v>991</v>
      </c>
    </row>
    <row r="71" spans="8:16" ht="85" x14ac:dyDescent="0.2">
      <c r="H71" s="7" t="s">
        <v>992</v>
      </c>
      <c r="I71" s="7" t="s">
        <v>903</v>
      </c>
      <c r="J71" s="7" t="s">
        <v>26</v>
      </c>
      <c r="K71" s="7" t="s">
        <v>19</v>
      </c>
      <c r="L71" s="7">
        <v>1905</v>
      </c>
      <c r="M71" s="6">
        <v>16</v>
      </c>
      <c r="N71" s="6" t="s">
        <v>993</v>
      </c>
      <c r="O71" s="6" t="s">
        <v>28</v>
      </c>
      <c r="P71" s="6" t="s">
        <v>994</v>
      </c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008D-0BAD-0A4B-8F8F-96C5D26E3697}">
  <dimension ref="A1:BC94"/>
  <sheetViews>
    <sheetView workbookViewId="0">
      <pane ySplit="2" topLeftCell="A3" activePane="bottomLeft" state="frozen"/>
      <selection activeCell="G1" sqref="G1"/>
      <selection pane="bottomLeft" activeCell="AF41" sqref="AF41:AG41"/>
    </sheetView>
  </sheetViews>
  <sheetFormatPr baseColWidth="10" defaultColWidth="10.83203125" defaultRowHeight="16" x14ac:dyDescent="0.2"/>
  <cols>
    <col min="2" max="2" width="6.5" customWidth="1"/>
    <col min="4" max="4" width="10" customWidth="1"/>
    <col min="5" max="5" width="12.1640625" customWidth="1"/>
    <col min="6" max="6" width="11.6640625" customWidth="1"/>
    <col min="11" max="11" width="6.164062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560</v>
      </c>
      <c r="B3" s="9">
        <v>1921</v>
      </c>
      <c r="C3" s="7">
        <v>1</v>
      </c>
      <c r="D3" s="7" t="s">
        <v>561</v>
      </c>
      <c r="E3" s="7"/>
      <c r="F3" s="5"/>
      <c r="G3" s="7" t="s">
        <v>932</v>
      </c>
      <c r="H3" s="7" t="s">
        <v>444</v>
      </c>
      <c r="I3" s="5">
        <v>1</v>
      </c>
      <c r="J3" s="7" t="s">
        <v>13</v>
      </c>
      <c r="K3" s="10">
        <v>1</v>
      </c>
      <c r="L3" s="5"/>
      <c r="M3" s="5"/>
      <c r="N3" s="7">
        <v>1</v>
      </c>
      <c r="P3" s="7"/>
      <c r="T3" s="6">
        <v>36</v>
      </c>
      <c r="U3" s="5"/>
      <c r="V3" s="5"/>
      <c r="W3" s="5"/>
      <c r="X3" s="5"/>
      <c r="Y3" s="5"/>
      <c r="Z3" s="5"/>
      <c r="AA3" s="6" t="s">
        <v>158</v>
      </c>
      <c r="AB3" s="5"/>
      <c r="AC3" s="5">
        <v>1</v>
      </c>
      <c r="AD3" s="6">
        <v>1</v>
      </c>
      <c r="AE3" s="7"/>
      <c r="AF3">
        <v>1</v>
      </c>
      <c r="AG3" s="6" t="s">
        <v>49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9" customHeight="1" x14ac:dyDescent="0.2">
      <c r="A4" s="9" t="s">
        <v>560</v>
      </c>
      <c r="B4" s="9">
        <v>1921</v>
      </c>
      <c r="C4" s="7">
        <v>1</v>
      </c>
      <c r="D4" s="7" t="s">
        <v>561</v>
      </c>
      <c r="E4" s="7"/>
      <c r="F4" s="5"/>
      <c r="G4" s="7" t="s">
        <v>932</v>
      </c>
      <c r="H4" s="7" t="s">
        <v>995</v>
      </c>
      <c r="I4" s="5">
        <v>2</v>
      </c>
      <c r="J4" s="7">
        <v>1</v>
      </c>
      <c r="K4" s="10"/>
      <c r="L4" s="5"/>
      <c r="M4" s="5"/>
      <c r="N4" s="7" t="s">
        <v>144</v>
      </c>
      <c r="P4" s="7"/>
      <c r="R4">
        <v>1</v>
      </c>
      <c r="T4" s="6">
        <v>40</v>
      </c>
      <c r="U4" s="5"/>
      <c r="V4" s="5"/>
      <c r="W4" s="5"/>
      <c r="X4" s="5"/>
      <c r="Y4" s="5"/>
      <c r="Z4" s="5"/>
      <c r="AA4" s="6" t="s">
        <v>50</v>
      </c>
      <c r="AB4" s="5"/>
      <c r="AC4" s="5"/>
      <c r="AD4" s="6" t="s">
        <v>20</v>
      </c>
      <c r="AE4" s="7"/>
      <c r="AF4">
        <v>1</v>
      </c>
      <c r="AG4" s="6" t="s">
        <v>49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9" customHeight="1" x14ac:dyDescent="0.2">
      <c r="A5" s="9" t="s">
        <v>560</v>
      </c>
      <c r="B5" s="9">
        <v>1921</v>
      </c>
      <c r="C5" s="7">
        <v>1</v>
      </c>
      <c r="D5" s="7" t="s">
        <v>561</v>
      </c>
      <c r="E5" s="7"/>
      <c r="F5" s="5"/>
      <c r="G5" s="7" t="s">
        <v>932</v>
      </c>
      <c r="H5" s="7" t="s">
        <v>996</v>
      </c>
      <c r="I5" s="5">
        <v>3</v>
      </c>
      <c r="J5" s="7">
        <v>1</v>
      </c>
      <c r="K5" s="10"/>
      <c r="L5" s="5"/>
      <c r="M5" s="5"/>
      <c r="N5" s="7" t="s">
        <v>144</v>
      </c>
      <c r="P5" s="7"/>
      <c r="R5">
        <v>1</v>
      </c>
      <c r="T5" s="6">
        <v>27</v>
      </c>
      <c r="U5" s="5"/>
      <c r="V5" s="5"/>
      <c r="W5" s="5"/>
      <c r="X5" s="5"/>
      <c r="Y5" s="5"/>
      <c r="Z5" s="5"/>
      <c r="AA5" s="6" t="s">
        <v>997</v>
      </c>
      <c r="AB5" s="5"/>
      <c r="AC5" s="5">
        <v>1</v>
      </c>
      <c r="AD5" s="6" t="s">
        <v>20</v>
      </c>
      <c r="AE5" s="7"/>
      <c r="AF5">
        <v>1</v>
      </c>
      <c r="AG5" s="6" t="s">
        <v>49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9" customHeight="1" x14ac:dyDescent="0.2">
      <c r="A6" s="9" t="s">
        <v>560</v>
      </c>
      <c r="B6" s="9">
        <v>1921</v>
      </c>
      <c r="C6" s="7">
        <v>1</v>
      </c>
      <c r="D6" s="7" t="s">
        <v>561</v>
      </c>
      <c r="E6" s="7"/>
      <c r="F6" s="5"/>
      <c r="G6" s="7" t="s">
        <v>999</v>
      </c>
      <c r="H6" s="7" t="s">
        <v>998</v>
      </c>
      <c r="I6" s="5">
        <v>4</v>
      </c>
      <c r="J6" s="7">
        <v>1</v>
      </c>
      <c r="K6" s="10"/>
      <c r="L6" s="5"/>
      <c r="M6" s="5"/>
      <c r="N6" s="7" t="s">
        <v>26</v>
      </c>
      <c r="P6" s="7"/>
      <c r="S6">
        <v>1</v>
      </c>
      <c r="T6" s="6">
        <v>16</v>
      </c>
      <c r="U6" s="5"/>
      <c r="V6" s="5"/>
      <c r="W6" s="5"/>
      <c r="X6" s="5"/>
      <c r="Y6" s="5"/>
      <c r="Z6" s="5"/>
      <c r="AA6" s="6" t="s">
        <v>56</v>
      </c>
      <c r="AB6" s="5"/>
      <c r="AC6" s="5">
        <v>1</v>
      </c>
      <c r="AD6" s="6" t="s">
        <v>29</v>
      </c>
      <c r="AE6" s="7"/>
      <c r="AF6">
        <v>1</v>
      </c>
      <c r="AG6" s="6" t="s">
        <v>681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9" customHeight="1" x14ac:dyDescent="0.2">
      <c r="A7" s="9" t="s">
        <v>560</v>
      </c>
      <c r="B7" s="9">
        <v>1921</v>
      </c>
      <c r="C7" s="7"/>
      <c r="D7" s="7" t="s">
        <v>561</v>
      </c>
      <c r="E7" s="7"/>
      <c r="F7" s="5"/>
      <c r="G7" s="7"/>
      <c r="H7" s="7">
        <v>4</v>
      </c>
      <c r="I7" s="5"/>
      <c r="J7" s="7"/>
      <c r="K7" s="10"/>
      <c r="L7" s="5"/>
      <c r="M7" s="5"/>
      <c r="N7" s="7"/>
      <c r="P7" s="7"/>
      <c r="T7" s="7"/>
      <c r="U7" s="5"/>
      <c r="V7" s="5"/>
      <c r="W7" s="5"/>
      <c r="X7" s="5"/>
      <c r="Y7" s="5"/>
      <c r="Z7" s="5"/>
      <c r="AA7" s="7"/>
      <c r="AB7" s="5"/>
      <c r="AC7" s="5"/>
      <c r="AD7" s="7"/>
      <c r="AE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9" customHeight="1" x14ac:dyDescent="0.2">
      <c r="A8" s="9" t="s">
        <v>560</v>
      </c>
      <c r="B8" s="9">
        <v>1921</v>
      </c>
      <c r="C8" s="7">
        <v>2</v>
      </c>
      <c r="D8" s="7" t="s">
        <v>561</v>
      </c>
      <c r="E8" s="7" t="s">
        <v>1011</v>
      </c>
      <c r="F8" s="7"/>
      <c r="G8" s="7" t="s">
        <v>1001</v>
      </c>
      <c r="H8" s="7" t="s">
        <v>1000</v>
      </c>
      <c r="I8" s="5">
        <v>5</v>
      </c>
      <c r="J8" s="7" t="s">
        <v>13</v>
      </c>
      <c r="K8" s="10">
        <v>1</v>
      </c>
      <c r="L8" s="5"/>
      <c r="M8" s="5"/>
      <c r="N8" s="7">
        <v>1</v>
      </c>
      <c r="P8" s="7"/>
      <c r="T8" s="6">
        <v>43</v>
      </c>
      <c r="U8" s="5"/>
      <c r="V8" s="5"/>
      <c r="W8" s="5"/>
      <c r="X8" s="5"/>
      <c r="Y8" s="5"/>
      <c r="Z8" s="5"/>
      <c r="AA8" s="6" t="s">
        <v>15</v>
      </c>
      <c r="AB8" s="5"/>
      <c r="AC8" s="5">
        <v>1</v>
      </c>
      <c r="AD8" s="6">
        <v>1</v>
      </c>
      <c r="AE8" s="7"/>
      <c r="AF8">
        <v>1</v>
      </c>
      <c r="AG8" s="6" t="s">
        <v>49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9" customHeight="1" x14ac:dyDescent="0.2">
      <c r="A9" s="9" t="s">
        <v>560</v>
      </c>
      <c r="B9" s="9">
        <v>1921</v>
      </c>
      <c r="C9" s="7">
        <v>2</v>
      </c>
      <c r="D9" s="7" t="s">
        <v>561</v>
      </c>
      <c r="E9" s="7"/>
      <c r="F9" s="7"/>
      <c r="G9" s="7" t="s">
        <v>1001</v>
      </c>
      <c r="H9" s="7" t="s">
        <v>1002</v>
      </c>
      <c r="I9" s="5">
        <v>6</v>
      </c>
      <c r="J9" s="7">
        <v>1</v>
      </c>
      <c r="K9" s="10"/>
      <c r="L9" s="5"/>
      <c r="M9" s="5"/>
      <c r="N9" s="7" t="s">
        <v>18</v>
      </c>
      <c r="O9">
        <v>1</v>
      </c>
      <c r="P9" s="7"/>
      <c r="T9" s="6">
        <v>26</v>
      </c>
      <c r="U9" s="5"/>
      <c r="V9" s="5"/>
      <c r="W9" s="5"/>
      <c r="X9" s="5"/>
      <c r="Y9" s="5"/>
      <c r="Z9" s="5"/>
      <c r="AA9" s="6" t="s">
        <v>50</v>
      </c>
      <c r="AB9" s="5"/>
      <c r="AC9" s="5"/>
      <c r="AD9" s="6" t="s">
        <v>20</v>
      </c>
      <c r="AE9" s="7"/>
      <c r="AG9" s="6" t="s">
        <v>1003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9" customHeight="1" x14ac:dyDescent="0.2">
      <c r="A10" s="9" t="s">
        <v>560</v>
      </c>
      <c r="B10" s="9">
        <v>1921</v>
      </c>
      <c r="C10" s="7">
        <v>2</v>
      </c>
      <c r="D10" s="7" t="s">
        <v>561</v>
      </c>
      <c r="E10" s="7"/>
      <c r="F10" s="7"/>
      <c r="G10" s="7" t="s">
        <v>1005</v>
      </c>
      <c r="H10" s="7" t="s">
        <v>1004</v>
      </c>
      <c r="I10" s="5">
        <v>7</v>
      </c>
      <c r="J10" s="7">
        <v>1</v>
      </c>
      <c r="K10" s="10"/>
      <c r="L10" s="5"/>
      <c r="M10" s="5"/>
      <c r="N10" s="7" t="s">
        <v>26</v>
      </c>
      <c r="P10" s="7"/>
      <c r="S10">
        <v>1</v>
      </c>
      <c r="T10" s="6">
        <v>55</v>
      </c>
      <c r="U10" s="5"/>
      <c r="V10" s="5"/>
      <c r="W10" s="5"/>
      <c r="X10" s="5"/>
      <c r="Y10" s="5"/>
      <c r="Z10" s="5"/>
      <c r="AA10" s="6" t="s">
        <v>33</v>
      </c>
      <c r="AB10" s="5"/>
      <c r="AC10" s="5">
        <v>1</v>
      </c>
      <c r="AD10" s="6" t="s">
        <v>29</v>
      </c>
      <c r="AE10" s="7"/>
      <c r="AG10" s="6" t="s">
        <v>1006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9" customHeight="1" x14ac:dyDescent="0.2">
      <c r="A11" s="9" t="s">
        <v>560</v>
      </c>
      <c r="B11" s="9">
        <v>1921</v>
      </c>
      <c r="C11" s="7">
        <v>2</v>
      </c>
      <c r="D11" s="7" t="s">
        <v>561</v>
      </c>
      <c r="E11" s="7"/>
      <c r="F11" s="7"/>
      <c r="G11" s="7" t="s">
        <v>1007</v>
      </c>
      <c r="H11" s="7" t="s">
        <v>422</v>
      </c>
      <c r="I11" s="5">
        <v>8</v>
      </c>
      <c r="J11" s="7">
        <v>1</v>
      </c>
      <c r="K11" s="10"/>
      <c r="L11" s="5"/>
      <c r="M11" s="5"/>
      <c r="N11" s="7" t="s">
        <v>26</v>
      </c>
      <c r="P11" s="7"/>
      <c r="S11">
        <v>1</v>
      </c>
      <c r="T11" s="6">
        <v>25</v>
      </c>
      <c r="U11" s="5"/>
      <c r="V11" s="5"/>
      <c r="W11" s="5"/>
      <c r="X11" s="5"/>
      <c r="Y11" s="5"/>
      <c r="Z11" s="5"/>
      <c r="AA11" s="6" t="s">
        <v>360</v>
      </c>
      <c r="AB11" s="5"/>
      <c r="AC11" s="5">
        <v>1</v>
      </c>
      <c r="AD11" s="6" t="s">
        <v>29</v>
      </c>
      <c r="AE11" s="7"/>
      <c r="AG11" s="6" t="s">
        <v>134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9" customHeight="1" x14ac:dyDescent="0.2">
      <c r="A12" s="9" t="s">
        <v>560</v>
      </c>
      <c r="B12" s="9">
        <v>1921</v>
      </c>
      <c r="C12" s="7"/>
      <c r="D12" s="7" t="s">
        <v>561</v>
      </c>
      <c r="E12" s="7"/>
      <c r="F12" s="7"/>
      <c r="G12" s="7"/>
      <c r="H12" s="7">
        <v>4</v>
      </c>
      <c r="I12" s="5"/>
      <c r="J12" s="7"/>
      <c r="K12" s="10"/>
      <c r="L12" s="5"/>
      <c r="M12" s="5"/>
      <c r="N12" s="7"/>
      <c r="P12" s="7"/>
      <c r="T12" s="6"/>
      <c r="U12" s="5"/>
      <c r="V12" s="5"/>
      <c r="W12" s="5"/>
      <c r="X12" s="5"/>
      <c r="Y12" s="5"/>
      <c r="Z12" s="5"/>
      <c r="AA12" s="6"/>
      <c r="AB12" s="5"/>
      <c r="AC12" s="5"/>
      <c r="AD12" s="6"/>
      <c r="AE12" s="7"/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9" t="s">
        <v>560</v>
      </c>
      <c r="B13" s="9">
        <v>1921</v>
      </c>
      <c r="C13" s="7">
        <v>3</v>
      </c>
      <c r="D13" s="7" t="s">
        <v>561</v>
      </c>
      <c r="E13" s="7"/>
      <c r="F13" s="7">
        <v>1</v>
      </c>
      <c r="G13" s="7" t="s">
        <v>669</v>
      </c>
      <c r="H13" s="7" t="s">
        <v>1008</v>
      </c>
      <c r="I13" s="5">
        <v>9</v>
      </c>
      <c r="J13" s="7" t="s">
        <v>13</v>
      </c>
      <c r="K13" s="10">
        <v>1</v>
      </c>
      <c r="L13" s="5"/>
      <c r="M13" s="5"/>
      <c r="N13" s="7">
        <v>1</v>
      </c>
      <c r="P13" s="7"/>
      <c r="T13" s="7">
        <v>63</v>
      </c>
      <c r="U13" s="5"/>
      <c r="V13" s="5"/>
      <c r="W13" s="5"/>
      <c r="X13" s="5"/>
      <c r="Y13" s="5"/>
      <c r="Z13" s="5"/>
      <c r="AA13" s="7" t="s">
        <v>1009</v>
      </c>
      <c r="AB13" s="5"/>
      <c r="AC13" s="5">
        <v>1</v>
      </c>
      <c r="AD13" s="7" t="s">
        <v>1010</v>
      </c>
      <c r="AE13" s="7"/>
      <c r="AG13" s="7" t="s">
        <v>149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9" customHeight="1" x14ac:dyDescent="0.2">
      <c r="A14" s="9" t="s">
        <v>560</v>
      </c>
      <c r="B14" s="9">
        <v>1921</v>
      </c>
      <c r="C14" s="7">
        <v>3</v>
      </c>
      <c r="D14" s="7" t="s">
        <v>561</v>
      </c>
      <c r="E14" s="7"/>
      <c r="F14" s="7"/>
      <c r="G14" s="7" t="s">
        <v>669</v>
      </c>
      <c r="H14" s="7" t="s">
        <v>63</v>
      </c>
      <c r="I14" s="5">
        <v>10</v>
      </c>
      <c r="J14" s="7">
        <v>1</v>
      </c>
      <c r="K14" s="10"/>
      <c r="L14" s="5"/>
      <c r="M14" s="5"/>
      <c r="N14" s="7" t="s">
        <v>18</v>
      </c>
      <c r="O14">
        <v>1</v>
      </c>
      <c r="P14" s="7"/>
      <c r="T14" s="7">
        <v>54</v>
      </c>
      <c r="U14" s="5"/>
      <c r="V14" s="5"/>
      <c r="W14" s="5"/>
      <c r="X14" s="5"/>
      <c r="Y14" s="5"/>
      <c r="Z14" s="5"/>
      <c r="AA14" s="7" t="s">
        <v>20</v>
      </c>
      <c r="AB14" s="5"/>
      <c r="AC14" s="5"/>
      <c r="AD14" s="7" t="s">
        <v>20</v>
      </c>
      <c r="AE14" s="7"/>
      <c r="AG14" s="7" t="s">
        <v>43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9" customHeight="1" x14ac:dyDescent="0.2">
      <c r="A15" s="9" t="s">
        <v>560</v>
      </c>
      <c r="B15" s="9">
        <v>1921</v>
      </c>
      <c r="C15" s="7"/>
      <c r="D15" s="7" t="s">
        <v>561</v>
      </c>
      <c r="E15" s="7"/>
      <c r="F15" s="21"/>
      <c r="G15" s="21"/>
      <c r="H15" s="7">
        <v>2</v>
      </c>
      <c r="I15" s="5"/>
      <c r="J15" s="7"/>
      <c r="K15" s="10"/>
      <c r="L15" s="5"/>
      <c r="M15" s="5"/>
      <c r="N15" s="7"/>
      <c r="P15" s="7"/>
      <c r="T15" s="7"/>
      <c r="U15" s="5"/>
      <c r="V15" s="5"/>
      <c r="W15" s="5"/>
      <c r="X15" s="5"/>
      <c r="Y15" s="5"/>
      <c r="Z15" s="5"/>
      <c r="AA15" s="7"/>
      <c r="AB15" s="5"/>
      <c r="AC15" s="5"/>
      <c r="AD15" s="7"/>
      <c r="AE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 t="s">
        <v>560</v>
      </c>
      <c r="B16" s="9">
        <v>1921</v>
      </c>
      <c r="C16" s="7">
        <v>4</v>
      </c>
      <c r="D16" s="7" t="s">
        <v>561</v>
      </c>
      <c r="E16" s="7"/>
      <c r="F16" s="7">
        <v>7</v>
      </c>
      <c r="G16" s="7" t="s">
        <v>61</v>
      </c>
      <c r="H16" s="7" t="s">
        <v>1012</v>
      </c>
      <c r="I16" s="5">
        <v>11</v>
      </c>
      <c r="J16" s="7" t="s">
        <v>13</v>
      </c>
      <c r="K16" s="10">
        <v>1</v>
      </c>
      <c r="L16" s="5"/>
      <c r="M16" s="5"/>
      <c r="N16" s="7">
        <v>1</v>
      </c>
      <c r="P16" s="7"/>
      <c r="T16" s="7">
        <v>37</v>
      </c>
      <c r="U16" s="5"/>
      <c r="V16" s="5"/>
      <c r="W16" s="5"/>
      <c r="X16" s="5"/>
      <c r="Y16" s="5"/>
      <c r="Z16" s="5"/>
      <c r="AA16" s="7" t="s">
        <v>1013</v>
      </c>
      <c r="AB16" s="5"/>
      <c r="AC16" s="5">
        <v>1</v>
      </c>
      <c r="AD16" s="7" t="s">
        <v>20</v>
      </c>
      <c r="AE16" s="7"/>
      <c r="AF16">
        <v>1</v>
      </c>
      <c r="AG16" s="7" t="s">
        <v>14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9" customHeight="1" x14ac:dyDescent="0.2">
      <c r="A17" s="9" t="s">
        <v>560</v>
      </c>
      <c r="B17" s="9">
        <v>1921</v>
      </c>
      <c r="C17" s="7">
        <v>4</v>
      </c>
      <c r="D17" s="7" t="s">
        <v>561</v>
      </c>
      <c r="E17" s="7"/>
      <c r="F17" s="7"/>
      <c r="G17" s="7" t="s">
        <v>61</v>
      </c>
      <c r="H17" s="7" t="s">
        <v>1014</v>
      </c>
      <c r="I17" s="5">
        <v>12</v>
      </c>
      <c r="J17" s="7">
        <v>1</v>
      </c>
      <c r="K17" s="10"/>
      <c r="L17" s="5"/>
      <c r="M17" s="5"/>
      <c r="N17" s="7" t="s">
        <v>18</v>
      </c>
      <c r="O17">
        <v>1</v>
      </c>
      <c r="P17" s="7"/>
      <c r="T17" s="7">
        <v>36</v>
      </c>
      <c r="U17" s="5"/>
      <c r="V17" s="5"/>
      <c r="W17" s="5"/>
      <c r="X17" s="5"/>
      <c r="Y17" s="5"/>
      <c r="Z17" s="5"/>
      <c r="AA17" s="7" t="s">
        <v>50</v>
      </c>
      <c r="AB17" s="5"/>
      <c r="AC17" s="5"/>
      <c r="AD17" s="7" t="s">
        <v>20</v>
      </c>
      <c r="AE17" s="7"/>
      <c r="AF17">
        <v>1</v>
      </c>
      <c r="AG17" s="7" t="s">
        <v>77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9" customHeight="1" x14ac:dyDescent="0.2">
      <c r="A18" s="9" t="s">
        <v>560</v>
      </c>
      <c r="B18" s="9">
        <v>1921</v>
      </c>
      <c r="C18" s="7">
        <v>4</v>
      </c>
      <c r="D18" s="7" t="s">
        <v>561</v>
      </c>
      <c r="G18" t="s">
        <v>61</v>
      </c>
      <c r="H18" t="s">
        <v>1012</v>
      </c>
      <c r="I18" s="5">
        <v>13</v>
      </c>
      <c r="J18" t="s">
        <v>13</v>
      </c>
      <c r="K18" s="10"/>
      <c r="L18" s="5"/>
      <c r="M18" s="5">
        <v>1</v>
      </c>
      <c r="N18" t="s">
        <v>51</v>
      </c>
      <c r="Q18">
        <v>1</v>
      </c>
      <c r="T18">
        <v>10</v>
      </c>
      <c r="U18" s="5"/>
      <c r="V18" s="5"/>
      <c r="W18" s="5"/>
      <c r="X18" s="5"/>
      <c r="Y18" s="5"/>
      <c r="Z18" s="5"/>
      <c r="AA18" t="s">
        <v>20</v>
      </c>
      <c r="AB18" s="5"/>
      <c r="AC18" s="5"/>
      <c r="AD18" t="s">
        <v>20</v>
      </c>
      <c r="AE18" s="7"/>
      <c r="AF18">
        <v>1</v>
      </c>
      <c r="AG18" t="s">
        <v>1015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9" customHeight="1" x14ac:dyDescent="0.2">
      <c r="A19" s="9" t="s">
        <v>560</v>
      </c>
      <c r="B19" s="9">
        <v>1921</v>
      </c>
      <c r="C19" s="7">
        <v>4</v>
      </c>
      <c r="D19" s="7" t="s">
        <v>561</v>
      </c>
      <c r="G19" t="s">
        <v>61</v>
      </c>
      <c r="H19" t="s">
        <v>1016</v>
      </c>
      <c r="I19" s="5">
        <v>14</v>
      </c>
      <c r="K19" s="10"/>
      <c r="L19" s="5">
        <v>1</v>
      </c>
      <c r="M19" s="5"/>
      <c r="N19" t="s">
        <v>22</v>
      </c>
      <c r="P19">
        <v>1</v>
      </c>
      <c r="T19">
        <v>13</v>
      </c>
      <c r="U19" s="5"/>
      <c r="V19" s="5"/>
      <c r="W19" s="5"/>
      <c r="X19" s="5"/>
      <c r="Y19" s="5"/>
      <c r="Z19" s="5"/>
      <c r="AA19" t="s">
        <v>20</v>
      </c>
      <c r="AB19" s="5"/>
      <c r="AC19" s="5"/>
      <c r="AD19" t="s">
        <v>20</v>
      </c>
      <c r="AE19" s="7"/>
      <c r="AF19">
        <v>1</v>
      </c>
      <c r="AG19" t="s">
        <v>1015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9" customHeight="1" x14ac:dyDescent="0.2">
      <c r="A20" s="9" t="s">
        <v>560</v>
      </c>
      <c r="B20" s="9">
        <v>1921</v>
      </c>
      <c r="C20" s="7">
        <v>4</v>
      </c>
      <c r="D20" s="7" t="s">
        <v>561</v>
      </c>
      <c r="G20" t="s">
        <v>61</v>
      </c>
      <c r="H20" t="s">
        <v>998</v>
      </c>
      <c r="I20" s="5">
        <v>15</v>
      </c>
      <c r="K20" s="10"/>
      <c r="L20" s="5">
        <v>1</v>
      </c>
      <c r="M20" s="5"/>
      <c r="N20" t="s">
        <v>22</v>
      </c>
      <c r="P20">
        <v>1</v>
      </c>
      <c r="T20">
        <v>12</v>
      </c>
      <c r="U20" s="5"/>
      <c r="V20" s="5"/>
      <c r="W20" s="5"/>
      <c r="X20" s="5"/>
      <c r="Y20" s="5"/>
      <c r="Z20" s="5"/>
      <c r="AA20" t="s">
        <v>20</v>
      </c>
      <c r="AB20" s="5"/>
      <c r="AC20" s="5"/>
      <c r="AD20" t="s">
        <v>20</v>
      </c>
      <c r="AE20" s="7"/>
      <c r="AF20">
        <v>1</v>
      </c>
      <c r="AG20" t="s">
        <v>1015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9" customHeight="1" x14ac:dyDescent="0.2">
      <c r="A21" s="9" t="s">
        <v>560</v>
      </c>
      <c r="B21" s="9">
        <v>1921</v>
      </c>
      <c r="C21" s="7">
        <v>4</v>
      </c>
      <c r="D21" s="7" t="s">
        <v>561</v>
      </c>
      <c r="G21" t="s">
        <v>61</v>
      </c>
      <c r="H21" t="s">
        <v>1017</v>
      </c>
      <c r="I21" s="5">
        <v>16</v>
      </c>
      <c r="K21" s="10"/>
      <c r="L21" s="5">
        <v>1</v>
      </c>
      <c r="M21" s="5"/>
      <c r="N21" t="s">
        <v>22</v>
      </c>
      <c r="P21">
        <v>1</v>
      </c>
      <c r="T21">
        <v>8</v>
      </c>
      <c r="U21" s="5"/>
      <c r="V21" s="5"/>
      <c r="W21" s="5"/>
      <c r="X21" s="5"/>
      <c r="Y21" s="5"/>
      <c r="Z21" s="5"/>
      <c r="AA21" t="s">
        <v>20</v>
      </c>
      <c r="AB21" s="5"/>
      <c r="AC21" s="5"/>
      <c r="AD21" t="s">
        <v>20</v>
      </c>
      <c r="AE21" s="7"/>
      <c r="AF21">
        <v>1</v>
      </c>
      <c r="AG21" t="s">
        <v>1018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9" customHeight="1" x14ac:dyDescent="0.2">
      <c r="A22" s="9" t="s">
        <v>560</v>
      </c>
      <c r="B22" s="9">
        <v>1921</v>
      </c>
      <c r="C22" s="7">
        <v>4</v>
      </c>
      <c r="D22" s="7" t="s">
        <v>561</v>
      </c>
      <c r="G22" t="s">
        <v>61</v>
      </c>
      <c r="H22" t="s">
        <v>1019</v>
      </c>
      <c r="I22" s="5">
        <v>17</v>
      </c>
      <c r="J22">
        <v>1</v>
      </c>
      <c r="K22" s="10"/>
      <c r="L22" s="5"/>
      <c r="M22" s="5"/>
      <c r="N22" t="s">
        <v>26</v>
      </c>
      <c r="S22">
        <v>1</v>
      </c>
      <c r="T22">
        <v>33</v>
      </c>
      <c r="U22" s="5"/>
      <c r="V22" s="5"/>
      <c r="W22" s="5"/>
      <c r="X22" s="5"/>
      <c r="Y22" s="5"/>
      <c r="Z22" s="5"/>
      <c r="AA22" t="s">
        <v>33</v>
      </c>
      <c r="AB22" s="5"/>
      <c r="AC22" s="5">
        <v>1</v>
      </c>
      <c r="AD22" t="s">
        <v>29</v>
      </c>
      <c r="AE22" s="7"/>
      <c r="AG22" t="s">
        <v>212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9" customHeight="1" x14ac:dyDescent="0.2">
      <c r="A23" s="9" t="s">
        <v>560</v>
      </c>
      <c r="B23" s="9">
        <v>1921</v>
      </c>
      <c r="C23" s="7">
        <v>4</v>
      </c>
      <c r="D23" s="7" t="s">
        <v>561</v>
      </c>
      <c r="G23" t="s">
        <v>1020</v>
      </c>
      <c r="H23" t="s">
        <v>24</v>
      </c>
      <c r="I23" s="5">
        <v>18</v>
      </c>
      <c r="J23">
        <v>1</v>
      </c>
      <c r="K23" s="10"/>
      <c r="L23" s="5"/>
      <c r="M23" s="5"/>
      <c r="N23" t="s">
        <v>26</v>
      </c>
      <c r="S23">
        <v>1</v>
      </c>
      <c r="T23">
        <v>19</v>
      </c>
      <c r="U23" s="5"/>
      <c r="V23" s="5"/>
      <c r="W23" s="5"/>
      <c r="X23" s="5"/>
      <c r="Y23" s="5"/>
      <c r="Z23" s="5"/>
      <c r="AA23" t="s">
        <v>28</v>
      </c>
      <c r="AB23" s="5"/>
      <c r="AC23" s="5">
        <v>1</v>
      </c>
      <c r="AD23" t="s">
        <v>29</v>
      </c>
      <c r="AE23" s="7"/>
      <c r="AG23" t="s">
        <v>14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9" customHeight="1" x14ac:dyDescent="0.2">
      <c r="A24" s="9" t="s">
        <v>560</v>
      </c>
      <c r="B24" s="9">
        <v>1921</v>
      </c>
      <c r="C24" s="7"/>
      <c r="D24" s="7" t="s">
        <v>561</v>
      </c>
      <c r="H24">
        <v>8</v>
      </c>
      <c r="I24" s="5"/>
      <c r="K24" s="10"/>
      <c r="L24" s="5"/>
      <c r="M24" s="5"/>
      <c r="U24" s="5"/>
      <c r="V24" s="5"/>
      <c r="W24" s="5"/>
      <c r="X24" s="5"/>
      <c r="Y24" s="5"/>
      <c r="Z24" s="5"/>
      <c r="AB24" s="5"/>
      <c r="AC24" s="5"/>
      <c r="AE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9" customHeight="1" x14ac:dyDescent="0.2">
      <c r="A25" s="9" t="s">
        <v>560</v>
      </c>
      <c r="B25" s="9">
        <v>1921</v>
      </c>
      <c r="C25" s="7">
        <v>5</v>
      </c>
      <c r="D25" s="7" t="s">
        <v>561</v>
      </c>
      <c r="F25">
        <v>4</v>
      </c>
      <c r="G25" t="s">
        <v>107</v>
      </c>
      <c r="H25" t="s">
        <v>1021</v>
      </c>
      <c r="I25" s="5">
        <v>19</v>
      </c>
      <c r="J25" t="s">
        <v>13</v>
      </c>
      <c r="K25" s="10">
        <v>1</v>
      </c>
      <c r="L25" s="5"/>
      <c r="M25" s="5"/>
      <c r="N25">
        <v>1</v>
      </c>
      <c r="T25">
        <v>53</v>
      </c>
      <c r="U25" s="5"/>
      <c r="V25" s="5"/>
      <c r="W25" s="5"/>
      <c r="X25" s="5"/>
      <c r="Y25" s="5"/>
      <c r="Z25" s="5"/>
      <c r="AA25" t="s">
        <v>1023</v>
      </c>
      <c r="AB25" s="5"/>
      <c r="AC25" s="5">
        <v>1</v>
      </c>
      <c r="AD25" t="s">
        <v>1024</v>
      </c>
      <c r="AE25" s="7"/>
      <c r="AG25" t="s">
        <v>1022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9" customHeight="1" x14ac:dyDescent="0.2">
      <c r="A26" s="9" t="s">
        <v>560</v>
      </c>
      <c r="B26" s="9">
        <v>1921</v>
      </c>
      <c r="C26" s="7">
        <v>5</v>
      </c>
      <c r="D26" s="7" t="s">
        <v>561</v>
      </c>
      <c r="G26" t="s">
        <v>107</v>
      </c>
      <c r="H26" t="s">
        <v>429</v>
      </c>
      <c r="I26" s="5">
        <v>20</v>
      </c>
      <c r="J26">
        <v>1</v>
      </c>
      <c r="K26" s="10"/>
      <c r="L26" s="5"/>
      <c r="M26" s="5"/>
      <c r="N26" t="s">
        <v>18</v>
      </c>
      <c r="O26">
        <v>1</v>
      </c>
      <c r="T26">
        <v>47</v>
      </c>
      <c r="U26" s="5"/>
      <c r="V26" s="5"/>
      <c r="W26" s="5"/>
      <c r="X26" s="5"/>
      <c r="Y26" s="5"/>
      <c r="Z26" s="5"/>
      <c r="AA26" t="s">
        <v>20</v>
      </c>
      <c r="AB26" s="5"/>
      <c r="AC26" s="5"/>
      <c r="AD26" t="s">
        <v>20</v>
      </c>
      <c r="AE26" s="7"/>
      <c r="AG26" t="s">
        <v>1025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9" customHeight="1" x14ac:dyDescent="0.2">
      <c r="A27" s="9" t="s">
        <v>560</v>
      </c>
      <c r="B27" s="9">
        <v>1921</v>
      </c>
      <c r="C27" s="7">
        <v>5</v>
      </c>
      <c r="D27" s="7" t="s">
        <v>561</v>
      </c>
      <c r="G27" t="s">
        <v>1027</v>
      </c>
      <c r="H27" t="s">
        <v>1026</v>
      </c>
      <c r="I27" s="5">
        <v>21</v>
      </c>
      <c r="J27">
        <v>1</v>
      </c>
      <c r="K27" s="10"/>
      <c r="L27" s="5"/>
      <c r="M27" s="5"/>
      <c r="N27" t="s">
        <v>26</v>
      </c>
      <c r="S27">
        <v>1</v>
      </c>
      <c r="T27">
        <v>24</v>
      </c>
      <c r="U27" s="5"/>
      <c r="V27" s="5"/>
      <c r="W27" s="5"/>
      <c r="X27" s="5"/>
      <c r="Y27" s="5"/>
      <c r="Z27" s="5"/>
      <c r="AA27" t="s">
        <v>344</v>
      </c>
      <c r="AB27" s="5"/>
      <c r="AC27" s="5">
        <v>1</v>
      </c>
      <c r="AD27" t="s">
        <v>29</v>
      </c>
      <c r="AE27" s="7"/>
      <c r="AG27" t="s">
        <v>14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9" customHeight="1" x14ac:dyDescent="0.2">
      <c r="A28" s="9" t="s">
        <v>560</v>
      </c>
      <c r="B28" s="9">
        <v>1921</v>
      </c>
      <c r="C28" s="7"/>
      <c r="D28" s="7" t="s">
        <v>561</v>
      </c>
      <c r="H28">
        <v>3</v>
      </c>
      <c r="I28" s="5"/>
      <c r="K28" s="10"/>
      <c r="L28" s="5"/>
      <c r="M28" s="5"/>
      <c r="U28" s="5"/>
      <c r="V28" s="5"/>
      <c r="W28" s="5"/>
      <c r="X28" s="5"/>
      <c r="Y28" s="5"/>
      <c r="Z28" s="5"/>
      <c r="AB28" s="5"/>
      <c r="AC28" s="5"/>
      <c r="AE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9" customHeight="1" x14ac:dyDescent="0.2">
      <c r="A29" s="9" t="s">
        <v>560</v>
      </c>
      <c r="B29" s="9">
        <v>1921</v>
      </c>
      <c r="C29" s="7">
        <v>6</v>
      </c>
      <c r="D29" s="7" t="s">
        <v>561</v>
      </c>
      <c r="F29">
        <v>9</v>
      </c>
      <c r="G29" t="s">
        <v>1029</v>
      </c>
      <c r="H29" t="s">
        <v>1028</v>
      </c>
      <c r="I29" s="5">
        <v>22</v>
      </c>
      <c r="J29" t="s">
        <v>13</v>
      </c>
      <c r="K29" s="10">
        <v>1</v>
      </c>
      <c r="L29" s="5"/>
      <c r="M29" s="5"/>
      <c r="N29">
        <v>1</v>
      </c>
      <c r="T29">
        <v>74</v>
      </c>
      <c r="U29" s="5"/>
      <c r="V29" s="5"/>
      <c r="W29" s="5"/>
      <c r="X29" s="5"/>
      <c r="Y29" s="5"/>
      <c r="Z29" s="5"/>
      <c r="AA29" t="s">
        <v>923</v>
      </c>
      <c r="AB29" s="5"/>
      <c r="AC29" s="5">
        <v>1</v>
      </c>
      <c r="AD29">
        <v>1</v>
      </c>
      <c r="AE29" s="7"/>
      <c r="AF29">
        <v>1</v>
      </c>
      <c r="AG29" t="s">
        <v>49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9" customHeight="1" x14ac:dyDescent="0.2">
      <c r="A30" s="9" t="s">
        <v>560</v>
      </c>
      <c r="B30" s="9">
        <v>1921</v>
      </c>
      <c r="C30" s="7">
        <v>6</v>
      </c>
      <c r="D30" s="7" t="s">
        <v>561</v>
      </c>
      <c r="E30" s="7"/>
      <c r="F30" s="5"/>
      <c r="G30" t="s">
        <v>1029</v>
      </c>
      <c r="H30" t="s">
        <v>336</v>
      </c>
      <c r="I30" s="5">
        <v>23</v>
      </c>
      <c r="J30">
        <v>1</v>
      </c>
      <c r="K30" s="10"/>
      <c r="L30" s="5"/>
      <c r="M30" s="5"/>
      <c r="N30" t="s">
        <v>18</v>
      </c>
      <c r="O30">
        <v>1</v>
      </c>
      <c r="T30">
        <v>77</v>
      </c>
      <c r="U30" s="5"/>
      <c r="V30" s="5"/>
      <c r="W30" s="5"/>
      <c r="X30" s="5"/>
      <c r="Y30" s="5"/>
      <c r="Z30" s="5"/>
      <c r="AA30" t="s">
        <v>20</v>
      </c>
      <c r="AB30" s="5"/>
      <c r="AC30" s="5"/>
      <c r="AD30" t="s">
        <v>20</v>
      </c>
      <c r="AE30" s="7"/>
      <c r="AF30">
        <v>1</v>
      </c>
      <c r="AG30" t="s">
        <v>49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9" customHeight="1" x14ac:dyDescent="0.2">
      <c r="A31" s="9" t="s">
        <v>560</v>
      </c>
      <c r="B31" s="9">
        <v>1921</v>
      </c>
      <c r="C31" s="7">
        <v>6</v>
      </c>
      <c r="D31" s="7" t="s">
        <v>561</v>
      </c>
      <c r="E31" s="7"/>
      <c r="F31" s="5"/>
      <c r="G31" t="s">
        <v>1029</v>
      </c>
      <c r="H31" t="s">
        <v>1030</v>
      </c>
      <c r="I31" s="5">
        <v>24</v>
      </c>
      <c r="J31" t="s">
        <v>13</v>
      </c>
      <c r="K31" s="10">
        <v>1</v>
      </c>
      <c r="L31" s="5"/>
      <c r="M31" s="5"/>
      <c r="N31" t="s">
        <v>51</v>
      </c>
      <c r="Q31">
        <v>1</v>
      </c>
      <c r="T31">
        <v>46</v>
      </c>
      <c r="U31" s="5"/>
      <c r="V31" s="5"/>
      <c r="W31" s="5"/>
      <c r="X31" s="5"/>
      <c r="Y31" s="5"/>
      <c r="Z31" s="5"/>
      <c r="AA31" t="s">
        <v>1031</v>
      </c>
      <c r="AB31" s="5"/>
      <c r="AC31" s="5">
        <v>1</v>
      </c>
      <c r="AD31" t="s">
        <v>1032</v>
      </c>
      <c r="AE31" s="7"/>
      <c r="AF31">
        <v>1</v>
      </c>
      <c r="AG31" t="s">
        <v>49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9" customHeight="1" x14ac:dyDescent="0.2">
      <c r="A32" s="9" t="s">
        <v>560</v>
      </c>
      <c r="B32" s="9">
        <v>1921</v>
      </c>
      <c r="C32" s="7">
        <v>6</v>
      </c>
      <c r="D32" s="7" t="s">
        <v>561</v>
      </c>
      <c r="E32" s="7"/>
      <c r="F32" s="5"/>
      <c r="G32" t="s">
        <v>1029</v>
      </c>
      <c r="H32" t="s">
        <v>1033</v>
      </c>
      <c r="I32" s="5">
        <v>25</v>
      </c>
      <c r="J32">
        <v>1</v>
      </c>
      <c r="K32" s="10"/>
      <c r="L32" s="5"/>
      <c r="M32" s="5"/>
      <c r="N32" t="s">
        <v>22</v>
      </c>
      <c r="P32">
        <v>1</v>
      </c>
      <c r="T32">
        <v>37</v>
      </c>
      <c r="U32" s="5"/>
      <c r="V32" s="5"/>
      <c r="W32" s="5"/>
      <c r="X32" s="5"/>
      <c r="Y32" s="5"/>
      <c r="Z32" s="5"/>
      <c r="AA32" t="s">
        <v>20</v>
      </c>
      <c r="AB32" s="5"/>
      <c r="AC32" s="5"/>
      <c r="AD32" t="s">
        <v>20</v>
      </c>
      <c r="AE32" s="7"/>
      <c r="AF32">
        <v>1</v>
      </c>
      <c r="AG32" t="s">
        <v>49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9" customHeight="1" x14ac:dyDescent="0.2">
      <c r="A33" s="9" t="s">
        <v>560</v>
      </c>
      <c r="B33" s="9">
        <v>1921</v>
      </c>
      <c r="C33" s="7">
        <v>6</v>
      </c>
      <c r="D33" s="7" t="s">
        <v>561</v>
      </c>
      <c r="E33" s="7"/>
      <c r="F33" s="5"/>
      <c r="G33" t="s">
        <v>1035</v>
      </c>
      <c r="H33" t="s">
        <v>1034</v>
      </c>
      <c r="I33" s="5">
        <v>26</v>
      </c>
      <c r="J33">
        <v>1</v>
      </c>
      <c r="K33" s="10"/>
      <c r="L33" s="5"/>
      <c r="M33" s="5"/>
      <c r="N33" t="s">
        <v>26</v>
      </c>
      <c r="S33">
        <v>1</v>
      </c>
      <c r="T33">
        <v>44</v>
      </c>
      <c r="U33" s="5"/>
      <c r="V33" s="5"/>
      <c r="W33" s="5"/>
      <c r="X33" s="5"/>
      <c r="Y33" s="5"/>
      <c r="Z33" s="5"/>
      <c r="AA33" t="s">
        <v>1037</v>
      </c>
      <c r="AB33" s="5"/>
      <c r="AC33" s="5">
        <v>1</v>
      </c>
      <c r="AD33" t="s">
        <v>20</v>
      </c>
      <c r="AE33" s="7"/>
      <c r="AG33" t="s">
        <v>1036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9" customHeight="1" x14ac:dyDescent="0.2">
      <c r="A34" s="9" t="s">
        <v>560</v>
      </c>
      <c r="B34" s="9">
        <v>1921</v>
      </c>
      <c r="C34" s="7">
        <v>6</v>
      </c>
      <c r="D34" s="7" t="s">
        <v>561</v>
      </c>
      <c r="E34" s="7"/>
      <c r="F34" s="5"/>
      <c r="G34" t="s">
        <v>1039</v>
      </c>
      <c r="H34" t="s">
        <v>1038</v>
      </c>
      <c r="I34" s="5">
        <v>27</v>
      </c>
      <c r="J34">
        <v>1</v>
      </c>
      <c r="K34" s="10"/>
      <c r="L34" s="5"/>
      <c r="M34" s="5"/>
      <c r="N34" t="s">
        <v>26</v>
      </c>
      <c r="S34">
        <v>1</v>
      </c>
      <c r="T34">
        <v>52</v>
      </c>
      <c r="U34" s="5"/>
      <c r="V34" s="5"/>
      <c r="W34" s="5"/>
      <c r="X34" s="5"/>
      <c r="Y34" s="5"/>
      <c r="Z34" s="5"/>
      <c r="AA34" t="s">
        <v>1037</v>
      </c>
      <c r="AB34" s="5"/>
      <c r="AC34" s="5">
        <v>1</v>
      </c>
      <c r="AD34" t="s">
        <v>20</v>
      </c>
      <c r="AE34" s="7"/>
      <c r="AG34" t="s">
        <v>1040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9" t="s">
        <v>560</v>
      </c>
      <c r="B35" s="9">
        <v>1921</v>
      </c>
      <c r="C35" s="7">
        <v>6</v>
      </c>
      <c r="D35" s="7" t="s">
        <v>561</v>
      </c>
      <c r="E35" s="7"/>
      <c r="F35" s="7"/>
      <c r="G35" t="s">
        <v>1041</v>
      </c>
      <c r="H35" t="s">
        <v>937</v>
      </c>
      <c r="I35" s="5">
        <v>28</v>
      </c>
      <c r="J35">
        <v>1</v>
      </c>
      <c r="K35" s="7"/>
      <c r="L35" s="7"/>
      <c r="M35" s="6"/>
      <c r="N35" t="s">
        <v>26</v>
      </c>
      <c r="S35">
        <v>1</v>
      </c>
      <c r="T35">
        <v>28</v>
      </c>
      <c r="U35" s="7"/>
      <c r="V35" s="7"/>
      <c r="W35" s="7"/>
      <c r="X35" s="7"/>
      <c r="Y35" s="7"/>
      <c r="Z35" s="7"/>
      <c r="AA35" t="s">
        <v>56</v>
      </c>
      <c r="AB35" s="7"/>
      <c r="AC35" s="5">
        <v>1</v>
      </c>
      <c r="AD35" t="s">
        <v>29</v>
      </c>
      <c r="AE35" s="7"/>
      <c r="AG35" t="s">
        <v>763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9" t="s">
        <v>560</v>
      </c>
      <c r="B36" s="9">
        <v>1921</v>
      </c>
      <c r="C36" s="7">
        <v>6</v>
      </c>
      <c r="D36" s="7" t="s">
        <v>561</v>
      </c>
      <c r="E36" s="7"/>
      <c r="F36" s="7"/>
      <c r="G36" t="s">
        <v>1041</v>
      </c>
      <c r="H36" t="s">
        <v>704</v>
      </c>
      <c r="I36" s="5">
        <v>29</v>
      </c>
      <c r="J36">
        <v>1</v>
      </c>
      <c r="K36" s="7"/>
      <c r="L36" s="7"/>
      <c r="M36" s="6"/>
      <c r="N36" t="s">
        <v>26</v>
      </c>
      <c r="S36">
        <v>1</v>
      </c>
      <c r="T36">
        <v>19</v>
      </c>
      <c r="U36" s="7"/>
      <c r="V36" s="7"/>
      <c r="W36" s="7"/>
      <c r="X36" s="7"/>
      <c r="Y36" s="7"/>
      <c r="Z36" s="7"/>
      <c r="AA36" t="s">
        <v>56</v>
      </c>
      <c r="AB36" s="7"/>
      <c r="AC36" s="5">
        <v>1</v>
      </c>
      <c r="AD36" t="s">
        <v>29</v>
      </c>
      <c r="AE36" s="7"/>
      <c r="AG36" t="s">
        <v>763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9" t="s">
        <v>560</v>
      </c>
      <c r="B37" s="9">
        <v>1921</v>
      </c>
      <c r="C37" s="7">
        <v>6</v>
      </c>
      <c r="D37" s="7" t="s">
        <v>561</v>
      </c>
      <c r="E37" s="7"/>
      <c r="F37" s="7"/>
      <c r="G37" t="s">
        <v>1042</v>
      </c>
      <c r="H37" t="s">
        <v>170</v>
      </c>
      <c r="I37" s="5">
        <v>30</v>
      </c>
      <c r="J37">
        <v>1</v>
      </c>
      <c r="K37" s="7"/>
      <c r="L37" s="7"/>
      <c r="M37" s="6"/>
      <c r="N37" t="s">
        <v>26</v>
      </c>
      <c r="S37">
        <v>1</v>
      </c>
      <c r="T37">
        <v>24</v>
      </c>
      <c r="U37" s="7"/>
      <c r="V37" s="7"/>
      <c r="W37" s="7"/>
      <c r="X37" s="7"/>
      <c r="Y37" s="7"/>
      <c r="Z37" s="7"/>
      <c r="AA37" t="s">
        <v>56</v>
      </c>
      <c r="AB37" s="7"/>
      <c r="AC37" s="5">
        <v>1</v>
      </c>
      <c r="AD37" t="s">
        <v>29</v>
      </c>
      <c r="AE37" s="7"/>
      <c r="AG37" t="s">
        <v>1043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9" t="s">
        <v>560</v>
      </c>
      <c r="B38" s="9">
        <v>1921</v>
      </c>
      <c r="C38" s="7">
        <v>6</v>
      </c>
      <c r="D38" s="7" t="s">
        <v>561</v>
      </c>
      <c r="E38" s="7"/>
      <c r="F38" s="7"/>
      <c r="G38" t="s">
        <v>854</v>
      </c>
      <c r="H38" t="s">
        <v>1044</v>
      </c>
      <c r="I38" s="5">
        <v>31</v>
      </c>
      <c r="J38">
        <v>1</v>
      </c>
      <c r="K38" s="7"/>
      <c r="L38" s="7"/>
      <c r="M38" s="6"/>
      <c r="N38" t="s">
        <v>22</v>
      </c>
      <c r="P38">
        <v>1</v>
      </c>
      <c r="T38">
        <v>40</v>
      </c>
      <c r="U38" s="7"/>
      <c r="V38" s="7"/>
      <c r="W38" s="7"/>
      <c r="X38" s="7"/>
      <c r="Y38" s="7"/>
      <c r="Z38" s="7"/>
      <c r="AA38" t="s">
        <v>20</v>
      </c>
      <c r="AB38" s="7"/>
      <c r="AC38" s="5"/>
      <c r="AD38" t="s">
        <v>20</v>
      </c>
      <c r="AE38" s="7"/>
      <c r="AF38">
        <v>1</v>
      </c>
      <c r="AG38" t="s">
        <v>49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9" t="s">
        <v>560</v>
      </c>
      <c r="B39" s="9">
        <v>1921</v>
      </c>
      <c r="C39" s="7">
        <v>6</v>
      </c>
      <c r="D39" s="7" t="s">
        <v>561</v>
      </c>
      <c r="E39" s="7"/>
      <c r="F39" s="7"/>
      <c r="G39" t="s">
        <v>854</v>
      </c>
      <c r="H39" t="s">
        <v>1045</v>
      </c>
      <c r="I39" s="5">
        <v>32</v>
      </c>
      <c r="J39" t="s">
        <v>13</v>
      </c>
      <c r="K39" s="7"/>
      <c r="L39" s="7"/>
      <c r="M39" s="6">
        <v>1</v>
      </c>
      <c r="N39" t="s">
        <v>1046</v>
      </c>
      <c r="R39">
        <v>1</v>
      </c>
      <c r="T39">
        <v>2</v>
      </c>
      <c r="U39" s="7"/>
      <c r="V39" s="7"/>
      <c r="W39" s="7"/>
      <c r="X39" s="7"/>
      <c r="Y39" s="7"/>
      <c r="Z39" s="7"/>
      <c r="AA39" t="s">
        <v>20</v>
      </c>
      <c r="AB39" s="7"/>
      <c r="AC39" s="5"/>
      <c r="AD39" t="s">
        <v>20</v>
      </c>
      <c r="AE39" s="7"/>
      <c r="AG39" t="s">
        <v>1047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9" t="s">
        <v>560</v>
      </c>
      <c r="B40" s="9">
        <v>1921</v>
      </c>
      <c r="C40" s="7">
        <v>6</v>
      </c>
      <c r="D40" s="7" t="s">
        <v>561</v>
      </c>
      <c r="E40" s="7"/>
      <c r="F40" s="7"/>
      <c r="G40" t="s">
        <v>1049</v>
      </c>
      <c r="H40" t="s">
        <v>1048</v>
      </c>
      <c r="I40" s="5">
        <v>33</v>
      </c>
      <c r="J40">
        <v>1</v>
      </c>
      <c r="K40" s="7"/>
      <c r="L40" s="7"/>
      <c r="M40" s="6"/>
      <c r="N40" t="s">
        <v>26</v>
      </c>
      <c r="S40">
        <v>1</v>
      </c>
      <c r="T40">
        <v>19</v>
      </c>
      <c r="U40" s="7"/>
      <c r="V40" s="7"/>
      <c r="W40" s="7"/>
      <c r="X40" s="7"/>
      <c r="Y40" s="7"/>
      <c r="Z40" s="7"/>
      <c r="AA40" t="s">
        <v>934</v>
      </c>
      <c r="AB40" s="7"/>
      <c r="AC40" s="5">
        <v>1</v>
      </c>
      <c r="AD40" t="s">
        <v>29</v>
      </c>
      <c r="AE40" s="7"/>
      <c r="AF40">
        <v>1</v>
      </c>
      <c r="AG40" t="s">
        <v>1050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9" t="s">
        <v>560</v>
      </c>
      <c r="B41" s="9">
        <v>1921</v>
      </c>
      <c r="C41" s="7">
        <v>6</v>
      </c>
      <c r="D41" s="7" t="s">
        <v>561</v>
      </c>
      <c r="E41" s="7"/>
      <c r="F41" s="7"/>
      <c r="G41" s="7"/>
      <c r="H41" s="7">
        <v>12</v>
      </c>
      <c r="I41" s="7">
        <v>33</v>
      </c>
      <c r="J41" s="7">
        <f>SUM(J3:J40)</f>
        <v>21</v>
      </c>
      <c r="K41" s="7">
        <f t="shared" ref="K41:AB41" si="0">SUM(K3:K40)</f>
        <v>7</v>
      </c>
      <c r="L41" s="7">
        <f t="shared" si="0"/>
        <v>3</v>
      </c>
      <c r="M41" s="7">
        <f t="shared" si="0"/>
        <v>2</v>
      </c>
      <c r="N41" s="7">
        <f t="shared" si="0"/>
        <v>6</v>
      </c>
      <c r="O41" s="7">
        <f t="shared" si="0"/>
        <v>5</v>
      </c>
      <c r="P41" s="7">
        <f t="shared" si="0"/>
        <v>5</v>
      </c>
      <c r="Q41" s="7">
        <f t="shared" si="0"/>
        <v>2</v>
      </c>
      <c r="R41" s="7">
        <f t="shared" si="0"/>
        <v>3</v>
      </c>
      <c r="S41" s="7">
        <f t="shared" si="0"/>
        <v>12</v>
      </c>
      <c r="T41" s="7">
        <f t="shared" si="0"/>
        <v>1139</v>
      </c>
      <c r="U41" s="7">
        <f t="shared" si="0"/>
        <v>0</v>
      </c>
      <c r="V41" s="7">
        <f t="shared" si="0"/>
        <v>0</v>
      </c>
      <c r="W41" s="7">
        <f t="shared" si="0"/>
        <v>0</v>
      </c>
      <c r="X41" s="7">
        <f t="shared" si="0"/>
        <v>0</v>
      </c>
      <c r="Y41" s="7">
        <f t="shared" si="0"/>
        <v>0</v>
      </c>
      <c r="Z41" s="7">
        <f t="shared" si="0"/>
        <v>0</v>
      </c>
      <c r="AA41" s="7">
        <f t="shared" si="0"/>
        <v>0</v>
      </c>
      <c r="AB41" s="7">
        <f t="shared" si="0"/>
        <v>0</v>
      </c>
      <c r="AC41" s="7">
        <f>SUM(AC3:AC40)</f>
        <v>20</v>
      </c>
      <c r="AD41" s="7">
        <f>SUM(AD3:AD40)</f>
        <v>3</v>
      </c>
      <c r="AE41" s="7">
        <f>AC41-AD41</f>
        <v>17</v>
      </c>
      <c r="AF41" s="7">
        <f>SUM(AF3:AF40)</f>
        <v>17</v>
      </c>
      <c r="AG41" s="7">
        <f>J42-AF41</f>
        <v>16</v>
      </c>
      <c r="AH41" s="7">
        <f>SUM(AH3:AH40)</f>
        <v>0</v>
      </c>
      <c r="AI41" s="7">
        <f>SUM(AI3:AI40)</f>
        <v>0</v>
      </c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>
        <f>SUM(J41:M41)</f>
        <v>33</v>
      </c>
      <c r="K42" s="7"/>
      <c r="L42" s="7"/>
      <c r="M42" s="6"/>
      <c r="N42" s="6">
        <f>SUM(N41:S41)</f>
        <v>33</v>
      </c>
      <c r="O42" s="6"/>
      <c r="P42" s="6"/>
      <c r="Q42" s="6"/>
      <c r="R42" s="6"/>
      <c r="S42" s="6"/>
      <c r="T42" s="150">
        <f>T41/N42</f>
        <v>34.515151515151516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" customHeight="1" x14ac:dyDescent="0.2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6"/>
      <c r="N44" s="6"/>
      <c r="O44" s="6"/>
      <c r="P44" s="6"/>
      <c r="Q44" s="6"/>
      <c r="R44" s="6"/>
      <c r="S44" s="6"/>
      <c r="T44" s="6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6"/>
      <c r="N45" s="6"/>
      <c r="O45" s="6"/>
      <c r="P45" s="6"/>
      <c r="Q45" s="6"/>
      <c r="R45" s="6"/>
      <c r="S45" s="6"/>
      <c r="T45" s="6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11"/>
      <c r="B46" s="11"/>
      <c r="C46" s="11"/>
      <c r="D46" s="12"/>
      <c r="E46" s="11"/>
      <c r="F46" s="12"/>
      <c r="G46" s="12"/>
      <c r="H46" s="12"/>
      <c r="I46" s="12"/>
      <c r="J46" s="12"/>
      <c r="K46" s="13"/>
      <c r="L46" s="12"/>
      <c r="M46" s="12"/>
      <c r="N46" s="12"/>
      <c r="O46" s="12"/>
      <c r="P46" s="12"/>
      <c r="Q46" s="13"/>
      <c r="R46" s="13"/>
      <c r="S46" s="13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28" customHeight="1" x14ac:dyDescent="0.2">
      <c r="A47" s="11"/>
      <c r="B47" s="11"/>
      <c r="C47" s="11"/>
      <c r="D47" s="12"/>
      <c r="E47" s="11"/>
      <c r="F47" s="12"/>
      <c r="G47" s="12"/>
      <c r="H47" s="12"/>
      <c r="I47" s="12"/>
      <c r="J47" s="14"/>
      <c r="K47" s="15"/>
      <c r="L47" s="16"/>
      <c r="M47" s="12"/>
      <c r="N47" s="12"/>
      <c r="O47" s="12"/>
      <c r="P47" s="14"/>
      <c r="Q47" s="15"/>
      <c r="R47" s="15"/>
      <c r="S47" s="15"/>
      <c r="T47" s="17"/>
      <c r="U47" s="12"/>
      <c r="V47" s="12"/>
      <c r="W47" s="12"/>
      <c r="X47" s="12"/>
      <c r="Y47" s="12"/>
      <c r="Z47" s="12"/>
      <c r="AA47" s="12"/>
      <c r="AB47" s="12"/>
      <c r="AC47" s="12"/>
      <c r="AD47" s="11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B48" s="7"/>
      <c r="C48" s="7"/>
      <c r="D48" s="7"/>
      <c r="E48" s="7"/>
      <c r="F48" s="7"/>
      <c r="G48" s="7"/>
      <c r="H48" s="7"/>
      <c r="I48" s="7"/>
      <c r="J48" s="7"/>
      <c r="K48" s="9"/>
      <c r="L48" s="7"/>
      <c r="M48" s="6"/>
      <c r="N48" s="6"/>
      <c r="O48" s="6"/>
      <c r="P48" s="6"/>
      <c r="Q48" s="18"/>
      <c r="R48" s="18"/>
      <c r="S48" s="18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6"/>
      <c r="N49" s="6"/>
      <c r="O49" s="6"/>
      <c r="P49" s="6"/>
      <c r="Q49" s="7"/>
      <c r="R49" s="6"/>
      <c r="S49" s="6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6"/>
      <c r="N50" s="6"/>
      <c r="O50" s="6"/>
      <c r="P50" s="6"/>
      <c r="Q50" s="6"/>
      <c r="R50" s="6"/>
      <c r="S50" s="6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 t="s">
        <v>0</v>
      </c>
      <c r="I51" s="7" t="s">
        <v>1</v>
      </c>
      <c r="J51" s="7" t="s">
        <v>2</v>
      </c>
      <c r="K51" s="7" t="s">
        <v>3</v>
      </c>
      <c r="L51" s="7" t="s">
        <v>4</v>
      </c>
      <c r="M51" s="6" t="s">
        <v>5</v>
      </c>
      <c r="N51" s="6" t="s">
        <v>6</v>
      </c>
      <c r="O51" s="6" t="s">
        <v>7</v>
      </c>
      <c r="P51" s="6" t="s">
        <v>8</v>
      </c>
      <c r="Q51" s="6"/>
      <c r="R51" s="6"/>
      <c r="S51" s="6"/>
      <c r="T51" s="7"/>
      <c r="U51" s="6"/>
      <c r="V51" s="6"/>
      <c r="W51" s="6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 t="s">
        <v>444</v>
      </c>
      <c r="I52" s="7" t="s">
        <v>932</v>
      </c>
      <c r="J52" s="7" t="s">
        <v>12</v>
      </c>
      <c r="K52" s="7" t="s">
        <v>13</v>
      </c>
      <c r="L52" s="7">
        <v>1885</v>
      </c>
      <c r="M52" s="6">
        <v>36</v>
      </c>
      <c r="N52" s="6" t="s">
        <v>49</v>
      </c>
      <c r="O52" s="6" t="s">
        <v>158</v>
      </c>
      <c r="P52" s="6" t="s">
        <v>8</v>
      </c>
      <c r="Q52" s="7"/>
      <c r="R52" s="6"/>
      <c r="S52" s="6"/>
      <c r="T52" s="7"/>
      <c r="U52" s="6"/>
      <c r="V52" s="6"/>
      <c r="W52" s="6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 t="s">
        <v>995</v>
      </c>
      <c r="I53" s="7" t="s">
        <v>932</v>
      </c>
      <c r="J53" s="7" t="s">
        <v>144</v>
      </c>
      <c r="K53" s="7" t="s">
        <v>19</v>
      </c>
      <c r="L53" s="7">
        <v>1881</v>
      </c>
      <c r="M53" s="6">
        <v>40</v>
      </c>
      <c r="N53" s="6" t="s">
        <v>49</v>
      </c>
      <c r="O53" s="6" t="s">
        <v>50</v>
      </c>
      <c r="P53" s="6" t="s">
        <v>20</v>
      </c>
      <c r="Q53" s="7"/>
      <c r="R53" s="6"/>
      <c r="S53" s="6"/>
      <c r="T53" s="7"/>
      <c r="U53" s="6"/>
      <c r="V53" s="6"/>
      <c r="W53" s="6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 t="s">
        <v>996</v>
      </c>
      <c r="I54" s="7" t="s">
        <v>932</v>
      </c>
      <c r="J54" s="7" t="s">
        <v>144</v>
      </c>
      <c r="K54" s="7" t="s">
        <v>19</v>
      </c>
      <c r="L54" s="7">
        <v>1893</v>
      </c>
      <c r="M54" s="6">
        <v>27</v>
      </c>
      <c r="N54" s="6" t="s">
        <v>49</v>
      </c>
      <c r="O54" s="6" t="s">
        <v>997</v>
      </c>
      <c r="P54" s="6" t="s">
        <v>20</v>
      </c>
      <c r="Q54" s="7"/>
      <c r="R54" s="6"/>
      <c r="S54" s="6"/>
      <c r="T54" s="7"/>
      <c r="U54" s="6"/>
      <c r="V54" s="6"/>
      <c r="W54" s="6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 t="s">
        <v>998</v>
      </c>
      <c r="I55" s="7" t="s">
        <v>999</v>
      </c>
      <c r="J55" s="7" t="s">
        <v>26</v>
      </c>
      <c r="K55" s="7" t="s">
        <v>19</v>
      </c>
      <c r="L55" s="7">
        <v>1904</v>
      </c>
      <c r="M55" s="6">
        <v>16</v>
      </c>
      <c r="N55" s="6" t="s">
        <v>681</v>
      </c>
      <c r="O55" s="6" t="s">
        <v>56</v>
      </c>
      <c r="P55" s="6" t="s">
        <v>29</v>
      </c>
      <c r="Q55" s="7"/>
      <c r="R55" s="6"/>
      <c r="S55" s="6"/>
      <c r="T55" s="7"/>
      <c r="U55" s="6"/>
      <c r="V55" s="6"/>
      <c r="W55" s="6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/>
      <c r="B57" s="7"/>
      <c r="C57" s="7"/>
      <c r="D57" s="7"/>
      <c r="E57" s="7"/>
      <c r="F57" s="7"/>
      <c r="G57" s="7"/>
      <c r="H57" s="7" t="s">
        <v>0</v>
      </c>
      <c r="I57" s="7" t="s">
        <v>1</v>
      </c>
      <c r="J57" s="7" t="s">
        <v>2</v>
      </c>
      <c r="K57" s="7" t="s">
        <v>3</v>
      </c>
      <c r="L57" s="7" t="s">
        <v>4</v>
      </c>
      <c r="M57" s="6" t="s">
        <v>5</v>
      </c>
      <c r="N57" s="6" t="s">
        <v>6</v>
      </c>
      <c r="O57" s="6" t="s">
        <v>7</v>
      </c>
      <c r="P57" s="6" t="s">
        <v>8</v>
      </c>
      <c r="Q57" s="7"/>
      <c r="R57" s="6"/>
      <c r="S57" s="6"/>
      <c r="T57" s="19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 t="s">
        <v>1011</v>
      </c>
      <c r="G58" s="7"/>
      <c r="H58" s="7" t="s">
        <v>1000</v>
      </c>
      <c r="I58" s="7" t="s">
        <v>1001</v>
      </c>
      <c r="J58" s="7" t="s">
        <v>12</v>
      </c>
      <c r="K58" s="7" t="s">
        <v>13</v>
      </c>
      <c r="L58" s="7">
        <v>1878</v>
      </c>
      <c r="M58" s="6">
        <v>43</v>
      </c>
      <c r="N58" s="6" t="s">
        <v>49</v>
      </c>
      <c r="O58" s="6" t="s">
        <v>15</v>
      </c>
      <c r="P58" s="6" t="s">
        <v>8</v>
      </c>
      <c r="Q58" s="7"/>
      <c r="R58" s="6"/>
      <c r="S58" s="6"/>
      <c r="T58" s="7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/>
      <c r="B59" s="7"/>
      <c r="C59" s="7"/>
      <c r="D59" s="7"/>
      <c r="E59" s="7"/>
      <c r="F59" s="7"/>
      <c r="G59" s="7"/>
      <c r="H59" s="7" t="s">
        <v>1002</v>
      </c>
      <c r="I59" s="7" t="s">
        <v>1001</v>
      </c>
      <c r="J59" s="7" t="s">
        <v>18</v>
      </c>
      <c r="K59" s="7" t="s">
        <v>19</v>
      </c>
      <c r="L59" s="7">
        <v>1895</v>
      </c>
      <c r="M59" s="6">
        <v>26</v>
      </c>
      <c r="N59" s="6" t="s">
        <v>1003</v>
      </c>
      <c r="O59" s="6" t="s">
        <v>50</v>
      </c>
      <c r="P59" s="6" t="s">
        <v>20</v>
      </c>
      <c r="Q59" s="7"/>
      <c r="R59" s="6"/>
      <c r="S59" s="6"/>
      <c r="T59" s="7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 t="s">
        <v>1004</v>
      </c>
      <c r="I60" s="7" t="s">
        <v>1005</v>
      </c>
      <c r="J60" s="7" t="s">
        <v>26</v>
      </c>
      <c r="K60" s="7" t="s">
        <v>19</v>
      </c>
      <c r="L60" s="7">
        <v>1866</v>
      </c>
      <c r="M60" s="6">
        <v>55</v>
      </c>
      <c r="N60" s="6" t="s">
        <v>1006</v>
      </c>
      <c r="O60" s="6" t="s">
        <v>33</v>
      </c>
      <c r="P60" s="6" t="s">
        <v>29</v>
      </c>
      <c r="Q60" s="7"/>
      <c r="R60" s="6"/>
      <c r="S60" s="6"/>
      <c r="T60" s="19"/>
      <c r="U60" s="6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A61" s="7"/>
      <c r="B61" s="7"/>
      <c r="C61" s="7"/>
      <c r="D61" s="7"/>
      <c r="E61" s="7"/>
      <c r="F61" s="7"/>
      <c r="G61" s="7"/>
      <c r="H61" s="7" t="s">
        <v>422</v>
      </c>
      <c r="I61" s="7" t="s">
        <v>1007</v>
      </c>
      <c r="J61" s="7" t="s">
        <v>26</v>
      </c>
      <c r="K61" s="7" t="s">
        <v>19</v>
      </c>
      <c r="L61" s="7">
        <v>1896</v>
      </c>
      <c r="M61" s="6">
        <v>25</v>
      </c>
      <c r="N61" s="6" t="s">
        <v>134</v>
      </c>
      <c r="O61" s="6" t="s">
        <v>360</v>
      </c>
      <c r="P61" s="6" t="s">
        <v>29</v>
      </c>
      <c r="Q61" s="7"/>
      <c r="R61" s="6"/>
      <c r="S61" s="6"/>
      <c r="T61" s="7"/>
      <c r="U61" s="6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6"/>
      <c r="N62" s="6"/>
      <c r="O62" s="6"/>
      <c r="P62" s="6"/>
      <c r="Q62" s="7"/>
      <c r="R62" s="6"/>
      <c r="S62" s="6"/>
      <c r="T62" s="7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A63" s="7"/>
      <c r="B63" s="7"/>
      <c r="C63" s="7"/>
      <c r="D63" s="7"/>
      <c r="E63" s="7"/>
      <c r="F63" s="7"/>
      <c r="G63" s="7"/>
      <c r="H63" s="7" t="s">
        <v>0</v>
      </c>
      <c r="I63" s="7" t="s">
        <v>1</v>
      </c>
      <c r="J63" s="7" t="s">
        <v>2</v>
      </c>
      <c r="K63" s="7" t="s">
        <v>3</v>
      </c>
      <c r="L63" s="7" t="s">
        <v>4</v>
      </c>
      <c r="M63" s="6" t="s">
        <v>5</v>
      </c>
      <c r="N63" s="6" t="s">
        <v>6</v>
      </c>
      <c r="O63" s="6" t="s">
        <v>7</v>
      </c>
      <c r="P63" s="6" t="s">
        <v>8</v>
      </c>
      <c r="Q63" s="7"/>
      <c r="R63" s="6"/>
      <c r="S63" s="6"/>
      <c r="T63" s="7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" customHeight="1" x14ac:dyDescent="0.2">
      <c r="A64" s="4" t="s">
        <v>252</v>
      </c>
      <c r="B64" s="7"/>
      <c r="C64" s="7"/>
      <c r="D64" s="7"/>
      <c r="E64" s="7"/>
      <c r="F64" s="7"/>
      <c r="G64" s="7">
        <v>1</v>
      </c>
      <c r="H64" s="7" t="s">
        <v>1008</v>
      </c>
      <c r="I64" s="7" t="s">
        <v>669</v>
      </c>
      <c r="J64" s="7" t="s">
        <v>12</v>
      </c>
      <c r="K64" s="7" t="s">
        <v>13</v>
      </c>
      <c r="L64" s="7">
        <v>1858</v>
      </c>
      <c r="M64" s="7">
        <v>63</v>
      </c>
      <c r="N64" s="7" t="s">
        <v>149</v>
      </c>
      <c r="O64" s="7" t="s">
        <v>1009</v>
      </c>
      <c r="P64" s="7" t="s">
        <v>1010</v>
      </c>
      <c r="Q64" s="7">
        <f t="shared" ref="Q64:W64" si="1">SUM(Q3:Q63)</f>
        <v>4</v>
      </c>
      <c r="R64" s="7">
        <f t="shared" si="1"/>
        <v>6</v>
      </c>
      <c r="S64" s="7">
        <f t="shared" si="1"/>
        <v>24</v>
      </c>
      <c r="T64" s="7">
        <f t="shared" si="1"/>
        <v>2312.5151515151515</v>
      </c>
      <c r="U64" s="7">
        <f t="shared" si="1"/>
        <v>0</v>
      </c>
      <c r="V64" s="7">
        <f t="shared" si="1"/>
        <v>0</v>
      </c>
      <c r="W64" s="7">
        <f t="shared" si="1"/>
        <v>0</v>
      </c>
      <c r="X64" s="7"/>
      <c r="Y64" s="7"/>
      <c r="Z64" s="7">
        <f>SUM(Z3:Z63)</f>
        <v>0</v>
      </c>
      <c r="AA64" s="7">
        <f>SUM(AA3:AA63)</f>
        <v>0</v>
      </c>
      <c r="AB64" s="7">
        <f>SUM(AB3:AB63)</f>
        <v>0</v>
      </c>
      <c r="AC64" s="7">
        <f>SUM(AC3:AC63)</f>
        <v>40</v>
      </c>
      <c r="AD64" s="7">
        <f>SUM(AD3:AD63)</f>
        <v>6</v>
      </c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" customHeight="1" x14ac:dyDescent="0.2">
      <c r="A65" s="7"/>
      <c r="B65" s="7"/>
      <c r="C65" s="7"/>
      <c r="D65" s="7"/>
      <c r="E65" s="7"/>
      <c r="F65" s="7"/>
      <c r="G65" s="7"/>
      <c r="H65" s="7" t="s">
        <v>63</v>
      </c>
      <c r="I65" s="7" t="s">
        <v>669</v>
      </c>
      <c r="J65" s="7" t="s">
        <v>18</v>
      </c>
      <c r="K65" s="7" t="s">
        <v>19</v>
      </c>
      <c r="L65" s="7">
        <v>1867</v>
      </c>
      <c r="M65" s="7">
        <v>54</v>
      </c>
      <c r="N65" s="7" t="s">
        <v>43</v>
      </c>
      <c r="O65" s="7" t="s">
        <v>20</v>
      </c>
      <c r="P65" s="7" t="s">
        <v>20</v>
      </c>
      <c r="Q65" s="20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" customHeight="1" x14ac:dyDescent="0.2">
      <c r="A66" s="7"/>
      <c r="B66" s="7"/>
      <c r="C66" s="7"/>
      <c r="D66" s="7"/>
      <c r="E66" s="7"/>
      <c r="F66" s="7"/>
      <c r="G66" s="21"/>
      <c r="H66" s="21"/>
      <c r="I66" s="21"/>
      <c r="J66" s="7"/>
      <c r="K66" s="7"/>
      <c r="L66" s="7"/>
      <c r="M66" s="7"/>
      <c r="N66" s="7"/>
      <c r="O66" s="7"/>
      <c r="P66" s="7"/>
      <c r="Q66" s="20"/>
      <c r="R66" s="21"/>
      <c r="S66" s="21"/>
      <c r="T66" s="21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.5" customHeight="1" x14ac:dyDescent="0.2">
      <c r="A67" s="7"/>
      <c r="B67" s="7"/>
      <c r="C67" s="7"/>
      <c r="D67" s="7"/>
      <c r="E67" s="7"/>
      <c r="F67" s="7"/>
      <c r="G67" s="7"/>
      <c r="H67" s="7" t="s">
        <v>0</v>
      </c>
      <c r="I67" s="7" t="s">
        <v>1</v>
      </c>
      <c r="J67" s="7" t="s">
        <v>2</v>
      </c>
      <c r="K67" s="7" t="s">
        <v>3</v>
      </c>
      <c r="L67" s="7" t="s">
        <v>4</v>
      </c>
      <c r="M67" s="7" t="s">
        <v>5</v>
      </c>
      <c r="N67" s="7" t="s">
        <v>6</v>
      </c>
      <c r="O67" s="7" t="s">
        <v>7</v>
      </c>
      <c r="P67" s="7" t="s">
        <v>8</v>
      </c>
      <c r="Q67" s="7"/>
      <c r="R67" s="6"/>
      <c r="S67" s="6"/>
      <c r="T67" s="19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" customHeight="1" x14ac:dyDescent="0.2">
      <c r="A68" s="7"/>
      <c r="B68" s="7"/>
      <c r="C68" s="7"/>
      <c r="D68" s="7"/>
      <c r="E68" s="7"/>
      <c r="F68" s="7"/>
      <c r="G68" s="7">
        <v>7</v>
      </c>
      <c r="H68" s="7" t="s">
        <v>1012</v>
      </c>
      <c r="I68" s="7" t="s">
        <v>61</v>
      </c>
      <c r="J68" s="7" t="s">
        <v>12</v>
      </c>
      <c r="K68" s="7" t="s">
        <v>13</v>
      </c>
      <c r="L68" s="7">
        <v>1883</v>
      </c>
      <c r="M68" s="7">
        <v>37</v>
      </c>
      <c r="N68" s="7" t="s">
        <v>14</v>
      </c>
      <c r="O68" s="7" t="s">
        <v>1013</v>
      </c>
      <c r="P68" s="7" t="s">
        <v>20</v>
      </c>
      <c r="Q68" s="7"/>
      <c r="R68" s="21"/>
      <c r="S68" s="21"/>
      <c r="T68" s="21"/>
      <c r="U68" s="7"/>
      <c r="V68" s="7"/>
      <c r="W68" s="7"/>
      <c r="X68" s="7"/>
      <c r="Y68" s="7"/>
      <c r="Z68" s="7"/>
      <c r="AA68" s="7"/>
      <c r="AB68" s="7"/>
      <c r="AC68" s="22"/>
      <c r="AD68" s="22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.5" customHeight="1" x14ac:dyDescent="0.2">
      <c r="A69" s="7"/>
      <c r="B69" s="7"/>
      <c r="C69" s="7"/>
      <c r="D69" s="7"/>
      <c r="E69" s="7"/>
      <c r="F69" s="7"/>
      <c r="G69" s="7"/>
      <c r="H69" s="7" t="s">
        <v>1014</v>
      </c>
      <c r="I69" s="7" t="s">
        <v>61</v>
      </c>
      <c r="J69" s="7" t="s">
        <v>18</v>
      </c>
      <c r="K69" s="7" t="s">
        <v>19</v>
      </c>
      <c r="L69" s="7">
        <v>1885</v>
      </c>
      <c r="M69" s="7">
        <v>36</v>
      </c>
      <c r="N69" s="7" t="s">
        <v>77</v>
      </c>
      <c r="O69" s="7" t="s">
        <v>50</v>
      </c>
      <c r="P69" s="7" t="s">
        <v>20</v>
      </c>
      <c r="Q69" s="7"/>
      <c r="R69" s="6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">
      <c r="H70" t="s">
        <v>1012</v>
      </c>
      <c r="I70" t="s">
        <v>61</v>
      </c>
      <c r="J70" t="s">
        <v>51</v>
      </c>
      <c r="K70" t="s">
        <v>13</v>
      </c>
      <c r="L70">
        <v>1911</v>
      </c>
      <c r="M70">
        <v>10</v>
      </c>
      <c r="N70" t="s">
        <v>1015</v>
      </c>
      <c r="O70" t="s">
        <v>20</v>
      </c>
      <c r="P70" t="s">
        <v>20</v>
      </c>
    </row>
    <row r="71" spans="1:51" x14ac:dyDescent="0.2">
      <c r="H71" t="s">
        <v>1016</v>
      </c>
      <c r="I71" t="s">
        <v>61</v>
      </c>
      <c r="J71" t="s">
        <v>22</v>
      </c>
      <c r="K71" t="s">
        <v>19</v>
      </c>
      <c r="L71">
        <v>1907</v>
      </c>
      <c r="M71">
        <v>13</v>
      </c>
      <c r="N71" t="s">
        <v>1015</v>
      </c>
      <c r="O71" t="s">
        <v>20</v>
      </c>
      <c r="P71" t="s">
        <v>20</v>
      </c>
    </row>
    <row r="72" spans="1:51" x14ac:dyDescent="0.2">
      <c r="H72" t="s">
        <v>998</v>
      </c>
      <c r="I72" t="s">
        <v>61</v>
      </c>
      <c r="J72" t="s">
        <v>22</v>
      </c>
      <c r="K72" t="s">
        <v>19</v>
      </c>
      <c r="L72">
        <v>1909</v>
      </c>
      <c r="M72">
        <v>12</v>
      </c>
      <c r="N72" t="s">
        <v>1015</v>
      </c>
      <c r="O72" t="s">
        <v>20</v>
      </c>
      <c r="P72" t="s">
        <v>20</v>
      </c>
    </row>
    <row r="73" spans="1:51" x14ac:dyDescent="0.2">
      <c r="H73" t="s">
        <v>1017</v>
      </c>
      <c r="I73" t="s">
        <v>61</v>
      </c>
      <c r="J73" t="s">
        <v>22</v>
      </c>
      <c r="K73" t="s">
        <v>19</v>
      </c>
      <c r="L73">
        <v>1912</v>
      </c>
      <c r="M73">
        <v>8</v>
      </c>
      <c r="N73" t="s">
        <v>1018</v>
      </c>
      <c r="O73" t="s">
        <v>20</v>
      </c>
      <c r="P73" t="s">
        <v>20</v>
      </c>
    </row>
    <row r="74" spans="1:51" x14ac:dyDescent="0.2">
      <c r="H74" t="s">
        <v>1019</v>
      </c>
      <c r="I74" t="s">
        <v>61</v>
      </c>
      <c r="J74" t="s">
        <v>26</v>
      </c>
      <c r="K74" t="s">
        <v>19</v>
      </c>
      <c r="L74">
        <v>1888</v>
      </c>
      <c r="M74">
        <v>33</v>
      </c>
      <c r="N74" t="s">
        <v>212</v>
      </c>
      <c r="O74" t="s">
        <v>33</v>
      </c>
      <c r="P74" t="s">
        <v>29</v>
      </c>
    </row>
    <row r="75" spans="1:51" x14ac:dyDescent="0.2">
      <c r="H75" t="s">
        <v>24</v>
      </c>
      <c r="I75" t="s">
        <v>1020</v>
      </c>
      <c r="J75" t="s">
        <v>26</v>
      </c>
      <c r="K75" t="s">
        <v>19</v>
      </c>
      <c r="L75">
        <v>1902</v>
      </c>
      <c r="M75">
        <v>19</v>
      </c>
      <c r="N75" t="s">
        <v>14</v>
      </c>
      <c r="O75" t="s">
        <v>28</v>
      </c>
      <c r="P75" t="s">
        <v>29</v>
      </c>
    </row>
    <row r="77" spans="1:51" x14ac:dyDescent="0.2">
      <c r="H77" t="s">
        <v>0</v>
      </c>
      <c r="I77" t="s">
        <v>1</v>
      </c>
      <c r="J77" t="s">
        <v>2</v>
      </c>
      <c r="K77" t="s">
        <v>3</v>
      </c>
      <c r="L77" t="s">
        <v>4</v>
      </c>
      <c r="M77" t="s">
        <v>5</v>
      </c>
      <c r="N77" t="s">
        <v>6</v>
      </c>
      <c r="O77" t="s">
        <v>7</v>
      </c>
      <c r="P77" t="s">
        <v>8</v>
      </c>
    </row>
    <row r="78" spans="1:51" x14ac:dyDescent="0.2">
      <c r="G78">
        <v>4</v>
      </c>
      <c r="H78" t="s">
        <v>1021</v>
      </c>
      <c r="I78" t="s">
        <v>107</v>
      </c>
      <c r="J78" t="s">
        <v>12</v>
      </c>
      <c r="K78" t="s">
        <v>13</v>
      </c>
      <c r="L78">
        <v>1868</v>
      </c>
      <c r="M78">
        <v>53</v>
      </c>
      <c r="N78" t="s">
        <v>1022</v>
      </c>
      <c r="O78" t="s">
        <v>1023</v>
      </c>
      <c r="P78" t="s">
        <v>1024</v>
      </c>
    </row>
    <row r="79" spans="1:51" x14ac:dyDescent="0.2">
      <c r="H79" t="s">
        <v>429</v>
      </c>
      <c r="I79" t="s">
        <v>107</v>
      </c>
      <c r="J79" t="s">
        <v>18</v>
      </c>
      <c r="K79" t="s">
        <v>19</v>
      </c>
      <c r="L79">
        <v>1873</v>
      </c>
      <c r="M79">
        <v>47</v>
      </c>
      <c r="N79" t="s">
        <v>1025</v>
      </c>
      <c r="O79" t="s">
        <v>20</v>
      </c>
      <c r="P79" t="s">
        <v>20</v>
      </c>
    </row>
    <row r="80" spans="1:51" x14ac:dyDescent="0.2">
      <c r="H80" t="s">
        <v>1026</v>
      </c>
      <c r="I80" t="s">
        <v>1027</v>
      </c>
      <c r="J80" t="s">
        <v>26</v>
      </c>
      <c r="K80" t="s">
        <v>19</v>
      </c>
      <c r="L80">
        <v>1896</v>
      </c>
      <c r="M80">
        <v>24</v>
      </c>
      <c r="N80" t="s">
        <v>14</v>
      </c>
      <c r="O80" t="s">
        <v>344</v>
      </c>
      <c r="P80" t="s">
        <v>29</v>
      </c>
    </row>
    <row r="82" spans="7:16" x14ac:dyDescent="0.2">
      <c r="H82" t="s">
        <v>0</v>
      </c>
      <c r="I82" t="s">
        <v>1</v>
      </c>
      <c r="J82" t="s">
        <v>2</v>
      </c>
      <c r="K82" t="s">
        <v>3</v>
      </c>
      <c r="L82" t="s">
        <v>4</v>
      </c>
      <c r="M82" t="s">
        <v>5</v>
      </c>
      <c r="N82" t="s">
        <v>6</v>
      </c>
      <c r="O82" t="s">
        <v>7</v>
      </c>
      <c r="P82" t="s">
        <v>8</v>
      </c>
    </row>
    <row r="83" spans="7:16" x14ac:dyDescent="0.2">
      <c r="G83">
        <v>9</v>
      </c>
      <c r="H83" t="s">
        <v>1028</v>
      </c>
      <c r="I83" t="s">
        <v>1029</v>
      </c>
      <c r="J83" t="s">
        <v>12</v>
      </c>
      <c r="K83" t="s">
        <v>13</v>
      </c>
      <c r="L83">
        <v>1847</v>
      </c>
      <c r="M83">
        <v>74</v>
      </c>
      <c r="N83" t="s">
        <v>49</v>
      </c>
      <c r="O83" t="s">
        <v>923</v>
      </c>
      <c r="P83" t="s">
        <v>8</v>
      </c>
    </row>
    <row r="84" spans="7:16" x14ac:dyDescent="0.2">
      <c r="H84" t="s">
        <v>336</v>
      </c>
      <c r="I84" t="s">
        <v>1029</v>
      </c>
      <c r="J84" t="s">
        <v>18</v>
      </c>
      <c r="K84" t="s">
        <v>19</v>
      </c>
      <c r="L84">
        <v>1843</v>
      </c>
      <c r="M84">
        <v>77</v>
      </c>
      <c r="N84" t="s">
        <v>49</v>
      </c>
      <c r="O84" t="s">
        <v>20</v>
      </c>
      <c r="P84" t="s">
        <v>20</v>
      </c>
    </row>
    <row r="85" spans="7:16" x14ac:dyDescent="0.2">
      <c r="H85" t="s">
        <v>1030</v>
      </c>
      <c r="I85" t="s">
        <v>1029</v>
      </c>
      <c r="J85" t="s">
        <v>51</v>
      </c>
      <c r="K85" t="s">
        <v>13</v>
      </c>
      <c r="L85">
        <v>1874</v>
      </c>
      <c r="M85">
        <v>46</v>
      </c>
      <c r="N85" t="s">
        <v>49</v>
      </c>
      <c r="O85" t="s">
        <v>1031</v>
      </c>
      <c r="P85" t="s">
        <v>1032</v>
      </c>
    </row>
    <row r="86" spans="7:16" x14ac:dyDescent="0.2">
      <c r="H86" t="s">
        <v>1033</v>
      </c>
      <c r="I86" t="s">
        <v>1029</v>
      </c>
      <c r="J86" t="s">
        <v>22</v>
      </c>
      <c r="K86" t="s">
        <v>19</v>
      </c>
      <c r="L86">
        <v>1884</v>
      </c>
      <c r="M86">
        <v>37</v>
      </c>
      <c r="N86" t="s">
        <v>49</v>
      </c>
      <c r="O86" t="s">
        <v>20</v>
      </c>
      <c r="P86" t="s">
        <v>20</v>
      </c>
    </row>
    <row r="87" spans="7:16" x14ac:dyDescent="0.2">
      <c r="H87" t="s">
        <v>1034</v>
      </c>
      <c r="I87" t="s">
        <v>1035</v>
      </c>
      <c r="J87" t="s">
        <v>26</v>
      </c>
      <c r="K87" t="s">
        <v>19</v>
      </c>
      <c r="L87">
        <v>1877</v>
      </c>
      <c r="M87">
        <v>44</v>
      </c>
      <c r="N87" t="s">
        <v>1036</v>
      </c>
      <c r="O87" t="s">
        <v>1037</v>
      </c>
      <c r="P87" t="s">
        <v>20</v>
      </c>
    </row>
    <row r="88" spans="7:16" x14ac:dyDescent="0.2">
      <c r="H88" t="s">
        <v>1038</v>
      </c>
      <c r="I88" t="s">
        <v>1039</v>
      </c>
      <c r="J88" t="s">
        <v>26</v>
      </c>
      <c r="K88" t="s">
        <v>19</v>
      </c>
      <c r="L88">
        <v>1868</v>
      </c>
      <c r="M88">
        <v>52</v>
      </c>
      <c r="N88" t="s">
        <v>1040</v>
      </c>
      <c r="O88" t="s">
        <v>1037</v>
      </c>
      <c r="P88" t="s">
        <v>20</v>
      </c>
    </row>
    <row r="89" spans="7:16" x14ac:dyDescent="0.2">
      <c r="H89" t="s">
        <v>937</v>
      </c>
      <c r="I89" t="s">
        <v>1041</v>
      </c>
      <c r="J89" t="s">
        <v>26</v>
      </c>
      <c r="K89" t="s">
        <v>19</v>
      </c>
      <c r="L89">
        <v>1893</v>
      </c>
      <c r="M89">
        <v>28</v>
      </c>
      <c r="N89" t="s">
        <v>763</v>
      </c>
      <c r="O89" t="s">
        <v>56</v>
      </c>
      <c r="P89" t="s">
        <v>29</v>
      </c>
    </row>
    <row r="90" spans="7:16" x14ac:dyDescent="0.2">
      <c r="H90" t="s">
        <v>704</v>
      </c>
      <c r="I90" t="s">
        <v>1041</v>
      </c>
      <c r="J90" t="s">
        <v>26</v>
      </c>
      <c r="K90" t="s">
        <v>19</v>
      </c>
      <c r="L90">
        <v>1902</v>
      </c>
      <c r="M90">
        <v>19</v>
      </c>
      <c r="N90" t="s">
        <v>763</v>
      </c>
      <c r="O90" t="s">
        <v>56</v>
      </c>
      <c r="P90" t="s">
        <v>29</v>
      </c>
    </row>
    <row r="91" spans="7:16" x14ac:dyDescent="0.2">
      <c r="H91" t="s">
        <v>170</v>
      </c>
      <c r="I91" t="s">
        <v>1042</v>
      </c>
      <c r="J91" t="s">
        <v>26</v>
      </c>
      <c r="K91" t="s">
        <v>19</v>
      </c>
      <c r="L91">
        <v>1896</v>
      </c>
      <c r="M91">
        <v>24</v>
      </c>
      <c r="N91" t="s">
        <v>1043</v>
      </c>
      <c r="O91" t="s">
        <v>56</v>
      </c>
      <c r="P91" t="s">
        <v>29</v>
      </c>
    </row>
    <row r="92" spans="7:16" x14ac:dyDescent="0.2">
      <c r="H92" t="s">
        <v>1044</v>
      </c>
      <c r="I92" t="s">
        <v>854</v>
      </c>
      <c r="J92" t="s">
        <v>22</v>
      </c>
      <c r="K92" t="s">
        <v>19</v>
      </c>
      <c r="L92">
        <v>1880</v>
      </c>
      <c r="M92">
        <v>40</v>
      </c>
      <c r="N92" t="s">
        <v>49</v>
      </c>
      <c r="O92" t="s">
        <v>20</v>
      </c>
      <c r="P92" t="s">
        <v>20</v>
      </c>
    </row>
    <row r="93" spans="7:16" x14ac:dyDescent="0.2">
      <c r="H93" t="s">
        <v>1045</v>
      </c>
      <c r="I93" t="s">
        <v>854</v>
      </c>
      <c r="J93" t="s">
        <v>1046</v>
      </c>
      <c r="K93" t="s">
        <v>13</v>
      </c>
      <c r="L93">
        <v>1919</v>
      </c>
      <c r="M93">
        <v>2</v>
      </c>
      <c r="N93" t="s">
        <v>1047</v>
      </c>
      <c r="O93" t="s">
        <v>20</v>
      </c>
      <c r="P93" t="s">
        <v>20</v>
      </c>
    </row>
    <row r="94" spans="7:16" x14ac:dyDescent="0.2">
      <c r="H94" t="s">
        <v>1048</v>
      </c>
      <c r="I94" t="s">
        <v>1049</v>
      </c>
      <c r="J94" t="s">
        <v>26</v>
      </c>
      <c r="K94" t="s">
        <v>19</v>
      </c>
      <c r="L94">
        <v>1901</v>
      </c>
      <c r="M94">
        <v>19</v>
      </c>
      <c r="N94" t="s">
        <v>1050</v>
      </c>
      <c r="O94" t="s">
        <v>934</v>
      </c>
      <c r="P94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0F9B-12A5-3447-AC2B-7B82E3E38C1C}">
  <dimension ref="A1:BC175"/>
  <sheetViews>
    <sheetView workbookViewId="0">
      <pane ySplit="2" topLeftCell="A156" activePane="bottomLeft" state="frozen"/>
      <selection pane="bottomLeft" activeCell="K174" sqref="K174"/>
    </sheetView>
  </sheetViews>
  <sheetFormatPr baseColWidth="10" defaultColWidth="10.83203125" defaultRowHeight="16" x14ac:dyDescent="0.2"/>
  <cols>
    <col min="3" max="3" width="7.33203125" customWidth="1"/>
    <col min="4" max="4" width="17.83203125" customWidth="1"/>
    <col min="5" max="5" width="16.33203125" customWidth="1"/>
    <col min="6" max="6" width="10.33203125" customWidth="1"/>
    <col min="11" max="11" width="19.1640625" customWidth="1"/>
    <col min="12" max="12" width="7.83203125" customWidth="1"/>
    <col min="13" max="13" width="10" customWidth="1"/>
    <col min="14" max="14" width="8.6640625" customWidth="1"/>
    <col min="15" max="15" width="6.83203125" customWidth="1"/>
    <col min="16" max="16" width="11.5" customWidth="1"/>
    <col min="17" max="17" width="5.83203125" customWidth="1"/>
    <col min="18" max="18" width="7.33203125" customWidth="1"/>
    <col min="20" max="20" width="10" customWidth="1"/>
    <col min="24" max="24" width="31" customWidth="1"/>
    <col min="25" max="25" width="19.83203125" customWidth="1"/>
    <col min="26" max="26" width="12.1640625" customWidth="1"/>
    <col min="27" max="27" width="25.83203125" customWidth="1"/>
    <col min="28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1153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64" customFormat="1" x14ac:dyDescent="0.2">
      <c r="A3" s="151"/>
      <c r="B3" s="152"/>
      <c r="C3" s="152"/>
      <c r="D3" s="152"/>
      <c r="E3" s="152"/>
      <c r="F3" s="153"/>
      <c r="G3" s="20"/>
      <c r="H3" s="148"/>
      <c r="I3" s="148"/>
      <c r="J3" s="148"/>
      <c r="K3" s="148"/>
      <c r="L3" s="148"/>
      <c r="M3" s="154"/>
      <c r="N3" s="155"/>
      <c r="O3" s="156"/>
      <c r="P3" s="148"/>
      <c r="Q3" s="148"/>
      <c r="R3" s="219"/>
      <c r="S3" s="220"/>
      <c r="T3" s="155"/>
      <c r="U3" s="155"/>
      <c r="V3" s="155"/>
      <c r="W3" s="157"/>
      <c r="X3" s="148"/>
      <c r="Y3" s="148"/>
      <c r="Z3" s="148"/>
      <c r="AA3" s="148"/>
      <c r="AB3" s="148"/>
      <c r="AC3" s="148"/>
      <c r="AD3" s="148"/>
      <c r="AE3" s="148"/>
      <c r="AF3" s="148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5" s="64" customFormat="1" ht="34" x14ac:dyDescent="0.2">
      <c r="A4" s="151" t="s">
        <v>562</v>
      </c>
      <c r="B4" s="152">
        <v>1921</v>
      </c>
      <c r="C4" s="152">
        <v>1</v>
      </c>
      <c r="D4" s="152" t="s">
        <v>563</v>
      </c>
      <c r="E4" s="152"/>
      <c r="F4" s="153"/>
      <c r="G4" s="7" t="s">
        <v>1053</v>
      </c>
      <c r="H4" s="7" t="s">
        <v>1052</v>
      </c>
      <c r="I4" s="64">
        <v>1</v>
      </c>
      <c r="J4" s="7" t="s">
        <v>13</v>
      </c>
      <c r="K4" s="64">
        <v>1</v>
      </c>
      <c r="N4" s="7">
        <v>1</v>
      </c>
      <c r="P4" s="7"/>
      <c r="T4" s="6">
        <v>41</v>
      </c>
      <c r="Y4" s="219"/>
      <c r="AA4" s="6" t="s">
        <v>1055</v>
      </c>
      <c r="AB4" s="6" t="s">
        <v>8</v>
      </c>
      <c r="AC4" s="7">
        <v>1</v>
      </c>
      <c r="AD4" s="148">
        <v>1</v>
      </c>
      <c r="AE4" s="148"/>
      <c r="AF4" s="148"/>
      <c r="AG4" s="6" t="s">
        <v>1054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5" s="64" customFormat="1" ht="51" x14ac:dyDescent="0.2">
      <c r="A5" s="151" t="s">
        <v>562</v>
      </c>
      <c r="B5" s="152">
        <v>1921</v>
      </c>
      <c r="C5" s="152">
        <v>1</v>
      </c>
      <c r="D5" s="152" t="s">
        <v>563</v>
      </c>
      <c r="E5" s="152"/>
      <c r="F5" s="153"/>
      <c r="G5" s="7" t="s">
        <v>1053</v>
      </c>
      <c r="H5" s="7" t="s">
        <v>326</v>
      </c>
      <c r="I5" s="64">
        <v>2</v>
      </c>
      <c r="J5" s="7">
        <v>1</v>
      </c>
      <c r="N5" s="7" t="s">
        <v>18</v>
      </c>
      <c r="O5" s="64">
        <v>1</v>
      </c>
      <c r="P5" s="7"/>
      <c r="T5" s="6">
        <v>40</v>
      </c>
      <c r="Y5" s="219"/>
      <c r="AA5" s="6" t="s">
        <v>20</v>
      </c>
      <c r="AB5" s="6" t="s">
        <v>20</v>
      </c>
      <c r="AC5" s="7"/>
      <c r="AD5" s="148"/>
      <c r="AE5" s="148"/>
      <c r="AF5" s="148"/>
      <c r="AG5" s="6" t="s">
        <v>1056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5" s="64" customFormat="1" ht="51" x14ac:dyDescent="0.2">
      <c r="A6" s="151" t="s">
        <v>562</v>
      </c>
      <c r="B6" s="152">
        <v>1921</v>
      </c>
      <c r="C6" s="152">
        <v>1</v>
      </c>
      <c r="D6" s="152" t="s">
        <v>563</v>
      </c>
      <c r="E6" s="152"/>
      <c r="F6" s="153"/>
      <c r="G6" s="7" t="s">
        <v>1053</v>
      </c>
      <c r="H6" s="7" t="s">
        <v>676</v>
      </c>
      <c r="I6" s="64">
        <v>3</v>
      </c>
      <c r="J6" s="7" t="s">
        <v>13</v>
      </c>
      <c r="K6" s="64">
        <v>1</v>
      </c>
      <c r="N6" s="7" t="s">
        <v>51</v>
      </c>
      <c r="P6" s="7"/>
      <c r="Q6" s="64">
        <v>1</v>
      </c>
      <c r="T6" s="6">
        <v>17</v>
      </c>
      <c r="Y6" s="219"/>
      <c r="AA6" s="6" t="s">
        <v>20</v>
      </c>
      <c r="AB6" s="6" t="s">
        <v>20</v>
      </c>
      <c r="AC6" s="7"/>
      <c r="AD6" s="148"/>
      <c r="AE6" s="148"/>
      <c r="AF6" s="148"/>
      <c r="AG6" s="6" t="s">
        <v>140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5" s="64" customFormat="1" ht="17" x14ac:dyDescent="0.2">
      <c r="A7" s="151" t="s">
        <v>562</v>
      </c>
      <c r="B7" s="152">
        <v>1921</v>
      </c>
      <c r="C7" s="152">
        <v>1</v>
      </c>
      <c r="D7" s="152" t="s">
        <v>563</v>
      </c>
      <c r="E7" s="152"/>
      <c r="F7" s="153"/>
      <c r="G7" s="7" t="s">
        <v>1053</v>
      </c>
      <c r="H7" s="7" t="s">
        <v>24</v>
      </c>
      <c r="I7" s="64">
        <v>4</v>
      </c>
      <c r="J7" s="7"/>
      <c r="L7" s="64">
        <v>1</v>
      </c>
      <c r="N7" s="7" t="s">
        <v>22</v>
      </c>
      <c r="P7" s="7">
        <v>1</v>
      </c>
      <c r="T7" s="7">
        <v>15</v>
      </c>
      <c r="Y7" s="219"/>
      <c r="AA7" s="7" t="s">
        <v>20</v>
      </c>
      <c r="AB7" s="7" t="s">
        <v>20</v>
      </c>
      <c r="AC7" s="7"/>
      <c r="AD7" s="148"/>
      <c r="AE7" s="148"/>
      <c r="AF7" s="148"/>
      <c r="AG7" s="7" t="s">
        <v>1056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5" s="64" customFormat="1" ht="51" x14ac:dyDescent="0.2">
      <c r="A8" s="151" t="s">
        <v>562</v>
      </c>
      <c r="B8" s="152">
        <v>1921</v>
      </c>
      <c r="C8" s="152">
        <v>1</v>
      </c>
      <c r="D8" s="152" t="s">
        <v>563</v>
      </c>
      <c r="E8" s="152"/>
      <c r="F8" s="153"/>
      <c r="G8" s="7" t="s">
        <v>1053</v>
      </c>
      <c r="H8" s="7" t="s">
        <v>345</v>
      </c>
      <c r="I8" s="64">
        <v>5</v>
      </c>
      <c r="J8" s="7"/>
      <c r="L8" s="64">
        <v>1</v>
      </c>
      <c r="N8" s="7" t="s">
        <v>22</v>
      </c>
      <c r="P8" s="7">
        <v>1</v>
      </c>
      <c r="T8" s="6">
        <v>14</v>
      </c>
      <c r="Y8" s="219"/>
      <c r="AA8" s="6" t="s">
        <v>20</v>
      </c>
      <c r="AB8" s="6" t="s">
        <v>20</v>
      </c>
      <c r="AC8" s="7"/>
      <c r="AD8" s="148"/>
      <c r="AE8" s="148"/>
      <c r="AF8" s="148"/>
      <c r="AG8" s="6" t="s">
        <v>1056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5" s="64" customFormat="1" ht="51" x14ac:dyDescent="0.2">
      <c r="A9" s="151" t="s">
        <v>562</v>
      </c>
      <c r="B9" s="152">
        <v>1921</v>
      </c>
      <c r="C9" s="152">
        <v>1</v>
      </c>
      <c r="D9" s="152" t="s">
        <v>563</v>
      </c>
      <c r="E9" s="152"/>
      <c r="F9" s="153"/>
      <c r="G9" s="7" t="s">
        <v>1053</v>
      </c>
      <c r="H9" s="7" t="s">
        <v>1057</v>
      </c>
      <c r="I9" s="64">
        <v>6</v>
      </c>
      <c r="J9" s="7" t="s">
        <v>13</v>
      </c>
      <c r="M9" s="64">
        <v>1</v>
      </c>
      <c r="N9" s="7" t="s">
        <v>51</v>
      </c>
      <c r="P9" s="7"/>
      <c r="Q9" s="64">
        <v>1</v>
      </c>
      <c r="T9" s="6">
        <v>13</v>
      </c>
      <c r="Y9" s="219"/>
      <c r="AA9" s="6" t="s">
        <v>20</v>
      </c>
      <c r="AB9" s="6" t="s">
        <v>20</v>
      </c>
      <c r="AC9" s="7"/>
      <c r="AD9" s="148"/>
      <c r="AE9" s="148"/>
      <c r="AF9" s="148"/>
      <c r="AG9" s="6" t="s">
        <v>1056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5" s="64" customFormat="1" ht="51" x14ac:dyDescent="0.2">
      <c r="A10" s="151" t="s">
        <v>562</v>
      </c>
      <c r="B10" s="152">
        <v>1921</v>
      </c>
      <c r="C10" s="152">
        <v>1</v>
      </c>
      <c r="D10" s="152" t="s">
        <v>563</v>
      </c>
      <c r="E10" s="152"/>
      <c r="F10" s="153"/>
      <c r="G10" s="7" t="s">
        <v>1053</v>
      </c>
      <c r="H10" s="7" t="s">
        <v>919</v>
      </c>
      <c r="I10" s="64">
        <v>7</v>
      </c>
      <c r="J10" s="7" t="s">
        <v>13</v>
      </c>
      <c r="M10" s="64">
        <v>1</v>
      </c>
      <c r="N10" s="7" t="s">
        <v>51</v>
      </c>
      <c r="P10" s="7"/>
      <c r="Q10" s="64">
        <v>1</v>
      </c>
      <c r="T10" s="6">
        <v>11</v>
      </c>
      <c r="Y10" s="219"/>
      <c r="AA10" s="6" t="s">
        <v>20</v>
      </c>
      <c r="AB10" s="6" t="s">
        <v>20</v>
      </c>
      <c r="AC10" s="7"/>
      <c r="AD10" s="148"/>
      <c r="AE10" s="148"/>
      <c r="AF10" s="148"/>
      <c r="AG10" s="6" t="s">
        <v>1058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5" s="64" customFormat="1" ht="68" x14ac:dyDescent="0.2">
      <c r="A11" s="151" t="s">
        <v>562</v>
      </c>
      <c r="B11" s="152">
        <v>1921</v>
      </c>
      <c r="C11" s="152">
        <v>1</v>
      </c>
      <c r="D11" s="152" t="s">
        <v>563</v>
      </c>
      <c r="E11" s="152"/>
      <c r="F11" s="153"/>
      <c r="G11" s="7" t="s">
        <v>1053</v>
      </c>
      <c r="H11" s="7" t="s">
        <v>1059</v>
      </c>
      <c r="I11" s="64">
        <v>8</v>
      </c>
      <c r="J11" s="7" t="s">
        <v>13</v>
      </c>
      <c r="M11" s="64">
        <v>1</v>
      </c>
      <c r="N11" s="7" t="s">
        <v>51</v>
      </c>
      <c r="P11" s="7"/>
      <c r="Q11" s="64">
        <v>1</v>
      </c>
      <c r="T11" s="6">
        <v>9</v>
      </c>
      <c r="Y11" s="219"/>
      <c r="AA11" s="6" t="s">
        <v>20</v>
      </c>
      <c r="AB11" s="6" t="s">
        <v>20</v>
      </c>
      <c r="AC11" s="7"/>
      <c r="AD11" s="148"/>
      <c r="AE11" s="148"/>
      <c r="AF11" s="148">
        <v>1</v>
      </c>
      <c r="AG11" s="6" t="s">
        <v>49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5" s="64" customFormat="1" ht="68" x14ac:dyDescent="0.2">
      <c r="A12" s="151" t="s">
        <v>562</v>
      </c>
      <c r="B12" s="152">
        <v>1921</v>
      </c>
      <c r="C12" s="152">
        <v>1</v>
      </c>
      <c r="D12" s="152" t="s">
        <v>563</v>
      </c>
      <c r="E12" s="152"/>
      <c r="F12" s="153"/>
      <c r="G12" s="7" t="s">
        <v>1053</v>
      </c>
      <c r="H12" s="7" t="s">
        <v>1060</v>
      </c>
      <c r="I12" s="64">
        <v>9</v>
      </c>
      <c r="J12" s="7"/>
      <c r="L12" s="64">
        <v>1</v>
      </c>
      <c r="N12" s="7" t="s">
        <v>22</v>
      </c>
      <c r="P12" s="7">
        <v>1</v>
      </c>
      <c r="T12" s="6">
        <v>7</v>
      </c>
      <c r="Y12" s="219"/>
      <c r="AA12" s="6" t="s">
        <v>20</v>
      </c>
      <c r="AB12" s="6" t="s">
        <v>20</v>
      </c>
      <c r="AC12" s="7"/>
      <c r="AD12" s="148"/>
      <c r="AE12" s="148"/>
      <c r="AF12" s="148">
        <v>1</v>
      </c>
      <c r="AG12" s="6" t="s">
        <v>49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5" s="64" customFormat="1" ht="68" x14ac:dyDescent="0.2">
      <c r="A13" s="151" t="s">
        <v>562</v>
      </c>
      <c r="B13" s="152">
        <v>1921</v>
      </c>
      <c r="C13" s="152">
        <v>1</v>
      </c>
      <c r="D13" s="152" t="s">
        <v>563</v>
      </c>
      <c r="E13" s="152"/>
      <c r="F13" s="153"/>
      <c r="G13" s="7" t="s">
        <v>1053</v>
      </c>
      <c r="H13" s="7" t="s">
        <v>1061</v>
      </c>
      <c r="I13" s="64">
        <v>10</v>
      </c>
      <c r="J13" s="7"/>
      <c r="L13" s="64">
        <v>1</v>
      </c>
      <c r="N13" s="7" t="s">
        <v>22</v>
      </c>
      <c r="P13" s="7">
        <v>1</v>
      </c>
      <c r="T13" s="6">
        <v>1</v>
      </c>
      <c r="Y13" s="219"/>
      <c r="AA13" s="6" t="s">
        <v>20</v>
      </c>
      <c r="AB13" s="6" t="s">
        <v>20</v>
      </c>
      <c r="AC13" s="7"/>
      <c r="AD13" s="148"/>
      <c r="AE13" s="148"/>
      <c r="AF13" s="148">
        <v>1</v>
      </c>
      <c r="AG13" s="6" t="s">
        <v>49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spans="1:55" s="64" customFormat="1" ht="17" x14ac:dyDescent="0.2">
      <c r="A14" s="151" t="s">
        <v>562</v>
      </c>
      <c r="B14" s="152">
        <v>1921</v>
      </c>
      <c r="C14" s="152">
        <v>1</v>
      </c>
      <c r="D14" s="152" t="s">
        <v>563</v>
      </c>
      <c r="E14" s="152"/>
      <c r="F14" s="153"/>
      <c r="G14" s="7" t="s">
        <v>1062</v>
      </c>
      <c r="H14" s="7" t="s">
        <v>829</v>
      </c>
      <c r="I14" s="64">
        <v>11</v>
      </c>
      <c r="J14" s="7">
        <v>1</v>
      </c>
      <c r="N14" s="7" t="s">
        <v>26</v>
      </c>
      <c r="P14" s="7"/>
      <c r="S14" s="64">
        <v>1</v>
      </c>
      <c r="T14" s="6">
        <v>26</v>
      </c>
      <c r="Y14" s="219"/>
      <c r="AA14" s="6" t="s">
        <v>344</v>
      </c>
      <c r="AB14" s="6" t="s">
        <v>29</v>
      </c>
      <c r="AC14" s="7">
        <v>1</v>
      </c>
      <c r="AD14" s="148"/>
      <c r="AE14" s="148"/>
      <c r="AF14" s="148"/>
      <c r="AG14" s="6" t="s">
        <v>20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5" s="64" customFormat="1" ht="17" x14ac:dyDescent="0.2">
      <c r="A15" s="151" t="s">
        <v>562</v>
      </c>
      <c r="B15" s="152">
        <v>1921</v>
      </c>
      <c r="C15" s="152"/>
      <c r="D15" s="152" t="s">
        <v>563</v>
      </c>
      <c r="E15" s="152"/>
      <c r="F15" s="153"/>
      <c r="G15"/>
      <c r="H15">
        <v>11</v>
      </c>
      <c r="J15"/>
      <c r="N15"/>
      <c r="P15"/>
      <c r="T15"/>
      <c r="Y15" s="219"/>
      <c r="AA15"/>
      <c r="AB15"/>
      <c r="AC15"/>
      <c r="AD15" s="148"/>
      <c r="AE15" s="148"/>
      <c r="AF15" s="148"/>
      <c r="AG15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5" s="64" customFormat="1" ht="17" x14ac:dyDescent="0.2">
      <c r="A16" s="151" t="s">
        <v>562</v>
      </c>
      <c r="B16" s="152">
        <v>1921</v>
      </c>
      <c r="C16" s="152"/>
      <c r="D16" s="152" t="s">
        <v>563</v>
      </c>
      <c r="E16" s="152"/>
      <c r="F16" s="153"/>
      <c r="G16" s="7" t="s">
        <v>1</v>
      </c>
      <c r="H16" s="7" t="s">
        <v>0</v>
      </c>
      <c r="J16" s="7" t="s">
        <v>3</v>
      </c>
      <c r="N16" s="7" t="s">
        <v>2</v>
      </c>
      <c r="P16" s="7"/>
      <c r="T16" s="7" t="s">
        <v>5</v>
      </c>
      <c r="Y16" s="219"/>
      <c r="AA16" s="7" t="s">
        <v>7</v>
      </c>
      <c r="AB16" s="7" t="s">
        <v>8</v>
      </c>
      <c r="AC16" s="7"/>
      <c r="AD16" s="148"/>
      <c r="AE16" s="148"/>
      <c r="AF16" s="148"/>
      <c r="AG16" s="7" t="s">
        <v>6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s="64" customFormat="1" ht="17" x14ac:dyDescent="0.2">
      <c r="A17" s="151" t="s">
        <v>562</v>
      </c>
      <c r="B17" s="152">
        <v>1921</v>
      </c>
      <c r="C17" s="152">
        <v>2</v>
      </c>
      <c r="D17" s="152" t="s">
        <v>563</v>
      </c>
      <c r="E17" s="152" t="s">
        <v>1154</v>
      </c>
      <c r="F17" s="153"/>
      <c r="G17" s="21" t="s">
        <v>1063</v>
      </c>
      <c r="H17" s="21" t="s">
        <v>939</v>
      </c>
      <c r="I17" s="64">
        <v>12</v>
      </c>
      <c r="J17" s="7" t="s">
        <v>13</v>
      </c>
      <c r="K17" s="64">
        <v>1</v>
      </c>
      <c r="N17" s="7">
        <v>1</v>
      </c>
      <c r="P17" s="7"/>
      <c r="T17" s="7">
        <v>41</v>
      </c>
      <c r="Y17" s="219"/>
      <c r="AA17" s="7" t="s">
        <v>1065</v>
      </c>
      <c r="AB17" s="7" t="s">
        <v>1066</v>
      </c>
      <c r="AC17" s="20">
        <v>1</v>
      </c>
      <c r="AD17" s="148"/>
      <c r="AE17" s="148"/>
      <c r="AF17" s="148"/>
      <c r="AG17" s="7" t="s">
        <v>1064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s="64" customFormat="1" ht="17" x14ac:dyDescent="0.2">
      <c r="A18" s="151" t="s">
        <v>562</v>
      </c>
      <c r="B18" s="152">
        <v>1921</v>
      </c>
      <c r="C18" s="152">
        <v>2</v>
      </c>
      <c r="D18" s="152" t="s">
        <v>563</v>
      </c>
      <c r="E18" s="152" t="s">
        <v>1154</v>
      </c>
      <c r="F18" s="153"/>
      <c r="G18" s="7" t="s">
        <v>1063</v>
      </c>
      <c r="H18" s="7" t="s">
        <v>1067</v>
      </c>
      <c r="I18" s="64">
        <v>13</v>
      </c>
      <c r="J18" s="7">
        <v>1</v>
      </c>
      <c r="N18" s="7" t="s">
        <v>18</v>
      </c>
      <c r="O18" s="64">
        <v>1</v>
      </c>
      <c r="P18" s="7"/>
      <c r="T18" s="7">
        <v>41</v>
      </c>
      <c r="Y18" s="219"/>
      <c r="AA18" s="7" t="s">
        <v>50</v>
      </c>
      <c r="AB18" s="7" t="s">
        <v>20</v>
      </c>
      <c r="AC18" s="7"/>
      <c r="AD18" s="148"/>
      <c r="AE18" s="148"/>
      <c r="AF18" s="148">
        <v>1</v>
      </c>
      <c r="AG18" s="7" t="s">
        <v>1068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s="64" customFormat="1" ht="17" x14ac:dyDescent="0.2">
      <c r="A19" s="151" t="s">
        <v>562</v>
      </c>
      <c r="B19" s="152">
        <v>1921</v>
      </c>
      <c r="C19" s="152">
        <v>2</v>
      </c>
      <c r="D19" s="152" t="s">
        <v>563</v>
      </c>
      <c r="E19" s="152" t="s">
        <v>1154</v>
      </c>
      <c r="F19" s="153"/>
      <c r="G19" s="7" t="s">
        <v>1070</v>
      </c>
      <c r="H19" s="7" t="s">
        <v>1069</v>
      </c>
      <c r="I19" s="64">
        <v>14</v>
      </c>
      <c r="J19" s="7">
        <v>1</v>
      </c>
      <c r="N19" s="7" t="s">
        <v>26</v>
      </c>
      <c r="P19" s="7"/>
      <c r="S19" s="64">
        <v>1</v>
      </c>
      <c r="T19" s="7">
        <v>18</v>
      </c>
      <c r="Y19" s="219"/>
      <c r="AA19" s="7" t="s">
        <v>56</v>
      </c>
      <c r="AB19" s="7" t="s">
        <v>1071</v>
      </c>
      <c r="AC19" s="7">
        <v>1</v>
      </c>
      <c r="AD19" s="148"/>
      <c r="AE19" s="148"/>
      <c r="AF19" s="148">
        <v>1</v>
      </c>
      <c r="AG19" s="7" t="s">
        <v>14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1" s="64" customFormat="1" ht="17" x14ac:dyDescent="0.2">
      <c r="A20" s="151" t="s">
        <v>562</v>
      </c>
      <c r="B20" s="152">
        <v>1921</v>
      </c>
      <c r="C20" s="152"/>
      <c r="D20" s="152" t="s">
        <v>563</v>
      </c>
      <c r="E20" s="152"/>
      <c r="F20" s="153"/>
      <c r="G20" s="7"/>
      <c r="H20" s="7">
        <v>3</v>
      </c>
      <c r="J20" s="7"/>
      <c r="N20" s="7"/>
      <c r="P20" s="7"/>
      <c r="T20" s="7"/>
      <c r="Y20" s="219"/>
      <c r="AA20" s="7"/>
      <c r="AB20" s="7"/>
      <c r="AC20" s="7"/>
      <c r="AD20" s="148"/>
      <c r="AE20" s="148"/>
      <c r="AF20" s="148"/>
      <c r="AG20" s="7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s="64" customFormat="1" ht="17" x14ac:dyDescent="0.2">
      <c r="A21" s="151" t="s">
        <v>562</v>
      </c>
      <c r="B21" s="152">
        <v>1921</v>
      </c>
      <c r="C21" s="152"/>
      <c r="D21" s="152" t="s">
        <v>563</v>
      </c>
      <c r="E21" s="152"/>
      <c r="F21" s="153"/>
      <c r="G21" t="s">
        <v>1</v>
      </c>
      <c r="H21" t="s">
        <v>0</v>
      </c>
      <c r="J21" t="s">
        <v>3</v>
      </c>
      <c r="N21" t="s">
        <v>2</v>
      </c>
      <c r="P21"/>
      <c r="T21" t="s">
        <v>5</v>
      </c>
      <c r="Y21" s="219"/>
      <c r="AA21" t="s">
        <v>7</v>
      </c>
      <c r="AB21" t="s">
        <v>8</v>
      </c>
      <c r="AC21" s="205"/>
      <c r="AD21" s="148"/>
      <c r="AE21" s="148"/>
      <c r="AF21" s="148"/>
      <c r="AG21" t="s">
        <v>6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s="64" customFormat="1" ht="17" x14ac:dyDescent="0.2">
      <c r="A22" s="151" t="s">
        <v>562</v>
      </c>
      <c r="B22" s="152">
        <v>1921</v>
      </c>
      <c r="C22" s="152">
        <v>3</v>
      </c>
      <c r="D22" s="152" t="s">
        <v>563</v>
      </c>
      <c r="E22" s="152"/>
      <c r="F22" s="153"/>
      <c r="G22" t="s">
        <v>1072</v>
      </c>
      <c r="H22" t="s">
        <v>132</v>
      </c>
      <c r="I22" s="64">
        <v>15</v>
      </c>
      <c r="J22">
        <v>1</v>
      </c>
      <c r="N22">
        <v>1</v>
      </c>
      <c r="P22"/>
      <c r="T22">
        <v>30</v>
      </c>
      <c r="Y22" s="219"/>
      <c r="AA22" t="s">
        <v>20</v>
      </c>
      <c r="AB22" t="s">
        <v>20</v>
      </c>
      <c r="AC22"/>
      <c r="AD22" s="148"/>
      <c r="AE22" s="148"/>
      <c r="AF22" s="148"/>
      <c r="AG22" t="s">
        <v>1073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s="64" customFormat="1" ht="17" x14ac:dyDescent="0.2">
      <c r="A23" s="151" t="s">
        <v>562</v>
      </c>
      <c r="B23" s="152">
        <v>1921</v>
      </c>
      <c r="C23" s="152">
        <v>3</v>
      </c>
      <c r="D23" s="152" t="s">
        <v>563</v>
      </c>
      <c r="E23" s="152"/>
      <c r="F23" s="153"/>
      <c r="G23" t="s">
        <v>1072</v>
      </c>
      <c r="H23" t="s">
        <v>1074</v>
      </c>
      <c r="I23" s="64">
        <v>16</v>
      </c>
      <c r="J23" t="s">
        <v>13</v>
      </c>
      <c r="K23" s="64">
        <v>1</v>
      </c>
      <c r="N23" t="s">
        <v>51</v>
      </c>
      <c r="P23"/>
      <c r="Q23" s="64">
        <v>1</v>
      </c>
      <c r="T23">
        <v>3</v>
      </c>
      <c r="Y23" s="219"/>
      <c r="AA23" t="s">
        <v>20</v>
      </c>
      <c r="AB23" t="s">
        <v>20</v>
      </c>
      <c r="AC23"/>
      <c r="AD23" s="148"/>
      <c r="AE23" s="148"/>
      <c r="AF23" s="148"/>
      <c r="AG23" t="s">
        <v>983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1" s="64" customFormat="1" ht="17" x14ac:dyDescent="0.2">
      <c r="A24" s="151" t="s">
        <v>562</v>
      </c>
      <c r="B24" s="152">
        <v>1921</v>
      </c>
      <c r="C24" s="152">
        <v>3</v>
      </c>
      <c r="D24" s="152" t="s">
        <v>563</v>
      </c>
      <c r="E24" s="152"/>
      <c r="F24" s="153"/>
      <c r="G24" t="s">
        <v>185</v>
      </c>
      <c r="H24" t="s">
        <v>1012</v>
      </c>
      <c r="I24" s="64">
        <v>17</v>
      </c>
      <c r="J24" t="s">
        <v>13</v>
      </c>
      <c r="K24" s="64">
        <v>1</v>
      </c>
      <c r="N24" t="s">
        <v>58</v>
      </c>
      <c r="P24"/>
      <c r="R24" s="64">
        <v>1</v>
      </c>
      <c r="T24">
        <v>57</v>
      </c>
      <c r="Y24" s="219"/>
      <c r="AA24" t="s">
        <v>1076</v>
      </c>
      <c r="AB24" t="s">
        <v>1077</v>
      </c>
      <c r="AC24">
        <v>1</v>
      </c>
      <c r="AD24" s="148"/>
      <c r="AE24" s="148"/>
      <c r="AF24" s="148"/>
      <c r="AG24" t="s">
        <v>1075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 spans="1:51" s="64" customFormat="1" ht="17" x14ac:dyDescent="0.2">
      <c r="A25" s="151" t="s">
        <v>562</v>
      </c>
      <c r="B25" s="152">
        <v>1921</v>
      </c>
      <c r="C25" s="152">
        <v>3</v>
      </c>
      <c r="D25" s="152" t="s">
        <v>563</v>
      </c>
      <c r="E25" s="152"/>
      <c r="F25" s="153"/>
      <c r="G25" t="s">
        <v>1079</v>
      </c>
      <c r="H25" t="s">
        <v>1078</v>
      </c>
      <c r="I25" s="64">
        <v>18</v>
      </c>
      <c r="J25">
        <v>1</v>
      </c>
      <c r="N25" t="s">
        <v>26</v>
      </c>
      <c r="P25"/>
      <c r="S25" s="64">
        <v>1</v>
      </c>
      <c r="T25">
        <v>28</v>
      </c>
      <c r="Y25" s="219"/>
      <c r="AA25" t="s">
        <v>934</v>
      </c>
      <c r="AB25" t="s">
        <v>29</v>
      </c>
      <c r="AC25">
        <v>1</v>
      </c>
      <c r="AD25" s="148"/>
      <c r="AE25" s="148"/>
      <c r="AF25" s="148"/>
      <c r="AG25" t="s">
        <v>1080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 spans="1:51" s="64" customFormat="1" ht="17" x14ac:dyDescent="0.2">
      <c r="A26" s="151" t="s">
        <v>562</v>
      </c>
      <c r="B26" s="152">
        <v>1921</v>
      </c>
      <c r="C26" s="152">
        <v>3</v>
      </c>
      <c r="D26" s="152" t="s">
        <v>563</v>
      </c>
      <c r="E26" s="152"/>
      <c r="F26" s="153"/>
      <c r="G26" t="s">
        <v>1082</v>
      </c>
      <c r="H26" t="s">
        <v>1081</v>
      </c>
      <c r="I26" s="64">
        <v>19</v>
      </c>
      <c r="J26">
        <v>1</v>
      </c>
      <c r="N26" t="s">
        <v>26</v>
      </c>
      <c r="P26"/>
      <c r="S26" s="64">
        <v>1</v>
      </c>
      <c r="T26">
        <v>35</v>
      </c>
      <c r="Y26" s="219"/>
      <c r="AA26" t="s">
        <v>33</v>
      </c>
      <c r="AB26" t="s">
        <v>29</v>
      </c>
      <c r="AC26">
        <v>1</v>
      </c>
      <c r="AD26" s="148"/>
      <c r="AE26" s="148"/>
      <c r="AF26" s="148"/>
      <c r="AG26" t="s">
        <v>1083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 spans="1:51" s="64" customFormat="1" ht="17" x14ac:dyDescent="0.2">
      <c r="A27" s="151" t="s">
        <v>562</v>
      </c>
      <c r="B27" s="152">
        <v>1921</v>
      </c>
      <c r="C27" s="152">
        <v>3</v>
      </c>
      <c r="D27" s="152" t="s">
        <v>563</v>
      </c>
      <c r="E27" s="152"/>
      <c r="F27" s="153"/>
      <c r="G27" t="s">
        <v>1084</v>
      </c>
      <c r="H27" t="s">
        <v>702</v>
      </c>
      <c r="I27" s="64">
        <v>20</v>
      </c>
      <c r="J27">
        <v>1</v>
      </c>
      <c r="N27" t="s">
        <v>26</v>
      </c>
      <c r="P27"/>
      <c r="S27" s="64">
        <v>1</v>
      </c>
      <c r="T27">
        <v>41</v>
      </c>
      <c r="Y27" s="219"/>
      <c r="AA27" t="s">
        <v>360</v>
      </c>
      <c r="AB27" t="s">
        <v>29</v>
      </c>
      <c r="AC27">
        <v>1</v>
      </c>
      <c r="AD27" s="148"/>
      <c r="AE27" s="148"/>
      <c r="AF27" s="148"/>
      <c r="AG27" t="s">
        <v>14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 spans="1:51" s="64" customFormat="1" ht="17" x14ac:dyDescent="0.2">
      <c r="A28" s="151" t="s">
        <v>562</v>
      </c>
      <c r="B28" s="152">
        <v>1921</v>
      </c>
      <c r="C28" s="152"/>
      <c r="D28" s="152" t="s">
        <v>563</v>
      </c>
      <c r="E28" s="152"/>
      <c r="F28" s="153"/>
      <c r="G28"/>
      <c r="H28">
        <v>6</v>
      </c>
      <c r="J28"/>
      <c r="N28"/>
      <c r="P28"/>
      <c r="T28"/>
      <c r="Y28" s="219"/>
      <c r="AA28"/>
      <c r="AB28"/>
      <c r="AC28"/>
      <c r="AD28" s="148"/>
      <c r="AE28" s="148"/>
      <c r="AF28" s="148"/>
      <c r="AG28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 spans="1:51" s="64" customFormat="1" ht="17" x14ac:dyDescent="0.2">
      <c r="A29" s="151" t="s">
        <v>562</v>
      </c>
      <c r="B29" s="152">
        <v>1921</v>
      </c>
      <c r="C29" s="152"/>
      <c r="D29" s="152" t="s">
        <v>563</v>
      </c>
      <c r="E29" s="152"/>
      <c r="F29" s="153"/>
      <c r="G29" t="s">
        <v>1</v>
      </c>
      <c r="H29" t="s">
        <v>0</v>
      </c>
      <c r="J29" t="s">
        <v>3</v>
      </c>
      <c r="N29" t="s">
        <v>2</v>
      </c>
      <c r="P29"/>
      <c r="T29" t="s">
        <v>5</v>
      </c>
      <c r="Y29" s="219"/>
      <c r="AA29" t="s">
        <v>7</v>
      </c>
      <c r="AB29" t="s">
        <v>8</v>
      </c>
      <c r="AC29"/>
      <c r="AD29" s="148"/>
      <c r="AE29" s="148"/>
      <c r="AF29" s="148"/>
      <c r="AG29" t="s">
        <v>6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 spans="1:51" s="64" customFormat="1" ht="17" x14ac:dyDescent="0.2">
      <c r="A30" s="151" t="s">
        <v>562</v>
      </c>
      <c r="B30" s="152">
        <v>1921</v>
      </c>
      <c r="C30" s="152">
        <v>4</v>
      </c>
      <c r="D30" s="152" t="s">
        <v>563</v>
      </c>
      <c r="E30" s="152"/>
      <c r="F30" s="153"/>
      <c r="G30" t="s">
        <v>1086</v>
      </c>
      <c r="H30" t="s">
        <v>1085</v>
      </c>
      <c r="I30" s="64">
        <v>21</v>
      </c>
      <c r="J30" t="s">
        <v>13</v>
      </c>
      <c r="K30" s="64">
        <v>1</v>
      </c>
      <c r="N30">
        <v>1</v>
      </c>
      <c r="P30"/>
      <c r="T30">
        <v>63</v>
      </c>
      <c r="Y30" s="219"/>
      <c r="AA30" t="s">
        <v>1088</v>
      </c>
      <c r="AB30" t="s">
        <v>20</v>
      </c>
      <c r="AC30">
        <v>1</v>
      </c>
      <c r="AD30" s="148"/>
      <c r="AE30" s="148"/>
      <c r="AF30" s="148"/>
      <c r="AG30" t="s">
        <v>1087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 spans="1:51" s="64" customFormat="1" ht="17" x14ac:dyDescent="0.2">
      <c r="A31" s="151" t="s">
        <v>562</v>
      </c>
      <c r="B31" s="152">
        <v>1921</v>
      </c>
      <c r="C31" s="152">
        <v>4</v>
      </c>
      <c r="D31" s="152" t="s">
        <v>563</v>
      </c>
      <c r="E31" s="152"/>
      <c r="F31" s="153"/>
      <c r="G31" t="s">
        <v>1086</v>
      </c>
      <c r="H31" t="s">
        <v>1089</v>
      </c>
      <c r="I31" s="64">
        <v>22</v>
      </c>
      <c r="J31">
        <v>1</v>
      </c>
      <c r="N31" t="s">
        <v>18</v>
      </c>
      <c r="O31" s="64">
        <v>1</v>
      </c>
      <c r="P31"/>
      <c r="T31">
        <v>65</v>
      </c>
      <c r="Y31" s="219"/>
      <c r="AA31" t="s">
        <v>1090</v>
      </c>
      <c r="AB31" t="s">
        <v>20</v>
      </c>
      <c r="AC31"/>
      <c r="AD31" s="148"/>
      <c r="AE31" s="148"/>
      <c r="AF31" s="148">
        <v>1</v>
      </c>
      <c r="AG31" t="s">
        <v>14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</row>
    <row r="32" spans="1:51" s="64" customFormat="1" ht="17" x14ac:dyDescent="0.2">
      <c r="A32" s="151" t="s">
        <v>562</v>
      </c>
      <c r="B32" s="152">
        <v>1921</v>
      </c>
      <c r="C32" s="152">
        <v>4</v>
      </c>
      <c r="D32" s="152" t="s">
        <v>563</v>
      </c>
      <c r="E32" s="152"/>
      <c r="F32" s="153"/>
      <c r="G32" t="s">
        <v>328</v>
      </c>
      <c r="H32" t="s">
        <v>1091</v>
      </c>
      <c r="I32" s="64">
        <v>23</v>
      </c>
      <c r="J32">
        <v>1</v>
      </c>
      <c r="N32" t="s">
        <v>910</v>
      </c>
      <c r="P32"/>
      <c r="R32" s="64">
        <v>1</v>
      </c>
      <c r="T32">
        <v>28</v>
      </c>
      <c r="Y32" s="219"/>
      <c r="AA32" t="s">
        <v>1093</v>
      </c>
      <c r="AB32" t="s">
        <v>29</v>
      </c>
      <c r="AC32">
        <v>1</v>
      </c>
      <c r="AD32" s="148"/>
      <c r="AE32" s="148"/>
      <c r="AF32" s="148"/>
      <c r="AG32" t="s">
        <v>1092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</row>
    <row r="33" spans="1:51" s="64" customFormat="1" ht="17" x14ac:dyDescent="0.2">
      <c r="A33" s="151" t="s">
        <v>562</v>
      </c>
      <c r="B33" s="152">
        <v>1921</v>
      </c>
      <c r="C33" s="152">
        <v>4</v>
      </c>
      <c r="D33" s="152" t="s">
        <v>563</v>
      </c>
      <c r="E33" s="152"/>
      <c r="F33" s="153"/>
      <c r="G33" t="s">
        <v>1094</v>
      </c>
      <c r="H33" t="s">
        <v>704</v>
      </c>
      <c r="I33" s="64">
        <v>24</v>
      </c>
      <c r="J33">
        <v>1</v>
      </c>
      <c r="N33" t="s">
        <v>721</v>
      </c>
      <c r="P33"/>
      <c r="R33" s="64">
        <v>1</v>
      </c>
      <c r="T33">
        <v>17</v>
      </c>
      <c r="Y33" s="219"/>
      <c r="AA33" t="s">
        <v>137</v>
      </c>
      <c r="AB33" t="s">
        <v>29</v>
      </c>
      <c r="AC33">
        <v>1</v>
      </c>
      <c r="AD33" s="148"/>
      <c r="AE33" s="148"/>
      <c r="AF33" s="148"/>
      <c r="AG33" t="s">
        <v>212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spans="1:51" s="64" customFormat="1" ht="17" x14ac:dyDescent="0.2">
      <c r="A34" s="151" t="s">
        <v>562</v>
      </c>
      <c r="B34" s="152">
        <v>1921</v>
      </c>
      <c r="C34" s="152">
        <v>4</v>
      </c>
      <c r="D34" s="152" t="s">
        <v>563</v>
      </c>
      <c r="E34" s="152"/>
      <c r="F34" s="153"/>
      <c r="G34" t="s">
        <v>1096</v>
      </c>
      <c r="H34" t="s">
        <v>1095</v>
      </c>
      <c r="I34" s="64">
        <v>25</v>
      </c>
      <c r="J34">
        <v>1</v>
      </c>
      <c r="N34" t="s">
        <v>437</v>
      </c>
      <c r="P34"/>
      <c r="S34" s="64">
        <v>1</v>
      </c>
      <c r="T34">
        <v>33</v>
      </c>
      <c r="Y34" s="219"/>
      <c r="AA34" t="s">
        <v>1097</v>
      </c>
      <c r="AB34" t="s">
        <v>29</v>
      </c>
      <c r="AC34">
        <v>1</v>
      </c>
      <c r="AD34" s="148"/>
      <c r="AE34" s="148"/>
      <c r="AF34" s="148"/>
      <c r="AG34" t="s">
        <v>1073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 spans="1:51" s="64" customFormat="1" ht="17" x14ac:dyDescent="0.2">
      <c r="A35" s="151" t="s">
        <v>562</v>
      </c>
      <c r="B35" s="152">
        <v>1921</v>
      </c>
      <c r="C35" s="152"/>
      <c r="D35" s="152" t="s">
        <v>563</v>
      </c>
      <c r="E35" s="152"/>
      <c r="F35" s="153"/>
      <c r="G35"/>
      <c r="H35">
        <v>5</v>
      </c>
      <c r="J35"/>
      <c r="N35"/>
      <c r="P35"/>
      <c r="T35"/>
      <c r="Y35" s="219"/>
      <c r="AA35"/>
      <c r="AB35"/>
      <c r="AC35"/>
      <c r="AD35" s="148"/>
      <c r="AE35" s="148"/>
      <c r="AF35" s="148"/>
      <c r="AG35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</row>
    <row r="36" spans="1:51" s="64" customFormat="1" ht="17" x14ac:dyDescent="0.2">
      <c r="A36" s="151" t="s">
        <v>562</v>
      </c>
      <c r="B36" s="152">
        <v>1921</v>
      </c>
      <c r="C36" s="152"/>
      <c r="D36" s="152" t="s">
        <v>563</v>
      </c>
      <c r="E36" s="152"/>
      <c r="F36" s="153"/>
      <c r="G36" t="s">
        <v>1</v>
      </c>
      <c r="H36" t="s">
        <v>0</v>
      </c>
      <c r="J36" t="s">
        <v>3</v>
      </c>
      <c r="N36" t="s">
        <v>2</v>
      </c>
      <c r="P36"/>
      <c r="T36" t="s">
        <v>5</v>
      </c>
      <c r="Y36" s="219"/>
      <c r="AA36" t="s">
        <v>7</v>
      </c>
      <c r="AB36" t="s">
        <v>8</v>
      </c>
      <c r="AC36"/>
      <c r="AD36" s="148"/>
      <c r="AE36" s="148"/>
      <c r="AF36" s="148"/>
      <c r="AG36" t="s">
        <v>6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</row>
    <row r="37" spans="1:51" s="64" customFormat="1" ht="17" x14ac:dyDescent="0.2">
      <c r="A37" s="151" t="s">
        <v>562</v>
      </c>
      <c r="B37" s="152">
        <v>1921</v>
      </c>
      <c r="C37" s="152">
        <v>5</v>
      </c>
      <c r="D37" s="152" t="s">
        <v>563</v>
      </c>
      <c r="E37" s="152"/>
      <c r="F37" s="153"/>
      <c r="G37" t="s">
        <v>1099</v>
      </c>
      <c r="H37" t="s">
        <v>1098</v>
      </c>
      <c r="I37" s="64">
        <v>26</v>
      </c>
      <c r="J37">
        <v>1</v>
      </c>
      <c r="N37">
        <v>1</v>
      </c>
      <c r="P37"/>
      <c r="T37">
        <v>85</v>
      </c>
      <c r="Y37" s="219"/>
      <c r="AA37" t="s">
        <v>20</v>
      </c>
      <c r="AB37" t="s">
        <v>20</v>
      </c>
      <c r="AC37"/>
      <c r="AD37" s="148"/>
      <c r="AE37" s="148"/>
      <c r="AF37" s="148"/>
      <c r="AG37" t="s">
        <v>929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1:51" s="64" customFormat="1" ht="17" x14ac:dyDescent="0.2">
      <c r="A38" s="151" t="s">
        <v>562</v>
      </c>
      <c r="B38" s="152">
        <v>1921</v>
      </c>
      <c r="C38" s="152">
        <v>5</v>
      </c>
      <c r="D38" s="152" t="s">
        <v>563</v>
      </c>
      <c r="E38" s="152"/>
      <c r="F38" s="153"/>
      <c r="G38" t="s">
        <v>1101</v>
      </c>
      <c r="H38" t="s">
        <v>1100</v>
      </c>
      <c r="I38" s="64">
        <v>27</v>
      </c>
      <c r="J38">
        <v>1</v>
      </c>
      <c r="N38" t="s">
        <v>26</v>
      </c>
      <c r="P38"/>
      <c r="S38" s="64">
        <v>1</v>
      </c>
      <c r="T38">
        <v>53</v>
      </c>
      <c r="Y38" s="219"/>
      <c r="AA38" t="s">
        <v>1103</v>
      </c>
      <c r="AB38" t="s">
        <v>29</v>
      </c>
      <c r="AC38">
        <v>1</v>
      </c>
      <c r="AD38" s="148"/>
      <c r="AE38" s="148"/>
      <c r="AF38" s="148"/>
      <c r="AG38" t="s">
        <v>1102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1:51" s="64" customFormat="1" ht="17" x14ac:dyDescent="0.2">
      <c r="A39" s="151" t="s">
        <v>562</v>
      </c>
      <c r="B39" s="152">
        <v>1921</v>
      </c>
      <c r="C39" s="152"/>
      <c r="D39" s="152" t="s">
        <v>563</v>
      </c>
      <c r="E39" s="152"/>
      <c r="F39" s="153"/>
      <c r="G39"/>
      <c r="H39">
        <v>2</v>
      </c>
      <c r="J39"/>
      <c r="N39"/>
      <c r="P39"/>
      <c r="T39"/>
      <c r="Y39" s="219"/>
      <c r="AA39"/>
      <c r="AB39"/>
      <c r="AC39"/>
      <c r="AD39" s="148"/>
      <c r="AE39" s="148"/>
      <c r="AF39" s="148"/>
      <c r="AG39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1:51" s="64" customFormat="1" ht="17" x14ac:dyDescent="0.2">
      <c r="A40" s="151" t="s">
        <v>562</v>
      </c>
      <c r="B40" s="152">
        <v>1921</v>
      </c>
      <c r="C40" s="152"/>
      <c r="D40" s="152" t="s">
        <v>563</v>
      </c>
      <c r="E40" s="152"/>
      <c r="F40" s="153"/>
      <c r="G40" t="s">
        <v>1</v>
      </c>
      <c r="H40" t="s">
        <v>0</v>
      </c>
      <c r="J40" t="s">
        <v>3</v>
      </c>
      <c r="N40" t="s">
        <v>2</v>
      </c>
      <c r="P40"/>
      <c r="T40" t="s">
        <v>5</v>
      </c>
      <c r="Y40" s="219"/>
      <c r="AA40" t="s">
        <v>7</v>
      </c>
      <c r="AB40" t="s">
        <v>8</v>
      </c>
      <c r="AC40"/>
      <c r="AD40" s="148"/>
      <c r="AE40" s="148"/>
      <c r="AF40" s="148"/>
      <c r="AG40" t="s">
        <v>6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1:51" s="64" customFormat="1" ht="17" x14ac:dyDescent="0.2">
      <c r="A41" s="151" t="s">
        <v>562</v>
      </c>
      <c r="B41" s="152">
        <v>1921</v>
      </c>
      <c r="C41" s="152">
        <v>6</v>
      </c>
      <c r="D41" s="152" t="s">
        <v>563</v>
      </c>
      <c r="E41" s="152"/>
      <c r="F41" s="153"/>
      <c r="G41" t="s">
        <v>1104</v>
      </c>
      <c r="H41" t="s">
        <v>386</v>
      </c>
      <c r="I41" s="64">
        <v>28</v>
      </c>
      <c r="J41" t="s">
        <v>13</v>
      </c>
      <c r="K41" s="64">
        <v>1</v>
      </c>
      <c r="N41">
        <v>1</v>
      </c>
      <c r="P41"/>
      <c r="T41">
        <v>64</v>
      </c>
      <c r="Y41" s="219"/>
      <c r="AA41" t="s">
        <v>1105</v>
      </c>
      <c r="AB41" t="s">
        <v>1106</v>
      </c>
      <c r="AC41">
        <v>1</v>
      </c>
      <c r="AD41" s="148">
        <v>1</v>
      </c>
      <c r="AE41" s="148"/>
      <c r="AF41" s="148">
        <v>1</v>
      </c>
      <c r="AG41" t="s">
        <v>49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1:51" s="64" customFormat="1" ht="17" x14ac:dyDescent="0.2">
      <c r="A42" s="151" t="s">
        <v>562</v>
      </c>
      <c r="B42" s="152">
        <v>1921</v>
      </c>
      <c r="C42" s="152">
        <v>6</v>
      </c>
      <c r="D42" s="152" t="s">
        <v>563</v>
      </c>
      <c r="E42" s="152"/>
      <c r="F42" s="153"/>
      <c r="G42" t="s">
        <v>1104</v>
      </c>
      <c r="H42" t="s">
        <v>1107</v>
      </c>
      <c r="I42" s="64">
        <v>29</v>
      </c>
      <c r="J42">
        <v>1</v>
      </c>
      <c r="N42" t="s">
        <v>18</v>
      </c>
      <c r="O42" s="64">
        <v>1</v>
      </c>
      <c r="P42"/>
      <c r="T42">
        <v>67</v>
      </c>
      <c r="Y42" s="219"/>
      <c r="AA42" t="s">
        <v>20</v>
      </c>
      <c r="AB42" t="s">
        <v>20</v>
      </c>
      <c r="AC42"/>
      <c r="AD42" s="148"/>
      <c r="AE42" s="148"/>
      <c r="AF42" s="148">
        <v>1</v>
      </c>
      <c r="AG42" t="s">
        <v>49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 spans="1:51" s="64" customFormat="1" ht="17" x14ac:dyDescent="0.2">
      <c r="A43" s="151" t="s">
        <v>562</v>
      </c>
      <c r="B43" s="152">
        <v>1921</v>
      </c>
      <c r="C43" s="152">
        <v>6</v>
      </c>
      <c r="D43" s="152" t="s">
        <v>563</v>
      </c>
      <c r="E43" s="152"/>
      <c r="F43" s="153"/>
      <c r="G43" t="s">
        <v>1104</v>
      </c>
      <c r="H43" t="s">
        <v>345</v>
      </c>
      <c r="I43" s="64">
        <v>30</v>
      </c>
      <c r="J43">
        <v>1</v>
      </c>
      <c r="N43" t="s">
        <v>22</v>
      </c>
      <c r="P43">
        <v>1</v>
      </c>
      <c r="T43">
        <v>40</v>
      </c>
      <c r="Y43" s="219"/>
      <c r="AA43" t="s">
        <v>173</v>
      </c>
      <c r="AB43" t="s">
        <v>1108</v>
      </c>
      <c r="AC43">
        <v>1</v>
      </c>
      <c r="AD43" s="148"/>
      <c r="AE43" s="148"/>
      <c r="AF43" s="148">
        <v>1</v>
      </c>
      <c r="AG43" t="s">
        <v>49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1:51" s="64" customFormat="1" ht="17" x14ac:dyDescent="0.2">
      <c r="A44" s="151" t="s">
        <v>562</v>
      </c>
      <c r="B44" s="152">
        <v>1921</v>
      </c>
      <c r="C44" s="152">
        <v>6</v>
      </c>
      <c r="D44" s="152" t="s">
        <v>563</v>
      </c>
      <c r="E44" s="152"/>
      <c r="F44" s="153"/>
      <c r="G44" t="s">
        <v>1104</v>
      </c>
      <c r="H44" t="s">
        <v>1109</v>
      </c>
      <c r="I44" s="64">
        <v>31</v>
      </c>
      <c r="J44">
        <v>1</v>
      </c>
      <c r="N44" t="s">
        <v>22</v>
      </c>
      <c r="P44">
        <v>1</v>
      </c>
      <c r="T44">
        <v>29</v>
      </c>
      <c r="Y44" s="219"/>
      <c r="AA44" t="s">
        <v>1110</v>
      </c>
      <c r="AB44" t="s">
        <v>1111</v>
      </c>
      <c r="AC44">
        <v>1</v>
      </c>
      <c r="AD44" s="148"/>
      <c r="AE44" s="148"/>
      <c r="AF44" s="148">
        <v>1</v>
      </c>
      <c r="AG44" t="s">
        <v>49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1:51" s="64" customFormat="1" ht="17" x14ac:dyDescent="0.2">
      <c r="A45" s="151" t="s">
        <v>562</v>
      </c>
      <c r="B45" s="152">
        <v>1921</v>
      </c>
      <c r="C45" s="152"/>
      <c r="D45" s="152" t="s">
        <v>563</v>
      </c>
      <c r="E45" s="152"/>
      <c r="F45" s="153"/>
      <c r="G45"/>
      <c r="H45">
        <v>4</v>
      </c>
      <c r="J45"/>
      <c r="N45"/>
      <c r="P45"/>
      <c r="T45"/>
      <c r="Y45" s="219"/>
      <c r="AA45"/>
      <c r="AB45"/>
      <c r="AC45"/>
      <c r="AD45" s="148"/>
      <c r="AE45" s="148"/>
      <c r="AF45" s="148"/>
      <c r="AG45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1:51" s="64" customFormat="1" ht="17" x14ac:dyDescent="0.2">
      <c r="A46" s="151" t="s">
        <v>562</v>
      </c>
      <c r="B46" s="152">
        <v>1921</v>
      </c>
      <c r="C46" s="152"/>
      <c r="D46" s="152" t="s">
        <v>563</v>
      </c>
      <c r="E46" s="152"/>
      <c r="F46" s="153"/>
      <c r="G46" t="s">
        <v>1</v>
      </c>
      <c r="H46" t="s">
        <v>0</v>
      </c>
      <c r="J46" t="s">
        <v>3</v>
      </c>
      <c r="N46" t="s">
        <v>2</v>
      </c>
      <c r="P46"/>
      <c r="T46" t="s">
        <v>5</v>
      </c>
      <c r="Y46" s="219"/>
      <c r="AA46" t="s">
        <v>7</v>
      </c>
      <c r="AB46" t="s">
        <v>8</v>
      </c>
      <c r="AC46"/>
      <c r="AD46" s="148"/>
      <c r="AE46" s="148"/>
      <c r="AF46" s="148"/>
      <c r="AG46" t="s">
        <v>6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 spans="1:51" s="64" customFormat="1" ht="17" x14ac:dyDescent="0.2">
      <c r="A47" s="151" t="s">
        <v>562</v>
      </c>
      <c r="B47" s="152">
        <v>1921</v>
      </c>
      <c r="C47" s="152">
        <v>7</v>
      </c>
      <c r="D47" s="152" t="s">
        <v>563</v>
      </c>
      <c r="E47" s="152"/>
      <c r="F47" s="153"/>
      <c r="G47" t="s">
        <v>1113</v>
      </c>
      <c r="H47" t="s">
        <v>1112</v>
      </c>
      <c r="I47" s="64">
        <v>32</v>
      </c>
      <c r="J47" t="s">
        <v>13</v>
      </c>
      <c r="K47" s="64">
        <v>1</v>
      </c>
      <c r="N47">
        <v>1</v>
      </c>
      <c r="P47"/>
      <c r="T47">
        <v>43</v>
      </c>
      <c r="Y47" s="219"/>
      <c r="AA47" t="s">
        <v>472</v>
      </c>
      <c r="AB47" t="s">
        <v>1115</v>
      </c>
      <c r="AC47">
        <v>1</v>
      </c>
      <c r="AD47" s="148"/>
      <c r="AE47" s="148"/>
      <c r="AF47" s="148"/>
      <c r="AG47" t="s">
        <v>1114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 spans="1:51" s="64" customFormat="1" ht="17" x14ac:dyDescent="0.2">
      <c r="A48" s="151" t="s">
        <v>562</v>
      </c>
      <c r="B48" s="152">
        <v>1921</v>
      </c>
      <c r="C48" s="152">
        <v>7</v>
      </c>
      <c r="D48" s="152" t="s">
        <v>563</v>
      </c>
      <c r="E48" s="152"/>
      <c r="F48" s="153"/>
      <c r="G48" t="s">
        <v>1117</v>
      </c>
      <c r="H48" t="s">
        <v>1116</v>
      </c>
      <c r="I48" s="64">
        <v>33</v>
      </c>
      <c r="J48">
        <v>1</v>
      </c>
      <c r="N48" t="s">
        <v>26</v>
      </c>
      <c r="P48"/>
      <c r="S48" s="64">
        <v>1</v>
      </c>
      <c r="T48">
        <v>24</v>
      </c>
      <c r="Y48" s="219"/>
      <c r="AA48" t="s">
        <v>344</v>
      </c>
      <c r="AB48" t="s">
        <v>29</v>
      </c>
      <c r="AC48">
        <v>1</v>
      </c>
      <c r="AD48" s="148"/>
      <c r="AE48" s="148"/>
      <c r="AF48" s="148"/>
      <c r="AG48" t="s">
        <v>739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</row>
    <row r="49" spans="1:51" s="64" customFormat="1" ht="17" x14ac:dyDescent="0.2">
      <c r="A49" s="151" t="s">
        <v>562</v>
      </c>
      <c r="B49" s="152">
        <v>1921</v>
      </c>
      <c r="C49" s="152"/>
      <c r="D49" s="152" t="s">
        <v>563</v>
      </c>
      <c r="E49" s="152"/>
      <c r="F49" s="153"/>
      <c r="G49"/>
      <c r="H49">
        <v>2</v>
      </c>
      <c r="J49"/>
      <c r="N49"/>
      <c r="P49"/>
      <c r="T49"/>
      <c r="Y49" s="219"/>
      <c r="AA49"/>
      <c r="AB49"/>
      <c r="AC49"/>
      <c r="AD49" s="148"/>
      <c r="AE49" s="148"/>
      <c r="AF49" s="148"/>
      <c r="AG49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</row>
    <row r="50" spans="1:51" s="64" customFormat="1" ht="17" x14ac:dyDescent="0.2">
      <c r="A50" s="151" t="s">
        <v>562</v>
      </c>
      <c r="B50" s="152">
        <v>1921</v>
      </c>
      <c r="C50" s="152"/>
      <c r="D50" s="152" t="s">
        <v>563</v>
      </c>
      <c r="E50" s="152"/>
      <c r="F50" s="153"/>
      <c r="G50" t="s">
        <v>1</v>
      </c>
      <c r="H50" t="s">
        <v>0</v>
      </c>
      <c r="J50" t="s">
        <v>3</v>
      </c>
      <c r="N50" t="s">
        <v>2</v>
      </c>
      <c r="P50"/>
      <c r="T50" t="s">
        <v>5</v>
      </c>
      <c r="Y50" s="219"/>
      <c r="AA50" t="s">
        <v>7</v>
      </c>
      <c r="AB50" t="s">
        <v>8</v>
      </c>
      <c r="AC50"/>
      <c r="AD50" s="148"/>
      <c r="AE50" s="148"/>
      <c r="AF50" s="148"/>
      <c r="AG50" t="s">
        <v>6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</row>
    <row r="51" spans="1:51" s="64" customFormat="1" ht="34" x14ac:dyDescent="0.2">
      <c r="A51" s="151" t="s">
        <v>562</v>
      </c>
      <c r="B51" s="152">
        <v>1921</v>
      </c>
      <c r="C51" s="152">
        <v>8</v>
      </c>
      <c r="D51" s="152" t="s">
        <v>563</v>
      </c>
      <c r="E51" s="152" t="s">
        <v>3042</v>
      </c>
      <c r="F51" t="s">
        <v>1152</v>
      </c>
      <c r="G51" t="s">
        <v>448</v>
      </c>
      <c r="H51" t="s">
        <v>1118</v>
      </c>
      <c r="I51" s="64">
        <v>34</v>
      </c>
      <c r="J51" t="s">
        <v>13</v>
      </c>
      <c r="K51" s="64">
        <v>1</v>
      </c>
      <c r="N51">
        <v>1</v>
      </c>
      <c r="P51"/>
      <c r="T51">
        <v>57</v>
      </c>
      <c r="Y51" s="219"/>
      <c r="AA51" t="s">
        <v>1120</v>
      </c>
      <c r="AB51" t="s">
        <v>1121</v>
      </c>
      <c r="AC51">
        <v>1</v>
      </c>
      <c r="AD51" s="148"/>
      <c r="AE51" s="148"/>
      <c r="AF51" s="148"/>
      <c r="AG51" t="s">
        <v>1119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</row>
    <row r="52" spans="1:51" s="64" customFormat="1" ht="17" x14ac:dyDescent="0.2">
      <c r="A52" s="151" t="s">
        <v>562</v>
      </c>
      <c r="B52" s="152">
        <v>1921</v>
      </c>
      <c r="C52" s="152">
        <v>8</v>
      </c>
      <c r="D52" s="152" t="s">
        <v>563</v>
      </c>
      <c r="E52" s="152"/>
      <c r="F52" t="s">
        <v>1152</v>
      </c>
      <c r="G52" t="s">
        <v>448</v>
      </c>
      <c r="H52" t="s">
        <v>318</v>
      </c>
      <c r="I52" s="64">
        <v>35</v>
      </c>
      <c r="J52">
        <v>1</v>
      </c>
      <c r="N52" t="s">
        <v>18</v>
      </c>
      <c r="O52" s="64">
        <v>1</v>
      </c>
      <c r="P52"/>
      <c r="T52">
        <v>58</v>
      </c>
      <c r="Y52" s="219"/>
      <c r="AA52" t="s">
        <v>18</v>
      </c>
      <c r="AB52" t="s">
        <v>489</v>
      </c>
      <c r="AC52"/>
      <c r="AD52" s="148"/>
      <c r="AE52" s="148"/>
      <c r="AF52" s="148"/>
      <c r="AG52" t="s">
        <v>1122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</row>
    <row r="53" spans="1:51" s="64" customFormat="1" ht="17" x14ac:dyDescent="0.2">
      <c r="A53" s="151" t="s">
        <v>562</v>
      </c>
      <c r="B53" s="152">
        <v>1921</v>
      </c>
      <c r="C53" s="152">
        <v>8</v>
      </c>
      <c r="D53" s="152" t="s">
        <v>563</v>
      </c>
      <c r="E53" s="152"/>
      <c r="F53" t="s">
        <v>1152</v>
      </c>
      <c r="G53" t="s">
        <v>448</v>
      </c>
      <c r="H53" t="s">
        <v>1123</v>
      </c>
      <c r="I53" s="64">
        <v>36</v>
      </c>
      <c r="J53" t="s">
        <v>13</v>
      </c>
      <c r="K53" s="64">
        <v>1</v>
      </c>
      <c r="N53" t="s">
        <v>58</v>
      </c>
      <c r="P53"/>
      <c r="R53" s="64">
        <v>1</v>
      </c>
      <c r="T53">
        <v>30</v>
      </c>
      <c r="Y53" s="219"/>
      <c r="AA53" t="s">
        <v>1124</v>
      </c>
      <c r="AB53" t="s">
        <v>1125</v>
      </c>
      <c r="AC53">
        <v>1</v>
      </c>
      <c r="AD53" s="148"/>
      <c r="AE53" s="148"/>
      <c r="AF53" s="148">
        <v>1</v>
      </c>
      <c r="AG53" t="s">
        <v>49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</row>
    <row r="54" spans="1:51" s="64" customFormat="1" ht="17" x14ac:dyDescent="0.2">
      <c r="A54" s="151" t="s">
        <v>562</v>
      </c>
      <c r="B54" s="152">
        <v>1921</v>
      </c>
      <c r="C54" s="152">
        <v>8</v>
      </c>
      <c r="D54" s="152" t="s">
        <v>563</v>
      </c>
      <c r="E54" s="152"/>
      <c r="F54" t="s">
        <v>1152</v>
      </c>
      <c r="G54" t="s">
        <v>448</v>
      </c>
      <c r="H54" t="s">
        <v>1126</v>
      </c>
      <c r="I54" s="64">
        <v>37</v>
      </c>
      <c r="J54">
        <v>1</v>
      </c>
      <c r="N54" t="s">
        <v>58</v>
      </c>
      <c r="P54"/>
      <c r="R54" s="64">
        <v>1</v>
      </c>
      <c r="T54">
        <v>28</v>
      </c>
      <c r="Y54" s="219"/>
      <c r="AA54" t="s">
        <v>18</v>
      </c>
      <c r="AB54" t="s">
        <v>489</v>
      </c>
      <c r="AC54"/>
      <c r="AD54" s="148"/>
      <c r="AE54" s="148"/>
      <c r="AF54" s="148"/>
      <c r="AG54" t="s">
        <v>1127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</row>
    <row r="55" spans="1:51" s="64" customFormat="1" ht="17" x14ac:dyDescent="0.2">
      <c r="A55" s="151" t="s">
        <v>562</v>
      </c>
      <c r="B55" s="152">
        <v>1921</v>
      </c>
      <c r="C55" s="152">
        <v>8</v>
      </c>
      <c r="D55" s="152" t="s">
        <v>563</v>
      </c>
      <c r="E55" s="152"/>
      <c r="F55" t="s">
        <v>1152</v>
      </c>
      <c r="G55" t="s">
        <v>1128</v>
      </c>
      <c r="H55" t="s">
        <v>130</v>
      </c>
      <c r="I55" s="64">
        <v>38</v>
      </c>
      <c r="J55">
        <v>1</v>
      </c>
      <c r="N55" t="s">
        <v>60</v>
      </c>
      <c r="P55"/>
      <c r="R55" s="64">
        <v>1</v>
      </c>
      <c r="T55">
        <v>47</v>
      </c>
      <c r="Y55" s="219"/>
      <c r="AA55" t="s">
        <v>1129</v>
      </c>
      <c r="AB55" t="s">
        <v>1130</v>
      </c>
      <c r="AC55">
        <v>1</v>
      </c>
      <c r="AD55" s="148"/>
      <c r="AE55" s="148"/>
      <c r="AF55" s="148">
        <v>1</v>
      </c>
      <c r="AG55" t="s">
        <v>49</v>
      </c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</row>
    <row r="56" spans="1:51" s="64" customFormat="1" ht="17" x14ac:dyDescent="0.2">
      <c r="A56" s="151" t="s">
        <v>562</v>
      </c>
      <c r="B56" s="152">
        <v>1921</v>
      </c>
      <c r="C56" s="152">
        <v>8</v>
      </c>
      <c r="D56" s="152" t="s">
        <v>563</v>
      </c>
      <c r="E56" s="152"/>
      <c r="F56" t="s">
        <v>1152</v>
      </c>
      <c r="G56" t="s">
        <v>1131</v>
      </c>
      <c r="H56" t="s">
        <v>429</v>
      </c>
      <c r="I56" s="64">
        <v>39</v>
      </c>
      <c r="J56">
        <v>1</v>
      </c>
      <c r="N56" t="s">
        <v>60</v>
      </c>
      <c r="P56"/>
      <c r="R56" s="64">
        <v>1</v>
      </c>
      <c r="T56">
        <v>46</v>
      </c>
      <c r="Y56" s="219"/>
      <c r="AA56" t="s">
        <v>1133</v>
      </c>
      <c r="AB56" t="s">
        <v>1134</v>
      </c>
      <c r="AC56">
        <v>1</v>
      </c>
      <c r="AD56" s="148"/>
      <c r="AE56" s="148"/>
      <c r="AF56" s="148"/>
      <c r="AG56" t="s">
        <v>1132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</row>
    <row r="57" spans="1:51" s="64" customFormat="1" ht="17" x14ac:dyDescent="0.2">
      <c r="A57" s="151" t="s">
        <v>562</v>
      </c>
      <c r="B57" s="152">
        <v>1921</v>
      </c>
      <c r="C57" s="152"/>
      <c r="D57" s="152" t="s">
        <v>563</v>
      </c>
      <c r="E57" s="152"/>
      <c r="F57"/>
      <c r="G57"/>
      <c r="H57">
        <v>6</v>
      </c>
      <c r="J57"/>
      <c r="N57"/>
      <c r="P57"/>
      <c r="T57"/>
      <c r="Y57" s="219"/>
      <c r="AA57"/>
      <c r="AB57"/>
      <c r="AC57"/>
      <c r="AD57" s="148"/>
      <c r="AE57" s="148"/>
      <c r="AF57" s="148"/>
      <c r="AG57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</row>
    <row r="58" spans="1:51" s="64" customFormat="1" ht="17" x14ac:dyDescent="0.2">
      <c r="A58" s="151" t="s">
        <v>562</v>
      </c>
      <c r="B58" s="152">
        <v>1921</v>
      </c>
      <c r="C58" s="152"/>
      <c r="D58" s="152" t="s">
        <v>563</v>
      </c>
      <c r="E58" s="152"/>
      <c r="F58"/>
      <c r="G58" t="s">
        <v>1</v>
      </c>
      <c r="H58" t="s">
        <v>0</v>
      </c>
      <c r="J58" t="s">
        <v>3</v>
      </c>
      <c r="N58" t="s">
        <v>2</v>
      </c>
      <c r="P58"/>
      <c r="T58" t="s">
        <v>5</v>
      </c>
      <c r="Y58" s="219"/>
      <c r="AA58" t="s">
        <v>7</v>
      </c>
      <c r="AB58" t="s">
        <v>8</v>
      </c>
      <c r="AC58"/>
      <c r="AD58" s="148"/>
      <c r="AE58" s="148"/>
      <c r="AF58" s="148"/>
      <c r="AG58" t="s">
        <v>6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</row>
    <row r="59" spans="1:51" s="64" customFormat="1" ht="17" x14ac:dyDescent="0.2">
      <c r="A59" s="151" t="s">
        <v>562</v>
      </c>
      <c r="B59" s="152">
        <v>1921</v>
      </c>
      <c r="C59" s="152">
        <v>9</v>
      </c>
      <c r="D59" s="152" t="s">
        <v>563</v>
      </c>
      <c r="E59" s="152"/>
      <c r="F59">
        <v>5</v>
      </c>
      <c r="G59" t="s">
        <v>1136</v>
      </c>
      <c r="H59" t="s">
        <v>1135</v>
      </c>
      <c r="I59" s="64">
        <v>40</v>
      </c>
      <c r="J59" t="s">
        <v>13</v>
      </c>
      <c r="K59" s="64">
        <v>1</v>
      </c>
      <c r="N59">
        <v>1</v>
      </c>
      <c r="P59"/>
      <c r="T59">
        <v>52</v>
      </c>
      <c r="Y59" s="219"/>
      <c r="AA59" t="s">
        <v>1137</v>
      </c>
      <c r="AB59" t="s">
        <v>1138</v>
      </c>
      <c r="AC59">
        <v>1</v>
      </c>
      <c r="AD59" s="148"/>
      <c r="AE59" s="148"/>
      <c r="AF59" s="148"/>
      <c r="AG59" t="s">
        <v>186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</row>
    <row r="60" spans="1:51" s="64" customFormat="1" ht="17" x14ac:dyDescent="0.2">
      <c r="A60" s="151" t="s">
        <v>562</v>
      </c>
      <c r="B60" s="152">
        <v>1921</v>
      </c>
      <c r="C60" s="152">
        <v>9</v>
      </c>
      <c r="D60" s="152" t="s">
        <v>563</v>
      </c>
      <c r="E60" s="152"/>
      <c r="F60">
        <v>5</v>
      </c>
      <c r="G60" t="s">
        <v>1136</v>
      </c>
      <c r="H60" t="s">
        <v>1139</v>
      </c>
      <c r="I60" s="64">
        <v>41</v>
      </c>
      <c r="J60">
        <v>1</v>
      </c>
      <c r="N60" t="s">
        <v>18</v>
      </c>
      <c r="O60" s="64">
        <v>1</v>
      </c>
      <c r="P60"/>
      <c r="T60">
        <v>56</v>
      </c>
      <c r="Y60" s="219"/>
      <c r="AA60" t="s">
        <v>468</v>
      </c>
      <c r="AB60" t="s">
        <v>20</v>
      </c>
      <c r="AC60"/>
      <c r="AD60" s="148"/>
      <c r="AE60" s="148"/>
      <c r="AF60" s="148"/>
      <c r="AG60" t="s">
        <v>1140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</row>
    <row r="61" spans="1:51" s="64" customFormat="1" ht="17" x14ac:dyDescent="0.2">
      <c r="A61" s="151" t="s">
        <v>562</v>
      </c>
      <c r="B61" s="152">
        <v>1921</v>
      </c>
      <c r="C61" s="152">
        <v>9</v>
      </c>
      <c r="D61" s="152" t="s">
        <v>563</v>
      </c>
      <c r="E61" s="152"/>
      <c r="F61">
        <v>5</v>
      </c>
      <c r="G61" t="s">
        <v>1136</v>
      </c>
      <c r="H61" t="s">
        <v>1141</v>
      </c>
      <c r="I61" s="64">
        <v>42</v>
      </c>
      <c r="J61" t="s">
        <v>13</v>
      </c>
      <c r="K61" s="64">
        <v>1</v>
      </c>
      <c r="N61" t="s">
        <v>51</v>
      </c>
      <c r="P61"/>
      <c r="Q61" s="64">
        <v>1</v>
      </c>
      <c r="T61">
        <v>19</v>
      </c>
      <c r="Y61" s="219"/>
      <c r="AA61" t="s">
        <v>1142</v>
      </c>
      <c r="AB61" t="s">
        <v>1143</v>
      </c>
      <c r="AC61">
        <v>1</v>
      </c>
      <c r="AD61" s="148"/>
      <c r="AE61" s="148"/>
      <c r="AF61" s="148"/>
      <c r="AG61" t="s">
        <v>186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</row>
    <row r="62" spans="1:51" s="64" customFormat="1" ht="17" x14ac:dyDescent="0.2">
      <c r="A62" s="151" t="s">
        <v>562</v>
      </c>
      <c r="B62" s="152">
        <v>1921</v>
      </c>
      <c r="C62" s="152">
        <v>9</v>
      </c>
      <c r="D62" s="152" t="s">
        <v>563</v>
      </c>
      <c r="E62" s="152"/>
      <c r="F62">
        <v>5</v>
      </c>
      <c r="G62" t="s">
        <v>1145</v>
      </c>
      <c r="H62" t="s">
        <v>1144</v>
      </c>
      <c r="I62" s="64">
        <v>43</v>
      </c>
      <c r="J62">
        <v>1</v>
      </c>
      <c r="N62" t="s">
        <v>26</v>
      </c>
      <c r="P62"/>
      <c r="S62" s="64">
        <v>1</v>
      </c>
      <c r="T62">
        <v>21</v>
      </c>
      <c r="Y62" s="219"/>
      <c r="AA62" t="s">
        <v>344</v>
      </c>
      <c r="AB62" t="s">
        <v>1146</v>
      </c>
      <c r="AC62">
        <v>1</v>
      </c>
      <c r="AD62" s="148"/>
      <c r="AE62" s="148"/>
      <c r="AF62" s="148"/>
      <c r="AG62" t="s">
        <v>134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</row>
    <row r="63" spans="1:51" s="64" customFormat="1" ht="17" x14ac:dyDescent="0.2">
      <c r="A63" s="151" t="s">
        <v>562</v>
      </c>
      <c r="B63" s="152">
        <v>1921</v>
      </c>
      <c r="C63" s="152">
        <v>9</v>
      </c>
      <c r="D63" s="152" t="s">
        <v>563</v>
      </c>
      <c r="E63" s="152"/>
      <c r="F63">
        <v>5</v>
      </c>
      <c r="G63" t="s">
        <v>1148</v>
      </c>
      <c r="H63" t="s">
        <v>1147</v>
      </c>
      <c r="I63" s="64">
        <v>44</v>
      </c>
      <c r="J63">
        <v>1</v>
      </c>
      <c r="N63" t="s">
        <v>58</v>
      </c>
      <c r="P63"/>
      <c r="R63" s="64">
        <v>1</v>
      </c>
      <c r="T63">
        <v>19</v>
      </c>
      <c r="Y63" s="219"/>
      <c r="AA63" t="s">
        <v>50</v>
      </c>
      <c r="AB63" t="s">
        <v>29</v>
      </c>
      <c r="AC63"/>
      <c r="AD63" s="148"/>
      <c r="AE63" s="148"/>
      <c r="AF63" s="148"/>
      <c r="AG63" t="s">
        <v>397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</row>
    <row r="64" spans="1:51" s="64" customFormat="1" ht="17" x14ac:dyDescent="0.2">
      <c r="A64" s="151" t="s">
        <v>562</v>
      </c>
      <c r="B64" s="152">
        <v>1921</v>
      </c>
      <c r="C64" s="152"/>
      <c r="D64" s="152" t="s">
        <v>563</v>
      </c>
      <c r="E64" s="152"/>
      <c r="F64"/>
      <c r="G64"/>
      <c r="H64">
        <v>5</v>
      </c>
      <c r="J64"/>
      <c r="N64"/>
      <c r="P64"/>
      <c r="T64"/>
      <c r="Y64" s="219"/>
      <c r="AA64"/>
      <c r="AB64"/>
      <c r="AC64"/>
      <c r="AD64" s="148"/>
      <c r="AE64" s="148"/>
      <c r="AF64" s="148"/>
      <c r="AG64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</row>
    <row r="65" spans="1:51" s="64" customFormat="1" ht="17" x14ac:dyDescent="0.2">
      <c r="A65" s="151" t="s">
        <v>562</v>
      </c>
      <c r="B65" s="152">
        <v>1921</v>
      </c>
      <c r="C65" s="152"/>
      <c r="D65" s="152" t="s">
        <v>563</v>
      </c>
      <c r="E65" s="152"/>
      <c r="F65"/>
      <c r="G65" t="s">
        <v>1</v>
      </c>
      <c r="H65" t="s">
        <v>0</v>
      </c>
      <c r="J65" t="s">
        <v>3</v>
      </c>
      <c r="N65" t="s">
        <v>2</v>
      </c>
      <c r="P65"/>
      <c r="T65" t="s">
        <v>5</v>
      </c>
      <c r="Y65" s="219"/>
      <c r="AA65" t="s">
        <v>7</v>
      </c>
      <c r="AB65" t="s">
        <v>8</v>
      </c>
      <c r="AC65"/>
      <c r="AD65" s="148"/>
      <c r="AE65" s="148"/>
      <c r="AF65" s="148"/>
      <c r="AG65" t="s">
        <v>6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</row>
    <row r="66" spans="1:51" s="64" customFormat="1" ht="17" x14ac:dyDescent="0.2">
      <c r="A66" s="151" t="s">
        <v>562</v>
      </c>
      <c r="B66" s="152">
        <v>1921</v>
      </c>
      <c r="C66" s="152">
        <v>10</v>
      </c>
      <c r="D66" s="152" t="s">
        <v>563</v>
      </c>
      <c r="E66" s="152"/>
      <c r="F66">
        <v>6</v>
      </c>
      <c r="G66" t="s">
        <v>1150</v>
      </c>
      <c r="H66" t="s">
        <v>1149</v>
      </c>
      <c r="I66" s="64">
        <v>45</v>
      </c>
      <c r="J66">
        <v>1</v>
      </c>
      <c r="N66">
        <v>1</v>
      </c>
      <c r="P66"/>
      <c r="T66">
        <v>70</v>
      </c>
      <c r="Y66" s="219"/>
      <c r="AA66" t="s">
        <v>20</v>
      </c>
      <c r="AB66" t="s">
        <v>20</v>
      </c>
      <c r="AC66"/>
      <c r="AD66" s="148"/>
      <c r="AE66" s="148"/>
      <c r="AF66" s="148">
        <v>1</v>
      </c>
      <c r="AG66" t="s">
        <v>14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</row>
    <row r="67" spans="1:51" s="64" customFormat="1" ht="17" x14ac:dyDescent="0.2">
      <c r="A67" s="151" t="s">
        <v>562</v>
      </c>
      <c r="B67" s="152">
        <v>1921</v>
      </c>
      <c r="C67" s="152">
        <v>10</v>
      </c>
      <c r="D67" s="152" t="s">
        <v>563</v>
      </c>
      <c r="E67" s="152"/>
      <c r="F67">
        <v>6</v>
      </c>
      <c r="G67" t="s">
        <v>1151</v>
      </c>
      <c r="H67" t="s">
        <v>345</v>
      </c>
      <c r="I67" s="64">
        <v>46</v>
      </c>
      <c r="J67">
        <v>1</v>
      </c>
      <c r="N67" t="s">
        <v>26</v>
      </c>
      <c r="P67"/>
      <c r="S67" s="64">
        <v>1</v>
      </c>
      <c r="T67">
        <v>20</v>
      </c>
      <c r="Y67" s="219"/>
      <c r="AA67" t="s">
        <v>344</v>
      </c>
      <c r="AB67" t="s">
        <v>29</v>
      </c>
      <c r="AC67">
        <v>1</v>
      </c>
      <c r="AD67" s="148"/>
      <c r="AE67" s="148"/>
      <c r="AF67" s="148"/>
      <c r="AG67" t="s">
        <v>14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</row>
    <row r="68" spans="1:51" s="64" customFormat="1" ht="17" x14ac:dyDescent="0.2">
      <c r="A68" s="151" t="s">
        <v>562</v>
      </c>
      <c r="B68" s="152">
        <v>1921</v>
      </c>
      <c r="C68" s="152">
        <v>10</v>
      </c>
      <c r="D68" s="152" t="s">
        <v>563</v>
      </c>
      <c r="E68" s="152"/>
      <c r="F68">
        <v>6</v>
      </c>
      <c r="G68" s="20"/>
      <c r="H68" s="148">
        <v>2</v>
      </c>
      <c r="I68" s="148"/>
      <c r="J68" s="148"/>
      <c r="K68" s="219"/>
      <c r="L68" s="148"/>
      <c r="M68" s="154"/>
      <c r="N68" s="155"/>
      <c r="O68" s="156"/>
      <c r="P68" s="148"/>
      <c r="Q68" s="219"/>
      <c r="R68" s="219"/>
      <c r="S68" s="220"/>
      <c r="T68" s="155"/>
      <c r="U68" s="155"/>
      <c r="V68" s="155"/>
      <c r="W68" s="157"/>
      <c r="X68" s="148"/>
      <c r="Y68" s="148"/>
      <c r="Z68" s="148"/>
      <c r="AA68" s="148"/>
      <c r="AB68" s="148"/>
      <c r="AC68" s="148"/>
      <c r="AD68" s="148"/>
      <c r="AE68" s="148"/>
      <c r="AF68" s="148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</row>
    <row r="69" spans="1:51" s="158" customFormat="1" ht="17" x14ac:dyDescent="0.2">
      <c r="A69" s="221" t="s">
        <v>562</v>
      </c>
      <c r="B69" s="222">
        <v>1921</v>
      </c>
      <c r="C69" s="222">
        <v>10</v>
      </c>
      <c r="D69" s="222" t="s">
        <v>563</v>
      </c>
      <c r="E69" s="222"/>
      <c r="F69" s="223"/>
      <c r="G69" s="147"/>
      <c r="H69" s="224"/>
      <c r="I69" s="224">
        <v>46</v>
      </c>
      <c r="J69" s="224">
        <f>SUM(J4:J67)</f>
        <v>27</v>
      </c>
      <c r="K69" s="224">
        <f t="shared" ref="K69:AJ69" si="0">SUM(K4:K67)</f>
        <v>12</v>
      </c>
      <c r="L69" s="224">
        <f t="shared" si="0"/>
        <v>4</v>
      </c>
      <c r="M69" s="224">
        <f t="shared" si="0"/>
        <v>3</v>
      </c>
      <c r="N69" s="224">
        <f t="shared" si="0"/>
        <v>10</v>
      </c>
      <c r="O69" s="224">
        <f t="shared" si="0"/>
        <v>6</v>
      </c>
      <c r="P69" s="224">
        <f t="shared" si="0"/>
        <v>6</v>
      </c>
      <c r="Q69" s="224">
        <f t="shared" si="0"/>
        <v>6</v>
      </c>
      <c r="R69" s="224">
        <f t="shared" si="0"/>
        <v>8</v>
      </c>
      <c r="S69" s="224">
        <f t="shared" si="0"/>
        <v>10</v>
      </c>
      <c r="T69" s="224">
        <f t="shared" si="0"/>
        <v>1622</v>
      </c>
      <c r="U69" s="224">
        <f t="shared" si="0"/>
        <v>0</v>
      </c>
      <c r="V69" s="224">
        <f t="shared" si="0"/>
        <v>0</v>
      </c>
      <c r="W69" s="224">
        <f t="shared" si="0"/>
        <v>0</v>
      </c>
      <c r="X69" s="224">
        <f t="shared" si="0"/>
        <v>0</v>
      </c>
      <c r="Y69" s="224">
        <f t="shared" si="0"/>
        <v>0</v>
      </c>
      <c r="Z69" s="224">
        <f t="shared" si="0"/>
        <v>0</v>
      </c>
      <c r="AA69" s="224">
        <f t="shared" si="0"/>
        <v>0</v>
      </c>
      <c r="AB69" s="224">
        <f t="shared" si="0"/>
        <v>0</v>
      </c>
      <c r="AC69" s="224">
        <f t="shared" si="0"/>
        <v>26</v>
      </c>
      <c r="AD69" s="224">
        <f t="shared" si="0"/>
        <v>2</v>
      </c>
      <c r="AE69" s="224">
        <f>AC69-AD69</f>
        <v>24</v>
      </c>
      <c r="AF69" s="224">
        <f t="shared" si="0"/>
        <v>13</v>
      </c>
      <c r="AG69" s="224">
        <f>N70-AF69</f>
        <v>33</v>
      </c>
      <c r="AH69" s="224">
        <f>AG69+AF69</f>
        <v>46</v>
      </c>
      <c r="AI69" s="224">
        <f t="shared" si="0"/>
        <v>0</v>
      </c>
      <c r="AJ69" s="224">
        <f t="shared" si="0"/>
        <v>0</v>
      </c>
      <c r="AK69" s="147"/>
      <c r="AL69" s="147"/>
      <c r="AM69" s="147"/>
      <c r="AN69" s="147"/>
      <c r="AO69" s="147"/>
      <c r="AP69" s="147"/>
      <c r="AQ69" s="147"/>
      <c r="AR69" s="147"/>
      <c r="AS69" s="147"/>
      <c r="AT69" s="147"/>
      <c r="AU69" s="147"/>
      <c r="AV69" s="147"/>
      <c r="AW69" s="147"/>
      <c r="AX69" s="147"/>
      <c r="AY69" s="147"/>
    </row>
    <row r="70" spans="1:51" s="64" customFormat="1" x14ac:dyDescent="0.2">
      <c r="A70" s="151"/>
      <c r="B70" s="152"/>
      <c r="C70" s="152"/>
      <c r="D70" s="152"/>
      <c r="E70" s="152"/>
      <c r="F70" s="153"/>
      <c r="G70" s="20"/>
      <c r="H70" s="148"/>
      <c r="I70" s="148">
        <f>SUM(J69:M69)</f>
        <v>46</v>
      </c>
      <c r="J70" s="148"/>
      <c r="K70" s="219"/>
      <c r="L70" s="148"/>
      <c r="M70" s="154"/>
      <c r="N70" s="155">
        <f>SUM(N69:S69)</f>
        <v>46</v>
      </c>
      <c r="O70" s="156"/>
      <c r="P70" s="148"/>
      <c r="Q70" s="219"/>
      <c r="R70" s="219"/>
      <c r="S70" s="220"/>
      <c r="T70" s="155">
        <f>T69/N70</f>
        <v>35.260869565217391</v>
      </c>
      <c r="U70" s="155"/>
      <c r="V70" s="155"/>
      <c r="W70" s="157"/>
      <c r="X70" s="148"/>
      <c r="Y70" s="148"/>
      <c r="Z70" s="148"/>
      <c r="AA70" s="148"/>
      <c r="AB70" s="148"/>
      <c r="AC70" s="148"/>
      <c r="AD70" s="148"/>
      <c r="AE70" s="148"/>
      <c r="AF70" s="148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</row>
    <row r="71" spans="1:51" s="64" customFormat="1" x14ac:dyDescent="0.2">
      <c r="A71" s="151"/>
      <c r="B71" s="152"/>
      <c r="C71" s="152"/>
      <c r="D71" s="152"/>
      <c r="E71" s="152"/>
      <c r="F71" s="153"/>
      <c r="G71" s="20"/>
      <c r="H71" s="148"/>
      <c r="I71" s="148"/>
      <c r="J71" s="148"/>
      <c r="K71" s="219"/>
      <c r="L71" s="148"/>
      <c r="M71" s="154"/>
      <c r="N71" s="155"/>
      <c r="O71" s="156"/>
      <c r="P71" s="148"/>
      <c r="Q71" s="219"/>
      <c r="R71" s="219"/>
      <c r="S71" s="220"/>
      <c r="T71" s="155"/>
      <c r="U71" s="155"/>
      <c r="V71" s="155"/>
      <c r="W71" s="157"/>
      <c r="X71" s="148"/>
      <c r="Y71" s="148"/>
      <c r="Z71" s="148"/>
      <c r="AA71" s="148"/>
      <c r="AB71" s="148"/>
      <c r="AC71" s="148"/>
      <c r="AD71" s="148"/>
      <c r="AE71" s="148"/>
      <c r="AF71" s="148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</row>
    <row r="72" spans="1:51" s="64" customFormat="1" x14ac:dyDescent="0.2">
      <c r="A72" s="151"/>
      <c r="B72" s="152"/>
      <c r="C72" s="152"/>
      <c r="D72" s="152"/>
      <c r="E72" s="152"/>
      <c r="F72" s="153"/>
      <c r="G72" s="20"/>
      <c r="H72" s="148"/>
      <c r="I72" s="148"/>
      <c r="J72" s="148"/>
      <c r="K72" s="219"/>
      <c r="L72" s="148"/>
      <c r="M72" s="154"/>
      <c r="N72" s="155"/>
      <c r="O72" s="156"/>
      <c r="P72" s="148"/>
      <c r="Q72" s="219"/>
      <c r="R72" s="219"/>
      <c r="S72" s="220"/>
      <c r="T72" s="155"/>
      <c r="U72" s="155"/>
      <c r="V72" s="155"/>
      <c r="W72" s="157"/>
      <c r="X72" s="148"/>
      <c r="Y72" s="148"/>
      <c r="Z72" s="148"/>
      <c r="AA72" s="148"/>
      <c r="AB72" s="148"/>
      <c r="AC72" s="148"/>
      <c r="AD72" s="148"/>
      <c r="AE72" s="148"/>
      <c r="AF72" s="148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</row>
    <row r="73" spans="1:51" s="64" customFormat="1" x14ac:dyDescent="0.2">
      <c r="A73" s="151"/>
      <c r="B73" s="152"/>
      <c r="C73" s="152"/>
      <c r="D73" s="152"/>
      <c r="E73" s="152"/>
      <c r="F73" s="153"/>
      <c r="G73" s="20"/>
      <c r="H73" s="148"/>
      <c r="I73" s="148"/>
      <c r="J73" s="148"/>
      <c r="K73" s="219"/>
      <c r="L73" s="148"/>
      <c r="M73" s="154"/>
      <c r="N73" s="155"/>
      <c r="O73" s="156"/>
      <c r="P73" s="148"/>
      <c r="Q73" s="219"/>
      <c r="R73" s="219"/>
      <c r="S73" s="220"/>
      <c r="T73" s="155"/>
      <c r="U73" s="155"/>
      <c r="V73" s="155"/>
      <c r="W73" s="157"/>
      <c r="X73" s="148"/>
      <c r="Y73" s="148"/>
      <c r="Z73" s="148"/>
      <c r="AA73" s="148"/>
      <c r="AB73" s="148"/>
      <c r="AC73" s="148"/>
      <c r="AD73" s="148"/>
      <c r="AE73" s="148"/>
      <c r="AF73" s="148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</row>
    <row r="74" spans="1:51" s="64" customFormat="1" x14ac:dyDescent="0.2">
      <c r="A74" s="151"/>
      <c r="B74" s="152"/>
      <c r="C74" s="152"/>
      <c r="D74" s="152"/>
      <c r="E74" s="152"/>
      <c r="F74" s="153"/>
      <c r="G74" s="20"/>
      <c r="H74" s="148"/>
      <c r="I74" s="148"/>
      <c r="J74" s="148"/>
      <c r="K74" s="219"/>
      <c r="L74" s="148"/>
      <c r="M74" s="154"/>
      <c r="N74" s="155"/>
      <c r="O74" s="156"/>
      <c r="P74" s="148"/>
      <c r="Q74" s="219"/>
      <c r="R74" s="219"/>
      <c r="S74" s="220"/>
      <c r="T74" s="155"/>
      <c r="U74" s="155"/>
      <c r="V74" s="155"/>
      <c r="W74" s="157"/>
      <c r="X74" s="148"/>
      <c r="Y74" s="148"/>
      <c r="Z74" s="148"/>
      <c r="AA74" s="148"/>
      <c r="AB74" s="148"/>
      <c r="AC74" s="148"/>
      <c r="AD74" s="148"/>
      <c r="AE74" s="148"/>
      <c r="AF74" s="148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</row>
    <row r="75" spans="1:51" s="64" customFormat="1" x14ac:dyDescent="0.2">
      <c r="A75" s="151"/>
      <c r="B75" s="152"/>
      <c r="C75" s="152"/>
      <c r="D75" s="152"/>
      <c r="E75" s="152"/>
      <c r="F75" s="153"/>
      <c r="G75" s="20"/>
      <c r="H75" s="148"/>
      <c r="I75" s="148"/>
      <c r="J75" s="148"/>
      <c r="K75" s="219"/>
      <c r="L75" s="148"/>
      <c r="M75" s="154"/>
      <c r="N75" s="155"/>
      <c r="O75" s="156"/>
      <c r="P75" s="148"/>
      <c r="Q75" s="219"/>
      <c r="R75" s="219"/>
      <c r="S75" s="220"/>
      <c r="T75" s="155"/>
      <c r="U75" s="155"/>
      <c r="V75" s="155"/>
      <c r="W75" s="157"/>
      <c r="X75" s="148"/>
      <c r="Y75" s="148"/>
      <c r="Z75" s="148"/>
      <c r="AA75" s="148"/>
      <c r="AB75" s="148"/>
      <c r="AC75" s="148"/>
      <c r="AD75" s="148"/>
      <c r="AE75" s="148"/>
      <c r="AF75" s="148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</row>
    <row r="76" spans="1:51" s="64" customFormat="1" x14ac:dyDescent="0.2">
      <c r="A76" s="151"/>
      <c r="B76" s="152"/>
      <c r="C76" s="152"/>
      <c r="D76" s="152"/>
      <c r="E76" s="152"/>
      <c r="F76" s="153"/>
      <c r="G76" s="20"/>
      <c r="H76" s="148"/>
      <c r="I76" s="148"/>
      <c r="J76" s="148"/>
      <c r="K76" s="219"/>
      <c r="L76" s="148"/>
      <c r="M76" s="154"/>
      <c r="N76" s="155"/>
      <c r="O76" s="156"/>
      <c r="P76" s="148"/>
      <c r="Q76" s="219"/>
      <c r="R76" s="219"/>
      <c r="S76" s="220"/>
      <c r="T76" s="155"/>
      <c r="U76" s="155"/>
      <c r="V76" s="155"/>
      <c r="W76" s="157"/>
      <c r="X76" s="148"/>
      <c r="Y76" s="148"/>
      <c r="Z76" s="148"/>
      <c r="AA76" s="148"/>
      <c r="AB76" s="148"/>
      <c r="AC76" s="148"/>
      <c r="AD76" s="148"/>
      <c r="AE76" s="148"/>
      <c r="AF76" s="148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</row>
    <row r="77" spans="1:51" s="64" customFormat="1" x14ac:dyDescent="0.2">
      <c r="A77" s="151"/>
      <c r="B77" s="152"/>
      <c r="C77" s="152"/>
      <c r="D77" s="152"/>
      <c r="E77" s="152"/>
      <c r="F77" s="153"/>
      <c r="G77" s="20"/>
      <c r="H77" s="148"/>
      <c r="I77" s="148"/>
      <c r="J77" s="148"/>
      <c r="K77" s="219"/>
      <c r="L77" s="148"/>
      <c r="M77" s="154"/>
      <c r="N77" s="155"/>
      <c r="O77" s="156"/>
      <c r="P77" s="148"/>
      <c r="Q77" s="219"/>
      <c r="R77" s="219"/>
      <c r="S77" s="220"/>
      <c r="T77" s="155"/>
      <c r="U77" s="155"/>
      <c r="V77" s="155"/>
      <c r="W77" s="157"/>
      <c r="X77" s="148"/>
      <c r="Y77" s="148"/>
      <c r="Z77" s="148"/>
      <c r="AA77" s="148"/>
      <c r="AB77" s="148"/>
      <c r="AC77" s="148"/>
      <c r="AD77" s="148"/>
      <c r="AE77" s="148"/>
      <c r="AF77" s="148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</row>
    <row r="78" spans="1:51" s="64" customFormat="1" x14ac:dyDescent="0.2">
      <c r="A78" s="151"/>
      <c r="B78" s="152"/>
      <c r="C78" s="152"/>
      <c r="D78" s="152"/>
      <c r="E78" s="152"/>
      <c r="F78" s="153"/>
      <c r="G78" s="20"/>
      <c r="H78" s="148"/>
      <c r="I78" s="148"/>
      <c r="J78" s="148"/>
      <c r="K78" s="219"/>
      <c r="L78" s="148"/>
      <c r="M78" s="154"/>
      <c r="N78" s="155"/>
      <c r="O78" s="156"/>
      <c r="P78" s="148"/>
      <c r="Q78" s="219"/>
      <c r="R78" s="219"/>
      <c r="S78" s="220"/>
      <c r="T78" s="155"/>
      <c r="U78" s="155"/>
      <c r="V78" s="155"/>
      <c r="W78" s="157"/>
      <c r="X78" s="148"/>
      <c r="Y78" s="148"/>
      <c r="Z78" s="148"/>
      <c r="AA78" s="148"/>
      <c r="AB78" s="148"/>
      <c r="AC78" s="148"/>
      <c r="AD78" s="148"/>
      <c r="AE78" s="148"/>
      <c r="AF78" s="148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</row>
    <row r="79" spans="1:51" s="64" customFormat="1" x14ac:dyDescent="0.2">
      <c r="A79" s="151"/>
      <c r="B79" s="152"/>
      <c r="C79" s="152"/>
      <c r="D79" s="152"/>
      <c r="E79" s="152"/>
      <c r="F79" s="153"/>
      <c r="G79" s="20"/>
      <c r="H79" s="148"/>
      <c r="I79" s="148"/>
      <c r="J79" s="148"/>
      <c r="K79" s="219"/>
      <c r="L79" s="148"/>
      <c r="M79" s="154"/>
      <c r="N79" s="155"/>
      <c r="O79" s="156"/>
      <c r="P79" s="148"/>
      <c r="Q79" s="219"/>
      <c r="R79" s="219"/>
      <c r="S79" s="220"/>
      <c r="T79" s="155"/>
      <c r="U79" s="155"/>
      <c r="V79" s="155"/>
      <c r="W79" s="157"/>
      <c r="X79" s="148"/>
      <c r="Y79" s="148"/>
      <c r="Z79" s="148"/>
      <c r="AA79" s="148"/>
      <c r="AB79" s="148"/>
      <c r="AC79" s="148"/>
      <c r="AD79" s="148"/>
      <c r="AE79" s="148"/>
      <c r="AF79" s="148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</row>
    <row r="80" spans="1:51" s="64" customFormat="1" x14ac:dyDescent="0.2">
      <c r="A80" s="151"/>
      <c r="B80" s="152"/>
      <c r="C80" s="152"/>
      <c r="D80" s="152"/>
      <c r="E80" s="152"/>
      <c r="F80" s="153"/>
      <c r="G80" s="20"/>
      <c r="H80" s="148"/>
      <c r="I80" s="148"/>
      <c r="J80" s="148"/>
      <c r="K80" s="219"/>
      <c r="L80" s="148"/>
      <c r="M80" s="154"/>
      <c r="N80" s="155"/>
      <c r="O80" s="156"/>
      <c r="P80" s="148"/>
      <c r="Q80" s="219"/>
      <c r="R80" s="219"/>
      <c r="S80" s="220"/>
      <c r="T80" s="155"/>
      <c r="U80" s="155"/>
      <c r="V80" s="155"/>
      <c r="W80" s="157"/>
      <c r="X80" s="148"/>
      <c r="Y80" s="148"/>
      <c r="Z80" s="148"/>
      <c r="AA80" s="148"/>
      <c r="AB80" s="148"/>
      <c r="AC80" s="148"/>
      <c r="AD80" s="148"/>
      <c r="AE80" s="148"/>
      <c r="AF80" s="148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</row>
    <row r="81" spans="1:51" s="64" customFormat="1" x14ac:dyDescent="0.2">
      <c r="A81" s="151"/>
      <c r="B81" s="152"/>
      <c r="C81" s="152"/>
      <c r="D81" s="152"/>
      <c r="E81" s="152"/>
      <c r="F81" s="153"/>
      <c r="G81" s="20"/>
      <c r="H81" s="148"/>
      <c r="I81" s="148"/>
      <c r="J81" s="148"/>
      <c r="K81" s="219"/>
      <c r="L81" s="148"/>
      <c r="M81" s="154"/>
      <c r="N81" s="155"/>
      <c r="O81" s="156"/>
      <c r="P81" s="148"/>
      <c r="Q81" s="219"/>
      <c r="R81" s="219"/>
      <c r="S81" s="220"/>
      <c r="T81" s="155"/>
      <c r="U81" s="155"/>
      <c r="V81" s="155"/>
      <c r="W81" s="157"/>
      <c r="X81" s="148"/>
      <c r="Y81" s="148"/>
      <c r="Z81" s="148"/>
      <c r="AA81" s="148"/>
      <c r="AB81" s="148"/>
      <c r="AC81" s="148"/>
      <c r="AD81" s="148"/>
      <c r="AE81" s="148"/>
      <c r="AF81" s="148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</row>
    <row r="82" spans="1:51" s="64" customFormat="1" x14ac:dyDescent="0.2">
      <c r="A82" s="151"/>
      <c r="B82" s="152"/>
      <c r="C82" s="152"/>
      <c r="D82" s="152"/>
      <c r="E82" s="152"/>
      <c r="F82" s="153"/>
      <c r="G82" s="20"/>
      <c r="H82" s="148"/>
      <c r="I82" s="148"/>
      <c r="J82" s="148"/>
      <c r="K82" s="219"/>
      <c r="L82" s="148"/>
      <c r="M82" s="154"/>
      <c r="N82" s="155"/>
      <c r="O82" s="156"/>
      <c r="P82" s="148"/>
      <c r="Q82" s="219"/>
      <c r="R82" s="219"/>
      <c r="S82" s="220"/>
      <c r="T82" s="155"/>
      <c r="U82" s="155"/>
      <c r="V82" s="155"/>
      <c r="W82" s="157"/>
      <c r="X82" s="148"/>
      <c r="Y82" s="148"/>
      <c r="Z82" s="148"/>
      <c r="AA82" s="148"/>
      <c r="AB82" s="148"/>
      <c r="AC82" s="148"/>
      <c r="AD82" s="148"/>
      <c r="AE82" s="148"/>
      <c r="AF82" s="148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</row>
    <row r="83" spans="1:51" s="64" customFormat="1" x14ac:dyDescent="0.2">
      <c r="A83" s="151"/>
      <c r="B83" s="152"/>
      <c r="C83" s="152"/>
      <c r="D83" s="152"/>
      <c r="E83" s="152"/>
      <c r="F83" s="153"/>
      <c r="G83" s="20"/>
      <c r="H83" s="148"/>
      <c r="I83" s="148"/>
      <c r="J83" s="148"/>
      <c r="K83" s="219"/>
      <c r="L83" s="148"/>
      <c r="M83" s="154"/>
      <c r="N83" s="155"/>
      <c r="O83" s="156"/>
      <c r="P83" s="148"/>
      <c r="Q83" s="219"/>
      <c r="R83" s="219"/>
      <c r="S83" s="220"/>
      <c r="T83" s="155"/>
      <c r="U83" s="155"/>
      <c r="V83" s="155"/>
      <c r="W83" s="157"/>
      <c r="X83" s="148"/>
      <c r="Y83" s="148"/>
      <c r="Z83" s="148"/>
      <c r="AA83" s="148"/>
      <c r="AB83" s="148"/>
      <c r="AC83" s="148"/>
      <c r="AD83" s="148"/>
      <c r="AE83" s="148"/>
      <c r="AF83" s="148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</row>
    <row r="84" spans="1:51" s="64" customFormat="1" x14ac:dyDescent="0.2">
      <c r="A84" s="151"/>
      <c r="B84" s="152"/>
      <c r="C84" s="152"/>
      <c r="D84" s="152"/>
      <c r="E84" s="152"/>
      <c r="F84" s="153"/>
      <c r="G84" s="20"/>
      <c r="H84" s="148"/>
      <c r="I84" s="148"/>
      <c r="J84" s="148"/>
      <c r="K84" s="219"/>
      <c r="L84" s="148"/>
      <c r="M84" s="154"/>
      <c r="N84" s="155"/>
      <c r="O84" s="156"/>
      <c r="P84" s="148"/>
      <c r="Q84" s="219"/>
      <c r="R84" s="219"/>
      <c r="S84" s="220"/>
      <c r="T84" s="155"/>
      <c r="U84" s="155"/>
      <c r="V84" s="155"/>
      <c r="W84" s="157"/>
      <c r="X84" s="148"/>
      <c r="Y84" s="148"/>
      <c r="Z84" s="148"/>
      <c r="AA84" s="148"/>
      <c r="AB84" s="148"/>
      <c r="AC84" s="148"/>
      <c r="AD84" s="148"/>
      <c r="AE84" s="148"/>
      <c r="AF84" s="148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</row>
    <row r="85" spans="1:51" s="64" customFormat="1" x14ac:dyDescent="0.2">
      <c r="A85" s="151"/>
      <c r="B85" s="152"/>
      <c r="C85" s="152"/>
      <c r="D85" s="152"/>
      <c r="E85" s="152"/>
      <c r="F85" s="153"/>
      <c r="G85" s="20"/>
      <c r="H85" s="148"/>
      <c r="I85" s="148"/>
      <c r="J85" s="148"/>
      <c r="K85" s="219"/>
      <c r="L85" s="148"/>
      <c r="M85" s="154"/>
      <c r="N85" s="155"/>
      <c r="O85" s="156"/>
      <c r="P85" s="148"/>
      <c r="Q85" s="219"/>
      <c r="R85" s="219"/>
      <c r="S85" s="220"/>
      <c r="T85" s="155"/>
      <c r="U85" s="155"/>
      <c r="V85" s="155"/>
      <c r="W85" s="157"/>
      <c r="X85" s="148"/>
      <c r="Y85" s="148"/>
      <c r="Z85" s="148"/>
      <c r="AA85" s="148"/>
      <c r="AB85" s="148"/>
      <c r="AC85" s="148"/>
      <c r="AD85" s="148"/>
      <c r="AE85" s="148"/>
      <c r="AF85" s="148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</row>
    <row r="86" spans="1:51" s="64" customFormat="1" x14ac:dyDescent="0.2">
      <c r="A86" s="151"/>
      <c r="B86" s="152"/>
      <c r="C86" s="152"/>
      <c r="D86" s="152"/>
      <c r="E86" s="152"/>
      <c r="F86" s="153"/>
      <c r="G86" s="20"/>
      <c r="H86" s="148"/>
      <c r="I86" s="148"/>
      <c r="J86" s="148"/>
      <c r="K86" s="219"/>
      <c r="L86" s="148"/>
      <c r="M86" s="154"/>
      <c r="N86" s="155"/>
      <c r="O86" s="156"/>
      <c r="P86" s="148"/>
      <c r="Q86" s="219"/>
      <c r="R86" s="219"/>
      <c r="S86" s="220"/>
      <c r="T86" s="155"/>
      <c r="U86" s="155"/>
      <c r="V86" s="155"/>
      <c r="W86" s="157"/>
      <c r="X86" s="148"/>
      <c r="Y86" s="148"/>
      <c r="Z86" s="148"/>
      <c r="AA86" s="148"/>
      <c r="AB86" s="148"/>
      <c r="AC86" s="148"/>
      <c r="AD86" s="148"/>
      <c r="AE86" s="148"/>
      <c r="AF86" s="148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</row>
    <row r="87" spans="1:51" s="64" customFormat="1" x14ac:dyDescent="0.2">
      <c r="A87" s="151"/>
      <c r="B87" s="152"/>
      <c r="C87" s="152"/>
      <c r="D87" s="152"/>
      <c r="E87" s="152"/>
      <c r="F87" s="153"/>
      <c r="G87" s="20"/>
      <c r="H87" s="148"/>
      <c r="I87" s="148"/>
      <c r="J87" s="148"/>
      <c r="K87" s="219"/>
      <c r="L87" s="148"/>
      <c r="M87" s="154"/>
      <c r="N87" s="155"/>
      <c r="O87" s="156"/>
      <c r="P87" s="148"/>
      <c r="Q87" s="219"/>
      <c r="R87" s="219"/>
      <c r="S87" s="220"/>
      <c r="T87" s="155"/>
      <c r="U87" s="155"/>
      <c r="V87" s="155"/>
      <c r="W87" s="157"/>
      <c r="X87" s="148"/>
      <c r="Y87" s="148"/>
      <c r="Z87" s="148"/>
      <c r="AA87" s="148"/>
      <c r="AB87" s="148"/>
      <c r="AC87" s="148"/>
      <c r="AD87" s="148"/>
      <c r="AE87" s="148"/>
      <c r="AF87" s="148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</row>
    <row r="88" spans="1:51" s="64" customFormat="1" x14ac:dyDescent="0.2">
      <c r="A88" s="151"/>
      <c r="B88" s="152"/>
      <c r="C88" s="152"/>
      <c r="D88" s="152"/>
      <c r="E88" s="152"/>
      <c r="F88" s="153"/>
      <c r="G88" s="20"/>
      <c r="H88" s="148"/>
      <c r="I88" s="148"/>
      <c r="J88" s="148"/>
      <c r="K88" s="219"/>
      <c r="L88" s="148"/>
      <c r="M88" s="154"/>
      <c r="N88" s="155"/>
      <c r="O88" s="156"/>
      <c r="P88" s="148"/>
      <c r="Q88" s="219"/>
      <c r="R88" s="219"/>
      <c r="S88" s="220"/>
      <c r="T88" s="155"/>
      <c r="U88" s="155"/>
      <c r="V88" s="155"/>
      <c r="W88" s="157"/>
      <c r="X88" s="148"/>
      <c r="Y88" s="148"/>
      <c r="Z88" s="148"/>
      <c r="AA88" s="148"/>
      <c r="AB88" s="148"/>
      <c r="AC88" s="148"/>
      <c r="AD88" s="148"/>
      <c r="AE88" s="148"/>
      <c r="AF88" s="148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</row>
    <row r="89" spans="1:51" s="64" customFormat="1" x14ac:dyDescent="0.2">
      <c r="A89" s="151"/>
      <c r="B89" s="152"/>
      <c r="C89" s="152"/>
      <c r="D89" s="152"/>
      <c r="E89" s="152"/>
      <c r="F89" s="153"/>
      <c r="G89" s="20"/>
      <c r="H89" s="148"/>
      <c r="I89" s="148"/>
      <c r="J89" s="148"/>
      <c r="K89" s="219"/>
      <c r="L89" s="148"/>
      <c r="M89" s="154"/>
      <c r="N89" s="155"/>
      <c r="O89" s="156"/>
      <c r="P89" s="148"/>
      <c r="Q89" s="219"/>
      <c r="R89" s="219"/>
      <c r="S89" s="220"/>
      <c r="T89" s="155"/>
      <c r="U89" s="155"/>
      <c r="V89" s="155"/>
      <c r="W89" s="157"/>
      <c r="X89" s="148"/>
      <c r="Y89" s="148"/>
      <c r="Z89" s="148"/>
      <c r="AA89" s="148"/>
      <c r="AB89" s="148"/>
      <c r="AC89" s="148"/>
      <c r="AD89" s="148"/>
      <c r="AE89" s="148"/>
      <c r="AF89" s="148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</row>
    <row r="90" spans="1:51" s="64" customFormat="1" x14ac:dyDescent="0.2">
      <c r="A90" s="151"/>
      <c r="B90" s="152"/>
      <c r="C90" s="152"/>
      <c r="D90" s="152"/>
      <c r="E90" s="152"/>
      <c r="F90" s="153"/>
      <c r="G90" s="20"/>
      <c r="H90" s="148"/>
      <c r="I90" s="148"/>
      <c r="J90" s="148"/>
      <c r="K90" s="219"/>
      <c r="L90" s="148"/>
      <c r="M90" s="154"/>
      <c r="N90" s="155"/>
      <c r="O90" s="156"/>
      <c r="P90" s="148"/>
      <c r="Q90" s="219"/>
      <c r="R90" s="219"/>
      <c r="S90" s="220"/>
      <c r="T90" s="155"/>
      <c r="U90" s="155"/>
      <c r="V90" s="155"/>
      <c r="W90" s="157"/>
      <c r="X90" s="148"/>
      <c r="Y90" s="148"/>
      <c r="Z90" s="148"/>
      <c r="AA90" s="148"/>
      <c r="AB90" s="148"/>
      <c r="AC90" s="148"/>
      <c r="AD90" s="148"/>
      <c r="AE90" s="148"/>
      <c r="AF90" s="148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</row>
    <row r="91" spans="1:51" s="64" customFormat="1" x14ac:dyDescent="0.2">
      <c r="A91" s="151"/>
      <c r="B91" s="152"/>
      <c r="C91" s="152"/>
      <c r="D91" s="152"/>
      <c r="E91" s="152"/>
      <c r="F91" s="153"/>
      <c r="G91" s="20"/>
      <c r="H91" s="148"/>
      <c r="I91" s="148"/>
      <c r="J91" s="148"/>
      <c r="K91" s="219"/>
      <c r="L91" s="148"/>
      <c r="M91" s="154"/>
      <c r="N91" s="155"/>
      <c r="O91" s="156"/>
      <c r="P91" s="148"/>
      <c r="Q91" s="219"/>
      <c r="R91" s="219"/>
      <c r="S91" s="220"/>
      <c r="T91" s="155"/>
      <c r="U91" s="155"/>
      <c r="V91" s="155"/>
      <c r="W91" s="157"/>
      <c r="X91" s="148"/>
      <c r="Y91" s="148"/>
      <c r="Z91" s="148"/>
      <c r="AA91" s="148"/>
      <c r="AB91" s="148"/>
      <c r="AC91" s="148"/>
      <c r="AD91" s="148"/>
      <c r="AE91" s="148"/>
      <c r="AF91" s="148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</row>
    <row r="92" spans="1:51" s="64" customFormat="1" x14ac:dyDescent="0.2">
      <c r="A92" s="151"/>
      <c r="B92" s="152"/>
      <c r="C92" s="152"/>
      <c r="D92" s="152"/>
      <c r="E92" s="152"/>
      <c r="F92" s="153"/>
      <c r="G92" s="20"/>
      <c r="H92" s="148"/>
      <c r="I92" s="148"/>
      <c r="J92" s="148"/>
      <c r="K92" s="219"/>
      <c r="L92" s="148"/>
      <c r="M92" s="154"/>
      <c r="N92" s="155"/>
      <c r="O92" s="156"/>
      <c r="P92" s="148"/>
      <c r="Q92" s="219"/>
      <c r="R92" s="219"/>
      <c r="S92" s="220"/>
      <c r="T92" s="155"/>
      <c r="U92" s="155"/>
      <c r="V92" s="155"/>
      <c r="W92" s="157"/>
      <c r="X92" s="148"/>
      <c r="Y92" s="148"/>
      <c r="Z92" s="148"/>
      <c r="AA92" s="148"/>
      <c r="AB92" s="148"/>
      <c r="AC92" s="148"/>
      <c r="AD92" s="148"/>
      <c r="AE92" s="148"/>
      <c r="AF92" s="148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</row>
    <row r="93" spans="1:51" ht="19" customHeight="1" x14ac:dyDescent="0.2">
      <c r="A93" s="9"/>
      <c r="B93" s="9"/>
      <c r="C93" s="7"/>
      <c r="D93" s="7"/>
      <c r="E93" s="7"/>
      <c r="F93" s="5"/>
      <c r="G93" s="5"/>
      <c r="H93" s="5"/>
      <c r="I93" s="5"/>
      <c r="J93" s="5"/>
      <c r="K93" s="10"/>
      <c r="L93" s="5"/>
      <c r="M93" s="5"/>
      <c r="N93" s="5"/>
      <c r="O93" s="5"/>
      <c r="P93" s="5"/>
      <c r="Q93" s="10"/>
      <c r="R93" s="10"/>
      <c r="S93" s="10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17.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6"/>
      <c r="N94" s="6"/>
      <c r="O94" s="6"/>
      <c r="P94" s="6"/>
      <c r="Q94" s="7"/>
      <c r="R94" s="6"/>
      <c r="S94" s="6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17.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6"/>
      <c r="N95" s="6"/>
      <c r="O95" s="6"/>
      <c r="P95" s="6"/>
      <c r="Q95" s="6"/>
      <c r="R95" s="6"/>
      <c r="S95" s="6"/>
      <c r="T95" s="6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17.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6"/>
      <c r="N96" s="6"/>
      <c r="O96" s="6"/>
      <c r="P96" s="6"/>
      <c r="Q96" s="6"/>
      <c r="R96" s="6"/>
      <c r="S96" s="6"/>
      <c r="T96" s="6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17.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6"/>
      <c r="N97" s="6"/>
      <c r="O97" s="6"/>
      <c r="P97" s="6"/>
      <c r="Q97" s="6"/>
      <c r="R97" s="6"/>
      <c r="S97" s="6"/>
      <c r="T97" s="6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17.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6"/>
      <c r="N98" s="6"/>
      <c r="O98" s="6"/>
      <c r="P98" s="6"/>
      <c r="Q98" s="6"/>
      <c r="R98" s="6"/>
      <c r="S98" s="6"/>
      <c r="T98" s="6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17.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6"/>
      <c r="N99" s="6"/>
      <c r="O99" s="6"/>
      <c r="P99" s="6"/>
      <c r="Q99" s="7"/>
      <c r="R99" s="6"/>
      <c r="S99" s="6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17.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6"/>
      <c r="N100" s="6"/>
      <c r="O100" s="6"/>
      <c r="P100" s="6"/>
      <c r="Q100" s="6"/>
      <c r="R100" s="6"/>
      <c r="S100" s="6"/>
      <c r="T100" s="6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7.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6"/>
      <c r="N101" s="6"/>
      <c r="O101" s="6"/>
      <c r="P101" s="6"/>
      <c r="Q101" s="6"/>
      <c r="R101" s="6"/>
      <c r="S101" s="6"/>
      <c r="T101" s="6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17" customHeight="1" x14ac:dyDescent="0.2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17.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6"/>
      <c r="N103" s="6"/>
      <c r="O103" s="6"/>
      <c r="P103" s="6"/>
      <c r="Q103" s="6"/>
      <c r="R103" s="6"/>
      <c r="S103" s="6"/>
      <c r="T103" s="6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17.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6"/>
      <c r="N104" s="6"/>
      <c r="O104" s="6"/>
      <c r="P104" s="6"/>
      <c r="Q104" s="6"/>
      <c r="R104" s="6"/>
      <c r="S104" s="6"/>
      <c r="T104" s="6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17.5" customHeight="1" x14ac:dyDescent="0.2">
      <c r="A105" s="11"/>
      <c r="B105" s="11"/>
      <c r="C105" s="11"/>
      <c r="D105" s="12"/>
      <c r="E105" s="11"/>
      <c r="F105" s="12"/>
      <c r="G105" s="12"/>
      <c r="H105" s="12"/>
      <c r="I105" s="12"/>
      <c r="J105" s="12"/>
      <c r="K105" s="13"/>
      <c r="L105" s="12"/>
      <c r="M105" s="12"/>
      <c r="N105" s="12"/>
      <c r="O105" s="12"/>
      <c r="P105" s="12"/>
      <c r="Q105" s="13"/>
      <c r="R105" s="13"/>
      <c r="S105" s="13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28" customHeight="1" x14ac:dyDescent="0.2">
      <c r="A106" s="11"/>
      <c r="B106" s="11"/>
      <c r="C106" s="11"/>
      <c r="D106" s="12"/>
      <c r="E106" s="11"/>
      <c r="F106" s="12"/>
      <c r="G106" s="12"/>
      <c r="H106" s="12"/>
      <c r="I106" s="12"/>
      <c r="J106" s="14"/>
      <c r="K106" s="15"/>
      <c r="L106" s="16"/>
      <c r="M106" s="12"/>
      <c r="N106" s="12"/>
      <c r="O106" s="12"/>
      <c r="P106" s="14"/>
      <c r="Q106" s="15"/>
      <c r="R106" s="15"/>
      <c r="S106" s="15"/>
      <c r="T106" s="17"/>
      <c r="U106" s="12"/>
      <c r="V106" s="12"/>
      <c r="W106" s="12"/>
      <c r="X106" s="12"/>
      <c r="Y106" s="12"/>
      <c r="Z106" s="12"/>
      <c r="AA106" s="12"/>
      <c r="AB106" s="12"/>
      <c r="AC106" s="12"/>
      <c r="AD106" s="11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17.5" customHeight="1" x14ac:dyDescent="0.2">
      <c r="B107" s="7"/>
      <c r="C107" s="7"/>
      <c r="D107" s="7"/>
      <c r="E107" s="7"/>
      <c r="F107" s="7"/>
      <c r="G107" s="7"/>
      <c r="H107" s="7"/>
      <c r="I107" s="7"/>
      <c r="J107" s="7"/>
      <c r="K107" s="9"/>
      <c r="L107" s="7"/>
      <c r="M107" s="6"/>
      <c r="N107" s="6"/>
      <c r="O107" s="6"/>
      <c r="P107" s="6"/>
      <c r="Q107" s="18"/>
      <c r="R107" s="18"/>
      <c r="S107" s="18"/>
      <c r="T107" s="6"/>
      <c r="U107" s="6"/>
      <c r="V107" s="6"/>
      <c r="W107" s="6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17.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6"/>
      <c r="N108" s="6"/>
      <c r="O108" s="6"/>
      <c r="P108" s="6"/>
      <c r="Q108" s="7"/>
      <c r="R108" s="6"/>
      <c r="S108" s="6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17.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6"/>
      <c r="N109" s="6"/>
      <c r="O109" s="6"/>
      <c r="P109" s="6"/>
      <c r="Q109" s="6"/>
      <c r="R109" s="6"/>
      <c r="S109" s="6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17.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6"/>
      <c r="N110" s="6"/>
      <c r="O110" s="6"/>
      <c r="P110" s="6"/>
      <c r="Q110" s="6"/>
      <c r="R110" s="6"/>
      <c r="S110" s="6"/>
      <c r="T110" s="7"/>
      <c r="U110" s="6"/>
      <c r="V110" s="6"/>
      <c r="W110" s="6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17.5" customHeight="1" x14ac:dyDescent="0.2">
      <c r="A111" s="7"/>
      <c r="B111" s="7"/>
      <c r="C111" s="7"/>
      <c r="D111" s="7"/>
      <c r="E111" s="7"/>
      <c r="F111" s="7"/>
      <c r="G111" s="7"/>
      <c r="H111" s="7" t="s">
        <v>0</v>
      </c>
      <c r="I111" s="7" t="s">
        <v>1</v>
      </c>
      <c r="J111" s="7" t="s">
        <v>2</v>
      </c>
      <c r="K111" s="7" t="s">
        <v>3</v>
      </c>
      <c r="L111" s="7" t="s">
        <v>4</v>
      </c>
      <c r="M111" s="6" t="s">
        <v>5</v>
      </c>
      <c r="N111" s="6" t="s">
        <v>6</v>
      </c>
      <c r="O111" s="6" t="s">
        <v>7</v>
      </c>
      <c r="P111" s="6" t="s">
        <v>8</v>
      </c>
      <c r="Q111" s="7"/>
      <c r="R111" s="6"/>
      <c r="S111" s="6"/>
      <c r="T111" s="7"/>
      <c r="U111" s="6"/>
      <c r="V111" s="6"/>
      <c r="W111" s="6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17.5" customHeight="1" x14ac:dyDescent="0.2">
      <c r="A112" s="7"/>
      <c r="B112" s="7"/>
      <c r="C112" s="7"/>
      <c r="D112" s="7"/>
      <c r="E112" s="7"/>
      <c r="F112" s="7"/>
      <c r="G112" s="7"/>
      <c r="H112" s="7" t="s">
        <v>1052</v>
      </c>
      <c r="I112" s="7" t="s">
        <v>1053</v>
      </c>
      <c r="J112" s="7" t="s">
        <v>12</v>
      </c>
      <c r="K112" s="7" t="s">
        <v>13</v>
      </c>
      <c r="L112" s="7">
        <v>1880</v>
      </c>
      <c r="M112" s="6">
        <v>41</v>
      </c>
      <c r="N112" s="6" t="s">
        <v>1054</v>
      </c>
      <c r="O112" s="6" t="s">
        <v>1055</v>
      </c>
      <c r="P112" s="6" t="s">
        <v>8</v>
      </c>
      <c r="Q112" s="7"/>
      <c r="R112" s="6"/>
      <c r="S112" s="6"/>
      <c r="T112" s="7"/>
      <c r="U112" s="6"/>
      <c r="V112" s="6"/>
      <c r="W112" s="6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17.5" customHeight="1" x14ac:dyDescent="0.2">
      <c r="A113" s="7"/>
      <c r="B113" s="7"/>
      <c r="C113" s="7"/>
      <c r="D113" s="7"/>
      <c r="E113" s="7"/>
      <c r="F113" s="7"/>
      <c r="G113" s="7"/>
      <c r="H113" s="7" t="s">
        <v>326</v>
      </c>
      <c r="I113" s="7" t="s">
        <v>1053</v>
      </c>
      <c r="J113" s="7" t="s">
        <v>18</v>
      </c>
      <c r="K113" s="7" t="s">
        <v>19</v>
      </c>
      <c r="L113" s="7">
        <v>1881</v>
      </c>
      <c r="M113" s="6">
        <v>40</v>
      </c>
      <c r="N113" s="6" t="s">
        <v>1056</v>
      </c>
      <c r="O113" s="6" t="s">
        <v>20</v>
      </c>
      <c r="P113" s="6" t="s">
        <v>20</v>
      </c>
      <c r="Q113" s="7"/>
      <c r="R113" s="6"/>
      <c r="S113" s="6"/>
      <c r="T113" s="7"/>
      <c r="U113" s="6"/>
      <c r="V113" s="6"/>
      <c r="W113" s="6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ht="17.5" customHeight="1" x14ac:dyDescent="0.2">
      <c r="A114" s="7"/>
      <c r="B114" s="7"/>
      <c r="C114" s="7"/>
      <c r="D114" s="7"/>
      <c r="E114" s="7"/>
      <c r="F114" s="7"/>
      <c r="G114" s="7"/>
      <c r="H114" s="7" t="s">
        <v>676</v>
      </c>
      <c r="I114" s="7" t="s">
        <v>1053</v>
      </c>
      <c r="J114" s="7" t="s">
        <v>51</v>
      </c>
      <c r="K114" s="7" t="s">
        <v>13</v>
      </c>
      <c r="L114" s="7">
        <v>1904</v>
      </c>
      <c r="M114" s="6">
        <v>17</v>
      </c>
      <c r="N114" s="6" t="s">
        <v>140</v>
      </c>
      <c r="O114" s="6" t="s">
        <v>20</v>
      </c>
      <c r="P114" s="6" t="s">
        <v>20</v>
      </c>
      <c r="Q114" s="7"/>
      <c r="R114" s="6"/>
      <c r="S114" s="6"/>
      <c r="T114" s="7"/>
      <c r="U114" s="6"/>
      <c r="V114" s="6"/>
      <c r="W114" s="6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ht="17" customHeight="1" x14ac:dyDescent="0.2">
      <c r="A115" s="7"/>
      <c r="B115" s="7"/>
      <c r="C115" s="7"/>
      <c r="D115" s="7"/>
      <c r="E115" s="7"/>
      <c r="F115" s="7"/>
      <c r="G115" s="7"/>
      <c r="H115" s="7" t="s">
        <v>24</v>
      </c>
      <c r="I115" s="7" t="s">
        <v>1053</v>
      </c>
      <c r="J115" s="7" t="s">
        <v>22</v>
      </c>
      <c r="K115" s="7" t="s">
        <v>19</v>
      </c>
      <c r="L115" s="7">
        <v>1905</v>
      </c>
      <c r="M115" s="7">
        <v>15</v>
      </c>
      <c r="N115" s="7" t="s">
        <v>1056</v>
      </c>
      <c r="O115" s="7" t="s">
        <v>20</v>
      </c>
      <c r="P115" s="7" t="s">
        <v>20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ht="17.5" customHeight="1" x14ac:dyDescent="0.2">
      <c r="A116" s="7"/>
      <c r="B116" s="7"/>
      <c r="C116" s="7"/>
      <c r="D116" s="7"/>
      <c r="E116" s="7"/>
      <c r="F116" s="7"/>
      <c r="G116" s="7"/>
      <c r="H116" s="7" t="s">
        <v>345</v>
      </c>
      <c r="I116" s="7" t="s">
        <v>1053</v>
      </c>
      <c r="J116" s="7" t="s">
        <v>22</v>
      </c>
      <c r="K116" s="7" t="s">
        <v>19</v>
      </c>
      <c r="L116" s="7">
        <v>1906</v>
      </c>
      <c r="M116" s="6">
        <v>14</v>
      </c>
      <c r="N116" s="6" t="s">
        <v>1056</v>
      </c>
      <c r="O116" s="6" t="s">
        <v>20</v>
      </c>
      <c r="P116" s="6" t="s">
        <v>20</v>
      </c>
      <c r="Q116" s="7"/>
      <c r="R116" s="6"/>
      <c r="S116" s="6"/>
      <c r="T116" s="19"/>
      <c r="U116" s="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ht="17.5" customHeight="1" x14ac:dyDescent="0.2">
      <c r="A117" s="7"/>
      <c r="B117" s="7"/>
      <c r="C117" s="7"/>
      <c r="D117" s="7"/>
      <c r="E117" s="7"/>
      <c r="F117" s="7"/>
      <c r="G117" s="7"/>
      <c r="H117" s="7" t="s">
        <v>1057</v>
      </c>
      <c r="I117" s="7" t="s">
        <v>1053</v>
      </c>
      <c r="J117" s="7" t="s">
        <v>51</v>
      </c>
      <c r="K117" s="7" t="s">
        <v>13</v>
      </c>
      <c r="L117" s="7">
        <v>1908</v>
      </c>
      <c r="M117" s="6">
        <v>13</v>
      </c>
      <c r="N117" s="6" t="s">
        <v>1056</v>
      </c>
      <c r="O117" s="6" t="s">
        <v>20</v>
      </c>
      <c r="P117" s="6" t="s">
        <v>20</v>
      </c>
      <c r="Q117" s="7"/>
      <c r="R117" s="6"/>
      <c r="S117" s="6"/>
      <c r="T117" s="7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ht="17.5" customHeight="1" x14ac:dyDescent="0.2">
      <c r="A118" s="7"/>
      <c r="B118" s="7"/>
      <c r="C118" s="7"/>
      <c r="D118" s="7"/>
      <c r="E118" s="7"/>
      <c r="F118" s="7"/>
      <c r="G118" s="7"/>
      <c r="H118" s="7" t="s">
        <v>919</v>
      </c>
      <c r="I118" s="7" t="s">
        <v>1053</v>
      </c>
      <c r="J118" s="7" t="s">
        <v>51</v>
      </c>
      <c r="K118" s="7" t="s">
        <v>13</v>
      </c>
      <c r="L118" s="7">
        <v>1909</v>
      </c>
      <c r="M118" s="6">
        <v>11</v>
      </c>
      <c r="N118" s="6" t="s">
        <v>1058</v>
      </c>
      <c r="O118" s="6" t="s">
        <v>20</v>
      </c>
      <c r="P118" s="6" t="s">
        <v>20</v>
      </c>
      <c r="Q118" s="7"/>
      <c r="R118" s="6"/>
      <c r="S118" s="6"/>
      <c r="T118" s="7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ht="17.5" customHeight="1" x14ac:dyDescent="0.2">
      <c r="A119" s="7"/>
      <c r="B119" s="7"/>
      <c r="C119" s="7"/>
      <c r="D119" s="7"/>
      <c r="E119" s="7"/>
      <c r="F119" s="7"/>
      <c r="G119" s="7"/>
      <c r="H119" s="7" t="s">
        <v>1059</v>
      </c>
      <c r="I119" s="7" t="s">
        <v>1053</v>
      </c>
      <c r="J119" s="7" t="s">
        <v>51</v>
      </c>
      <c r="K119" s="7" t="s">
        <v>13</v>
      </c>
      <c r="L119" s="7">
        <v>1911</v>
      </c>
      <c r="M119" s="6">
        <v>9</v>
      </c>
      <c r="N119" s="6" t="s">
        <v>49</v>
      </c>
      <c r="O119" s="6" t="s">
        <v>20</v>
      </c>
      <c r="P119" s="6" t="s">
        <v>20</v>
      </c>
      <c r="Q119" s="7"/>
      <c r="R119" s="6"/>
      <c r="S119" s="6"/>
      <c r="T119" s="19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ht="17.5" customHeight="1" x14ac:dyDescent="0.2">
      <c r="A120" s="7"/>
      <c r="B120" s="7"/>
      <c r="C120" s="7"/>
      <c r="D120" s="7"/>
      <c r="E120" s="7"/>
      <c r="F120" s="7"/>
      <c r="G120" s="7"/>
      <c r="H120" s="7" t="s">
        <v>1060</v>
      </c>
      <c r="I120" s="7" t="s">
        <v>1053</v>
      </c>
      <c r="J120" s="7" t="s">
        <v>22</v>
      </c>
      <c r="K120" s="7" t="s">
        <v>19</v>
      </c>
      <c r="L120" s="7">
        <v>1913</v>
      </c>
      <c r="M120" s="6">
        <v>7</v>
      </c>
      <c r="N120" s="6" t="s">
        <v>49</v>
      </c>
      <c r="O120" s="6" t="s">
        <v>20</v>
      </c>
      <c r="P120" s="6" t="s">
        <v>20</v>
      </c>
      <c r="Q120" s="7"/>
      <c r="R120" s="6"/>
      <c r="S120" s="6"/>
      <c r="T120" s="7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ht="17.5" customHeight="1" x14ac:dyDescent="0.2">
      <c r="A121" s="7"/>
      <c r="B121" s="7"/>
      <c r="C121" s="7"/>
      <c r="D121" s="7"/>
      <c r="E121" s="7"/>
      <c r="F121" s="7"/>
      <c r="G121" s="7"/>
      <c r="H121" s="7" t="s">
        <v>1061</v>
      </c>
      <c r="I121" s="7" t="s">
        <v>1053</v>
      </c>
      <c r="J121" s="7" t="s">
        <v>22</v>
      </c>
      <c r="K121" s="7" t="s">
        <v>19</v>
      </c>
      <c r="L121" s="7">
        <v>1921</v>
      </c>
      <c r="M121" s="6" t="s">
        <v>20</v>
      </c>
      <c r="N121" s="6" t="s">
        <v>49</v>
      </c>
      <c r="O121" s="6" t="s">
        <v>20</v>
      </c>
      <c r="P121" s="6" t="s">
        <v>20</v>
      </c>
      <c r="Q121" s="7"/>
      <c r="R121" s="6"/>
      <c r="S121" s="6"/>
      <c r="T121" s="7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ht="17.5" customHeight="1" x14ac:dyDescent="0.2">
      <c r="A122" s="7"/>
      <c r="B122" s="7"/>
      <c r="C122" s="7"/>
      <c r="D122" s="7"/>
      <c r="E122" s="7"/>
      <c r="F122" s="7"/>
      <c r="G122" s="7"/>
      <c r="H122" s="7" t="s">
        <v>829</v>
      </c>
      <c r="I122" s="7" t="s">
        <v>1062</v>
      </c>
      <c r="J122" s="7" t="s">
        <v>26</v>
      </c>
      <c r="K122" s="7" t="s">
        <v>19</v>
      </c>
      <c r="L122" s="7">
        <v>1895</v>
      </c>
      <c r="M122" s="6">
        <v>26</v>
      </c>
      <c r="N122" s="6" t="s">
        <v>20</v>
      </c>
      <c r="O122" s="6" t="s">
        <v>344</v>
      </c>
      <c r="P122" s="6" t="s">
        <v>29</v>
      </c>
      <c r="Q122" s="7"/>
      <c r="R122" s="6"/>
      <c r="S122" s="6"/>
      <c r="T122" s="7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4" spans="1:51" ht="17" customHeight="1" x14ac:dyDescent="0.2">
      <c r="A124" s="4"/>
      <c r="B124" s="7"/>
      <c r="C124" s="7"/>
      <c r="D124" s="7"/>
      <c r="E124" s="7"/>
      <c r="F124" s="7"/>
      <c r="G124" s="7"/>
      <c r="H124" s="7" t="s">
        <v>0</v>
      </c>
      <c r="I124" s="7" t="s">
        <v>1</v>
      </c>
      <c r="J124" s="7" t="s">
        <v>2</v>
      </c>
      <c r="K124" s="7" t="s">
        <v>3</v>
      </c>
      <c r="L124" s="7" t="s">
        <v>4</v>
      </c>
      <c r="M124" s="7" t="s">
        <v>5</v>
      </c>
      <c r="N124" s="7" t="s">
        <v>6</v>
      </c>
      <c r="O124" s="7" t="s">
        <v>7</v>
      </c>
      <c r="P124" s="7" t="s">
        <v>8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ht="17" customHeight="1" x14ac:dyDescent="0.2">
      <c r="A125" s="7"/>
      <c r="B125" s="7"/>
      <c r="C125" s="7"/>
      <c r="D125" s="7"/>
      <c r="E125" s="7"/>
      <c r="F125" s="7"/>
      <c r="G125" s="21"/>
      <c r="H125" s="21" t="s">
        <v>939</v>
      </c>
      <c r="I125" s="21" t="s">
        <v>1063</v>
      </c>
      <c r="J125" s="7" t="s">
        <v>12</v>
      </c>
      <c r="K125" s="7" t="s">
        <v>13</v>
      </c>
      <c r="L125" s="7">
        <v>1880</v>
      </c>
      <c r="M125" s="7">
        <v>41</v>
      </c>
      <c r="N125" s="7" t="s">
        <v>1064</v>
      </c>
      <c r="O125" s="7" t="s">
        <v>1065</v>
      </c>
      <c r="P125" s="7" t="s">
        <v>1066</v>
      </c>
      <c r="Q125" s="20"/>
      <c r="R125" s="21"/>
      <c r="S125" s="21"/>
      <c r="T125" s="21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ht="17.5" customHeight="1" x14ac:dyDescent="0.2">
      <c r="A126" s="7"/>
      <c r="B126" s="7"/>
      <c r="C126" s="7"/>
      <c r="D126" s="7"/>
      <c r="E126" s="7"/>
      <c r="F126" s="7"/>
      <c r="G126" s="7"/>
      <c r="H126" s="7" t="s">
        <v>1067</v>
      </c>
      <c r="I126" s="7" t="s">
        <v>1063</v>
      </c>
      <c r="J126" s="7" t="s">
        <v>18</v>
      </c>
      <c r="K126" s="7" t="s">
        <v>19</v>
      </c>
      <c r="L126" s="7">
        <v>1880</v>
      </c>
      <c r="M126" s="7">
        <v>41</v>
      </c>
      <c r="N126" s="7" t="s">
        <v>1068</v>
      </c>
      <c r="O126" s="7" t="s">
        <v>50</v>
      </c>
      <c r="P126" s="7" t="s">
        <v>20</v>
      </c>
      <c r="Q126" s="7"/>
      <c r="R126" s="6"/>
      <c r="S126" s="6"/>
      <c r="T126" s="19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ht="17" customHeight="1" x14ac:dyDescent="0.2">
      <c r="A127" s="7"/>
      <c r="B127" s="7"/>
      <c r="C127" s="7"/>
      <c r="D127" s="7"/>
      <c r="E127" s="7"/>
      <c r="F127" s="7"/>
      <c r="G127" s="7"/>
      <c r="H127" s="7" t="s">
        <v>1069</v>
      </c>
      <c r="I127" s="7" t="s">
        <v>1070</v>
      </c>
      <c r="J127" s="7" t="s">
        <v>26</v>
      </c>
      <c r="K127" s="7" t="s">
        <v>19</v>
      </c>
      <c r="L127" s="7">
        <v>1902</v>
      </c>
      <c r="M127" s="7">
        <v>18</v>
      </c>
      <c r="N127" s="7" t="s">
        <v>14</v>
      </c>
      <c r="O127" s="7" t="s">
        <v>56</v>
      </c>
      <c r="P127" s="7" t="s">
        <v>1071</v>
      </c>
      <c r="Q127" s="7"/>
      <c r="R127" s="21"/>
      <c r="S127" s="21"/>
      <c r="T127" s="21"/>
      <c r="U127" s="7"/>
      <c r="V127" s="7"/>
      <c r="W127" s="7"/>
      <c r="X127" s="7"/>
      <c r="Y127" s="7"/>
      <c r="Z127" s="7"/>
      <c r="AA127" s="7"/>
      <c r="AB127" s="7"/>
      <c r="AC127" s="22"/>
      <c r="AD127" s="22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ht="17.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6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8:16" x14ac:dyDescent="0.2">
      <c r="H129" t="s">
        <v>0</v>
      </c>
      <c r="I129" t="s">
        <v>1</v>
      </c>
      <c r="J129" t="s">
        <v>2</v>
      </c>
      <c r="K129" t="s">
        <v>3</v>
      </c>
      <c r="L129" t="s">
        <v>4</v>
      </c>
      <c r="M129" t="s">
        <v>5</v>
      </c>
      <c r="N129" t="s">
        <v>6</v>
      </c>
      <c r="O129" t="s">
        <v>7</v>
      </c>
      <c r="P129" t="s">
        <v>8</v>
      </c>
    </row>
    <row r="130" spans="8:16" x14ac:dyDescent="0.2">
      <c r="H130" t="s">
        <v>132</v>
      </c>
      <c r="I130" t="s">
        <v>1072</v>
      </c>
      <c r="J130" t="s">
        <v>12</v>
      </c>
      <c r="K130" t="s">
        <v>19</v>
      </c>
      <c r="L130">
        <v>1890</v>
      </c>
      <c r="M130">
        <v>30</v>
      </c>
      <c r="N130" t="s">
        <v>1073</v>
      </c>
      <c r="O130" t="s">
        <v>20</v>
      </c>
      <c r="P130" t="s">
        <v>20</v>
      </c>
    </row>
    <row r="131" spans="8:16" x14ac:dyDescent="0.2">
      <c r="H131" t="s">
        <v>1074</v>
      </c>
      <c r="I131" t="s">
        <v>1072</v>
      </c>
      <c r="J131" t="s">
        <v>51</v>
      </c>
      <c r="K131" t="s">
        <v>13</v>
      </c>
      <c r="L131">
        <v>1917</v>
      </c>
      <c r="M131">
        <v>3</v>
      </c>
      <c r="N131" t="s">
        <v>983</v>
      </c>
      <c r="O131" t="s">
        <v>20</v>
      </c>
      <c r="P131" t="s">
        <v>20</v>
      </c>
    </row>
    <row r="132" spans="8:16" x14ac:dyDescent="0.2">
      <c r="H132" t="s">
        <v>1012</v>
      </c>
      <c r="I132" t="s">
        <v>185</v>
      </c>
      <c r="J132" t="s">
        <v>58</v>
      </c>
      <c r="K132" t="s">
        <v>13</v>
      </c>
      <c r="L132">
        <v>1864</v>
      </c>
      <c r="M132">
        <v>57</v>
      </c>
      <c r="N132" t="s">
        <v>1075</v>
      </c>
      <c r="O132" t="s">
        <v>1076</v>
      </c>
      <c r="P132" t="s">
        <v>1077</v>
      </c>
    </row>
    <row r="133" spans="8:16" x14ac:dyDescent="0.2">
      <c r="H133" t="s">
        <v>1078</v>
      </c>
      <c r="I133" t="s">
        <v>1079</v>
      </c>
      <c r="J133" t="s">
        <v>26</v>
      </c>
      <c r="K133" t="s">
        <v>19</v>
      </c>
      <c r="L133">
        <v>1892</v>
      </c>
      <c r="M133">
        <v>28</v>
      </c>
      <c r="N133" t="s">
        <v>1080</v>
      </c>
      <c r="O133" t="s">
        <v>934</v>
      </c>
      <c r="P133" t="s">
        <v>29</v>
      </c>
    </row>
    <row r="134" spans="8:16" x14ac:dyDescent="0.2">
      <c r="H134" t="s">
        <v>1081</v>
      </c>
      <c r="I134" t="s">
        <v>1082</v>
      </c>
      <c r="J134" t="s">
        <v>26</v>
      </c>
      <c r="K134" t="s">
        <v>19</v>
      </c>
      <c r="L134">
        <v>1885</v>
      </c>
      <c r="M134">
        <v>35</v>
      </c>
      <c r="N134" t="s">
        <v>1083</v>
      </c>
      <c r="O134" t="s">
        <v>33</v>
      </c>
      <c r="P134" t="s">
        <v>29</v>
      </c>
    </row>
    <row r="135" spans="8:16" x14ac:dyDescent="0.2">
      <c r="H135" t="s">
        <v>702</v>
      </c>
      <c r="I135" t="s">
        <v>1084</v>
      </c>
      <c r="J135" t="s">
        <v>26</v>
      </c>
      <c r="K135" t="s">
        <v>19</v>
      </c>
      <c r="L135">
        <v>1879</v>
      </c>
      <c r="M135">
        <v>41</v>
      </c>
      <c r="N135" t="s">
        <v>14</v>
      </c>
      <c r="O135" t="s">
        <v>360</v>
      </c>
      <c r="P135" t="s">
        <v>29</v>
      </c>
    </row>
    <row r="137" spans="8:16" x14ac:dyDescent="0.2">
      <c r="H137" t="s">
        <v>0</v>
      </c>
      <c r="I137" t="s">
        <v>1</v>
      </c>
      <c r="J137" t="s">
        <v>2</v>
      </c>
      <c r="K137" t="s">
        <v>3</v>
      </c>
      <c r="L137" t="s">
        <v>4</v>
      </c>
      <c r="M137" t="s">
        <v>5</v>
      </c>
      <c r="N137" t="s">
        <v>6</v>
      </c>
      <c r="O137" t="s">
        <v>7</v>
      </c>
      <c r="P137" t="s">
        <v>8</v>
      </c>
    </row>
    <row r="138" spans="8:16" x14ac:dyDescent="0.2">
      <c r="H138" t="s">
        <v>1085</v>
      </c>
      <c r="I138" t="s">
        <v>1086</v>
      </c>
      <c r="J138" t="s">
        <v>12</v>
      </c>
      <c r="K138" t="s">
        <v>13</v>
      </c>
      <c r="L138">
        <v>1858</v>
      </c>
      <c r="M138">
        <v>63</v>
      </c>
      <c r="N138" t="s">
        <v>1087</v>
      </c>
      <c r="O138" t="s">
        <v>1088</v>
      </c>
      <c r="P138" t="s">
        <v>20</v>
      </c>
    </row>
    <row r="139" spans="8:16" x14ac:dyDescent="0.2">
      <c r="H139" t="s">
        <v>1089</v>
      </c>
      <c r="I139" t="s">
        <v>1086</v>
      </c>
      <c r="J139" t="s">
        <v>18</v>
      </c>
      <c r="K139" t="s">
        <v>19</v>
      </c>
      <c r="L139">
        <v>1856</v>
      </c>
      <c r="M139">
        <v>65</v>
      </c>
      <c r="N139" t="s">
        <v>14</v>
      </c>
      <c r="O139" t="s">
        <v>1090</v>
      </c>
      <c r="P139" t="s">
        <v>20</v>
      </c>
    </row>
    <row r="140" spans="8:16" x14ac:dyDescent="0.2">
      <c r="H140" t="s">
        <v>1091</v>
      </c>
      <c r="I140" t="s">
        <v>328</v>
      </c>
      <c r="J140" t="s">
        <v>910</v>
      </c>
      <c r="K140" t="s">
        <v>19</v>
      </c>
      <c r="L140">
        <v>1892</v>
      </c>
      <c r="M140">
        <v>28</v>
      </c>
      <c r="N140" t="s">
        <v>1092</v>
      </c>
      <c r="O140" t="s">
        <v>1093</v>
      </c>
      <c r="P140" t="s">
        <v>29</v>
      </c>
    </row>
    <row r="141" spans="8:16" x14ac:dyDescent="0.2">
      <c r="H141" t="s">
        <v>704</v>
      </c>
      <c r="I141" t="s">
        <v>1094</v>
      </c>
      <c r="J141" t="s">
        <v>721</v>
      </c>
      <c r="K141" t="s">
        <v>19</v>
      </c>
      <c r="L141">
        <v>1904</v>
      </c>
      <c r="M141">
        <v>17</v>
      </c>
      <c r="N141" t="s">
        <v>212</v>
      </c>
      <c r="O141" t="s">
        <v>137</v>
      </c>
      <c r="P141" t="s">
        <v>29</v>
      </c>
    </row>
    <row r="142" spans="8:16" x14ac:dyDescent="0.2">
      <c r="H142" t="s">
        <v>1095</v>
      </c>
      <c r="I142" t="s">
        <v>1096</v>
      </c>
      <c r="J142" t="s">
        <v>437</v>
      </c>
      <c r="K142" t="s">
        <v>19</v>
      </c>
      <c r="L142">
        <v>1887</v>
      </c>
      <c r="M142">
        <v>33</v>
      </c>
      <c r="N142" t="s">
        <v>1073</v>
      </c>
      <c r="O142" t="s">
        <v>1097</v>
      </c>
      <c r="P142" t="s">
        <v>29</v>
      </c>
    </row>
    <row r="144" spans="8:16" x14ac:dyDescent="0.2">
      <c r="H144" t="s">
        <v>0</v>
      </c>
      <c r="I144" t="s">
        <v>1</v>
      </c>
      <c r="J144" t="s">
        <v>2</v>
      </c>
      <c r="K144" t="s">
        <v>3</v>
      </c>
      <c r="L144" t="s">
        <v>4</v>
      </c>
      <c r="M144" t="s">
        <v>5</v>
      </c>
      <c r="N144" t="s">
        <v>6</v>
      </c>
      <c r="O144" t="s">
        <v>7</v>
      </c>
      <c r="P144" t="s">
        <v>8</v>
      </c>
    </row>
    <row r="145" spans="7:16" x14ac:dyDescent="0.2">
      <c r="H145" t="s">
        <v>1098</v>
      </c>
      <c r="I145" t="s">
        <v>1099</v>
      </c>
      <c r="J145" t="s">
        <v>12</v>
      </c>
      <c r="K145" t="s">
        <v>19</v>
      </c>
      <c r="L145">
        <v>1836</v>
      </c>
      <c r="M145">
        <v>85</v>
      </c>
      <c r="N145" t="s">
        <v>929</v>
      </c>
      <c r="O145" t="s">
        <v>20</v>
      </c>
      <c r="P145" t="s">
        <v>20</v>
      </c>
    </row>
    <row r="146" spans="7:16" x14ac:dyDescent="0.2">
      <c r="H146" t="s">
        <v>1100</v>
      </c>
      <c r="I146" t="s">
        <v>1101</v>
      </c>
      <c r="J146" t="s">
        <v>26</v>
      </c>
      <c r="K146" t="s">
        <v>19</v>
      </c>
      <c r="L146">
        <v>1867</v>
      </c>
      <c r="M146">
        <v>53</v>
      </c>
      <c r="N146" t="s">
        <v>1102</v>
      </c>
      <c r="O146" t="s">
        <v>1103</v>
      </c>
      <c r="P146" t="s">
        <v>29</v>
      </c>
    </row>
    <row r="148" spans="7:16" x14ac:dyDescent="0.2">
      <c r="H148" t="s">
        <v>0</v>
      </c>
      <c r="I148" t="s">
        <v>1</v>
      </c>
      <c r="J148" t="s">
        <v>2</v>
      </c>
      <c r="K148" t="s">
        <v>3</v>
      </c>
      <c r="L148" t="s">
        <v>4</v>
      </c>
      <c r="M148" t="s">
        <v>5</v>
      </c>
      <c r="N148" t="s">
        <v>6</v>
      </c>
      <c r="O148" t="s">
        <v>7</v>
      </c>
      <c r="P148" t="s">
        <v>8</v>
      </c>
    </row>
    <row r="149" spans="7:16" x14ac:dyDescent="0.2">
      <c r="H149" t="s">
        <v>386</v>
      </c>
      <c r="I149" t="s">
        <v>1104</v>
      </c>
      <c r="J149" t="s">
        <v>12</v>
      </c>
      <c r="K149" t="s">
        <v>13</v>
      </c>
      <c r="L149">
        <v>1857</v>
      </c>
      <c r="M149">
        <v>64</v>
      </c>
      <c r="N149" t="s">
        <v>49</v>
      </c>
      <c r="O149" t="s">
        <v>1105</v>
      </c>
      <c r="P149" t="s">
        <v>1106</v>
      </c>
    </row>
    <row r="150" spans="7:16" x14ac:dyDescent="0.2">
      <c r="H150" t="s">
        <v>1107</v>
      </c>
      <c r="I150" t="s">
        <v>1104</v>
      </c>
      <c r="J150" t="s">
        <v>18</v>
      </c>
      <c r="K150" t="s">
        <v>19</v>
      </c>
      <c r="L150">
        <v>1854</v>
      </c>
      <c r="M150">
        <v>67</v>
      </c>
      <c r="N150" t="s">
        <v>49</v>
      </c>
      <c r="O150" t="s">
        <v>20</v>
      </c>
      <c r="P150" t="s">
        <v>20</v>
      </c>
    </row>
    <row r="151" spans="7:16" x14ac:dyDescent="0.2">
      <c r="H151" t="s">
        <v>345</v>
      </c>
      <c r="I151" t="s">
        <v>1104</v>
      </c>
      <c r="J151" t="s">
        <v>22</v>
      </c>
      <c r="K151" t="s">
        <v>19</v>
      </c>
      <c r="L151">
        <v>1880</v>
      </c>
      <c r="M151">
        <v>40</v>
      </c>
      <c r="N151" t="s">
        <v>49</v>
      </c>
      <c r="O151" t="s">
        <v>173</v>
      </c>
      <c r="P151" t="s">
        <v>1108</v>
      </c>
    </row>
    <row r="152" spans="7:16" x14ac:dyDescent="0.2">
      <c r="H152" t="s">
        <v>1109</v>
      </c>
      <c r="I152" t="s">
        <v>1104</v>
      </c>
      <c r="J152" t="s">
        <v>22</v>
      </c>
      <c r="K152" t="s">
        <v>19</v>
      </c>
      <c r="L152">
        <v>1891</v>
      </c>
      <c r="M152">
        <v>29</v>
      </c>
      <c r="N152" t="s">
        <v>49</v>
      </c>
      <c r="O152" t="s">
        <v>1110</v>
      </c>
      <c r="P152" t="s">
        <v>1111</v>
      </c>
    </row>
    <row r="154" spans="7:16" x14ac:dyDescent="0.2">
      <c r="H154" t="s">
        <v>0</v>
      </c>
      <c r="I154" t="s">
        <v>1</v>
      </c>
      <c r="J154" t="s">
        <v>2</v>
      </c>
      <c r="K154" t="s">
        <v>3</v>
      </c>
      <c r="L154" t="s">
        <v>4</v>
      </c>
      <c r="M154" t="s">
        <v>5</v>
      </c>
      <c r="N154" t="s">
        <v>6</v>
      </c>
      <c r="O154" t="s">
        <v>7</v>
      </c>
      <c r="P154" t="s">
        <v>8</v>
      </c>
    </row>
    <row r="155" spans="7:16" x14ac:dyDescent="0.2">
      <c r="H155" t="s">
        <v>1112</v>
      </c>
      <c r="I155" t="s">
        <v>1113</v>
      </c>
      <c r="J155" t="s">
        <v>12</v>
      </c>
      <c r="K155" t="s">
        <v>13</v>
      </c>
      <c r="L155">
        <v>1878</v>
      </c>
      <c r="M155">
        <v>43</v>
      </c>
      <c r="N155" t="s">
        <v>1114</v>
      </c>
      <c r="O155" t="s">
        <v>472</v>
      </c>
      <c r="P155" t="s">
        <v>1115</v>
      </c>
    </row>
    <row r="156" spans="7:16" x14ac:dyDescent="0.2">
      <c r="H156" t="s">
        <v>1116</v>
      </c>
      <c r="I156" t="s">
        <v>1117</v>
      </c>
      <c r="J156" t="s">
        <v>26</v>
      </c>
      <c r="K156" t="s">
        <v>19</v>
      </c>
      <c r="L156">
        <v>1896</v>
      </c>
      <c r="M156">
        <v>24</v>
      </c>
      <c r="N156" t="s">
        <v>739</v>
      </c>
      <c r="O156" t="s">
        <v>344</v>
      </c>
      <c r="P156" t="s">
        <v>29</v>
      </c>
    </row>
    <row r="158" spans="7:16" x14ac:dyDescent="0.2">
      <c r="H158" t="s">
        <v>0</v>
      </c>
      <c r="I158" t="s">
        <v>1</v>
      </c>
      <c r="J158" t="s">
        <v>2</v>
      </c>
      <c r="K158" t="s">
        <v>3</v>
      </c>
      <c r="L158" t="s">
        <v>4</v>
      </c>
      <c r="M158" t="s">
        <v>5</v>
      </c>
      <c r="N158" t="s">
        <v>6</v>
      </c>
      <c r="O158" t="s">
        <v>7</v>
      </c>
      <c r="P158" t="s">
        <v>8</v>
      </c>
    </row>
    <row r="159" spans="7:16" x14ac:dyDescent="0.2">
      <c r="G159" t="s">
        <v>1152</v>
      </c>
      <c r="H159" t="s">
        <v>1118</v>
      </c>
      <c r="I159" t="s">
        <v>448</v>
      </c>
      <c r="J159" t="s">
        <v>12</v>
      </c>
      <c r="K159" t="s">
        <v>13</v>
      </c>
      <c r="L159">
        <v>1864</v>
      </c>
      <c r="M159">
        <v>57</v>
      </c>
      <c r="N159" t="s">
        <v>1119</v>
      </c>
      <c r="O159" t="s">
        <v>1120</v>
      </c>
      <c r="P159" t="s">
        <v>1121</v>
      </c>
    </row>
    <row r="160" spans="7:16" x14ac:dyDescent="0.2">
      <c r="H160" t="s">
        <v>318</v>
      </c>
      <c r="I160" t="s">
        <v>448</v>
      </c>
      <c r="J160" t="s">
        <v>18</v>
      </c>
      <c r="K160" t="s">
        <v>19</v>
      </c>
      <c r="L160">
        <v>1863</v>
      </c>
      <c r="M160">
        <v>58</v>
      </c>
      <c r="N160" t="s">
        <v>1122</v>
      </c>
      <c r="O160" t="s">
        <v>18</v>
      </c>
      <c r="P160" t="s">
        <v>489</v>
      </c>
    </row>
    <row r="161" spans="7:16" x14ac:dyDescent="0.2">
      <c r="H161" t="s">
        <v>1123</v>
      </c>
      <c r="I161" t="s">
        <v>448</v>
      </c>
      <c r="J161" t="s">
        <v>58</v>
      </c>
      <c r="K161" t="s">
        <v>13</v>
      </c>
      <c r="L161">
        <v>1890</v>
      </c>
      <c r="M161">
        <v>30</v>
      </c>
      <c r="N161" t="s">
        <v>49</v>
      </c>
      <c r="O161" t="s">
        <v>1124</v>
      </c>
      <c r="P161" t="s">
        <v>1125</v>
      </c>
    </row>
    <row r="162" spans="7:16" x14ac:dyDescent="0.2">
      <c r="H162" t="s">
        <v>1126</v>
      </c>
      <c r="I162" t="s">
        <v>448</v>
      </c>
      <c r="J162" t="s">
        <v>58</v>
      </c>
      <c r="K162" t="s">
        <v>19</v>
      </c>
      <c r="L162">
        <v>1893</v>
      </c>
      <c r="M162">
        <v>28</v>
      </c>
      <c r="N162" t="s">
        <v>1127</v>
      </c>
      <c r="O162" t="s">
        <v>18</v>
      </c>
      <c r="P162" t="s">
        <v>489</v>
      </c>
    </row>
    <row r="163" spans="7:16" x14ac:dyDescent="0.2">
      <c r="H163" t="s">
        <v>130</v>
      </c>
      <c r="I163" t="s">
        <v>1128</v>
      </c>
      <c r="J163" t="s">
        <v>60</v>
      </c>
      <c r="K163" t="s">
        <v>19</v>
      </c>
      <c r="L163">
        <v>1873</v>
      </c>
      <c r="M163">
        <v>47</v>
      </c>
      <c r="N163" t="s">
        <v>49</v>
      </c>
      <c r="O163" t="s">
        <v>1129</v>
      </c>
      <c r="P163" t="s">
        <v>1130</v>
      </c>
    </row>
    <row r="164" spans="7:16" x14ac:dyDescent="0.2">
      <c r="H164" t="s">
        <v>429</v>
      </c>
      <c r="I164" t="s">
        <v>1131</v>
      </c>
      <c r="J164" t="s">
        <v>60</v>
      </c>
      <c r="K164" t="s">
        <v>19</v>
      </c>
      <c r="L164">
        <v>1874</v>
      </c>
      <c r="M164">
        <v>46</v>
      </c>
      <c r="N164" t="s">
        <v>1132</v>
      </c>
      <c r="O164" t="s">
        <v>1133</v>
      </c>
      <c r="P164" t="s">
        <v>1134</v>
      </c>
    </row>
    <row r="166" spans="7:16" x14ac:dyDescent="0.2">
      <c r="H166" t="s">
        <v>0</v>
      </c>
      <c r="I166" t="s">
        <v>1</v>
      </c>
      <c r="J166" t="s">
        <v>2</v>
      </c>
      <c r="K166" t="s">
        <v>3</v>
      </c>
      <c r="L166" t="s">
        <v>4</v>
      </c>
      <c r="M166" t="s">
        <v>5</v>
      </c>
      <c r="N166" t="s">
        <v>6</v>
      </c>
      <c r="O166" t="s">
        <v>7</v>
      </c>
      <c r="P166" t="s">
        <v>8</v>
      </c>
    </row>
    <row r="167" spans="7:16" x14ac:dyDescent="0.2">
      <c r="G167">
        <v>5</v>
      </c>
      <c r="H167" t="s">
        <v>1135</v>
      </c>
      <c r="I167" t="s">
        <v>1136</v>
      </c>
      <c r="J167" t="s">
        <v>12</v>
      </c>
      <c r="K167" t="s">
        <v>13</v>
      </c>
      <c r="L167">
        <v>1869</v>
      </c>
      <c r="M167">
        <v>52</v>
      </c>
      <c r="N167" t="s">
        <v>186</v>
      </c>
      <c r="O167" t="s">
        <v>1137</v>
      </c>
      <c r="P167" t="s">
        <v>1138</v>
      </c>
    </row>
    <row r="168" spans="7:16" x14ac:dyDescent="0.2">
      <c r="H168" t="s">
        <v>1139</v>
      </c>
      <c r="I168" t="s">
        <v>1136</v>
      </c>
      <c r="J168" t="s">
        <v>18</v>
      </c>
      <c r="K168" t="s">
        <v>19</v>
      </c>
      <c r="L168">
        <v>1865</v>
      </c>
      <c r="M168">
        <v>56</v>
      </c>
      <c r="N168" t="s">
        <v>1140</v>
      </c>
      <c r="O168" t="s">
        <v>468</v>
      </c>
      <c r="P168" t="s">
        <v>20</v>
      </c>
    </row>
    <row r="169" spans="7:16" x14ac:dyDescent="0.2">
      <c r="H169" t="s">
        <v>1141</v>
      </c>
      <c r="I169" t="s">
        <v>1136</v>
      </c>
      <c r="J169" t="s">
        <v>51</v>
      </c>
      <c r="K169" t="s">
        <v>13</v>
      </c>
      <c r="L169">
        <v>1901</v>
      </c>
      <c r="M169">
        <v>19</v>
      </c>
      <c r="N169" t="s">
        <v>186</v>
      </c>
      <c r="O169" t="s">
        <v>1142</v>
      </c>
      <c r="P169" t="s">
        <v>1143</v>
      </c>
    </row>
    <row r="170" spans="7:16" x14ac:dyDescent="0.2">
      <c r="H170" t="s">
        <v>1144</v>
      </c>
      <c r="I170" t="s">
        <v>1145</v>
      </c>
      <c r="J170" t="s">
        <v>26</v>
      </c>
      <c r="K170" t="s">
        <v>19</v>
      </c>
      <c r="L170">
        <v>1899</v>
      </c>
      <c r="M170">
        <v>21</v>
      </c>
      <c r="N170" t="s">
        <v>134</v>
      </c>
      <c r="O170" t="s">
        <v>344</v>
      </c>
      <c r="P170" t="s">
        <v>1146</v>
      </c>
    </row>
    <row r="171" spans="7:16" x14ac:dyDescent="0.2">
      <c r="H171" t="s">
        <v>1147</v>
      </c>
      <c r="I171" t="s">
        <v>1148</v>
      </c>
      <c r="J171" t="s">
        <v>58</v>
      </c>
      <c r="K171" t="s">
        <v>19</v>
      </c>
      <c r="L171">
        <v>1902</v>
      </c>
      <c r="M171">
        <v>19</v>
      </c>
      <c r="N171" t="s">
        <v>397</v>
      </c>
      <c r="O171" t="s">
        <v>50</v>
      </c>
      <c r="P171" t="s">
        <v>29</v>
      </c>
    </row>
    <row r="173" spans="7:16" x14ac:dyDescent="0.2">
      <c r="H173" t="s">
        <v>0</v>
      </c>
      <c r="I173" t="s">
        <v>1</v>
      </c>
      <c r="J173" t="s">
        <v>2</v>
      </c>
      <c r="K173" t="s">
        <v>3</v>
      </c>
      <c r="L173" t="s">
        <v>4</v>
      </c>
      <c r="M173" t="s">
        <v>5</v>
      </c>
      <c r="N173" t="s">
        <v>6</v>
      </c>
      <c r="O173" t="s">
        <v>7</v>
      </c>
      <c r="P173" t="s">
        <v>8</v>
      </c>
    </row>
    <row r="174" spans="7:16" x14ac:dyDescent="0.2">
      <c r="G174">
        <v>6</v>
      </c>
      <c r="H174" t="s">
        <v>1149</v>
      </c>
      <c r="I174" t="s">
        <v>1150</v>
      </c>
      <c r="J174" t="s">
        <v>12</v>
      </c>
      <c r="K174" t="s">
        <v>19</v>
      </c>
      <c r="L174">
        <v>1850</v>
      </c>
      <c r="M174">
        <v>70</v>
      </c>
      <c r="N174" t="s">
        <v>14</v>
      </c>
      <c r="O174" t="s">
        <v>20</v>
      </c>
      <c r="P174" t="s">
        <v>20</v>
      </c>
    </row>
    <row r="175" spans="7:16" x14ac:dyDescent="0.2">
      <c r="H175" t="s">
        <v>345</v>
      </c>
      <c r="I175" t="s">
        <v>1151</v>
      </c>
      <c r="J175" t="s">
        <v>26</v>
      </c>
      <c r="K175" t="s">
        <v>19</v>
      </c>
      <c r="L175">
        <v>1901</v>
      </c>
      <c r="M175">
        <v>20</v>
      </c>
      <c r="N175" t="s">
        <v>14</v>
      </c>
      <c r="O175" t="s">
        <v>344</v>
      </c>
      <c r="P175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6C45-E393-5244-9630-79BF068DBE08}">
  <dimension ref="A1:BC75"/>
  <sheetViews>
    <sheetView topLeftCell="A9" workbookViewId="0">
      <selection activeCell="H67" sqref="H67:O75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11.83203125" customWidth="1"/>
    <col min="8" max="8" width="19.33203125" customWidth="1"/>
    <col min="11" max="11" width="19.164062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7.5" customHeight="1" x14ac:dyDescent="0.2">
      <c r="A3" s="7" t="s">
        <v>567</v>
      </c>
      <c r="B3" s="7">
        <v>1921</v>
      </c>
      <c r="C3" s="7">
        <v>1</v>
      </c>
      <c r="D3" s="7" t="s">
        <v>1354</v>
      </c>
      <c r="E3" s="7" t="s">
        <v>2969</v>
      </c>
      <c r="F3" s="7"/>
      <c r="G3" s="7" t="s">
        <v>1329</v>
      </c>
      <c r="H3" s="7" t="s">
        <v>1328</v>
      </c>
      <c r="I3">
        <v>1</v>
      </c>
      <c r="J3" s="7" t="s">
        <v>13</v>
      </c>
      <c r="K3">
        <v>1</v>
      </c>
      <c r="N3" s="7">
        <v>1</v>
      </c>
      <c r="P3" s="7"/>
      <c r="T3" s="6">
        <v>56</v>
      </c>
      <c r="X3" s="7"/>
      <c r="Y3" s="7"/>
      <c r="Z3" s="7"/>
      <c r="AA3" s="6" t="s">
        <v>1330</v>
      </c>
      <c r="AB3" s="6" t="s">
        <v>8</v>
      </c>
      <c r="AC3" s="7">
        <v>1</v>
      </c>
      <c r="AD3" s="7">
        <v>1</v>
      </c>
      <c r="AE3" s="7"/>
      <c r="AF3" s="6">
        <v>1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7" t="s">
        <v>567</v>
      </c>
      <c r="B4" s="7">
        <v>1921</v>
      </c>
      <c r="C4" s="7">
        <v>1</v>
      </c>
      <c r="D4" s="7" t="s">
        <v>1354</v>
      </c>
      <c r="E4" s="7"/>
      <c r="F4" s="7"/>
      <c r="G4" s="7" t="s">
        <v>1329</v>
      </c>
      <c r="H4" s="7" t="s">
        <v>1300</v>
      </c>
      <c r="I4">
        <v>2</v>
      </c>
      <c r="J4" s="7">
        <v>1</v>
      </c>
      <c r="N4" s="7" t="s">
        <v>18</v>
      </c>
      <c r="O4">
        <v>1</v>
      </c>
      <c r="P4" s="7"/>
      <c r="T4" s="7">
        <v>54</v>
      </c>
      <c r="X4" s="7"/>
      <c r="Y4" s="7"/>
      <c r="Z4" s="7"/>
      <c r="AA4" s="7" t="s">
        <v>1331</v>
      </c>
      <c r="AB4" s="7" t="s">
        <v>16</v>
      </c>
      <c r="AC4" s="7"/>
      <c r="AD4" s="7"/>
      <c r="AE4" s="7"/>
      <c r="AF4" s="7">
        <v>1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7" t="s">
        <v>567</v>
      </c>
      <c r="B5" s="7">
        <v>1921</v>
      </c>
      <c r="C5" s="7">
        <v>1</v>
      </c>
      <c r="D5" s="7" t="s">
        <v>1354</v>
      </c>
      <c r="E5" s="7"/>
      <c r="F5" s="7"/>
      <c r="G5" s="7" t="s">
        <v>1333</v>
      </c>
      <c r="H5" s="7" t="s">
        <v>1332</v>
      </c>
      <c r="I5">
        <v>3</v>
      </c>
      <c r="J5" s="7">
        <v>1</v>
      </c>
      <c r="N5" s="7" t="s">
        <v>26</v>
      </c>
      <c r="P5" s="7"/>
      <c r="S5">
        <v>1</v>
      </c>
      <c r="T5" s="6">
        <v>30</v>
      </c>
      <c r="X5" s="7"/>
      <c r="Y5" s="7"/>
      <c r="Z5" s="7"/>
      <c r="AA5" s="6" t="s">
        <v>33</v>
      </c>
      <c r="AB5" s="6" t="s">
        <v>29</v>
      </c>
      <c r="AC5" s="7">
        <v>1</v>
      </c>
      <c r="AD5" s="7"/>
      <c r="AE5" s="7"/>
      <c r="AF5" s="6" t="s">
        <v>1334</v>
      </c>
      <c r="AG5" s="7">
        <v>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7" t="s">
        <v>567</v>
      </c>
      <c r="B6" s="7">
        <v>1921</v>
      </c>
      <c r="C6" s="7">
        <v>1</v>
      </c>
      <c r="D6" s="7" t="s">
        <v>1354</v>
      </c>
      <c r="E6" s="7"/>
      <c r="F6" s="7"/>
      <c r="G6" s="7" t="s">
        <v>1335</v>
      </c>
      <c r="H6" s="7" t="s">
        <v>64</v>
      </c>
      <c r="I6">
        <v>4</v>
      </c>
      <c r="J6" s="7">
        <v>1</v>
      </c>
      <c r="N6" s="7" t="s">
        <v>26</v>
      </c>
      <c r="P6" s="7"/>
      <c r="S6">
        <v>1</v>
      </c>
      <c r="T6" s="6">
        <v>28</v>
      </c>
      <c r="X6" s="7"/>
      <c r="Y6" s="7"/>
      <c r="Z6" s="7"/>
      <c r="AA6" s="6" t="s">
        <v>330</v>
      </c>
      <c r="AB6" s="6" t="s">
        <v>29</v>
      </c>
      <c r="AC6" s="7">
        <v>1</v>
      </c>
      <c r="AD6" s="7"/>
      <c r="AE6" s="7"/>
      <c r="AF6" s="6" t="s">
        <v>438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7" t="s">
        <v>567</v>
      </c>
      <c r="B7" s="7">
        <v>1921</v>
      </c>
      <c r="C7" s="7">
        <v>1</v>
      </c>
      <c r="D7" s="7" t="s">
        <v>1354</v>
      </c>
      <c r="E7" s="7"/>
      <c r="F7" s="7"/>
      <c r="G7" s="7" t="s">
        <v>1336</v>
      </c>
      <c r="H7" s="7" t="s">
        <v>899</v>
      </c>
      <c r="I7">
        <v>5</v>
      </c>
      <c r="J7" s="7">
        <v>1</v>
      </c>
      <c r="N7" s="7" t="s">
        <v>26</v>
      </c>
      <c r="P7" s="7"/>
      <c r="S7">
        <v>1</v>
      </c>
      <c r="T7" s="6">
        <v>40</v>
      </c>
      <c r="X7" s="7"/>
      <c r="Y7" s="7"/>
      <c r="Z7" s="7"/>
      <c r="AA7" s="6" t="s">
        <v>360</v>
      </c>
      <c r="AB7" s="6" t="s">
        <v>29</v>
      </c>
      <c r="AC7" s="7">
        <v>1</v>
      </c>
      <c r="AD7" s="7"/>
      <c r="AE7" s="7"/>
      <c r="AF7" s="6" t="s">
        <v>1337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7" t="s">
        <v>567</v>
      </c>
      <c r="B8" s="7">
        <v>1921</v>
      </c>
      <c r="C8" s="7">
        <v>1</v>
      </c>
      <c r="D8" s="7" t="s">
        <v>1354</v>
      </c>
      <c r="E8" s="7"/>
      <c r="F8" s="7"/>
      <c r="G8" s="7" t="s">
        <v>1339</v>
      </c>
      <c r="H8" s="7" t="s">
        <v>1338</v>
      </c>
      <c r="I8">
        <v>6</v>
      </c>
      <c r="J8" s="7">
        <v>1</v>
      </c>
      <c r="N8" s="7" t="s">
        <v>26</v>
      </c>
      <c r="P8" s="7"/>
      <c r="S8">
        <v>1</v>
      </c>
      <c r="T8" s="6">
        <v>17</v>
      </c>
      <c r="X8" s="7"/>
      <c r="Y8" s="7"/>
      <c r="Z8" s="7"/>
      <c r="AA8" s="6" t="s">
        <v>137</v>
      </c>
      <c r="AB8" s="6" t="s">
        <v>29</v>
      </c>
      <c r="AC8" s="7">
        <v>1</v>
      </c>
      <c r="AD8" s="7"/>
      <c r="AE8" s="7"/>
      <c r="AF8" s="6" t="s">
        <v>739</v>
      </c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7" t="s">
        <v>567</v>
      </c>
      <c r="B9" s="7">
        <v>1921</v>
      </c>
      <c r="C9" s="7"/>
      <c r="D9" s="7" t="s">
        <v>1354</v>
      </c>
      <c r="E9" s="7"/>
      <c r="F9" s="7"/>
      <c r="G9" s="7"/>
      <c r="H9" s="7">
        <v>6</v>
      </c>
      <c r="J9" s="7"/>
      <c r="N9" s="7"/>
      <c r="P9" s="7"/>
      <c r="T9" s="6"/>
      <c r="X9" s="7"/>
      <c r="Y9" s="7"/>
      <c r="Z9" s="7"/>
      <c r="AA9" s="6"/>
      <c r="AB9" s="6"/>
      <c r="AC9" s="7"/>
      <c r="AD9" s="7"/>
      <c r="AE9" s="7"/>
      <c r="AF9" s="6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7" t="s">
        <v>567</v>
      </c>
      <c r="B10" s="7">
        <v>1921</v>
      </c>
      <c r="C10" s="7"/>
      <c r="D10" s="7" t="s">
        <v>1354</v>
      </c>
      <c r="E10" s="7"/>
      <c r="F10" s="7"/>
      <c r="G10" s="7" t="s">
        <v>1</v>
      </c>
      <c r="H10" s="7" t="s">
        <v>0</v>
      </c>
      <c r="J10" s="7" t="s">
        <v>3</v>
      </c>
      <c r="N10" s="7" t="s">
        <v>2</v>
      </c>
      <c r="P10" s="7"/>
      <c r="T10" s="6" t="s">
        <v>5</v>
      </c>
      <c r="X10" s="7"/>
      <c r="Y10" s="7"/>
      <c r="Z10" s="7"/>
      <c r="AA10" s="6" t="s">
        <v>7</v>
      </c>
      <c r="AB10" s="6" t="s">
        <v>8</v>
      </c>
      <c r="AC10" s="7"/>
      <c r="AD10" s="7"/>
      <c r="AE10" s="7"/>
      <c r="AF10" s="6" t="s">
        <v>6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s="55" customFormat="1" ht="17" customHeight="1" x14ac:dyDescent="0.2">
      <c r="A11" s="227" t="s">
        <v>567</v>
      </c>
      <c r="B11" s="227">
        <v>1921</v>
      </c>
      <c r="C11" s="227">
        <v>2</v>
      </c>
      <c r="D11" s="227" t="s">
        <v>1354</v>
      </c>
      <c r="E11" s="227"/>
      <c r="F11" s="227"/>
      <c r="G11" s="227" t="s">
        <v>1341</v>
      </c>
      <c r="H11" s="227" t="s">
        <v>1340</v>
      </c>
      <c r="I11" s="55">
        <v>7</v>
      </c>
      <c r="J11" s="227">
        <v>1</v>
      </c>
      <c r="N11" s="227" t="s">
        <v>18</v>
      </c>
      <c r="O11" s="55">
        <v>1</v>
      </c>
      <c r="P11" s="227"/>
      <c r="T11" s="229">
        <v>56</v>
      </c>
      <c r="X11" s="227">
        <f>SUM(X3:X10)</f>
        <v>0</v>
      </c>
      <c r="Y11" s="227">
        <f>SUM(Y3:Y10)</f>
        <v>0</v>
      </c>
      <c r="Z11" s="227">
        <f>SUM(Z3:Z10)</f>
        <v>0</v>
      </c>
      <c r="AA11" s="229" t="s">
        <v>20</v>
      </c>
      <c r="AB11" s="229" t="s">
        <v>20</v>
      </c>
      <c r="AC11" s="227"/>
      <c r="AD11" s="227"/>
      <c r="AE11" s="227"/>
      <c r="AF11" s="229">
        <v>1</v>
      </c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</row>
    <row r="12" spans="1:55" ht="17.5" customHeight="1" x14ac:dyDescent="0.2">
      <c r="A12" s="7" t="s">
        <v>567</v>
      </c>
      <c r="B12" s="7">
        <v>1921</v>
      </c>
      <c r="C12" s="7">
        <v>2</v>
      </c>
      <c r="D12" s="7" t="s">
        <v>1354</v>
      </c>
      <c r="E12" s="7"/>
      <c r="F12" s="7"/>
      <c r="G12" s="7" t="s">
        <v>1342</v>
      </c>
      <c r="H12" s="7" t="s">
        <v>170</v>
      </c>
      <c r="I12">
        <v>8</v>
      </c>
      <c r="J12" s="7">
        <v>1</v>
      </c>
      <c r="N12" s="7" t="s">
        <v>26</v>
      </c>
      <c r="P12" s="7"/>
      <c r="S12">
        <v>1</v>
      </c>
      <c r="T12" s="7">
        <v>57</v>
      </c>
      <c r="X12" s="7"/>
      <c r="Y12" s="7"/>
      <c r="Z12" s="7"/>
      <c r="AA12" s="7" t="s">
        <v>33</v>
      </c>
      <c r="AB12" s="7" t="s">
        <v>29</v>
      </c>
      <c r="AC12" s="7"/>
      <c r="AD12" s="7"/>
      <c r="AE12" s="7"/>
      <c r="AF12" s="7" t="s">
        <v>1343</v>
      </c>
      <c r="AG12" s="7">
        <v>1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7" t="s">
        <v>567</v>
      </c>
      <c r="B13" s="7">
        <v>1921</v>
      </c>
      <c r="C13" s="7">
        <v>2</v>
      </c>
      <c r="D13" s="7" t="s">
        <v>1354</v>
      </c>
      <c r="E13" s="7"/>
      <c r="F13" s="7"/>
      <c r="G13" s="7" t="s">
        <v>1345</v>
      </c>
      <c r="H13" s="7" t="s">
        <v>1344</v>
      </c>
      <c r="I13">
        <v>9</v>
      </c>
      <c r="J13" s="7">
        <v>1</v>
      </c>
      <c r="N13" s="7" t="s">
        <v>26</v>
      </c>
      <c r="P13" s="7"/>
      <c r="S13">
        <v>1</v>
      </c>
      <c r="T13" s="7">
        <v>30</v>
      </c>
      <c r="X13" s="7"/>
      <c r="Y13" s="7"/>
      <c r="Z13" s="7"/>
      <c r="AA13" s="7" t="s">
        <v>360</v>
      </c>
      <c r="AB13" s="7" t="s">
        <v>29</v>
      </c>
      <c r="AC13" s="7">
        <v>1</v>
      </c>
      <c r="AD13" s="7"/>
      <c r="AE13" s="7"/>
      <c r="AF13" s="7">
        <v>1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7" t="s">
        <v>567</v>
      </c>
      <c r="B14" s="7">
        <v>1921</v>
      </c>
      <c r="C14" s="7">
        <v>2</v>
      </c>
      <c r="D14" s="7" t="s">
        <v>1354</v>
      </c>
      <c r="E14" s="11"/>
      <c r="F14" s="12"/>
      <c r="G14" s="21" t="s">
        <v>1347</v>
      </c>
      <c r="H14" s="21" t="s">
        <v>768</v>
      </c>
      <c r="I14">
        <v>10</v>
      </c>
      <c r="J14" s="7">
        <v>1</v>
      </c>
      <c r="N14" s="7" t="s">
        <v>26</v>
      </c>
      <c r="P14" s="7"/>
      <c r="S14">
        <v>1</v>
      </c>
      <c r="T14" s="7">
        <v>21</v>
      </c>
      <c r="X14" s="12"/>
      <c r="Y14" s="12"/>
      <c r="Z14" s="12"/>
      <c r="AA14" s="7" t="s">
        <v>1348</v>
      </c>
      <c r="AB14" s="7" t="s">
        <v>29</v>
      </c>
      <c r="AC14" s="7">
        <v>1</v>
      </c>
      <c r="AD14" s="12"/>
      <c r="AE14" s="7"/>
      <c r="AF14" s="7" t="s">
        <v>368</v>
      </c>
      <c r="AG14" s="7">
        <v>1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28" customHeight="1" x14ac:dyDescent="0.2">
      <c r="A15" s="7" t="s">
        <v>567</v>
      </c>
      <c r="B15" s="7">
        <v>1921</v>
      </c>
      <c r="C15" s="7">
        <v>2</v>
      </c>
      <c r="D15" s="7" t="s">
        <v>1354</v>
      </c>
      <c r="E15" s="11"/>
      <c r="F15" s="12"/>
      <c r="G15" s="7" t="s">
        <v>118</v>
      </c>
      <c r="H15" s="7" t="s">
        <v>704</v>
      </c>
      <c r="I15">
        <v>11</v>
      </c>
      <c r="J15" s="7">
        <v>1</v>
      </c>
      <c r="N15" s="7" t="s">
        <v>26</v>
      </c>
      <c r="P15" s="7"/>
      <c r="S15">
        <v>1</v>
      </c>
      <c r="T15" s="7">
        <v>24</v>
      </c>
      <c r="X15" s="12"/>
      <c r="Y15" s="12"/>
      <c r="Z15" s="12"/>
      <c r="AA15" s="7" t="s">
        <v>137</v>
      </c>
      <c r="AB15" s="7" t="s">
        <v>29</v>
      </c>
      <c r="AC15" s="7">
        <v>1</v>
      </c>
      <c r="AD15" s="11"/>
      <c r="AE15" s="7"/>
      <c r="AF15" s="7">
        <v>1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7" t="s">
        <v>567</v>
      </c>
      <c r="B16" s="7">
        <v>1921</v>
      </c>
      <c r="C16" s="7">
        <v>2</v>
      </c>
      <c r="D16" s="7" t="s">
        <v>1354</v>
      </c>
      <c r="E16" s="7"/>
      <c r="F16" s="7"/>
      <c r="G16" s="7" t="s">
        <v>1351</v>
      </c>
      <c r="H16" s="7" t="s">
        <v>1350</v>
      </c>
      <c r="I16">
        <v>12</v>
      </c>
      <c r="J16" s="7">
        <v>1</v>
      </c>
      <c r="N16" s="7" t="s">
        <v>26</v>
      </c>
      <c r="P16" s="7"/>
      <c r="S16">
        <v>1</v>
      </c>
      <c r="T16" s="7">
        <v>17</v>
      </c>
      <c r="X16" s="7"/>
      <c r="Y16" s="7"/>
      <c r="Z16" s="7"/>
      <c r="AA16" s="7" t="s">
        <v>708</v>
      </c>
      <c r="AB16" s="7" t="s">
        <v>29</v>
      </c>
      <c r="AC16" s="7">
        <v>1</v>
      </c>
      <c r="AD16" s="7"/>
      <c r="AE16" s="7"/>
      <c r="AF16" s="7">
        <v>1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7"/>
      <c r="B17" s="7"/>
      <c r="C17" s="7"/>
      <c r="D17" s="7"/>
      <c r="E17" s="7"/>
      <c r="F17" s="7"/>
      <c r="G17" s="7"/>
      <c r="H17" s="7">
        <v>6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567</v>
      </c>
      <c r="B18" s="9">
        <v>1921</v>
      </c>
      <c r="C18" s="7"/>
      <c r="D18" s="7" t="s">
        <v>2600</v>
      </c>
      <c r="E18" s="7"/>
      <c r="F18" s="5"/>
      <c r="G18" s="5" t="s">
        <v>1</v>
      </c>
      <c r="H18" s="5" t="s">
        <v>0</v>
      </c>
      <c r="J18" s="10" t="s">
        <v>3</v>
      </c>
      <c r="N18" s="5" t="s">
        <v>2</v>
      </c>
      <c r="P18" s="5"/>
      <c r="T18" s="5" t="s">
        <v>5</v>
      </c>
      <c r="X18" s="7"/>
      <c r="Y18" s="7"/>
      <c r="Z18" s="7"/>
      <c r="AA18" s="5" t="s">
        <v>7</v>
      </c>
      <c r="AB18" s="5" t="s">
        <v>8</v>
      </c>
      <c r="AC18" s="7"/>
      <c r="AD18" s="7"/>
      <c r="AE18" s="7"/>
      <c r="AF18" s="5" t="s">
        <v>6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567</v>
      </c>
      <c r="B19" s="9">
        <v>1921</v>
      </c>
      <c r="C19" s="7">
        <v>3</v>
      </c>
      <c r="D19" s="7" t="s">
        <v>2600</v>
      </c>
      <c r="E19" s="7" t="s">
        <v>2970</v>
      </c>
      <c r="F19" s="7"/>
      <c r="G19" s="7" t="s">
        <v>2582</v>
      </c>
      <c r="H19" s="7" t="s">
        <v>2583</v>
      </c>
      <c r="I19">
        <v>13</v>
      </c>
      <c r="J19" s="7" t="s">
        <v>13</v>
      </c>
      <c r="K19">
        <v>1</v>
      </c>
      <c r="N19" s="7">
        <v>1</v>
      </c>
      <c r="P19" s="7"/>
      <c r="T19" s="6">
        <v>37</v>
      </c>
      <c r="X19" s="7"/>
      <c r="Y19" s="7"/>
      <c r="Z19" s="7"/>
      <c r="AA19" s="6" t="s">
        <v>47</v>
      </c>
      <c r="AB19" s="6" t="s">
        <v>20</v>
      </c>
      <c r="AC19" s="7"/>
      <c r="AD19" s="7"/>
      <c r="AE19" s="7"/>
      <c r="AF19" s="6" t="s">
        <v>2584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567</v>
      </c>
      <c r="B20" s="9">
        <v>1921</v>
      </c>
      <c r="C20" s="7">
        <v>3</v>
      </c>
      <c r="D20" s="7" t="s">
        <v>2600</v>
      </c>
      <c r="E20" s="7"/>
      <c r="F20" s="7"/>
      <c r="G20" s="7" t="s">
        <v>2585</v>
      </c>
      <c r="H20" s="7" t="s">
        <v>48</v>
      </c>
      <c r="I20">
        <v>14</v>
      </c>
      <c r="J20" s="7">
        <v>1</v>
      </c>
      <c r="N20" s="7" t="s">
        <v>18</v>
      </c>
      <c r="O20">
        <v>1</v>
      </c>
      <c r="P20" s="7"/>
      <c r="T20" s="6">
        <v>36</v>
      </c>
      <c r="X20" s="7"/>
      <c r="Y20" s="7"/>
      <c r="Z20" s="7"/>
      <c r="AA20" s="6" t="s">
        <v>50</v>
      </c>
      <c r="AB20" s="6" t="s">
        <v>20</v>
      </c>
      <c r="AC20" s="7"/>
      <c r="AD20" s="7"/>
      <c r="AE20" s="7"/>
      <c r="AF20" s="6">
        <v>1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567</v>
      </c>
      <c r="B21" s="9">
        <v>1921</v>
      </c>
      <c r="C21" s="7">
        <v>3</v>
      </c>
      <c r="D21" s="7" t="s">
        <v>2600</v>
      </c>
      <c r="E21" s="7"/>
      <c r="F21" s="7"/>
      <c r="G21" s="7" t="s">
        <v>2585</v>
      </c>
      <c r="H21" s="7" t="s">
        <v>2586</v>
      </c>
      <c r="I21">
        <v>15</v>
      </c>
      <c r="J21" s="7" t="s">
        <v>13</v>
      </c>
      <c r="M21">
        <v>1</v>
      </c>
      <c r="N21" s="7" t="s">
        <v>51</v>
      </c>
      <c r="P21" s="7"/>
      <c r="Q21">
        <v>1</v>
      </c>
      <c r="T21" s="6">
        <v>3</v>
      </c>
      <c r="X21" s="7"/>
      <c r="Y21" s="7"/>
      <c r="Z21" s="7"/>
      <c r="AA21" s="6" t="s">
        <v>20</v>
      </c>
      <c r="AB21" s="6" t="s">
        <v>20</v>
      </c>
      <c r="AC21" s="7"/>
      <c r="AD21" s="7"/>
      <c r="AE21" s="7"/>
      <c r="AF21" s="6">
        <v>1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" x14ac:dyDescent="0.2">
      <c r="A22" s="9" t="s">
        <v>567</v>
      </c>
      <c r="B22" s="9">
        <v>1921</v>
      </c>
      <c r="C22" s="7">
        <v>3</v>
      </c>
      <c r="D22" s="7" t="s">
        <v>2600</v>
      </c>
      <c r="E22" s="7"/>
      <c r="F22" s="7"/>
      <c r="G22" s="7" t="s">
        <v>2585</v>
      </c>
      <c r="H22" s="7" t="s">
        <v>2587</v>
      </c>
      <c r="I22">
        <v>16</v>
      </c>
      <c r="J22" s="7"/>
      <c r="L22">
        <v>1</v>
      </c>
      <c r="N22" s="7" t="s">
        <v>22</v>
      </c>
      <c r="P22" s="7">
        <v>1</v>
      </c>
      <c r="T22" s="6">
        <v>1</v>
      </c>
      <c r="X22" s="7"/>
      <c r="Y22" s="7"/>
      <c r="Z22" s="7"/>
      <c r="AA22" s="6" t="s">
        <v>20</v>
      </c>
      <c r="AB22" s="6" t="s">
        <v>20</v>
      </c>
      <c r="AC22" s="7"/>
      <c r="AD22" s="7"/>
      <c r="AE22" s="7"/>
      <c r="AF22" s="6">
        <v>1</v>
      </c>
      <c r="AG22" s="7"/>
    </row>
    <row r="23" spans="1:51" ht="34" x14ac:dyDescent="0.2">
      <c r="A23" s="9" t="s">
        <v>567</v>
      </c>
      <c r="B23" s="9">
        <v>1921</v>
      </c>
      <c r="C23" s="7">
        <v>3</v>
      </c>
      <c r="D23" s="7" t="s">
        <v>2600</v>
      </c>
      <c r="E23" s="5" t="s">
        <v>2970</v>
      </c>
      <c r="F23" s="7"/>
      <c r="G23" s="7" t="s">
        <v>2589</v>
      </c>
      <c r="H23" s="7" t="s">
        <v>2588</v>
      </c>
      <c r="I23">
        <v>17</v>
      </c>
      <c r="J23" s="7">
        <v>1</v>
      </c>
      <c r="N23" s="7" t="s">
        <v>26</v>
      </c>
      <c r="P23" s="7"/>
      <c r="S23">
        <v>1</v>
      </c>
      <c r="T23" s="6">
        <v>70</v>
      </c>
      <c r="X23" s="7"/>
      <c r="Y23" s="7"/>
      <c r="Z23" s="7"/>
      <c r="AA23" s="6" t="s">
        <v>52</v>
      </c>
      <c r="AB23" s="6" t="s">
        <v>29</v>
      </c>
      <c r="AC23" s="7">
        <v>1</v>
      </c>
      <c r="AD23" s="7"/>
      <c r="AE23" s="7"/>
      <c r="AF23" s="6">
        <v>1</v>
      </c>
      <c r="AG23" s="7"/>
    </row>
    <row r="24" spans="1:51" ht="51" x14ac:dyDescent="0.2">
      <c r="A24" s="9" t="s">
        <v>567</v>
      </c>
      <c r="B24" s="9">
        <v>1921</v>
      </c>
      <c r="C24" s="7">
        <v>3</v>
      </c>
      <c r="D24" s="7" t="s">
        <v>2600</v>
      </c>
      <c r="E24" s="7"/>
      <c r="F24" s="7"/>
      <c r="G24" s="7" t="s">
        <v>2590</v>
      </c>
      <c r="H24" s="7" t="s">
        <v>704</v>
      </c>
      <c r="I24">
        <v>18</v>
      </c>
      <c r="J24" s="7">
        <v>1</v>
      </c>
      <c r="N24" s="7" t="s">
        <v>26</v>
      </c>
      <c r="P24" s="7"/>
      <c r="S24">
        <v>1</v>
      </c>
      <c r="T24" s="6">
        <v>53</v>
      </c>
      <c r="X24" s="7"/>
      <c r="Y24" s="7"/>
      <c r="Z24" s="7"/>
      <c r="AA24" s="6" t="s">
        <v>33</v>
      </c>
      <c r="AB24" s="6" t="s">
        <v>29</v>
      </c>
      <c r="AC24" s="7">
        <v>1</v>
      </c>
      <c r="AD24" s="7"/>
      <c r="AE24" s="7"/>
      <c r="AF24" s="6" t="s">
        <v>2591</v>
      </c>
      <c r="AG24" s="7"/>
    </row>
    <row r="25" spans="1:51" ht="34" x14ac:dyDescent="0.2">
      <c r="A25" s="9" t="s">
        <v>567</v>
      </c>
      <c r="B25" s="9">
        <v>1921</v>
      </c>
      <c r="C25" s="7">
        <v>3</v>
      </c>
      <c r="D25" s="7" t="s">
        <v>2600</v>
      </c>
      <c r="E25" s="7"/>
      <c r="F25" s="7"/>
      <c r="G25" s="7" t="s">
        <v>2593</v>
      </c>
      <c r="H25" s="7" t="s">
        <v>2592</v>
      </c>
      <c r="I25">
        <v>19</v>
      </c>
      <c r="J25" s="7">
        <v>1</v>
      </c>
      <c r="N25" s="7" t="s">
        <v>26</v>
      </c>
      <c r="P25" s="7"/>
      <c r="S25">
        <v>1</v>
      </c>
      <c r="T25" s="6">
        <v>28</v>
      </c>
      <c r="X25" s="7"/>
      <c r="Y25" s="7"/>
      <c r="Z25" s="7"/>
      <c r="AA25" s="6" t="s">
        <v>344</v>
      </c>
      <c r="AB25" s="6" t="s">
        <v>29</v>
      </c>
      <c r="AC25" s="7">
        <v>1</v>
      </c>
      <c r="AD25" s="7"/>
      <c r="AE25" s="7"/>
      <c r="AF25" s="6">
        <v>1</v>
      </c>
      <c r="AG25" s="7"/>
    </row>
    <row r="26" spans="1:51" ht="51" x14ac:dyDescent="0.2">
      <c r="A26" s="9" t="s">
        <v>567</v>
      </c>
      <c r="B26" s="9">
        <v>1921</v>
      </c>
      <c r="C26" s="7">
        <v>3</v>
      </c>
      <c r="D26" s="7" t="s">
        <v>2600</v>
      </c>
      <c r="E26" s="7"/>
      <c r="F26" s="7"/>
      <c r="G26" s="7" t="s">
        <v>2594</v>
      </c>
      <c r="H26" s="7" t="s">
        <v>1034</v>
      </c>
      <c r="I26">
        <v>20</v>
      </c>
      <c r="J26" s="7">
        <v>1</v>
      </c>
      <c r="N26" s="7" t="s">
        <v>26</v>
      </c>
      <c r="P26" s="7"/>
      <c r="S26">
        <v>1</v>
      </c>
      <c r="T26" s="6">
        <v>53</v>
      </c>
      <c r="X26" s="7"/>
      <c r="Y26" s="7"/>
      <c r="Z26" s="7"/>
      <c r="AA26" s="6" t="s">
        <v>1037</v>
      </c>
      <c r="AB26" s="6" t="s">
        <v>29</v>
      </c>
      <c r="AC26" s="7">
        <v>1</v>
      </c>
      <c r="AD26" s="7"/>
      <c r="AE26" s="7"/>
      <c r="AF26" s="6" t="s">
        <v>2595</v>
      </c>
      <c r="AG26" s="7"/>
    </row>
    <row r="27" spans="1:51" x14ac:dyDescent="0.2">
      <c r="A27" s="9" t="s">
        <v>567</v>
      </c>
      <c r="B27" s="9">
        <v>1921</v>
      </c>
      <c r="C27" s="7">
        <v>3</v>
      </c>
      <c r="D27" s="7" t="s">
        <v>2600</v>
      </c>
      <c r="E27" s="7"/>
      <c r="F27" s="7"/>
      <c r="G27" s="7" t="s">
        <v>2597</v>
      </c>
      <c r="H27" s="7" t="s">
        <v>2596</v>
      </c>
      <c r="I27">
        <v>21</v>
      </c>
      <c r="J27" s="7">
        <v>1</v>
      </c>
      <c r="N27" s="7" t="s">
        <v>26</v>
      </c>
      <c r="P27" s="7"/>
      <c r="S27">
        <v>1</v>
      </c>
      <c r="T27" s="7">
        <v>18</v>
      </c>
      <c r="X27" s="7"/>
      <c r="Y27" s="7"/>
      <c r="Z27" s="7"/>
      <c r="AA27" s="7" t="s">
        <v>2599</v>
      </c>
      <c r="AB27" s="7" t="s">
        <v>29</v>
      </c>
      <c r="AC27" s="7">
        <v>1</v>
      </c>
      <c r="AD27" s="7"/>
      <c r="AE27" s="7"/>
      <c r="AF27" s="7" t="s">
        <v>2598</v>
      </c>
      <c r="AG27" s="7"/>
    </row>
    <row r="28" spans="1:51" x14ac:dyDescent="0.2">
      <c r="A28" s="9" t="s">
        <v>567</v>
      </c>
      <c r="B28" s="9">
        <v>1921</v>
      </c>
      <c r="C28" s="7">
        <v>3</v>
      </c>
      <c r="D28" s="7" t="s">
        <v>2600</v>
      </c>
      <c r="H28">
        <v>9</v>
      </c>
      <c r="I28">
        <v>21</v>
      </c>
      <c r="J28">
        <f t="shared" ref="J28:T28" si="0">SUM(J3:J27)</f>
        <v>17</v>
      </c>
      <c r="K28">
        <f t="shared" si="0"/>
        <v>2</v>
      </c>
      <c r="L28">
        <f t="shared" si="0"/>
        <v>1</v>
      </c>
      <c r="M28">
        <f t="shared" si="0"/>
        <v>1</v>
      </c>
      <c r="N28">
        <f t="shared" si="0"/>
        <v>2</v>
      </c>
      <c r="O28">
        <f t="shared" si="0"/>
        <v>3</v>
      </c>
      <c r="P28">
        <f t="shared" si="0"/>
        <v>1</v>
      </c>
      <c r="Q28">
        <f t="shared" si="0"/>
        <v>1</v>
      </c>
      <c r="R28">
        <f t="shared" si="0"/>
        <v>0</v>
      </c>
      <c r="S28">
        <f t="shared" si="0"/>
        <v>14</v>
      </c>
      <c r="T28">
        <f t="shared" si="0"/>
        <v>729</v>
      </c>
      <c r="AC28">
        <f>SUM(AC3:AC27)</f>
        <v>14</v>
      </c>
      <c r="AD28">
        <f>SUM(AD3:AD27)</f>
        <v>1</v>
      </c>
      <c r="AE28">
        <f>SUM(AE3:AE27)</f>
        <v>0</v>
      </c>
      <c r="AF28">
        <f>SUM(AF3:AF27)</f>
        <v>11</v>
      </c>
      <c r="AG28">
        <f>I28-AF28</f>
        <v>10</v>
      </c>
    </row>
    <row r="29" spans="1:51" x14ac:dyDescent="0.2">
      <c r="T29" s="64">
        <f>T28/I28</f>
        <v>34.714285714285715</v>
      </c>
    </row>
    <row r="37" spans="1:51" ht="17.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6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" customHeight="1" x14ac:dyDescent="0.2"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50" spans="1:51" ht="17.5" customHeight="1" x14ac:dyDescent="0.2">
      <c r="A50" s="7"/>
      <c r="B50" s="7"/>
      <c r="C50" s="7"/>
      <c r="D50" s="7"/>
      <c r="E50" s="7"/>
      <c r="F50" s="7"/>
      <c r="G50" s="7"/>
      <c r="H50" s="7" t="s">
        <v>0</v>
      </c>
      <c r="I50" s="7" t="s">
        <v>1</v>
      </c>
      <c r="J50" s="7" t="s">
        <v>2</v>
      </c>
      <c r="K50" s="7" t="s">
        <v>3</v>
      </c>
      <c r="L50" s="7" t="s">
        <v>4</v>
      </c>
      <c r="M50" s="6" t="s">
        <v>5</v>
      </c>
      <c r="N50" s="6" t="s">
        <v>6</v>
      </c>
      <c r="O50" s="6" t="s">
        <v>7</v>
      </c>
      <c r="P50" s="6" t="s">
        <v>8</v>
      </c>
      <c r="Q50" s="7"/>
      <c r="R50" s="6"/>
      <c r="S50" s="6"/>
      <c r="T50" s="7"/>
      <c r="U50" s="6"/>
      <c r="V50" s="6"/>
      <c r="W50" s="6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 t="s">
        <v>1328</v>
      </c>
      <c r="I51" s="7" t="s">
        <v>1329</v>
      </c>
      <c r="J51" s="7" t="s">
        <v>12</v>
      </c>
      <c r="K51" s="7" t="s">
        <v>13</v>
      </c>
      <c r="L51" s="7">
        <v>1864</v>
      </c>
      <c r="M51" s="6">
        <v>56</v>
      </c>
      <c r="N51" s="6" t="s">
        <v>14</v>
      </c>
      <c r="O51" s="6" t="s">
        <v>1330</v>
      </c>
      <c r="P51" s="6" t="s">
        <v>8</v>
      </c>
      <c r="Q51" s="7"/>
      <c r="R51" s="6"/>
      <c r="S51" s="6"/>
      <c r="T51" s="7"/>
      <c r="U51" s="6"/>
      <c r="V51" s="6"/>
      <c r="W51" s="6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" customHeight="1" x14ac:dyDescent="0.2">
      <c r="A52" s="7"/>
      <c r="B52" s="7"/>
      <c r="C52" s="7"/>
      <c r="D52" s="7"/>
      <c r="E52" s="7"/>
      <c r="F52" s="7"/>
      <c r="G52" s="7"/>
      <c r="H52" s="7" t="s">
        <v>1300</v>
      </c>
      <c r="I52" s="7" t="s">
        <v>1329</v>
      </c>
      <c r="J52" s="7" t="s">
        <v>18</v>
      </c>
      <c r="K52" s="7" t="s">
        <v>19</v>
      </c>
      <c r="L52" s="7">
        <v>1866</v>
      </c>
      <c r="M52" s="7">
        <v>54</v>
      </c>
      <c r="N52" s="7" t="s">
        <v>14</v>
      </c>
      <c r="O52" s="7" t="s">
        <v>1331</v>
      </c>
      <c r="P52" s="7" t="s">
        <v>16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 t="s">
        <v>1332</v>
      </c>
      <c r="I53" s="7" t="s">
        <v>1333</v>
      </c>
      <c r="J53" s="7" t="s">
        <v>26</v>
      </c>
      <c r="K53" s="7" t="s">
        <v>19</v>
      </c>
      <c r="L53" s="7">
        <v>1891</v>
      </c>
      <c r="M53" s="6">
        <v>30</v>
      </c>
      <c r="N53" s="6" t="s">
        <v>1334</v>
      </c>
      <c r="O53" s="6" t="s">
        <v>33</v>
      </c>
      <c r="P53" s="6" t="s">
        <v>29</v>
      </c>
      <c r="Q53" s="7"/>
      <c r="R53" s="6"/>
      <c r="S53" s="6"/>
      <c r="T53" s="19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 t="s">
        <v>64</v>
      </c>
      <c r="I54" s="7" t="s">
        <v>1335</v>
      </c>
      <c r="J54" s="7" t="s">
        <v>26</v>
      </c>
      <c r="K54" s="7" t="s">
        <v>19</v>
      </c>
      <c r="L54" s="7">
        <v>1892</v>
      </c>
      <c r="M54" s="6">
        <v>28</v>
      </c>
      <c r="N54" s="6" t="s">
        <v>438</v>
      </c>
      <c r="O54" s="6" t="s">
        <v>330</v>
      </c>
      <c r="P54" s="6" t="s">
        <v>29</v>
      </c>
      <c r="Q54" s="7"/>
      <c r="R54" s="6"/>
      <c r="S54" s="6"/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 t="s">
        <v>899</v>
      </c>
      <c r="I55" s="7" t="s">
        <v>1336</v>
      </c>
      <c r="J55" s="7" t="s">
        <v>26</v>
      </c>
      <c r="K55" s="7" t="s">
        <v>19</v>
      </c>
      <c r="L55" s="7">
        <v>1881</v>
      </c>
      <c r="M55" s="6">
        <v>40</v>
      </c>
      <c r="N55" s="6" t="s">
        <v>1337</v>
      </c>
      <c r="O55" s="6" t="s">
        <v>360</v>
      </c>
      <c r="P55" s="6" t="s">
        <v>29</v>
      </c>
      <c r="Q55" s="7"/>
      <c r="R55" s="6"/>
      <c r="S55" s="6"/>
      <c r="T55" s="7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7"/>
      <c r="B56" s="7"/>
      <c r="C56" s="7"/>
      <c r="D56" s="7"/>
      <c r="E56" s="7"/>
      <c r="F56" s="7"/>
      <c r="G56" s="7"/>
      <c r="H56" s="7" t="s">
        <v>1338</v>
      </c>
      <c r="I56" s="7" t="s">
        <v>1339</v>
      </c>
      <c r="J56" s="7" t="s">
        <v>26</v>
      </c>
      <c r="K56" s="7" t="s">
        <v>19</v>
      </c>
      <c r="L56" s="7">
        <v>1904</v>
      </c>
      <c r="M56" s="6">
        <v>17</v>
      </c>
      <c r="N56" s="6" t="s">
        <v>739</v>
      </c>
      <c r="O56" s="6" t="s">
        <v>137</v>
      </c>
      <c r="P56" s="6" t="s">
        <v>29</v>
      </c>
      <c r="Q56" s="7"/>
      <c r="R56" s="6"/>
      <c r="S56" s="6"/>
      <c r="T56" s="19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6"/>
      <c r="N57" s="6"/>
      <c r="O57" s="6"/>
      <c r="P57" s="6"/>
      <c r="Q57" s="7"/>
      <c r="R57" s="6"/>
      <c r="S57" s="6"/>
      <c r="T57" s="7"/>
      <c r="U57" s="6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/>
      <c r="G58" s="7"/>
      <c r="H58" s="7" t="s">
        <v>0</v>
      </c>
      <c r="I58" s="7" t="s">
        <v>1</v>
      </c>
      <c r="J58" s="7" t="s">
        <v>2</v>
      </c>
      <c r="K58" s="7" t="s">
        <v>3</v>
      </c>
      <c r="L58" s="7" t="s">
        <v>4</v>
      </c>
      <c r="M58" s="6" t="s">
        <v>5</v>
      </c>
      <c r="N58" s="6" t="s">
        <v>6</v>
      </c>
      <c r="O58" s="6" t="s">
        <v>7</v>
      </c>
      <c r="P58" s="6" t="s">
        <v>8</v>
      </c>
      <c r="Q58" s="7"/>
      <c r="R58" s="6"/>
      <c r="S58" s="6"/>
      <c r="T58" s="7"/>
      <c r="U58" s="6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/>
      <c r="B59" s="7"/>
      <c r="C59" s="7"/>
      <c r="D59" s="7"/>
      <c r="E59" s="7"/>
      <c r="F59" s="7"/>
      <c r="G59" s="7"/>
      <c r="H59" s="7" t="s">
        <v>1340</v>
      </c>
      <c r="I59" s="7" t="s">
        <v>1341</v>
      </c>
      <c r="J59" s="7" t="s">
        <v>18</v>
      </c>
      <c r="K59" s="7" t="s">
        <v>19</v>
      </c>
      <c r="L59" s="7">
        <v>1865</v>
      </c>
      <c r="M59" s="6">
        <v>56</v>
      </c>
      <c r="N59" s="6" t="s">
        <v>49</v>
      </c>
      <c r="O59" s="6" t="s">
        <v>20</v>
      </c>
      <c r="P59" s="6" t="s">
        <v>20</v>
      </c>
      <c r="Q59" s="7"/>
      <c r="R59" s="6"/>
      <c r="S59" s="6"/>
      <c r="T59" s="7"/>
      <c r="U59" s="6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" customHeight="1" x14ac:dyDescent="0.2">
      <c r="A60" s="4" t="s">
        <v>252</v>
      </c>
      <c r="B60" s="7"/>
      <c r="C60" s="7"/>
      <c r="D60" s="7"/>
      <c r="E60" s="7"/>
      <c r="F60" s="7"/>
      <c r="G60" s="7">
        <f>SUM(G3:G59)</f>
        <v>0</v>
      </c>
      <c r="H60" s="7" t="s">
        <v>170</v>
      </c>
      <c r="I60" s="7" t="s">
        <v>1342</v>
      </c>
      <c r="J60" s="7" t="s">
        <v>26</v>
      </c>
      <c r="K60" s="7" t="s">
        <v>19</v>
      </c>
      <c r="L60" s="7">
        <v>1864</v>
      </c>
      <c r="M60" s="7">
        <v>57</v>
      </c>
      <c r="N60" s="7" t="s">
        <v>1343</v>
      </c>
      <c r="O60" s="7" t="s">
        <v>33</v>
      </c>
      <c r="P60" s="7" t="s">
        <v>29</v>
      </c>
      <c r="Q60" s="7">
        <f t="shared" ref="Q60:W60" si="1">SUM(Q3:Q59)</f>
        <v>2</v>
      </c>
      <c r="R60" s="7">
        <f t="shared" si="1"/>
        <v>0</v>
      </c>
      <c r="S60" s="7">
        <f t="shared" si="1"/>
        <v>28</v>
      </c>
      <c r="T60" s="7">
        <f t="shared" si="1"/>
        <v>1492.7142857142858</v>
      </c>
      <c r="U60" s="7">
        <f t="shared" si="1"/>
        <v>0</v>
      </c>
      <c r="V60" s="7">
        <f t="shared" si="1"/>
        <v>0</v>
      </c>
      <c r="W60" s="7">
        <f t="shared" si="1"/>
        <v>0</v>
      </c>
      <c r="X60" s="7"/>
      <c r="Y60" s="7"/>
      <c r="Z60" s="7">
        <f>SUM(Z3:Z59)</f>
        <v>0</v>
      </c>
      <c r="AA60" s="7">
        <f>SUM(AA3:AA59)</f>
        <v>0</v>
      </c>
      <c r="AB60" s="7">
        <f>SUM(AB3:AB59)</f>
        <v>0</v>
      </c>
      <c r="AC60" s="7">
        <f>SUM(AC3:AC59)</f>
        <v>28</v>
      </c>
      <c r="AD60" s="7">
        <f>SUM(AD3:AD59)</f>
        <v>2</v>
      </c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" customHeight="1" x14ac:dyDescent="0.2">
      <c r="A61" s="7"/>
      <c r="B61" s="7"/>
      <c r="C61" s="7"/>
      <c r="D61" s="7"/>
      <c r="E61" s="7"/>
      <c r="F61" s="7"/>
      <c r="G61" s="7"/>
      <c r="H61" s="7" t="s">
        <v>1344</v>
      </c>
      <c r="I61" s="7" t="s">
        <v>1345</v>
      </c>
      <c r="J61" s="7" t="s">
        <v>26</v>
      </c>
      <c r="K61" s="7" t="s">
        <v>19</v>
      </c>
      <c r="L61" s="7">
        <v>1891</v>
      </c>
      <c r="M61" s="7">
        <v>30</v>
      </c>
      <c r="N61" s="7" t="s">
        <v>1346</v>
      </c>
      <c r="O61" s="7" t="s">
        <v>360</v>
      </c>
      <c r="P61" s="7" t="s">
        <v>29</v>
      </c>
      <c r="Q61" s="20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" customHeight="1" x14ac:dyDescent="0.2">
      <c r="A62" s="7"/>
      <c r="B62" s="7"/>
      <c r="C62" s="7"/>
      <c r="D62" s="7"/>
      <c r="E62" s="7"/>
      <c r="F62" s="7"/>
      <c r="G62" s="21"/>
      <c r="H62" s="21" t="s">
        <v>768</v>
      </c>
      <c r="I62" s="21" t="s">
        <v>1347</v>
      </c>
      <c r="J62" s="7" t="s">
        <v>26</v>
      </c>
      <c r="K62" s="7" t="s">
        <v>19</v>
      </c>
      <c r="L62" s="7">
        <v>1900</v>
      </c>
      <c r="M62" s="7">
        <v>21</v>
      </c>
      <c r="N62" s="7" t="s">
        <v>368</v>
      </c>
      <c r="O62" s="7" t="s">
        <v>1348</v>
      </c>
      <c r="P62" s="7" t="s">
        <v>29</v>
      </c>
      <c r="Q62" s="20"/>
      <c r="R62" s="21"/>
      <c r="S62" s="21"/>
      <c r="T62" s="21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A63" s="7"/>
      <c r="B63" s="7"/>
      <c r="C63" s="7"/>
      <c r="D63" s="7"/>
      <c r="E63" s="7"/>
      <c r="F63" s="7"/>
      <c r="G63" s="7"/>
      <c r="H63" s="7" t="s">
        <v>704</v>
      </c>
      <c r="I63" s="7" t="s">
        <v>118</v>
      </c>
      <c r="J63" s="7" t="s">
        <v>26</v>
      </c>
      <c r="K63" s="7" t="s">
        <v>19</v>
      </c>
      <c r="L63" s="7">
        <v>1896</v>
      </c>
      <c r="M63" s="7">
        <v>24</v>
      </c>
      <c r="N63" s="7" t="s">
        <v>1349</v>
      </c>
      <c r="O63" s="7" t="s">
        <v>137</v>
      </c>
      <c r="P63" s="7" t="s">
        <v>29</v>
      </c>
      <c r="Q63" s="7"/>
      <c r="R63" s="6"/>
      <c r="S63" s="6"/>
      <c r="T63" s="19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" customHeight="1" x14ac:dyDescent="0.2">
      <c r="A64" s="7"/>
      <c r="B64" s="7"/>
      <c r="C64" s="7"/>
      <c r="D64" s="7"/>
      <c r="E64" s="7"/>
      <c r="F64" s="7"/>
      <c r="G64" s="7"/>
      <c r="H64" s="7" t="s">
        <v>1350</v>
      </c>
      <c r="I64" s="7" t="s">
        <v>1351</v>
      </c>
      <c r="J64" s="7" t="s">
        <v>26</v>
      </c>
      <c r="K64" s="7" t="s">
        <v>19</v>
      </c>
      <c r="L64" s="7">
        <v>1903</v>
      </c>
      <c r="M64" s="7">
        <v>17</v>
      </c>
      <c r="N64" s="7" t="s">
        <v>1352</v>
      </c>
      <c r="O64" s="7" t="s">
        <v>708</v>
      </c>
      <c r="P64" s="7" t="s">
        <v>29</v>
      </c>
      <c r="Q64" s="7"/>
      <c r="R64" s="21"/>
      <c r="S64" s="21"/>
      <c r="T64" s="21"/>
      <c r="U64" s="7"/>
      <c r="V64" s="7"/>
      <c r="W64" s="7"/>
      <c r="X64" s="7"/>
      <c r="Y64" s="7"/>
      <c r="Z64" s="7"/>
      <c r="AA64" s="7"/>
      <c r="AB64" s="7"/>
      <c r="AC64" s="22"/>
      <c r="AD64" s="22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6" spans="8:16" ht="34" x14ac:dyDescent="0.2">
      <c r="H66" s="5" t="s">
        <v>0</v>
      </c>
      <c r="I66" s="5" t="s">
        <v>1</v>
      </c>
      <c r="J66" s="5" t="s">
        <v>2</v>
      </c>
      <c r="K66" s="10" t="s">
        <v>3</v>
      </c>
      <c r="L66" s="5" t="s">
        <v>4</v>
      </c>
      <c r="M66" s="5" t="s">
        <v>5</v>
      </c>
      <c r="N66" s="5" t="s">
        <v>6</v>
      </c>
      <c r="O66" s="5" t="s">
        <v>7</v>
      </c>
      <c r="P66" s="5" t="s">
        <v>8</v>
      </c>
    </row>
    <row r="67" spans="8:16" ht="68" x14ac:dyDescent="0.2">
      <c r="H67" s="7" t="s">
        <v>2583</v>
      </c>
      <c r="I67" s="7" t="s">
        <v>2582</v>
      </c>
      <c r="J67" s="7" t="s">
        <v>12</v>
      </c>
      <c r="K67" s="7" t="s">
        <v>13</v>
      </c>
      <c r="L67" s="7">
        <v>1884</v>
      </c>
      <c r="M67" s="6">
        <v>37</v>
      </c>
      <c r="N67" s="6" t="s">
        <v>2584</v>
      </c>
      <c r="O67" s="6" t="s">
        <v>47</v>
      </c>
      <c r="P67" s="6" t="s">
        <v>20</v>
      </c>
    </row>
    <row r="68" spans="8:16" ht="85" x14ac:dyDescent="0.2">
      <c r="H68" s="7" t="s">
        <v>48</v>
      </c>
      <c r="I68" s="7" t="s">
        <v>2585</v>
      </c>
      <c r="J68" s="7" t="s">
        <v>18</v>
      </c>
      <c r="K68" s="7" t="s">
        <v>19</v>
      </c>
      <c r="L68" s="7">
        <v>1884</v>
      </c>
      <c r="M68" s="6">
        <v>36</v>
      </c>
      <c r="N68" s="6" t="s">
        <v>49</v>
      </c>
      <c r="O68" s="6" t="s">
        <v>50</v>
      </c>
      <c r="P68" s="6" t="s">
        <v>20</v>
      </c>
    </row>
    <row r="69" spans="8:16" ht="85" x14ac:dyDescent="0.2">
      <c r="H69" s="7" t="s">
        <v>2586</v>
      </c>
      <c r="I69" s="7" t="s">
        <v>2585</v>
      </c>
      <c r="J69" s="7" t="s">
        <v>51</v>
      </c>
      <c r="K69" s="7" t="s">
        <v>13</v>
      </c>
      <c r="L69" s="7">
        <v>1918</v>
      </c>
      <c r="M69" s="6">
        <v>3</v>
      </c>
      <c r="N69" s="6" t="s">
        <v>49</v>
      </c>
      <c r="O69" s="6" t="s">
        <v>20</v>
      </c>
      <c r="P69" s="6" t="s">
        <v>20</v>
      </c>
    </row>
    <row r="70" spans="8:16" ht="85" x14ac:dyDescent="0.2">
      <c r="H70" s="7" t="s">
        <v>2587</v>
      </c>
      <c r="I70" s="7" t="s">
        <v>2585</v>
      </c>
      <c r="J70" s="7" t="s">
        <v>22</v>
      </c>
      <c r="K70" s="7" t="s">
        <v>19</v>
      </c>
      <c r="L70" s="7">
        <v>1920</v>
      </c>
      <c r="M70" s="6">
        <v>1</v>
      </c>
      <c r="N70" s="6" t="s">
        <v>49</v>
      </c>
      <c r="O70" s="6" t="s">
        <v>20</v>
      </c>
      <c r="P70" s="6" t="s">
        <v>20</v>
      </c>
    </row>
    <row r="71" spans="8:16" ht="85" x14ac:dyDescent="0.2">
      <c r="H71" s="7" t="s">
        <v>2588</v>
      </c>
      <c r="I71" s="7" t="s">
        <v>2589</v>
      </c>
      <c r="J71" s="7" t="s">
        <v>26</v>
      </c>
      <c r="K71" s="7" t="s">
        <v>19</v>
      </c>
      <c r="L71" s="7">
        <v>1850</v>
      </c>
      <c r="M71" s="6">
        <v>70</v>
      </c>
      <c r="N71" s="6" t="s">
        <v>49</v>
      </c>
      <c r="O71" s="6" t="s">
        <v>52</v>
      </c>
      <c r="P71" s="6" t="s">
        <v>29</v>
      </c>
    </row>
    <row r="72" spans="8:16" ht="68" x14ac:dyDescent="0.2">
      <c r="H72" s="7" t="s">
        <v>704</v>
      </c>
      <c r="I72" s="7" t="s">
        <v>2590</v>
      </c>
      <c r="J72" s="7" t="s">
        <v>26</v>
      </c>
      <c r="K72" s="7" t="s">
        <v>19</v>
      </c>
      <c r="L72" s="7">
        <v>1868</v>
      </c>
      <c r="M72" s="6">
        <v>53</v>
      </c>
      <c r="N72" s="6" t="s">
        <v>2591</v>
      </c>
      <c r="O72" s="6" t="s">
        <v>33</v>
      </c>
      <c r="P72" s="6" t="s">
        <v>29</v>
      </c>
    </row>
    <row r="73" spans="8:16" ht="68" x14ac:dyDescent="0.2">
      <c r="H73" s="7" t="s">
        <v>2592</v>
      </c>
      <c r="I73" s="7" t="s">
        <v>2593</v>
      </c>
      <c r="J73" s="7" t="s">
        <v>26</v>
      </c>
      <c r="K73" s="7" t="s">
        <v>19</v>
      </c>
      <c r="L73" s="7">
        <v>1893</v>
      </c>
      <c r="M73" s="6">
        <v>28</v>
      </c>
      <c r="N73" s="6" t="s">
        <v>705</v>
      </c>
      <c r="O73" s="6" t="s">
        <v>344</v>
      </c>
      <c r="P73" s="6" t="s">
        <v>29</v>
      </c>
    </row>
    <row r="74" spans="8:16" ht="51" x14ac:dyDescent="0.2">
      <c r="H74" s="7" t="s">
        <v>1034</v>
      </c>
      <c r="I74" s="7" t="s">
        <v>2594</v>
      </c>
      <c r="J74" s="7" t="s">
        <v>26</v>
      </c>
      <c r="K74" s="7" t="s">
        <v>19</v>
      </c>
      <c r="L74" s="7">
        <v>1868</v>
      </c>
      <c r="M74" s="6">
        <v>53</v>
      </c>
      <c r="N74" s="6" t="s">
        <v>2595</v>
      </c>
      <c r="O74" s="6" t="s">
        <v>1037</v>
      </c>
      <c r="P74" s="6" t="s">
        <v>29</v>
      </c>
    </row>
    <row r="75" spans="8:16" x14ac:dyDescent="0.2">
      <c r="H75" s="7" t="s">
        <v>2596</v>
      </c>
      <c r="I75" s="7" t="s">
        <v>2597</v>
      </c>
      <c r="J75" s="7" t="s">
        <v>26</v>
      </c>
      <c r="K75" s="7" t="s">
        <v>19</v>
      </c>
      <c r="L75" s="7">
        <v>1903</v>
      </c>
      <c r="M75" s="7">
        <v>18</v>
      </c>
      <c r="N75" s="7" t="s">
        <v>2598</v>
      </c>
      <c r="O75" s="7" t="s">
        <v>2599</v>
      </c>
      <c r="P75" s="7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7DAE-E0CE-644F-86A9-6FE32E2F539A}">
  <dimension ref="A1:BC37"/>
  <sheetViews>
    <sheetView workbookViewId="0">
      <selection activeCell="I25" sqref="I25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22.83203125" customWidth="1"/>
    <col min="11" max="11" width="19.164062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55" customFormat="1" ht="17.5" customHeight="1" x14ac:dyDescent="0.2">
      <c r="A3" s="227" t="s">
        <v>569</v>
      </c>
      <c r="B3" s="227">
        <v>1921</v>
      </c>
      <c r="C3" s="227">
        <v>1</v>
      </c>
      <c r="D3" s="227" t="s">
        <v>570</v>
      </c>
      <c r="E3" s="227"/>
      <c r="F3" s="227"/>
      <c r="G3" s="227" t="s">
        <v>1356</v>
      </c>
      <c r="H3" s="227" t="s">
        <v>1355</v>
      </c>
      <c r="I3" s="55">
        <v>1</v>
      </c>
      <c r="J3" s="227">
        <v>1</v>
      </c>
      <c r="N3" s="227" t="s">
        <v>12</v>
      </c>
      <c r="P3" s="227">
        <v>1851</v>
      </c>
      <c r="T3" s="229">
        <v>70</v>
      </c>
      <c r="V3" s="229" t="s">
        <v>20</v>
      </c>
      <c r="X3" s="227"/>
      <c r="Y3" s="227"/>
      <c r="Z3" s="227"/>
      <c r="AA3" s="229" t="s">
        <v>20</v>
      </c>
      <c r="AB3" s="227"/>
      <c r="AC3" s="227"/>
      <c r="AD3" s="227"/>
      <c r="AE3" s="227"/>
      <c r="AF3" s="227"/>
      <c r="AG3" s="229" t="s">
        <v>1357</v>
      </c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</row>
    <row r="4" spans="1:55" ht="17.5" customHeight="1" x14ac:dyDescent="0.2">
      <c r="A4" s="7" t="s">
        <v>569</v>
      </c>
      <c r="B4" s="7">
        <v>1921</v>
      </c>
      <c r="C4" s="7">
        <v>1</v>
      </c>
      <c r="D4" s="7" t="s">
        <v>570</v>
      </c>
      <c r="E4" s="7"/>
      <c r="F4" s="7"/>
      <c r="G4" s="7" t="s">
        <v>442</v>
      </c>
      <c r="H4" s="7" t="s">
        <v>1358</v>
      </c>
      <c r="I4">
        <v>1</v>
      </c>
      <c r="J4" s="7">
        <v>1</v>
      </c>
      <c r="N4" s="7" t="s">
        <v>1359</v>
      </c>
      <c r="P4" s="7">
        <v>1884</v>
      </c>
      <c r="T4" s="6">
        <v>37</v>
      </c>
      <c r="V4" s="6" t="s">
        <v>20</v>
      </c>
      <c r="X4" s="7"/>
      <c r="Y4" s="7"/>
      <c r="Z4" s="7"/>
      <c r="AA4" s="6" t="s">
        <v>29</v>
      </c>
      <c r="AB4" s="7"/>
      <c r="AC4" s="7">
        <v>1</v>
      </c>
      <c r="AD4" s="7"/>
      <c r="AE4" s="7">
        <v>1</v>
      </c>
      <c r="AF4" s="7">
        <v>1</v>
      </c>
      <c r="AG4" s="6" t="s">
        <v>1360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7" t="s">
        <v>569</v>
      </c>
      <c r="B5" s="7">
        <v>1921</v>
      </c>
      <c r="C5" s="7">
        <v>1</v>
      </c>
      <c r="D5" s="7" t="s">
        <v>570</v>
      </c>
      <c r="E5" s="7"/>
      <c r="F5" s="7"/>
      <c r="G5" s="7" t="s">
        <v>448</v>
      </c>
      <c r="H5" s="7" t="s">
        <v>1361</v>
      </c>
      <c r="I5">
        <v>1</v>
      </c>
      <c r="J5" s="7">
        <v>1</v>
      </c>
      <c r="N5" s="7" t="s">
        <v>28</v>
      </c>
      <c r="P5" s="7">
        <v>1905</v>
      </c>
      <c r="T5" s="6">
        <v>16</v>
      </c>
      <c r="V5" s="6" t="s">
        <v>20</v>
      </c>
      <c r="X5" s="7"/>
      <c r="Y5" s="7"/>
      <c r="Z5" s="7"/>
      <c r="AA5" s="6" t="s">
        <v>29</v>
      </c>
      <c r="AB5" s="7"/>
      <c r="AC5" s="7">
        <v>1</v>
      </c>
      <c r="AD5" s="7"/>
      <c r="AE5" s="7">
        <v>1</v>
      </c>
      <c r="AF5" s="7">
        <v>1</v>
      </c>
      <c r="AG5" s="6" t="s">
        <v>40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7" t="s">
        <v>569</v>
      </c>
      <c r="B6" s="7">
        <v>1921</v>
      </c>
      <c r="C6" s="7">
        <v>1</v>
      </c>
      <c r="D6" s="7" t="s">
        <v>570</v>
      </c>
      <c r="E6" s="7"/>
      <c r="F6" s="7"/>
      <c r="G6" s="7"/>
      <c r="H6" s="7">
        <v>3</v>
      </c>
      <c r="J6" s="7"/>
      <c r="K6" s="7"/>
      <c r="L6" s="7"/>
      <c r="M6" s="6"/>
      <c r="N6" s="6"/>
      <c r="O6" s="6"/>
      <c r="P6" s="6"/>
      <c r="Q6" s="6"/>
      <c r="R6" s="6"/>
      <c r="S6" s="6"/>
      <c r="T6" s="6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7" t="s">
        <v>569</v>
      </c>
      <c r="B7" s="7">
        <v>1921</v>
      </c>
      <c r="C7" s="7">
        <v>1</v>
      </c>
      <c r="D7" s="7" t="s">
        <v>570</v>
      </c>
      <c r="E7" s="7"/>
      <c r="F7" s="7"/>
      <c r="G7" s="7"/>
      <c r="H7" s="7"/>
      <c r="I7" s="7">
        <f>SUM(I3:I6)</f>
        <v>3</v>
      </c>
      <c r="J7" s="7">
        <f>SUM(J3:J6)</f>
        <v>3</v>
      </c>
      <c r="K7" s="7">
        <f t="shared" ref="K7:AF7" si="0">SUM(K3:K6)</f>
        <v>0</v>
      </c>
      <c r="L7" s="7">
        <f t="shared" si="0"/>
        <v>0</v>
      </c>
      <c r="M7" s="7">
        <f t="shared" si="0"/>
        <v>0</v>
      </c>
      <c r="N7" s="7">
        <f t="shared" si="0"/>
        <v>0</v>
      </c>
      <c r="O7" s="7">
        <f t="shared" si="0"/>
        <v>0</v>
      </c>
      <c r="P7" s="7"/>
      <c r="Q7" s="7">
        <f t="shared" ref="Q7:W7" si="1">SUM(Q3:Q6)</f>
        <v>0</v>
      </c>
      <c r="R7" s="7">
        <f t="shared" si="1"/>
        <v>0</v>
      </c>
      <c r="S7" s="7">
        <f t="shared" si="1"/>
        <v>0</v>
      </c>
      <c r="T7" s="7">
        <f t="shared" si="1"/>
        <v>123</v>
      </c>
      <c r="U7" s="7">
        <f t="shared" si="1"/>
        <v>0</v>
      </c>
      <c r="V7" s="7">
        <f t="shared" si="1"/>
        <v>0</v>
      </c>
      <c r="W7" s="7">
        <f t="shared" si="1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>SUM(AA3:AA6)</f>
        <v>0</v>
      </c>
      <c r="AB7" s="7">
        <f t="shared" si="0"/>
        <v>0</v>
      </c>
      <c r="AC7" s="7">
        <f t="shared" si="0"/>
        <v>2</v>
      </c>
      <c r="AD7" s="7">
        <f t="shared" si="0"/>
        <v>0</v>
      </c>
      <c r="AE7" s="7">
        <f t="shared" si="0"/>
        <v>2</v>
      </c>
      <c r="AF7" s="7">
        <f t="shared" si="0"/>
        <v>2</v>
      </c>
      <c r="AG7" s="7">
        <f>I7-AF7</f>
        <v>1</v>
      </c>
      <c r="AH7" s="7">
        <f>AG7+AF7</f>
        <v>3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6"/>
      <c r="N8" s="6"/>
      <c r="O8" s="6"/>
      <c r="P8" s="6"/>
      <c r="Q8" s="7"/>
      <c r="R8" s="6"/>
      <c r="S8" s="6"/>
      <c r="T8" s="7">
        <f>T7/I7</f>
        <v>41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6"/>
      <c r="N9" s="6"/>
      <c r="O9" s="6"/>
      <c r="P9" s="6"/>
      <c r="Q9" s="6"/>
      <c r="R9" s="6"/>
      <c r="S9" s="6"/>
      <c r="T9" s="6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6"/>
      <c r="N10" s="6"/>
      <c r="O10" s="6"/>
      <c r="P10" s="6"/>
      <c r="Q10" s="6"/>
      <c r="R10" s="6"/>
      <c r="S10" s="6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" customHeight="1" x14ac:dyDescent="0.2">
      <c r="A11" s="4" t="s">
        <v>252</v>
      </c>
      <c r="B11" s="7"/>
      <c r="C11" s="7"/>
      <c r="D11" s="7"/>
      <c r="E11" s="7"/>
      <c r="F11" s="7"/>
      <c r="G11" s="7">
        <f t="shared" ref="G11:AD11" si="2">SUM(G3:G10)</f>
        <v>0</v>
      </c>
      <c r="H11" s="7">
        <f t="shared" si="2"/>
        <v>3</v>
      </c>
      <c r="I11" s="7">
        <f t="shared" si="2"/>
        <v>6</v>
      </c>
      <c r="J11" s="7">
        <f t="shared" si="2"/>
        <v>6</v>
      </c>
      <c r="K11" s="7">
        <f t="shared" si="2"/>
        <v>0</v>
      </c>
      <c r="L11" s="7">
        <f t="shared" si="2"/>
        <v>0</v>
      </c>
      <c r="M11" s="7">
        <f t="shared" si="2"/>
        <v>0</v>
      </c>
      <c r="N11" s="7">
        <f t="shared" si="2"/>
        <v>0</v>
      </c>
      <c r="O11" s="7">
        <f t="shared" si="2"/>
        <v>0</v>
      </c>
      <c r="P11" s="7">
        <f t="shared" si="2"/>
        <v>5640</v>
      </c>
      <c r="Q11" s="7">
        <f t="shared" si="2"/>
        <v>0</v>
      </c>
      <c r="R11" s="7">
        <f t="shared" si="2"/>
        <v>0</v>
      </c>
      <c r="S11" s="7">
        <f t="shared" si="2"/>
        <v>0</v>
      </c>
      <c r="T11" s="7">
        <f t="shared" si="2"/>
        <v>287</v>
      </c>
      <c r="U11" s="7">
        <f t="shared" si="2"/>
        <v>0</v>
      </c>
      <c r="V11" s="7">
        <f t="shared" si="2"/>
        <v>0</v>
      </c>
      <c r="W11" s="7">
        <f t="shared" si="2"/>
        <v>0</v>
      </c>
      <c r="X11" s="7">
        <f t="shared" si="2"/>
        <v>0</v>
      </c>
      <c r="Y11" s="7">
        <f t="shared" si="2"/>
        <v>0</v>
      </c>
      <c r="Z11" s="7">
        <f t="shared" si="2"/>
        <v>0</v>
      </c>
      <c r="AA11" s="7">
        <f t="shared" si="2"/>
        <v>0</v>
      </c>
      <c r="AB11" s="7">
        <f t="shared" si="2"/>
        <v>0</v>
      </c>
      <c r="AC11" s="7">
        <f t="shared" si="2"/>
        <v>4</v>
      </c>
      <c r="AD11" s="7">
        <f t="shared" si="2"/>
        <v>0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7"/>
      <c r="B12" s="7"/>
      <c r="C12" s="7"/>
      <c r="D12" s="7"/>
      <c r="E12" s="7"/>
      <c r="F12" s="7"/>
      <c r="G12" s="7">
        <f>G11+H11+I11+J11</f>
        <v>15</v>
      </c>
      <c r="H12" s="7"/>
      <c r="I12" s="7"/>
      <c r="J12" s="7"/>
      <c r="K12" s="7">
        <f>K11+L11+M11+N11+O11+P11</f>
        <v>5640</v>
      </c>
      <c r="L12" s="7"/>
      <c r="M12" s="6"/>
      <c r="N12" s="6"/>
      <c r="O12" s="6"/>
      <c r="P12" s="6"/>
      <c r="Q12" s="6">
        <f>Q11/K12</f>
        <v>0</v>
      </c>
      <c r="R12" s="6"/>
      <c r="S12" s="6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6"/>
      <c r="N13" s="6"/>
      <c r="O13" s="6"/>
      <c r="P13" s="6"/>
      <c r="Q13" s="6"/>
      <c r="R13" s="6"/>
      <c r="S13" s="6"/>
      <c r="T13" s="6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11"/>
      <c r="B14" s="11"/>
      <c r="C14" s="11"/>
      <c r="D14" s="12"/>
      <c r="E14" s="11"/>
      <c r="F14" s="12"/>
      <c r="G14" s="12"/>
      <c r="H14" s="12"/>
      <c r="I14" s="12"/>
      <c r="J14" s="12"/>
      <c r="K14" s="13"/>
      <c r="L14" s="12"/>
      <c r="M14" s="12"/>
      <c r="N14" s="12"/>
      <c r="O14" s="12"/>
      <c r="P14" s="12"/>
      <c r="Q14" s="13"/>
      <c r="R14" s="13"/>
      <c r="S14" s="13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28" customHeight="1" x14ac:dyDescent="0.2">
      <c r="A15" s="11"/>
      <c r="B15" s="11"/>
      <c r="C15" s="11"/>
      <c r="D15" s="12"/>
      <c r="E15" s="11"/>
      <c r="F15" s="12"/>
      <c r="G15" s="12"/>
      <c r="H15" s="12"/>
      <c r="I15" s="12"/>
      <c r="J15" s="14"/>
      <c r="K15" s="15"/>
      <c r="L15" s="16"/>
      <c r="M15" s="12"/>
      <c r="N15" s="12"/>
      <c r="O15" s="12"/>
      <c r="P15" s="14"/>
      <c r="Q15" s="15"/>
      <c r="R15" s="15"/>
      <c r="S15" s="15"/>
      <c r="T15" s="17"/>
      <c r="U15" s="12"/>
      <c r="V15" s="12"/>
      <c r="W15" s="12"/>
      <c r="X15" s="12"/>
      <c r="Y15" s="12"/>
      <c r="Z15" s="12"/>
      <c r="AA15" s="12"/>
      <c r="AB15" s="12"/>
      <c r="AC15" s="12"/>
      <c r="AD15" s="11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B16" s="7"/>
      <c r="C16" s="7"/>
      <c r="D16" s="7"/>
      <c r="E16" s="7"/>
      <c r="F16" s="7"/>
      <c r="G16" s="7"/>
      <c r="H16" s="7" t="s">
        <v>0</v>
      </c>
      <c r="I16" s="7" t="s">
        <v>1</v>
      </c>
      <c r="J16" s="7" t="s">
        <v>2</v>
      </c>
      <c r="K16" s="9" t="s">
        <v>3</v>
      </c>
      <c r="L16" s="7" t="s">
        <v>4</v>
      </c>
      <c r="M16" s="6" t="s">
        <v>5</v>
      </c>
      <c r="N16" s="6" t="s">
        <v>6</v>
      </c>
      <c r="O16" s="6" t="s">
        <v>7</v>
      </c>
      <c r="P16" s="6" t="s">
        <v>8</v>
      </c>
      <c r="Q16" s="18"/>
      <c r="R16" s="18"/>
      <c r="S16" s="18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7"/>
      <c r="B17" s="7"/>
      <c r="C17" s="7"/>
      <c r="D17" s="7"/>
      <c r="E17" s="7"/>
      <c r="F17" s="7"/>
      <c r="G17" s="7"/>
      <c r="H17" s="7" t="s">
        <v>1355</v>
      </c>
      <c r="I17" s="7" t="s">
        <v>1356</v>
      </c>
      <c r="J17" s="7" t="s">
        <v>12</v>
      </c>
      <c r="K17" s="7" t="s">
        <v>19</v>
      </c>
      <c r="L17" s="7">
        <v>1851</v>
      </c>
      <c r="M17" s="6">
        <v>70</v>
      </c>
      <c r="N17" s="6" t="s">
        <v>1357</v>
      </c>
      <c r="O17" s="6" t="s">
        <v>20</v>
      </c>
      <c r="P17" s="6" t="s">
        <v>20</v>
      </c>
      <c r="Q17" s="7"/>
      <c r="R17" s="6"/>
      <c r="S17" s="6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7"/>
      <c r="B18" s="7"/>
      <c r="C18" s="7"/>
      <c r="D18" s="7"/>
      <c r="E18" s="7"/>
      <c r="F18" s="7"/>
      <c r="G18" s="7"/>
      <c r="H18" s="7" t="s">
        <v>1358</v>
      </c>
      <c r="I18" s="7" t="s">
        <v>442</v>
      </c>
      <c r="J18" s="7" t="s">
        <v>1359</v>
      </c>
      <c r="K18" s="7" t="s">
        <v>19</v>
      </c>
      <c r="L18" s="7">
        <v>1884</v>
      </c>
      <c r="M18" s="6">
        <v>37</v>
      </c>
      <c r="N18" s="6" t="s">
        <v>1360</v>
      </c>
      <c r="O18" s="6" t="s">
        <v>20</v>
      </c>
      <c r="P18" s="6" t="s">
        <v>29</v>
      </c>
      <c r="Q18" s="6"/>
      <c r="R18" s="6"/>
      <c r="S18" s="6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7"/>
      <c r="B19" s="7"/>
      <c r="C19" s="7"/>
      <c r="D19" s="7"/>
      <c r="E19" s="7"/>
      <c r="F19" s="7"/>
      <c r="G19" s="7"/>
      <c r="H19" s="7" t="s">
        <v>1361</v>
      </c>
      <c r="I19" s="7" t="s">
        <v>448</v>
      </c>
      <c r="J19" s="7" t="s">
        <v>28</v>
      </c>
      <c r="K19" s="7" t="s">
        <v>19</v>
      </c>
      <c r="L19" s="7">
        <v>1905</v>
      </c>
      <c r="M19" s="6">
        <v>16</v>
      </c>
      <c r="N19" s="6" t="s">
        <v>40</v>
      </c>
      <c r="O19" s="6" t="s">
        <v>20</v>
      </c>
      <c r="P19" s="6" t="s">
        <v>29</v>
      </c>
      <c r="Q19" s="6"/>
      <c r="R19" s="6"/>
      <c r="S19" s="6"/>
      <c r="T19" s="7"/>
      <c r="U19" s="6"/>
      <c r="V19" s="6"/>
      <c r="W19" s="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7"/>
      <c r="R20" s="6"/>
      <c r="S20" s="6"/>
      <c r="T20" s="7"/>
      <c r="U20" s="6"/>
      <c r="V20" s="6"/>
      <c r="W20" s="6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7"/>
      <c r="R21" s="6"/>
      <c r="S21" s="6"/>
      <c r="T21" s="7"/>
      <c r="U21" s="6"/>
      <c r="V21" s="6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6"/>
      <c r="N22" s="6"/>
      <c r="O22" s="6"/>
      <c r="P22" s="6"/>
      <c r="Q22" s="7"/>
      <c r="R22" s="6"/>
      <c r="S22" s="6"/>
      <c r="T22" s="7"/>
      <c r="U22" s="6"/>
      <c r="V22" s="6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7"/>
      <c r="R23" s="6"/>
      <c r="S23" s="6"/>
      <c r="T23" s="7"/>
      <c r="U23" s="6"/>
      <c r="V23" s="6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7"/>
      <c r="R25" s="6"/>
      <c r="S25" s="6"/>
      <c r="T25" s="19"/>
      <c r="U25" s="6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7"/>
      <c r="R26" s="6"/>
      <c r="S26" s="6"/>
      <c r="T26" s="7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7"/>
      <c r="R27" s="6"/>
      <c r="S27" s="6"/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19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7"/>
      <c r="R29" s="6"/>
      <c r="S29" s="6"/>
      <c r="T29" s="7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6"/>
      <c r="N30" s="6"/>
      <c r="O30" s="6"/>
      <c r="P30" s="6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4" t="s">
        <v>252</v>
      </c>
      <c r="B32" s="7"/>
      <c r="C32" s="7"/>
      <c r="D32" s="7"/>
      <c r="E32" s="7"/>
      <c r="F32" s="7"/>
      <c r="G32" s="7">
        <f t="shared" ref="G32:N32" si="3">SUM(G3:G31)</f>
        <v>15</v>
      </c>
      <c r="H32" s="7">
        <f t="shared" si="3"/>
        <v>6</v>
      </c>
      <c r="I32" s="7">
        <f t="shared" si="3"/>
        <v>12</v>
      </c>
      <c r="J32" s="7">
        <f t="shared" si="3"/>
        <v>12</v>
      </c>
      <c r="K32" s="7">
        <f t="shared" si="3"/>
        <v>5640</v>
      </c>
      <c r="L32" s="7">
        <f t="shared" si="3"/>
        <v>5640</v>
      </c>
      <c r="M32" s="7">
        <f t="shared" si="3"/>
        <v>123</v>
      </c>
      <c r="N32" s="7">
        <f t="shared" si="3"/>
        <v>0</v>
      </c>
      <c r="O32" s="7"/>
      <c r="P32" s="7">
        <f t="shared" ref="P32:W32" si="4">SUM(P3:P31)</f>
        <v>11280</v>
      </c>
      <c r="Q32" s="7">
        <f t="shared" si="4"/>
        <v>0</v>
      </c>
      <c r="R32" s="7">
        <f t="shared" si="4"/>
        <v>0</v>
      </c>
      <c r="S32" s="7">
        <f t="shared" si="4"/>
        <v>0</v>
      </c>
      <c r="T32" s="7">
        <f t="shared" si="4"/>
        <v>574</v>
      </c>
      <c r="U32" s="7">
        <f t="shared" si="4"/>
        <v>0</v>
      </c>
      <c r="V32" s="7">
        <f t="shared" si="4"/>
        <v>0</v>
      </c>
      <c r="W32" s="7">
        <f t="shared" si="4"/>
        <v>0</v>
      </c>
      <c r="X32" s="7"/>
      <c r="Y32" s="7"/>
      <c r="Z32" s="7">
        <f>SUM(Z3:Z31)</f>
        <v>0</v>
      </c>
      <c r="AA32" s="7">
        <f>SUM(AA3:AA31)</f>
        <v>0</v>
      </c>
      <c r="AB32" s="7">
        <f>SUM(AB3:AB31)</f>
        <v>0</v>
      </c>
      <c r="AC32" s="7">
        <f>SUM(AC3:AC31)</f>
        <v>8</v>
      </c>
      <c r="AD32" s="7">
        <f>SUM(AD3:AD31)</f>
        <v>0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20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7"/>
      <c r="G34" s="21"/>
      <c r="H34" s="21"/>
      <c r="I34" s="21"/>
      <c r="J34" s="7"/>
      <c r="K34" s="7"/>
      <c r="L34" s="7"/>
      <c r="M34" s="7"/>
      <c r="N34" s="7"/>
      <c r="O34" s="7"/>
      <c r="P34" s="7"/>
      <c r="Q34" s="20"/>
      <c r="R34" s="21"/>
      <c r="S34" s="21"/>
      <c r="T34" s="21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6"/>
      <c r="S35" s="6"/>
      <c r="T35" s="19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21"/>
      <c r="S36" s="21"/>
      <c r="T36" s="21"/>
      <c r="U36" s="7"/>
      <c r="V36" s="7"/>
      <c r="W36" s="7"/>
      <c r="X36" s="7"/>
      <c r="Y36" s="7"/>
      <c r="Z36" s="7"/>
      <c r="AA36" s="7"/>
      <c r="AB36" s="7"/>
      <c r="AC36" s="22"/>
      <c r="AD36" s="22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6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6884-4A19-F649-957C-374DDA7654F2}">
  <dimension ref="A1:BC117"/>
  <sheetViews>
    <sheetView workbookViewId="0">
      <pane ySplit="2" topLeftCell="A33" activePane="bottomLeft" state="frozen"/>
      <selection activeCell="D1" sqref="D1"/>
      <selection pane="bottomLeft" activeCell="A55" sqref="A55:XFD55"/>
    </sheetView>
  </sheetViews>
  <sheetFormatPr baseColWidth="10" defaultColWidth="10.83203125" defaultRowHeight="16" x14ac:dyDescent="0.2"/>
  <cols>
    <col min="4" max="4" width="17.83203125" customWidth="1"/>
    <col min="5" max="5" width="11.33203125" customWidth="1"/>
    <col min="6" max="6" width="9.5" customWidth="1"/>
    <col min="11" max="11" width="5.5" customWidth="1"/>
    <col min="12" max="12" width="7.83203125" customWidth="1"/>
    <col min="13" max="13" width="4.5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64" customFormat="1" ht="68" x14ac:dyDescent="0.2">
      <c r="A3" s="151" t="s">
        <v>571</v>
      </c>
      <c r="B3" s="152">
        <v>1921</v>
      </c>
      <c r="C3" s="152">
        <v>1</v>
      </c>
      <c r="D3" s="152" t="s">
        <v>572</v>
      </c>
      <c r="E3" s="152"/>
      <c r="F3" s="153"/>
      <c r="G3" s="7" t="s">
        <v>1362</v>
      </c>
      <c r="H3" s="7" t="s">
        <v>1200</v>
      </c>
      <c r="I3" s="64">
        <v>1</v>
      </c>
      <c r="J3" s="7" t="s">
        <v>13</v>
      </c>
      <c r="K3" s="64">
        <v>1</v>
      </c>
      <c r="N3" s="7">
        <v>1</v>
      </c>
      <c r="T3" s="6">
        <v>61</v>
      </c>
      <c r="U3" s="7"/>
      <c r="V3" s="155"/>
      <c r="W3" s="7">
        <v>1859</v>
      </c>
      <c r="AA3" s="6" t="s">
        <v>1363</v>
      </c>
      <c r="AB3" s="6" t="s">
        <v>8</v>
      </c>
      <c r="AC3" s="148">
        <v>1</v>
      </c>
      <c r="AD3" s="148">
        <v>1</v>
      </c>
      <c r="AE3" s="148"/>
      <c r="AF3" s="148">
        <v>1</v>
      </c>
      <c r="AG3" s="6" t="s">
        <v>49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5" s="64" customFormat="1" ht="68" x14ac:dyDescent="0.2">
      <c r="A4" s="151" t="s">
        <v>571</v>
      </c>
      <c r="B4" s="152">
        <v>1921</v>
      </c>
      <c r="C4" s="152">
        <v>1</v>
      </c>
      <c r="D4" s="152" t="s">
        <v>572</v>
      </c>
      <c r="E4" s="152"/>
      <c r="F4" s="153"/>
      <c r="G4" s="7" t="s">
        <v>1362</v>
      </c>
      <c r="H4" s="7" t="s">
        <v>1364</v>
      </c>
      <c r="I4" s="64">
        <v>2</v>
      </c>
      <c r="J4" s="7">
        <v>1</v>
      </c>
      <c r="N4" s="7" t="s">
        <v>18</v>
      </c>
      <c r="O4" s="64">
        <v>1</v>
      </c>
      <c r="T4" s="6">
        <v>59</v>
      </c>
      <c r="U4" s="7"/>
      <c r="V4" s="155"/>
      <c r="W4" s="7">
        <v>1861</v>
      </c>
      <c r="AA4" s="6" t="s">
        <v>50</v>
      </c>
      <c r="AB4" s="6" t="s">
        <v>20</v>
      </c>
      <c r="AC4" s="148"/>
      <c r="AD4" s="148"/>
      <c r="AE4" s="148"/>
      <c r="AF4" s="148">
        <v>1</v>
      </c>
      <c r="AG4" s="6" t="s">
        <v>49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5" s="64" customFormat="1" ht="51" x14ac:dyDescent="0.2">
      <c r="A5" s="151" t="s">
        <v>571</v>
      </c>
      <c r="B5" s="152">
        <v>1921</v>
      </c>
      <c r="C5" s="152">
        <v>1</v>
      </c>
      <c r="D5" s="152" t="s">
        <v>572</v>
      </c>
      <c r="E5" s="152"/>
      <c r="F5" s="153"/>
      <c r="G5" s="7" t="s">
        <v>1366</v>
      </c>
      <c r="H5" s="7" t="s">
        <v>1365</v>
      </c>
      <c r="I5" s="64">
        <v>3</v>
      </c>
      <c r="J5" s="7" t="s">
        <v>13</v>
      </c>
      <c r="K5" s="64">
        <v>1</v>
      </c>
      <c r="N5" s="7" t="s">
        <v>58</v>
      </c>
      <c r="R5" s="64">
        <v>1</v>
      </c>
      <c r="T5" s="6">
        <v>34</v>
      </c>
      <c r="U5" s="7"/>
      <c r="V5" s="155"/>
      <c r="W5" s="7">
        <v>1886</v>
      </c>
      <c r="AA5" s="6" t="s">
        <v>1368</v>
      </c>
      <c r="AB5" s="6" t="s">
        <v>1369</v>
      </c>
      <c r="AC5" s="148">
        <v>1</v>
      </c>
      <c r="AD5" s="148">
        <v>1</v>
      </c>
      <c r="AE5" s="148"/>
      <c r="AF5" s="148"/>
      <c r="AG5" s="6" t="s">
        <v>1367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5" s="64" customFormat="1" ht="17" x14ac:dyDescent="0.2">
      <c r="A6" s="151" t="s">
        <v>571</v>
      </c>
      <c r="B6" s="152">
        <v>1921</v>
      </c>
      <c r="C6" s="152">
        <v>1</v>
      </c>
      <c r="D6" s="152" t="s">
        <v>572</v>
      </c>
      <c r="E6" s="152"/>
      <c r="F6" s="153"/>
      <c r="G6" s="7" t="s">
        <v>1366</v>
      </c>
      <c r="H6" s="7" t="s">
        <v>1370</v>
      </c>
      <c r="I6" s="64">
        <v>4</v>
      </c>
      <c r="J6" s="7" t="s">
        <v>13</v>
      </c>
      <c r="K6" s="64">
        <v>1</v>
      </c>
      <c r="N6" s="7" t="s">
        <v>58</v>
      </c>
      <c r="R6" s="64">
        <v>1</v>
      </c>
      <c r="T6" s="7">
        <v>1</v>
      </c>
      <c r="U6" s="7"/>
      <c r="V6" s="155"/>
      <c r="W6" s="7">
        <v>1920</v>
      </c>
      <c r="AA6" s="7" t="s">
        <v>20</v>
      </c>
      <c r="AB6" s="7" t="s">
        <v>20</v>
      </c>
      <c r="AC6" s="148"/>
      <c r="AD6" s="148"/>
      <c r="AE6" s="148"/>
      <c r="AF6" s="148"/>
      <c r="AG6" s="7" t="s">
        <v>49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5" s="64" customFormat="1" ht="34" x14ac:dyDescent="0.2">
      <c r="A7" s="151" t="s">
        <v>571</v>
      </c>
      <c r="B7" s="152">
        <v>1921</v>
      </c>
      <c r="C7" s="152">
        <v>1</v>
      </c>
      <c r="D7" s="152" t="s">
        <v>572</v>
      </c>
      <c r="E7" s="152"/>
      <c r="F7" s="153"/>
      <c r="G7" s="7" t="s">
        <v>1371</v>
      </c>
      <c r="H7" s="7" t="s">
        <v>336</v>
      </c>
      <c r="I7" s="64">
        <v>5</v>
      </c>
      <c r="J7" s="7">
        <v>1</v>
      </c>
      <c r="N7" s="7" t="s">
        <v>26</v>
      </c>
      <c r="S7" s="64">
        <v>1</v>
      </c>
      <c r="T7" s="6">
        <v>62</v>
      </c>
      <c r="U7" s="7"/>
      <c r="V7" s="155"/>
      <c r="W7" s="7">
        <v>1859</v>
      </c>
      <c r="AA7" s="6" t="s">
        <v>33</v>
      </c>
      <c r="AB7" s="6" t="s">
        <v>29</v>
      </c>
      <c r="AC7" s="148">
        <v>1</v>
      </c>
      <c r="AD7" s="148"/>
      <c r="AE7" s="148">
        <v>1</v>
      </c>
      <c r="AF7" s="148"/>
      <c r="AG7" s="6" t="s">
        <v>134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5" s="64" customFormat="1" ht="68" x14ac:dyDescent="0.2">
      <c r="A8" s="151" t="s">
        <v>571</v>
      </c>
      <c r="B8" s="152">
        <v>1921</v>
      </c>
      <c r="C8" s="152">
        <v>1</v>
      </c>
      <c r="D8" s="152" t="s">
        <v>572</v>
      </c>
      <c r="E8" s="152"/>
      <c r="F8" s="153"/>
      <c r="G8" s="7" t="s">
        <v>1373</v>
      </c>
      <c r="H8" s="7" t="s">
        <v>1372</v>
      </c>
      <c r="I8" s="64">
        <v>6</v>
      </c>
      <c r="J8" s="7">
        <v>1</v>
      </c>
      <c r="N8" s="7" t="s">
        <v>26</v>
      </c>
      <c r="S8" s="64">
        <v>1</v>
      </c>
      <c r="T8" s="6">
        <v>35</v>
      </c>
      <c r="U8" s="7"/>
      <c r="V8" s="155"/>
      <c r="W8" s="7">
        <v>1886</v>
      </c>
      <c r="AA8" s="6" t="s">
        <v>360</v>
      </c>
      <c r="AB8" s="6" t="s">
        <v>29</v>
      </c>
      <c r="AC8" s="148">
        <v>1</v>
      </c>
      <c r="AD8" s="148"/>
      <c r="AE8" s="148">
        <v>1</v>
      </c>
      <c r="AF8" s="148"/>
      <c r="AG8" s="6" t="s">
        <v>1374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5" s="64" customFormat="1" ht="51" x14ac:dyDescent="0.2">
      <c r="A9" s="151" t="s">
        <v>571</v>
      </c>
      <c r="B9" s="152">
        <v>1921</v>
      </c>
      <c r="C9" s="152">
        <v>1</v>
      </c>
      <c r="D9" s="152" t="s">
        <v>572</v>
      </c>
      <c r="E9" s="152"/>
      <c r="F9" s="153"/>
      <c r="G9" s="7" t="s">
        <v>1375</v>
      </c>
      <c r="H9" s="7" t="s">
        <v>203</v>
      </c>
      <c r="I9" s="64">
        <v>7</v>
      </c>
      <c r="J9" s="7">
        <v>1</v>
      </c>
      <c r="N9" s="7" t="s">
        <v>26</v>
      </c>
      <c r="S9" s="64">
        <v>1</v>
      </c>
      <c r="T9" s="6">
        <v>34</v>
      </c>
      <c r="U9" s="7"/>
      <c r="V9" s="155"/>
      <c r="W9" s="7">
        <v>1887</v>
      </c>
      <c r="AA9" s="6" t="s">
        <v>28</v>
      </c>
      <c r="AB9" s="6" t="s">
        <v>29</v>
      </c>
      <c r="AC9" s="148">
        <v>1</v>
      </c>
      <c r="AD9" s="148"/>
      <c r="AE9" s="148">
        <v>1</v>
      </c>
      <c r="AF9" s="148"/>
      <c r="AG9" s="6" t="s">
        <v>1255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5" s="64" customFormat="1" ht="34" x14ac:dyDescent="0.2">
      <c r="A10" s="151" t="s">
        <v>571</v>
      </c>
      <c r="B10" s="152">
        <v>1921</v>
      </c>
      <c r="C10" s="152">
        <v>1</v>
      </c>
      <c r="D10" s="152" t="s">
        <v>572</v>
      </c>
      <c r="E10" s="152"/>
      <c r="F10" s="153"/>
      <c r="G10" s="7" t="s">
        <v>1376</v>
      </c>
      <c r="H10" s="7" t="s">
        <v>203</v>
      </c>
      <c r="I10" s="64">
        <v>8</v>
      </c>
      <c r="J10" s="7">
        <v>1</v>
      </c>
      <c r="N10" s="7" t="s">
        <v>26</v>
      </c>
      <c r="S10" s="64">
        <v>1</v>
      </c>
      <c r="T10" s="6">
        <v>38</v>
      </c>
      <c r="U10" s="7"/>
      <c r="V10" s="155"/>
      <c r="W10" s="7">
        <v>1883</v>
      </c>
      <c r="AA10" s="6" t="s">
        <v>28</v>
      </c>
      <c r="AB10" s="6" t="s">
        <v>29</v>
      </c>
      <c r="AC10" s="148">
        <v>1</v>
      </c>
      <c r="AD10" s="148"/>
      <c r="AE10" s="148">
        <v>1</v>
      </c>
      <c r="AF10" s="148"/>
      <c r="AG10" s="6" t="s">
        <v>368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5" s="64" customFormat="1" ht="51" x14ac:dyDescent="0.2">
      <c r="A11" s="151" t="s">
        <v>571</v>
      </c>
      <c r="B11" s="152">
        <v>1921</v>
      </c>
      <c r="C11" s="152">
        <v>1</v>
      </c>
      <c r="D11" s="152" t="s">
        <v>572</v>
      </c>
      <c r="E11" s="152"/>
      <c r="F11" s="153"/>
      <c r="G11" s="7" t="s">
        <v>1378</v>
      </c>
      <c r="H11" s="7" t="s">
        <v>1377</v>
      </c>
      <c r="I11" s="64">
        <v>9</v>
      </c>
      <c r="J11" s="7">
        <v>1</v>
      </c>
      <c r="N11" s="7" t="s">
        <v>26</v>
      </c>
      <c r="S11" s="64">
        <v>1</v>
      </c>
      <c r="T11" s="6">
        <v>21</v>
      </c>
      <c r="U11" s="7"/>
      <c r="V11" s="155"/>
      <c r="W11" s="7">
        <v>1899</v>
      </c>
      <c r="AA11" s="6" t="s">
        <v>1379</v>
      </c>
      <c r="AB11" s="6" t="s">
        <v>29</v>
      </c>
      <c r="AC11" s="148">
        <v>1</v>
      </c>
      <c r="AD11" s="148"/>
      <c r="AE11" s="148">
        <v>1</v>
      </c>
      <c r="AF11" s="148"/>
      <c r="AG11" s="6" t="s">
        <v>149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5" s="64" customFormat="1" ht="68" x14ac:dyDescent="0.2">
      <c r="A12" s="151" t="s">
        <v>571</v>
      </c>
      <c r="B12" s="152">
        <v>1921</v>
      </c>
      <c r="C12" s="152">
        <v>1</v>
      </c>
      <c r="D12" s="152" t="s">
        <v>572</v>
      </c>
      <c r="E12" s="152"/>
      <c r="F12" s="153"/>
      <c r="G12" s="7" t="s">
        <v>1380</v>
      </c>
      <c r="H12" s="7" t="s">
        <v>398</v>
      </c>
      <c r="I12" s="64">
        <v>10</v>
      </c>
      <c r="J12" s="7">
        <v>1</v>
      </c>
      <c r="N12" s="7" t="s">
        <v>58</v>
      </c>
      <c r="R12" s="64">
        <v>1</v>
      </c>
      <c r="T12" s="6">
        <v>15</v>
      </c>
      <c r="U12" s="7"/>
      <c r="V12" s="155"/>
      <c r="W12" s="7">
        <v>1905</v>
      </c>
      <c r="AA12" s="6" t="s">
        <v>1382</v>
      </c>
      <c r="AB12" s="6" t="s">
        <v>29</v>
      </c>
      <c r="AC12" s="148">
        <v>1</v>
      </c>
      <c r="AD12" s="148"/>
      <c r="AE12" s="148">
        <v>1</v>
      </c>
      <c r="AF12" s="148">
        <v>1</v>
      </c>
      <c r="AG12" s="6" t="s">
        <v>1381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5" s="64" customFormat="1" ht="17" x14ac:dyDescent="0.2">
      <c r="A13" s="151" t="s">
        <v>571</v>
      </c>
      <c r="B13" s="152">
        <v>1921</v>
      </c>
      <c r="C13" s="152"/>
      <c r="D13" s="152" t="s">
        <v>572</v>
      </c>
      <c r="E13" s="152"/>
      <c r="F13" s="153"/>
      <c r="G13" s="7"/>
      <c r="H13" s="7">
        <v>10</v>
      </c>
      <c r="J13" s="7"/>
      <c r="N13" s="7"/>
      <c r="T13" s="6"/>
      <c r="U13" s="7"/>
      <c r="V13" s="155"/>
      <c r="W13" s="7"/>
      <c r="AA13" s="6"/>
      <c r="AB13" s="6"/>
      <c r="AC13" s="148"/>
      <c r="AD13" s="148"/>
      <c r="AE13" s="148"/>
      <c r="AF13" s="148"/>
      <c r="AG13" s="6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spans="1:55" s="64" customFormat="1" ht="17" x14ac:dyDescent="0.2">
      <c r="A14" s="151" t="s">
        <v>571</v>
      </c>
      <c r="B14" s="152">
        <v>1921</v>
      </c>
      <c r="C14" s="152"/>
      <c r="D14" s="152" t="s">
        <v>572</v>
      </c>
      <c r="E14" s="152"/>
      <c r="F14" s="153"/>
      <c r="G14" s="7" t="s">
        <v>1</v>
      </c>
      <c r="H14" s="7" t="s">
        <v>0</v>
      </c>
      <c r="J14" s="7" t="s">
        <v>3</v>
      </c>
      <c r="N14" s="7" t="s">
        <v>2</v>
      </c>
      <c r="T14" s="7" t="s">
        <v>5</v>
      </c>
      <c r="U14" s="7" t="e">
        <f>SUM(#REF!)</f>
        <v>#REF!</v>
      </c>
      <c r="V14" s="155"/>
      <c r="W14" s="7" t="s">
        <v>4</v>
      </c>
      <c r="AA14" s="7" t="s">
        <v>7</v>
      </c>
      <c r="AB14" s="7" t="s">
        <v>8</v>
      </c>
      <c r="AC14" s="148"/>
      <c r="AD14" s="148"/>
      <c r="AE14" s="148"/>
      <c r="AF14" s="148"/>
      <c r="AG14" s="7" t="s">
        <v>6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5" s="64" customFormat="1" ht="17" x14ac:dyDescent="0.2">
      <c r="A15" s="151" t="s">
        <v>571</v>
      </c>
      <c r="B15" s="152">
        <v>1921</v>
      </c>
      <c r="C15" s="152">
        <v>2</v>
      </c>
      <c r="D15" s="152" t="s">
        <v>572</v>
      </c>
      <c r="E15" s="152"/>
      <c r="F15" s="153"/>
      <c r="G15" s="7" t="s">
        <v>1384</v>
      </c>
      <c r="H15" s="7" t="s">
        <v>1383</v>
      </c>
      <c r="I15" s="64">
        <v>11</v>
      </c>
      <c r="J15" s="7" t="s">
        <v>13</v>
      </c>
      <c r="K15" s="64">
        <v>1</v>
      </c>
      <c r="N15" s="7">
        <v>1</v>
      </c>
      <c r="T15" s="7">
        <v>57</v>
      </c>
      <c r="U15" s="20"/>
      <c r="V15" s="155"/>
      <c r="W15" s="7">
        <v>1863</v>
      </c>
      <c r="AA15" s="7" t="s">
        <v>1385</v>
      </c>
      <c r="AB15" s="7" t="s">
        <v>1386</v>
      </c>
      <c r="AC15" s="148">
        <v>1</v>
      </c>
      <c r="AD15" s="148"/>
      <c r="AE15" s="148">
        <v>1</v>
      </c>
      <c r="AF15" s="148"/>
      <c r="AG15" s="7" t="s">
        <v>149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5" s="64" customFormat="1" ht="17" x14ac:dyDescent="0.2">
      <c r="A16" s="151" t="s">
        <v>571</v>
      </c>
      <c r="B16" s="152">
        <v>1921</v>
      </c>
      <c r="C16" s="152">
        <v>2</v>
      </c>
      <c r="D16" s="152" t="s">
        <v>572</v>
      </c>
      <c r="E16" s="152"/>
      <c r="F16" s="153"/>
      <c r="G16" s="21" t="s">
        <v>1384</v>
      </c>
      <c r="H16" s="21" t="s">
        <v>398</v>
      </c>
      <c r="I16" s="64">
        <v>12</v>
      </c>
      <c r="J16" s="7">
        <v>1</v>
      </c>
      <c r="N16" s="7" t="s">
        <v>18</v>
      </c>
      <c r="O16" s="64">
        <v>1</v>
      </c>
      <c r="T16" s="7">
        <v>53</v>
      </c>
      <c r="U16" s="20"/>
      <c r="V16" s="155"/>
      <c r="W16" s="7">
        <v>1867</v>
      </c>
      <c r="AA16" s="7" t="s">
        <v>50</v>
      </c>
      <c r="AB16" s="7" t="s">
        <v>20</v>
      </c>
      <c r="AC16" s="148"/>
      <c r="AD16" s="148"/>
      <c r="AE16" s="148"/>
      <c r="AF16" s="148"/>
      <c r="AG16" s="7" t="s">
        <v>1387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s="64" customFormat="1" ht="17" x14ac:dyDescent="0.2">
      <c r="A17" s="151" t="s">
        <v>571</v>
      </c>
      <c r="B17" s="152">
        <v>1921</v>
      </c>
      <c r="C17" s="152">
        <v>2</v>
      </c>
      <c r="D17" s="152" t="s">
        <v>572</v>
      </c>
      <c r="E17" s="152"/>
      <c r="F17" s="153"/>
      <c r="G17" s="7" t="s">
        <v>1384</v>
      </c>
      <c r="H17" s="7" t="s">
        <v>1388</v>
      </c>
      <c r="I17" s="64">
        <v>13</v>
      </c>
      <c r="J17" s="7" t="s">
        <v>13</v>
      </c>
      <c r="K17" s="64">
        <v>1</v>
      </c>
      <c r="N17" s="7" t="s">
        <v>51</v>
      </c>
      <c r="Q17" s="64">
        <v>1</v>
      </c>
      <c r="T17" s="7">
        <v>20</v>
      </c>
      <c r="U17" s="7"/>
      <c r="V17" s="155"/>
      <c r="W17" s="7">
        <v>1901</v>
      </c>
      <c r="AA17" s="7" t="s">
        <v>1389</v>
      </c>
      <c r="AB17" s="7" t="s">
        <v>20</v>
      </c>
      <c r="AC17" s="148"/>
      <c r="AD17" s="148"/>
      <c r="AE17" s="148"/>
      <c r="AF17" s="148"/>
      <c r="AG17" s="7" t="s">
        <v>49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s="64" customFormat="1" ht="17" x14ac:dyDescent="0.2">
      <c r="A18" s="151" t="s">
        <v>571</v>
      </c>
      <c r="B18" s="152">
        <v>1921</v>
      </c>
      <c r="C18" s="152">
        <v>2</v>
      </c>
      <c r="D18" s="152" t="s">
        <v>572</v>
      </c>
      <c r="E18" s="152"/>
      <c r="F18" s="153"/>
      <c r="G18" s="7" t="s">
        <v>1384</v>
      </c>
      <c r="H18" s="7" t="s">
        <v>1390</v>
      </c>
      <c r="I18" s="64">
        <v>14</v>
      </c>
      <c r="J18" s="7">
        <v>1</v>
      </c>
      <c r="N18" s="7"/>
      <c r="P18" s="64">
        <v>1</v>
      </c>
      <c r="T18" s="7">
        <v>17</v>
      </c>
      <c r="U18" s="7"/>
      <c r="V18" s="155"/>
      <c r="W18" s="7">
        <v>1904</v>
      </c>
      <c r="AA18" s="7" t="s">
        <v>20</v>
      </c>
      <c r="AB18" s="7" t="s">
        <v>20</v>
      </c>
      <c r="AC18" s="148"/>
      <c r="AD18" s="148"/>
      <c r="AE18" s="148"/>
      <c r="AF18" s="148"/>
      <c r="AG18" s="7" t="s">
        <v>49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s="64" customFormat="1" ht="17" x14ac:dyDescent="0.2">
      <c r="A19" s="151" t="s">
        <v>571</v>
      </c>
      <c r="B19" s="152">
        <v>1921</v>
      </c>
      <c r="C19" s="152">
        <v>2</v>
      </c>
      <c r="D19" s="152" t="s">
        <v>572</v>
      </c>
      <c r="E19" s="152"/>
      <c r="F19" s="153"/>
      <c r="G19" s="7" t="s">
        <v>1391</v>
      </c>
      <c r="H19" s="7" t="s">
        <v>422</v>
      </c>
      <c r="I19" s="64">
        <v>15</v>
      </c>
      <c r="J19" s="7">
        <v>1</v>
      </c>
      <c r="N19" s="7" t="s">
        <v>1238</v>
      </c>
      <c r="R19" s="64">
        <v>1</v>
      </c>
      <c r="T19" s="7">
        <v>78</v>
      </c>
      <c r="U19" s="7"/>
      <c r="V19" s="155"/>
      <c r="W19" s="7">
        <v>1843</v>
      </c>
      <c r="AA19" s="7" t="s">
        <v>20</v>
      </c>
      <c r="AB19" s="7" t="s">
        <v>20</v>
      </c>
      <c r="AC19" s="148"/>
      <c r="AD19" s="148"/>
      <c r="AE19" s="148"/>
      <c r="AF19" s="148"/>
      <c r="AG19" s="7" t="s">
        <v>149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1" s="64" customFormat="1" ht="17" x14ac:dyDescent="0.2">
      <c r="A20" s="151" t="s">
        <v>571</v>
      </c>
      <c r="B20" s="152">
        <v>1921</v>
      </c>
      <c r="C20" s="152">
        <v>2</v>
      </c>
      <c r="D20" s="152" t="s">
        <v>572</v>
      </c>
      <c r="E20" s="152"/>
      <c r="F20" s="153"/>
      <c r="G20" t="s">
        <v>1393</v>
      </c>
      <c r="H20" t="s">
        <v>1392</v>
      </c>
      <c r="I20" s="64">
        <v>16</v>
      </c>
      <c r="J20" t="s">
        <v>13</v>
      </c>
      <c r="K20" s="64">
        <v>1</v>
      </c>
      <c r="N20" t="s">
        <v>58</v>
      </c>
      <c r="R20" s="64">
        <v>1</v>
      </c>
      <c r="T20">
        <v>30</v>
      </c>
      <c r="U20"/>
      <c r="V20" s="155"/>
      <c r="W20">
        <v>1891</v>
      </c>
      <c r="AA20" t="s">
        <v>1395</v>
      </c>
      <c r="AB20" t="s">
        <v>1386</v>
      </c>
      <c r="AC20" s="148">
        <v>1</v>
      </c>
      <c r="AD20" s="148"/>
      <c r="AE20" s="148">
        <v>1</v>
      </c>
      <c r="AF20" s="148"/>
      <c r="AG20" t="s">
        <v>1394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s="64" customFormat="1" ht="17" x14ac:dyDescent="0.2">
      <c r="A21" s="151" t="s">
        <v>571</v>
      </c>
      <c r="B21" s="152">
        <v>1921</v>
      </c>
      <c r="C21" s="152">
        <v>2</v>
      </c>
      <c r="D21" s="152" t="s">
        <v>572</v>
      </c>
      <c r="E21" s="152"/>
      <c r="F21" s="153"/>
      <c r="G21" t="s">
        <v>1393</v>
      </c>
      <c r="H21" t="s">
        <v>1396</v>
      </c>
      <c r="I21" s="64">
        <v>17</v>
      </c>
      <c r="J21">
        <v>1</v>
      </c>
      <c r="N21" t="s">
        <v>18</v>
      </c>
      <c r="O21" s="64">
        <v>1</v>
      </c>
      <c r="T21">
        <v>25</v>
      </c>
      <c r="U21"/>
      <c r="V21" s="155"/>
      <c r="W21">
        <v>1895</v>
      </c>
      <c r="AA21" t="s">
        <v>20</v>
      </c>
      <c r="AB21" t="s">
        <v>20</v>
      </c>
      <c r="AC21" s="148"/>
      <c r="AD21" s="148"/>
      <c r="AE21" s="148"/>
      <c r="AF21" s="148"/>
      <c r="AG21" t="s">
        <v>1397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s="64" customFormat="1" ht="17" x14ac:dyDescent="0.2">
      <c r="A22" s="151" t="s">
        <v>571</v>
      </c>
      <c r="B22" s="152">
        <v>1921</v>
      </c>
      <c r="C22" s="152">
        <v>2</v>
      </c>
      <c r="D22" s="152" t="s">
        <v>572</v>
      </c>
      <c r="E22" s="152"/>
      <c r="F22" s="153"/>
      <c r="G22" t="s">
        <v>1393</v>
      </c>
      <c r="H22" t="s">
        <v>1398</v>
      </c>
      <c r="I22" s="64">
        <v>18</v>
      </c>
      <c r="J22"/>
      <c r="L22" s="64">
        <v>1</v>
      </c>
      <c r="N22" t="s">
        <v>22</v>
      </c>
      <c r="P22" s="64">
        <v>1</v>
      </c>
      <c r="T22">
        <v>2</v>
      </c>
      <c r="U22"/>
      <c r="V22" s="155"/>
      <c r="W22">
        <v>1919</v>
      </c>
      <c r="AA22" t="s">
        <v>20</v>
      </c>
      <c r="AB22" t="s">
        <v>20</v>
      </c>
      <c r="AC22" s="148"/>
      <c r="AD22" s="148"/>
      <c r="AE22" s="148"/>
      <c r="AF22" s="148"/>
      <c r="AG22" t="s">
        <v>375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s="64" customFormat="1" ht="17" x14ac:dyDescent="0.2">
      <c r="A23" s="151" t="s">
        <v>571</v>
      </c>
      <c r="B23" s="152">
        <v>1921</v>
      </c>
      <c r="C23" s="152">
        <v>2</v>
      </c>
      <c r="D23" s="152" t="s">
        <v>572</v>
      </c>
      <c r="E23" s="152"/>
      <c r="F23" s="153"/>
      <c r="G23" t="s">
        <v>1399</v>
      </c>
      <c r="H23" t="s">
        <v>351</v>
      </c>
      <c r="I23" s="64">
        <v>19</v>
      </c>
      <c r="J23">
        <v>1</v>
      </c>
      <c r="N23" t="s">
        <v>26</v>
      </c>
      <c r="R23" s="64">
        <v>1</v>
      </c>
      <c r="T23">
        <v>35</v>
      </c>
      <c r="U23"/>
      <c r="V23" s="155"/>
      <c r="W23">
        <v>1885</v>
      </c>
      <c r="AA23" t="s">
        <v>1400</v>
      </c>
      <c r="AB23" t="s">
        <v>29</v>
      </c>
      <c r="AC23" s="148">
        <v>1</v>
      </c>
      <c r="AD23" s="148"/>
      <c r="AE23" s="148">
        <v>1</v>
      </c>
      <c r="AF23" s="148"/>
      <c r="AG23" t="s">
        <v>356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1" s="64" customFormat="1" ht="17" x14ac:dyDescent="0.2">
      <c r="A24" s="151" t="s">
        <v>571</v>
      </c>
      <c r="B24" s="152">
        <v>1921</v>
      </c>
      <c r="C24" s="152">
        <v>2</v>
      </c>
      <c r="D24" s="152" t="s">
        <v>572</v>
      </c>
      <c r="E24" s="152"/>
      <c r="F24" s="153"/>
      <c r="G24" t="s">
        <v>118</v>
      </c>
      <c r="H24" t="s">
        <v>24</v>
      </c>
      <c r="I24" s="64">
        <v>20</v>
      </c>
      <c r="J24">
        <v>1</v>
      </c>
      <c r="N24" t="s">
        <v>26</v>
      </c>
      <c r="R24" s="64">
        <v>1</v>
      </c>
      <c r="T24">
        <v>28</v>
      </c>
      <c r="U24"/>
      <c r="V24" s="155"/>
      <c r="W24">
        <v>1893</v>
      </c>
      <c r="AA24" t="s">
        <v>28</v>
      </c>
      <c r="AB24" t="s">
        <v>29</v>
      </c>
      <c r="AC24" s="148">
        <v>1</v>
      </c>
      <c r="AD24" s="148"/>
      <c r="AE24" s="148">
        <v>1</v>
      </c>
      <c r="AF24" s="148"/>
      <c r="AG24" t="s">
        <v>1401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 spans="1:51" s="64" customFormat="1" ht="17" x14ac:dyDescent="0.2">
      <c r="A25" s="151" t="s">
        <v>571</v>
      </c>
      <c r="B25" s="152">
        <v>1921</v>
      </c>
      <c r="C25" s="152">
        <v>2</v>
      </c>
      <c r="D25" s="152" t="s">
        <v>572</v>
      </c>
      <c r="E25" s="152"/>
      <c r="F25" s="153"/>
      <c r="G25" t="s">
        <v>1403</v>
      </c>
      <c r="H25" t="s">
        <v>1402</v>
      </c>
      <c r="I25" s="64">
        <v>21</v>
      </c>
      <c r="J25">
        <v>1</v>
      </c>
      <c r="N25" t="s">
        <v>26</v>
      </c>
      <c r="R25" s="64">
        <v>1</v>
      </c>
      <c r="T25">
        <v>20</v>
      </c>
      <c r="U25"/>
      <c r="V25" s="155"/>
      <c r="W25">
        <v>1900</v>
      </c>
      <c r="AA25" t="s">
        <v>28</v>
      </c>
      <c r="AB25" t="s">
        <v>29</v>
      </c>
      <c r="AC25" s="148">
        <v>1</v>
      </c>
      <c r="AD25" s="148"/>
      <c r="AE25" s="148">
        <v>1</v>
      </c>
      <c r="AF25" s="148"/>
      <c r="AG25" t="s">
        <v>452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 spans="1:51" s="64" customFormat="1" ht="17" x14ac:dyDescent="0.2">
      <c r="A26" s="151" t="s">
        <v>571</v>
      </c>
      <c r="B26" s="152">
        <v>1921</v>
      </c>
      <c r="C26" s="152"/>
      <c r="D26" s="152" t="s">
        <v>572</v>
      </c>
      <c r="E26" s="152"/>
      <c r="F26" s="153"/>
      <c r="G26"/>
      <c r="H26">
        <v>11</v>
      </c>
      <c r="J26"/>
      <c r="N26"/>
      <c r="T26"/>
      <c r="U26"/>
      <c r="V26" s="155"/>
      <c r="W26"/>
      <c r="AA26"/>
      <c r="AB26"/>
      <c r="AC26" s="148"/>
      <c r="AD26" s="148"/>
      <c r="AE26" s="148"/>
      <c r="AF26" s="148"/>
      <c r="AG26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 spans="1:51" s="64" customFormat="1" ht="17" x14ac:dyDescent="0.2">
      <c r="A27" s="151" t="s">
        <v>571</v>
      </c>
      <c r="B27" s="152">
        <v>1921</v>
      </c>
      <c r="C27" s="152"/>
      <c r="D27" s="152" t="s">
        <v>572</v>
      </c>
      <c r="E27" s="152"/>
      <c r="F27" s="153"/>
      <c r="G27" t="s">
        <v>1</v>
      </c>
      <c r="H27" t="s">
        <v>0</v>
      </c>
      <c r="J27" t="s">
        <v>3</v>
      </c>
      <c r="N27" t="s">
        <v>2</v>
      </c>
      <c r="T27" t="s">
        <v>5</v>
      </c>
      <c r="U27"/>
      <c r="V27" s="155"/>
      <c r="W27" t="s">
        <v>4</v>
      </c>
      <c r="AA27" t="s">
        <v>7</v>
      </c>
      <c r="AB27" t="s">
        <v>8</v>
      </c>
      <c r="AC27" s="148"/>
      <c r="AD27" s="148"/>
      <c r="AE27" s="148"/>
      <c r="AF27" s="148"/>
      <c r="AG27" t="s">
        <v>6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 spans="1:51" s="64" customFormat="1" ht="17" x14ac:dyDescent="0.2">
      <c r="A28" s="151" t="s">
        <v>571</v>
      </c>
      <c r="B28" s="152">
        <v>1921</v>
      </c>
      <c r="C28" s="152">
        <v>3</v>
      </c>
      <c r="D28" s="152" t="s">
        <v>572</v>
      </c>
      <c r="E28" s="152"/>
      <c r="F28" s="153"/>
      <c r="G28" t="s">
        <v>1405</v>
      </c>
      <c r="H28" t="s">
        <v>1404</v>
      </c>
      <c r="I28" s="64">
        <v>22</v>
      </c>
      <c r="J28">
        <v>1</v>
      </c>
      <c r="N28" t="s">
        <v>18</v>
      </c>
      <c r="O28" s="64">
        <v>1</v>
      </c>
      <c r="T28">
        <v>53</v>
      </c>
      <c r="U28"/>
      <c r="V28" s="155"/>
      <c r="W28">
        <v>1868</v>
      </c>
      <c r="AA28" t="s">
        <v>20</v>
      </c>
      <c r="AB28" t="s">
        <v>20</v>
      </c>
      <c r="AC28" s="148"/>
      <c r="AD28" s="148"/>
      <c r="AE28" s="148"/>
      <c r="AF28" s="148"/>
      <c r="AG28" t="s">
        <v>1406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 spans="1:51" s="64" customFormat="1" ht="17" x14ac:dyDescent="0.2">
      <c r="A29" s="151" t="s">
        <v>571</v>
      </c>
      <c r="B29" s="152">
        <v>1921</v>
      </c>
      <c r="C29" s="152">
        <v>3</v>
      </c>
      <c r="D29" s="152" t="s">
        <v>572</v>
      </c>
      <c r="E29" s="152"/>
      <c r="F29" s="153"/>
      <c r="G29" t="s">
        <v>1405</v>
      </c>
      <c r="H29" t="s">
        <v>1407</v>
      </c>
      <c r="I29" s="64">
        <v>23</v>
      </c>
      <c r="J29">
        <v>1</v>
      </c>
      <c r="N29" t="s">
        <v>22</v>
      </c>
      <c r="P29" s="64">
        <v>1</v>
      </c>
      <c r="T29">
        <v>22</v>
      </c>
      <c r="U29"/>
      <c r="V29" s="155"/>
      <c r="W29">
        <v>1899</v>
      </c>
      <c r="AA29" t="s">
        <v>20</v>
      </c>
      <c r="AB29" t="s">
        <v>20</v>
      </c>
      <c r="AC29" s="148"/>
      <c r="AD29" s="148"/>
      <c r="AE29" s="148"/>
      <c r="AF29" s="148"/>
      <c r="AG29" t="s">
        <v>1408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 spans="1:51" s="64" customFormat="1" ht="17" x14ac:dyDescent="0.2">
      <c r="A30" s="151" t="s">
        <v>571</v>
      </c>
      <c r="B30" s="152">
        <v>1921</v>
      </c>
      <c r="C30" s="152">
        <v>3</v>
      </c>
      <c r="D30" s="152" t="s">
        <v>572</v>
      </c>
      <c r="E30" s="152"/>
      <c r="F30" s="153"/>
      <c r="G30" t="s">
        <v>1405</v>
      </c>
      <c r="H30" t="s">
        <v>1409</v>
      </c>
      <c r="I30" s="64">
        <v>24</v>
      </c>
      <c r="J30" t="s">
        <v>13</v>
      </c>
      <c r="K30" s="64">
        <v>1</v>
      </c>
      <c r="N30" t="s">
        <v>51</v>
      </c>
      <c r="Q30" s="64">
        <v>1</v>
      </c>
      <c r="T30">
        <v>18</v>
      </c>
      <c r="U30"/>
      <c r="V30" s="155"/>
      <c r="W30">
        <v>1902</v>
      </c>
      <c r="AA30" t="s">
        <v>20</v>
      </c>
      <c r="AB30" t="s">
        <v>20</v>
      </c>
      <c r="AC30" s="148"/>
      <c r="AD30" s="148"/>
      <c r="AE30" s="148"/>
      <c r="AF30" s="148"/>
      <c r="AG30" t="s">
        <v>1410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 spans="1:51" s="64" customFormat="1" ht="17" x14ac:dyDescent="0.2">
      <c r="A31" s="151" t="s">
        <v>571</v>
      </c>
      <c r="B31" s="152">
        <v>1921</v>
      </c>
      <c r="C31" s="152">
        <v>3</v>
      </c>
      <c r="D31" s="152" t="s">
        <v>572</v>
      </c>
      <c r="E31" s="152"/>
      <c r="F31" s="153"/>
      <c r="G31" t="s">
        <v>1412</v>
      </c>
      <c r="H31" t="s">
        <v>1411</v>
      </c>
      <c r="I31" s="64">
        <v>25</v>
      </c>
      <c r="J31">
        <v>1</v>
      </c>
      <c r="N31" t="s">
        <v>26</v>
      </c>
      <c r="S31" s="64">
        <v>1</v>
      </c>
      <c r="T31">
        <v>30</v>
      </c>
      <c r="U31"/>
      <c r="V31" s="155"/>
      <c r="W31">
        <v>1891</v>
      </c>
      <c r="AA31" t="s">
        <v>33</v>
      </c>
      <c r="AB31" t="s">
        <v>29</v>
      </c>
      <c r="AC31" s="148">
        <v>1</v>
      </c>
      <c r="AD31" s="148"/>
      <c r="AE31" s="148">
        <v>1</v>
      </c>
      <c r="AF31" s="148"/>
      <c r="AG31" t="s">
        <v>1413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</row>
    <row r="32" spans="1:51" s="64" customFormat="1" ht="17" x14ac:dyDescent="0.2">
      <c r="A32" s="151" t="s">
        <v>571</v>
      </c>
      <c r="B32" s="152">
        <v>1921</v>
      </c>
      <c r="C32" s="152">
        <v>3</v>
      </c>
      <c r="D32" s="152" t="s">
        <v>572</v>
      </c>
      <c r="E32" s="152"/>
      <c r="F32" s="153"/>
      <c r="G32" t="s">
        <v>61</v>
      </c>
      <c r="H32" t="s">
        <v>1414</v>
      </c>
      <c r="I32" s="64">
        <v>26</v>
      </c>
      <c r="J32">
        <v>1</v>
      </c>
      <c r="N32" t="s">
        <v>26</v>
      </c>
      <c r="S32" s="64">
        <v>1</v>
      </c>
      <c r="T32">
        <v>23</v>
      </c>
      <c r="U32"/>
      <c r="V32" s="155"/>
      <c r="W32">
        <v>1898</v>
      </c>
      <c r="AA32" t="s">
        <v>330</v>
      </c>
      <c r="AB32" t="s">
        <v>29</v>
      </c>
      <c r="AC32" s="148">
        <v>1</v>
      </c>
      <c r="AD32" s="148"/>
      <c r="AE32" s="148">
        <v>1</v>
      </c>
      <c r="AF32" s="148"/>
      <c r="AG32" t="s">
        <v>1415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</row>
    <row r="33" spans="1:51" s="64" customFormat="1" ht="17" x14ac:dyDescent="0.2">
      <c r="A33" s="151" t="s">
        <v>571</v>
      </c>
      <c r="B33" s="152">
        <v>1921</v>
      </c>
      <c r="C33" s="152"/>
      <c r="D33" s="152" t="s">
        <v>572</v>
      </c>
      <c r="E33" s="152"/>
      <c r="F33" s="153"/>
      <c r="G33"/>
      <c r="H33">
        <v>5</v>
      </c>
      <c r="J33"/>
      <c r="N33"/>
      <c r="T33"/>
      <c r="U33"/>
      <c r="V33" s="155"/>
      <c r="W33"/>
      <c r="Y33"/>
      <c r="Z33"/>
      <c r="AA33"/>
      <c r="AB33" s="148"/>
      <c r="AC33" s="148"/>
      <c r="AD33" s="148"/>
      <c r="AE33" s="148"/>
      <c r="AF33" s="148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spans="1:51" s="64" customFormat="1" ht="17" x14ac:dyDescent="0.2">
      <c r="A34" s="151" t="s">
        <v>571</v>
      </c>
      <c r="B34" s="152">
        <v>1921</v>
      </c>
      <c r="C34" s="152"/>
      <c r="D34" s="152" t="s">
        <v>572</v>
      </c>
      <c r="E34" s="152"/>
      <c r="F34" s="153"/>
      <c r="G34" t="s">
        <v>1</v>
      </c>
      <c r="H34" t="s">
        <v>0</v>
      </c>
      <c r="J34" t="s">
        <v>3</v>
      </c>
      <c r="N34" t="s">
        <v>2</v>
      </c>
      <c r="T34" t="s">
        <v>5</v>
      </c>
      <c r="U34"/>
      <c r="V34" s="155"/>
      <c r="W34" t="s">
        <v>4</v>
      </c>
      <c r="AA34" t="s">
        <v>7</v>
      </c>
      <c r="AB34" t="s">
        <v>8</v>
      </c>
      <c r="AC34" s="148"/>
      <c r="AD34" s="148"/>
      <c r="AE34" s="148"/>
      <c r="AG34" t="s">
        <v>6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 spans="1:51" s="64" customFormat="1" ht="17" x14ac:dyDescent="0.2">
      <c r="A35" s="151" t="s">
        <v>571</v>
      </c>
      <c r="B35" s="152">
        <v>1921</v>
      </c>
      <c r="C35" s="152">
        <v>4</v>
      </c>
      <c r="D35" s="152" t="s">
        <v>572</v>
      </c>
      <c r="E35" s="152"/>
      <c r="F35" s="153"/>
      <c r="G35" t="s">
        <v>1001</v>
      </c>
      <c r="H35" t="s">
        <v>1416</v>
      </c>
      <c r="I35" s="64">
        <v>27</v>
      </c>
      <c r="J35" t="s">
        <v>13</v>
      </c>
      <c r="K35" s="64">
        <v>1</v>
      </c>
      <c r="N35">
        <v>1</v>
      </c>
      <c r="T35">
        <v>68</v>
      </c>
      <c r="U35" t="s">
        <v>1440</v>
      </c>
      <c r="V35" s="155"/>
      <c r="W35">
        <v>1853</v>
      </c>
      <c r="AA35" t="s">
        <v>1417</v>
      </c>
      <c r="AB35" t="s">
        <v>8</v>
      </c>
      <c r="AC35" s="148">
        <v>1</v>
      </c>
      <c r="AD35" s="148">
        <v>1</v>
      </c>
      <c r="AE35" s="148"/>
      <c r="AF35" s="64">
        <v>1</v>
      </c>
      <c r="AG35" t="s">
        <v>49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</row>
    <row r="36" spans="1:51" s="64" customFormat="1" ht="17" x14ac:dyDescent="0.2">
      <c r="A36" s="151" t="s">
        <v>571</v>
      </c>
      <c r="B36" s="152">
        <v>1921</v>
      </c>
      <c r="C36" s="152">
        <v>4</v>
      </c>
      <c r="D36" s="152" t="s">
        <v>572</v>
      </c>
      <c r="E36" s="152"/>
      <c r="F36" s="153"/>
      <c r="G36" t="s">
        <v>1001</v>
      </c>
      <c r="H36" t="s">
        <v>1418</v>
      </c>
      <c r="I36" s="64">
        <v>28</v>
      </c>
      <c r="J36">
        <v>1</v>
      </c>
      <c r="N36" t="s">
        <v>18</v>
      </c>
      <c r="O36" s="64">
        <v>1</v>
      </c>
      <c r="T36">
        <v>65</v>
      </c>
      <c r="U36"/>
      <c r="V36" s="155"/>
      <c r="W36">
        <v>1856</v>
      </c>
      <c r="AA36" t="s">
        <v>131</v>
      </c>
      <c r="AB36" t="s">
        <v>20</v>
      </c>
      <c r="AC36" s="148"/>
      <c r="AD36" s="148"/>
      <c r="AE36" s="148"/>
      <c r="AF36" s="64">
        <v>1</v>
      </c>
      <c r="AG36" t="s">
        <v>49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</row>
    <row r="37" spans="1:51" s="64" customFormat="1" ht="17" x14ac:dyDescent="0.2">
      <c r="A37" s="151" t="s">
        <v>571</v>
      </c>
      <c r="B37" s="152">
        <v>1921</v>
      </c>
      <c r="C37" s="152">
        <v>4</v>
      </c>
      <c r="D37" s="152" t="s">
        <v>572</v>
      </c>
      <c r="E37" s="152"/>
      <c r="F37" s="153"/>
      <c r="G37" t="s">
        <v>1001</v>
      </c>
      <c r="H37" t="s">
        <v>1419</v>
      </c>
      <c r="I37" s="64">
        <v>29</v>
      </c>
      <c r="J37">
        <v>1</v>
      </c>
      <c r="N37" t="s">
        <v>51</v>
      </c>
      <c r="Q37" s="64">
        <v>1</v>
      </c>
      <c r="T37">
        <v>30</v>
      </c>
      <c r="U37"/>
      <c r="V37" s="155"/>
      <c r="W37">
        <v>1890</v>
      </c>
      <c r="AA37" t="s">
        <v>1420</v>
      </c>
      <c r="AB37" t="s">
        <v>1421</v>
      </c>
      <c r="AC37" s="148">
        <v>1</v>
      </c>
      <c r="AD37" s="148"/>
      <c r="AE37" s="148">
        <v>1</v>
      </c>
      <c r="AF37" s="64">
        <v>1</v>
      </c>
      <c r="AG37" t="s">
        <v>49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1:51" s="64" customFormat="1" ht="17" x14ac:dyDescent="0.2">
      <c r="A38" s="151" t="s">
        <v>571</v>
      </c>
      <c r="B38" s="152">
        <v>1921</v>
      </c>
      <c r="C38" s="152">
        <v>4</v>
      </c>
      <c r="D38" s="152" t="s">
        <v>572</v>
      </c>
      <c r="E38" s="152"/>
      <c r="F38" s="153"/>
      <c r="G38" t="s">
        <v>1001</v>
      </c>
      <c r="H38" t="s">
        <v>1422</v>
      </c>
      <c r="I38" s="64">
        <v>30</v>
      </c>
      <c r="J38">
        <v>1</v>
      </c>
      <c r="N38" t="s">
        <v>22</v>
      </c>
      <c r="P38" s="64">
        <v>1</v>
      </c>
      <c r="T38">
        <v>29</v>
      </c>
      <c r="U38"/>
      <c r="V38" s="155"/>
      <c r="W38">
        <v>1892</v>
      </c>
      <c r="AA38" t="s">
        <v>20</v>
      </c>
      <c r="AB38" t="s">
        <v>20</v>
      </c>
      <c r="AC38" s="148"/>
      <c r="AD38" s="148"/>
      <c r="AE38" s="148"/>
      <c r="AF38" s="64">
        <v>1</v>
      </c>
      <c r="AG38" t="s">
        <v>49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1:51" s="64" customFormat="1" ht="17" x14ac:dyDescent="0.2">
      <c r="A39" s="151" t="s">
        <v>571</v>
      </c>
      <c r="B39" s="152">
        <v>1921</v>
      </c>
      <c r="C39" s="152">
        <v>4</v>
      </c>
      <c r="D39" s="152" t="s">
        <v>572</v>
      </c>
      <c r="E39" s="152"/>
      <c r="F39" s="153"/>
      <c r="G39" t="s">
        <v>1424</v>
      </c>
      <c r="H39" t="s">
        <v>1423</v>
      </c>
      <c r="I39" s="64">
        <v>31</v>
      </c>
      <c r="J39">
        <v>1</v>
      </c>
      <c r="N39" t="s">
        <v>58</v>
      </c>
      <c r="R39" s="64">
        <v>1</v>
      </c>
      <c r="T39">
        <v>28</v>
      </c>
      <c r="U39"/>
      <c r="V39" s="155"/>
      <c r="W39">
        <v>1892</v>
      </c>
      <c r="AA39" t="s">
        <v>20</v>
      </c>
      <c r="AB39" t="s">
        <v>20</v>
      </c>
      <c r="AC39" s="148"/>
      <c r="AD39" s="148"/>
      <c r="AE39" s="148"/>
      <c r="AG39" t="s">
        <v>157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1:51" s="64" customFormat="1" ht="17" x14ac:dyDescent="0.2">
      <c r="A40" s="151" t="s">
        <v>571</v>
      </c>
      <c r="B40" s="152">
        <v>1921</v>
      </c>
      <c r="C40" s="152">
        <v>4</v>
      </c>
      <c r="D40" s="152" t="s">
        <v>572</v>
      </c>
      <c r="E40" s="152"/>
      <c r="F40" s="153"/>
      <c r="G40" t="s">
        <v>371</v>
      </c>
      <c r="H40" t="s">
        <v>1425</v>
      </c>
      <c r="I40" s="64">
        <v>32</v>
      </c>
      <c r="J40">
        <v>1</v>
      </c>
      <c r="N40" t="s">
        <v>208</v>
      </c>
      <c r="R40" s="64">
        <v>1</v>
      </c>
      <c r="T40">
        <v>66</v>
      </c>
      <c r="U40"/>
      <c r="V40" s="155"/>
      <c r="W40">
        <v>1854</v>
      </c>
      <c r="AA40" t="s">
        <v>20</v>
      </c>
      <c r="AB40" t="s">
        <v>20</v>
      </c>
      <c r="AC40" s="148"/>
      <c r="AD40" s="148"/>
      <c r="AE40" s="148"/>
      <c r="AG40" t="s">
        <v>276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1:51" s="64" customFormat="1" ht="17" x14ac:dyDescent="0.2">
      <c r="A41" s="151" t="s">
        <v>571</v>
      </c>
      <c r="B41" s="152">
        <v>1921</v>
      </c>
      <c r="C41" s="152">
        <v>4</v>
      </c>
      <c r="D41" s="152" t="s">
        <v>572</v>
      </c>
      <c r="E41" s="152"/>
      <c r="F41" s="153"/>
      <c r="G41" t="s">
        <v>1427</v>
      </c>
      <c r="H41" t="s">
        <v>1426</v>
      </c>
      <c r="I41" s="64">
        <v>33</v>
      </c>
      <c r="J41">
        <v>1</v>
      </c>
      <c r="N41" t="s">
        <v>33</v>
      </c>
      <c r="S41" s="64">
        <v>1</v>
      </c>
      <c r="T41">
        <v>32</v>
      </c>
      <c r="U41"/>
      <c r="V41" s="155"/>
      <c r="W41">
        <v>1888</v>
      </c>
      <c r="AA41" t="s">
        <v>26</v>
      </c>
      <c r="AB41" t="s">
        <v>29</v>
      </c>
      <c r="AC41" s="148">
        <v>1</v>
      </c>
      <c r="AD41" s="148"/>
      <c r="AE41" s="148">
        <v>1</v>
      </c>
      <c r="AG41" t="s">
        <v>1428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1:51" s="64" customFormat="1" ht="17" x14ac:dyDescent="0.2">
      <c r="A42" s="151" t="s">
        <v>571</v>
      </c>
      <c r="B42" s="152">
        <v>1921</v>
      </c>
      <c r="C42" s="152">
        <v>4</v>
      </c>
      <c r="D42" s="152" t="s">
        <v>572</v>
      </c>
      <c r="E42" s="152"/>
      <c r="F42" s="153"/>
      <c r="G42" t="s">
        <v>1429</v>
      </c>
      <c r="H42" t="s">
        <v>46</v>
      </c>
      <c r="I42" s="64">
        <v>34</v>
      </c>
      <c r="J42">
        <v>1</v>
      </c>
      <c r="N42" t="s">
        <v>1430</v>
      </c>
      <c r="S42" s="64">
        <v>1</v>
      </c>
      <c r="T42">
        <v>31</v>
      </c>
      <c r="U42"/>
      <c r="V42" s="155"/>
      <c r="W42">
        <v>1890</v>
      </c>
      <c r="AA42" t="s">
        <v>20</v>
      </c>
      <c r="AB42" t="s">
        <v>20</v>
      </c>
      <c r="AC42" s="148"/>
      <c r="AD42" s="148"/>
      <c r="AE42" s="148"/>
      <c r="AG42" t="s">
        <v>1431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 spans="1:51" s="64" customFormat="1" ht="17" x14ac:dyDescent="0.2">
      <c r="A43" s="151" t="s">
        <v>571</v>
      </c>
      <c r="B43" s="152">
        <v>1921</v>
      </c>
      <c r="C43" s="152">
        <v>4</v>
      </c>
      <c r="D43" s="152" t="s">
        <v>572</v>
      </c>
      <c r="E43" s="152"/>
      <c r="F43" s="153"/>
      <c r="G43" t="s">
        <v>1433</v>
      </c>
      <c r="H43" t="s">
        <v>1432</v>
      </c>
      <c r="I43" s="64">
        <v>35</v>
      </c>
      <c r="J43">
        <v>1</v>
      </c>
      <c r="N43" t="s">
        <v>1434</v>
      </c>
      <c r="S43" s="64">
        <v>1</v>
      </c>
      <c r="T43">
        <v>21</v>
      </c>
      <c r="U43"/>
      <c r="V43" s="155"/>
      <c r="W43">
        <v>1900</v>
      </c>
      <c r="AA43" t="s">
        <v>20</v>
      </c>
      <c r="AB43" t="s">
        <v>20</v>
      </c>
      <c r="AC43" s="148"/>
      <c r="AD43" s="148"/>
      <c r="AE43" s="148"/>
      <c r="AG43" t="s">
        <v>739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1:51" s="64" customFormat="1" ht="17" x14ac:dyDescent="0.2">
      <c r="A44" s="151" t="s">
        <v>571</v>
      </c>
      <c r="B44" s="152">
        <v>1921</v>
      </c>
      <c r="C44" s="152">
        <v>4</v>
      </c>
      <c r="D44" s="152" t="s">
        <v>572</v>
      </c>
      <c r="E44" s="152"/>
      <c r="F44" s="153"/>
      <c r="G44" t="s">
        <v>1436</v>
      </c>
      <c r="H44" t="s">
        <v>1435</v>
      </c>
      <c r="I44" s="64">
        <v>36</v>
      </c>
      <c r="J44">
        <v>1</v>
      </c>
      <c r="N44" t="s">
        <v>58</v>
      </c>
      <c r="R44" s="64">
        <v>1</v>
      </c>
      <c r="T44">
        <v>60</v>
      </c>
      <c r="U44"/>
      <c r="V44" s="155"/>
      <c r="W44">
        <v>1861</v>
      </c>
      <c r="AA44" t="s">
        <v>20</v>
      </c>
      <c r="AB44" t="s">
        <v>20</v>
      </c>
      <c r="AC44" s="148"/>
      <c r="AD44" s="148"/>
      <c r="AE44" s="148"/>
      <c r="AF44" s="64">
        <v>1</v>
      </c>
      <c r="AG44" t="s">
        <v>1437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1:51" s="64" customFormat="1" ht="17" x14ac:dyDescent="0.2">
      <c r="A45" s="151" t="s">
        <v>571</v>
      </c>
      <c r="B45" s="152">
        <v>1921</v>
      </c>
      <c r="C45" s="152">
        <v>4</v>
      </c>
      <c r="D45" s="152" t="s">
        <v>572</v>
      </c>
      <c r="E45" s="152"/>
      <c r="F45" s="153"/>
      <c r="G45" t="s">
        <v>1438</v>
      </c>
      <c r="H45" t="s">
        <v>422</v>
      </c>
      <c r="I45" s="64">
        <v>37</v>
      </c>
      <c r="J45">
        <v>1</v>
      </c>
      <c r="N45" t="s">
        <v>28</v>
      </c>
      <c r="S45" s="64">
        <v>1</v>
      </c>
      <c r="T45">
        <v>36</v>
      </c>
      <c r="U45"/>
      <c r="V45" s="155"/>
      <c r="W45">
        <v>1885</v>
      </c>
      <c r="AA45" t="s">
        <v>20</v>
      </c>
      <c r="AB45" t="s">
        <v>20</v>
      </c>
      <c r="AC45" s="148"/>
      <c r="AD45" s="148"/>
      <c r="AE45" s="148"/>
      <c r="AF45" s="64">
        <v>1</v>
      </c>
      <c r="AG45" t="s">
        <v>1439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1:51" s="64" customFormat="1" ht="17" x14ac:dyDescent="0.2">
      <c r="A46" s="151" t="s">
        <v>571</v>
      </c>
      <c r="B46" s="152">
        <v>1921</v>
      </c>
      <c r="C46" s="152"/>
      <c r="D46" s="152" t="s">
        <v>572</v>
      </c>
      <c r="E46" s="152"/>
      <c r="F46" s="153"/>
      <c r="G46"/>
      <c r="H46">
        <v>11</v>
      </c>
      <c r="J46"/>
      <c r="N46"/>
      <c r="T46"/>
      <c r="U46"/>
      <c r="V46" s="155"/>
      <c r="W46"/>
      <c r="AA46"/>
      <c r="AB46"/>
      <c r="AC46" s="148"/>
      <c r="AD46" s="148"/>
      <c r="AE46" s="148"/>
      <c r="AG46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 spans="1:51" ht="19" customHeight="1" x14ac:dyDescent="0.2">
      <c r="A47" s="151" t="s">
        <v>571</v>
      </c>
      <c r="B47" s="152">
        <v>1921</v>
      </c>
      <c r="C47" s="152"/>
      <c r="D47" s="152" t="s">
        <v>572</v>
      </c>
      <c r="E47" s="7"/>
      <c r="F47" s="5"/>
      <c r="G47" t="s">
        <v>1</v>
      </c>
      <c r="H47" t="s">
        <v>0</v>
      </c>
      <c r="J47" t="s">
        <v>3</v>
      </c>
      <c r="N47" t="s">
        <v>2</v>
      </c>
      <c r="T47" t="s">
        <v>5</v>
      </c>
      <c r="V47" s="5"/>
      <c r="W47" t="s">
        <v>4</v>
      </c>
      <c r="AA47" t="s">
        <v>7</v>
      </c>
      <c r="AB47" t="s">
        <v>8</v>
      </c>
      <c r="AC47" s="5"/>
      <c r="AD47" s="5"/>
      <c r="AE47" s="7"/>
      <c r="AG47" t="s">
        <v>6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151" t="s">
        <v>571</v>
      </c>
      <c r="B48" s="152">
        <v>1921</v>
      </c>
      <c r="C48" s="152">
        <v>5</v>
      </c>
      <c r="D48" s="152" t="s">
        <v>572</v>
      </c>
      <c r="E48" s="7"/>
      <c r="F48" s="7">
        <v>7</v>
      </c>
      <c r="G48" t="s">
        <v>1442</v>
      </c>
      <c r="H48" t="s">
        <v>1441</v>
      </c>
      <c r="I48" s="64">
        <v>38</v>
      </c>
      <c r="J48" t="s">
        <v>13</v>
      </c>
      <c r="K48">
        <v>1</v>
      </c>
      <c r="N48">
        <v>1</v>
      </c>
      <c r="T48">
        <v>53</v>
      </c>
      <c r="V48" s="7"/>
      <c r="W48">
        <v>1867</v>
      </c>
      <c r="AA48" t="s">
        <v>1443</v>
      </c>
      <c r="AB48" t="s">
        <v>8</v>
      </c>
      <c r="AC48" s="7">
        <v>1</v>
      </c>
      <c r="AD48" s="7">
        <v>1</v>
      </c>
      <c r="AE48" s="7"/>
      <c r="AF48">
        <v>1</v>
      </c>
      <c r="AG48" t="s">
        <v>49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151" t="s">
        <v>571</v>
      </c>
      <c r="B49" s="152">
        <v>1921</v>
      </c>
      <c r="C49" s="152">
        <v>5</v>
      </c>
      <c r="D49" s="152" t="s">
        <v>572</v>
      </c>
      <c r="E49" s="7"/>
      <c r="F49" s="7"/>
      <c r="G49" t="s">
        <v>1442</v>
      </c>
      <c r="H49" t="s">
        <v>1444</v>
      </c>
      <c r="I49" s="64">
        <v>39</v>
      </c>
      <c r="J49">
        <v>1</v>
      </c>
      <c r="N49" t="s">
        <v>721</v>
      </c>
      <c r="R49">
        <v>1</v>
      </c>
      <c r="T49">
        <v>19</v>
      </c>
      <c r="V49" s="7"/>
      <c r="W49">
        <v>1902</v>
      </c>
      <c r="AA49" t="s">
        <v>20</v>
      </c>
      <c r="AB49" t="s">
        <v>20</v>
      </c>
      <c r="AC49" s="7"/>
      <c r="AD49" s="7"/>
      <c r="AE49" s="7"/>
      <c r="AG49" t="s">
        <v>1445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151" t="s">
        <v>571</v>
      </c>
      <c r="B50" s="152">
        <v>1921</v>
      </c>
      <c r="C50" s="152">
        <v>5</v>
      </c>
      <c r="D50" s="152" t="s">
        <v>572</v>
      </c>
      <c r="E50" s="7"/>
      <c r="F50" s="7"/>
      <c r="G50" t="s">
        <v>1447</v>
      </c>
      <c r="H50" t="s">
        <v>1446</v>
      </c>
      <c r="I50" s="64">
        <v>40</v>
      </c>
      <c r="J50">
        <v>1</v>
      </c>
      <c r="N50" t="s">
        <v>26</v>
      </c>
      <c r="S50">
        <v>1</v>
      </c>
      <c r="T50">
        <v>44</v>
      </c>
      <c r="V50" s="7"/>
      <c r="W50">
        <v>1876</v>
      </c>
      <c r="AA50" t="s">
        <v>52</v>
      </c>
      <c r="AB50" t="s">
        <v>29</v>
      </c>
      <c r="AC50" s="7">
        <v>1</v>
      </c>
      <c r="AD50" s="7"/>
      <c r="AE50" s="7">
        <v>1</v>
      </c>
      <c r="AG50" t="s">
        <v>452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151" t="s">
        <v>571</v>
      </c>
      <c r="B51" s="152">
        <v>1921</v>
      </c>
      <c r="C51" s="152">
        <v>5</v>
      </c>
      <c r="D51" s="152" t="s">
        <v>572</v>
      </c>
      <c r="E51" s="7"/>
      <c r="F51" s="7"/>
      <c r="G51" t="s">
        <v>1449</v>
      </c>
      <c r="H51" t="s">
        <v>1448</v>
      </c>
      <c r="I51" s="64">
        <v>41</v>
      </c>
      <c r="J51">
        <v>1</v>
      </c>
      <c r="N51" t="s">
        <v>26</v>
      </c>
      <c r="S51">
        <v>1</v>
      </c>
      <c r="T51">
        <v>19</v>
      </c>
      <c r="V51" s="7"/>
      <c r="W51">
        <v>1902</v>
      </c>
      <c r="AA51" t="s">
        <v>93</v>
      </c>
      <c r="AB51" t="s">
        <v>29</v>
      </c>
      <c r="AC51" s="7">
        <v>1</v>
      </c>
      <c r="AD51" s="7"/>
      <c r="AE51" s="7">
        <v>1</v>
      </c>
      <c r="AG51" t="s">
        <v>1450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151" t="s">
        <v>571</v>
      </c>
      <c r="B52" s="152">
        <v>1921</v>
      </c>
      <c r="C52" s="152">
        <v>5</v>
      </c>
      <c r="D52" s="152" t="s">
        <v>572</v>
      </c>
      <c r="E52" s="7"/>
      <c r="F52" s="7"/>
      <c r="G52" t="s">
        <v>916</v>
      </c>
      <c r="H52" t="s">
        <v>1451</v>
      </c>
      <c r="I52" s="64">
        <v>42</v>
      </c>
      <c r="J52">
        <v>1</v>
      </c>
      <c r="N52" t="s">
        <v>26</v>
      </c>
      <c r="S52">
        <v>1</v>
      </c>
      <c r="T52">
        <v>19</v>
      </c>
      <c r="V52" s="7"/>
      <c r="W52">
        <v>1902</v>
      </c>
      <c r="AA52" t="s">
        <v>28</v>
      </c>
      <c r="AB52" t="s">
        <v>29</v>
      </c>
      <c r="AC52" s="7">
        <v>1</v>
      </c>
      <c r="AD52" s="7"/>
      <c r="AE52" s="7">
        <v>1</v>
      </c>
      <c r="AG52" t="s">
        <v>705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151" t="s">
        <v>571</v>
      </c>
      <c r="B53" s="152">
        <v>1921</v>
      </c>
      <c r="C53" s="152">
        <v>5</v>
      </c>
      <c r="D53" s="152" t="s">
        <v>572</v>
      </c>
      <c r="E53" s="7"/>
      <c r="F53" s="7"/>
      <c r="G53" t="s">
        <v>1453</v>
      </c>
      <c r="H53" t="s">
        <v>1452</v>
      </c>
      <c r="I53" s="64">
        <v>43</v>
      </c>
      <c r="J53" t="s">
        <v>13</v>
      </c>
      <c r="K53">
        <v>1</v>
      </c>
      <c r="N53" t="s">
        <v>58</v>
      </c>
      <c r="R53">
        <v>1</v>
      </c>
      <c r="T53">
        <v>54</v>
      </c>
      <c r="V53" s="7"/>
      <c r="W53">
        <v>1867</v>
      </c>
      <c r="AA53" t="s">
        <v>1454</v>
      </c>
      <c r="AB53" t="s">
        <v>8</v>
      </c>
      <c r="AC53" s="7">
        <v>1</v>
      </c>
      <c r="AD53" s="7">
        <v>1</v>
      </c>
      <c r="AE53" s="7"/>
      <c r="AG53" t="s">
        <v>140</v>
      </c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151" t="s">
        <v>571</v>
      </c>
      <c r="B54" s="152">
        <v>1921</v>
      </c>
      <c r="C54" s="152">
        <v>5</v>
      </c>
      <c r="D54" s="152" t="s">
        <v>572</v>
      </c>
      <c r="E54" s="7"/>
      <c r="F54" s="7"/>
      <c r="G54" t="s">
        <v>1453</v>
      </c>
      <c r="H54" t="s">
        <v>1426</v>
      </c>
      <c r="I54" s="64">
        <v>44</v>
      </c>
      <c r="J54">
        <v>1</v>
      </c>
      <c r="N54" t="s">
        <v>58</v>
      </c>
      <c r="R54">
        <v>1</v>
      </c>
      <c r="T54">
        <v>40</v>
      </c>
      <c r="V54" s="7"/>
      <c r="W54">
        <v>1881</v>
      </c>
      <c r="AA54" t="s">
        <v>20</v>
      </c>
      <c r="AB54" t="s">
        <v>20</v>
      </c>
      <c r="AC54" s="7"/>
      <c r="AD54" s="7"/>
      <c r="AE54" s="7"/>
      <c r="AG54" t="s">
        <v>1455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151" t="s">
        <v>571</v>
      </c>
      <c r="B55" s="152">
        <v>1921</v>
      </c>
      <c r="C55" s="152">
        <v>5</v>
      </c>
      <c r="D55" s="152" t="s">
        <v>572</v>
      </c>
      <c r="E55" s="7"/>
      <c r="F55" s="7"/>
      <c r="G55" s="7"/>
      <c r="H55" s="7">
        <v>7</v>
      </c>
      <c r="I55" s="7">
        <v>44</v>
      </c>
      <c r="J55" s="7">
        <f t="shared" ref="J55:T55" si="0">SUM(J3:J54)</f>
        <v>33</v>
      </c>
      <c r="K55" s="7">
        <f t="shared" si="0"/>
        <v>10</v>
      </c>
      <c r="L55" s="7">
        <f t="shared" si="0"/>
        <v>1</v>
      </c>
      <c r="M55" s="7">
        <f t="shared" si="0"/>
        <v>0</v>
      </c>
      <c r="N55" s="7">
        <f t="shared" si="0"/>
        <v>4</v>
      </c>
      <c r="O55" s="7">
        <f t="shared" si="0"/>
        <v>5</v>
      </c>
      <c r="P55" s="7">
        <f t="shared" si="0"/>
        <v>4</v>
      </c>
      <c r="Q55" s="7">
        <f t="shared" si="0"/>
        <v>3</v>
      </c>
      <c r="R55" s="7">
        <f t="shared" si="0"/>
        <v>14</v>
      </c>
      <c r="S55" s="7">
        <f t="shared" si="0"/>
        <v>14</v>
      </c>
      <c r="T55" s="7">
        <f t="shared" si="0"/>
        <v>1585</v>
      </c>
      <c r="U55" s="7"/>
      <c r="V55" s="7">
        <f>SUM(V3:V54)</f>
        <v>0</v>
      </c>
      <c r="W55" s="7"/>
      <c r="X55" s="7">
        <f t="shared" ref="X55:AF55" si="1">SUM(X3:X54)</f>
        <v>0</v>
      </c>
      <c r="Y55" s="7">
        <f t="shared" si="1"/>
        <v>0</v>
      </c>
      <c r="Z55" s="7">
        <f t="shared" si="1"/>
        <v>0</v>
      </c>
      <c r="AA55" s="7">
        <f t="shared" si="1"/>
        <v>0</v>
      </c>
      <c r="AB55" s="7">
        <f t="shared" si="1"/>
        <v>0</v>
      </c>
      <c r="AC55" s="7">
        <f t="shared" si="1"/>
        <v>23</v>
      </c>
      <c r="AD55" s="7">
        <f t="shared" si="1"/>
        <v>5</v>
      </c>
      <c r="AE55" s="7">
        <f t="shared" si="1"/>
        <v>18</v>
      </c>
      <c r="AF55" s="7">
        <f t="shared" si="1"/>
        <v>10</v>
      </c>
      <c r="AG55" s="7">
        <f>J56-AF55</f>
        <v>34</v>
      </c>
      <c r="AH55" s="7">
        <v>44</v>
      </c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" customHeight="1" x14ac:dyDescent="0.2">
      <c r="A56" s="151" t="s">
        <v>571</v>
      </c>
      <c r="B56" s="152">
        <v>1921</v>
      </c>
      <c r="C56" s="152">
        <v>5</v>
      </c>
      <c r="D56" s="152" t="s">
        <v>572</v>
      </c>
      <c r="E56" s="7"/>
      <c r="F56" s="7"/>
      <c r="G56" s="7">
        <f>SUM(G55:G55)</f>
        <v>0</v>
      </c>
      <c r="H56" s="7">
        <f>SUM(H55:H55)</f>
        <v>7</v>
      </c>
      <c r="I56" s="7"/>
      <c r="J56" s="7">
        <f>SUM(J55:M55)</f>
        <v>44</v>
      </c>
      <c r="K56" s="7"/>
      <c r="L56" s="7"/>
      <c r="M56" s="7"/>
      <c r="N56" s="7">
        <f>SUM(N55:S55)</f>
        <v>44</v>
      </c>
      <c r="O56" s="7"/>
      <c r="P56" s="7"/>
      <c r="Q56" s="7"/>
      <c r="R56" s="7"/>
      <c r="S56" s="7"/>
      <c r="T56" s="20">
        <f>T55/N56</f>
        <v>36.022727272727273</v>
      </c>
      <c r="U56" s="7"/>
      <c r="V56" s="7"/>
      <c r="W56" s="7"/>
      <c r="X56" s="7">
        <f>SUM(X55:X55)</f>
        <v>0</v>
      </c>
      <c r="Y56" s="7">
        <f>SUM(Y55:Y55)</f>
        <v>0</v>
      </c>
      <c r="Z56" s="7">
        <f>SUM(Z55:Z55)</f>
        <v>0</v>
      </c>
      <c r="AA56" s="7">
        <f>SUM(AA55:AA55)</f>
        <v>0</v>
      </c>
      <c r="AB56" s="7">
        <f>SUM(AB55:AB55)</f>
        <v>0</v>
      </c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/>
      <c r="B57" s="7"/>
      <c r="C57" s="7"/>
      <c r="D57" s="7"/>
      <c r="E57" s="7"/>
      <c r="F57" s="7"/>
      <c r="G57" s="7">
        <f>G56+H56+I56+J56</f>
        <v>51</v>
      </c>
      <c r="H57" s="7"/>
      <c r="I57" s="7"/>
      <c r="J57" s="7"/>
      <c r="K57" s="7">
        <f>K56+L56+M56+N56+O56+P56</f>
        <v>44</v>
      </c>
      <c r="L57" s="7"/>
      <c r="M57" s="6"/>
      <c r="N57" s="6"/>
      <c r="O57" s="6"/>
      <c r="P57" s="6"/>
      <c r="Q57" s="6">
        <f>Q56/K57</f>
        <v>0</v>
      </c>
      <c r="R57" s="6"/>
      <c r="S57" s="6"/>
      <c r="T57" s="6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6"/>
      <c r="N58" s="6"/>
      <c r="O58" s="6"/>
      <c r="P58" s="6"/>
      <c r="Q58" s="6"/>
      <c r="R58" s="6"/>
      <c r="S58" s="6"/>
      <c r="T58" s="6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11"/>
      <c r="B59" s="11"/>
      <c r="C59" s="11"/>
      <c r="D59" s="12"/>
      <c r="E59" s="11"/>
      <c r="F59" s="12"/>
      <c r="G59" s="12"/>
      <c r="H59" s="12"/>
      <c r="I59" s="12"/>
      <c r="J59" s="12"/>
      <c r="K59" s="13"/>
      <c r="L59" s="12"/>
      <c r="M59" s="12"/>
      <c r="N59" s="12"/>
      <c r="O59" s="12"/>
      <c r="P59" s="12"/>
      <c r="Q59" s="13"/>
      <c r="R59" s="13"/>
      <c r="S59" s="13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28" customHeight="1" x14ac:dyDescent="0.2">
      <c r="A60" s="11"/>
      <c r="B60" s="11"/>
      <c r="C60" s="11"/>
      <c r="D60" s="12"/>
      <c r="E60" s="11"/>
      <c r="F60" s="12"/>
      <c r="G60" s="12"/>
      <c r="H60" s="12"/>
      <c r="I60" s="12"/>
      <c r="J60" s="14"/>
      <c r="K60" s="15"/>
      <c r="L60" s="16"/>
      <c r="M60" s="12"/>
      <c r="N60" s="12"/>
      <c r="O60" s="12"/>
      <c r="P60" s="14"/>
      <c r="Q60" s="15"/>
      <c r="R60" s="15"/>
      <c r="S60" s="15"/>
      <c r="T60" s="17"/>
      <c r="U60" s="12"/>
      <c r="V60" s="12"/>
      <c r="W60" s="12"/>
      <c r="X60" s="12"/>
      <c r="Y60" s="12"/>
      <c r="Z60" s="12"/>
      <c r="AA60" s="12"/>
      <c r="AB60" s="12"/>
      <c r="AC60" s="12"/>
      <c r="AD60" s="11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B61" s="7"/>
      <c r="C61" s="7"/>
      <c r="D61" s="7"/>
      <c r="E61" s="7"/>
      <c r="F61" s="7"/>
      <c r="G61" s="7"/>
      <c r="H61" s="7"/>
      <c r="I61" s="7"/>
      <c r="J61" s="7"/>
      <c r="K61" s="9"/>
      <c r="L61" s="7"/>
      <c r="M61" s="6"/>
      <c r="N61" s="6"/>
      <c r="O61" s="6"/>
      <c r="P61" s="6"/>
      <c r="Q61" s="18"/>
      <c r="R61" s="18"/>
      <c r="S61" s="18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6"/>
      <c r="N62" s="6"/>
      <c r="O62" s="6"/>
      <c r="P62" s="6"/>
      <c r="Q62" s="7"/>
      <c r="R62" s="6"/>
      <c r="S62" s="6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6"/>
      <c r="N63" s="6"/>
      <c r="O63" s="6"/>
      <c r="P63" s="6"/>
      <c r="Q63" s="6"/>
      <c r="R63" s="6"/>
      <c r="S63" s="6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.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6"/>
      <c r="N64" s="6"/>
      <c r="O64" s="6"/>
      <c r="P64" s="6"/>
      <c r="Q64" s="6"/>
      <c r="R64" s="6"/>
      <c r="S64" s="6"/>
      <c r="T64" s="7"/>
      <c r="U64" s="6"/>
      <c r="V64" s="6"/>
      <c r="W64" s="6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7"/>
      <c r="B65" s="7"/>
      <c r="C65" s="7"/>
      <c r="D65" s="7"/>
      <c r="E65" s="7"/>
      <c r="F65" s="7"/>
      <c r="G65" s="7"/>
      <c r="H65" s="7" t="s">
        <v>0</v>
      </c>
      <c r="I65" s="7" t="s">
        <v>1</v>
      </c>
      <c r="J65" s="7" t="s">
        <v>2</v>
      </c>
      <c r="K65" s="7" t="s">
        <v>3</v>
      </c>
      <c r="L65" s="7" t="s">
        <v>4</v>
      </c>
      <c r="M65" s="6" t="s">
        <v>5</v>
      </c>
      <c r="N65" s="6" t="s">
        <v>6</v>
      </c>
      <c r="O65" s="6" t="s">
        <v>7</v>
      </c>
      <c r="P65" s="6" t="s">
        <v>8</v>
      </c>
      <c r="Q65" s="7"/>
      <c r="R65" s="6"/>
      <c r="S65" s="6"/>
      <c r="T65" s="7"/>
      <c r="U65" s="6"/>
      <c r="V65" s="6"/>
      <c r="W65" s="6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7"/>
      <c r="B66" s="7"/>
      <c r="C66" s="7"/>
      <c r="D66" s="7"/>
      <c r="E66" s="7"/>
      <c r="F66" s="7"/>
      <c r="G66" s="7"/>
      <c r="H66" s="7" t="s">
        <v>1200</v>
      </c>
      <c r="I66" s="7" t="s">
        <v>1362</v>
      </c>
      <c r="J66" s="7" t="s">
        <v>12</v>
      </c>
      <c r="K66" s="7" t="s">
        <v>13</v>
      </c>
      <c r="L66" s="7">
        <v>1859</v>
      </c>
      <c r="M66" s="6">
        <v>61</v>
      </c>
      <c r="N66" s="6" t="s">
        <v>49</v>
      </c>
      <c r="O66" s="6" t="s">
        <v>1363</v>
      </c>
      <c r="P66" s="6" t="s">
        <v>8</v>
      </c>
      <c r="Q66" s="7"/>
      <c r="R66" s="6"/>
      <c r="S66" s="6"/>
      <c r="T66" s="7"/>
      <c r="U66" s="6"/>
      <c r="V66" s="6"/>
      <c r="W66" s="6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.5" customHeight="1" x14ac:dyDescent="0.2">
      <c r="A67" s="7"/>
      <c r="B67" s="7"/>
      <c r="C67" s="7"/>
      <c r="D67" s="7"/>
      <c r="E67" s="7"/>
      <c r="F67" s="7"/>
      <c r="G67" s="7"/>
      <c r="H67" s="7" t="s">
        <v>1364</v>
      </c>
      <c r="I67" s="7" t="s">
        <v>1362</v>
      </c>
      <c r="J67" s="7" t="s">
        <v>18</v>
      </c>
      <c r="K67" s="7" t="s">
        <v>19</v>
      </c>
      <c r="L67" s="7">
        <v>1861</v>
      </c>
      <c r="M67" s="6">
        <v>59</v>
      </c>
      <c r="N67" s="6" t="s">
        <v>49</v>
      </c>
      <c r="O67" s="6" t="s">
        <v>50</v>
      </c>
      <c r="P67" s="6" t="s">
        <v>20</v>
      </c>
      <c r="Q67" s="7"/>
      <c r="R67" s="6"/>
      <c r="S67" s="6"/>
      <c r="T67" s="7"/>
      <c r="U67" s="6"/>
      <c r="V67" s="6"/>
      <c r="W67" s="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7"/>
      <c r="B68" s="7"/>
      <c r="C68" s="7"/>
      <c r="D68" s="7"/>
      <c r="E68" s="7"/>
      <c r="F68" s="7"/>
      <c r="G68" s="7"/>
      <c r="H68" s="7" t="s">
        <v>1365</v>
      </c>
      <c r="I68" s="7" t="s">
        <v>1366</v>
      </c>
      <c r="J68" s="7" t="s">
        <v>58</v>
      </c>
      <c r="K68" s="7" t="s">
        <v>13</v>
      </c>
      <c r="L68" s="7">
        <v>1886</v>
      </c>
      <c r="M68" s="6">
        <v>34</v>
      </c>
      <c r="N68" s="6" t="s">
        <v>1367</v>
      </c>
      <c r="O68" s="6" t="s">
        <v>1368</v>
      </c>
      <c r="P68" s="6" t="s">
        <v>1369</v>
      </c>
      <c r="Q68" s="7"/>
      <c r="R68" s="6"/>
      <c r="S68" s="6"/>
      <c r="T68" s="7"/>
      <c r="U68" s="6"/>
      <c r="V68" s="6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" customHeight="1" x14ac:dyDescent="0.2">
      <c r="A69" s="7"/>
      <c r="B69" s="7"/>
      <c r="C69" s="7"/>
      <c r="D69" s="7"/>
      <c r="E69" s="7"/>
      <c r="F69" s="7"/>
      <c r="G69" s="7"/>
      <c r="H69" s="7" t="s">
        <v>1370</v>
      </c>
      <c r="I69" s="7" t="s">
        <v>1366</v>
      </c>
      <c r="J69" s="7" t="s">
        <v>58</v>
      </c>
      <c r="K69" s="7" t="s">
        <v>13</v>
      </c>
      <c r="L69" s="7">
        <v>1920</v>
      </c>
      <c r="M69" s="7">
        <v>1</v>
      </c>
      <c r="N69" s="7" t="s">
        <v>49</v>
      </c>
      <c r="O69" s="7" t="s">
        <v>20</v>
      </c>
      <c r="P69" s="7" t="s">
        <v>20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.5" customHeight="1" x14ac:dyDescent="0.2">
      <c r="A70" s="7"/>
      <c r="B70" s="7"/>
      <c r="C70" s="7"/>
      <c r="D70" s="7"/>
      <c r="E70" s="7"/>
      <c r="F70" s="7"/>
      <c r="G70" s="7"/>
      <c r="H70" s="7" t="s">
        <v>336</v>
      </c>
      <c r="I70" s="7" t="s">
        <v>1371</v>
      </c>
      <c r="J70" s="7" t="s">
        <v>26</v>
      </c>
      <c r="K70" s="7" t="s">
        <v>19</v>
      </c>
      <c r="L70" s="7">
        <v>1859</v>
      </c>
      <c r="M70" s="6">
        <v>62</v>
      </c>
      <c r="N70" s="6" t="s">
        <v>134</v>
      </c>
      <c r="O70" s="6" t="s">
        <v>33</v>
      </c>
      <c r="P70" s="6" t="s">
        <v>29</v>
      </c>
      <c r="Q70" s="7"/>
      <c r="R70" s="6"/>
      <c r="S70" s="6"/>
      <c r="T70" s="19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.5" customHeight="1" x14ac:dyDescent="0.2">
      <c r="A71" s="7"/>
      <c r="B71" s="7"/>
      <c r="C71" s="7"/>
      <c r="D71" s="7"/>
      <c r="E71" s="7"/>
      <c r="F71" s="7"/>
      <c r="G71" s="7"/>
      <c r="H71" s="7" t="s">
        <v>1372</v>
      </c>
      <c r="I71" s="7" t="s">
        <v>1373</v>
      </c>
      <c r="J71" s="7" t="s">
        <v>26</v>
      </c>
      <c r="K71" s="7" t="s">
        <v>19</v>
      </c>
      <c r="L71" s="7">
        <v>1886</v>
      </c>
      <c r="M71" s="6">
        <v>35</v>
      </c>
      <c r="N71" s="6" t="s">
        <v>1374</v>
      </c>
      <c r="O71" s="6" t="s">
        <v>360</v>
      </c>
      <c r="P71" s="6" t="s">
        <v>29</v>
      </c>
      <c r="Q71" s="7"/>
      <c r="R71" s="6"/>
      <c r="S71" s="6"/>
      <c r="T71" s="7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.5" customHeight="1" x14ac:dyDescent="0.2">
      <c r="A72" s="7"/>
      <c r="B72" s="7"/>
      <c r="C72" s="7"/>
      <c r="D72" s="7"/>
      <c r="E72" s="7"/>
      <c r="F72" s="7"/>
      <c r="G72" s="7"/>
      <c r="H72" s="7" t="s">
        <v>203</v>
      </c>
      <c r="I72" s="7" t="s">
        <v>1375</v>
      </c>
      <c r="J72" s="7" t="s">
        <v>26</v>
      </c>
      <c r="K72" s="7" t="s">
        <v>19</v>
      </c>
      <c r="L72" s="7">
        <v>1887</v>
      </c>
      <c r="M72" s="6">
        <v>34</v>
      </c>
      <c r="N72" s="6" t="s">
        <v>1255</v>
      </c>
      <c r="O72" s="6" t="s">
        <v>28</v>
      </c>
      <c r="P72" s="6" t="s">
        <v>29</v>
      </c>
      <c r="Q72" s="7"/>
      <c r="R72" s="6"/>
      <c r="S72" s="6"/>
      <c r="T72" s="7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7.5" customHeight="1" x14ac:dyDescent="0.2">
      <c r="A73" s="7"/>
      <c r="B73" s="7"/>
      <c r="C73" s="7"/>
      <c r="D73" s="7"/>
      <c r="E73" s="7"/>
      <c r="F73" s="7"/>
      <c r="G73" s="7"/>
      <c r="H73" s="7" t="s">
        <v>203</v>
      </c>
      <c r="I73" s="7" t="s">
        <v>1376</v>
      </c>
      <c r="J73" s="7" t="s">
        <v>26</v>
      </c>
      <c r="K73" s="7" t="s">
        <v>19</v>
      </c>
      <c r="L73" s="7">
        <v>1883</v>
      </c>
      <c r="M73" s="6">
        <v>38</v>
      </c>
      <c r="N73" s="6" t="s">
        <v>368</v>
      </c>
      <c r="O73" s="6" t="s">
        <v>28</v>
      </c>
      <c r="P73" s="6" t="s">
        <v>29</v>
      </c>
      <c r="Q73" s="7"/>
      <c r="R73" s="6"/>
      <c r="S73" s="6"/>
      <c r="T73" s="19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.5" customHeight="1" x14ac:dyDescent="0.2">
      <c r="A74" s="7"/>
      <c r="B74" s="7"/>
      <c r="C74" s="7"/>
      <c r="D74" s="7"/>
      <c r="E74" s="7"/>
      <c r="F74" s="7"/>
      <c r="G74" s="7"/>
      <c r="H74" s="7" t="s">
        <v>1377</v>
      </c>
      <c r="I74" s="7" t="s">
        <v>1378</v>
      </c>
      <c r="J74" s="7" t="s">
        <v>26</v>
      </c>
      <c r="K74" s="7" t="s">
        <v>19</v>
      </c>
      <c r="L74" s="7">
        <v>1899</v>
      </c>
      <c r="M74" s="6">
        <v>21</v>
      </c>
      <c r="N74" s="6" t="s">
        <v>149</v>
      </c>
      <c r="O74" s="6" t="s">
        <v>1379</v>
      </c>
      <c r="P74" s="6" t="s">
        <v>29</v>
      </c>
      <c r="Q74" s="7"/>
      <c r="R74" s="6"/>
      <c r="S74" s="6"/>
      <c r="T74" s="7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7"/>
      <c r="B75" s="7"/>
      <c r="C75" s="7"/>
      <c r="D75" s="7"/>
      <c r="E75" s="7"/>
      <c r="F75" s="7"/>
      <c r="G75" s="7"/>
      <c r="H75" s="7" t="s">
        <v>398</v>
      </c>
      <c r="I75" s="7" t="s">
        <v>1380</v>
      </c>
      <c r="J75" s="7" t="s">
        <v>58</v>
      </c>
      <c r="K75" s="7" t="s">
        <v>19</v>
      </c>
      <c r="L75" s="7">
        <v>1905</v>
      </c>
      <c r="M75" s="6">
        <v>15</v>
      </c>
      <c r="N75" s="6" t="s">
        <v>1381</v>
      </c>
      <c r="O75" s="6" t="s">
        <v>1382</v>
      </c>
      <c r="P75" s="6" t="s">
        <v>29</v>
      </c>
      <c r="Q75" s="7"/>
      <c r="R75" s="6"/>
      <c r="S75" s="6"/>
      <c r="T75" s="7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.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6"/>
      <c r="N76" s="6"/>
      <c r="O76" s="6"/>
      <c r="P76" s="6"/>
      <c r="Q76" s="7"/>
      <c r="R76" s="6"/>
      <c r="S76" s="6"/>
      <c r="T76" s="7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" customHeight="1" x14ac:dyDescent="0.2">
      <c r="A77" s="4" t="s">
        <v>252</v>
      </c>
      <c r="B77" s="7"/>
      <c r="C77" s="7"/>
      <c r="D77" s="7"/>
      <c r="E77" s="7"/>
      <c r="F77" s="7"/>
      <c r="G77" s="7">
        <f>SUM(G55:G76)</f>
        <v>51</v>
      </c>
      <c r="H77" s="7" t="s">
        <v>0</v>
      </c>
      <c r="I77" s="7" t="s">
        <v>1</v>
      </c>
      <c r="J77" s="7" t="s">
        <v>2</v>
      </c>
      <c r="K77" s="7" t="s">
        <v>3</v>
      </c>
      <c r="L77" s="7" t="s">
        <v>4</v>
      </c>
      <c r="M77" s="7" t="s">
        <v>5</v>
      </c>
      <c r="N77" s="7" t="s">
        <v>6</v>
      </c>
      <c r="O77" s="7" t="s">
        <v>7</v>
      </c>
      <c r="P77" s="7" t="s">
        <v>8</v>
      </c>
      <c r="Q77" s="7">
        <f>SUM(Q47:Q76)</f>
        <v>3</v>
      </c>
      <c r="R77" s="7">
        <f>SUM(R55:R76)</f>
        <v>14</v>
      </c>
      <c r="S77" s="7">
        <f>SUM(S55:S76)</f>
        <v>14</v>
      </c>
      <c r="T77" s="7">
        <f>SUM(T55:T76)</f>
        <v>1621.0227272727273</v>
      </c>
      <c r="U77" s="7">
        <f>SUM(U55:U76)</f>
        <v>0</v>
      </c>
      <c r="V77" s="7">
        <f>SUM(V47:V76)</f>
        <v>0</v>
      </c>
      <c r="W77" s="7">
        <f>SUM(W55:W76)</f>
        <v>0</v>
      </c>
      <c r="X77" s="7"/>
      <c r="Y77" s="7"/>
      <c r="Z77" s="7">
        <f>SUM(Z55:Z76)</f>
        <v>0</v>
      </c>
      <c r="AA77" s="7">
        <f>SUM(AA55:AA76)</f>
        <v>0</v>
      </c>
      <c r="AB77" s="7">
        <f>SUM(AB55:AB76)</f>
        <v>0</v>
      </c>
      <c r="AC77" s="7">
        <f>SUM(AC47:AC76)</f>
        <v>28</v>
      </c>
      <c r="AD77" s="7">
        <f>SUM(AD47:AD76)</f>
        <v>7</v>
      </c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" customHeight="1" x14ac:dyDescent="0.2">
      <c r="A78" s="7"/>
      <c r="B78" s="7"/>
      <c r="C78" s="7"/>
      <c r="D78" s="7"/>
      <c r="E78" s="7"/>
      <c r="F78" s="7"/>
      <c r="G78" s="7"/>
      <c r="H78" s="7" t="s">
        <v>1383</v>
      </c>
      <c r="I78" s="7" t="s">
        <v>1384</v>
      </c>
      <c r="J78" s="7" t="s">
        <v>12</v>
      </c>
      <c r="K78" s="7" t="s">
        <v>13</v>
      </c>
      <c r="L78" s="7">
        <v>1863</v>
      </c>
      <c r="M78" s="7">
        <v>57</v>
      </c>
      <c r="N78" s="7" t="s">
        <v>149</v>
      </c>
      <c r="O78" s="7" t="s">
        <v>1385</v>
      </c>
      <c r="P78" s="7" t="s">
        <v>1386</v>
      </c>
      <c r="Q78" s="20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" customHeight="1" x14ac:dyDescent="0.2">
      <c r="A79" s="7"/>
      <c r="B79" s="7"/>
      <c r="C79" s="7"/>
      <c r="D79" s="7"/>
      <c r="E79" s="7"/>
      <c r="F79" s="7"/>
      <c r="G79" s="21"/>
      <c r="H79" s="21" t="s">
        <v>398</v>
      </c>
      <c r="I79" s="21" t="s">
        <v>1384</v>
      </c>
      <c r="J79" s="7" t="s">
        <v>18</v>
      </c>
      <c r="K79" s="7" t="s">
        <v>19</v>
      </c>
      <c r="L79" s="7">
        <v>1867</v>
      </c>
      <c r="M79" s="7">
        <v>53</v>
      </c>
      <c r="N79" s="7" t="s">
        <v>1387</v>
      </c>
      <c r="O79" s="7" t="s">
        <v>50</v>
      </c>
      <c r="P79" s="7" t="s">
        <v>20</v>
      </c>
      <c r="Q79" s="20"/>
      <c r="R79" s="21"/>
      <c r="S79" s="21"/>
      <c r="T79" s="2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7.5" customHeight="1" x14ac:dyDescent="0.2">
      <c r="A80" s="7"/>
      <c r="B80" s="7"/>
      <c r="C80" s="7"/>
      <c r="D80" s="7"/>
      <c r="E80" s="7"/>
      <c r="F80" s="7"/>
      <c r="G80" s="7"/>
      <c r="H80" s="7" t="s">
        <v>1388</v>
      </c>
      <c r="I80" s="7" t="s">
        <v>1384</v>
      </c>
      <c r="J80" s="7" t="s">
        <v>51</v>
      </c>
      <c r="K80" s="7" t="s">
        <v>13</v>
      </c>
      <c r="L80" s="7">
        <v>1901</v>
      </c>
      <c r="M80" s="7">
        <v>20</v>
      </c>
      <c r="N80" s="7" t="s">
        <v>49</v>
      </c>
      <c r="O80" s="7" t="s">
        <v>1389</v>
      </c>
      <c r="P80" s="7" t="s">
        <v>20</v>
      </c>
      <c r="Q80" s="7"/>
      <c r="R80" s="6"/>
      <c r="S80" s="6"/>
      <c r="T80" s="19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" customHeight="1" x14ac:dyDescent="0.2">
      <c r="A81" s="7"/>
      <c r="B81" s="7"/>
      <c r="C81" s="7"/>
      <c r="D81" s="7"/>
      <c r="E81" s="7"/>
      <c r="F81" s="7"/>
      <c r="G81" s="7"/>
      <c r="H81" s="7" t="s">
        <v>1390</v>
      </c>
      <c r="I81" s="7" t="s">
        <v>1384</v>
      </c>
      <c r="J81" s="7" t="s">
        <v>22</v>
      </c>
      <c r="K81" s="7" t="s">
        <v>19</v>
      </c>
      <c r="L81" s="7">
        <v>1904</v>
      </c>
      <c r="M81" s="7">
        <v>17</v>
      </c>
      <c r="N81" s="7" t="s">
        <v>49</v>
      </c>
      <c r="O81" s="7" t="s">
        <v>20</v>
      </c>
      <c r="P81" s="7" t="s">
        <v>20</v>
      </c>
      <c r="Q81" s="7"/>
      <c r="R81" s="21"/>
      <c r="S81" s="21"/>
      <c r="T81" s="21"/>
      <c r="U81" s="7"/>
      <c r="V81" s="7"/>
      <c r="W81" s="7"/>
      <c r="X81" s="7"/>
      <c r="Y81" s="7"/>
      <c r="Z81" s="7"/>
      <c r="AA81" s="7"/>
      <c r="AB81" s="7"/>
      <c r="AC81" s="22"/>
      <c r="AD81" s="22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7.5" customHeight="1" x14ac:dyDescent="0.2">
      <c r="A82" s="7"/>
      <c r="B82" s="7"/>
      <c r="C82" s="7"/>
      <c r="D82" s="7"/>
      <c r="E82" s="7"/>
      <c r="F82" s="7"/>
      <c r="G82" s="7"/>
      <c r="H82" s="7" t="s">
        <v>422</v>
      </c>
      <c r="I82" s="7" t="s">
        <v>1391</v>
      </c>
      <c r="J82" s="7" t="s">
        <v>1238</v>
      </c>
      <c r="K82" s="7" t="s">
        <v>19</v>
      </c>
      <c r="L82" s="7">
        <v>1843</v>
      </c>
      <c r="M82" s="7">
        <v>78</v>
      </c>
      <c r="N82" s="7" t="s">
        <v>149</v>
      </c>
      <c r="O82" s="7" t="s">
        <v>20</v>
      </c>
      <c r="P82" s="7" t="s">
        <v>20</v>
      </c>
      <c r="Q82" s="7"/>
      <c r="R82" s="6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">
      <c r="H83" t="s">
        <v>1392</v>
      </c>
      <c r="I83" t="s">
        <v>1393</v>
      </c>
      <c r="J83" t="s">
        <v>58</v>
      </c>
      <c r="K83" t="s">
        <v>13</v>
      </c>
      <c r="L83">
        <v>1891</v>
      </c>
      <c r="M83">
        <v>30</v>
      </c>
      <c r="N83" t="s">
        <v>1394</v>
      </c>
      <c r="O83" t="s">
        <v>1395</v>
      </c>
      <c r="P83" t="s">
        <v>1386</v>
      </c>
    </row>
    <row r="84" spans="1:51" x14ac:dyDescent="0.2">
      <c r="H84" t="s">
        <v>1396</v>
      </c>
      <c r="I84" t="s">
        <v>1393</v>
      </c>
      <c r="J84" t="s">
        <v>18</v>
      </c>
      <c r="K84" t="s">
        <v>19</v>
      </c>
      <c r="L84">
        <v>1895</v>
      </c>
      <c r="M84">
        <v>25</v>
      </c>
      <c r="N84" t="s">
        <v>1397</v>
      </c>
      <c r="O84" t="s">
        <v>20</v>
      </c>
      <c r="P84" t="s">
        <v>20</v>
      </c>
    </row>
    <row r="85" spans="1:51" x14ac:dyDescent="0.2">
      <c r="H85" t="s">
        <v>1398</v>
      </c>
      <c r="I85" t="s">
        <v>1393</v>
      </c>
      <c r="J85" t="s">
        <v>22</v>
      </c>
      <c r="K85" t="s">
        <v>19</v>
      </c>
      <c r="L85">
        <v>1919</v>
      </c>
      <c r="M85">
        <v>2</v>
      </c>
      <c r="N85" t="s">
        <v>375</v>
      </c>
      <c r="O85" t="s">
        <v>20</v>
      </c>
      <c r="P85" t="s">
        <v>20</v>
      </c>
    </row>
    <row r="86" spans="1:51" x14ac:dyDescent="0.2">
      <c r="H86" t="s">
        <v>351</v>
      </c>
      <c r="I86" t="s">
        <v>1399</v>
      </c>
      <c r="J86" t="s">
        <v>26</v>
      </c>
      <c r="K86" t="s">
        <v>19</v>
      </c>
      <c r="L86">
        <v>1885</v>
      </c>
      <c r="M86">
        <v>35</v>
      </c>
      <c r="N86" t="s">
        <v>356</v>
      </c>
      <c r="O86" t="s">
        <v>1400</v>
      </c>
      <c r="P86" t="s">
        <v>29</v>
      </c>
    </row>
    <row r="87" spans="1:51" x14ac:dyDescent="0.2">
      <c r="H87" t="s">
        <v>24</v>
      </c>
      <c r="I87" t="s">
        <v>118</v>
      </c>
      <c r="J87" t="s">
        <v>26</v>
      </c>
      <c r="K87" t="s">
        <v>19</v>
      </c>
      <c r="L87">
        <v>1893</v>
      </c>
      <c r="M87">
        <v>28</v>
      </c>
      <c r="N87" t="s">
        <v>1401</v>
      </c>
      <c r="O87" t="s">
        <v>28</v>
      </c>
      <c r="P87" t="s">
        <v>29</v>
      </c>
    </row>
    <row r="88" spans="1:51" x14ac:dyDescent="0.2">
      <c r="H88" t="s">
        <v>1402</v>
      </c>
      <c r="I88" t="s">
        <v>1403</v>
      </c>
      <c r="J88" t="s">
        <v>26</v>
      </c>
      <c r="K88" t="s">
        <v>19</v>
      </c>
      <c r="L88">
        <v>1900</v>
      </c>
      <c r="M88">
        <v>20</v>
      </c>
      <c r="N88" t="s">
        <v>452</v>
      </c>
      <c r="O88" t="s">
        <v>28</v>
      </c>
      <c r="P88" t="s">
        <v>29</v>
      </c>
    </row>
    <row r="90" spans="1:51" x14ac:dyDescent="0.2">
      <c r="H90" t="s">
        <v>0</v>
      </c>
      <c r="I90" t="s">
        <v>1</v>
      </c>
      <c r="J90" t="s">
        <v>2</v>
      </c>
      <c r="K90" t="s">
        <v>3</v>
      </c>
      <c r="L90" t="s">
        <v>4</v>
      </c>
      <c r="M90" t="s">
        <v>5</v>
      </c>
      <c r="N90" t="s">
        <v>6</v>
      </c>
      <c r="O90" t="s">
        <v>7</v>
      </c>
      <c r="P90" t="s">
        <v>8</v>
      </c>
    </row>
    <row r="91" spans="1:51" x14ac:dyDescent="0.2">
      <c r="H91" t="s">
        <v>1404</v>
      </c>
      <c r="I91" t="s">
        <v>1405</v>
      </c>
      <c r="J91" t="s">
        <v>18</v>
      </c>
      <c r="K91" t="s">
        <v>19</v>
      </c>
      <c r="L91">
        <v>1868</v>
      </c>
      <c r="M91">
        <v>53</v>
      </c>
      <c r="N91" t="s">
        <v>1406</v>
      </c>
      <c r="O91" t="s">
        <v>20</v>
      </c>
      <c r="P91" t="s">
        <v>20</v>
      </c>
    </row>
    <row r="92" spans="1:51" x14ac:dyDescent="0.2">
      <c r="H92" t="s">
        <v>1407</v>
      </c>
      <c r="I92" t="s">
        <v>1405</v>
      </c>
      <c r="J92" t="s">
        <v>22</v>
      </c>
      <c r="K92" t="s">
        <v>19</v>
      </c>
      <c r="L92">
        <v>1899</v>
      </c>
      <c r="M92">
        <v>22</v>
      </c>
      <c r="N92" t="s">
        <v>1408</v>
      </c>
      <c r="O92" t="s">
        <v>20</v>
      </c>
      <c r="P92" t="s">
        <v>20</v>
      </c>
    </row>
    <row r="93" spans="1:51" x14ac:dyDescent="0.2">
      <c r="H93" t="s">
        <v>1409</v>
      </c>
      <c r="I93" t="s">
        <v>1405</v>
      </c>
      <c r="J93" t="s">
        <v>51</v>
      </c>
      <c r="K93" t="s">
        <v>13</v>
      </c>
      <c r="L93">
        <v>1902</v>
      </c>
      <c r="M93">
        <v>18</v>
      </c>
      <c r="N93" t="s">
        <v>1410</v>
      </c>
      <c r="O93" t="s">
        <v>20</v>
      </c>
      <c r="P93" t="s">
        <v>20</v>
      </c>
    </row>
    <row r="94" spans="1:51" x14ac:dyDescent="0.2">
      <c r="H94" t="s">
        <v>1411</v>
      </c>
      <c r="I94" t="s">
        <v>1412</v>
      </c>
      <c r="J94" t="s">
        <v>26</v>
      </c>
      <c r="K94" t="s">
        <v>19</v>
      </c>
      <c r="L94">
        <v>1891</v>
      </c>
      <c r="M94">
        <v>30</v>
      </c>
      <c r="N94" t="s">
        <v>1413</v>
      </c>
      <c r="O94" t="s">
        <v>33</v>
      </c>
      <c r="P94" t="s">
        <v>29</v>
      </c>
    </row>
    <row r="95" spans="1:51" x14ac:dyDescent="0.2">
      <c r="H95" t="s">
        <v>1414</v>
      </c>
      <c r="I95" t="s">
        <v>61</v>
      </c>
      <c r="J95" t="s">
        <v>26</v>
      </c>
      <c r="K95" t="s">
        <v>19</v>
      </c>
      <c r="L95">
        <v>1898</v>
      </c>
      <c r="M95">
        <v>23</v>
      </c>
      <c r="N95" t="s">
        <v>1415</v>
      </c>
      <c r="O95" t="s">
        <v>330</v>
      </c>
      <c r="P95" t="s">
        <v>29</v>
      </c>
    </row>
    <row r="97" spans="6:17" x14ac:dyDescent="0.2">
      <c r="H97" t="s">
        <v>0</v>
      </c>
      <c r="I97" t="s">
        <v>1</v>
      </c>
      <c r="J97" t="s">
        <v>2</v>
      </c>
      <c r="K97" t="s">
        <v>3</v>
      </c>
      <c r="L97" t="s">
        <v>4</v>
      </c>
      <c r="M97" t="s">
        <v>5</v>
      </c>
      <c r="N97" t="s">
        <v>6</v>
      </c>
      <c r="O97" t="s">
        <v>7</v>
      </c>
      <c r="P97" t="s">
        <v>8</v>
      </c>
    </row>
    <row r="98" spans="6:17" x14ac:dyDescent="0.2">
      <c r="H98" t="s">
        <v>1416</v>
      </c>
      <c r="I98" t="s">
        <v>1001</v>
      </c>
      <c r="J98" t="s">
        <v>12</v>
      </c>
      <c r="K98" t="s">
        <v>13</v>
      </c>
      <c r="L98">
        <v>1853</v>
      </c>
      <c r="M98">
        <v>68</v>
      </c>
      <c r="N98" t="s">
        <v>49</v>
      </c>
      <c r="O98" t="s">
        <v>1417</v>
      </c>
      <c r="P98" t="s">
        <v>8</v>
      </c>
      <c r="Q98" t="s">
        <v>1440</v>
      </c>
    </row>
    <row r="99" spans="6:17" x14ac:dyDescent="0.2">
      <c r="H99" t="s">
        <v>1418</v>
      </c>
      <c r="I99" t="s">
        <v>1001</v>
      </c>
      <c r="J99" t="s">
        <v>18</v>
      </c>
      <c r="K99" t="s">
        <v>19</v>
      </c>
      <c r="L99">
        <v>1856</v>
      </c>
      <c r="M99">
        <v>65</v>
      </c>
      <c r="N99" t="s">
        <v>49</v>
      </c>
      <c r="O99" t="s">
        <v>131</v>
      </c>
      <c r="P99" t="s">
        <v>20</v>
      </c>
    </row>
    <row r="100" spans="6:17" x14ac:dyDescent="0.2">
      <c r="H100" t="s">
        <v>1419</v>
      </c>
      <c r="I100" t="s">
        <v>1001</v>
      </c>
      <c r="J100" t="s">
        <v>51</v>
      </c>
      <c r="K100" t="s">
        <v>13</v>
      </c>
      <c r="L100">
        <v>1890</v>
      </c>
      <c r="M100">
        <v>30</v>
      </c>
      <c r="N100" t="s">
        <v>49</v>
      </c>
      <c r="O100" t="s">
        <v>1420</v>
      </c>
      <c r="P100" t="s">
        <v>1421</v>
      </c>
    </row>
    <row r="101" spans="6:17" x14ac:dyDescent="0.2">
      <c r="H101" t="s">
        <v>1422</v>
      </c>
      <c r="I101" t="s">
        <v>1001</v>
      </c>
      <c r="J101" t="s">
        <v>22</v>
      </c>
      <c r="K101" t="s">
        <v>19</v>
      </c>
      <c r="L101">
        <v>1892</v>
      </c>
      <c r="M101">
        <v>29</v>
      </c>
      <c r="N101" t="s">
        <v>49</v>
      </c>
      <c r="O101" t="s">
        <v>20</v>
      </c>
      <c r="P101" t="s">
        <v>20</v>
      </c>
    </row>
    <row r="102" spans="6:17" x14ac:dyDescent="0.2">
      <c r="H102" t="s">
        <v>1423</v>
      </c>
      <c r="I102" t="s">
        <v>1424</v>
      </c>
      <c r="J102" t="s">
        <v>58</v>
      </c>
      <c r="K102" t="s">
        <v>19</v>
      </c>
      <c r="L102">
        <v>1892</v>
      </c>
      <c r="M102">
        <v>28</v>
      </c>
      <c r="N102" t="s">
        <v>157</v>
      </c>
      <c r="O102" t="s">
        <v>20</v>
      </c>
      <c r="P102" t="s">
        <v>20</v>
      </c>
    </row>
    <row r="103" spans="6:17" x14ac:dyDescent="0.2">
      <c r="H103" t="s">
        <v>1425</v>
      </c>
      <c r="I103" t="s">
        <v>371</v>
      </c>
      <c r="J103" t="s">
        <v>208</v>
      </c>
      <c r="K103" t="s">
        <v>19</v>
      </c>
      <c r="L103">
        <v>1854</v>
      </c>
      <c r="M103">
        <v>66</v>
      </c>
      <c r="N103" t="s">
        <v>276</v>
      </c>
      <c r="O103" t="s">
        <v>20</v>
      </c>
      <c r="P103" t="s">
        <v>20</v>
      </c>
    </row>
    <row r="104" spans="6:17" x14ac:dyDescent="0.2">
      <c r="H104" t="s">
        <v>1426</v>
      </c>
      <c r="I104" t="s">
        <v>1427</v>
      </c>
      <c r="J104" t="s">
        <v>33</v>
      </c>
      <c r="K104" t="s">
        <v>19</v>
      </c>
      <c r="L104">
        <v>1888</v>
      </c>
      <c r="M104">
        <v>32</v>
      </c>
      <c r="N104" t="s">
        <v>1428</v>
      </c>
      <c r="O104" t="s">
        <v>26</v>
      </c>
      <c r="P104" t="s">
        <v>29</v>
      </c>
    </row>
    <row r="105" spans="6:17" x14ac:dyDescent="0.2">
      <c r="H105" t="s">
        <v>46</v>
      </c>
      <c r="I105" t="s">
        <v>1429</v>
      </c>
      <c r="J105" t="s">
        <v>1430</v>
      </c>
      <c r="K105" t="s">
        <v>19</v>
      </c>
      <c r="L105">
        <v>1890</v>
      </c>
      <c r="M105">
        <v>31</v>
      </c>
      <c r="N105" t="s">
        <v>1431</v>
      </c>
      <c r="O105" t="s">
        <v>20</v>
      </c>
      <c r="P105" t="s">
        <v>20</v>
      </c>
    </row>
    <row r="106" spans="6:17" x14ac:dyDescent="0.2">
      <c r="H106" t="s">
        <v>1432</v>
      </c>
      <c r="I106" t="s">
        <v>1433</v>
      </c>
      <c r="J106" t="s">
        <v>1434</v>
      </c>
      <c r="K106" t="s">
        <v>19</v>
      </c>
      <c r="L106">
        <v>1900</v>
      </c>
      <c r="M106">
        <v>21</v>
      </c>
      <c r="N106" t="s">
        <v>739</v>
      </c>
      <c r="O106" t="s">
        <v>20</v>
      </c>
      <c r="P106" t="s">
        <v>20</v>
      </c>
    </row>
    <row r="107" spans="6:17" x14ac:dyDescent="0.2">
      <c r="H107" t="s">
        <v>1435</v>
      </c>
      <c r="I107" t="s">
        <v>1436</v>
      </c>
      <c r="J107" t="s">
        <v>58</v>
      </c>
      <c r="K107" t="s">
        <v>19</v>
      </c>
      <c r="L107">
        <v>1861</v>
      </c>
      <c r="M107">
        <v>60</v>
      </c>
      <c r="N107" t="s">
        <v>1437</v>
      </c>
      <c r="O107" t="s">
        <v>20</v>
      </c>
      <c r="P107" t="s">
        <v>20</v>
      </c>
    </row>
    <row r="108" spans="6:17" x14ac:dyDescent="0.2">
      <c r="H108" t="s">
        <v>422</v>
      </c>
      <c r="I108" t="s">
        <v>1438</v>
      </c>
      <c r="J108" t="s">
        <v>28</v>
      </c>
      <c r="K108" t="s">
        <v>19</v>
      </c>
      <c r="L108">
        <v>1885</v>
      </c>
      <c r="M108">
        <v>36</v>
      </c>
      <c r="N108" t="s">
        <v>1439</v>
      </c>
      <c r="O108" t="s">
        <v>20</v>
      </c>
      <c r="P108" t="s">
        <v>20</v>
      </c>
    </row>
    <row r="110" spans="6:17" x14ac:dyDescent="0.2">
      <c r="H110" t="s">
        <v>0</v>
      </c>
      <c r="I110" t="s">
        <v>1</v>
      </c>
      <c r="J110" t="s">
        <v>2</v>
      </c>
      <c r="K110" t="s">
        <v>3</v>
      </c>
      <c r="L110" t="s">
        <v>4</v>
      </c>
      <c r="M110" t="s">
        <v>5</v>
      </c>
      <c r="N110" t="s">
        <v>6</v>
      </c>
      <c r="O110" t="s">
        <v>7</v>
      </c>
      <c r="P110" t="s">
        <v>8</v>
      </c>
    </row>
    <row r="111" spans="6:17" x14ac:dyDescent="0.2">
      <c r="F111">
        <v>7</v>
      </c>
      <c r="H111" t="s">
        <v>1441</v>
      </c>
      <c r="I111" t="s">
        <v>1442</v>
      </c>
      <c r="J111" t="s">
        <v>12</v>
      </c>
      <c r="K111" t="s">
        <v>13</v>
      </c>
      <c r="L111">
        <v>1867</v>
      </c>
      <c r="M111">
        <v>53</v>
      </c>
      <c r="N111" t="s">
        <v>49</v>
      </c>
      <c r="O111" t="s">
        <v>1443</v>
      </c>
      <c r="P111" t="s">
        <v>8</v>
      </c>
    </row>
    <row r="112" spans="6:17" x14ac:dyDescent="0.2">
      <c r="H112" t="s">
        <v>1444</v>
      </c>
      <c r="I112" t="s">
        <v>1442</v>
      </c>
      <c r="J112" t="s">
        <v>721</v>
      </c>
      <c r="K112" t="s">
        <v>19</v>
      </c>
      <c r="L112">
        <v>1902</v>
      </c>
      <c r="M112">
        <v>19</v>
      </c>
      <c r="N112" t="s">
        <v>1445</v>
      </c>
      <c r="O112" t="s">
        <v>20</v>
      </c>
      <c r="P112" t="s">
        <v>20</v>
      </c>
    </row>
    <row r="113" spans="8:16" x14ac:dyDescent="0.2">
      <c r="H113" t="s">
        <v>1446</v>
      </c>
      <c r="I113" t="s">
        <v>1447</v>
      </c>
      <c r="J113" t="s">
        <v>26</v>
      </c>
      <c r="K113" t="s">
        <v>19</v>
      </c>
      <c r="L113">
        <v>1876</v>
      </c>
      <c r="M113">
        <v>44</v>
      </c>
      <c r="N113" t="s">
        <v>452</v>
      </c>
      <c r="O113" t="s">
        <v>52</v>
      </c>
      <c r="P113" t="s">
        <v>29</v>
      </c>
    </row>
    <row r="114" spans="8:16" x14ac:dyDescent="0.2">
      <c r="H114" t="s">
        <v>1448</v>
      </c>
      <c r="I114" t="s">
        <v>1449</v>
      </c>
      <c r="J114" t="s">
        <v>26</v>
      </c>
      <c r="K114" t="s">
        <v>19</v>
      </c>
      <c r="L114">
        <v>1902</v>
      </c>
      <c r="M114">
        <v>19</v>
      </c>
      <c r="N114" t="s">
        <v>1450</v>
      </c>
      <c r="O114" t="s">
        <v>93</v>
      </c>
      <c r="P114" t="s">
        <v>29</v>
      </c>
    </row>
    <row r="115" spans="8:16" x14ac:dyDescent="0.2">
      <c r="H115" t="s">
        <v>1451</v>
      </c>
      <c r="I115" t="s">
        <v>916</v>
      </c>
      <c r="J115" t="s">
        <v>26</v>
      </c>
      <c r="K115" t="s">
        <v>19</v>
      </c>
      <c r="L115">
        <v>1902</v>
      </c>
      <c r="M115">
        <v>19</v>
      </c>
      <c r="N115" t="s">
        <v>705</v>
      </c>
      <c r="O115" t="s">
        <v>28</v>
      </c>
      <c r="P115" t="s">
        <v>29</v>
      </c>
    </row>
    <row r="116" spans="8:16" x14ac:dyDescent="0.2">
      <c r="H116" t="s">
        <v>1452</v>
      </c>
      <c r="I116" t="s">
        <v>1453</v>
      </c>
      <c r="J116" t="s">
        <v>58</v>
      </c>
      <c r="K116" t="s">
        <v>13</v>
      </c>
      <c r="L116">
        <v>1867</v>
      </c>
      <c r="M116">
        <v>54</v>
      </c>
      <c r="N116" t="s">
        <v>140</v>
      </c>
      <c r="O116" t="s">
        <v>1454</v>
      </c>
      <c r="P116" t="s">
        <v>8</v>
      </c>
    </row>
    <row r="117" spans="8:16" x14ac:dyDescent="0.2">
      <c r="H117" t="s">
        <v>1426</v>
      </c>
      <c r="I117" t="s">
        <v>1453</v>
      </c>
      <c r="J117" t="s">
        <v>58</v>
      </c>
      <c r="K117" t="s">
        <v>19</v>
      </c>
      <c r="L117">
        <v>1881</v>
      </c>
      <c r="M117">
        <v>40</v>
      </c>
      <c r="N117" t="s">
        <v>1455</v>
      </c>
      <c r="O117" t="s">
        <v>20</v>
      </c>
      <c r="P117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59CE-C901-BA42-BF88-8ABCBEC10CBA}">
  <dimension ref="A1:BC68"/>
  <sheetViews>
    <sheetView workbookViewId="0">
      <pane ySplit="2" topLeftCell="A3" activePane="bottomLeft" state="frozen"/>
      <selection pane="bottomLeft" activeCell="A31" sqref="A31:XFD31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10.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573</v>
      </c>
      <c r="B3" s="9">
        <v>1921</v>
      </c>
      <c r="C3" s="7">
        <v>1</v>
      </c>
      <c r="D3" s="7" t="s">
        <v>1497</v>
      </c>
      <c r="E3" s="7"/>
      <c r="F3" s="7">
        <v>2</v>
      </c>
      <c r="G3" s="7" t="s">
        <v>1166</v>
      </c>
      <c r="H3" s="7" t="s">
        <v>911</v>
      </c>
      <c r="I3">
        <v>1</v>
      </c>
      <c r="J3" s="7" t="s">
        <v>13</v>
      </c>
      <c r="K3">
        <v>1</v>
      </c>
      <c r="N3" s="7">
        <v>1</v>
      </c>
      <c r="T3" s="6">
        <v>62</v>
      </c>
      <c r="U3" s="7">
        <v>1859</v>
      </c>
      <c r="Z3" s="5"/>
      <c r="AA3" s="6" t="s">
        <v>1456</v>
      </c>
      <c r="AB3" s="6" t="s">
        <v>8</v>
      </c>
      <c r="AC3" s="5">
        <v>1</v>
      </c>
      <c r="AD3" s="5">
        <v>1</v>
      </c>
      <c r="AE3" s="7"/>
      <c r="AF3" s="7">
        <v>1</v>
      </c>
      <c r="AG3" s="6" t="s">
        <v>49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9" customHeight="1" x14ac:dyDescent="0.2">
      <c r="A4" s="9" t="s">
        <v>573</v>
      </c>
      <c r="B4" s="9">
        <v>1921</v>
      </c>
      <c r="C4" s="7">
        <v>1</v>
      </c>
      <c r="D4" s="7" t="s">
        <v>1497</v>
      </c>
      <c r="E4" s="7"/>
      <c r="F4" s="7"/>
      <c r="G4" s="7" t="s">
        <v>1166</v>
      </c>
      <c r="H4" s="7" t="s">
        <v>1457</v>
      </c>
      <c r="I4">
        <v>2</v>
      </c>
      <c r="J4" s="7">
        <v>1</v>
      </c>
      <c r="N4" s="7" t="s">
        <v>18</v>
      </c>
      <c r="O4">
        <v>1</v>
      </c>
      <c r="T4" s="6">
        <v>61</v>
      </c>
      <c r="U4" s="7">
        <v>1860</v>
      </c>
      <c r="Z4" s="5"/>
      <c r="AA4" s="6" t="s">
        <v>50</v>
      </c>
      <c r="AB4" s="6" t="s">
        <v>20</v>
      </c>
      <c r="AC4" s="5"/>
      <c r="AD4" s="5"/>
      <c r="AE4" s="7"/>
      <c r="AF4" s="7"/>
      <c r="AG4" s="6" t="s">
        <v>1458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9" customHeight="1" x14ac:dyDescent="0.2">
      <c r="A5" s="9" t="s">
        <v>573</v>
      </c>
      <c r="B5" s="9">
        <v>1921</v>
      </c>
      <c r="C5" s="7">
        <v>1</v>
      </c>
      <c r="D5" s="7" t="s">
        <v>1497</v>
      </c>
      <c r="E5" s="7"/>
      <c r="F5" s="7"/>
      <c r="G5" s="7" t="s">
        <v>1459</v>
      </c>
      <c r="H5" s="7" t="s">
        <v>24</v>
      </c>
      <c r="I5">
        <v>3</v>
      </c>
      <c r="J5" s="7">
        <v>1</v>
      </c>
      <c r="N5" s="7" t="s">
        <v>26</v>
      </c>
      <c r="S5">
        <v>1</v>
      </c>
      <c r="T5" s="6">
        <v>34</v>
      </c>
      <c r="U5" s="7">
        <v>1886</v>
      </c>
      <c r="Z5" s="5"/>
      <c r="AA5" s="6" t="s">
        <v>56</v>
      </c>
      <c r="AB5" s="6" t="s">
        <v>29</v>
      </c>
      <c r="AC5" s="5">
        <v>1</v>
      </c>
      <c r="AD5" s="5"/>
      <c r="AE5" s="7"/>
      <c r="AF5" s="7">
        <v>1</v>
      </c>
      <c r="AG5" s="6" t="s">
        <v>49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9" customHeight="1" x14ac:dyDescent="0.2">
      <c r="A6" s="9" t="s">
        <v>573</v>
      </c>
      <c r="B6" s="9">
        <v>1921</v>
      </c>
      <c r="C6" s="7">
        <v>1</v>
      </c>
      <c r="D6" s="7" t="s">
        <v>1497</v>
      </c>
      <c r="E6" s="7"/>
      <c r="F6" s="7"/>
      <c r="G6" s="7" t="s">
        <v>1309</v>
      </c>
      <c r="H6" s="7" t="s">
        <v>373</v>
      </c>
      <c r="I6">
        <v>4</v>
      </c>
      <c r="J6" s="7">
        <v>1</v>
      </c>
      <c r="N6" s="7" t="s">
        <v>26</v>
      </c>
      <c r="S6">
        <v>1</v>
      </c>
      <c r="T6" s="6">
        <v>29</v>
      </c>
      <c r="U6" s="7">
        <v>1892</v>
      </c>
      <c r="Z6" s="5"/>
      <c r="AA6" s="6" t="s">
        <v>56</v>
      </c>
      <c r="AB6" s="6" t="s">
        <v>29</v>
      </c>
      <c r="AC6" s="5">
        <v>1</v>
      </c>
      <c r="AD6" s="5"/>
      <c r="AE6" s="7"/>
      <c r="AF6" s="7"/>
      <c r="AG6" s="6" t="s">
        <v>1460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9" customHeight="1" x14ac:dyDescent="0.2">
      <c r="A7" s="9" t="s">
        <v>573</v>
      </c>
      <c r="B7" s="9">
        <v>1921</v>
      </c>
      <c r="C7" s="7">
        <v>1</v>
      </c>
      <c r="D7" s="7" t="s">
        <v>1497</v>
      </c>
      <c r="E7" s="7"/>
      <c r="F7" s="7"/>
      <c r="G7" s="7" t="s">
        <v>1461</v>
      </c>
      <c r="H7" s="7" t="s">
        <v>153</v>
      </c>
      <c r="I7">
        <v>5</v>
      </c>
      <c r="J7" s="7">
        <v>1</v>
      </c>
      <c r="N7" s="7" t="s">
        <v>26</v>
      </c>
      <c r="S7">
        <v>1</v>
      </c>
      <c r="T7" s="6">
        <v>27</v>
      </c>
      <c r="U7" s="7">
        <v>1894</v>
      </c>
      <c r="Z7" s="5"/>
      <c r="AA7" s="6" t="s">
        <v>56</v>
      </c>
      <c r="AB7" s="6" t="s">
        <v>29</v>
      </c>
      <c r="AC7" s="5">
        <v>1</v>
      </c>
      <c r="AD7" s="5"/>
      <c r="AE7" s="7"/>
      <c r="AF7" s="7">
        <v>1</v>
      </c>
      <c r="AG7" s="6" t="s">
        <v>749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9" customHeight="1" x14ac:dyDescent="0.2">
      <c r="A8" s="9" t="s">
        <v>573</v>
      </c>
      <c r="B8" s="9">
        <v>1921</v>
      </c>
      <c r="C8" s="7">
        <v>1</v>
      </c>
      <c r="D8" s="7" t="s">
        <v>1497</v>
      </c>
      <c r="E8" s="7"/>
      <c r="F8" s="7"/>
      <c r="G8" s="7" t="s">
        <v>1462</v>
      </c>
      <c r="H8" s="7" t="s">
        <v>331</v>
      </c>
      <c r="I8">
        <v>6</v>
      </c>
      <c r="J8" s="7">
        <v>1</v>
      </c>
      <c r="N8" s="7" t="s">
        <v>26</v>
      </c>
      <c r="S8">
        <v>1</v>
      </c>
      <c r="T8" s="7">
        <v>19</v>
      </c>
      <c r="U8" s="7">
        <v>1902</v>
      </c>
      <c r="Z8" s="5"/>
      <c r="AA8" s="7" t="s">
        <v>56</v>
      </c>
      <c r="AB8" s="7" t="s">
        <v>29</v>
      </c>
      <c r="AC8" s="5">
        <v>1</v>
      </c>
      <c r="AD8" s="5"/>
      <c r="AE8" s="7"/>
      <c r="AF8" s="7"/>
      <c r="AG8" s="7" t="s">
        <v>1463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9" customHeight="1" x14ac:dyDescent="0.2">
      <c r="A9" s="9" t="s">
        <v>573</v>
      </c>
      <c r="B9" s="9">
        <v>1921</v>
      </c>
      <c r="C9" s="7"/>
      <c r="D9" s="7" t="s">
        <v>1497</v>
      </c>
      <c r="E9" s="7"/>
      <c r="F9" s="7"/>
      <c r="G9" s="7"/>
      <c r="H9" s="7">
        <v>6</v>
      </c>
      <c r="J9" s="7"/>
      <c r="N9" s="7"/>
      <c r="T9" s="6"/>
      <c r="U9" s="7"/>
      <c r="Z9" s="5"/>
      <c r="AA9" s="6"/>
      <c r="AB9" s="6"/>
      <c r="AC9" s="5"/>
      <c r="AD9" s="5"/>
      <c r="AE9" s="7"/>
      <c r="AF9" s="7"/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9" customHeight="1" x14ac:dyDescent="0.2">
      <c r="A10" s="9" t="s">
        <v>573</v>
      </c>
      <c r="B10" s="9">
        <v>1921</v>
      </c>
      <c r="C10" s="7"/>
      <c r="D10" s="7" t="s">
        <v>1497</v>
      </c>
      <c r="E10" s="7"/>
      <c r="F10" s="7"/>
      <c r="G10" s="7" t="s">
        <v>1</v>
      </c>
      <c r="H10" s="7" t="s">
        <v>0</v>
      </c>
      <c r="J10" s="7" t="s">
        <v>3</v>
      </c>
      <c r="N10" s="7" t="s">
        <v>2</v>
      </c>
      <c r="T10" s="6" t="s">
        <v>5</v>
      </c>
      <c r="U10" s="7" t="s">
        <v>4</v>
      </c>
      <c r="Z10" s="5"/>
      <c r="AA10" s="6" t="s">
        <v>7</v>
      </c>
      <c r="AB10" s="6" t="s">
        <v>8</v>
      </c>
      <c r="AC10" s="5"/>
      <c r="AD10" s="5"/>
      <c r="AE10" s="7"/>
      <c r="AF10" s="7"/>
      <c r="AG10" s="6" t="s">
        <v>6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9" customHeight="1" x14ac:dyDescent="0.2">
      <c r="A11" s="9" t="s">
        <v>573</v>
      </c>
      <c r="B11" s="9">
        <v>1921</v>
      </c>
      <c r="C11" s="7">
        <v>2</v>
      </c>
      <c r="D11" s="7" t="s">
        <v>1497</v>
      </c>
      <c r="E11" s="7"/>
      <c r="F11" s="7">
        <v>4</v>
      </c>
      <c r="G11" s="7" t="s">
        <v>1465</v>
      </c>
      <c r="H11" s="7" t="s">
        <v>1464</v>
      </c>
      <c r="I11">
        <v>7</v>
      </c>
      <c r="J11" s="7" t="s">
        <v>13</v>
      </c>
      <c r="K11">
        <v>1</v>
      </c>
      <c r="N11" s="7">
        <v>1</v>
      </c>
      <c r="T11" s="6">
        <v>56</v>
      </c>
      <c r="U11" s="7">
        <v>1865</v>
      </c>
      <c r="Z11" s="5"/>
      <c r="AA11" s="6" t="s">
        <v>1466</v>
      </c>
      <c r="AB11" s="6" t="s">
        <v>1467</v>
      </c>
      <c r="AC11" s="5">
        <v>1</v>
      </c>
      <c r="AD11" s="5"/>
      <c r="AE11" s="7"/>
      <c r="AF11" s="7">
        <v>1</v>
      </c>
      <c r="AG11" s="6" t="s">
        <v>49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9" customHeight="1" x14ac:dyDescent="0.2">
      <c r="A12" s="9" t="s">
        <v>573</v>
      </c>
      <c r="B12" s="9">
        <v>1921</v>
      </c>
      <c r="C12" s="7">
        <v>2</v>
      </c>
      <c r="D12" s="7" t="s">
        <v>1497</v>
      </c>
      <c r="E12" s="7"/>
      <c r="F12" s="7"/>
      <c r="G12" s="7" t="s">
        <v>1465</v>
      </c>
      <c r="H12" s="7" t="s">
        <v>1468</v>
      </c>
      <c r="I12">
        <v>8</v>
      </c>
      <c r="J12" s="7">
        <v>1</v>
      </c>
      <c r="N12" s="7" t="s">
        <v>18</v>
      </c>
      <c r="O12">
        <v>1</v>
      </c>
      <c r="T12" s="6">
        <v>57</v>
      </c>
      <c r="U12" s="7">
        <v>1864</v>
      </c>
      <c r="Z12" s="5"/>
      <c r="AA12" s="6" t="s">
        <v>50</v>
      </c>
      <c r="AB12" s="6" t="s">
        <v>20</v>
      </c>
      <c r="AC12" s="5"/>
      <c r="AD12" s="5"/>
      <c r="AE12" s="7"/>
      <c r="AF12" s="7"/>
      <c r="AG12" s="6" t="s">
        <v>212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9" t="s">
        <v>573</v>
      </c>
      <c r="B13" s="9">
        <v>1921</v>
      </c>
      <c r="C13" s="7">
        <v>2</v>
      </c>
      <c r="D13" s="7" t="s">
        <v>1497</v>
      </c>
      <c r="E13" s="7"/>
      <c r="F13" s="7"/>
      <c r="G13" s="7" t="s">
        <v>1470</v>
      </c>
      <c r="H13" s="7" t="s">
        <v>1469</v>
      </c>
      <c r="I13">
        <v>9</v>
      </c>
      <c r="J13" s="7" t="s">
        <v>13</v>
      </c>
      <c r="K13">
        <v>1</v>
      </c>
      <c r="N13" s="7" t="s">
        <v>1471</v>
      </c>
      <c r="Q13">
        <v>1</v>
      </c>
      <c r="T13" s="6">
        <v>17</v>
      </c>
      <c r="U13" s="7">
        <v>1903</v>
      </c>
      <c r="Z13" s="5"/>
      <c r="AA13" s="6" t="s">
        <v>1473</v>
      </c>
      <c r="AB13" s="6" t="s">
        <v>1474</v>
      </c>
      <c r="AC13" s="5">
        <v>1</v>
      </c>
      <c r="AD13" s="5"/>
      <c r="AE13" s="7"/>
      <c r="AF13" s="7"/>
      <c r="AG13" s="6" t="s">
        <v>1472</v>
      </c>
      <c r="AH13" s="7"/>
      <c r="AI13" s="7"/>
      <c r="AJ13" s="7" t="s">
        <v>1498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9" customHeight="1" x14ac:dyDescent="0.2">
      <c r="A14" s="9" t="s">
        <v>573</v>
      </c>
      <c r="B14" s="9">
        <v>1921</v>
      </c>
      <c r="C14" s="7">
        <v>2</v>
      </c>
      <c r="D14" s="7" t="s">
        <v>1497</v>
      </c>
      <c r="E14" s="7"/>
      <c r="F14" s="7"/>
      <c r="G14" s="7" t="s">
        <v>1470</v>
      </c>
      <c r="H14" s="7" t="s">
        <v>1475</v>
      </c>
      <c r="I14">
        <v>10</v>
      </c>
      <c r="J14" s="7" t="s">
        <v>13</v>
      </c>
      <c r="K14">
        <v>1</v>
      </c>
      <c r="N14" s="7" t="s">
        <v>1471</v>
      </c>
      <c r="Q14">
        <v>1</v>
      </c>
      <c r="T14" s="6">
        <v>16</v>
      </c>
      <c r="U14" s="7">
        <v>1905</v>
      </c>
      <c r="Z14" s="5"/>
      <c r="AA14" s="6" t="s">
        <v>20</v>
      </c>
      <c r="AB14" s="6" t="s">
        <v>20</v>
      </c>
      <c r="AC14" s="5"/>
      <c r="AD14" s="5"/>
      <c r="AE14" s="7"/>
      <c r="AF14" s="7"/>
      <c r="AG14" s="6" t="s">
        <v>49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9" customHeight="1" x14ac:dyDescent="0.2">
      <c r="A15" s="9" t="s">
        <v>573</v>
      </c>
      <c r="B15" s="9">
        <v>1921</v>
      </c>
      <c r="C15" s="7">
        <v>2</v>
      </c>
      <c r="D15" s="7" t="s">
        <v>1497</v>
      </c>
      <c r="E15" s="7"/>
      <c r="F15" s="7"/>
      <c r="G15" s="7" t="s">
        <v>1166</v>
      </c>
      <c r="H15" s="7" t="s">
        <v>768</v>
      </c>
      <c r="I15">
        <v>11</v>
      </c>
      <c r="J15" s="7">
        <v>1</v>
      </c>
      <c r="N15" s="7" t="s">
        <v>26</v>
      </c>
      <c r="S15">
        <v>1</v>
      </c>
      <c r="T15" s="6">
        <v>29</v>
      </c>
      <c r="U15" s="7">
        <v>1892</v>
      </c>
      <c r="Z15" s="5"/>
      <c r="AA15" s="6" t="s">
        <v>33</v>
      </c>
      <c r="AB15" s="6" t="s">
        <v>29</v>
      </c>
      <c r="AC15" s="5">
        <v>1</v>
      </c>
      <c r="AD15" s="5"/>
      <c r="AE15" s="7"/>
      <c r="AF15" s="7"/>
      <c r="AG15" s="6" t="s">
        <v>1476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 t="s">
        <v>573</v>
      </c>
      <c r="B16" s="9">
        <v>1921</v>
      </c>
      <c r="C16" s="7">
        <v>2</v>
      </c>
      <c r="D16" s="7" t="s">
        <v>1497</v>
      </c>
      <c r="E16" s="7"/>
      <c r="F16" s="7"/>
      <c r="G16" s="7" t="s">
        <v>1166</v>
      </c>
      <c r="H16" s="7" t="s">
        <v>1477</v>
      </c>
      <c r="I16">
        <v>12</v>
      </c>
      <c r="J16" s="7" t="s">
        <v>13</v>
      </c>
      <c r="M16">
        <v>1</v>
      </c>
      <c r="N16" s="7" t="s">
        <v>1478</v>
      </c>
      <c r="R16">
        <v>1</v>
      </c>
      <c r="T16" s="7">
        <v>5</v>
      </c>
      <c r="U16" s="7">
        <v>1915</v>
      </c>
      <c r="Z16" s="5"/>
      <c r="AA16" s="7" t="s">
        <v>20</v>
      </c>
      <c r="AB16" s="7" t="s">
        <v>20</v>
      </c>
      <c r="AC16" s="5"/>
      <c r="AD16" s="5"/>
      <c r="AE16" s="7"/>
      <c r="AF16" s="7"/>
      <c r="AG16" s="7" t="s">
        <v>1479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9" customHeight="1" x14ac:dyDescent="0.2">
      <c r="A17" s="9" t="s">
        <v>573</v>
      </c>
      <c r="B17" s="9">
        <v>1921</v>
      </c>
      <c r="C17" s="7"/>
      <c r="D17" s="7" t="s">
        <v>1497</v>
      </c>
      <c r="E17" s="7"/>
      <c r="F17" s="7"/>
      <c r="G17" s="7"/>
      <c r="H17" s="7">
        <v>6</v>
      </c>
      <c r="J17" s="7"/>
      <c r="N17" s="7"/>
      <c r="T17" s="7"/>
      <c r="U17" s="7"/>
      <c r="Z17" s="5"/>
      <c r="AA17" s="7"/>
      <c r="AB17" s="7"/>
      <c r="AC17" s="5"/>
      <c r="AD17" s="5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573</v>
      </c>
      <c r="B18" s="9">
        <v>1921</v>
      </c>
      <c r="C18" s="7"/>
      <c r="D18" s="7" t="s">
        <v>1497</v>
      </c>
      <c r="E18" s="7"/>
      <c r="F18" s="7"/>
      <c r="G18" s="21" t="s">
        <v>1</v>
      </c>
      <c r="H18" s="21" t="s">
        <v>0</v>
      </c>
      <c r="J18" s="7" t="s">
        <v>3</v>
      </c>
      <c r="N18" s="7" t="s">
        <v>2</v>
      </c>
      <c r="T18" s="7" t="s">
        <v>5</v>
      </c>
      <c r="U18" s="7" t="s">
        <v>4</v>
      </c>
      <c r="Z18" s="7"/>
      <c r="AA18" s="7" t="s">
        <v>7</v>
      </c>
      <c r="AB18" s="7" t="s">
        <v>8</v>
      </c>
      <c r="AC18" s="7"/>
      <c r="AD18" s="7"/>
      <c r="AE18" s="7"/>
      <c r="AF18" s="7"/>
      <c r="AG18" s="7" t="s">
        <v>6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573</v>
      </c>
      <c r="B19" s="9">
        <v>1921</v>
      </c>
      <c r="C19" s="7">
        <v>3</v>
      </c>
      <c r="D19" s="7" t="s">
        <v>1497</v>
      </c>
      <c r="E19" s="7"/>
      <c r="F19" s="7">
        <v>5</v>
      </c>
      <c r="G19" s="7" t="s">
        <v>1481</v>
      </c>
      <c r="H19" s="7" t="s">
        <v>1480</v>
      </c>
      <c r="I19">
        <v>13</v>
      </c>
      <c r="J19" s="7" t="s">
        <v>13</v>
      </c>
      <c r="K19">
        <v>1</v>
      </c>
      <c r="N19" s="7">
        <v>1</v>
      </c>
      <c r="T19" s="7">
        <v>62</v>
      </c>
      <c r="U19" s="7">
        <v>1859</v>
      </c>
      <c r="Z19" s="7"/>
      <c r="AA19" s="7" t="s">
        <v>1483</v>
      </c>
      <c r="AB19" s="7" t="s">
        <v>8</v>
      </c>
      <c r="AC19" s="7">
        <v>1</v>
      </c>
      <c r="AD19" s="7">
        <v>1</v>
      </c>
      <c r="AE19" s="7"/>
      <c r="AF19" s="7"/>
      <c r="AG19" s="7" t="s">
        <v>1482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573</v>
      </c>
      <c r="B20" s="9">
        <v>1921</v>
      </c>
      <c r="C20" s="7">
        <v>3</v>
      </c>
      <c r="D20" s="7" t="s">
        <v>1497</v>
      </c>
      <c r="E20" s="7"/>
      <c r="F20" s="7"/>
      <c r="G20" s="7" t="s">
        <v>1481</v>
      </c>
      <c r="H20" s="7" t="s">
        <v>63</v>
      </c>
      <c r="I20">
        <v>14</v>
      </c>
      <c r="J20" s="7">
        <v>1</v>
      </c>
      <c r="N20" s="7" t="s">
        <v>18</v>
      </c>
      <c r="O20">
        <v>1</v>
      </c>
      <c r="T20" s="7">
        <v>59</v>
      </c>
      <c r="U20" s="7">
        <v>1862</v>
      </c>
      <c r="Z20" s="7"/>
      <c r="AA20" s="7" t="s">
        <v>50</v>
      </c>
      <c r="AB20" s="7" t="s">
        <v>20</v>
      </c>
      <c r="AC20" s="7"/>
      <c r="AD20" s="7"/>
      <c r="AE20" s="7"/>
      <c r="AF20" s="7"/>
      <c r="AG20" s="7" t="s">
        <v>1482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573</v>
      </c>
      <c r="B21" s="9">
        <v>1921</v>
      </c>
      <c r="C21" s="7">
        <v>3</v>
      </c>
      <c r="D21" s="7" t="s">
        <v>1497</v>
      </c>
      <c r="E21" s="7"/>
      <c r="F21" s="7"/>
      <c r="G21" s="7" t="s">
        <v>1403</v>
      </c>
      <c r="H21" s="7" t="s">
        <v>1484</v>
      </c>
      <c r="I21">
        <v>15</v>
      </c>
      <c r="J21" s="7">
        <v>1</v>
      </c>
      <c r="N21" s="7" t="s">
        <v>26</v>
      </c>
      <c r="S21">
        <v>1</v>
      </c>
      <c r="T21" s="7">
        <v>24</v>
      </c>
      <c r="U21" s="7">
        <v>1897</v>
      </c>
      <c r="Z21" s="7"/>
      <c r="AA21" s="7" t="s">
        <v>344</v>
      </c>
      <c r="AB21" s="7" t="s">
        <v>29</v>
      </c>
      <c r="AC21" s="7">
        <v>1</v>
      </c>
      <c r="AD21" s="7"/>
      <c r="AE21" s="7"/>
      <c r="AF21" s="7"/>
      <c r="AG21" s="7" t="s">
        <v>1183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573</v>
      </c>
      <c r="B22" s="9">
        <v>1921</v>
      </c>
      <c r="C22" s="7">
        <v>3</v>
      </c>
      <c r="D22" s="7" t="s">
        <v>1497</v>
      </c>
      <c r="E22" s="7"/>
      <c r="G22" t="s">
        <v>1403</v>
      </c>
      <c r="H22" t="s">
        <v>1485</v>
      </c>
      <c r="I22">
        <v>16</v>
      </c>
      <c r="J22">
        <v>1</v>
      </c>
      <c r="N22" t="s">
        <v>26</v>
      </c>
      <c r="S22">
        <v>1</v>
      </c>
      <c r="T22">
        <v>22</v>
      </c>
      <c r="U22">
        <v>1898</v>
      </c>
      <c r="Z22" s="7"/>
      <c r="AA22" t="s">
        <v>344</v>
      </c>
      <c r="AB22" t="s">
        <v>29</v>
      </c>
      <c r="AC22" s="7">
        <v>1</v>
      </c>
      <c r="AD22" s="7"/>
      <c r="AE22" s="7"/>
      <c r="AF22" s="7"/>
      <c r="AG22" t="s">
        <v>1183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573</v>
      </c>
      <c r="B23" s="9">
        <v>1921</v>
      </c>
      <c r="C23" s="7"/>
      <c r="D23" s="7" t="s">
        <v>1497</v>
      </c>
      <c r="E23" s="7"/>
      <c r="H23">
        <v>4</v>
      </c>
      <c r="Z23" s="7"/>
      <c r="AC23" s="7"/>
      <c r="AD23" s="7"/>
      <c r="AE23" s="7"/>
      <c r="AF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573</v>
      </c>
      <c r="B24" s="9">
        <v>1921</v>
      </c>
      <c r="C24" s="7"/>
      <c r="D24" s="7" t="s">
        <v>1497</v>
      </c>
      <c r="E24" s="7"/>
      <c r="G24" t="s">
        <v>1</v>
      </c>
      <c r="H24" t="s">
        <v>0</v>
      </c>
      <c r="J24" t="s">
        <v>3</v>
      </c>
      <c r="N24" t="s">
        <v>2</v>
      </c>
      <c r="T24" t="s">
        <v>5</v>
      </c>
      <c r="U24" t="s">
        <v>4</v>
      </c>
      <c r="Z24" s="7"/>
      <c r="AA24" t="s">
        <v>7</v>
      </c>
      <c r="AB24" t="s">
        <v>8</v>
      </c>
      <c r="AC24" s="7"/>
      <c r="AD24" s="7"/>
      <c r="AE24" s="7"/>
      <c r="AF24" s="7"/>
      <c r="AG24" t="s">
        <v>6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9" t="s">
        <v>573</v>
      </c>
      <c r="B25" s="9">
        <v>1921</v>
      </c>
      <c r="C25" s="7">
        <v>4</v>
      </c>
      <c r="D25" s="7" t="s">
        <v>1497</v>
      </c>
      <c r="E25" s="7"/>
      <c r="F25">
        <v>6</v>
      </c>
      <c r="G25" t="s">
        <v>1487</v>
      </c>
      <c r="H25" t="s">
        <v>1486</v>
      </c>
      <c r="I25">
        <v>17</v>
      </c>
      <c r="J25" t="s">
        <v>13</v>
      </c>
      <c r="K25">
        <v>1</v>
      </c>
      <c r="N25">
        <v>1</v>
      </c>
      <c r="T25">
        <v>49</v>
      </c>
      <c r="U25">
        <v>1872</v>
      </c>
      <c r="Z25" s="7"/>
      <c r="AA25" t="s">
        <v>1488</v>
      </c>
      <c r="AB25" t="s">
        <v>8</v>
      </c>
      <c r="AC25" s="7">
        <v>1</v>
      </c>
      <c r="AD25" s="7">
        <v>1</v>
      </c>
      <c r="AE25" s="7"/>
      <c r="AF25" s="7">
        <v>1</v>
      </c>
      <c r="AG25" t="s">
        <v>49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573</v>
      </c>
      <c r="B26" s="9">
        <v>1921</v>
      </c>
      <c r="C26" s="7">
        <v>4</v>
      </c>
      <c r="D26" s="7" t="s">
        <v>1497</v>
      </c>
      <c r="E26" s="7"/>
      <c r="G26" t="s">
        <v>1487</v>
      </c>
      <c r="H26" t="s">
        <v>1489</v>
      </c>
      <c r="I26">
        <v>18</v>
      </c>
      <c r="J26">
        <v>1</v>
      </c>
      <c r="N26" t="s">
        <v>18</v>
      </c>
      <c r="O26">
        <v>1</v>
      </c>
      <c r="T26">
        <v>52</v>
      </c>
      <c r="U26">
        <v>1868</v>
      </c>
      <c r="Z26" s="7"/>
      <c r="AA26" t="s">
        <v>50</v>
      </c>
      <c r="AB26" t="s">
        <v>20</v>
      </c>
      <c r="AC26" s="7"/>
      <c r="AD26" s="7"/>
      <c r="AE26" s="7"/>
      <c r="AF26" s="7">
        <v>1</v>
      </c>
      <c r="AG26" t="s">
        <v>49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573</v>
      </c>
      <c r="B27" s="9">
        <v>1921</v>
      </c>
      <c r="C27" s="7">
        <v>4</v>
      </c>
      <c r="D27" s="7" t="s">
        <v>1497</v>
      </c>
      <c r="E27" s="7"/>
      <c r="G27" t="s">
        <v>1487</v>
      </c>
      <c r="H27" t="s">
        <v>1490</v>
      </c>
      <c r="I27">
        <v>19</v>
      </c>
      <c r="J27" t="s">
        <v>13</v>
      </c>
      <c r="M27">
        <v>1</v>
      </c>
      <c r="N27" t="s">
        <v>1471</v>
      </c>
      <c r="Q27">
        <v>1</v>
      </c>
      <c r="T27">
        <v>13</v>
      </c>
      <c r="U27">
        <v>1908</v>
      </c>
      <c r="Z27" s="7"/>
      <c r="AA27" t="s">
        <v>20</v>
      </c>
      <c r="AB27" t="s">
        <v>20</v>
      </c>
      <c r="AC27" s="7"/>
      <c r="AD27" s="7"/>
      <c r="AE27" s="7"/>
      <c r="AF27" s="7"/>
      <c r="AG27" t="s">
        <v>1491</v>
      </c>
      <c r="AH27" s="7"/>
      <c r="AI27" s="7"/>
      <c r="AJ27" s="7" t="s">
        <v>1498</v>
      </c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573</v>
      </c>
      <c r="B28" s="9">
        <v>1921</v>
      </c>
      <c r="C28" s="7">
        <v>4</v>
      </c>
      <c r="D28" s="7" t="s">
        <v>1497</v>
      </c>
      <c r="E28" s="7"/>
      <c r="G28" t="s">
        <v>1487</v>
      </c>
      <c r="H28" t="s">
        <v>1492</v>
      </c>
      <c r="I28">
        <v>20</v>
      </c>
      <c r="J28" t="s">
        <v>13</v>
      </c>
      <c r="M28">
        <v>1</v>
      </c>
      <c r="N28" t="s">
        <v>1471</v>
      </c>
      <c r="Q28">
        <v>1</v>
      </c>
      <c r="T28">
        <v>11</v>
      </c>
      <c r="U28">
        <v>1909</v>
      </c>
      <c r="Z28" s="7"/>
      <c r="AA28" t="s">
        <v>20</v>
      </c>
      <c r="AB28" t="s">
        <v>20</v>
      </c>
      <c r="AC28" s="7"/>
      <c r="AD28" s="7"/>
      <c r="AE28" s="7"/>
      <c r="AF28" s="7"/>
      <c r="AG28" t="s">
        <v>1493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573</v>
      </c>
      <c r="B29" s="9">
        <v>1921</v>
      </c>
      <c r="C29" s="7">
        <v>4</v>
      </c>
      <c r="D29" s="7" t="s">
        <v>1497</v>
      </c>
      <c r="E29" s="7"/>
      <c r="G29" t="s">
        <v>1495</v>
      </c>
      <c r="H29" t="s">
        <v>1494</v>
      </c>
      <c r="I29">
        <v>21</v>
      </c>
      <c r="J29">
        <v>1</v>
      </c>
      <c r="N29" t="s">
        <v>26</v>
      </c>
      <c r="S29">
        <v>1</v>
      </c>
      <c r="T29">
        <v>25</v>
      </c>
      <c r="U29">
        <v>1896</v>
      </c>
      <c r="Z29" s="7"/>
      <c r="AA29" t="s">
        <v>344</v>
      </c>
      <c r="AB29" t="s">
        <v>29</v>
      </c>
      <c r="AC29" s="7">
        <v>1</v>
      </c>
      <c r="AD29" s="7"/>
      <c r="AE29" s="7"/>
      <c r="AF29" s="7"/>
      <c r="AG29" t="s">
        <v>1496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573</v>
      </c>
      <c r="B30" s="9">
        <v>1921</v>
      </c>
      <c r="C30" s="7"/>
      <c r="D30" s="7" t="s">
        <v>1497</v>
      </c>
      <c r="E30" s="7"/>
      <c r="F30" s="7"/>
      <c r="G30" s="7"/>
      <c r="H30" s="7">
        <v>5</v>
      </c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573</v>
      </c>
      <c r="B31" s="9">
        <v>1921</v>
      </c>
      <c r="C31" s="7"/>
      <c r="D31" s="7" t="s">
        <v>1497</v>
      </c>
      <c r="E31" s="7"/>
      <c r="F31" s="7"/>
      <c r="G31" s="7"/>
      <c r="H31" s="7"/>
      <c r="I31" s="7">
        <v>21</v>
      </c>
      <c r="J31" s="7">
        <f>SUM(J3:J29)</f>
        <v>12</v>
      </c>
      <c r="K31" s="7">
        <f t="shared" ref="K31:AJ31" si="0">SUM(K3:K29)</f>
        <v>6</v>
      </c>
      <c r="L31" s="7">
        <f t="shared" si="0"/>
        <v>0</v>
      </c>
      <c r="M31" s="7">
        <f t="shared" si="0"/>
        <v>3</v>
      </c>
      <c r="N31" s="7">
        <f t="shared" si="0"/>
        <v>4</v>
      </c>
      <c r="O31" s="7">
        <f t="shared" si="0"/>
        <v>4</v>
      </c>
      <c r="P31" s="7">
        <f t="shared" si="0"/>
        <v>0</v>
      </c>
      <c r="Q31" s="7">
        <f t="shared" si="0"/>
        <v>4</v>
      </c>
      <c r="R31" s="7">
        <f t="shared" si="0"/>
        <v>1</v>
      </c>
      <c r="S31" s="7">
        <f t="shared" si="0"/>
        <v>8</v>
      </c>
      <c r="T31" s="7">
        <f t="shared" si="0"/>
        <v>729</v>
      </c>
      <c r="U31" s="7"/>
      <c r="V31" s="7">
        <f t="shared" si="0"/>
        <v>0</v>
      </c>
      <c r="W31" s="7">
        <f t="shared" si="0"/>
        <v>0</v>
      </c>
      <c r="X31" s="7">
        <f t="shared" si="0"/>
        <v>0</v>
      </c>
      <c r="Y31" s="7">
        <f t="shared" si="0"/>
        <v>0</v>
      </c>
      <c r="Z31" s="7">
        <f t="shared" si="0"/>
        <v>0</v>
      </c>
      <c r="AA31" s="7">
        <f t="shared" si="0"/>
        <v>0</v>
      </c>
      <c r="AB31" s="7">
        <f t="shared" si="0"/>
        <v>0</v>
      </c>
      <c r="AC31" s="7">
        <f t="shared" si="0"/>
        <v>13</v>
      </c>
      <c r="AD31" s="7">
        <f t="shared" si="0"/>
        <v>3</v>
      </c>
      <c r="AE31" s="7">
        <f>AC31-AD31</f>
        <v>10</v>
      </c>
      <c r="AF31" s="7">
        <f t="shared" si="0"/>
        <v>6</v>
      </c>
      <c r="AG31" s="7">
        <f>N32-AF31</f>
        <v>15</v>
      </c>
      <c r="AH31" s="7">
        <f>AG31+AF31</f>
        <v>21</v>
      </c>
      <c r="AI31" s="7">
        <f t="shared" si="0"/>
        <v>0</v>
      </c>
      <c r="AJ31" s="7">
        <f t="shared" si="0"/>
        <v>0</v>
      </c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>
        <f>SUM(J31:M31)</f>
        <v>21</v>
      </c>
      <c r="K32" s="7"/>
      <c r="L32" s="7"/>
      <c r="M32" s="6"/>
      <c r="N32" s="6">
        <f>SUM(N31:S31)</f>
        <v>21</v>
      </c>
      <c r="O32" s="6"/>
      <c r="P32" s="6"/>
      <c r="Q32" s="6"/>
      <c r="R32" s="6"/>
      <c r="S32" s="6"/>
      <c r="T32" s="150">
        <f>T31/N32</f>
        <v>34.714285714285715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6"/>
      <c r="R33" s="6"/>
      <c r="S33" s="6"/>
      <c r="T33" s="6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4" t="s">
        <v>252</v>
      </c>
      <c r="B34" s="7"/>
      <c r="C34" s="7"/>
      <c r="D34" s="7"/>
      <c r="E34" s="7"/>
      <c r="F34" s="7"/>
      <c r="G34" s="7">
        <f t="shared" ref="G34:AD34" si="1">SUM(G3:G33)</f>
        <v>0</v>
      </c>
      <c r="H34" s="7">
        <f t="shared" si="1"/>
        <v>21</v>
      </c>
      <c r="I34" s="7">
        <f t="shared" si="1"/>
        <v>252</v>
      </c>
      <c r="J34" s="7">
        <f t="shared" si="1"/>
        <v>45</v>
      </c>
      <c r="K34" s="7">
        <f t="shared" si="1"/>
        <v>12</v>
      </c>
      <c r="L34" s="7">
        <f t="shared" si="1"/>
        <v>0</v>
      </c>
      <c r="M34" s="7">
        <f t="shared" si="1"/>
        <v>6</v>
      </c>
      <c r="N34" s="7">
        <f t="shared" si="1"/>
        <v>29</v>
      </c>
      <c r="O34" s="7">
        <f t="shared" si="1"/>
        <v>8</v>
      </c>
      <c r="P34" s="7">
        <f t="shared" si="1"/>
        <v>0</v>
      </c>
      <c r="Q34" s="7">
        <f t="shared" si="1"/>
        <v>8</v>
      </c>
      <c r="R34" s="7">
        <f t="shared" si="1"/>
        <v>2</v>
      </c>
      <c r="S34" s="7">
        <f t="shared" si="1"/>
        <v>16</v>
      </c>
      <c r="T34" s="7">
        <f t="shared" si="1"/>
        <v>1492.7142857142858</v>
      </c>
      <c r="U34" s="7">
        <f t="shared" si="1"/>
        <v>39606</v>
      </c>
      <c r="V34" s="7">
        <f t="shared" si="1"/>
        <v>0</v>
      </c>
      <c r="W34" s="7">
        <f t="shared" si="1"/>
        <v>0</v>
      </c>
      <c r="X34" s="7">
        <f t="shared" si="1"/>
        <v>0</v>
      </c>
      <c r="Y34" s="7">
        <f t="shared" si="1"/>
        <v>0</v>
      </c>
      <c r="Z34" s="7">
        <f t="shared" si="1"/>
        <v>0</v>
      </c>
      <c r="AA34" s="7">
        <f t="shared" si="1"/>
        <v>0</v>
      </c>
      <c r="AB34" s="7">
        <f t="shared" si="1"/>
        <v>0</v>
      </c>
      <c r="AC34" s="7">
        <f t="shared" si="1"/>
        <v>26</v>
      </c>
      <c r="AD34" s="7">
        <f t="shared" si="1"/>
        <v>6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/>
      <c r="G35" s="7">
        <f>G34+H34+I34+J34</f>
        <v>318</v>
      </c>
      <c r="H35" s="7"/>
      <c r="I35" s="7"/>
      <c r="J35" s="7"/>
      <c r="K35" s="7">
        <f>K34+L34+M34+N34+O34+P34</f>
        <v>55</v>
      </c>
      <c r="L35" s="7"/>
      <c r="M35" s="6"/>
      <c r="N35" s="6"/>
      <c r="O35" s="6"/>
      <c r="P35" s="6"/>
      <c r="Q35" s="6">
        <f>Q34/K35</f>
        <v>0.14545454545454545</v>
      </c>
      <c r="R35" s="6"/>
      <c r="S35" s="6"/>
      <c r="T35" s="6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6"/>
      <c r="N36" s="6"/>
      <c r="O36" s="6"/>
      <c r="P36" s="6"/>
      <c r="Q36" s="6"/>
      <c r="R36" s="6"/>
      <c r="S36" s="6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11"/>
      <c r="B37" s="11"/>
      <c r="C37" s="11"/>
      <c r="D37" s="12"/>
      <c r="E37" s="11"/>
      <c r="F37" s="12"/>
      <c r="G37" s="12"/>
      <c r="H37" s="12"/>
      <c r="I37" s="12"/>
      <c r="J37" s="12"/>
      <c r="K37" s="13"/>
      <c r="L37" s="12"/>
      <c r="M37" s="12"/>
      <c r="N37" s="12"/>
      <c r="O37" s="12"/>
      <c r="P37" s="12"/>
      <c r="Q37" s="13"/>
      <c r="R37" s="13"/>
      <c r="S37" s="13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28" customHeight="1" x14ac:dyDescent="0.2">
      <c r="A38" s="11"/>
      <c r="B38" s="11"/>
      <c r="C38" s="11"/>
      <c r="D38" s="12"/>
      <c r="E38" s="11"/>
      <c r="F38" s="12"/>
      <c r="G38" s="12"/>
      <c r="H38" s="12"/>
      <c r="I38" s="12"/>
      <c r="J38" s="14"/>
      <c r="K38" s="15"/>
      <c r="L38" s="16"/>
      <c r="M38" s="12"/>
      <c r="N38" s="12"/>
      <c r="O38" s="12"/>
      <c r="P38" s="14"/>
      <c r="Q38" s="15"/>
      <c r="R38" s="15"/>
      <c r="S38" s="15"/>
      <c r="T38" s="17"/>
      <c r="U38" s="12"/>
      <c r="V38" s="12"/>
      <c r="W38" s="12"/>
      <c r="X38" s="12"/>
      <c r="Y38" s="12"/>
      <c r="Z38" s="12"/>
      <c r="AA38" s="12"/>
      <c r="AB38" s="12"/>
      <c r="AC38" s="12"/>
      <c r="AD38" s="11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B39" s="7"/>
      <c r="C39" s="7"/>
      <c r="D39" s="7"/>
      <c r="E39" s="7"/>
      <c r="F39" s="7"/>
      <c r="G39" s="7"/>
      <c r="H39" s="7"/>
      <c r="I39" s="7"/>
      <c r="J39" s="7"/>
      <c r="K39" s="9"/>
      <c r="L39" s="7"/>
      <c r="M39" s="6"/>
      <c r="N39" s="6"/>
      <c r="O39" s="6"/>
      <c r="P39" s="6"/>
      <c r="Q39" s="18"/>
      <c r="R39" s="18"/>
      <c r="S39" s="18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6"/>
      <c r="N40" s="6"/>
      <c r="O40" s="6"/>
      <c r="P40" s="6"/>
      <c r="Q40" s="7"/>
      <c r="R40" s="6"/>
      <c r="S40" s="6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/>
      <c r="B41" s="7"/>
      <c r="C41" s="7"/>
      <c r="D41" s="7"/>
      <c r="E41" s="7"/>
      <c r="F41" s="7"/>
      <c r="G41" s="7"/>
      <c r="H41" s="7" t="s">
        <v>0</v>
      </c>
      <c r="I41" s="7" t="s">
        <v>1</v>
      </c>
      <c r="J41" s="7" t="s">
        <v>2</v>
      </c>
      <c r="K41" s="7" t="s">
        <v>3</v>
      </c>
      <c r="L41" s="7" t="s">
        <v>4</v>
      </c>
      <c r="M41" s="6" t="s">
        <v>5</v>
      </c>
      <c r="N41" s="6" t="s">
        <v>6</v>
      </c>
      <c r="O41" s="6" t="s">
        <v>7</v>
      </c>
      <c r="P41" s="6" t="s">
        <v>8</v>
      </c>
      <c r="Q41" s="6"/>
      <c r="R41" s="6"/>
      <c r="S41" s="6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>
        <v>2</v>
      </c>
      <c r="G42" s="7"/>
      <c r="H42" s="7" t="s">
        <v>911</v>
      </c>
      <c r="I42" s="7" t="s">
        <v>1166</v>
      </c>
      <c r="J42" s="7" t="s">
        <v>12</v>
      </c>
      <c r="K42" s="7" t="s">
        <v>13</v>
      </c>
      <c r="L42" s="7">
        <v>1859</v>
      </c>
      <c r="M42" s="6">
        <v>62</v>
      </c>
      <c r="N42" s="6" t="s">
        <v>49</v>
      </c>
      <c r="O42" s="6" t="s">
        <v>1456</v>
      </c>
      <c r="P42" s="6" t="s">
        <v>8</v>
      </c>
      <c r="Q42" s="6"/>
      <c r="R42" s="6"/>
      <c r="S42" s="6"/>
      <c r="T42" s="7"/>
      <c r="U42" s="6"/>
      <c r="V42" s="6"/>
      <c r="W42" s="6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7"/>
      <c r="B43" s="7"/>
      <c r="C43" s="7"/>
      <c r="D43" s="7"/>
      <c r="E43" s="7"/>
      <c r="F43" s="7"/>
      <c r="G43" s="7"/>
      <c r="H43" s="7" t="s">
        <v>1457</v>
      </c>
      <c r="I43" s="7" t="s">
        <v>1166</v>
      </c>
      <c r="J43" s="7" t="s">
        <v>18</v>
      </c>
      <c r="K43" s="7" t="s">
        <v>19</v>
      </c>
      <c r="L43" s="7">
        <v>1860</v>
      </c>
      <c r="M43" s="6">
        <v>61</v>
      </c>
      <c r="N43" s="6" t="s">
        <v>1458</v>
      </c>
      <c r="O43" s="6" t="s">
        <v>50</v>
      </c>
      <c r="P43" s="6" t="s">
        <v>20</v>
      </c>
      <c r="Q43" s="7"/>
      <c r="R43" s="6"/>
      <c r="S43" s="6"/>
      <c r="T43" s="7"/>
      <c r="U43" s="6"/>
      <c r="V43" s="6"/>
      <c r="W43" s="6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H44" s="7" t="s">
        <v>24</v>
      </c>
      <c r="I44" s="7" t="s">
        <v>1459</v>
      </c>
      <c r="J44" s="7" t="s">
        <v>26</v>
      </c>
      <c r="K44" s="7" t="s">
        <v>19</v>
      </c>
      <c r="L44" s="7">
        <v>1886</v>
      </c>
      <c r="M44" s="6">
        <v>34</v>
      </c>
      <c r="N44" s="6" t="s">
        <v>49</v>
      </c>
      <c r="O44" s="6" t="s">
        <v>56</v>
      </c>
      <c r="P44" s="6" t="s">
        <v>29</v>
      </c>
      <c r="Q44" s="7"/>
      <c r="R44" s="6"/>
      <c r="S44" s="6"/>
      <c r="T44" s="7"/>
      <c r="U44" s="6"/>
      <c r="V44" s="6"/>
      <c r="W44" s="6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/>
      <c r="B45" s="7"/>
      <c r="C45" s="7"/>
      <c r="D45" s="7"/>
      <c r="E45" s="7"/>
      <c r="F45" s="7"/>
      <c r="G45" s="7"/>
      <c r="H45" s="7" t="s">
        <v>373</v>
      </c>
      <c r="I45" s="7" t="s">
        <v>1309</v>
      </c>
      <c r="J45" s="7" t="s">
        <v>26</v>
      </c>
      <c r="K45" s="7" t="s">
        <v>19</v>
      </c>
      <c r="L45" s="7">
        <v>1892</v>
      </c>
      <c r="M45" s="6">
        <v>29</v>
      </c>
      <c r="N45" s="6" t="s">
        <v>1460</v>
      </c>
      <c r="O45" s="6" t="s">
        <v>56</v>
      </c>
      <c r="P45" s="6" t="s">
        <v>29</v>
      </c>
      <c r="Q45" s="7"/>
      <c r="R45" s="6"/>
      <c r="S45" s="6"/>
      <c r="T45" s="7"/>
      <c r="U45" s="6"/>
      <c r="V45" s="6"/>
      <c r="W45" s="6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7"/>
      <c r="B46" s="7"/>
      <c r="C46" s="7"/>
      <c r="D46" s="7"/>
      <c r="E46" s="7"/>
      <c r="F46" s="7"/>
      <c r="G46" s="7"/>
      <c r="H46" s="7" t="s">
        <v>153</v>
      </c>
      <c r="I46" s="7" t="s">
        <v>1461</v>
      </c>
      <c r="J46" s="7" t="s">
        <v>26</v>
      </c>
      <c r="K46" s="7" t="s">
        <v>19</v>
      </c>
      <c r="L46" s="7">
        <v>1894</v>
      </c>
      <c r="M46" s="6">
        <v>27</v>
      </c>
      <c r="N46" s="6" t="s">
        <v>749</v>
      </c>
      <c r="O46" s="6" t="s">
        <v>56</v>
      </c>
      <c r="P46" s="6" t="s">
        <v>29</v>
      </c>
      <c r="Q46" s="7"/>
      <c r="R46" s="6"/>
      <c r="S46" s="6"/>
      <c r="T46" s="7"/>
      <c r="U46" s="6"/>
      <c r="V46" s="6"/>
      <c r="W46" s="6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" customHeight="1" x14ac:dyDescent="0.2">
      <c r="A47" s="7"/>
      <c r="B47" s="7"/>
      <c r="C47" s="7"/>
      <c r="D47" s="7"/>
      <c r="E47" s="7"/>
      <c r="F47" s="7"/>
      <c r="G47" s="7"/>
      <c r="H47" s="7" t="s">
        <v>331</v>
      </c>
      <c r="I47" s="7" t="s">
        <v>1462</v>
      </c>
      <c r="J47" s="7" t="s">
        <v>26</v>
      </c>
      <c r="K47" s="7" t="s">
        <v>19</v>
      </c>
      <c r="L47" s="7">
        <v>1902</v>
      </c>
      <c r="M47" s="7">
        <v>19</v>
      </c>
      <c r="N47" s="7" t="s">
        <v>1463</v>
      </c>
      <c r="O47" s="7" t="s">
        <v>56</v>
      </c>
      <c r="P47" s="7" t="s">
        <v>29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6"/>
      <c r="N48" s="6"/>
      <c r="O48" s="6"/>
      <c r="P48" s="6"/>
      <c r="Q48" s="7"/>
      <c r="R48" s="6"/>
      <c r="S48" s="6"/>
      <c r="T48" s="19"/>
      <c r="U48" s="6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7"/>
      <c r="B49" s="7"/>
      <c r="C49" s="7"/>
      <c r="D49" s="7"/>
      <c r="E49" s="7"/>
      <c r="F49" s="7"/>
      <c r="G49" s="7"/>
      <c r="H49" s="7" t="s">
        <v>0</v>
      </c>
      <c r="I49" s="7" t="s">
        <v>1</v>
      </c>
      <c r="J49" s="7" t="s">
        <v>2</v>
      </c>
      <c r="K49" s="7" t="s">
        <v>3</v>
      </c>
      <c r="L49" s="7" t="s">
        <v>4</v>
      </c>
      <c r="M49" s="6" t="s">
        <v>5</v>
      </c>
      <c r="N49" s="6" t="s">
        <v>6</v>
      </c>
      <c r="O49" s="6" t="s">
        <v>7</v>
      </c>
      <c r="P49" s="6" t="s">
        <v>8</v>
      </c>
      <c r="Q49" s="7"/>
      <c r="R49" s="6"/>
      <c r="S49" s="6"/>
      <c r="T49" s="7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7"/>
      <c r="B50" s="7"/>
      <c r="C50" s="7"/>
      <c r="D50" s="7"/>
      <c r="E50" s="7"/>
      <c r="F50" s="7">
        <v>4</v>
      </c>
      <c r="G50" s="7"/>
      <c r="H50" s="7" t="s">
        <v>1464</v>
      </c>
      <c r="I50" s="7" t="s">
        <v>1465</v>
      </c>
      <c r="J50" s="7" t="s">
        <v>12</v>
      </c>
      <c r="K50" s="7" t="s">
        <v>13</v>
      </c>
      <c r="L50" s="7">
        <v>1865</v>
      </c>
      <c r="M50" s="6">
        <v>56</v>
      </c>
      <c r="N50" s="6" t="s">
        <v>49</v>
      </c>
      <c r="O50" s="6" t="s">
        <v>1466</v>
      </c>
      <c r="P50" s="6" t="s">
        <v>1467</v>
      </c>
      <c r="Q50" s="7"/>
      <c r="R50" s="6"/>
      <c r="S50" s="6"/>
      <c r="T50" s="7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 t="s">
        <v>1468</v>
      </c>
      <c r="I51" s="7" t="s">
        <v>1465</v>
      </c>
      <c r="J51" s="7" t="s">
        <v>18</v>
      </c>
      <c r="K51" s="7" t="s">
        <v>19</v>
      </c>
      <c r="L51" s="7">
        <v>1864</v>
      </c>
      <c r="M51" s="6">
        <v>57</v>
      </c>
      <c r="N51" s="6" t="s">
        <v>212</v>
      </c>
      <c r="O51" s="6" t="s">
        <v>50</v>
      </c>
      <c r="P51" s="6" t="s">
        <v>20</v>
      </c>
      <c r="Q51" s="7"/>
      <c r="R51" s="6"/>
      <c r="S51" s="6"/>
      <c r="T51" s="19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 t="s">
        <v>1469</v>
      </c>
      <c r="I52" s="7" t="s">
        <v>1470</v>
      </c>
      <c r="J52" s="7" t="s">
        <v>1471</v>
      </c>
      <c r="K52" s="7" t="s">
        <v>13</v>
      </c>
      <c r="L52" s="7">
        <v>1903</v>
      </c>
      <c r="M52" s="6">
        <v>17</v>
      </c>
      <c r="N52" s="6" t="s">
        <v>1472</v>
      </c>
      <c r="O52" s="6" t="s">
        <v>1473</v>
      </c>
      <c r="P52" s="6" t="s">
        <v>1474</v>
      </c>
      <c r="Q52" s="7"/>
      <c r="R52" s="6"/>
      <c r="S52" s="6"/>
      <c r="T52" s="7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 t="s">
        <v>1475</v>
      </c>
      <c r="I53" s="7" t="s">
        <v>1470</v>
      </c>
      <c r="J53" s="7" t="s">
        <v>1471</v>
      </c>
      <c r="K53" s="7" t="s">
        <v>13</v>
      </c>
      <c r="L53" s="7">
        <v>1905</v>
      </c>
      <c r="M53" s="6">
        <v>16</v>
      </c>
      <c r="N53" s="6" t="s">
        <v>49</v>
      </c>
      <c r="O53" s="6" t="s">
        <v>20</v>
      </c>
      <c r="P53" s="6" t="s">
        <v>20</v>
      </c>
      <c r="Q53" s="7"/>
      <c r="R53" s="6"/>
      <c r="S53" s="6"/>
      <c r="T53" s="7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 t="s">
        <v>768</v>
      </c>
      <c r="I54" s="7" t="s">
        <v>1166</v>
      </c>
      <c r="J54" s="7" t="s">
        <v>26</v>
      </c>
      <c r="K54" s="7" t="s">
        <v>19</v>
      </c>
      <c r="L54" s="7">
        <v>1892</v>
      </c>
      <c r="M54" s="6">
        <v>29</v>
      </c>
      <c r="N54" s="6" t="s">
        <v>1476</v>
      </c>
      <c r="O54" s="6" t="s">
        <v>33</v>
      </c>
      <c r="P54" s="6" t="s">
        <v>29</v>
      </c>
      <c r="Q54" s="7"/>
      <c r="R54" s="6"/>
      <c r="S54" s="6"/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" customHeight="1" x14ac:dyDescent="0.2">
      <c r="A55" s="4" t="s">
        <v>252</v>
      </c>
      <c r="B55" s="7"/>
      <c r="C55" s="7"/>
      <c r="D55" s="7"/>
      <c r="E55" s="7"/>
      <c r="F55" s="7"/>
      <c r="G55" s="7">
        <f>SUM(G3:G54)</f>
        <v>318</v>
      </c>
      <c r="H55" s="7" t="s">
        <v>1477</v>
      </c>
      <c r="I55" s="7" t="s">
        <v>1166</v>
      </c>
      <c r="J55" s="7" t="s">
        <v>1478</v>
      </c>
      <c r="K55" s="7" t="s">
        <v>13</v>
      </c>
      <c r="L55" s="7">
        <v>1915</v>
      </c>
      <c r="M55" s="7">
        <v>5</v>
      </c>
      <c r="N55" s="7" t="s">
        <v>1479</v>
      </c>
      <c r="O55" s="7" t="s">
        <v>20</v>
      </c>
      <c r="P55" s="7" t="s">
        <v>20</v>
      </c>
      <c r="Q55" s="7">
        <f t="shared" ref="Q55:W55" si="2">SUM(Q3:Q54)</f>
        <v>16.145454545454545</v>
      </c>
      <c r="R55" s="7">
        <f t="shared" si="2"/>
        <v>4</v>
      </c>
      <c r="S55" s="7">
        <f t="shared" si="2"/>
        <v>32</v>
      </c>
      <c r="T55" s="7">
        <f t="shared" si="2"/>
        <v>2985.4285714285716</v>
      </c>
      <c r="U55" s="7">
        <f t="shared" si="2"/>
        <v>79212</v>
      </c>
      <c r="V55" s="7">
        <f t="shared" si="2"/>
        <v>0</v>
      </c>
      <c r="W55" s="7">
        <f t="shared" si="2"/>
        <v>0</v>
      </c>
      <c r="X55" s="7"/>
      <c r="Y55" s="7"/>
      <c r="Z55" s="7">
        <f>SUM(Z3:Z54)</f>
        <v>0</v>
      </c>
      <c r="AA55" s="7">
        <f>SUM(AA3:AA54)</f>
        <v>0</v>
      </c>
      <c r="AB55" s="7">
        <f>SUM(AB3:AB54)</f>
        <v>0</v>
      </c>
      <c r="AC55" s="7">
        <f>SUM(AC3:AC54)</f>
        <v>52</v>
      </c>
      <c r="AD55" s="7">
        <f>SUM(AD3:AD54)</f>
        <v>12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20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" customHeight="1" x14ac:dyDescent="0.2">
      <c r="A57" s="7"/>
      <c r="B57" s="7"/>
      <c r="C57" s="7"/>
      <c r="D57" s="7"/>
      <c r="E57" s="7"/>
      <c r="F57" s="7"/>
      <c r="G57" s="21"/>
      <c r="H57" s="21" t="s">
        <v>0</v>
      </c>
      <c r="I57" s="21" t="s">
        <v>1</v>
      </c>
      <c r="J57" s="7" t="s">
        <v>2</v>
      </c>
      <c r="K57" s="7" t="s">
        <v>3</v>
      </c>
      <c r="L57" s="7" t="s">
        <v>4</v>
      </c>
      <c r="M57" s="7" t="s">
        <v>5</v>
      </c>
      <c r="N57" s="7" t="s">
        <v>6</v>
      </c>
      <c r="O57" s="7" t="s">
        <v>7</v>
      </c>
      <c r="P57" s="7" t="s">
        <v>8</v>
      </c>
      <c r="Q57" s="20"/>
      <c r="R57" s="21"/>
      <c r="S57" s="21"/>
      <c r="T57" s="2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>
        <v>5</v>
      </c>
      <c r="G58" s="7"/>
      <c r="H58" s="7" t="s">
        <v>1480</v>
      </c>
      <c r="I58" s="7" t="s">
        <v>1481</v>
      </c>
      <c r="J58" s="7" t="s">
        <v>12</v>
      </c>
      <c r="K58" s="7" t="s">
        <v>13</v>
      </c>
      <c r="L58" s="7">
        <v>1859</v>
      </c>
      <c r="M58" s="7">
        <v>62</v>
      </c>
      <c r="N58" s="7" t="s">
        <v>1482</v>
      </c>
      <c r="O58" s="7" t="s">
        <v>1483</v>
      </c>
      <c r="P58" s="7" t="s">
        <v>8</v>
      </c>
      <c r="Q58" s="7"/>
      <c r="R58" s="6"/>
      <c r="S58" s="6"/>
      <c r="T58" s="19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" customHeight="1" x14ac:dyDescent="0.2">
      <c r="A59" s="7"/>
      <c r="B59" s="7"/>
      <c r="C59" s="7"/>
      <c r="D59" s="7"/>
      <c r="E59" s="7"/>
      <c r="F59" s="7"/>
      <c r="G59" s="7"/>
      <c r="H59" s="7" t="s">
        <v>63</v>
      </c>
      <c r="I59" s="7" t="s">
        <v>1481</v>
      </c>
      <c r="J59" s="7" t="s">
        <v>18</v>
      </c>
      <c r="K59" s="7" t="s">
        <v>19</v>
      </c>
      <c r="L59" s="7">
        <v>1862</v>
      </c>
      <c r="M59" s="7">
        <v>59</v>
      </c>
      <c r="N59" s="7" t="s">
        <v>1482</v>
      </c>
      <c r="O59" s="7" t="s">
        <v>50</v>
      </c>
      <c r="P59" s="7" t="s">
        <v>20</v>
      </c>
      <c r="Q59" s="7"/>
      <c r="R59" s="21"/>
      <c r="S59" s="21"/>
      <c r="T59" s="21"/>
      <c r="U59" s="7"/>
      <c r="V59" s="7"/>
      <c r="W59" s="7"/>
      <c r="X59" s="7"/>
      <c r="Y59" s="7"/>
      <c r="Z59" s="7"/>
      <c r="AA59" s="7"/>
      <c r="AB59" s="7"/>
      <c r="AC59" s="22"/>
      <c r="AD59" s="22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 t="s">
        <v>1484</v>
      </c>
      <c r="I60" s="7" t="s">
        <v>1403</v>
      </c>
      <c r="J60" s="7" t="s">
        <v>26</v>
      </c>
      <c r="K60" s="7" t="s">
        <v>19</v>
      </c>
      <c r="L60" s="7">
        <v>1897</v>
      </c>
      <c r="M60" s="7">
        <v>24</v>
      </c>
      <c r="N60" s="7" t="s">
        <v>1183</v>
      </c>
      <c r="O60" s="7" t="s">
        <v>344</v>
      </c>
      <c r="P60" s="7" t="s">
        <v>29</v>
      </c>
      <c r="Q60" s="7"/>
      <c r="R60" s="6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">
      <c r="H61" t="s">
        <v>1485</v>
      </c>
      <c r="I61" t="s">
        <v>1403</v>
      </c>
      <c r="J61" t="s">
        <v>26</v>
      </c>
      <c r="K61" t="s">
        <v>19</v>
      </c>
      <c r="L61">
        <v>1898</v>
      </c>
      <c r="M61">
        <v>22</v>
      </c>
      <c r="N61" t="s">
        <v>1183</v>
      </c>
      <c r="O61" t="s">
        <v>344</v>
      </c>
      <c r="P61" t="s">
        <v>29</v>
      </c>
    </row>
    <row r="63" spans="1:51" x14ac:dyDescent="0.2">
      <c r="H63" t="s">
        <v>0</v>
      </c>
      <c r="I63" t="s">
        <v>1</v>
      </c>
      <c r="J63" t="s">
        <v>2</v>
      </c>
      <c r="K63" t="s">
        <v>3</v>
      </c>
      <c r="L63" t="s">
        <v>4</v>
      </c>
      <c r="M63" t="s">
        <v>5</v>
      </c>
      <c r="N63" t="s">
        <v>6</v>
      </c>
      <c r="O63" t="s">
        <v>7</v>
      </c>
      <c r="P63" t="s">
        <v>8</v>
      </c>
    </row>
    <row r="64" spans="1:51" x14ac:dyDescent="0.2">
      <c r="F64">
        <v>6</v>
      </c>
      <c r="H64" t="s">
        <v>1486</v>
      </c>
      <c r="I64" t="s">
        <v>1487</v>
      </c>
      <c r="J64" t="s">
        <v>12</v>
      </c>
      <c r="K64" t="s">
        <v>13</v>
      </c>
      <c r="L64">
        <v>1872</v>
      </c>
      <c r="M64">
        <v>49</v>
      </c>
      <c r="N64" t="s">
        <v>49</v>
      </c>
      <c r="O64" t="s">
        <v>1488</v>
      </c>
      <c r="P64" t="s">
        <v>8</v>
      </c>
    </row>
    <row r="65" spans="8:16" x14ac:dyDescent="0.2">
      <c r="H65" t="s">
        <v>1489</v>
      </c>
      <c r="I65" t="s">
        <v>1487</v>
      </c>
      <c r="J65" t="s">
        <v>18</v>
      </c>
      <c r="K65" t="s">
        <v>19</v>
      </c>
      <c r="L65">
        <v>1868</v>
      </c>
      <c r="M65">
        <v>52</v>
      </c>
      <c r="N65" t="s">
        <v>49</v>
      </c>
      <c r="O65" t="s">
        <v>50</v>
      </c>
      <c r="P65" t="s">
        <v>20</v>
      </c>
    </row>
    <row r="66" spans="8:16" x14ac:dyDescent="0.2">
      <c r="H66" t="s">
        <v>1490</v>
      </c>
      <c r="I66" t="s">
        <v>1487</v>
      </c>
      <c r="J66" t="s">
        <v>1471</v>
      </c>
      <c r="K66" t="s">
        <v>13</v>
      </c>
      <c r="L66">
        <v>1908</v>
      </c>
      <c r="M66">
        <v>13</v>
      </c>
      <c r="N66" t="s">
        <v>1491</v>
      </c>
      <c r="O66" t="s">
        <v>20</v>
      </c>
      <c r="P66" t="s">
        <v>20</v>
      </c>
    </row>
    <row r="67" spans="8:16" x14ac:dyDescent="0.2">
      <c r="H67" t="s">
        <v>1492</v>
      </c>
      <c r="I67" t="s">
        <v>1487</v>
      </c>
      <c r="J67" t="s">
        <v>1471</v>
      </c>
      <c r="K67" t="s">
        <v>13</v>
      </c>
      <c r="L67">
        <v>1909</v>
      </c>
      <c r="M67">
        <v>11</v>
      </c>
      <c r="N67" t="s">
        <v>1493</v>
      </c>
      <c r="O67" t="s">
        <v>20</v>
      </c>
      <c r="P67" t="s">
        <v>20</v>
      </c>
    </row>
    <row r="68" spans="8:16" x14ac:dyDescent="0.2">
      <c r="H68" t="s">
        <v>1494</v>
      </c>
      <c r="I68" t="s">
        <v>1495</v>
      </c>
      <c r="J68" t="s">
        <v>26</v>
      </c>
      <c r="K68" t="s">
        <v>19</v>
      </c>
      <c r="L68">
        <v>1896</v>
      </c>
      <c r="M68">
        <v>25</v>
      </c>
      <c r="N68" t="s">
        <v>1496</v>
      </c>
      <c r="O68" t="s">
        <v>344</v>
      </c>
      <c r="P68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2DA9-E60F-B249-8811-CB751FB057F9}">
  <dimension ref="A1:BC108"/>
  <sheetViews>
    <sheetView workbookViewId="0">
      <pane ySplit="2" topLeftCell="A14" activePane="bottomLeft" state="frozen"/>
      <selection pane="bottomLeft" activeCell="F75" sqref="F75:R81"/>
    </sheetView>
  </sheetViews>
  <sheetFormatPr baseColWidth="10" defaultColWidth="10.83203125" defaultRowHeight="16" x14ac:dyDescent="0.2"/>
  <cols>
    <col min="4" max="4" width="17.83203125" customWidth="1"/>
    <col min="5" max="5" width="12.5" customWidth="1"/>
    <col min="6" max="6" width="11.33203125" customWidth="1"/>
    <col min="7" max="7" width="17.6640625" customWidth="1"/>
    <col min="8" max="8" width="26" customWidth="1"/>
    <col min="9" max="9" width="11.1640625" customWidth="1"/>
    <col min="11" max="11" width="6" customWidth="1"/>
    <col min="12" max="12" width="7.83203125" customWidth="1"/>
    <col min="13" max="13" width="10" customWidth="1"/>
    <col min="14" max="14" width="8.6640625" customWidth="1"/>
    <col min="15" max="15" width="10.8320312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64" customFormat="1" ht="17" x14ac:dyDescent="0.2">
      <c r="A3" s="151" t="s">
        <v>571</v>
      </c>
      <c r="B3" s="152">
        <v>1921</v>
      </c>
      <c r="C3" s="152">
        <v>1</v>
      </c>
      <c r="D3" s="152" t="s">
        <v>1520</v>
      </c>
      <c r="E3" s="152"/>
      <c r="F3" s="7">
        <v>5</v>
      </c>
      <c r="G3" s="7" t="s">
        <v>1500</v>
      </c>
      <c r="H3" s="7" t="s">
        <v>1499</v>
      </c>
      <c r="I3" s="64">
        <v>1</v>
      </c>
      <c r="J3" s="7">
        <v>1</v>
      </c>
      <c r="N3" s="7" t="s">
        <v>26</v>
      </c>
      <c r="S3" s="64">
        <v>1</v>
      </c>
      <c r="T3" s="7">
        <v>42</v>
      </c>
      <c r="U3" s="155"/>
      <c r="V3" s="155"/>
      <c r="W3" s="7">
        <v>1878</v>
      </c>
      <c r="AA3" s="7" t="s">
        <v>20</v>
      </c>
      <c r="AB3" s="7" t="s">
        <v>29</v>
      </c>
      <c r="AC3" s="148">
        <v>1</v>
      </c>
      <c r="AD3" s="148"/>
      <c r="AE3" s="148"/>
      <c r="AF3" s="148"/>
      <c r="AG3" s="7" t="s">
        <v>329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5" s="64" customFormat="1" ht="51" x14ac:dyDescent="0.2">
      <c r="A4" s="151" t="s">
        <v>571</v>
      </c>
      <c r="B4" s="152">
        <v>1921</v>
      </c>
      <c r="C4" s="152">
        <v>1</v>
      </c>
      <c r="D4" s="152" t="s">
        <v>1520</v>
      </c>
      <c r="E4" s="152"/>
      <c r="F4" s="7"/>
      <c r="G4" s="7" t="s">
        <v>1502</v>
      </c>
      <c r="H4" s="7" t="s">
        <v>1501</v>
      </c>
      <c r="I4" s="64">
        <v>2</v>
      </c>
      <c r="J4" s="7">
        <v>1</v>
      </c>
      <c r="N4" s="7" t="s">
        <v>26</v>
      </c>
      <c r="S4" s="64">
        <v>1</v>
      </c>
      <c r="T4" s="6">
        <v>42</v>
      </c>
      <c r="U4" s="155"/>
      <c r="V4" s="155"/>
      <c r="W4" s="7">
        <v>1878</v>
      </c>
      <c r="AA4" s="6" t="s">
        <v>20</v>
      </c>
      <c r="AB4" s="6" t="s">
        <v>29</v>
      </c>
      <c r="AC4" s="148">
        <v>1</v>
      </c>
      <c r="AD4" s="148"/>
      <c r="AE4" s="148"/>
      <c r="AF4" s="148"/>
      <c r="AG4" s="6" t="s">
        <v>1503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5" s="64" customFormat="1" ht="17" x14ac:dyDescent="0.2">
      <c r="A5" s="151" t="s">
        <v>571</v>
      </c>
      <c r="B5" s="152">
        <v>1921</v>
      </c>
      <c r="C5" s="152"/>
      <c r="D5" s="152" t="s">
        <v>1520</v>
      </c>
      <c r="E5" s="152"/>
      <c r="F5" s="7"/>
      <c r="G5" s="7"/>
      <c r="H5" s="7">
        <v>2</v>
      </c>
      <c r="J5" s="7"/>
      <c r="N5" s="7"/>
      <c r="T5" s="6"/>
      <c r="U5" s="155"/>
      <c r="V5" s="155"/>
      <c r="W5" s="7"/>
      <c r="AA5" s="6"/>
      <c r="AB5" s="6"/>
      <c r="AC5" s="148"/>
      <c r="AD5" s="148"/>
      <c r="AE5" s="148"/>
      <c r="AF5" s="148"/>
      <c r="AG5" s="6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5" s="64" customFormat="1" ht="51" x14ac:dyDescent="0.2">
      <c r="A6" s="151" t="s">
        <v>571</v>
      </c>
      <c r="B6" s="152">
        <v>1921</v>
      </c>
      <c r="C6" s="152"/>
      <c r="D6" s="152" t="s">
        <v>1520</v>
      </c>
      <c r="E6" s="152"/>
      <c r="F6" s="6"/>
      <c r="G6" s="6" t="s">
        <v>1</v>
      </c>
      <c r="H6" s="6" t="s">
        <v>0</v>
      </c>
      <c r="J6" s="200" t="s">
        <v>3</v>
      </c>
      <c r="N6" s="6" t="s">
        <v>2</v>
      </c>
      <c r="T6" s="6" t="s">
        <v>5</v>
      </c>
      <c r="U6" s="155"/>
      <c r="V6" s="155"/>
      <c r="W6" s="6" t="s">
        <v>4</v>
      </c>
      <c r="AA6" s="6" t="s">
        <v>7</v>
      </c>
      <c r="AB6" s="6" t="s">
        <v>8</v>
      </c>
      <c r="AC6" s="148"/>
      <c r="AD6" s="148"/>
      <c r="AE6" s="148"/>
      <c r="AF6" s="148"/>
      <c r="AG6" s="6" t="s">
        <v>6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5" s="64" customFormat="1" ht="68" x14ac:dyDescent="0.2">
      <c r="A7" s="151" t="s">
        <v>571</v>
      </c>
      <c r="B7" s="152">
        <v>1921</v>
      </c>
      <c r="C7" s="152">
        <v>2</v>
      </c>
      <c r="D7" s="152" t="s">
        <v>1520</v>
      </c>
      <c r="E7" s="152"/>
      <c r="F7" s="6">
        <v>19</v>
      </c>
      <c r="G7" s="6" t="s">
        <v>1504</v>
      </c>
      <c r="H7" s="6" t="s">
        <v>104</v>
      </c>
      <c r="I7" s="64">
        <v>3</v>
      </c>
      <c r="J7" s="231" t="s">
        <v>13</v>
      </c>
      <c r="K7" s="64">
        <v>1</v>
      </c>
      <c r="N7" s="230">
        <v>1</v>
      </c>
      <c r="T7" s="6">
        <v>51</v>
      </c>
      <c r="U7" s="155"/>
      <c r="V7" s="155"/>
      <c r="W7" s="232">
        <v>1870</v>
      </c>
      <c r="AA7" s="6" t="s">
        <v>923</v>
      </c>
      <c r="AB7" s="230" t="s">
        <v>8</v>
      </c>
      <c r="AC7" s="148">
        <v>1</v>
      </c>
      <c r="AD7" s="148">
        <v>1</v>
      </c>
      <c r="AE7" s="148"/>
      <c r="AF7" s="148">
        <v>1</v>
      </c>
      <c r="AG7" s="6" t="s">
        <v>49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5" s="64" customFormat="1" ht="51" x14ac:dyDescent="0.2">
      <c r="A8" s="151" t="s">
        <v>571</v>
      </c>
      <c r="B8" s="152">
        <v>1921</v>
      </c>
      <c r="C8" s="152">
        <v>2</v>
      </c>
      <c r="D8" s="152" t="s">
        <v>1520</v>
      </c>
      <c r="E8" s="152"/>
      <c r="F8" s="7"/>
      <c r="G8" s="7" t="s">
        <v>1504</v>
      </c>
      <c r="H8" s="7" t="s">
        <v>1505</v>
      </c>
      <c r="I8" s="64">
        <v>4</v>
      </c>
      <c r="J8" s="9">
        <v>1</v>
      </c>
      <c r="N8" s="7" t="s">
        <v>18</v>
      </c>
      <c r="O8" s="64">
        <v>1</v>
      </c>
      <c r="T8" s="6">
        <v>52</v>
      </c>
      <c r="U8" s="155"/>
      <c r="V8" s="155"/>
      <c r="W8" s="7">
        <v>1869</v>
      </c>
      <c r="AA8" s="6" t="s">
        <v>50</v>
      </c>
      <c r="AB8" s="6" t="s">
        <v>20</v>
      </c>
      <c r="AC8" s="148"/>
      <c r="AD8" s="148"/>
      <c r="AE8" s="148"/>
      <c r="AF8" s="148"/>
      <c r="AG8" s="6" t="s">
        <v>1255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5" s="64" customFormat="1" ht="68" x14ac:dyDescent="0.2">
      <c r="A9" s="151" t="s">
        <v>571</v>
      </c>
      <c r="B9" s="152">
        <v>1921</v>
      </c>
      <c r="C9" s="152">
        <v>2</v>
      </c>
      <c r="D9" s="152" t="s">
        <v>1520</v>
      </c>
      <c r="E9" s="152"/>
      <c r="F9" s="7"/>
      <c r="G9" s="7" t="s">
        <v>1507</v>
      </c>
      <c r="H9" s="7" t="s">
        <v>1506</v>
      </c>
      <c r="I9" s="64">
        <v>5</v>
      </c>
      <c r="J9" s="7">
        <v>1</v>
      </c>
      <c r="N9" s="7" t="s">
        <v>26</v>
      </c>
      <c r="S9" s="64">
        <v>1</v>
      </c>
      <c r="T9" s="6">
        <v>64</v>
      </c>
      <c r="U9" s="155"/>
      <c r="V9" s="155"/>
      <c r="W9" s="7">
        <v>1857</v>
      </c>
      <c r="AA9" s="6" t="s">
        <v>20</v>
      </c>
      <c r="AB9" s="6" t="s">
        <v>29</v>
      </c>
      <c r="AC9" s="148">
        <v>1</v>
      </c>
      <c r="AD9" s="148"/>
      <c r="AE9" s="148"/>
      <c r="AF9" s="148"/>
      <c r="AG9" s="6" t="s">
        <v>1508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5" s="64" customFormat="1" ht="51" x14ac:dyDescent="0.2">
      <c r="A10" s="151" t="s">
        <v>571</v>
      </c>
      <c r="B10" s="152">
        <v>1921</v>
      </c>
      <c r="C10" s="152">
        <v>2</v>
      </c>
      <c r="D10" s="152" t="s">
        <v>1520</v>
      </c>
      <c r="E10" s="152"/>
      <c r="F10" s="7"/>
      <c r="G10" s="7" t="s">
        <v>1509</v>
      </c>
      <c r="H10" s="7" t="s">
        <v>90</v>
      </c>
      <c r="I10" s="64">
        <v>6</v>
      </c>
      <c r="J10" s="7">
        <v>1</v>
      </c>
      <c r="N10" s="7" t="s">
        <v>26</v>
      </c>
      <c r="S10" s="64">
        <v>1</v>
      </c>
      <c r="T10" s="6">
        <v>22</v>
      </c>
      <c r="U10" s="155"/>
      <c r="V10" s="155"/>
      <c r="W10" s="7">
        <v>1898</v>
      </c>
      <c r="AA10" s="6" t="s">
        <v>20</v>
      </c>
      <c r="AB10" s="6" t="s">
        <v>29</v>
      </c>
      <c r="AC10" s="148">
        <v>1</v>
      </c>
      <c r="AD10" s="148"/>
      <c r="AE10" s="148"/>
      <c r="AF10" s="148"/>
      <c r="AG10" s="6" t="s">
        <v>356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5" s="64" customFormat="1" ht="17" x14ac:dyDescent="0.2">
      <c r="A11" s="151" t="s">
        <v>571</v>
      </c>
      <c r="B11" s="152">
        <v>1921</v>
      </c>
      <c r="C11" s="152"/>
      <c r="D11" s="152" t="s">
        <v>1520</v>
      </c>
      <c r="E11" s="152"/>
      <c r="F11" s="7"/>
      <c r="G11" s="7"/>
      <c r="H11" s="7">
        <v>4</v>
      </c>
      <c r="J11" s="7"/>
      <c r="N11" s="7"/>
      <c r="T11" s="6"/>
      <c r="U11" s="155"/>
      <c r="V11" s="155"/>
      <c r="W11" s="7"/>
      <c r="AA11" s="6"/>
      <c r="AB11" s="6"/>
      <c r="AC11" s="148"/>
      <c r="AD11" s="148"/>
      <c r="AE11" s="148"/>
      <c r="AF11" s="148"/>
      <c r="AG11" s="6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5" s="64" customFormat="1" ht="17" x14ac:dyDescent="0.2">
      <c r="A12" s="151" t="s">
        <v>571</v>
      </c>
      <c r="B12" s="152">
        <v>1921</v>
      </c>
      <c r="C12" s="152"/>
      <c r="D12" s="152" t="s">
        <v>1520</v>
      </c>
      <c r="E12" s="152"/>
      <c r="F12" s="7"/>
      <c r="G12" s="7" t="s">
        <v>1</v>
      </c>
      <c r="H12" s="7" t="s">
        <v>0</v>
      </c>
      <c r="J12" s="7" t="s">
        <v>3</v>
      </c>
      <c r="N12" s="7" t="s">
        <v>2</v>
      </c>
      <c r="T12" s="6" t="s">
        <v>5</v>
      </c>
      <c r="U12" s="155"/>
      <c r="V12" s="155"/>
      <c r="W12" s="7" t="s">
        <v>4</v>
      </c>
      <c r="AA12" s="6" t="s">
        <v>7</v>
      </c>
      <c r="AB12" s="6" t="s">
        <v>8</v>
      </c>
      <c r="AC12" s="148"/>
      <c r="AD12" s="148"/>
      <c r="AE12" s="148"/>
      <c r="AF12" s="148"/>
      <c r="AG12" s="6" t="s">
        <v>6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5" s="235" customFormat="1" ht="68" x14ac:dyDescent="0.2">
      <c r="A13" s="233" t="s">
        <v>571</v>
      </c>
      <c r="B13" s="234">
        <v>1921</v>
      </c>
      <c r="C13" s="234">
        <v>3</v>
      </c>
      <c r="D13" s="234" t="s">
        <v>1520</v>
      </c>
      <c r="E13" s="234"/>
      <c r="F13" s="227">
        <v>23</v>
      </c>
      <c r="G13" s="227" t="s">
        <v>61</v>
      </c>
      <c r="H13" s="227" t="s">
        <v>1510</v>
      </c>
      <c r="I13" s="235">
        <v>7</v>
      </c>
      <c r="J13" s="227">
        <v>1</v>
      </c>
      <c r="N13" s="227">
        <v>1</v>
      </c>
      <c r="T13" s="229">
        <v>74</v>
      </c>
      <c r="U13" s="236"/>
      <c r="V13" s="236"/>
      <c r="W13" s="227">
        <v>1847</v>
      </c>
      <c r="AA13" s="229" t="s">
        <v>20</v>
      </c>
      <c r="AB13" s="229" t="s">
        <v>1511</v>
      </c>
      <c r="AC13" s="237"/>
      <c r="AD13" s="237"/>
      <c r="AE13" s="237"/>
      <c r="AF13" s="237">
        <v>1</v>
      </c>
      <c r="AG13" s="229" t="s">
        <v>49</v>
      </c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</row>
    <row r="14" spans="1:55" s="64" customFormat="1" ht="68" x14ac:dyDescent="0.2">
      <c r="A14" s="151" t="s">
        <v>571</v>
      </c>
      <c r="B14" s="152">
        <v>1921</v>
      </c>
      <c r="C14" s="152">
        <v>3</v>
      </c>
      <c r="D14" s="152" t="s">
        <v>1520</v>
      </c>
      <c r="E14" s="152"/>
      <c r="F14" s="7"/>
      <c r="G14" s="7" t="s">
        <v>1513</v>
      </c>
      <c r="H14" s="7" t="s">
        <v>1512</v>
      </c>
      <c r="I14" s="64">
        <v>8</v>
      </c>
      <c r="J14" s="7">
        <v>1</v>
      </c>
      <c r="N14" s="7" t="s">
        <v>148</v>
      </c>
      <c r="R14" s="64">
        <v>1</v>
      </c>
      <c r="T14" s="6">
        <v>55</v>
      </c>
      <c r="U14" s="155"/>
      <c r="V14" s="155"/>
      <c r="W14" s="7">
        <v>1866</v>
      </c>
      <c r="AA14" s="6" t="s">
        <v>20</v>
      </c>
      <c r="AB14" s="6" t="s">
        <v>20</v>
      </c>
      <c r="AC14" s="148"/>
      <c r="AD14" s="148"/>
      <c r="AE14" s="148"/>
      <c r="AF14" s="148">
        <v>1</v>
      </c>
      <c r="AG14" s="6" t="s">
        <v>49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5" s="64" customFormat="1" ht="68" x14ac:dyDescent="0.2">
      <c r="A15" s="151" t="s">
        <v>571</v>
      </c>
      <c r="B15" s="152">
        <v>1921</v>
      </c>
      <c r="C15" s="152">
        <v>3</v>
      </c>
      <c r="D15" s="152" t="s">
        <v>1520</v>
      </c>
      <c r="E15" s="152"/>
      <c r="F15" s="7"/>
      <c r="G15" s="7" t="s">
        <v>1515</v>
      </c>
      <c r="H15" s="7" t="s">
        <v>1514</v>
      </c>
      <c r="I15" s="64">
        <v>9</v>
      </c>
      <c r="J15" s="7">
        <v>1</v>
      </c>
      <c r="N15" s="7" t="s">
        <v>437</v>
      </c>
      <c r="S15" s="64">
        <v>1</v>
      </c>
      <c r="T15" s="6">
        <v>38</v>
      </c>
      <c r="U15" s="155"/>
      <c r="V15" s="155"/>
      <c r="W15" s="7">
        <v>1882</v>
      </c>
      <c r="AA15" s="6" t="s">
        <v>20</v>
      </c>
      <c r="AB15" s="6" t="s">
        <v>29</v>
      </c>
      <c r="AC15" s="148">
        <v>1</v>
      </c>
      <c r="AD15" s="148"/>
      <c r="AE15" s="148"/>
      <c r="AF15" s="148">
        <v>1</v>
      </c>
      <c r="AG15" s="6" t="s">
        <v>49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5" s="64" customFormat="1" ht="17" x14ac:dyDescent="0.2">
      <c r="A16" s="151" t="s">
        <v>571</v>
      </c>
      <c r="B16" s="152">
        <v>1921</v>
      </c>
      <c r="C16" s="152">
        <v>3</v>
      </c>
      <c r="D16" s="152" t="s">
        <v>1520</v>
      </c>
      <c r="E16" s="152"/>
      <c r="F16" s="7"/>
      <c r="G16" s="7" t="s">
        <v>1391</v>
      </c>
      <c r="H16" s="7" t="s">
        <v>422</v>
      </c>
      <c r="I16" s="64">
        <v>10</v>
      </c>
      <c r="J16" s="7">
        <v>1</v>
      </c>
      <c r="N16" s="7" t="s">
        <v>437</v>
      </c>
      <c r="S16" s="64">
        <v>1</v>
      </c>
      <c r="T16" s="7">
        <v>39</v>
      </c>
      <c r="U16" s="155"/>
      <c r="V16" s="155"/>
      <c r="W16" s="7">
        <v>1882</v>
      </c>
      <c r="AA16" s="7" t="s">
        <v>20</v>
      </c>
      <c r="AB16" s="7" t="s">
        <v>29</v>
      </c>
      <c r="AC16" s="148">
        <v>1</v>
      </c>
      <c r="AD16" s="148"/>
      <c r="AE16" s="148"/>
      <c r="AF16" s="148">
        <v>1</v>
      </c>
      <c r="AG16" s="7" t="s">
        <v>49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s="64" customFormat="1" ht="68" x14ac:dyDescent="0.2">
      <c r="A17" s="151" t="s">
        <v>571</v>
      </c>
      <c r="B17" s="152">
        <v>1921</v>
      </c>
      <c r="C17" s="152">
        <v>3</v>
      </c>
      <c r="D17" s="152" t="s">
        <v>1520</v>
      </c>
      <c r="E17" s="152"/>
      <c r="F17" s="7"/>
      <c r="G17" s="7" t="s">
        <v>1517</v>
      </c>
      <c r="H17" s="7" t="s">
        <v>1516</v>
      </c>
      <c r="I17" s="64">
        <v>11</v>
      </c>
      <c r="J17" s="7">
        <v>1</v>
      </c>
      <c r="N17" s="7" t="s">
        <v>437</v>
      </c>
      <c r="S17" s="64">
        <v>1</v>
      </c>
      <c r="T17" s="6">
        <v>40</v>
      </c>
      <c r="U17" s="155"/>
      <c r="V17" s="155"/>
      <c r="W17" s="7">
        <v>1881</v>
      </c>
      <c r="AA17" s="6" t="s">
        <v>20</v>
      </c>
      <c r="AB17" s="6" t="s">
        <v>29</v>
      </c>
      <c r="AC17" s="148">
        <v>1</v>
      </c>
      <c r="AD17" s="148"/>
      <c r="AE17" s="148"/>
      <c r="AF17" s="148">
        <v>1</v>
      </c>
      <c r="AG17" s="6" t="s">
        <v>49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s="64" customFormat="1" ht="68" x14ac:dyDescent="0.2">
      <c r="A18" s="151" t="s">
        <v>571</v>
      </c>
      <c r="B18" s="152">
        <v>1921</v>
      </c>
      <c r="C18" s="152">
        <v>3</v>
      </c>
      <c r="D18" s="152" t="s">
        <v>1520</v>
      </c>
      <c r="E18" s="152"/>
      <c r="F18" s="7"/>
      <c r="G18" s="7" t="s">
        <v>1519</v>
      </c>
      <c r="H18" s="7" t="s">
        <v>1518</v>
      </c>
      <c r="I18" s="64">
        <v>12</v>
      </c>
      <c r="J18" s="7">
        <v>1</v>
      </c>
      <c r="N18" s="7" t="s">
        <v>437</v>
      </c>
      <c r="S18" s="64">
        <v>1</v>
      </c>
      <c r="T18" s="6">
        <v>22</v>
      </c>
      <c r="U18" s="155"/>
      <c r="V18" s="155"/>
      <c r="W18" s="7">
        <v>1899</v>
      </c>
      <c r="AA18" s="6" t="s">
        <v>20</v>
      </c>
      <c r="AB18" s="6" t="s">
        <v>29</v>
      </c>
      <c r="AC18" s="148">
        <v>1</v>
      </c>
      <c r="AD18" s="148"/>
      <c r="AE18" s="148"/>
      <c r="AF18" s="148">
        <v>1</v>
      </c>
      <c r="AG18" s="6" t="s">
        <v>49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s="64" customFormat="1" x14ac:dyDescent="0.2">
      <c r="A19" s="151"/>
      <c r="B19" s="152"/>
      <c r="C19" s="152"/>
      <c r="D19" s="152"/>
      <c r="E19" s="152"/>
      <c r="F19" s="153"/>
      <c r="G19" s="20"/>
      <c r="H19" s="148"/>
      <c r="I19" s="148"/>
      <c r="J19" s="148"/>
      <c r="K19" s="219"/>
      <c r="L19" s="148"/>
      <c r="M19" s="154"/>
      <c r="N19" s="155"/>
      <c r="O19" s="156"/>
      <c r="P19" s="148"/>
      <c r="Q19" s="219"/>
      <c r="R19" s="219"/>
      <c r="S19" s="220"/>
      <c r="T19" s="155"/>
      <c r="U19" s="155"/>
      <c r="V19" s="155"/>
      <c r="W19" s="157"/>
      <c r="X19" s="148"/>
      <c r="Y19" s="148"/>
      <c r="Z19" s="148"/>
      <c r="AA19" s="148"/>
      <c r="AB19" s="148"/>
      <c r="AC19" s="148"/>
      <c r="AD19" s="148"/>
      <c r="AE19" s="148"/>
      <c r="AF19" s="148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1" s="64" customFormat="1" ht="68" x14ac:dyDescent="0.2">
      <c r="A20" s="151" t="s">
        <v>571</v>
      </c>
      <c r="B20" s="152">
        <v>1921</v>
      </c>
      <c r="C20" s="152">
        <v>4</v>
      </c>
      <c r="D20" s="152" t="s">
        <v>1520</v>
      </c>
      <c r="E20" s="152"/>
      <c r="F20" s="7">
        <v>7</v>
      </c>
      <c r="G20" s="7" t="s">
        <v>1975</v>
      </c>
      <c r="H20" s="7" t="s">
        <v>1974</v>
      </c>
      <c r="I20" s="64">
        <v>13</v>
      </c>
      <c r="J20" s="7" t="s">
        <v>13</v>
      </c>
      <c r="K20" s="64">
        <v>1</v>
      </c>
      <c r="N20" s="7">
        <v>1</v>
      </c>
      <c r="P20" s="7"/>
      <c r="T20" s="6">
        <v>54</v>
      </c>
      <c r="W20" s="157"/>
      <c r="X20" s="148"/>
      <c r="Y20" s="148"/>
      <c r="Z20" s="148"/>
      <c r="AA20" s="6" t="s">
        <v>1977</v>
      </c>
      <c r="AB20" s="6" t="s">
        <v>8</v>
      </c>
      <c r="AC20" s="148">
        <v>1</v>
      </c>
      <c r="AD20" s="148">
        <v>1</v>
      </c>
      <c r="AE20" s="148"/>
      <c r="AF20" s="148">
        <v>1</v>
      </c>
      <c r="AG20" s="6" t="s">
        <v>1976</v>
      </c>
      <c r="AJ20" s="7" t="s">
        <v>1986</v>
      </c>
      <c r="AK20" s="6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s="64" customFormat="1" ht="68" x14ac:dyDescent="0.2">
      <c r="A21" s="151" t="s">
        <v>571</v>
      </c>
      <c r="B21" s="152">
        <v>1921</v>
      </c>
      <c r="C21" s="152">
        <v>4</v>
      </c>
      <c r="D21" s="152" t="s">
        <v>1520</v>
      </c>
      <c r="E21" s="152"/>
      <c r="F21" s="7"/>
      <c r="G21" s="7" t="s">
        <v>1975</v>
      </c>
      <c r="H21" s="7" t="s">
        <v>1978</v>
      </c>
      <c r="I21" s="64">
        <v>14</v>
      </c>
      <c r="J21" s="7">
        <v>1</v>
      </c>
      <c r="N21" s="7" t="s">
        <v>18</v>
      </c>
      <c r="O21" s="64">
        <v>1</v>
      </c>
      <c r="P21" s="7"/>
      <c r="T21" s="6">
        <v>51</v>
      </c>
      <c r="W21" s="157"/>
      <c r="X21" s="148"/>
      <c r="Y21" s="148"/>
      <c r="Z21" s="148"/>
      <c r="AA21" s="6" t="s">
        <v>20</v>
      </c>
      <c r="AB21" s="6" t="s">
        <v>20</v>
      </c>
      <c r="AC21" s="148"/>
      <c r="AD21" s="148"/>
      <c r="AE21" s="148"/>
      <c r="AF21" s="148">
        <v>1</v>
      </c>
      <c r="AG21" s="6" t="s">
        <v>49</v>
      </c>
      <c r="AJ21" s="7"/>
      <c r="AK21" s="6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s="64" customFormat="1" ht="68" x14ac:dyDescent="0.2">
      <c r="A22" s="151" t="s">
        <v>571</v>
      </c>
      <c r="B22" s="152">
        <v>1921</v>
      </c>
      <c r="C22" s="152">
        <v>4</v>
      </c>
      <c r="D22" s="152" t="s">
        <v>1520</v>
      </c>
      <c r="E22" s="152"/>
      <c r="F22" s="7"/>
      <c r="G22" s="7" t="s">
        <v>1975</v>
      </c>
      <c r="H22" s="7" t="s">
        <v>1979</v>
      </c>
      <c r="I22" s="64">
        <v>15</v>
      </c>
      <c r="J22" s="7">
        <v>1</v>
      </c>
      <c r="N22" s="7" t="s">
        <v>22</v>
      </c>
      <c r="P22" s="7">
        <v>1</v>
      </c>
      <c r="T22" s="6">
        <v>28</v>
      </c>
      <c r="W22" s="157"/>
      <c r="X22" s="148"/>
      <c r="Y22" s="148"/>
      <c r="Z22" s="148"/>
      <c r="AA22" s="6" t="s">
        <v>20</v>
      </c>
      <c r="AB22" s="6" t="s">
        <v>20</v>
      </c>
      <c r="AC22" s="148"/>
      <c r="AD22" s="148"/>
      <c r="AE22" s="148"/>
      <c r="AF22" s="148">
        <v>1</v>
      </c>
      <c r="AG22" s="6" t="s">
        <v>49</v>
      </c>
      <c r="AJ22" s="7"/>
      <c r="AK22" s="6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ht="19" customHeight="1" x14ac:dyDescent="0.2">
      <c r="A23" s="151" t="s">
        <v>571</v>
      </c>
      <c r="B23" s="152">
        <v>1921</v>
      </c>
      <c r="C23" s="152">
        <v>4</v>
      </c>
      <c r="D23" s="152" t="s">
        <v>1520</v>
      </c>
      <c r="E23" s="7"/>
      <c r="F23" s="7"/>
      <c r="G23" s="7" t="s">
        <v>1975</v>
      </c>
      <c r="H23" s="7" t="s">
        <v>1980</v>
      </c>
      <c r="I23" s="64">
        <v>16</v>
      </c>
      <c r="J23" s="7">
        <v>1</v>
      </c>
      <c r="N23" s="7" t="s">
        <v>22</v>
      </c>
      <c r="P23" s="7">
        <v>1</v>
      </c>
      <c r="T23" s="7">
        <v>24</v>
      </c>
      <c r="W23" s="5"/>
      <c r="X23" s="5"/>
      <c r="Y23" s="5"/>
      <c r="Z23" s="5"/>
      <c r="AA23" s="7" t="s">
        <v>20</v>
      </c>
      <c r="AB23" s="7" t="s">
        <v>20</v>
      </c>
      <c r="AC23" s="5"/>
      <c r="AD23" s="5"/>
      <c r="AE23" s="7"/>
      <c r="AF23" s="7">
        <v>1</v>
      </c>
      <c r="AG23" s="7" t="s">
        <v>49</v>
      </c>
      <c r="AJ23" s="7" t="e">
        <f>SUM(#REF!)</f>
        <v>#REF!</v>
      </c>
      <c r="AK23" s="7" t="e">
        <f>SUM(#REF!)</f>
        <v>#REF!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151" t="s">
        <v>571</v>
      </c>
      <c r="B24" s="152">
        <v>1921</v>
      </c>
      <c r="C24" s="152">
        <v>4</v>
      </c>
      <c r="D24" s="152" t="s">
        <v>1520</v>
      </c>
      <c r="E24" s="7"/>
      <c r="F24" s="7"/>
      <c r="G24" s="7" t="s">
        <v>1982</v>
      </c>
      <c r="H24" s="7" t="s">
        <v>1981</v>
      </c>
      <c r="I24" s="64">
        <v>17</v>
      </c>
      <c r="J24" s="7">
        <v>1</v>
      </c>
      <c r="N24" s="7" t="s">
        <v>26</v>
      </c>
      <c r="P24" s="7"/>
      <c r="S24">
        <v>1</v>
      </c>
      <c r="T24" s="7">
        <v>49</v>
      </c>
      <c r="W24" s="7"/>
      <c r="X24" s="7"/>
      <c r="Y24" s="7"/>
      <c r="Z24" s="7"/>
      <c r="AA24" s="7" t="s">
        <v>33</v>
      </c>
      <c r="AB24" s="7" t="s">
        <v>29</v>
      </c>
      <c r="AC24" s="7">
        <v>1</v>
      </c>
      <c r="AD24" s="7"/>
      <c r="AE24" s="7"/>
      <c r="AF24" s="7">
        <v>1</v>
      </c>
      <c r="AG24" s="7" t="s">
        <v>925</v>
      </c>
      <c r="AJ24" s="20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151" t="s">
        <v>571</v>
      </c>
      <c r="B25" s="152">
        <v>1921</v>
      </c>
      <c r="C25" s="152">
        <v>4</v>
      </c>
      <c r="D25" s="152" t="s">
        <v>1520</v>
      </c>
      <c r="E25" s="7"/>
      <c r="F25" s="7"/>
      <c r="G25" s="21" t="s">
        <v>1984</v>
      </c>
      <c r="H25" s="21" t="s">
        <v>1983</v>
      </c>
      <c r="I25" s="64">
        <v>18</v>
      </c>
      <c r="J25" s="7">
        <v>1</v>
      </c>
      <c r="N25" s="7" t="s">
        <v>26</v>
      </c>
      <c r="P25" s="7"/>
      <c r="S25">
        <v>1</v>
      </c>
      <c r="T25" s="244">
        <v>3</v>
      </c>
      <c r="W25" s="7"/>
      <c r="X25" s="7"/>
      <c r="Y25" s="7"/>
      <c r="Z25" s="7"/>
      <c r="AA25" s="7" t="s">
        <v>28</v>
      </c>
      <c r="AB25" s="7" t="s">
        <v>29</v>
      </c>
      <c r="AC25" s="7">
        <v>1</v>
      </c>
      <c r="AD25" s="7"/>
      <c r="AE25" s="7"/>
      <c r="AF25" s="7"/>
      <c r="AG25" s="7" t="s">
        <v>1985</v>
      </c>
      <c r="AJ25" s="20"/>
      <c r="AK25" s="21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151"/>
      <c r="B26" s="152"/>
      <c r="C26" s="152"/>
      <c r="D26" s="152"/>
      <c r="E26" s="7"/>
      <c r="F26" s="7"/>
      <c r="G26" s="7"/>
      <c r="H26" s="7">
        <v>6</v>
      </c>
      <c r="I26" s="7"/>
      <c r="J26" s="7" t="s">
        <v>2</v>
      </c>
      <c r="K26" s="7" t="s">
        <v>3</v>
      </c>
      <c r="L26" s="7" t="s">
        <v>4</v>
      </c>
      <c r="M26" s="7" t="s">
        <v>5</v>
      </c>
      <c r="N26" s="7" t="s">
        <v>6</v>
      </c>
      <c r="O26" s="7" t="s">
        <v>7</v>
      </c>
      <c r="P26" s="7" t="s">
        <v>8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s="55" customFormat="1" ht="17.5" customHeight="1" x14ac:dyDescent="0.2">
      <c r="A27" s="233" t="s">
        <v>571</v>
      </c>
      <c r="B27" s="234">
        <v>1921</v>
      </c>
      <c r="C27" s="234">
        <v>5</v>
      </c>
      <c r="D27" s="234" t="s">
        <v>1520</v>
      </c>
      <c r="E27" s="227"/>
      <c r="F27" s="227">
        <v>21</v>
      </c>
      <c r="G27" s="227" t="s">
        <v>1258</v>
      </c>
      <c r="H27" s="227" t="s">
        <v>1987</v>
      </c>
      <c r="I27" s="55">
        <v>19</v>
      </c>
      <c r="J27" s="55">
        <v>1</v>
      </c>
      <c r="N27" s="227" t="s">
        <v>12</v>
      </c>
      <c r="O27" s="227"/>
      <c r="P27" s="227"/>
      <c r="S27" s="55">
        <v>1</v>
      </c>
      <c r="T27" s="227">
        <v>82</v>
      </c>
      <c r="U27" s="227"/>
      <c r="V27" s="227"/>
      <c r="W27" s="227"/>
      <c r="X27" s="227"/>
      <c r="Y27" s="227"/>
      <c r="Z27" s="227"/>
      <c r="AA27" s="227" t="s">
        <v>1988</v>
      </c>
      <c r="AC27" s="227">
        <v>1</v>
      </c>
      <c r="AD27" s="227"/>
      <c r="AE27" s="227">
        <v>1</v>
      </c>
      <c r="AF27" s="227">
        <v>1</v>
      </c>
      <c r="AG27" s="227" t="s">
        <v>49</v>
      </c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</row>
    <row r="28" spans="1:51" ht="17.5" customHeight="1" x14ac:dyDescent="0.2">
      <c r="A28" s="151" t="s">
        <v>571</v>
      </c>
      <c r="B28" s="152">
        <v>1921</v>
      </c>
      <c r="C28" s="7">
        <v>5</v>
      </c>
      <c r="D28" s="152" t="s">
        <v>1520</v>
      </c>
      <c r="E28" s="7"/>
      <c r="G28" t="s">
        <v>1990</v>
      </c>
      <c r="H28" t="s">
        <v>1989</v>
      </c>
      <c r="I28" s="64">
        <v>20</v>
      </c>
      <c r="J28">
        <v>1</v>
      </c>
      <c r="N28" t="s">
        <v>33</v>
      </c>
      <c r="S28" s="202">
        <v>1</v>
      </c>
      <c r="T28">
        <v>28</v>
      </c>
      <c r="U28" s="7"/>
      <c r="V28" s="7"/>
      <c r="W28" s="7"/>
      <c r="X28" s="7"/>
      <c r="Y28" s="7"/>
      <c r="Z28" s="7"/>
      <c r="AA28" t="s">
        <v>56</v>
      </c>
      <c r="AC28" s="7">
        <v>1</v>
      </c>
      <c r="AD28" s="7"/>
      <c r="AE28" s="7">
        <v>1</v>
      </c>
      <c r="AF28" s="7"/>
      <c r="AG28" t="s">
        <v>1991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151" t="s">
        <v>571</v>
      </c>
      <c r="B29" s="152">
        <v>1921</v>
      </c>
      <c r="C29" s="7">
        <v>5</v>
      </c>
      <c r="D29" s="152" t="s">
        <v>1520</v>
      </c>
      <c r="E29" s="7"/>
      <c r="G29" t="s">
        <v>1993</v>
      </c>
      <c r="H29" t="s">
        <v>1992</v>
      </c>
      <c r="I29" s="64">
        <v>21</v>
      </c>
      <c r="J29">
        <v>1</v>
      </c>
      <c r="N29" t="s">
        <v>28</v>
      </c>
      <c r="S29" s="202">
        <v>1</v>
      </c>
      <c r="T29">
        <v>16</v>
      </c>
      <c r="U29" s="7"/>
      <c r="V29" s="7"/>
      <c r="W29" s="7"/>
      <c r="X29" s="7"/>
      <c r="Y29" s="7"/>
      <c r="Z29" s="7"/>
      <c r="AA29" t="s">
        <v>56</v>
      </c>
      <c r="AC29" s="7">
        <v>1</v>
      </c>
      <c r="AD29" s="7"/>
      <c r="AE29" s="7">
        <v>1</v>
      </c>
      <c r="AF29" s="7"/>
      <c r="AG29" t="s">
        <v>1994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151" t="s">
        <v>571</v>
      </c>
      <c r="B30" s="152">
        <v>1921</v>
      </c>
      <c r="C30" s="152">
        <v>5</v>
      </c>
      <c r="D30" s="152" t="s">
        <v>1520</v>
      </c>
      <c r="E30" s="7"/>
      <c r="F30" s="7"/>
      <c r="G30" s="7"/>
      <c r="H30" s="7">
        <v>3</v>
      </c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" x14ac:dyDescent="0.2">
      <c r="A31" s="151" t="s">
        <v>571</v>
      </c>
      <c r="B31" s="152">
        <v>1921</v>
      </c>
      <c r="C31">
        <v>6</v>
      </c>
      <c r="D31" s="152" t="s">
        <v>1520</v>
      </c>
      <c r="G31" t="s">
        <v>454</v>
      </c>
      <c r="H31" t="s">
        <v>453</v>
      </c>
      <c r="I31" s="29">
        <v>22</v>
      </c>
      <c r="K31">
        <v>1</v>
      </c>
      <c r="N31">
        <v>1</v>
      </c>
      <c r="T31">
        <v>75</v>
      </c>
      <c r="AA31" s="54" t="s">
        <v>456</v>
      </c>
      <c r="AB31" s="54"/>
      <c r="AC31">
        <v>1</v>
      </c>
      <c r="AD31" t="s">
        <v>20</v>
      </c>
      <c r="AF31" t="s">
        <v>455</v>
      </c>
      <c r="AG31">
        <v>1</v>
      </c>
    </row>
    <row r="32" spans="1:51" ht="17" x14ac:dyDescent="0.2">
      <c r="A32" s="151" t="s">
        <v>571</v>
      </c>
      <c r="B32" s="152">
        <v>1921</v>
      </c>
      <c r="C32">
        <v>6</v>
      </c>
      <c r="D32" s="152" t="s">
        <v>1520</v>
      </c>
      <c r="G32" t="s">
        <v>454</v>
      </c>
      <c r="H32" t="s">
        <v>457</v>
      </c>
      <c r="I32" s="29">
        <v>23</v>
      </c>
      <c r="J32">
        <v>1</v>
      </c>
      <c r="N32" t="s">
        <v>22</v>
      </c>
      <c r="P32">
        <v>1</v>
      </c>
      <c r="T32">
        <v>36</v>
      </c>
      <c r="AA32" s="54" t="s">
        <v>50</v>
      </c>
      <c r="AB32" s="54"/>
      <c r="AD32" t="s">
        <v>29</v>
      </c>
      <c r="AF32" t="s">
        <v>458</v>
      </c>
      <c r="AG32">
        <v>1</v>
      </c>
    </row>
    <row r="33" spans="1:51" ht="17" x14ac:dyDescent="0.2">
      <c r="A33" s="151" t="s">
        <v>571</v>
      </c>
      <c r="B33" s="152">
        <v>1921</v>
      </c>
      <c r="C33">
        <v>6</v>
      </c>
      <c r="D33" s="152" t="s">
        <v>1520</v>
      </c>
      <c r="G33" t="s">
        <v>460</v>
      </c>
      <c r="H33" t="s">
        <v>459</v>
      </c>
      <c r="I33" s="29">
        <v>24</v>
      </c>
      <c r="J33">
        <v>1</v>
      </c>
      <c r="N33" t="s">
        <v>265</v>
      </c>
      <c r="S33">
        <v>1</v>
      </c>
      <c r="T33">
        <v>23</v>
      </c>
      <c r="AA33" s="54" t="s">
        <v>33</v>
      </c>
      <c r="AB33" s="54"/>
      <c r="AC33">
        <v>1</v>
      </c>
      <c r="AD33" t="s">
        <v>29</v>
      </c>
      <c r="AF33" t="s">
        <v>461</v>
      </c>
      <c r="AG33">
        <v>1</v>
      </c>
    </row>
    <row r="34" spans="1:51" ht="17" x14ac:dyDescent="0.2">
      <c r="A34" s="151" t="s">
        <v>571</v>
      </c>
      <c r="B34" s="152">
        <v>1921</v>
      </c>
      <c r="C34">
        <v>6</v>
      </c>
      <c r="D34" s="152" t="s">
        <v>1520</v>
      </c>
      <c r="G34" t="s">
        <v>463</v>
      </c>
      <c r="H34" t="s">
        <v>462</v>
      </c>
      <c r="I34" s="29">
        <v>25</v>
      </c>
      <c r="J34">
        <v>1</v>
      </c>
      <c r="N34" t="s">
        <v>265</v>
      </c>
      <c r="S34">
        <v>1</v>
      </c>
      <c r="T34">
        <v>18</v>
      </c>
      <c r="AA34" s="54" t="s">
        <v>137</v>
      </c>
      <c r="AB34" s="54"/>
      <c r="AC34">
        <v>1</v>
      </c>
      <c r="AD34" t="s">
        <v>29</v>
      </c>
      <c r="AF34" t="s">
        <v>14</v>
      </c>
    </row>
    <row r="35" spans="1:51" ht="17" x14ac:dyDescent="0.2">
      <c r="A35" s="151" t="s">
        <v>571</v>
      </c>
      <c r="B35" s="152">
        <v>1921</v>
      </c>
      <c r="D35" s="152" t="s">
        <v>1520</v>
      </c>
      <c r="H35">
        <v>4</v>
      </c>
      <c r="I35" s="29"/>
      <c r="AA35" s="54"/>
      <c r="AB35" s="54"/>
    </row>
    <row r="36" spans="1:51" ht="34" x14ac:dyDescent="0.2">
      <c r="A36" s="151" t="s">
        <v>571</v>
      </c>
      <c r="B36" s="152">
        <v>1921</v>
      </c>
      <c r="C36">
        <v>7</v>
      </c>
      <c r="D36" s="152" t="s">
        <v>1520</v>
      </c>
      <c r="G36" t="s">
        <v>465</v>
      </c>
      <c r="H36" t="s">
        <v>464</v>
      </c>
      <c r="I36" s="29">
        <v>26</v>
      </c>
      <c r="K36">
        <v>1</v>
      </c>
      <c r="N36">
        <v>1</v>
      </c>
      <c r="T36">
        <v>57</v>
      </c>
      <c r="AA36" s="54" t="s">
        <v>466</v>
      </c>
      <c r="AB36" s="54"/>
      <c r="AC36">
        <v>1</v>
      </c>
      <c r="AD36" t="s">
        <v>16</v>
      </c>
      <c r="AF36" t="s">
        <v>14</v>
      </c>
      <c r="AJ36" t="s">
        <v>796</v>
      </c>
    </row>
    <row r="37" spans="1:51" ht="17" x14ac:dyDescent="0.2">
      <c r="A37" s="151" t="s">
        <v>571</v>
      </c>
      <c r="B37" s="152">
        <v>1921</v>
      </c>
      <c r="C37">
        <v>7</v>
      </c>
      <c r="D37" s="152" t="s">
        <v>1520</v>
      </c>
      <c r="G37" t="s">
        <v>465</v>
      </c>
      <c r="H37" t="s">
        <v>467</v>
      </c>
      <c r="I37" s="29">
        <v>27</v>
      </c>
      <c r="J37">
        <v>1</v>
      </c>
      <c r="N37" t="s">
        <v>18</v>
      </c>
      <c r="O37">
        <v>1</v>
      </c>
      <c r="T37">
        <v>53</v>
      </c>
      <c r="AA37" s="54" t="s">
        <v>468</v>
      </c>
      <c r="AB37" s="54"/>
      <c r="AD37" t="s">
        <v>20</v>
      </c>
      <c r="AF37" t="s">
        <v>145</v>
      </c>
      <c r="AG37">
        <v>1</v>
      </c>
    </row>
    <row r="38" spans="1:51" ht="17" x14ac:dyDescent="0.2">
      <c r="A38" s="151" t="s">
        <v>571</v>
      </c>
      <c r="B38" s="152">
        <v>1921</v>
      </c>
      <c r="C38">
        <v>7</v>
      </c>
      <c r="D38" s="152" t="s">
        <v>1520</v>
      </c>
      <c r="G38" t="s">
        <v>470</v>
      </c>
      <c r="H38" t="s">
        <v>469</v>
      </c>
      <c r="I38" s="29">
        <v>28</v>
      </c>
      <c r="K38">
        <v>1</v>
      </c>
      <c r="N38">
        <v>1</v>
      </c>
      <c r="T38">
        <v>27</v>
      </c>
      <c r="AA38" s="54" t="s">
        <v>472</v>
      </c>
      <c r="AB38" t="s">
        <v>473</v>
      </c>
      <c r="AC38">
        <v>1</v>
      </c>
      <c r="AF38" t="s">
        <v>471</v>
      </c>
      <c r="AG38">
        <v>1</v>
      </c>
    </row>
    <row r="39" spans="1:51" ht="17" x14ac:dyDescent="0.2">
      <c r="A39" s="151" t="s">
        <v>571</v>
      </c>
      <c r="B39" s="152">
        <v>1921</v>
      </c>
      <c r="C39">
        <v>7</v>
      </c>
      <c r="D39" s="152" t="s">
        <v>1520</v>
      </c>
      <c r="G39" t="s">
        <v>470</v>
      </c>
      <c r="H39" t="s">
        <v>474</v>
      </c>
      <c r="I39" s="29">
        <v>29</v>
      </c>
      <c r="J39">
        <v>1</v>
      </c>
      <c r="N39" t="s">
        <v>18</v>
      </c>
      <c r="O39">
        <v>1</v>
      </c>
      <c r="T39">
        <v>26</v>
      </c>
      <c r="AA39" s="54" t="s">
        <v>468</v>
      </c>
      <c r="AB39" s="54"/>
      <c r="AD39" t="s">
        <v>20</v>
      </c>
      <c r="AF39" t="s">
        <v>14</v>
      </c>
    </row>
    <row r="40" spans="1:51" ht="17" x14ac:dyDescent="0.2">
      <c r="A40" s="151" t="s">
        <v>571</v>
      </c>
      <c r="B40" s="152">
        <v>1921</v>
      </c>
      <c r="C40">
        <v>7</v>
      </c>
      <c r="D40" s="152" t="s">
        <v>1520</v>
      </c>
      <c r="G40" t="s">
        <v>476</v>
      </c>
      <c r="H40" t="s">
        <v>475</v>
      </c>
      <c r="I40" s="29">
        <v>30</v>
      </c>
      <c r="J40">
        <v>1</v>
      </c>
      <c r="N40" t="s">
        <v>477</v>
      </c>
      <c r="S40">
        <v>1</v>
      </c>
      <c r="T40">
        <v>31</v>
      </c>
      <c r="AA40" s="54" t="s">
        <v>360</v>
      </c>
      <c r="AB40" s="54"/>
      <c r="AC40">
        <v>1</v>
      </c>
      <c r="AD40" t="s">
        <v>29</v>
      </c>
      <c r="AF40" t="s">
        <v>20</v>
      </c>
    </row>
    <row r="41" spans="1:51" ht="17" x14ac:dyDescent="0.2">
      <c r="A41" s="151" t="s">
        <v>571</v>
      </c>
      <c r="B41" s="152">
        <v>1921</v>
      </c>
      <c r="C41">
        <v>7</v>
      </c>
      <c r="D41" s="152" t="s">
        <v>1520</v>
      </c>
      <c r="G41" t="s">
        <v>479</v>
      </c>
      <c r="H41" t="s">
        <v>478</v>
      </c>
      <c r="I41" s="29">
        <v>31</v>
      </c>
      <c r="J41">
        <v>1</v>
      </c>
      <c r="N41" t="s">
        <v>480</v>
      </c>
      <c r="S41">
        <v>1</v>
      </c>
      <c r="T41">
        <v>22</v>
      </c>
      <c r="AA41" s="54" t="s">
        <v>33</v>
      </c>
      <c r="AB41" s="54"/>
      <c r="AC41">
        <v>1</v>
      </c>
      <c r="AD41" t="s">
        <v>29</v>
      </c>
      <c r="AF41" t="s">
        <v>481</v>
      </c>
    </row>
    <row r="42" spans="1:51" ht="17" x14ac:dyDescent="0.2">
      <c r="A42" s="151" t="s">
        <v>571</v>
      </c>
      <c r="B42" s="152">
        <v>1921</v>
      </c>
      <c r="C42">
        <v>7</v>
      </c>
      <c r="D42" s="152" t="s">
        <v>1520</v>
      </c>
      <c r="G42" t="s">
        <v>483</v>
      </c>
      <c r="H42" t="s">
        <v>482</v>
      </c>
      <c r="I42" s="29">
        <v>32</v>
      </c>
      <c r="J42">
        <v>1</v>
      </c>
      <c r="N42" t="s">
        <v>208</v>
      </c>
      <c r="S42">
        <v>1</v>
      </c>
      <c r="T42">
        <v>43</v>
      </c>
      <c r="AA42" s="54" t="s">
        <v>485</v>
      </c>
      <c r="AB42" s="54"/>
      <c r="AC42">
        <v>1</v>
      </c>
      <c r="AD42" t="s">
        <v>29</v>
      </c>
      <c r="AF42" t="s">
        <v>484</v>
      </c>
      <c r="AG42">
        <v>1</v>
      </c>
    </row>
    <row r="43" spans="1:51" ht="17" x14ac:dyDescent="0.2">
      <c r="A43" s="151" t="s">
        <v>571</v>
      </c>
      <c r="B43" s="152">
        <v>1921</v>
      </c>
      <c r="D43" s="152" t="s">
        <v>1520</v>
      </c>
      <c r="H43">
        <v>7</v>
      </c>
      <c r="I43" s="29"/>
      <c r="AA43" s="54"/>
      <c r="AB43" s="54"/>
    </row>
    <row r="44" spans="1:51" s="55" customFormat="1" ht="17" x14ac:dyDescent="0.2">
      <c r="A44" s="151" t="s">
        <v>571</v>
      </c>
      <c r="B44" s="152">
        <v>1921</v>
      </c>
      <c r="C44" s="55">
        <v>8</v>
      </c>
      <c r="D44" s="152" t="s">
        <v>1520</v>
      </c>
      <c r="G44" s="55" t="s">
        <v>487</v>
      </c>
      <c r="H44" s="55" t="s">
        <v>486</v>
      </c>
      <c r="I44" s="29">
        <v>33</v>
      </c>
      <c r="J44" s="55">
        <v>1</v>
      </c>
      <c r="N44" s="55">
        <v>1</v>
      </c>
      <c r="T44" s="55">
        <v>60</v>
      </c>
      <c r="AA44" s="56" t="s">
        <v>489</v>
      </c>
      <c r="AB44" s="56"/>
      <c r="AD44" s="55" t="s">
        <v>20</v>
      </c>
      <c r="AF44" s="55" t="s">
        <v>488</v>
      </c>
      <c r="AG44" s="55">
        <v>1</v>
      </c>
    </row>
    <row r="45" spans="1:51" ht="17" x14ac:dyDescent="0.2">
      <c r="A45" s="151" t="s">
        <v>571</v>
      </c>
      <c r="B45" s="152">
        <v>1921</v>
      </c>
      <c r="C45">
        <v>8</v>
      </c>
      <c r="D45" s="152" t="s">
        <v>1520</v>
      </c>
      <c r="G45" t="s">
        <v>491</v>
      </c>
      <c r="H45" t="s">
        <v>490</v>
      </c>
      <c r="I45" s="29">
        <v>34</v>
      </c>
      <c r="J45">
        <v>1</v>
      </c>
      <c r="N45" t="s">
        <v>26</v>
      </c>
      <c r="S45">
        <v>1</v>
      </c>
      <c r="T45">
        <v>39</v>
      </c>
      <c r="AA45" s="54" t="s">
        <v>33</v>
      </c>
      <c r="AB45" s="54"/>
      <c r="AC45">
        <v>1</v>
      </c>
      <c r="AD45" t="s">
        <v>29</v>
      </c>
      <c r="AF45" t="s">
        <v>88</v>
      </c>
      <c r="AG45">
        <v>1</v>
      </c>
    </row>
    <row r="46" spans="1:51" ht="17" x14ac:dyDescent="0.2">
      <c r="A46" s="151" t="s">
        <v>571</v>
      </c>
      <c r="B46" s="152">
        <v>1921</v>
      </c>
      <c r="C46">
        <v>8</v>
      </c>
      <c r="D46" s="152" t="s">
        <v>1520</v>
      </c>
      <c r="G46" t="s">
        <v>493</v>
      </c>
      <c r="H46" t="s">
        <v>492</v>
      </c>
      <c r="I46" s="29">
        <v>35</v>
      </c>
      <c r="J46">
        <v>1</v>
      </c>
      <c r="N46" t="s">
        <v>26</v>
      </c>
      <c r="S46">
        <v>1</v>
      </c>
      <c r="T46">
        <v>20</v>
      </c>
      <c r="AA46" s="54" t="s">
        <v>137</v>
      </c>
      <c r="AB46" s="54"/>
      <c r="AC46">
        <v>1</v>
      </c>
      <c r="AD46" t="s">
        <v>29</v>
      </c>
      <c r="AF46" t="s">
        <v>494</v>
      </c>
      <c r="AG46">
        <v>1</v>
      </c>
    </row>
    <row r="47" spans="1:51" x14ac:dyDescent="0.2">
      <c r="A47" s="151"/>
      <c r="B47" s="152"/>
      <c r="H47">
        <v>3</v>
      </c>
      <c r="I47" s="291">
        <v>35</v>
      </c>
      <c r="AB47" s="54"/>
      <c r="AC47" s="54"/>
    </row>
    <row r="48" spans="1:51" ht="17.5" customHeight="1" x14ac:dyDescent="0.2">
      <c r="A48" s="151" t="s">
        <v>571</v>
      </c>
      <c r="B48" s="152">
        <v>1921</v>
      </c>
      <c r="C48" s="152">
        <v>8</v>
      </c>
      <c r="D48" s="152" t="s">
        <v>1520</v>
      </c>
      <c r="E48" s="7"/>
      <c r="F48" s="7"/>
      <c r="G48" s="7"/>
      <c r="H48" s="7"/>
      <c r="I48" s="7">
        <v>21</v>
      </c>
      <c r="J48" s="7">
        <f>SUM(J3:J47)</f>
        <v>30</v>
      </c>
      <c r="K48" s="7">
        <f t="shared" ref="K48:AN48" si="0">SUM(K3:K47)</f>
        <v>5</v>
      </c>
      <c r="L48" s="7">
        <f t="shared" si="0"/>
        <v>0</v>
      </c>
      <c r="M48" s="7">
        <f t="shared" si="0"/>
        <v>0</v>
      </c>
      <c r="N48" s="7">
        <f t="shared" si="0"/>
        <v>7</v>
      </c>
      <c r="O48" s="7">
        <f t="shared" si="0"/>
        <v>4</v>
      </c>
      <c r="P48" s="7">
        <f t="shared" si="0"/>
        <v>3</v>
      </c>
      <c r="Q48" s="7">
        <f t="shared" si="0"/>
        <v>0</v>
      </c>
      <c r="R48" s="7">
        <f t="shared" si="0"/>
        <v>1</v>
      </c>
      <c r="S48" s="7">
        <f t="shared" si="0"/>
        <v>20</v>
      </c>
      <c r="T48" s="7">
        <f t="shared" si="0"/>
        <v>1406</v>
      </c>
      <c r="U48" s="7">
        <f t="shared" si="0"/>
        <v>0</v>
      </c>
      <c r="V48" s="7">
        <f t="shared" si="0"/>
        <v>0</v>
      </c>
      <c r="W48" s="7"/>
      <c r="X48" s="7">
        <f t="shared" si="0"/>
        <v>0</v>
      </c>
      <c r="Y48" s="7">
        <f t="shared" si="0"/>
        <v>0</v>
      </c>
      <c r="Z48" s="7">
        <f t="shared" si="0"/>
        <v>0</v>
      </c>
      <c r="AA48" s="7">
        <f t="shared" si="0"/>
        <v>0</v>
      </c>
      <c r="AB48" s="7">
        <f t="shared" si="0"/>
        <v>0</v>
      </c>
      <c r="AC48" s="7">
        <f t="shared" si="0"/>
        <v>25</v>
      </c>
      <c r="AD48" s="7">
        <f t="shared" si="0"/>
        <v>2</v>
      </c>
      <c r="AE48" s="7">
        <f>AC48-AD48</f>
        <v>23</v>
      </c>
      <c r="AF48" s="7">
        <f>N49-AG48</f>
        <v>26</v>
      </c>
      <c r="AG48" s="7">
        <f t="shared" si="0"/>
        <v>9</v>
      </c>
      <c r="AH48" s="7">
        <f>AG48+AF48</f>
        <v>35</v>
      </c>
      <c r="AI48" s="7">
        <f t="shared" si="0"/>
        <v>0</v>
      </c>
      <c r="AJ48" s="7" t="e">
        <f t="shared" si="0"/>
        <v>#REF!</v>
      </c>
      <c r="AK48" s="7" t="e">
        <f t="shared" si="0"/>
        <v>#REF!</v>
      </c>
      <c r="AL48" s="7">
        <f t="shared" si="0"/>
        <v>0</v>
      </c>
      <c r="AM48" s="7">
        <f t="shared" si="0"/>
        <v>0</v>
      </c>
      <c r="AN48" s="7">
        <f t="shared" si="0"/>
        <v>0</v>
      </c>
      <c r="AO48" s="7">
        <f>SUM(AO3:AO29)</f>
        <v>0</v>
      </c>
      <c r="AP48" s="7">
        <f>SUM(AP3:AP29)</f>
        <v>0</v>
      </c>
      <c r="AQ48" s="7">
        <f>SUM(AQ3:AQ29)</f>
        <v>0</v>
      </c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151"/>
      <c r="B49" s="152"/>
      <c r="C49" s="152"/>
      <c r="D49" s="152"/>
      <c r="E49" s="7"/>
      <c r="F49" s="7"/>
      <c r="G49" s="7"/>
      <c r="H49" s="7"/>
      <c r="I49" s="7"/>
      <c r="J49">
        <f>SUM(J48:M48)</f>
        <v>35</v>
      </c>
      <c r="K49" s="7"/>
      <c r="L49" s="7"/>
      <c r="M49" s="7"/>
      <c r="N49" s="7">
        <f>SUM(N48:S48)</f>
        <v>35</v>
      </c>
      <c r="O49" s="7"/>
      <c r="P49" s="7"/>
      <c r="Q49" s="7"/>
      <c r="R49" s="7"/>
      <c r="S49" s="7"/>
      <c r="T49" s="20">
        <f>T48/N49</f>
        <v>40.171428571428571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151"/>
      <c r="B50" s="152"/>
      <c r="C50" s="152"/>
      <c r="D50" s="152"/>
      <c r="E50" s="7"/>
      <c r="F50" s="7"/>
      <c r="G50" s="7"/>
      <c r="H50" s="7"/>
      <c r="I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K51" s="7"/>
      <c r="L51" s="7"/>
      <c r="M51" s="6"/>
      <c r="N51" s="6"/>
      <c r="O51" s="6"/>
      <c r="P51" s="6"/>
      <c r="Q51" s="6"/>
      <c r="R51" s="6"/>
      <c r="S51" s="6"/>
      <c r="T51" s="150">
        <f>T24/I24</f>
        <v>2.8823529411764706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6"/>
      <c r="N52" s="6"/>
      <c r="O52" s="6"/>
      <c r="P52" s="6"/>
      <c r="Q52" s="7"/>
      <c r="R52" s="6"/>
      <c r="S52" s="6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6"/>
      <c r="N53" s="6"/>
      <c r="O53" s="6"/>
      <c r="P53" s="6"/>
      <c r="Q53" s="6"/>
      <c r="R53" s="6"/>
      <c r="S53" s="6"/>
      <c r="T53" s="6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K54" s="7"/>
      <c r="L54" s="7"/>
      <c r="M54" s="6"/>
      <c r="N54" s="6"/>
      <c r="O54" s="6"/>
      <c r="P54" s="6"/>
      <c r="Q54" s="6"/>
      <c r="R54" s="6"/>
      <c r="S54" s="6"/>
      <c r="T54" s="150">
        <f>T48/I48</f>
        <v>66.952380952380949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6"/>
      <c r="N55" s="6"/>
      <c r="O55" s="6"/>
      <c r="P55" s="6"/>
      <c r="Q55" s="7"/>
      <c r="R55" s="6"/>
      <c r="S55" s="6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6"/>
      <c r="N56" s="6"/>
      <c r="O56" s="6"/>
      <c r="P56" s="6"/>
      <c r="Q56" s="6"/>
      <c r="R56" s="6"/>
      <c r="S56" s="6"/>
      <c r="T56" s="6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/>
      <c r="B57" s="7"/>
      <c r="C57" s="7"/>
      <c r="D57" s="7"/>
      <c r="E57" s="7"/>
      <c r="F57" s="7"/>
      <c r="G57" s="7"/>
      <c r="H57" s="7" t="s">
        <v>0</v>
      </c>
      <c r="I57" s="7" t="s">
        <v>1</v>
      </c>
      <c r="J57" s="7" t="s">
        <v>2</v>
      </c>
      <c r="K57" s="7" t="s">
        <v>3</v>
      </c>
      <c r="L57" s="7" t="s">
        <v>4</v>
      </c>
      <c r="M57" s="6" t="s">
        <v>5</v>
      </c>
      <c r="N57" s="6" t="s">
        <v>6</v>
      </c>
      <c r="O57" s="6" t="s">
        <v>7</v>
      </c>
      <c r="P57" s="6" t="s">
        <v>8</v>
      </c>
      <c r="Q57" s="6"/>
      <c r="R57" s="6"/>
      <c r="S57" s="6"/>
      <c r="T57" s="6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" customHeight="1" x14ac:dyDescent="0.2">
      <c r="A58" s="4" t="s">
        <v>252</v>
      </c>
      <c r="B58" s="7"/>
      <c r="C58" s="7"/>
      <c r="D58" s="7"/>
      <c r="E58" s="7"/>
      <c r="F58" s="7">
        <v>5</v>
      </c>
      <c r="G58" s="7">
        <v>5</v>
      </c>
      <c r="H58" s="7" t="s">
        <v>1499</v>
      </c>
      <c r="I58" s="7" t="s">
        <v>1500</v>
      </c>
      <c r="J58" s="7" t="s">
        <v>26</v>
      </c>
      <c r="K58" s="7" t="s">
        <v>19</v>
      </c>
      <c r="L58" s="7">
        <v>1878</v>
      </c>
      <c r="M58" s="7">
        <v>42</v>
      </c>
      <c r="N58" s="7" t="s">
        <v>329</v>
      </c>
      <c r="O58" s="7" t="s">
        <v>20</v>
      </c>
      <c r="P58" s="7" t="s">
        <v>29</v>
      </c>
      <c r="Q58" s="7">
        <f>SUM(Q23:Q57)</f>
        <v>0</v>
      </c>
      <c r="R58" s="7">
        <f>SUM(R23:R57)</f>
        <v>1</v>
      </c>
      <c r="S58" s="7">
        <f>SUM(S26:S57)</f>
        <v>30</v>
      </c>
      <c r="T58" s="7">
        <f>SUM(T26:T57)</f>
        <v>2172.0061624649857</v>
      </c>
      <c r="U58" s="7">
        <f>SUM(U26:U57)</f>
        <v>0</v>
      </c>
      <c r="V58" s="7">
        <f>SUM(V26:V57)</f>
        <v>0</v>
      </c>
      <c r="W58" s="7">
        <f>SUM(W23:W57)</f>
        <v>0</v>
      </c>
      <c r="X58" s="7">
        <f>SUM(X23:X57)</f>
        <v>0</v>
      </c>
      <c r="Y58" s="7">
        <f>SUM(Y23:Y57)</f>
        <v>0</v>
      </c>
      <c r="Z58" s="7">
        <f>SUM(Z23:Z57)</f>
        <v>0</v>
      </c>
      <c r="AA58" s="7">
        <f>SUM(AA26:AA57)</f>
        <v>0</v>
      </c>
      <c r="AB58" s="7">
        <f>SUM(AB26:AB57)</f>
        <v>0</v>
      </c>
      <c r="AC58" s="7">
        <f>SUM(AC23:AC57)</f>
        <v>40</v>
      </c>
      <c r="AD58" s="7">
        <f>SUM(AD23:AD57)</f>
        <v>2</v>
      </c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/>
      <c r="B59" s="7"/>
      <c r="C59" s="7"/>
      <c r="D59" s="7"/>
      <c r="E59" s="7"/>
      <c r="F59" s="7"/>
      <c r="G59" s="7"/>
      <c r="H59" s="7" t="s">
        <v>1501</v>
      </c>
      <c r="I59" s="7" t="s">
        <v>1502</v>
      </c>
      <c r="J59" s="7" t="s">
        <v>26</v>
      </c>
      <c r="K59" s="7" t="s">
        <v>19</v>
      </c>
      <c r="L59" s="7">
        <v>1878</v>
      </c>
      <c r="M59" s="6">
        <v>42</v>
      </c>
      <c r="N59" s="6" t="s">
        <v>1503</v>
      </c>
      <c r="O59" s="6" t="s">
        <v>20</v>
      </c>
      <c r="P59" s="6" t="s">
        <v>29</v>
      </c>
      <c r="Q59" s="6" t="e">
        <f>Q58/K59</f>
        <v>#VALUE!</v>
      </c>
      <c r="R59" s="6"/>
      <c r="S59" s="6"/>
      <c r="T59" s="6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6"/>
      <c r="N60" s="6"/>
      <c r="O60" s="6"/>
      <c r="P60" s="6"/>
      <c r="Q60" s="6"/>
      <c r="R60" s="6"/>
      <c r="S60" s="6"/>
      <c r="T60" s="6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A61" s="11"/>
      <c r="B61" s="11"/>
      <c r="C61" s="11"/>
      <c r="D61" s="12"/>
      <c r="E61" s="11"/>
      <c r="F61" s="12"/>
      <c r="G61" s="12"/>
      <c r="H61" s="12" t="s">
        <v>0</v>
      </c>
      <c r="I61" s="12" t="s">
        <v>1</v>
      </c>
      <c r="J61" s="12" t="s">
        <v>2</v>
      </c>
      <c r="K61" s="13" t="s">
        <v>3</v>
      </c>
      <c r="L61" s="12" t="s">
        <v>4</v>
      </c>
      <c r="M61" s="12" t="s">
        <v>5</v>
      </c>
      <c r="N61" s="12" t="s">
        <v>6</v>
      </c>
      <c r="O61" s="12" t="s">
        <v>7</v>
      </c>
      <c r="P61" s="12" t="s">
        <v>8</v>
      </c>
      <c r="Q61" s="13"/>
      <c r="R61" s="13"/>
      <c r="S61" s="13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28" customHeight="1" x14ac:dyDescent="0.2">
      <c r="A62" s="11"/>
      <c r="B62" s="11"/>
      <c r="C62" s="11"/>
      <c r="D62" s="12"/>
      <c r="E62" s="11"/>
      <c r="F62" s="12">
        <v>19</v>
      </c>
      <c r="G62" s="12"/>
      <c r="H62" s="12" t="s">
        <v>104</v>
      </c>
      <c r="I62" s="12" t="s">
        <v>1504</v>
      </c>
      <c r="J62" s="14" t="s">
        <v>12</v>
      </c>
      <c r="K62" s="15" t="s">
        <v>13</v>
      </c>
      <c r="L62" s="16">
        <v>1870</v>
      </c>
      <c r="M62" s="12">
        <v>51</v>
      </c>
      <c r="N62" s="12" t="s">
        <v>49</v>
      </c>
      <c r="O62" s="12" t="s">
        <v>923</v>
      </c>
      <c r="P62" s="14" t="s">
        <v>8</v>
      </c>
      <c r="Q62" s="15"/>
      <c r="R62" s="15"/>
      <c r="S62" s="15"/>
      <c r="T62" s="17"/>
      <c r="U62" s="12"/>
      <c r="V62" s="12"/>
      <c r="W62" s="12"/>
      <c r="X62" s="12"/>
      <c r="Y62" s="12"/>
      <c r="Z62" s="12"/>
      <c r="AA62" s="12"/>
      <c r="AB62" s="12"/>
      <c r="AC62" s="12"/>
      <c r="AD62" s="11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B63" s="7"/>
      <c r="C63" s="7"/>
      <c r="D63" s="7"/>
      <c r="E63" s="7"/>
      <c r="F63" s="7"/>
      <c r="G63" s="7"/>
      <c r="H63" s="7" t="s">
        <v>1505</v>
      </c>
      <c r="I63" s="7" t="s">
        <v>1504</v>
      </c>
      <c r="J63" s="7" t="s">
        <v>18</v>
      </c>
      <c r="K63" s="9" t="s">
        <v>19</v>
      </c>
      <c r="L63" s="7">
        <v>1869</v>
      </c>
      <c r="M63" s="6">
        <v>52</v>
      </c>
      <c r="N63" s="6" t="s">
        <v>1255</v>
      </c>
      <c r="O63" s="6" t="s">
        <v>50</v>
      </c>
      <c r="P63" s="6" t="s">
        <v>20</v>
      </c>
      <c r="Q63" s="18"/>
      <c r="R63" s="18"/>
      <c r="S63" s="18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.5" customHeight="1" x14ac:dyDescent="0.2">
      <c r="A64" s="7"/>
      <c r="B64" s="7"/>
      <c r="C64" s="7"/>
      <c r="D64" s="7"/>
      <c r="E64" s="7"/>
      <c r="F64" s="7"/>
      <c r="G64" s="7"/>
      <c r="H64" s="7" t="s">
        <v>1506</v>
      </c>
      <c r="I64" s="7" t="s">
        <v>1507</v>
      </c>
      <c r="J64" s="7" t="s">
        <v>26</v>
      </c>
      <c r="K64" s="7" t="s">
        <v>19</v>
      </c>
      <c r="L64" s="7">
        <v>1857</v>
      </c>
      <c r="M64" s="6">
        <v>64</v>
      </c>
      <c r="N64" s="6" t="s">
        <v>1508</v>
      </c>
      <c r="O64" s="6" t="s">
        <v>20</v>
      </c>
      <c r="P64" s="6" t="s">
        <v>29</v>
      </c>
      <c r="Q64" s="7"/>
      <c r="R64" s="6"/>
      <c r="S64" s="6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7"/>
      <c r="B65" s="7"/>
      <c r="C65" s="7"/>
      <c r="D65" s="7"/>
      <c r="E65" s="7"/>
      <c r="F65" s="7"/>
      <c r="G65" s="7"/>
      <c r="H65" s="7" t="s">
        <v>90</v>
      </c>
      <c r="I65" s="7" t="s">
        <v>1509</v>
      </c>
      <c r="J65" s="7" t="s">
        <v>26</v>
      </c>
      <c r="K65" s="7" t="s">
        <v>19</v>
      </c>
      <c r="L65" s="7">
        <v>1898</v>
      </c>
      <c r="M65" s="6">
        <v>22</v>
      </c>
      <c r="N65" s="6" t="s">
        <v>356</v>
      </c>
      <c r="O65" s="6" t="s">
        <v>20</v>
      </c>
      <c r="P65" s="6" t="s">
        <v>29</v>
      </c>
      <c r="Q65" s="6"/>
      <c r="R65" s="6"/>
      <c r="S65" s="6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6"/>
      <c r="N66" s="6"/>
      <c r="O66" s="6"/>
      <c r="P66" s="6"/>
      <c r="Q66" s="6"/>
      <c r="R66" s="6"/>
      <c r="S66" s="6"/>
      <c r="T66" s="7"/>
      <c r="U66" s="6"/>
      <c r="V66" s="6"/>
      <c r="W66" s="6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.5" customHeight="1" x14ac:dyDescent="0.2">
      <c r="A67" s="7"/>
      <c r="B67" s="7"/>
      <c r="C67" s="7"/>
      <c r="D67" s="7"/>
      <c r="E67" s="7"/>
      <c r="F67" s="7"/>
      <c r="G67" s="7"/>
      <c r="H67" s="7" t="s">
        <v>0</v>
      </c>
      <c r="I67" s="7" t="s">
        <v>1</v>
      </c>
      <c r="J67" s="7" t="s">
        <v>2</v>
      </c>
      <c r="K67" s="7" t="s">
        <v>3</v>
      </c>
      <c r="L67" s="7" t="s">
        <v>4</v>
      </c>
      <c r="M67" s="6" t="s">
        <v>5</v>
      </c>
      <c r="N67" s="6" t="s">
        <v>6</v>
      </c>
      <c r="O67" s="6" t="s">
        <v>7</v>
      </c>
      <c r="P67" s="6" t="s">
        <v>8</v>
      </c>
      <c r="Q67" s="7"/>
      <c r="R67" s="6"/>
      <c r="S67" s="6"/>
      <c r="T67" s="7"/>
      <c r="U67" s="6"/>
      <c r="V67" s="6"/>
      <c r="W67" s="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7"/>
      <c r="B68" s="7"/>
      <c r="C68" s="7"/>
      <c r="D68" s="7"/>
      <c r="E68" s="7"/>
      <c r="F68" s="7">
        <v>23</v>
      </c>
      <c r="G68" s="7"/>
      <c r="H68" s="7" t="s">
        <v>1510</v>
      </c>
      <c r="I68" s="7" t="s">
        <v>61</v>
      </c>
      <c r="J68" s="7" t="s">
        <v>12</v>
      </c>
      <c r="K68" s="7" t="s">
        <v>19</v>
      </c>
      <c r="L68" s="7">
        <v>1847</v>
      </c>
      <c r="M68" s="6">
        <v>74</v>
      </c>
      <c r="N68" s="6" t="s">
        <v>49</v>
      </c>
      <c r="O68" s="6" t="s">
        <v>20</v>
      </c>
      <c r="P68" s="6" t="s">
        <v>1511</v>
      </c>
      <c r="Q68" s="7"/>
      <c r="R68" s="6"/>
      <c r="S68" s="6"/>
      <c r="T68" s="7"/>
      <c r="U68" s="6"/>
      <c r="V68" s="6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.5" customHeight="1" x14ac:dyDescent="0.2">
      <c r="A69" s="7"/>
      <c r="B69" s="7"/>
      <c r="C69" s="7"/>
      <c r="D69" s="7"/>
      <c r="E69" s="7"/>
      <c r="F69" s="7"/>
      <c r="G69" s="7"/>
      <c r="H69" s="7" t="s">
        <v>1512</v>
      </c>
      <c r="I69" s="7" t="s">
        <v>1513</v>
      </c>
      <c r="J69" s="7" t="s">
        <v>148</v>
      </c>
      <c r="K69" s="7" t="s">
        <v>19</v>
      </c>
      <c r="L69" s="7">
        <v>1866</v>
      </c>
      <c r="M69" s="6">
        <v>55</v>
      </c>
      <c r="N69" s="6" t="s">
        <v>49</v>
      </c>
      <c r="O69" s="6" t="s">
        <v>20</v>
      </c>
      <c r="P69" s="6" t="s">
        <v>20</v>
      </c>
      <c r="Q69" s="7"/>
      <c r="R69" s="6"/>
      <c r="S69" s="6"/>
      <c r="T69" s="7"/>
      <c r="U69" s="6"/>
      <c r="V69" s="6"/>
      <c r="W69" s="6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.5" customHeight="1" x14ac:dyDescent="0.2">
      <c r="A70" s="7"/>
      <c r="B70" s="7"/>
      <c r="C70" s="7"/>
      <c r="D70" s="7"/>
      <c r="E70" s="7"/>
      <c r="F70" s="7"/>
      <c r="G70" s="7"/>
      <c r="H70" s="7" t="s">
        <v>1514</v>
      </c>
      <c r="I70" s="7" t="s">
        <v>1515</v>
      </c>
      <c r="J70" s="7" t="s">
        <v>437</v>
      </c>
      <c r="K70" s="7" t="s">
        <v>19</v>
      </c>
      <c r="L70" s="7">
        <v>1882</v>
      </c>
      <c r="M70" s="6">
        <v>38</v>
      </c>
      <c r="N70" s="6" t="s">
        <v>49</v>
      </c>
      <c r="O70" s="6" t="s">
        <v>20</v>
      </c>
      <c r="P70" s="6" t="s">
        <v>29</v>
      </c>
      <c r="Q70" s="7"/>
      <c r="R70" s="6"/>
      <c r="S70" s="6"/>
      <c r="T70" s="7"/>
      <c r="U70" s="6"/>
      <c r="V70" s="6"/>
      <c r="W70" s="6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" customHeight="1" x14ac:dyDescent="0.2">
      <c r="A71" s="7"/>
      <c r="B71" s="7"/>
      <c r="C71" s="7"/>
      <c r="D71" s="7"/>
      <c r="E71" s="7"/>
      <c r="F71" s="7"/>
      <c r="G71" s="7"/>
      <c r="H71" s="7" t="s">
        <v>422</v>
      </c>
      <c r="I71" s="7" t="s">
        <v>1391</v>
      </c>
      <c r="J71" s="7" t="s">
        <v>437</v>
      </c>
      <c r="K71" s="7" t="s">
        <v>19</v>
      </c>
      <c r="L71" s="7">
        <v>1882</v>
      </c>
      <c r="M71" s="7">
        <v>39</v>
      </c>
      <c r="N71" s="7" t="s">
        <v>49</v>
      </c>
      <c r="O71" s="7" t="s">
        <v>20</v>
      </c>
      <c r="P71" s="7" t="s">
        <v>29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.5" customHeight="1" x14ac:dyDescent="0.2">
      <c r="A72" s="7"/>
      <c r="B72" s="7"/>
      <c r="C72" s="7"/>
      <c r="D72" s="7"/>
      <c r="E72" s="7"/>
      <c r="F72" s="7"/>
      <c r="G72" s="7"/>
      <c r="H72" s="7" t="s">
        <v>1516</v>
      </c>
      <c r="I72" s="7" t="s">
        <v>1517</v>
      </c>
      <c r="J72" s="7" t="s">
        <v>437</v>
      </c>
      <c r="K72" s="7" t="s">
        <v>19</v>
      </c>
      <c r="L72" s="7">
        <v>1881</v>
      </c>
      <c r="M72" s="6">
        <v>40</v>
      </c>
      <c r="N72" s="6" t="s">
        <v>49</v>
      </c>
      <c r="O72" s="6" t="s">
        <v>20</v>
      </c>
      <c r="P72" s="6" t="s">
        <v>29</v>
      </c>
      <c r="Q72" s="7"/>
      <c r="R72" s="6"/>
      <c r="S72" s="6"/>
      <c r="T72" s="19"/>
      <c r="U72" s="6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7.5" customHeight="1" x14ac:dyDescent="0.2">
      <c r="A73" s="7"/>
      <c r="B73" s="7"/>
      <c r="C73" s="7"/>
      <c r="D73" s="7"/>
      <c r="E73" s="7"/>
      <c r="F73" s="7"/>
      <c r="G73" s="7"/>
      <c r="H73" s="7" t="s">
        <v>1518</v>
      </c>
      <c r="I73" s="7" t="s">
        <v>1519</v>
      </c>
      <c r="J73" s="7" t="s">
        <v>437</v>
      </c>
      <c r="K73" s="7" t="s">
        <v>19</v>
      </c>
      <c r="L73" s="7">
        <v>1899</v>
      </c>
      <c r="M73" s="6">
        <v>22</v>
      </c>
      <c r="N73" s="6" t="s">
        <v>49</v>
      </c>
      <c r="O73" s="6" t="s">
        <v>20</v>
      </c>
      <c r="P73" s="6" t="s">
        <v>29</v>
      </c>
      <c r="Q73" s="7"/>
      <c r="R73" s="6"/>
      <c r="S73" s="6"/>
      <c r="T73" s="7"/>
      <c r="U73" s="6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.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6"/>
      <c r="N74" s="6"/>
      <c r="O74" s="6"/>
      <c r="P74" s="6"/>
      <c r="Q74" s="7"/>
      <c r="R74" s="6"/>
      <c r="S74" s="6"/>
      <c r="T74" s="7"/>
      <c r="U74" s="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7"/>
      <c r="B75" s="7"/>
      <c r="C75" s="7"/>
      <c r="D75" s="7"/>
      <c r="E75" s="7"/>
      <c r="F75" s="7"/>
      <c r="G75" s="7"/>
      <c r="H75" s="7" t="s">
        <v>0</v>
      </c>
      <c r="I75" s="7" t="s">
        <v>1</v>
      </c>
      <c r="J75" s="7" t="s">
        <v>2</v>
      </c>
      <c r="K75" s="7" t="s">
        <v>3</v>
      </c>
      <c r="L75" s="7" t="s">
        <v>4</v>
      </c>
      <c r="M75" s="6" t="s">
        <v>5</v>
      </c>
      <c r="N75" s="6" t="s">
        <v>6</v>
      </c>
      <c r="O75" s="6" t="s">
        <v>7</v>
      </c>
      <c r="P75" s="6" t="s">
        <v>8</v>
      </c>
      <c r="Q75" s="7"/>
      <c r="R75" s="6"/>
      <c r="S75" s="6"/>
      <c r="T75" s="19"/>
      <c r="U75" s="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.5" customHeight="1" x14ac:dyDescent="0.2">
      <c r="A76" s="7"/>
      <c r="B76" s="7"/>
      <c r="C76" s="7"/>
      <c r="D76" s="7"/>
      <c r="E76" s="7"/>
      <c r="F76" s="7">
        <v>7</v>
      </c>
      <c r="G76" s="7"/>
      <c r="H76" s="7" t="s">
        <v>1974</v>
      </c>
      <c r="I76" s="7" t="s">
        <v>1975</v>
      </c>
      <c r="J76" s="7" t="s">
        <v>12</v>
      </c>
      <c r="K76" s="7" t="s">
        <v>13</v>
      </c>
      <c r="L76" s="7">
        <v>1867</v>
      </c>
      <c r="M76" s="6">
        <v>54</v>
      </c>
      <c r="N76" s="6" t="s">
        <v>1976</v>
      </c>
      <c r="O76" s="6" t="s">
        <v>1977</v>
      </c>
      <c r="P76" s="6" t="s">
        <v>8</v>
      </c>
      <c r="Q76" s="7" t="s">
        <v>1986</v>
      </c>
      <c r="R76" s="6"/>
      <c r="S76" s="6"/>
      <c r="T76" s="7"/>
      <c r="U76" s="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7"/>
      <c r="B77" s="7"/>
      <c r="C77" s="7"/>
      <c r="D77" s="7"/>
      <c r="E77" s="7"/>
      <c r="F77" s="7"/>
      <c r="G77" s="7"/>
      <c r="H77" s="7" t="s">
        <v>1978</v>
      </c>
      <c r="I77" s="7" t="s">
        <v>1975</v>
      </c>
      <c r="J77" s="7" t="s">
        <v>18</v>
      </c>
      <c r="K77" s="7" t="s">
        <v>19</v>
      </c>
      <c r="L77" s="7">
        <v>1870</v>
      </c>
      <c r="M77" s="6">
        <v>51</v>
      </c>
      <c r="N77" s="6" t="s">
        <v>49</v>
      </c>
      <c r="O77" s="6" t="s">
        <v>20</v>
      </c>
      <c r="P77" s="6" t="s">
        <v>20</v>
      </c>
      <c r="Q77" s="7"/>
      <c r="R77" s="6"/>
      <c r="S77" s="6"/>
      <c r="T77" s="7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.5" customHeight="1" x14ac:dyDescent="0.2">
      <c r="A78" s="7"/>
      <c r="B78" s="7"/>
      <c r="C78" s="7"/>
      <c r="D78" s="7"/>
      <c r="E78" s="7"/>
      <c r="F78" s="7"/>
      <c r="G78" s="7"/>
      <c r="H78" s="7" t="s">
        <v>1979</v>
      </c>
      <c r="I78" s="7" t="s">
        <v>1975</v>
      </c>
      <c r="J78" s="7" t="s">
        <v>22</v>
      </c>
      <c r="K78" s="7" t="s">
        <v>19</v>
      </c>
      <c r="L78" s="7">
        <v>1892</v>
      </c>
      <c r="M78" s="6">
        <v>28</v>
      </c>
      <c r="N78" s="6" t="s">
        <v>49</v>
      </c>
      <c r="O78" s="6" t="s">
        <v>20</v>
      </c>
      <c r="P78" s="6" t="s">
        <v>20</v>
      </c>
      <c r="Q78" s="7"/>
      <c r="R78" s="6"/>
      <c r="S78" s="6"/>
      <c r="T78" s="7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" customHeight="1" x14ac:dyDescent="0.2">
      <c r="A79" s="4" t="s">
        <v>252</v>
      </c>
      <c r="B79" s="7"/>
      <c r="C79" s="7"/>
      <c r="D79" s="7"/>
      <c r="E79" s="7"/>
      <c r="F79" s="7"/>
      <c r="G79" s="7"/>
      <c r="H79" s="7" t="s">
        <v>1980</v>
      </c>
      <c r="I79" s="7" t="s">
        <v>1975</v>
      </c>
      <c r="J79" s="7" t="s">
        <v>22</v>
      </c>
      <c r="K79" s="7" t="s">
        <v>19</v>
      </c>
      <c r="L79" s="7">
        <v>1896</v>
      </c>
      <c r="M79" s="7">
        <v>24</v>
      </c>
      <c r="N79" s="7" t="s">
        <v>49</v>
      </c>
      <c r="O79" s="7" t="s">
        <v>20</v>
      </c>
      <c r="P79" s="7" t="s">
        <v>20</v>
      </c>
      <c r="Q79" s="7" t="e">
        <f t="shared" ref="Q79:W79" si="1">SUM(Q23:Q78)</f>
        <v>#VALUE!</v>
      </c>
      <c r="R79" s="7">
        <f t="shared" si="1"/>
        <v>2</v>
      </c>
      <c r="S79" s="7">
        <f>SUM(S26:S78)</f>
        <v>60</v>
      </c>
      <c r="T79" s="7">
        <f>SUM(T26:T78)</f>
        <v>4344.0123249299713</v>
      </c>
      <c r="U79" s="7">
        <f>SUM(U26:U78)</f>
        <v>0</v>
      </c>
      <c r="V79" s="7">
        <f>SUM(V26:V78)</f>
        <v>0</v>
      </c>
      <c r="W79" s="7">
        <f t="shared" si="1"/>
        <v>0</v>
      </c>
      <c r="X79" s="7"/>
      <c r="Y79" s="7"/>
      <c r="Z79" s="7">
        <f>SUM(Z23:Z78)</f>
        <v>0</v>
      </c>
      <c r="AA79" s="7">
        <f>SUM(AA26:AA78)</f>
        <v>0</v>
      </c>
      <c r="AB79" s="7">
        <f>SUM(AB26:AB78)</f>
        <v>0</v>
      </c>
      <c r="AC79" s="7">
        <f>SUM(AC23:AC78)</f>
        <v>80</v>
      </c>
      <c r="AD79" s="7">
        <f>SUM(AD23:AD78)</f>
        <v>4</v>
      </c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7" customHeight="1" x14ac:dyDescent="0.2">
      <c r="A80" s="7"/>
      <c r="B80" s="7"/>
      <c r="C80" s="7"/>
      <c r="D80" s="7"/>
      <c r="E80" s="7"/>
      <c r="F80" s="7"/>
      <c r="G80" s="7"/>
      <c r="H80" s="7" t="s">
        <v>1981</v>
      </c>
      <c r="I80" s="7" t="s">
        <v>1982</v>
      </c>
      <c r="J80" s="7" t="s">
        <v>26</v>
      </c>
      <c r="K80" s="7" t="s">
        <v>19</v>
      </c>
      <c r="L80" s="7">
        <v>1871</v>
      </c>
      <c r="M80" s="7">
        <v>49</v>
      </c>
      <c r="N80" s="7" t="s">
        <v>925</v>
      </c>
      <c r="O80" s="7" t="s">
        <v>33</v>
      </c>
      <c r="P80" s="7" t="s">
        <v>29</v>
      </c>
      <c r="Q80" s="20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" customHeight="1" x14ac:dyDescent="0.2">
      <c r="A81" s="7"/>
      <c r="B81" s="7"/>
      <c r="C81" s="7"/>
      <c r="D81" s="7"/>
      <c r="E81" s="7"/>
      <c r="F81" s="7"/>
      <c r="G81" s="21"/>
      <c r="H81" s="21" t="s">
        <v>1983</v>
      </c>
      <c r="I81" s="21" t="s">
        <v>1984</v>
      </c>
      <c r="J81" s="7" t="s">
        <v>26</v>
      </c>
      <c r="K81" s="7" t="s">
        <v>19</v>
      </c>
      <c r="L81" s="7">
        <v>1918</v>
      </c>
      <c r="M81" s="7">
        <v>3</v>
      </c>
      <c r="N81" s="7" t="s">
        <v>1985</v>
      </c>
      <c r="O81" s="7" t="s">
        <v>28</v>
      </c>
      <c r="P81" s="7" t="s">
        <v>29</v>
      </c>
      <c r="Q81" s="20"/>
      <c r="R81" s="21"/>
      <c r="S81" s="21"/>
      <c r="T81" s="2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7.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6"/>
      <c r="S82" s="6"/>
      <c r="T82" s="19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7" customHeight="1" x14ac:dyDescent="0.2">
      <c r="A83" s="7"/>
      <c r="B83" s="7"/>
      <c r="C83" s="7"/>
      <c r="D83" s="7"/>
      <c r="E83" s="7"/>
      <c r="F83" s="7"/>
      <c r="G83" s="7"/>
      <c r="H83" s="7" t="s">
        <v>0</v>
      </c>
      <c r="I83" s="7" t="s">
        <v>1</v>
      </c>
      <c r="J83" s="7" t="s">
        <v>2</v>
      </c>
      <c r="K83" s="7" t="s">
        <v>3</v>
      </c>
      <c r="L83" s="7" t="s">
        <v>4</v>
      </c>
      <c r="M83" s="7" t="s">
        <v>5</v>
      </c>
      <c r="N83" s="7" t="s">
        <v>6</v>
      </c>
      <c r="O83" s="7" t="s">
        <v>7</v>
      </c>
      <c r="P83" s="7" t="s">
        <v>8</v>
      </c>
      <c r="Q83" s="7"/>
      <c r="R83" s="21"/>
      <c r="S83" s="21"/>
      <c r="T83" s="21"/>
      <c r="U83" s="7"/>
      <c r="V83" s="7"/>
      <c r="W83" s="7"/>
      <c r="X83" s="7"/>
      <c r="Y83" s="7"/>
      <c r="Z83" s="7"/>
      <c r="AA83" s="7"/>
      <c r="AB83" s="7"/>
      <c r="AC83" s="22"/>
      <c r="AD83" s="22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17.5" customHeight="1" x14ac:dyDescent="0.2">
      <c r="A84" s="7"/>
      <c r="B84" s="7"/>
      <c r="C84" s="7"/>
      <c r="D84" s="7"/>
      <c r="E84" s="7"/>
      <c r="F84" s="7">
        <v>21</v>
      </c>
      <c r="G84" s="7"/>
      <c r="H84" s="7" t="s">
        <v>1987</v>
      </c>
      <c r="I84" s="7" t="s">
        <v>1258</v>
      </c>
      <c r="J84" s="7" t="s">
        <v>12</v>
      </c>
      <c r="K84" s="7" t="s">
        <v>19</v>
      </c>
      <c r="L84" s="7">
        <v>1838</v>
      </c>
      <c r="M84" s="7">
        <v>82</v>
      </c>
      <c r="N84" s="7" t="s">
        <v>49</v>
      </c>
      <c r="O84" s="7" t="s">
        <v>1988</v>
      </c>
      <c r="P84" s="7" t="s">
        <v>20</v>
      </c>
      <c r="Q84" s="7"/>
      <c r="R84" s="6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">
      <c r="H85" t="s">
        <v>1989</v>
      </c>
      <c r="I85" t="s">
        <v>1990</v>
      </c>
      <c r="J85" t="s">
        <v>33</v>
      </c>
      <c r="K85" t="s">
        <v>19</v>
      </c>
      <c r="L85">
        <v>1893</v>
      </c>
      <c r="M85">
        <v>28</v>
      </c>
      <c r="N85" t="s">
        <v>1991</v>
      </c>
      <c r="O85" t="s">
        <v>56</v>
      </c>
      <c r="P85" t="s">
        <v>20</v>
      </c>
    </row>
    <row r="86" spans="1:51" x14ac:dyDescent="0.2">
      <c r="H86" t="s">
        <v>1992</v>
      </c>
      <c r="I86" t="s">
        <v>1993</v>
      </c>
      <c r="J86" t="s">
        <v>28</v>
      </c>
      <c r="K86" t="s">
        <v>19</v>
      </c>
      <c r="L86">
        <v>1904</v>
      </c>
      <c r="M86">
        <v>16</v>
      </c>
      <c r="N86" t="s">
        <v>1994</v>
      </c>
      <c r="O86" t="s">
        <v>56</v>
      </c>
      <c r="P86" t="s">
        <v>20</v>
      </c>
    </row>
    <row r="90" spans="1:51" x14ac:dyDescent="0.2">
      <c r="H90" t="s">
        <v>0</v>
      </c>
      <c r="I90" t="s">
        <v>1</v>
      </c>
      <c r="J90" t="s">
        <v>2</v>
      </c>
      <c r="K90" t="s">
        <v>3</v>
      </c>
      <c r="L90" t="s">
        <v>4</v>
      </c>
      <c r="M90" t="s">
        <v>5</v>
      </c>
      <c r="N90" t="s">
        <v>6</v>
      </c>
      <c r="O90" t="s">
        <v>7</v>
      </c>
      <c r="P90" t="s">
        <v>8</v>
      </c>
    </row>
    <row r="91" spans="1:51" x14ac:dyDescent="0.2">
      <c r="H91" t="s">
        <v>453</v>
      </c>
      <c r="I91" t="s">
        <v>454</v>
      </c>
      <c r="J91" t="s">
        <v>12</v>
      </c>
      <c r="K91" t="s">
        <v>13</v>
      </c>
      <c r="L91">
        <v>1845</v>
      </c>
      <c r="M91">
        <v>75</v>
      </c>
      <c r="N91" t="s">
        <v>455</v>
      </c>
      <c r="O91" t="s">
        <v>456</v>
      </c>
      <c r="P91" t="s">
        <v>20</v>
      </c>
    </row>
    <row r="92" spans="1:51" x14ac:dyDescent="0.2">
      <c r="H92" t="s">
        <v>457</v>
      </c>
      <c r="I92" t="s">
        <v>454</v>
      </c>
      <c r="J92" t="s">
        <v>22</v>
      </c>
      <c r="K92" t="s">
        <v>19</v>
      </c>
      <c r="L92">
        <v>1884</v>
      </c>
      <c r="M92">
        <v>36</v>
      </c>
      <c r="N92" t="s">
        <v>458</v>
      </c>
      <c r="O92" t="s">
        <v>50</v>
      </c>
      <c r="P92" t="s">
        <v>29</v>
      </c>
    </row>
    <row r="93" spans="1:51" x14ac:dyDescent="0.2">
      <c r="H93" t="s">
        <v>459</v>
      </c>
      <c r="I93" t="s">
        <v>460</v>
      </c>
      <c r="J93" t="s">
        <v>265</v>
      </c>
      <c r="K93" t="s">
        <v>19</v>
      </c>
      <c r="L93">
        <v>1897</v>
      </c>
      <c r="M93">
        <v>23</v>
      </c>
      <c r="N93" t="s">
        <v>461</v>
      </c>
      <c r="O93" t="s">
        <v>33</v>
      </c>
      <c r="P93" t="s">
        <v>29</v>
      </c>
    </row>
    <row r="94" spans="1:51" x14ac:dyDescent="0.2">
      <c r="H94" t="s">
        <v>462</v>
      </c>
      <c r="I94" t="s">
        <v>463</v>
      </c>
      <c r="J94" t="s">
        <v>265</v>
      </c>
      <c r="K94" t="s">
        <v>19</v>
      </c>
      <c r="L94">
        <v>1902</v>
      </c>
      <c r="M94">
        <v>18</v>
      </c>
      <c r="N94" t="s">
        <v>14</v>
      </c>
      <c r="O94" t="s">
        <v>137</v>
      </c>
      <c r="P94" t="s">
        <v>29</v>
      </c>
    </row>
    <row r="96" spans="1:51" x14ac:dyDescent="0.2">
      <c r="H96" t="s">
        <v>0</v>
      </c>
      <c r="I96" t="s">
        <v>1</v>
      </c>
      <c r="J96" t="s">
        <v>2</v>
      </c>
      <c r="K96" t="s">
        <v>3</v>
      </c>
      <c r="L96" t="s">
        <v>4</v>
      </c>
      <c r="M96" t="s">
        <v>5</v>
      </c>
      <c r="N96" t="s">
        <v>6</v>
      </c>
      <c r="O96" t="s">
        <v>7</v>
      </c>
      <c r="P96" t="s">
        <v>8</v>
      </c>
    </row>
    <row r="97" spans="8:16" x14ac:dyDescent="0.2">
      <c r="H97" t="s">
        <v>464</v>
      </c>
      <c r="I97" t="s">
        <v>465</v>
      </c>
      <c r="J97" t="s">
        <v>12</v>
      </c>
      <c r="K97" t="s">
        <v>13</v>
      </c>
      <c r="L97">
        <v>1863</v>
      </c>
      <c r="M97">
        <v>57</v>
      </c>
      <c r="N97" t="s">
        <v>14</v>
      </c>
      <c r="O97" t="s">
        <v>466</v>
      </c>
      <c r="P97" t="s">
        <v>16</v>
      </c>
    </row>
    <row r="98" spans="8:16" x14ac:dyDescent="0.2">
      <c r="H98" t="s">
        <v>467</v>
      </c>
      <c r="I98" t="s">
        <v>465</v>
      </c>
      <c r="J98" t="s">
        <v>18</v>
      </c>
      <c r="K98" t="s">
        <v>19</v>
      </c>
      <c r="L98">
        <v>1867</v>
      </c>
      <c r="M98">
        <v>53</v>
      </c>
      <c r="N98" t="s">
        <v>145</v>
      </c>
      <c r="O98" t="s">
        <v>468</v>
      </c>
      <c r="P98" t="s">
        <v>20</v>
      </c>
    </row>
    <row r="99" spans="8:16" x14ac:dyDescent="0.2">
      <c r="H99" t="s">
        <v>469</v>
      </c>
      <c r="I99" t="s">
        <v>470</v>
      </c>
      <c r="J99" t="s">
        <v>12</v>
      </c>
      <c r="K99" t="s">
        <v>13</v>
      </c>
      <c r="L99">
        <v>1894</v>
      </c>
      <c r="M99">
        <v>27</v>
      </c>
      <c r="N99" t="s">
        <v>471</v>
      </c>
      <c r="O99" t="s">
        <v>472</v>
      </c>
      <c r="P99" t="s">
        <v>473</v>
      </c>
    </row>
    <row r="100" spans="8:16" x14ac:dyDescent="0.2">
      <c r="H100" t="s">
        <v>474</v>
      </c>
      <c r="I100" t="s">
        <v>470</v>
      </c>
      <c r="J100" t="s">
        <v>18</v>
      </c>
      <c r="K100" t="s">
        <v>19</v>
      </c>
      <c r="L100">
        <v>1895</v>
      </c>
      <c r="M100">
        <v>26</v>
      </c>
      <c r="N100" t="s">
        <v>14</v>
      </c>
      <c r="O100" t="s">
        <v>468</v>
      </c>
      <c r="P100" t="s">
        <v>20</v>
      </c>
    </row>
    <row r="101" spans="8:16" x14ac:dyDescent="0.2">
      <c r="H101" t="s">
        <v>475</v>
      </c>
      <c r="I101" t="s">
        <v>476</v>
      </c>
      <c r="J101" t="s">
        <v>477</v>
      </c>
      <c r="K101" t="s">
        <v>19</v>
      </c>
      <c r="L101">
        <v>1889</v>
      </c>
      <c r="M101">
        <v>31</v>
      </c>
      <c r="N101" t="s">
        <v>20</v>
      </c>
      <c r="O101" t="s">
        <v>360</v>
      </c>
      <c r="P101" t="s">
        <v>29</v>
      </c>
    </row>
    <row r="102" spans="8:16" x14ac:dyDescent="0.2">
      <c r="H102" t="s">
        <v>478</v>
      </c>
      <c r="I102" t="s">
        <v>479</v>
      </c>
      <c r="J102" t="s">
        <v>480</v>
      </c>
      <c r="K102" t="s">
        <v>19</v>
      </c>
      <c r="L102">
        <v>1898</v>
      </c>
      <c r="M102">
        <v>22</v>
      </c>
      <c r="N102" t="s">
        <v>481</v>
      </c>
      <c r="O102" t="s">
        <v>33</v>
      </c>
      <c r="P102" t="s">
        <v>29</v>
      </c>
    </row>
    <row r="103" spans="8:16" x14ac:dyDescent="0.2">
      <c r="H103" t="s">
        <v>482</v>
      </c>
      <c r="I103" t="s">
        <v>483</v>
      </c>
      <c r="J103" t="s">
        <v>208</v>
      </c>
      <c r="K103" t="s">
        <v>19</v>
      </c>
      <c r="L103">
        <v>1878</v>
      </c>
      <c r="M103">
        <v>43</v>
      </c>
      <c r="N103" t="s">
        <v>484</v>
      </c>
      <c r="O103" t="s">
        <v>485</v>
      </c>
      <c r="P103" t="s">
        <v>29</v>
      </c>
    </row>
    <row r="105" spans="8:16" x14ac:dyDescent="0.2">
      <c r="H105" t="s">
        <v>0</v>
      </c>
      <c r="I105" t="s">
        <v>1</v>
      </c>
      <c r="J105" t="s">
        <v>2</v>
      </c>
      <c r="K105" t="s">
        <v>3</v>
      </c>
      <c r="L105" t="s">
        <v>4</v>
      </c>
      <c r="M105" t="s">
        <v>5</v>
      </c>
      <c r="N105" t="s">
        <v>6</v>
      </c>
      <c r="O105" t="s">
        <v>7</v>
      </c>
      <c r="P105" t="s">
        <v>8</v>
      </c>
    </row>
    <row r="106" spans="8:16" x14ac:dyDescent="0.2">
      <c r="H106" t="s">
        <v>486</v>
      </c>
      <c r="I106" t="s">
        <v>487</v>
      </c>
      <c r="J106" t="s">
        <v>12</v>
      </c>
      <c r="K106" t="s">
        <v>19</v>
      </c>
      <c r="L106">
        <v>1861</v>
      </c>
      <c r="M106">
        <v>60</v>
      </c>
      <c r="N106" t="s">
        <v>488</v>
      </c>
      <c r="O106" t="s">
        <v>489</v>
      </c>
      <c r="P106" t="s">
        <v>20</v>
      </c>
    </row>
    <row r="107" spans="8:16" x14ac:dyDescent="0.2">
      <c r="H107" t="s">
        <v>490</v>
      </c>
      <c r="I107" t="s">
        <v>491</v>
      </c>
      <c r="J107" t="s">
        <v>26</v>
      </c>
      <c r="K107" t="s">
        <v>19</v>
      </c>
      <c r="L107">
        <v>1882</v>
      </c>
      <c r="M107">
        <v>39</v>
      </c>
      <c r="N107" t="s">
        <v>88</v>
      </c>
      <c r="O107" t="s">
        <v>33</v>
      </c>
      <c r="P107" t="s">
        <v>29</v>
      </c>
    </row>
    <row r="108" spans="8:16" x14ac:dyDescent="0.2">
      <c r="H108" t="s">
        <v>492</v>
      </c>
      <c r="I108" t="s">
        <v>493</v>
      </c>
      <c r="J108" t="s">
        <v>26</v>
      </c>
      <c r="K108" t="s">
        <v>19</v>
      </c>
      <c r="L108">
        <v>1901</v>
      </c>
      <c r="M108">
        <v>20</v>
      </c>
      <c r="N108" t="s">
        <v>494</v>
      </c>
      <c r="O108" t="s">
        <v>137</v>
      </c>
      <c r="P108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C87B-E11A-3C48-8C7C-20692FEECD1B}">
  <dimension ref="A1:BC41"/>
  <sheetViews>
    <sheetView workbookViewId="0">
      <selection activeCell="A17" sqref="A17:XFD17"/>
    </sheetView>
  </sheetViews>
  <sheetFormatPr baseColWidth="10" defaultColWidth="10.83203125" defaultRowHeight="16" x14ac:dyDescent="0.2"/>
  <cols>
    <col min="4" max="4" width="17.83203125" customWidth="1"/>
    <col min="5" max="5" width="10.83203125" customWidth="1"/>
    <col min="6" max="6" width="9.83203125" customWidth="1"/>
    <col min="11" max="11" width="7.3320312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40.6640625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577</v>
      </c>
      <c r="B3" s="9">
        <v>1921</v>
      </c>
      <c r="C3" s="7">
        <v>1</v>
      </c>
      <c r="D3" s="7" t="s">
        <v>1541</v>
      </c>
      <c r="E3" s="7"/>
      <c r="F3" s="6"/>
      <c r="G3" s="6" t="s">
        <v>1521</v>
      </c>
      <c r="H3" s="6" t="s">
        <v>758</v>
      </c>
      <c r="I3">
        <v>1</v>
      </c>
      <c r="J3" s="230" t="s">
        <v>13</v>
      </c>
      <c r="K3">
        <v>1</v>
      </c>
      <c r="N3" s="6" t="s">
        <v>51</v>
      </c>
      <c r="Q3">
        <v>1</v>
      </c>
      <c r="T3" s="232">
        <v>34</v>
      </c>
      <c r="X3" s="231">
        <v>1886</v>
      </c>
      <c r="Y3" s="5"/>
      <c r="Z3" s="5"/>
      <c r="AA3" s="6" t="s">
        <v>1523</v>
      </c>
      <c r="AB3" s="6" t="s">
        <v>16</v>
      </c>
      <c r="AC3" s="5"/>
      <c r="AD3" s="5"/>
      <c r="AE3" s="7"/>
      <c r="AF3" s="7"/>
      <c r="AG3" s="6" t="s">
        <v>1522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577</v>
      </c>
      <c r="B4" s="9">
        <v>1921</v>
      </c>
      <c r="C4" s="7">
        <v>1</v>
      </c>
      <c r="D4" s="7" t="s">
        <v>1541</v>
      </c>
      <c r="E4" s="7"/>
      <c r="F4" s="7"/>
      <c r="G4" s="7" t="s">
        <v>1525</v>
      </c>
      <c r="H4" s="7" t="s">
        <v>1524</v>
      </c>
      <c r="I4">
        <v>2</v>
      </c>
      <c r="J4" s="7">
        <v>1</v>
      </c>
      <c r="N4" s="7" t="s">
        <v>52</v>
      </c>
      <c r="S4">
        <v>1</v>
      </c>
      <c r="T4" s="7">
        <v>61</v>
      </c>
      <c r="X4" s="9">
        <v>1860</v>
      </c>
      <c r="Y4" s="7"/>
      <c r="Z4" s="7"/>
      <c r="AA4" s="6" t="s">
        <v>52</v>
      </c>
      <c r="AB4" s="6" t="s">
        <v>29</v>
      </c>
      <c r="AC4" s="7"/>
      <c r="AD4" s="7"/>
      <c r="AE4" s="7"/>
      <c r="AF4" s="7">
        <v>1</v>
      </c>
      <c r="AG4" s="6" t="s">
        <v>14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577</v>
      </c>
      <c r="B5" s="9">
        <v>1921</v>
      </c>
      <c r="C5" s="7"/>
      <c r="D5" s="7" t="s">
        <v>1541</v>
      </c>
      <c r="E5" s="7"/>
      <c r="F5" s="7"/>
      <c r="G5" s="7"/>
      <c r="H5" s="7">
        <v>2</v>
      </c>
      <c r="J5" s="7"/>
      <c r="N5" s="7"/>
      <c r="T5" s="7"/>
      <c r="X5" s="7"/>
      <c r="Y5" s="7"/>
      <c r="Z5" s="7"/>
      <c r="AA5" s="6"/>
      <c r="AB5" s="6"/>
      <c r="AC5" s="7"/>
      <c r="AD5" s="7"/>
      <c r="AE5" s="7"/>
      <c r="AF5" s="7"/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577</v>
      </c>
      <c r="B6" s="9">
        <v>1921</v>
      </c>
      <c r="C6" s="7"/>
      <c r="D6" s="7" t="s">
        <v>1541</v>
      </c>
      <c r="E6" s="7"/>
      <c r="F6" s="7"/>
      <c r="G6" s="7" t="s">
        <v>1</v>
      </c>
      <c r="H6" s="7" t="s">
        <v>0</v>
      </c>
      <c r="J6" s="7" t="s">
        <v>3</v>
      </c>
      <c r="N6" s="7" t="s">
        <v>2</v>
      </c>
      <c r="T6" s="7" t="s">
        <v>5</v>
      </c>
      <c r="X6" s="7" t="s">
        <v>4</v>
      </c>
      <c r="Y6" s="7"/>
      <c r="Z6" s="7"/>
      <c r="AA6" s="6" t="s">
        <v>7</v>
      </c>
      <c r="AB6" s="6" t="s">
        <v>8</v>
      </c>
      <c r="AC6" s="7"/>
      <c r="AD6" s="7"/>
      <c r="AE6" s="7"/>
      <c r="AF6" s="7"/>
      <c r="AG6" s="6" t="s">
        <v>6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577</v>
      </c>
      <c r="B7" s="9">
        <v>1921</v>
      </c>
      <c r="C7" s="7">
        <v>2</v>
      </c>
      <c r="D7" s="7" t="s">
        <v>1541</v>
      </c>
      <c r="E7" s="7"/>
      <c r="F7" s="7">
        <v>1</v>
      </c>
      <c r="G7" s="7" t="s">
        <v>1527</v>
      </c>
      <c r="H7" s="7" t="s">
        <v>1526</v>
      </c>
      <c r="I7">
        <v>3</v>
      </c>
      <c r="J7" s="7">
        <v>1</v>
      </c>
      <c r="N7" s="7">
        <v>1</v>
      </c>
      <c r="T7" s="7">
        <v>48</v>
      </c>
      <c r="X7" s="7">
        <v>1872</v>
      </c>
      <c r="Y7" s="7"/>
      <c r="Z7" s="7"/>
      <c r="AA7" s="6" t="s">
        <v>1511</v>
      </c>
      <c r="AB7" s="6" t="s">
        <v>20</v>
      </c>
      <c r="AC7" s="7"/>
      <c r="AD7" s="7"/>
      <c r="AE7" s="7"/>
      <c r="AF7" s="7">
        <v>1</v>
      </c>
      <c r="AG7" s="6" t="s">
        <v>49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577</v>
      </c>
      <c r="B8" s="9">
        <v>1921</v>
      </c>
      <c r="C8" s="7">
        <v>2</v>
      </c>
      <c r="D8" s="7" t="s">
        <v>1541</v>
      </c>
      <c r="E8" s="7"/>
      <c r="F8" s="7"/>
      <c r="G8" s="7" t="s">
        <v>1527</v>
      </c>
      <c r="H8" s="7" t="s">
        <v>1528</v>
      </c>
      <c r="I8">
        <v>4</v>
      </c>
      <c r="J8" s="7">
        <v>1</v>
      </c>
      <c r="N8" s="7" t="s">
        <v>22</v>
      </c>
      <c r="P8">
        <v>1</v>
      </c>
      <c r="T8" s="7">
        <v>23</v>
      </c>
      <c r="X8" s="7">
        <v>1898</v>
      </c>
      <c r="Y8" s="7"/>
      <c r="Z8" s="7"/>
      <c r="AA8" s="6" t="s">
        <v>20</v>
      </c>
      <c r="AB8" s="6" t="s">
        <v>20</v>
      </c>
      <c r="AC8" s="7"/>
      <c r="AD8" s="7"/>
      <c r="AE8" s="7"/>
      <c r="AF8" s="7">
        <v>1</v>
      </c>
      <c r="AG8" s="6" t="s">
        <v>49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577</v>
      </c>
      <c r="B9" s="9">
        <v>1921</v>
      </c>
      <c r="C9" s="7">
        <v>2</v>
      </c>
      <c r="D9" s="7" t="s">
        <v>1541</v>
      </c>
      <c r="E9" s="7"/>
      <c r="F9" s="7"/>
      <c r="G9" s="7" t="s">
        <v>1527</v>
      </c>
      <c r="H9" s="7" t="s">
        <v>1529</v>
      </c>
      <c r="I9">
        <v>5</v>
      </c>
      <c r="J9" s="7">
        <v>1</v>
      </c>
      <c r="N9" s="7" t="s">
        <v>22</v>
      </c>
      <c r="P9">
        <v>1</v>
      </c>
      <c r="T9" s="7">
        <v>20</v>
      </c>
      <c r="X9" s="7">
        <v>1900</v>
      </c>
      <c r="Y9" s="7"/>
      <c r="Z9" s="7"/>
      <c r="AA9" s="6" t="s">
        <v>1530</v>
      </c>
      <c r="AB9" s="6" t="s">
        <v>1531</v>
      </c>
      <c r="AC9" s="7"/>
      <c r="AD9" s="7"/>
      <c r="AE9" s="7"/>
      <c r="AF9" s="7">
        <v>1</v>
      </c>
      <c r="AG9" s="6" t="s">
        <v>49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577</v>
      </c>
      <c r="B10" s="9">
        <v>1921</v>
      </c>
      <c r="C10" s="7">
        <v>2</v>
      </c>
      <c r="D10" s="7" t="s">
        <v>1541</v>
      </c>
      <c r="E10" s="7"/>
      <c r="F10" s="7"/>
      <c r="G10" s="7" t="s">
        <v>1532</v>
      </c>
      <c r="H10" s="7" t="s">
        <v>203</v>
      </c>
      <c r="I10">
        <v>6</v>
      </c>
      <c r="J10" s="7">
        <v>1</v>
      </c>
      <c r="N10" s="7" t="s">
        <v>26</v>
      </c>
      <c r="S10">
        <v>1</v>
      </c>
      <c r="T10" s="7">
        <v>40</v>
      </c>
      <c r="X10" s="7">
        <v>1880</v>
      </c>
      <c r="Y10" s="7"/>
      <c r="Z10" s="7"/>
      <c r="AA10" s="6" t="s">
        <v>33</v>
      </c>
      <c r="AB10" s="6" t="s">
        <v>1534</v>
      </c>
      <c r="AC10" s="7"/>
      <c r="AD10" s="7"/>
      <c r="AE10" s="7"/>
      <c r="AF10" s="7"/>
      <c r="AG10" s="6" t="s">
        <v>1533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577</v>
      </c>
      <c r="B11" s="9">
        <v>1921</v>
      </c>
      <c r="C11" s="7"/>
      <c r="D11" s="7" t="s">
        <v>1541</v>
      </c>
      <c r="E11" s="7"/>
      <c r="F11" s="7"/>
      <c r="G11" s="7"/>
      <c r="H11" s="7">
        <v>4</v>
      </c>
      <c r="J11" s="7"/>
      <c r="N11" s="7"/>
      <c r="T11" s="7"/>
      <c r="X11" s="7"/>
      <c r="Y11" s="7"/>
      <c r="Z11" s="7"/>
      <c r="AA11" s="6"/>
      <c r="AB11" s="6"/>
      <c r="AC11" s="7"/>
      <c r="AD11" s="7"/>
      <c r="AE11" s="7"/>
      <c r="AF11" s="7"/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577</v>
      </c>
      <c r="B12" s="9">
        <v>1921</v>
      </c>
      <c r="C12" s="7"/>
      <c r="D12" s="7" t="s">
        <v>1541</v>
      </c>
      <c r="E12" s="7"/>
      <c r="F12" s="7"/>
      <c r="G12" s="7" t="s">
        <v>1</v>
      </c>
      <c r="H12" s="7" t="s">
        <v>0</v>
      </c>
      <c r="J12" s="7" t="s">
        <v>3</v>
      </c>
      <c r="N12" s="7" t="s">
        <v>2</v>
      </c>
      <c r="T12" s="7" t="s">
        <v>5</v>
      </c>
      <c r="X12" s="7" t="s">
        <v>4</v>
      </c>
      <c r="Y12" s="7">
        <f t="shared" ref="Y12:AD12" si="0">SUM(Y3:Y11)</f>
        <v>0</v>
      </c>
      <c r="Z12" s="7">
        <f t="shared" si="0"/>
        <v>0</v>
      </c>
      <c r="AA12" s="7" t="s">
        <v>7</v>
      </c>
      <c r="AB12" s="7" t="s">
        <v>8</v>
      </c>
      <c r="AC12" s="7">
        <f t="shared" si="0"/>
        <v>0</v>
      </c>
      <c r="AD12" s="7">
        <f t="shared" si="0"/>
        <v>0</v>
      </c>
      <c r="AE12" s="7"/>
      <c r="AF12" s="7"/>
      <c r="AG12" s="7" t="s">
        <v>6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577</v>
      </c>
      <c r="B13" s="9">
        <v>1921</v>
      </c>
      <c r="C13" s="7">
        <v>3</v>
      </c>
      <c r="D13" s="7" t="s">
        <v>1541</v>
      </c>
      <c r="E13" s="7"/>
      <c r="F13" s="7">
        <v>3</v>
      </c>
      <c r="G13" s="7" t="s">
        <v>1536</v>
      </c>
      <c r="H13" s="7" t="s">
        <v>1535</v>
      </c>
      <c r="I13">
        <v>7</v>
      </c>
      <c r="J13" s="7" t="s">
        <v>13</v>
      </c>
      <c r="K13">
        <v>1</v>
      </c>
      <c r="N13" s="7">
        <v>1</v>
      </c>
      <c r="T13" s="7">
        <v>60</v>
      </c>
      <c r="X13" s="7">
        <v>1861</v>
      </c>
      <c r="Y13" s="7"/>
      <c r="Z13" s="7"/>
      <c r="AA13" s="6" t="s">
        <v>15</v>
      </c>
      <c r="AB13" s="6" t="s">
        <v>16</v>
      </c>
      <c r="AC13" s="7"/>
      <c r="AD13" s="7"/>
      <c r="AE13" s="7"/>
      <c r="AF13" s="7">
        <v>1</v>
      </c>
      <c r="AG13" s="6" t="s">
        <v>14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577</v>
      </c>
      <c r="B14" s="9">
        <v>1921</v>
      </c>
      <c r="C14" s="7">
        <v>3</v>
      </c>
      <c r="D14" s="7" t="s">
        <v>1541</v>
      </c>
      <c r="E14" s="7"/>
      <c r="F14" s="7"/>
      <c r="G14" s="7" t="s">
        <v>1536</v>
      </c>
      <c r="H14" s="7" t="s">
        <v>1537</v>
      </c>
      <c r="I14">
        <v>8</v>
      </c>
      <c r="J14" s="7">
        <v>1</v>
      </c>
      <c r="N14" s="7" t="s">
        <v>22</v>
      </c>
      <c r="P14">
        <v>1</v>
      </c>
      <c r="T14" s="7">
        <v>34</v>
      </c>
      <c r="X14" s="7">
        <v>1886</v>
      </c>
      <c r="Y14" s="7"/>
      <c r="Z14" s="7"/>
      <c r="AA14" s="6" t="s">
        <v>50</v>
      </c>
      <c r="AB14" s="6" t="s">
        <v>20</v>
      </c>
      <c r="AC14" s="7"/>
      <c r="AD14" s="7"/>
      <c r="AE14" s="7"/>
      <c r="AF14" s="7">
        <v>1</v>
      </c>
      <c r="AG14" s="6" t="s">
        <v>733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577</v>
      </c>
      <c r="B15" s="9">
        <v>1921</v>
      </c>
      <c r="C15" s="7">
        <v>3</v>
      </c>
      <c r="D15" s="7" t="s">
        <v>1541</v>
      </c>
      <c r="E15" s="11"/>
      <c r="F15" s="7"/>
      <c r="G15" s="7" t="s">
        <v>1536</v>
      </c>
      <c r="H15" s="7" t="s">
        <v>1538</v>
      </c>
      <c r="I15">
        <v>9</v>
      </c>
      <c r="J15" s="7">
        <v>1</v>
      </c>
      <c r="N15" s="7" t="s">
        <v>22</v>
      </c>
      <c r="P15">
        <v>1</v>
      </c>
      <c r="T15" s="7">
        <v>32</v>
      </c>
      <c r="X15" s="7">
        <v>1888</v>
      </c>
      <c r="Y15" s="12"/>
      <c r="Z15" s="12"/>
      <c r="AA15" s="6" t="s">
        <v>1539</v>
      </c>
      <c r="AB15" s="6" t="s">
        <v>1540</v>
      </c>
      <c r="AC15" s="12"/>
      <c r="AD15" s="12"/>
      <c r="AE15" s="7"/>
      <c r="AF15" s="7">
        <v>1</v>
      </c>
      <c r="AG15" s="6" t="s">
        <v>733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577</v>
      </c>
      <c r="B16" s="9">
        <v>1921</v>
      </c>
      <c r="C16" s="7">
        <v>3</v>
      </c>
      <c r="D16" s="7" t="s">
        <v>1541</v>
      </c>
      <c r="E16" s="11"/>
      <c r="F16" s="7"/>
      <c r="G16" s="7"/>
      <c r="H16" s="7">
        <v>3</v>
      </c>
      <c r="I16" s="7"/>
      <c r="J16" s="240"/>
      <c r="L16" s="8"/>
      <c r="M16" s="6"/>
      <c r="N16" s="6"/>
      <c r="O16" s="6"/>
      <c r="P16" s="14"/>
      <c r="Q16" s="15"/>
      <c r="R16" s="15"/>
      <c r="T16" s="16"/>
      <c r="U16" s="12"/>
      <c r="V16" s="12"/>
      <c r="W16" s="12"/>
      <c r="X16" s="15"/>
      <c r="Y16" s="12"/>
      <c r="Z16" s="12"/>
      <c r="AA16" s="12"/>
      <c r="AB16" s="12"/>
      <c r="AC16" s="12"/>
      <c r="AD16" s="12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577</v>
      </c>
      <c r="B17" s="9">
        <v>1921</v>
      </c>
      <c r="C17" s="7">
        <v>3</v>
      </c>
      <c r="D17" s="7" t="s">
        <v>1541</v>
      </c>
      <c r="E17" s="11"/>
      <c r="F17" s="7"/>
      <c r="G17" s="7"/>
      <c r="H17" s="7"/>
      <c r="I17" s="7">
        <v>9</v>
      </c>
      <c r="J17" s="240">
        <f>SUM(J3:J15)</f>
        <v>7</v>
      </c>
      <c r="K17" s="240">
        <f t="shared" ref="K17:AI17" si="1">SUM(K3:K15)</f>
        <v>2</v>
      </c>
      <c r="L17" s="240">
        <f t="shared" si="1"/>
        <v>0</v>
      </c>
      <c r="M17" s="240">
        <f t="shared" si="1"/>
        <v>0</v>
      </c>
      <c r="N17" s="240">
        <f>SUM(N3:N15)</f>
        <v>2</v>
      </c>
      <c r="O17" s="240">
        <f t="shared" si="1"/>
        <v>0</v>
      </c>
      <c r="P17" s="240">
        <f t="shared" si="1"/>
        <v>4</v>
      </c>
      <c r="Q17" s="240">
        <f t="shared" si="1"/>
        <v>1</v>
      </c>
      <c r="R17" s="240">
        <f t="shared" si="1"/>
        <v>0</v>
      </c>
      <c r="S17" s="240">
        <f t="shared" si="1"/>
        <v>2</v>
      </c>
      <c r="T17" s="240">
        <f t="shared" si="1"/>
        <v>352</v>
      </c>
      <c r="U17" s="240">
        <f>SUM(AG3:AG15)</f>
        <v>0</v>
      </c>
      <c r="V17" s="240">
        <f>SUM(AA3:AA15)</f>
        <v>0</v>
      </c>
      <c r="W17" s="240">
        <f>SUM(AB3:AB15)</f>
        <v>0</v>
      </c>
      <c r="X17" s="240"/>
      <c r="Y17" s="240">
        <f t="shared" si="1"/>
        <v>0</v>
      </c>
      <c r="Z17" s="240">
        <f t="shared" si="1"/>
        <v>0</v>
      </c>
      <c r="AA17" s="240"/>
      <c r="AB17" s="240"/>
      <c r="AC17" s="240">
        <f t="shared" si="1"/>
        <v>0</v>
      </c>
      <c r="AD17" s="240">
        <f t="shared" si="1"/>
        <v>0</v>
      </c>
      <c r="AE17" s="240">
        <f t="shared" si="1"/>
        <v>0</v>
      </c>
      <c r="AF17" s="240">
        <f t="shared" si="1"/>
        <v>7</v>
      </c>
      <c r="AG17" s="240">
        <f>I17-AF17</f>
        <v>2</v>
      </c>
      <c r="AH17" s="240">
        <f>AG17+AF17</f>
        <v>9</v>
      </c>
      <c r="AI17" s="240">
        <f t="shared" si="1"/>
        <v>0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11"/>
      <c r="B18" s="11"/>
      <c r="C18" s="7"/>
      <c r="D18" s="12"/>
      <c r="E18" s="11"/>
      <c r="F18" s="7"/>
      <c r="G18" s="7"/>
      <c r="H18" s="7"/>
      <c r="I18" s="7"/>
      <c r="J18" s="240"/>
      <c r="L18" s="8"/>
      <c r="M18" s="6"/>
      <c r="N18" s="6"/>
      <c r="O18" s="6"/>
      <c r="P18" s="14"/>
      <c r="Q18" s="15"/>
      <c r="R18" s="15"/>
      <c r="S18" s="15"/>
      <c r="T18" s="241">
        <f>T17/I17</f>
        <v>39.111111111111114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28" customHeight="1" x14ac:dyDescent="0.2">
      <c r="A19" s="93"/>
      <c r="B19" s="93"/>
      <c r="C19" s="7">
        <v>1</v>
      </c>
      <c r="D19" s="6"/>
      <c r="E19" s="93"/>
      <c r="F19" s="6"/>
      <c r="G19" s="6" t="s">
        <v>758</v>
      </c>
      <c r="H19" s="6" t="s">
        <v>1521</v>
      </c>
      <c r="I19" s="6" t="s">
        <v>51</v>
      </c>
      <c r="J19" s="230" t="s">
        <v>13</v>
      </c>
      <c r="K19" s="231">
        <v>1886</v>
      </c>
      <c r="L19" s="232">
        <v>34</v>
      </c>
      <c r="M19" s="6" t="s">
        <v>1522</v>
      </c>
      <c r="N19" s="6" t="s">
        <v>1523</v>
      </c>
      <c r="O19" s="6" t="s">
        <v>16</v>
      </c>
      <c r="P19" s="230"/>
      <c r="Q19" s="231"/>
      <c r="R19" s="231"/>
      <c r="S19" s="231"/>
      <c r="T19" s="239"/>
      <c r="U19" s="6"/>
      <c r="V19" s="6"/>
      <c r="W19" s="6"/>
      <c r="X19" s="6"/>
      <c r="Y19" s="6"/>
      <c r="Z19" s="6"/>
      <c r="AA19" s="6"/>
      <c r="AB19" s="6"/>
      <c r="AC19" s="6"/>
      <c r="AD19" s="93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B20" s="7"/>
      <c r="C20" s="7"/>
      <c r="D20" s="7"/>
      <c r="E20" s="7"/>
      <c r="F20" s="7"/>
      <c r="G20" s="7" t="s">
        <v>1524</v>
      </c>
      <c r="H20" s="7" t="s">
        <v>1525</v>
      </c>
      <c r="I20" s="7" t="s">
        <v>52</v>
      </c>
      <c r="J20" s="7" t="s">
        <v>19</v>
      </c>
      <c r="K20" s="9">
        <v>1860</v>
      </c>
      <c r="L20" s="7">
        <v>61</v>
      </c>
      <c r="M20" s="6" t="s">
        <v>14</v>
      </c>
      <c r="N20" s="6" t="s">
        <v>52</v>
      </c>
      <c r="O20" s="6" t="s">
        <v>29</v>
      </c>
      <c r="P20" s="6"/>
      <c r="Q20" s="18"/>
      <c r="R20" s="18"/>
      <c r="S20" s="18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7"/>
      <c r="R21" s="6"/>
      <c r="S21" s="6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/>
      <c r="B22" s="7"/>
      <c r="C22" s="7"/>
      <c r="D22" s="7"/>
      <c r="E22" s="7"/>
      <c r="F22" s="7"/>
      <c r="G22" s="7" t="s">
        <v>0</v>
      </c>
      <c r="H22" s="7" t="s">
        <v>1</v>
      </c>
      <c r="I22" s="7" t="s">
        <v>2</v>
      </c>
      <c r="J22" s="7" t="s">
        <v>3</v>
      </c>
      <c r="K22" s="7" t="s">
        <v>4</v>
      </c>
      <c r="L22" s="7" t="s">
        <v>5</v>
      </c>
      <c r="M22" s="6" t="s">
        <v>6</v>
      </c>
      <c r="N22" s="6" t="s">
        <v>7</v>
      </c>
      <c r="O22" s="6" t="s">
        <v>8</v>
      </c>
      <c r="P22" s="6"/>
      <c r="Q22" s="6"/>
      <c r="R22" s="6"/>
      <c r="S22" s="6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/>
      <c r="B23" s="7"/>
      <c r="C23" s="7"/>
      <c r="D23" s="7"/>
      <c r="E23" s="7"/>
      <c r="F23" s="7">
        <v>1</v>
      </c>
      <c r="G23" s="7" t="s">
        <v>1526</v>
      </c>
      <c r="H23" s="7" t="s">
        <v>1527</v>
      </c>
      <c r="I23" s="7" t="s">
        <v>12</v>
      </c>
      <c r="J23" s="7" t="s">
        <v>19</v>
      </c>
      <c r="K23" s="7">
        <v>1872</v>
      </c>
      <c r="L23" s="7">
        <v>48</v>
      </c>
      <c r="M23" s="6" t="s">
        <v>49</v>
      </c>
      <c r="N23" s="6" t="s">
        <v>1511</v>
      </c>
      <c r="O23" s="6" t="s">
        <v>20</v>
      </c>
      <c r="P23" s="6"/>
      <c r="Q23" s="6"/>
      <c r="R23" s="6"/>
      <c r="S23" s="6"/>
      <c r="T23" s="7"/>
      <c r="U23" s="6"/>
      <c r="V23" s="6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/>
      <c r="B24" s="7"/>
      <c r="C24" s="7"/>
      <c r="D24" s="7"/>
      <c r="E24" s="7"/>
      <c r="F24" s="7"/>
      <c r="G24" s="7" t="s">
        <v>1528</v>
      </c>
      <c r="H24" s="7" t="s">
        <v>1527</v>
      </c>
      <c r="I24" s="7" t="s">
        <v>22</v>
      </c>
      <c r="J24" s="7" t="s">
        <v>19</v>
      </c>
      <c r="K24" s="7">
        <v>1898</v>
      </c>
      <c r="L24" s="7">
        <v>23</v>
      </c>
      <c r="M24" s="6" t="s">
        <v>49</v>
      </c>
      <c r="N24" s="6" t="s">
        <v>20</v>
      </c>
      <c r="O24" s="6" t="s">
        <v>20</v>
      </c>
      <c r="P24" s="6"/>
      <c r="Q24" s="7"/>
      <c r="R24" s="6"/>
      <c r="S24" s="6"/>
      <c r="T24" s="7"/>
      <c r="U24" s="6"/>
      <c r="V24" s="6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7"/>
      <c r="B25" s="7"/>
      <c r="C25" s="7"/>
      <c r="D25" s="7"/>
      <c r="E25" s="7"/>
      <c r="F25" s="7"/>
      <c r="G25" s="7" t="s">
        <v>1529</v>
      </c>
      <c r="H25" s="7" t="s">
        <v>1527</v>
      </c>
      <c r="I25" s="7" t="s">
        <v>22</v>
      </c>
      <c r="J25" s="7" t="s">
        <v>19</v>
      </c>
      <c r="K25" s="7">
        <v>1900</v>
      </c>
      <c r="L25" s="7">
        <v>20</v>
      </c>
      <c r="M25" s="6" t="s">
        <v>49</v>
      </c>
      <c r="N25" s="6" t="s">
        <v>1530</v>
      </c>
      <c r="O25" s="6" t="s">
        <v>1531</v>
      </c>
      <c r="P25" s="6"/>
      <c r="Q25" s="7"/>
      <c r="R25" s="6"/>
      <c r="S25" s="6"/>
      <c r="T25" s="7"/>
      <c r="U25" s="6"/>
      <c r="V25" s="6"/>
      <c r="W25" s="6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 t="s">
        <v>203</v>
      </c>
      <c r="H26" s="7" t="s">
        <v>1532</v>
      </c>
      <c r="I26" s="7" t="s">
        <v>26</v>
      </c>
      <c r="J26" s="7" t="s">
        <v>19</v>
      </c>
      <c r="K26" s="7">
        <v>1880</v>
      </c>
      <c r="L26" s="7">
        <v>40</v>
      </c>
      <c r="M26" s="6" t="s">
        <v>1533</v>
      </c>
      <c r="N26" s="6" t="s">
        <v>33</v>
      </c>
      <c r="O26" s="6" t="s">
        <v>1534</v>
      </c>
      <c r="P26" s="6"/>
      <c r="Q26" s="7"/>
      <c r="R26" s="6"/>
      <c r="S26" s="6"/>
      <c r="T26" s="7"/>
      <c r="U26" s="6"/>
      <c r="V26" s="6"/>
      <c r="W26" s="6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7"/>
      <c r="R27" s="6"/>
      <c r="S27" s="6"/>
      <c r="T27" s="7"/>
      <c r="U27" s="6"/>
      <c r="V27" s="6"/>
      <c r="W27" s="6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" customHeight="1" x14ac:dyDescent="0.2">
      <c r="A28" s="7"/>
      <c r="B28" s="7"/>
      <c r="C28" s="7"/>
      <c r="D28" s="7"/>
      <c r="E28" s="7"/>
      <c r="F28" s="7"/>
      <c r="G28" s="7" t="s">
        <v>0</v>
      </c>
      <c r="H28" s="7" t="s">
        <v>1</v>
      </c>
      <c r="I28" s="7" t="s">
        <v>2</v>
      </c>
      <c r="J28" s="7" t="s">
        <v>3</v>
      </c>
      <c r="K28" s="7" t="s">
        <v>4</v>
      </c>
      <c r="L28" s="7" t="s">
        <v>5</v>
      </c>
      <c r="M28" s="7" t="s">
        <v>6</v>
      </c>
      <c r="N28" s="7" t="s">
        <v>7</v>
      </c>
      <c r="O28" s="7" t="s">
        <v>8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>
        <v>3</v>
      </c>
      <c r="G29" s="7" t="s">
        <v>1535</v>
      </c>
      <c r="H29" s="7" t="s">
        <v>1536</v>
      </c>
      <c r="I29" s="7" t="s">
        <v>12</v>
      </c>
      <c r="J29" s="7" t="s">
        <v>13</v>
      </c>
      <c r="K29" s="7">
        <v>1861</v>
      </c>
      <c r="L29" s="7">
        <v>60</v>
      </c>
      <c r="M29" s="6" t="s">
        <v>14</v>
      </c>
      <c r="N29" s="6" t="s">
        <v>15</v>
      </c>
      <c r="O29" s="6" t="s">
        <v>16</v>
      </c>
      <c r="P29" s="6"/>
      <c r="Q29" s="7"/>
      <c r="R29" s="6"/>
      <c r="S29" s="6"/>
      <c r="T29" s="19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 t="s">
        <v>1537</v>
      </c>
      <c r="H30" s="7" t="s">
        <v>1536</v>
      </c>
      <c r="I30" s="7" t="s">
        <v>22</v>
      </c>
      <c r="J30" s="7" t="s">
        <v>19</v>
      </c>
      <c r="K30" s="7">
        <v>1886</v>
      </c>
      <c r="L30" s="7">
        <v>34</v>
      </c>
      <c r="M30" s="6" t="s">
        <v>733</v>
      </c>
      <c r="N30" s="6" t="s">
        <v>50</v>
      </c>
      <c r="O30" s="6" t="s">
        <v>20</v>
      </c>
      <c r="P30" s="6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 t="s">
        <v>1538</v>
      </c>
      <c r="H31" s="7" t="s">
        <v>1536</v>
      </c>
      <c r="I31" s="7" t="s">
        <v>22</v>
      </c>
      <c r="J31" s="7" t="s">
        <v>19</v>
      </c>
      <c r="K31" s="7">
        <v>1888</v>
      </c>
      <c r="L31" s="7">
        <v>32</v>
      </c>
      <c r="M31" s="6" t="s">
        <v>733</v>
      </c>
      <c r="N31" s="6" t="s">
        <v>1539</v>
      </c>
      <c r="O31" s="6" t="s">
        <v>1540</v>
      </c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19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7"/>
      <c r="R33" s="6"/>
      <c r="S33" s="6"/>
      <c r="T33" s="7"/>
      <c r="U33" s="6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7"/>
      <c r="R34" s="6"/>
      <c r="S34" s="6"/>
      <c r="T34" s="7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6"/>
      <c r="N35" s="6"/>
      <c r="O35" s="6"/>
      <c r="P35" s="6"/>
      <c r="Q35" s="7"/>
      <c r="R35" s="6"/>
      <c r="S35" s="6"/>
      <c r="T35" s="7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4" t="s">
        <v>252</v>
      </c>
      <c r="B36" s="7"/>
      <c r="C36" s="7"/>
      <c r="D36" s="7"/>
      <c r="E36" s="7"/>
      <c r="F36" s="7"/>
      <c r="G36" s="7">
        <f t="shared" ref="G36:N36" si="2">SUM(G3:G35)</f>
        <v>0</v>
      </c>
      <c r="H36" s="7">
        <f t="shared" si="2"/>
        <v>9</v>
      </c>
      <c r="I36" s="7">
        <f t="shared" si="2"/>
        <v>54</v>
      </c>
      <c r="J36" s="7">
        <f t="shared" si="2"/>
        <v>14</v>
      </c>
      <c r="K36" s="7">
        <f t="shared" si="2"/>
        <v>16935</v>
      </c>
      <c r="L36" s="7">
        <f t="shared" si="2"/>
        <v>352</v>
      </c>
      <c r="M36" s="7">
        <f t="shared" si="2"/>
        <v>0</v>
      </c>
      <c r="N36" s="7">
        <f t="shared" si="2"/>
        <v>4</v>
      </c>
      <c r="O36" s="7"/>
      <c r="P36" s="7">
        <f t="shared" ref="P36:W36" si="3">SUM(P3:P35)</f>
        <v>8</v>
      </c>
      <c r="Q36" s="7">
        <f t="shared" si="3"/>
        <v>2</v>
      </c>
      <c r="R36" s="7">
        <f t="shared" si="3"/>
        <v>0</v>
      </c>
      <c r="S36" s="7">
        <f t="shared" si="3"/>
        <v>4</v>
      </c>
      <c r="T36" s="7">
        <f t="shared" si="3"/>
        <v>743.11111111111109</v>
      </c>
      <c r="U36" s="7">
        <f t="shared" si="3"/>
        <v>0</v>
      </c>
      <c r="V36" s="7">
        <f t="shared" si="3"/>
        <v>0</v>
      </c>
      <c r="W36" s="7">
        <f t="shared" si="3"/>
        <v>0</v>
      </c>
      <c r="X36" s="7"/>
      <c r="Y36" s="7"/>
      <c r="Z36" s="7">
        <f>SUM(Z3:Z35)</f>
        <v>0</v>
      </c>
      <c r="AA36" s="7">
        <f>SUM(AA3:AA35)</f>
        <v>0</v>
      </c>
      <c r="AB36" s="7">
        <f>SUM(AB3:AB35)</f>
        <v>0</v>
      </c>
      <c r="AC36" s="7">
        <f>SUM(AC3:AC35)</f>
        <v>0</v>
      </c>
      <c r="AD36" s="7">
        <f>SUM(AD3:AD35)</f>
        <v>0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20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" customHeight="1" x14ac:dyDescent="0.2">
      <c r="A38" s="7"/>
      <c r="B38" s="7"/>
      <c r="C38" s="7"/>
      <c r="D38" s="7"/>
      <c r="E38" s="7"/>
      <c r="F38" s="7"/>
      <c r="G38" s="21"/>
      <c r="H38" s="21"/>
      <c r="I38" s="21"/>
      <c r="J38" s="7"/>
      <c r="K38" s="7"/>
      <c r="L38" s="7"/>
      <c r="M38" s="7"/>
      <c r="N38" s="7"/>
      <c r="O38" s="7"/>
      <c r="P38" s="7"/>
      <c r="Q38" s="20"/>
      <c r="R38" s="21"/>
      <c r="S38" s="21"/>
      <c r="T38" s="21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6"/>
      <c r="S39" s="6"/>
      <c r="T39" s="19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21"/>
      <c r="S40" s="21"/>
      <c r="T40" s="21"/>
      <c r="U40" s="7"/>
      <c r="V40" s="7"/>
      <c r="W40" s="7"/>
      <c r="X40" s="7"/>
      <c r="Y40" s="7"/>
      <c r="Z40" s="7"/>
      <c r="AA40" s="7"/>
      <c r="AB40" s="7"/>
      <c r="AC40" s="22"/>
      <c r="AD40" s="22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6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B0585-5692-4148-AD5F-4F58B69039D0}">
  <dimension ref="A1:BC351"/>
  <sheetViews>
    <sheetView topLeftCell="AB1" zoomScale="206" zoomScaleNormal="132" workbookViewId="0">
      <pane ySplit="2" topLeftCell="A81" activePane="bottomLeft" state="frozen"/>
      <selection activeCell="H1" sqref="H1"/>
      <selection pane="bottomLeft" activeCell="J254" sqref="J254"/>
    </sheetView>
  </sheetViews>
  <sheetFormatPr baseColWidth="10" defaultColWidth="10.83203125" defaultRowHeight="16" x14ac:dyDescent="0.2"/>
  <cols>
    <col min="4" max="4" width="17.83203125" customWidth="1"/>
    <col min="5" max="5" width="11.33203125" customWidth="1"/>
    <col min="6" max="6" width="10.1640625" customWidth="1"/>
    <col min="8" max="8" width="19.1640625" customWidth="1"/>
    <col min="11" max="11" width="5" customWidth="1"/>
    <col min="12" max="12" width="4.5" customWidth="1"/>
    <col min="13" max="13" width="5" customWidth="1"/>
    <col min="14" max="14" width="8.6640625" customWidth="1"/>
    <col min="15" max="15" width="8.83203125" customWidth="1"/>
    <col min="16" max="16" width="11.5" customWidth="1"/>
    <col min="17" max="17" width="11.6640625" customWidth="1"/>
    <col min="18" max="18" width="12.33203125" customWidth="1"/>
    <col min="20" max="20" width="10.33203125" customWidth="1"/>
    <col min="24" max="24" width="11.33203125" customWidth="1"/>
    <col min="25" max="25" width="7.6640625" customWidth="1"/>
    <col min="26" max="26" width="8.83203125" customWidth="1"/>
    <col min="27" max="27" width="21.1640625" customWidth="1"/>
    <col min="28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7.5" customHeight="1" x14ac:dyDescent="0.2">
      <c r="A3" s="7" t="s">
        <v>579</v>
      </c>
      <c r="B3" s="7">
        <v>2021</v>
      </c>
      <c r="C3" s="7">
        <v>1</v>
      </c>
      <c r="D3" s="7" t="s">
        <v>580</v>
      </c>
      <c r="E3" s="7"/>
      <c r="F3">
        <v>3</v>
      </c>
      <c r="G3" t="s">
        <v>1543</v>
      </c>
      <c r="H3" t="s">
        <v>1542</v>
      </c>
      <c r="I3">
        <v>1</v>
      </c>
      <c r="J3" t="s">
        <v>13</v>
      </c>
      <c r="K3">
        <v>1</v>
      </c>
      <c r="N3">
        <v>1</v>
      </c>
      <c r="T3">
        <v>68</v>
      </c>
      <c r="W3" s="7"/>
      <c r="X3">
        <v>1852</v>
      </c>
      <c r="Y3" s="7"/>
      <c r="Z3" s="7"/>
      <c r="AA3" t="s">
        <v>1544</v>
      </c>
      <c r="AB3" s="7"/>
      <c r="AC3" s="7">
        <v>1</v>
      </c>
      <c r="AD3" s="7"/>
      <c r="AE3" s="7"/>
      <c r="AF3">
        <v>1</v>
      </c>
      <c r="AG3" t="s">
        <v>14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7" t="s">
        <v>579</v>
      </c>
      <c r="B4" s="7">
        <v>2021</v>
      </c>
      <c r="C4" s="7">
        <v>1</v>
      </c>
      <c r="D4" s="7" t="s">
        <v>580</v>
      </c>
      <c r="E4" s="7"/>
      <c r="G4" t="s">
        <v>1543</v>
      </c>
      <c r="H4" t="s">
        <v>1545</v>
      </c>
      <c r="I4">
        <v>2</v>
      </c>
      <c r="J4">
        <v>1</v>
      </c>
      <c r="N4" t="s">
        <v>22</v>
      </c>
      <c r="P4">
        <v>1</v>
      </c>
      <c r="T4">
        <v>38</v>
      </c>
      <c r="W4" s="7"/>
      <c r="X4">
        <v>1883</v>
      </c>
      <c r="Y4" s="7"/>
      <c r="Z4" s="7"/>
      <c r="AA4" t="s">
        <v>489</v>
      </c>
      <c r="AB4" s="7"/>
      <c r="AC4" s="7"/>
      <c r="AD4" s="7"/>
      <c r="AE4" s="7"/>
      <c r="AF4">
        <v>1</v>
      </c>
      <c r="AG4" t="s">
        <v>14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7" t="s">
        <v>579</v>
      </c>
      <c r="B5" s="7">
        <v>2021</v>
      </c>
      <c r="C5" s="7">
        <v>1</v>
      </c>
      <c r="D5" s="7" t="s">
        <v>580</v>
      </c>
      <c r="E5" s="7"/>
      <c r="G5" t="s">
        <v>1543</v>
      </c>
      <c r="H5" t="s">
        <v>1546</v>
      </c>
      <c r="I5">
        <v>3</v>
      </c>
      <c r="J5" t="s">
        <v>13</v>
      </c>
      <c r="K5">
        <v>1</v>
      </c>
      <c r="N5" t="s">
        <v>51</v>
      </c>
      <c r="Q5">
        <v>1</v>
      </c>
      <c r="T5">
        <v>37</v>
      </c>
      <c r="W5" s="7"/>
      <c r="X5">
        <v>1884</v>
      </c>
      <c r="Y5" s="7"/>
      <c r="Z5" s="7"/>
      <c r="AA5" t="s">
        <v>1547</v>
      </c>
      <c r="AB5" s="7"/>
      <c r="AC5" s="7">
        <v>1</v>
      </c>
      <c r="AD5" s="7"/>
      <c r="AE5" s="7"/>
      <c r="AF5">
        <v>1</v>
      </c>
      <c r="AG5" t="s">
        <v>14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7" t="s">
        <v>579</v>
      </c>
      <c r="B6" s="7">
        <v>2021</v>
      </c>
      <c r="C6" s="7">
        <v>1</v>
      </c>
      <c r="D6" s="7" t="s">
        <v>580</v>
      </c>
      <c r="E6" s="7"/>
      <c r="G6" t="s">
        <v>1548</v>
      </c>
      <c r="H6" t="s">
        <v>174</v>
      </c>
      <c r="I6">
        <v>4</v>
      </c>
      <c r="J6">
        <v>1</v>
      </c>
      <c r="N6" t="s">
        <v>26</v>
      </c>
      <c r="S6">
        <v>1</v>
      </c>
      <c r="T6">
        <v>23</v>
      </c>
      <c r="W6" s="7"/>
      <c r="X6">
        <v>1898</v>
      </c>
      <c r="Y6" s="7"/>
      <c r="Z6" s="7"/>
      <c r="AA6" t="s">
        <v>56</v>
      </c>
      <c r="AB6" s="7"/>
      <c r="AC6" s="7">
        <v>1</v>
      </c>
      <c r="AD6" s="7"/>
      <c r="AE6" s="7"/>
      <c r="AG6" t="s">
        <v>1496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7"/>
      <c r="B7" s="7"/>
      <c r="C7" s="7"/>
      <c r="D7" s="7"/>
      <c r="E7" s="7"/>
      <c r="H7">
        <v>4</v>
      </c>
      <c r="W7" s="7"/>
      <c r="Y7" s="7"/>
      <c r="Z7" s="7"/>
      <c r="AB7" s="7"/>
      <c r="AC7" s="7"/>
      <c r="AD7" s="7"/>
      <c r="AE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7"/>
      <c r="B8" s="7"/>
      <c r="C8" s="7"/>
      <c r="D8" s="7"/>
      <c r="E8" s="7"/>
      <c r="G8" t="s">
        <v>1</v>
      </c>
      <c r="H8" t="s">
        <v>0</v>
      </c>
      <c r="J8" t="s">
        <v>3</v>
      </c>
      <c r="N8" t="s">
        <v>2</v>
      </c>
      <c r="T8" t="s">
        <v>5</v>
      </c>
      <c r="W8" s="7"/>
      <c r="X8" t="s">
        <v>4</v>
      </c>
      <c r="Y8" s="7"/>
      <c r="Z8" s="7"/>
      <c r="AA8" t="s">
        <v>7</v>
      </c>
      <c r="AB8" s="7"/>
      <c r="AC8" s="7"/>
      <c r="AD8" s="7"/>
      <c r="AE8" s="7"/>
      <c r="AG8" t="s">
        <v>6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7" t="s">
        <v>579</v>
      </c>
      <c r="B9" s="7">
        <v>2021</v>
      </c>
      <c r="C9" s="7">
        <v>2</v>
      </c>
      <c r="D9" s="7" t="s">
        <v>580</v>
      </c>
      <c r="E9" s="7"/>
      <c r="F9">
        <v>5</v>
      </c>
      <c r="G9" t="s">
        <v>1550</v>
      </c>
      <c r="H9" t="s">
        <v>1549</v>
      </c>
      <c r="I9">
        <v>5</v>
      </c>
      <c r="J9" t="s">
        <v>13</v>
      </c>
      <c r="K9">
        <v>1</v>
      </c>
      <c r="N9">
        <v>1</v>
      </c>
      <c r="T9">
        <v>57</v>
      </c>
      <c r="W9" s="7"/>
      <c r="X9">
        <v>1864</v>
      </c>
      <c r="Y9" s="7"/>
      <c r="Z9" s="7"/>
      <c r="AA9" t="s">
        <v>424</v>
      </c>
      <c r="AB9" s="7"/>
      <c r="AC9" s="7">
        <v>1</v>
      </c>
      <c r="AD9" s="7"/>
      <c r="AE9" s="7"/>
      <c r="AF9">
        <v>1</v>
      </c>
      <c r="AG9" t="s">
        <v>49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7" t="s">
        <v>579</v>
      </c>
      <c r="B10" s="7">
        <v>2021</v>
      </c>
      <c r="C10" s="7">
        <v>2</v>
      </c>
      <c r="D10" s="7" t="s">
        <v>580</v>
      </c>
      <c r="E10" s="7"/>
      <c r="G10" t="s">
        <v>1550</v>
      </c>
      <c r="H10" t="s">
        <v>1551</v>
      </c>
      <c r="I10">
        <v>6</v>
      </c>
      <c r="J10">
        <v>1</v>
      </c>
      <c r="N10" t="s">
        <v>18</v>
      </c>
      <c r="O10">
        <v>1</v>
      </c>
      <c r="T10">
        <v>56</v>
      </c>
      <c r="W10" s="7"/>
      <c r="X10">
        <v>1865</v>
      </c>
      <c r="Y10" s="7"/>
      <c r="Z10" s="7"/>
      <c r="AA10" t="s">
        <v>50</v>
      </c>
      <c r="AB10" s="7"/>
      <c r="AC10" s="7"/>
      <c r="AD10" s="7"/>
      <c r="AE10" s="7"/>
      <c r="AG10" t="s">
        <v>1552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" customHeight="1" x14ac:dyDescent="0.2">
      <c r="A11" s="7" t="s">
        <v>579</v>
      </c>
      <c r="B11" s="7">
        <v>2021</v>
      </c>
      <c r="C11" s="7">
        <v>2</v>
      </c>
      <c r="D11" s="7" t="s">
        <v>580</v>
      </c>
      <c r="E11" s="7"/>
      <c r="G11" t="s">
        <v>1550</v>
      </c>
      <c r="H11" t="s">
        <v>1553</v>
      </c>
      <c r="I11">
        <v>7</v>
      </c>
      <c r="J11">
        <v>1</v>
      </c>
      <c r="N11" t="s">
        <v>22</v>
      </c>
      <c r="P11">
        <v>1</v>
      </c>
      <c r="T11">
        <v>19</v>
      </c>
      <c r="W11" s="7">
        <f>SUM(W3:W10)</f>
        <v>0</v>
      </c>
      <c r="X11">
        <v>1901</v>
      </c>
      <c r="Y11" s="7">
        <f>SUM(Y3:Y10)</f>
        <v>0</v>
      </c>
      <c r="Z11" s="7">
        <f>SUM(Z3:Z10)</f>
        <v>0</v>
      </c>
      <c r="AA11" t="s">
        <v>427</v>
      </c>
      <c r="AB11" s="7">
        <f>SUM(AB3:AB10)</f>
        <v>0</v>
      </c>
      <c r="AC11" s="7"/>
      <c r="AD11" s="7">
        <f>SUM(AD3:AD10)</f>
        <v>0</v>
      </c>
      <c r="AE11" s="7"/>
      <c r="AF11">
        <v>1</v>
      </c>
      <c r="AG11" t="s">
        <v>733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7" t="s">
        <v>579</v>
      </c>
      <c r="B12" s="7">
        <v>2021</v>
      </c>
      <c r="C12" s="7">
        <v>2</v>
      </c>
      <c r="D12" s="7" t="s">
        <v>580</v>
      </c>
      <c r="E12" s="7"/>
      <c r="G12" t="s">
        <v>1550</v>
      </c>
      <c r="H12" t="s">
        <v>1554</v>
      </c>
      <c r="I12">
        <v>8</v>
      </c>
      <c r="J12" t="s">
        <v>13</v>
      </c>
      <c r="K12">
        <v>1</v>
      </c>
      <c r="N12" t="s">
        <v>51</v>
      </c>
      <c r="Q12">
        <v>1</v>
      </c>
      <c r="T12">
        <v>17</v>
      </c>
      <c r="W12" s="7"/>
      <c r="X12">
        <v>1903</v>
      </c>
      <c r="Y12" s="7"/>
      <c r="Z12" s="7"/>
      <c r="AA12" t="s">
        <v>1555</v>
      </c>
      <c r="AB12" s="7"/>
      <c r="AC12" s="7"/>
      <c r="AD12" s="7"/>
      <c r="AE12" s="7"/>
      <c r="AF12">
        <v>1</v>
      </c>
      <c r="AG12" t="s">
        <v>733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7" t="s">
        <v>579</v>
      </c>
      <c r="B13" s="7">
        <v>2021</v>
      </c>
      <c r="C13" s="7">
        <v>2</v>
      </c>
      <c r="D13" s="7" t="s">
        <v>580</v>
      </c>
      <c r="E13" s="7"/>
      <c r="G13" t="s">
        <v>1557</v>
      </c>
      <c r="H13" t="s">
        <v>1556</v>
      </c>
      <c r="I13">
        <v>9</v>
      </c>
      <c r="J13">
        <v>1</v>
      </c>
      <c r="N13" t="s">
        <v>26</v>
      </c>
      <c r="S13">
        <v>1</v>
      </c>
      <c r="T13">
        <v>38</v>
      </c>
      <c r="W13" s="7"/>
      <c r="X13">
        <v>1883</v>
      </c>
      <c r="Y13" s="7"/>
      <c r="Z13" s="7"/>
      <c r="AA13" t="s">
        <v>33</v>
      </c>
      <c r="AB13" s="7"/>
      <c r="AC13" s="7">
        <v>1</v>
      </c>
      <c r="AD13" s="7"/>
      <c r="AE13" s="7"/>
      <c r="AG13" t="s">
        <v>134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7" t="s">
        <v>579</v>
      </c>
      <c r="B14" s="7">
        <v>2021</v>
      </c>
      <c r="C14" s="7">
        <v>2</v>
      </c>
      <c r="D14" s="7" t="s">
        <v>580</v>
      </c>
      <c r="E14" s="11"/>
      <c r="G14" t="s">
        <v>1559</v>
      </c>
      <c r="H14" t="s">
        <v>1558</v>
      </c>
      <c r="I14">
        <v>10</v>
      </c>
      <c r="J14">
        <v>1</v>
      </c>
      <c r="N14" t="s">
        <v>26</v>
      </c>
      <c r="S14">
        <v>1</v>
      </c>
      <c r="T14">
        <v>20</v>
      </c>
      <c r="W14" s="12"/>
      <c r="X14">
        <v>1901</v>
      </c>
      <c r="Y14" s="12"/>
      <c r="Z14" s="12"/>
      <c r="AA14" t="s">
        <v>330</v>
      </c>
      <c r="AB14" s="12"/>
      <c r="AC14" s="12">
        <v>1</v>
      </c>
      <c r="AD14" s="12"/>
      <c r="AE14" s="7"/>
      <c r="AG14" t="s">
        <v>1560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28" customHeight="1" x14ac:dyDescent="0.2">
      <c r="A15" s="7"/>
      <c r="B15" s="7"/>
      <c r="C15" s="7"/>
      <c r="D15" s="7"/>
      <c r="E15" s="11"/>
      <c r="H15">
        <v>6</v>
      </c>
      <c r="W15" s="12"/>
      <c r="Y15" s="12"/>
      <c r="Z15" s="12"/>
      <c r="AB15" s="12"/>
      <c r="AC15" s="12"/>
      <c r="AD15" s="11"/>
      <c r="AE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7"/>
      <c r="B16" s="7"/>
      <c r="C16" s="7"/>
      <c r="D16" s="7"/>
      <c r="E16" s="7"/>
      <c r="G16" t="s">
        <v>1</v>
      </c>
      <c r="H16" t="s">
        <v>0</v>
      </c>
      <c r="J16" t="s">
        <v>3</v>
      </c>
      <c r="N16" t="s">
        <v>2</v>
      </c>
      <c r="T16" t="s">
        <v>5</v>
      </c>
      <c r="W16" s="6"/>
      <c r="X16" t="s">
        <v>4</v>
      </c>
      <c r="Y16" s="7"/>
      <c r="Z16" s="7"/>
      <c r="AA16" t="s">
        <v>7</v>
      </c>
      <c r="AB16" s="7"/>
      <c r="AC16" s="7"/>
      <c r="AD16" s="7"/>
      <c r="AE16" s="7"/>
      <c r="AG16" t="s">
        <v>6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7" t="s">
        <v>579</v>
      </c>
      <c r="B17" s="7">
        <v>2021</v>
      </c>
      <c r="C17" s="7">
        <v>3</v>
      </c>
      <c r="D17" s="7" t="s">
        <v>580</v>
      </c>
      <c r="E17" s="7"/>
      <c r="F17">
        <v>7</v>
      </c>
      <c r="G17" t="s">
        <v>1424</v>
      </c>
      <c r="H17" t="s">
        <v>1000</v>
      </c>
      <c r="I17">
        <v>11</v>
      </c>
      <c r="J17" t="s">
        <v>13</v>
      </c>
      <c r="K17">
        <v>1</v>
      </c>
      <c r="N17">
        <v>1</v>
      </c>
      <c r="T17">
        <v>42</v>
      </c>
      <c r="W17" s="7"/>
      <c r="X17">
        <v>1878</v>
      </c>
      <c r="Y17" s="7"/>
      <c r="Z17" s="7"/>
      <c r="AA17" t="s">
        <v>1562</v>
      </c>
      <c r="AB17" s="7"/>
      <c r="AC17" s="7">
        <v>1</v>
      </c>
      <c r="AD17" s="7"/>
      <c r="AE17" s="7"/>
      <c r="AG17" t="s">
        <v>1561</v>
      </c>
      <c r="AH17" s="7"/>
      <c r="AI17" s="7"/>
      <c r="AJ17" s="261" t="s">
        <v>2866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7" t="s">
        <v>579</v>
      </c>
      <c r="B18" s="7">
        <v>2021</v>
      </c>
      <c r="C18" s="7">
        <v>3</v>
      </c>
      <c r="D18" s="7" t="s">
        <v>580</v>
      </c>
      <c r="E18" s="7"/>
      <c r="G18" t="s">
        <v>1424</v>
      </c>
      <c r="H18" t="s">
        <v>323</v>
      </c>
      <c r="I18">
        <v>12</v>
      </c>
      <c r="J18">
        <v>1</v>
      </c>
      <c r="N18" t="s">
        <v>18</v>
      </c>
      <c r="O18">
        <v>1</v>
      </c>
      <c r="T18">
        <v>38</v>
      </c>
      <c r="W18" s="7"/>
      <c r="X18">
        <v>1883</v>
      </c>
      <c r="Y18" s="7"/>
      <c r="Z18" s="7"/>
      <c r="AA18" t="s">
        <v>20</v>
      </c>
      <c r="AB18" s="7"/>
      <c r="AC18" s="7"/>
      <c r="AD18" s="7"/>
      <c r="AE18" s="7"/>
      <c r="AG18" t="s">
        <v>778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7" t="s">
        <v>579</v>
      </c>
      <c r="B19" s="7">
        <v>2021</v>
      </c>
      <c r="C19" s="7">
        <v>3</v>
      </c>
      <c r="D19" s="7" t="s">
        <v>580</v>
      </c>
      <c r="E19" s="7"/>
      <c r="G19" t="s">
        <v>1424</v>
      </c>
      <c r="H19" t="s">
        <v>1565</v>
      </c>
      <c r="I19">
        <v>13</v>
      </c>
      <c r="J19" t="s">
        <v>13</v>
      </c>
      <c r="M19">
        <v>1</v>
      </c>
      <c r="N19" t="s">
        <v>51</v>
      </c>
      <c r="Q19">
        <v>1</v>
      </c>
      <c r="T19">
        <v>11</v>
      </c>
      <c r="W19" s="6"/>
      <c r="X19">
        <v>1909</v>
      </c>
      <c r="Y19" s="7"/>
      <c r="Z19" s="7"/>
      <c r="AA19" t="s">
        <v>20</v>
      </c>
      <c r="AB19" s="7"/>
      <c r="AC19" s="7"/>
      <c r="AD19" s="7"/>
      <c r="AE19" s="7"/>
      <c r="AG19" t="s">
        <v>1566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 t="s">
        <v>579</v>
      </c>
      <c r="B20" s="7">
        <v>2021</v>
      </c>
      <c r="C20" s="7">
        <v>3</v>
      </c>
      <c r="D20" s="7" t="s">
        <v>580</v>
      </c>
      <c r="E20" s="7"/>
      <c r="G20" t="s">
        <v>1424</v>
      </c>
      <c r="H20" t="s">
        <v>1567</v>
      </c>
      <c r="I20">
        <v>14</v>
      </c>
      <c r="J20" t="s">
        <v>13</v>
      </c>
      <c r="M20">
        <v>1</v>
      </c>
      <c r="N20" t="s">
        <v>51</v>
      </c>
      <c r="Q20">
        <v>1</v>
      </c>
      <c r="T20">
        <v>8</v>
      </c>
      <c r="W20" s="6"/>
      <c r="X20">
        <v>1912</v>
      </c>
      <c r="Y20" s="7"/>
      <c r="Z20" s="7"/>
      <c r="AA20" t="s">
        <v>20</v>
      </c>
      <c r="AB20" s="7"/>
      <c r="AC20" s="7"/>
      <c r="AD20" s="7"/>
      <c r="AE20" s="7"/>
      <c r="AG20" t="s">
        <v>1566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 t="s">
        <v>579</v>
      </c>
      <c r="B21" s="7">
        <v>2021</v>
      </c>
      <c r="C21" s="7">
        <v>3</v>
      </c>
      <c r="D21" s="7" t="s">
        <v>580</v>
      </c>
      <c r="E21" s="7"/>
      <c r="G21" t="s">
        <v>1424</v>
      </c>
      <c r="H21" t="s">
        <v>1568</v>
      </c>
      <c r="I21">
        <v>15</v>
      </c>
      <c r="J21" t="s">
        <v>13</v>
      </c>
      <c r="M21">
        <v>1</v>
      </c>
      <c r="N21" t="s">
        <v>51</v>
      </c>
      <c r="Q21">
        <v>1</v>
      </c>
      <c r="T21">
        <v>3</v>
      </c>
      <c r="W21" s="6"/>
      <c r="X21">
        <v>1918</v>
      </c>
      <c r="Y21" s="7"/>
      <c r="Z21" s="7"/>
      <c r="AA21" t="s">
        <v>20</v>
      </c>
      <c r="AB21" s="7"/>
      <c r="AC21" s="7"/>
      <c r="AD21" s="7"/>
      <c r="AE21" s="7"/>
      <c r="AG21" t="s">
        <v>1566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 t="s">
        <v>579</v>
      </c>
      <c r="B22" s="7">
        <v>2021</v>
      </c>
      <c r="C22" s="7">
        <v>3</v>
      </c>
      <c r="D22" s="7" t="s">
        <v>580</v>
      </c>
      <c r="E22" s="7"/>
      <c r="G22" t="s">
        <v>1424</v>
      </c>
      <c r="H22" t="s">
        <v>1569</v>
      </c>
      <c r="I22">
        <v>16</v>
      </c>
      <c r="J22" t="s">
        <v>13</v>
      </c>
      <c r="M22">
        <v>1</v>
      </c>
      <c r="N22" t="s">
        <v>51</v>
      </c>
      <c r="Q22">
        <v>1</v>
      </c>
      <c r="T22">
        <v>0</v>
      </c>
      <c r="W22" s="6"/>
      <c r="X22">
        <v>1921</v>
      </c>
      <c r="Y22" s="7"/>
      <c r="Z22" s="7"/>
      <c r="AA22" t="s">
        <v>20</v>
      </c>
      <c r="AB22" s="7"/>
      <c r="AC22" s="7"/>
      <c r="AD22" s="7"/>
      <c r="AE22" s="7"/>
      <c r="AF22">
        <v>1</v>
      </c>
      <c r="AG22" t="s">
        <v>49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 t="s">
        <v>579</v>
      </c>
      <c r="B23" s="7">
        <v>2021</v>
      </c>
      <c r="C23" s="7">
        <v>3</v>
      </c>
      <c r="D23" s="7" t="s">
        <v>580</v>
      </c>
      <c r="E23" s="7"/>
      <c r="G23" t="s">
        <v>1570</v>
      </c>
      <c r="H23" t="s">
        <v>653</v>
      </c>
      <c r="I23">
        <v>17</v>
      </c>
      <c r="J23">
        <v>1</v>
      </c>
      <c r="N23" t="s">
        <v>26</v>
      </c>
      <c r="S23">
        <v>1</v>
      </c>
      <c r="T23">
        <v>52</v>
      </c>
      <c r="W23" s="6"/>
      <c r="X23">
        <v>1869</v>
      </c>
      <c r="Y23" s="7"/>
      <c r="Z23" s="7"/>
      <c r="AA23" t="s">
        <v>33</v>
      </c>
      <c r="AB23" s="7"/>
      <c r="AC23" s="7">
        <v>1</v>
      </c>
      <c r="AD23" s="7"/>
      <c r="AE23" s="7"/>
      <c r="AF23">
        <v>1</v>
      </c>
      <c r="AG23" t="s">
        <v>718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" customHeight="1" x14ac:dyDescent="0.2">
      <c r="A24" s="7" t="s">
        <v>579</v>
      </c>
      <c r="B24" s="7">
        <v>2021</v>
      </c>
      <c r="C24" s="7">
        <v>3</v>
      </c>
      <c r="D24" s="7" t="s">
        <v>580</v>
      </c>
      <c r="E24" s="7"/>
      <c r="G24" t="s">
        <v>1571</v>
      </c>
      <c r="H24" t="s">
        <v>408</v>
      </c>
      <c r="I24">
        <v>18</v>
      </c>
      <c r="J24">
        <v>1</v>
      </c>
      <c r="N24" t="s">
        <v>26</v>
      </c>
      <c r="S24">
        <v>1</v>
      </c>
      <c r="T24">
        <v>19</v>
      </c>
      <c r="W24" s="7"/>
      <c r="X24">
        <v>1901</v>
      </c>
      <c r="Y24" s="7"/>
      <c r="Z24" s="7"/>
      <c r="AA24" t="s">
        <v>1572</v>
      </c>
      <c r="AB24" s="7"/>
      <c r="AC24" s="7">
        <v>1</v>
      </c>
      <c r="AD24" s="7"/>
      <c r="AE24" s="7"/>
      <c r="AF24">
        <v>1</v>
      </c>
      <c r="AG24" t="s">
        <v>718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7"/>
      <c r="B25" s="7"/>
      <c r="C25" s="7"/>
      <c r="D25" s="7"/>
      <c r="E25" s="7"/>
      <c r="H25">
        <v>8</v>
      </c>
      <c r="W25" s="7"/>
      <c r="Y25" s="7"/>
      <c r="Z25" s="7"/>
      <c r="AB25" s="7"/>
      <c r="AC25" s="7"/>
      <c r="AD25" s="7"/>
      <c r="AE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 t="s">
        <v>579</v>
      </c>
      <c r="B26" s="7">
        <v>2021</v>
      </c>
      <c r="C26" s="7"/>
      <c r="D26" s="7" t="s">
        <v>580</v>
      </c>
      <c r="E26" s="7"/>
      <c r="G26" t="s">
        <v>1</v>
      </c>
      <c r="J26" t="s">
        <v>3</v>
      </c>
      <c r="N26" t="s">
        <v>2</v>
      </c>
      <c r="T26" t="s">
        <v>5</v>
      </c>
      <c r="W26" s="7"/>
      <c r="X26" t="s">
        <v>4</v>
      </c>
      <c r="Y26" s="7"/>
      <c r="Z26" s="7"/>
      <c r="AA26" t="s">
        <v>7</v>
      </c>
      <c r="AB26" s="7"/>
      <c r="AC26" s="7"/>
      <c r="AD26" s="7"/>
      <c r="AE26" s="7"/>
      <c r="AG26" t="s">
        <v>6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 t="s">
        <v>579</v>
      </c>
      <c r="B27" s="7">
        <v>2021</v>
      </c>
      <c r="C27" s="7">
        <v>4</v>
      </c>
      <c r="D27" s="7" t="s">
        <v>580</v>
      </c>
      <c r="E27" s="7"/>
      <c r="F27">
        <v>9</v>
      </c>
      <c r="G27" t="s">
        <v>1574</v>
      </c>
      <c r="H27" t="s">
        <v>1573</v>
      </c>
      <c r="I27">
        <v>19</v>
      </c>
      <c r="K27">
        <v>1</v>
      </c>
      <c r="N27">
        <v>1</v>
      </c>
      <c r="T27">
        <v>43</v>
      </c>
      <c r="W27" s="7"/>
      <c r="X27">
        <v>1878</v>
      </c>
      <c r="Y27" s="7"/>
      <c r="Z27" s="7"/>
      <c r="AA27" t="s">
        <v>1575</v>
      </c>
      <c r="AB27" s="7"/>
      <c r="AC27" s="7">
        <v>1</v>
      </c>
      <c r="AD27" s="7"/>
      <c r="AE27" s="7"/>
      <c r="AG27" t="s">
        <v>778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 t="s">
        <v>579</v>
      </c>
      <c r="B28" s="7">
        <v>2021</v>
      </c>
      <c r="C28" s="7">
        <v>4</v>
      </c>
      <c r="D28" s="7" t="s">
        <v>580</v>
      </c>
      <c r="E28" s="7"/>
      <c r="G28" t="s">
        <v>1574</v>
      </c>
      <c r="H28" t="s">
        <v>1576</v>
      </c>
      <c r="I28">
        <v>20</v>
      </c>
      <c r="J28">
        <v>1</v>
      </c>
      <c r="N28" t="s">
        <v>18</v>
      </c>
      <c r="O28">
        <v>1</v>
      </c>
      <c r="T28">
        <v>42</v>
      </c>
      <c r="W28" s="7"/>
      <c r="X28">
        <v>1879</v>
      </c>
      <c r="Y28" s="7"/>
      <c r="Z28" s="7"/>
      <c r="AA28" t="s">
        <v>50</v>
      </c>
      <c r="AB28" s="7"/>
      <c r="AC28" s="7"/>
      <c r="AD28" s="7"/>
      <c r="AE28" s="7"/>
      <c r="AF28">
        <v>1</v>
      </c>
      <c r="AG28" t="s">
        <v>14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 t="s">
        <v>579</v>
      </c>
      <c r="B29" s="7">
        <v>2021</v>
      </c>
      <c r="C29" s="7">
        <v>4</v>
      </c>
      <c r="D29" s="7" t="s">
        <v>580</v>
      </c>
      <c r="E29" s="7"/>
      <c r="G29" t="s">
        <v>1574</v>
      </c>
      <c r="H29" t="s">
        <v>1577</v>
      </c>
      <c r="I29">
        <v>21</v>
      </c>
      <c r="J29">
        <v>1</v>
      </c>
      <c r="N29" t="s">
        <v>22</v>
      </c>
      <c r="P29">
        <v>1</v>
      </c>
      <c r="T29">
        <v>16</v>
      </c>
      <c r="W29" s="7"/>
      <c r="X29">
        <v>1904</v>
      </c>
      <c r="Y29" s="7"/>
      <c r="Z29" s="7"/>
      <c r="AA29" t="s">
        <v>20</v>
      </c>
      <c r="AB29" s="7"/>
      <c r="AC29" s="7"/>
      <c r="AD29" s="7"/>
      <c r="AE29" s="7"/>
      <c r="AF29">
        <v>1</v>
      </c>
      <c r="AG29" t="s">
        <v>755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 t="s">
        <v>579</v>
      </c>
      <c r="B30" s="7">
        <v>2021</v>
      </c>
      <c r="C30" s="7">
        <v>4</v>
      </c>
      <c r="D30" s="7" t="s">
        <v>580</v>
      </c>
      <c r="E30" s="7"/>
      <c r="G30" t="s">
        <v>1574</v>
      </c>
      <c r="H30" t="s">
        <v>1578</v>
      </c>
      <c r="I30">
        <v>22</v>
      </c>
      <c r="J30" t="s">
        <v>19</v>
      </c>
      <c r="L30">
        <v>1</v>
      </c>
      <c r="N30" t="s">
        <v>22</v>
      </c>
      <c r="P30">
        <v>1</v>
      </c>
      <c r="T30">
        <v>9</v>
      </c>
      <c r="W30" s="7"/>
      <c r="X30">
        <v>1912</v>
      </c>
      <c r="Y30" s="7"/>
      <c r="Z30" s="7"/>
      <c r="AA30" t="s">
        <v>20</v>
      </c>
      <c r="AB30" s="7"/>
      <c r="AC30" s="7"/>
      <c r="AD30" s="7"/>
      <c r="AE30" s="7"/>
      <c r="AF30">
        <v>1</v>
      </c>
      <c r="AG30" t="s">
        <v>755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 t="s">
        <v>579</v>
      </c>
      <c r="B31" s="7">
        <v>2021</v>
      </c>
      <c r="C31" s="7">
        <v>4</v>
      </c>
      <c r="D31" s="7" t="s">
        <v>580</v>
      </c>
      <c r="E31" s="7"/>
      <c r="G31" t="s">
        <v>1579</v>
      </c>
      <c r="H31" t="s">
        <v>398</v>
      </c>
      <c r="I31">
        <v>23</v>
      </c>
      <c r="J31">
        <v>1</v>
      </c>
      <c r="N31" t="s">
        <v>26</v>
      </c>
      <c r="S31">
        <v>1</v>
      </c>
      <c r="T31">
        <v>26</v>
      </c>
      <c r="W31" s="7"/>
      <c r="X31">
        <v>1895</v>
      </c>
      <c r="Y31" s="7"/>
      <c r="Z31" s="7"/>
      <c r="AA31" t="s">
        <v>344</v>
      </c>
      <c r="AB31" s="7"/>
      <c r="AC31" s="7">
        <v>1</v>
      </c>
      <c r="AD31" s="7"/>
      <c r="AE31" s="7"/>
      <c r="AG31" t="s">
        <v>1164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7"/>
      <c r="B32" s="7"/>
      <c r="C32" s="7"/>
      <c r="D32" s="7"/>
      <c r="E32" s="7"/>
      <c r="F32" s="7"/>
      <c r="G32" s="7"/>
      <c r="H32" s="7">
        <v>5</v>
      </c>
      <c r="J32" s="7"/>
      <c r="N32" s="7"/>
      <c r="T32" s="7"/>
      <c r="W32" s="7"/>
      <c r="X32" s="7"/>
      <c r="Y32" s="7"/>
      <c r="Z32" s="7"/>
      <c r="AA32" s="7"/>
      <c r="AB32" s="7"/>
      <c r="AC32" s="7"/>
      <c r="AD32" s="7"/>
      <c r="AE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7" t="s">
        <v>579</v>
      </c>
      <c r="B33" s="7">
        <v>2021</v>
      </c>
      <c r="C33" s="7"/>
      <c r="D33" s="7" t="s">
        <v>580</v>
      </c>
      <c r="E33" s="7"/>
      <c r="G33" t="s">
        <v>1</v>
      </c>
      <c r="H33" t="s">
        <v>0</v>
      </c>
      <c r="J33" t="s">
        <v>3</v>
      </c>
      <c r="N33" t="s">
        <v>2</v>
      </c>
      <c r="T33" t="s">
        <v>5</v>
      </c>
      <c r="W33" s="7"/>
      <c r="X33" t="s">
        <v>4</v>
      </c>
      <c r="Y33" s="7"/>
      <c r="Z33" s="7"/>
      <c r="AA33" t="s">
        <v>7</v>
      </c>
      <c r="AB33" s="7"/>
      <c r="AC33" s="7"/>
      <c r="AD33" s="7"/>
      <c r="AE33" s="7"/>
      <c r="AG33" t="s">
        <v>6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s="55" customFormat="1" ht="17" customHeight="1" x14ac:dyDescent="0.2">
      <c r="A34" s="227" t="s">
        <v>579</v>
      </c>
      <c r="B34" s="227">
        <v>2021</v>
      </c>
      <c r="C34" s="227">
        <v>5</v>
      </c>
      <c r="D34" s="227" t="s">
        <v>580</v>
      </c>
      <c r="E34" s="227"/>
      <c r="F34" s="55">
        <v>11</v>
      </c>
      <c r="G34" s="55" t="s">
        <v>1733</v>
      </c>
      <c r="H34" s="55" t="s">
        <v>1732</v>
      </c>
      <c r="I34" s="55">
        <v>24</v>
      </c>
      <c r="J34" s="55">
        <v>1</v>
      </c>
      <c r="N34" s="55">
        <v>1</v>
      </c>
      <c r="T34" s="55">
        <v>55</v>
      </c>
      <c r="W34" s="227"/>
      <c r="X34" s="55">
        <v>1865</v>
      </c>
      <c r="Y34" s="227"/>
      <c r="Z34" s="227"/>
      <c r="AA34" s="55" t="s">
        <v>20</v>
      </c>
      <c r="AB34" s="227"/>
      <c r="AC34" s="227"/>
      <c r="AD34" s="227"/>
      <c r="AE34" s="227"/>
      <c r="AF34" s="55">
        <v>1</v>
      </c>
      <c r="AG34" s="55" t="s">
        <v>49</v>
      </c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227"/>
      <c r="AY34" s="227"/>
    </row>
    <row r="35" spans="1:51" ht="17.5" customHeight="1" x14ac:dyDescent="0.2">
      <c r="A35" s="7" t="s">
        <v>579</v>
      </c>
      <c r="B35" s="7">
        <v>2021</v>
      </c>
      <c r="C35" s="7">
        <v>5</v>
      </c>
      <c r="D35" s="7" t="s">
        <v>580</v>
      </c>
      <c r="E35" s="7"/>
      <c r="G35" t="s">
        <v>1735</v>
      </c>
      <c r="H35" t="s">
        <v>1734</v>
      </c>
      <c r="I35">
        <v>25</v>
      </c>
      <c r="J35">
        <v>1</v>
      </c>
      <c r="N35" t="s">
        <v>144</v>
      </c>
      <c r="R35">
        <v>1</v>
      </c>
      <c r="T35">
        <v>57</v>
      </c>
      <c r="W35" s="7"/>
      <c r="X35">
        <v>1864</v>
      </c>
      <c r="Y35" s="7"/>
      <c r="Z35" s="7"/>
      <c r="AA35" t="s">
        <v>20</v>
      </c>
      <c r="AB35" s="7"/>
      <c r="AC35" s="7"/>
      <c r="AD35" s="7"/>
      <c r="AE35" s="7"/>
      <c r="AF35">
        <v>1</v>
      </c>
      <c r="AG35" t="s">
        <v>49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7" t="s">
        <v>579</v>
      </c>
      <c r="B36" s="7">
        <v>2021</v>
      </c>
      <c r="C36" s="7">
        <v>5</v>
      </c>
      <c r="D36" s="7" t="s">
        <v>580</v>
      </c>
      <c r="E36" s="7"/>
      <c r="G36" t="s">
        <v>1736</v>
      </c>
      <c r="H36" t="s">
        <v>655</v>
      </c>
      <c r="I36">
        <v>26</v>
      </c>
      <c r="J36">
        <v>1</v>
      </c>
      <c r="N36" t="s">
        <v>26</v>
      </c>
      <c r="S36">
        <v>1</v>
      </c>
      <c r="T36">
        <v>38</v>
      </c>
      <c r="W36" s="7"/>
      <c r="X36">
        <v>1883</v>
      </c>
      <c r="Y36" s="7"/>
      <c r="Z36" s="7"/>
      <c r="AA36" t="s">
        <v>20</v>
      </c>
      <c r="AB36" s="7"/>
      <c r="AC36" s="22"/>
      <c r="AD36" s="22"/>
      <c r="AE36" s="7"/>
      <c r="AF36">
        <v>1</v>
      </c>
      <c r="AG36" t="s">
        <v>749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 t="s">
        <v>579</v>
      </c>
      <c r="B37" s="7">
        <v>2021</v>
      </c>
      <c r="C37" s="7"/>
      <c r="D37" s="7" t="s">
        <v>580</v>
      </c>
      <c r="E37" s="7"/>
      <c r="H37">
        <v>3</v>
      </c>
      <c r="W37" s="7"/>
      <c r="Y37" s="7"/>
      <c r="Z37" s="7"/>
      <c r="AB37" s="7"/>
      <c r="AC37" s="7"/>
      <c r="AD37" s="7"/>
      <c r="AE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">
      <c r="A38" s="7" t="s">
        <v>579</v>
      </c>
      <c r="B38" s="7">
        <v>2021</v>
      </c>
      <c r="C38" s="7"/>
      <c r="D38" s="7" t="s">
        <v>580</v>
      </c>
      <c r="G38" t="s">
        <v>1</v>
      </c>
      <c r="H38" t="s">
        <v>0</v>
      </c>
      <c r="J38" t="s">
        <v>3</v>
      </c>
      <c r="N38" t="s">
        <v>2</v>
      </c>
      <c r="T38" t="s">
        <v>5</v>
      </c>
      <c r="X38" t="s">
        <v>4</v>
      </c>
      <c r="AA38" t="s">
        <v>7</v>
      </c>
      <c r="AG38" t="s">
        <v>6</v>
      </c>
    </row>
    <row r="39" spans="1:51" x14ac:dyDescent="0.2">
      <c r="A39" s="7" t="s">
        <v>579</v>
      </c>
      <c r="B39" s="7">
        <v>2021</v>
      </c>
      <c r="C39" s="7">
        <v>6</v>
      </c>
      <c r="D39" s="7" t="s">
        <v>580</v>
      </c>
      <c r="G39" t="s">
        <v>1580</v>
      </c>
      <c r="H39" t="s">
        <v>315</v>
      </c>
      <c r="I39">
        <v>27</v>
      </c>
      <c r="J39" t="s">
        <v>13</v>
      </c>
      <c r="K39">
        <v>1</v>
      </c>
      <c r="N39">
        <v>1</v>
      </c>
      <c r="T39">
        <v>47</v>
      </c>
      <c r="X39">
        <v>1874</v>
      </c>
      <c r="AA39" t="s">
        <v>942</v>
      </c>
      <c r="AC39">
        <v>1</v>
      </c>
      <c r="AG39" t="s">
        <v>368</v>
      </c>
    </row>
    <row r="40" spans="1:51" x14ac:dyDescent="0.2">
      <c r="A40" s="7" t="s">
        <v>579</v>
      </c>
      <c r="B40" s="7">
        <v>2021</v>
      </c>
      <c r="C40" s="7">
        <v>6</v>
      </c>
      <c r="D40" s="7" t="s">
        <v>580</v>
      </c>
      <c r="G40" t="s">
        <v>1580</v>
      </c>
      <c r="H40" t="s">
        <v>1581</v>
      </c>
      <c r="I40">
        <v>28</v>
      </c>
      <c r="J40">
        <v>1</v>
      </c>
      <c r="N40" t="s">
        <v>18</v>
      </c>
      <c r="O40">
        <v>1</v>
      </c>
      <c r="T40">
        <v>51</v>
      </c>
      <c r="X40">
        <v>1870</v>
      </c>
      <c r="AA40" t="s">
        <v>50</v>
      </c>
      <c r="AF40">
        <v>1</v>
      </c>
      <c r="AG40" t="s">
        <v>14</v>
      </c>
    </row>
    <row r="41" spans="1:51" x14ac:dyDescent="0.2">
      <c r="A41" s="7" t="s">
        <v>579</v>
      </c>
      <c r="B41" s="7">
        <v>2021</v>
      </c>
      <c r="C41" s="7"/>
      <c r="D41" s="7" t="s">
        <v>580</v>
      </c>
      <c r="H41">
        <v>2</v>
      </c>
    </row>
    <row r="42" spans="1:51" x14ac:dyDescent="0.2">
      <c r="A42" s="7" t="s">
        <v>579</v>
      </c>
      <c r="B42" s="7">
        <v>2021</v>
      </c>
      <c r="C42" s="7"/>
      <c r="D42" s="7" t="s">
        <v>580</v>
      </c>
      <c r="G42" t="s">
        <v>1</v>
      </c>
      <c r="H42" t="s">
        <v>0</v>
      </c>
      <c r="J42" t="s">
        <v>3</v>
      </c>
      <c r="N42" t="s">
        <v>2</v>
      </c>
      <c r="T42" t="s">
        <v>5</v>
      </c>
      <c r="X42" t="s">
        <v>4</v>
      </c>
      <c r="AA42" t="s">
        <v>7</v>
      </c>
      <c r="AG42" t="s">
        <v>6</v>
      </c>
    </row>
    <row r="43" spans="1:51" x14ac:dyDescent="0.2">
      <c r="A43" s="7" t="s">
        <v>579</v>
      </c>
      <c r="B43" s="7">
        <v>2021</v>
      </c>
      <c r="C43" s="7">
        <v>7</v>
      </c>
      <c r="D43" s="7" t="s">
        <v>580</v>
      </c>
      <c r="F43">
        <v>2</v>
      </c>
      <c r="G43" t="s">
        <v>1583</v>
      </c>
      <c r="H43" t="s">
        <v>1582</v>
      </c>
      <c r="I43">
        <v>29</v>
      </c>
      <c r="J43" t="s">
        <v>13</v>
      </c>
      <c r="K43">
        <v>1</v>
      </c>
      <c r="N43">
        <v>1</v>
      </c>
      <c r="T43">
        <v>75</v>
      </c>
      <c r="X43">
        <v>1845</v>
      </c>
      <c r="AA43" t="s">
        <v>1584</v>
      </c>
      <c r="AG43" t="s">
        <v>20</v>
      </c>
    </row>
    <row r="44" spans="1:51" x14ac:dyDescent="0.2">
      <c r="A44" s="7" t="s">
        <v>579</v>
      </c>
      <c r="B44" s="7">
        <v>2021</v>
      </c>
      <c r="C44" s="7">
        <v>7</v>
      </c>
      <c r="D44" s="7" t="s">
        <v>580</v>
      </c>
      <c r="G44" t="s">
        <v>1583</v>
      </c>
      <c r="H44" t="s">
        <v>324</v>
      </c>
      <c r="I44">
        <v>30</v>
      </c>
      <c r="J44">
        <v>1</v>
      </c>
      <c r="N44" t="s">
        <v>18</v>
      </c>
      <c r="O44">
        <v>1</v>
      </c>
      <c r="T44">
        <v>71</v>
      </c>
      <c r="X44">
        <v>1850</v>
      </c>
      <c r="AA44" t="s">
        <v>50</v>
      </c>
      <c r="AF44">
        <v>1</v>
      </c>
      <c r="AG44" t="s">
        <v>901</v>
      </c>
    </row>
    <row r="45" spans="1:51" x14ac:dyDescent="0.2">
      <c r="A45" s="7" t="s">
        <v>579</v>
      </c>
      <c r="B45" s="7">
        <v>2021</v>
      </c>
      <c r="C45" s="7"/>
      <c r="D45" s="7" t="s">
        <v>580</v>
      </c>
      <c r="H45">
        <v>2</v>
      </c>
    </row>
    <row r="46" spans="1:51" x14ac:dyDescent="0.2">
      <c r="A46" s="7" t="s">
        <v>579</v>
      </c>
      <c r="B46" s="7">
        <v>2021</v>
      </c>
      <c r="C46" s="7"/>
      <c r="D46" s="7" t="s">
        <v>580</v>
      </c>
      <c r="G46" t="s">
        <v>1</v>
      </c>
      <c r="H46" t="s">
        <v>0</v>
      </c>
      <c r="J46" t="s">
        <v>3</v>
      </c>
      <c r="N46" t="s">
        <v>2</v>
      </c>
      <c r="T46" t="s">
        <v>5</v>
      </c>
      <c r="X46" t="s">
        <v>4</v>
      </c>
      <c r="AA46" t="s">
        <v>7</v>
      </c>
      <c r="AB46" t="s">
        <v>20</v>
      </c>
      <c r="AG46" t="s">
        <v>6</v>
      </c>
    </row>
    <row r="47" spans="1:51" x14ac:dyDescent="0.2">
      <c r="A47" s="7" t="s">
        <v>579</v>
      </c>
      <c r="B47" s="7">
        <v>2021</v>
      </c>
      <c r="C47" s="7">
        <v>8</v>
      </c>
      <c r="D47" s="7" t="s">
        <v>580</v>
      </c>
      <c r="F47">
        <v>4</v>
      </c>
      <c r="G47" t="s">
        <v>1586</v>
      </c>
      <c r="H47" t="s">
        <v>1585</v>
      </c>
      <c r="I47">
        <v>31</v>
      </c>
      <c r="J47" t="s">
        <v>13</v>
      </c>
      <c r="K47">
        <v>1</v>
      </c>
      <c r="N47">
        <v>1</v>
      </c>
      <c r="T47">
        <v>71</v>
      </c>
      <c r="X47">
        <v>1850</v>
      </c>
      <c r="AA47" t="s">
        <v>1588</v>
      </c>
      <c r="AB47" t="s">
        <v>20</v>
      </c>
      <c r="AG47" t="s">
        <v>1587</v>
      </c>
    </row>
    <row r="48" spans="1:51" x14ac:dyDescent="0.2">
      <c r="A48" s="7" t="s">
        <v>579</v>
      </c>
      <c r="B48" s="7">
        <v>2021</v>
      </c>
      <c r="C48" s="7">
        <v>8</v>
      </c>
      <c r="D48" s="7" t="s">
        <v>580</v>
      </c>
      <c r="G48" t="s">
        <v>1586</v>
      </c>
      <c r="H48" t="s">
        <v>1318</v>
      </c>
      <c r="I48">
        <v>32</v>
      </c>
      <c r="J48">
        <v>1</v>
      </c>
      <c r="N48" t="s">
        <v>18</v>
      </c>
      <c r="O48">
        <v>1</v>
      </c>
      <c r="T48">
        <v>68</v>
      </c>
      <c r="X48">
        <v>1853</v>
      </c>
    </row>
    <row r="49" spans="1:33" x14ac:dyDescent="0.2">
      <c r="A49" s="7" t="s">
        <v>579</v>
      </c>
      <c r="B49" s="7">
        <v>2021</v>
      </c>
      <c r="C49" s="7">
        <v>8</v>
      </c>
      <c r="D49" s="7" t="s">
        <v>580</v>
      </c>
      <c r="G49" t="s">
        <v>1586</v>
      </c>
      <c r="H49" t="s">
        <v>1589</v>
      </c>
      <c r="I49">
        <v>33</v>
      </c>
      <c r="J49">
        <v>1</v>
      </c>
      <c r="N49" t="s">
        <v>22</v>
      </c>
      <c r="P49">
        <v>1</v>
      </c>
      <c r="T49">
        <v>28</v>
      </c>
      <c r="X49">
        <v>1893</v>
      </c>
      <c r="AG49" t="s">
        <v>6</v>
      </c>
    </row>
    <row r="50" spans="1:33" x14ac:dyDescent="0.2">
      <c r="A50" s="7" t="s">
        <v>579</v>
      </c>
      <c r="B50" s="7">
        <v>2021</v>
      </c>
      <c r="C50" s="7"/>
      <c r="D50" s="7" t="s">
        <v>580</v>
      </c>
      <c r="H50">
        <v>3</v>
      </c>
      <c r="AF50">
        <v>1</v>
      </c>
      <c r="AG50" t="s">
        <v>49</v>
      </c>
    </row>
    <row r="51" spans="1:33" x14ac:dyDescent="0.2">
      <c r="A51" s="7" t="s">
        <v>579</v>
      </c>
      <c r="B51" s="7">
        <v>2021</v>
      </c>
      <c r="C51" s="7"/>
      <c r="D51" s="7" t="s">
        <v>580</v>
      </c>
      <c r="G51" t="s">
        <v>1</v>
      </c>
      <c r="H51" t="s">
        <v>0</v>
      </c>
      <c r="J51" t="s">
        <v>3</v>
      </c>
      <c r="N51" t="s">
        <v>2</v>
      </c>
      <c r="T51" t="s">
        <v>5</v>
      </c>
      <c r="X51" t="s">
        <v>4</v>
      </c>
      <c r="AA51" t="s">
        <v>7</v>
      </c>
      <c r="AB51" t="s">
        <v>8</v>
      </c>
      <c r="AG51" t="s">
        <v>778</v>
      </c>
    </row>
    <row r="52" spans="1:33" x14ac:dyDescent="0.2">
      <c r="A52" s="7" t="s">
        <v>579</v>
      </c>
      <c r="B52" s="7">
        <v>2021</v>
      </c>
      <c r="C52" s="7">
        <v>9</v>
      </c>
      <c r="D52" s="7" t="s">
        <v>580</v>
      </c>
      <c r="F52">
        <v>6</v>
      </c>
      <c r="G52" t="s">
        <v>1591</v>
      </c>
      <c r="H52" t="s">
        <v>1590</v>
      </c>
      <c r="I52">
        <v>34</v>
      </c>
      <c r="J52" t="s">
        <v>13</v>
      </c>
      <c r="K52">
        <v>1</v>
      </c>
      <c r="N52">
        <v>1</v>
      </c>
      <c r="T52">
        <v>46</v>
      </c>
      <c r="X52">
        <v>1875</v>
      </c>
      <c r="AA52" t="s">
        <v>1592</v>
      </c>
      <c r="AB52" t="s">
        <v>1593</v>
      </c>
      <c r="AC52">
        <v>1</v>
      </c>
      <c r="AG52" t="s">
        <v>1596</v>
      </c>
    </row>
    <row r="53" spans="1:33" x14ac:dyDescent="0.2">
      <c r="A53" s="7" t="s">
        <v>579</v>
      </c>
      <c r="B53" s="7">
        <v>2021</v>
      </c>
      <c r="C53" s="7">
        <v>9</v>
      </c>
      <c r="D53" s="7" t="s">
        <v>580</v>
      </c>
      <c r="G53" t="s">
        <v>1591</v>
      </c>
      <c r="H53" t="s">
        <v>1594</v>
      </c>
      <c r="I53">
        <v>35</v>
      </c>
      <c r="J53">
        <v>1</v>
      </c>
      <c r="N53" t="s">
        <v>18</v>
      </c>
      <c r="O53">
        <v>1</v>
      </c>
      <c r="T53">
        <v>46</v>
      </c>
      <c r="X53">
        <v>1875</v>
      </c>
      <c r="AA53" t="s">
        <v>50</v>
      </c>
      <c r="AB53" t="s">
        <v>20</v>
      </c>
      <c r="AG53" t="s">
        <v>1599</v>
      </c>
    </row>
    <row r="54" spans="1:33" x14ac:dyDescent="0.2">
      <c r="A54" s="7" t="s">
        <v>579</v>
      </c>
      <c r="B54" s="7">
        <v>2021</v>
      </c>
      <c r="C54" s="7">
        <v>9</v>
      </c>
      <c r="D54" s="7" t="s">
        <v>580</v>
      </c>
      <c r="G54" t="s">
        <v>1595</v>
      </c>
      <c r="H54" t="s">
        <v>1510</v>
      </c>
      <c r="I54">
        <v>36</v>
      </c>
      <c r="J54">
        <v>1</v>
      </c>
      <c r="N54" t="s">
        <v>26</v>
      </c>
      <c r="S54">
        <v>1</v>
      </c>
      <c r="T54">
        <v>36</v>
      </c>
      <c r="X54">
        <v>1885</v>
      </c>
      <c r="AA54" t="s">
        <v>1597</v>
      </c>
      <c r="AB54" t="s">
        <v>29</v>
      </c>
      <c r="AC54">
        <v>1</v>
      </c>
    </row>
    <row r="55" spans="1:33" x14ac:dyDescent="0.2">
      <c r="A55" s="7" t="s">
        <v>579</v>
      </c>
      <c r="B55" s="7">
        <v>2021</v>
      </c>
      <c r="C55" s="7">
        <v>9</v>
      </c>
      <c r="D55" s="7" t="s">
        <v>580</v>
      </c>
      <c r="G55" t="s">
        <v>1598</v>
      </c>
      <c r="H55" t="s">
        <v>829</v>
      </c>
      <c r="I55">
        <v>37</v>
      </c>
      <c r="J55">
        <v>1</v>
      </c>
      <c r="N55" t="s">
        <v>26</v>
      </c>
      <c r="S55">
        <v>1</v>
      </c>
      <c r="T55">
        <v>21</v>
      </c>
      <c r="X55">
        <v>1900</v>
      </c>
      <c r="AA55" t="s">
        <v>1600</v>
      </c>
      <c r="AB55" t="s">
        <v>29</v>
      </c>
      <c r="AC55">
        <v>1</v>
      </c>
    </row>
    <row r="56" spans="1:33" x14ac:dyDescent="0.2">
      <c r="A56" s="7"/>
      <c r="B56" s="7"/>
      <c r="C56" s="7"/>
      <c r="D56" s="7"/>
      <c r="H56">
        <v>4</v>
      </c>
    </row>
    <row r="57" spans="1:33" s="55" customFormat="1" x14ac:dyDescent="0.2">
      <c r="A57" s="227" t="s">
        <v>579</v>
      </c>
      <c r="B57" s="227">
        <v>2021</v>
      </c>
      <c r="C57" s="227">
        <v>10</v>
      </c>
      <c r="D57" s="227" t="s">
        <v>580</v>
      </c>
      <c r="F57" s="55">
        <v>8</v>
      </c>
      <c r="G57" s="55" t="s">
        <v>1602</v>
      </c>
      <c r="H57" s="55" t="s">
        <v>1601</v>
      </c>
      <c r="I57">
        <v>38</v>
      </c>
      <c r="J57" s="55">
        <v>1</v>
      </c>
      <c r="N57" s="55">
        <v>1</v>
      </c>
      <c r="O57" s="242"/>
      <c r="P57" s="242"/>
      <c r="Q57" s="242"/>
      <c r="T57" s="55">
        <v>63</v>
      </c>
      <c r="AA57" s="55" t="s">
        <v>290</v>
      </c>
      <c r="AG57" s="55">
        <v>1</v>
      </c>
    </row>
    <row r="58" spans="1:33" x14ac:dyDescent="0.2">
      <c r="A58" s="7" t="s">
        <v>579</v>
      </c>
      <c r="B58" s="7">
        <v>2021</v>
      </c>
      <c r="C58" s="7"/>
      <c r="D58" s="7" t="s">
        <v>580</v>
      </c>
      <c r="H58">
        <v>1</v>
      </c>
    </row>
    <row r="59" spans="1:33" x14ac:dyDescent="0.2">
      <c r="A59" s="7" t="s">
        <v>579</v>
      </c>
      <c r="B59" s="7">
        <v>2021</v>
      </c>
      <c r="C59" s="7"/>
      <c r="D59" s="7" t="s">
        <v>580</v>
      </c>
      <c r="G59" t="s">
        <v>1</v>
      </c>
      <c r="H59" t="s">
        <v>0</v>
      </c>
      <c r="J59" t="s">
        <v>3</v>
      </c>
      <c r="N59" t="s">
        <v>2</v>
      </c>
      <c r="T59" t="s">
        <v>5</v>
      </c>
      <c r="X59" t="s">
        <v>4</v>
      </c>
      <c r="AA59" t="s">
        <v>7</v>
      </c>
      <c r="AB59" t="s">
        <v>8</v>
      </c>
      <c r="AG59" t="s">
        <v>6</v>
      </c>
    </row>
    <row r="60" spans="1:33" x14ac:dyDescent="0.2">
      <c r="A60" s="7" t="s">
        <v>579</v>
      </c>
      <c r="B60" s="7">
        <v>2021</v>
      </c>
      <c r="C60" s="7">
        <v>11</v>
      </c>
      <c r="D60" s="7" t="s">
        <v>580</v>
      </c>
      <c r="F60">
        <v>10</v>
      </c>
      <c r="G60" t="s">
        <v>757</v>
      </c>
      <c r="H60" t="s">
        <v>1604</v>
      </c>
      <c r="I60">
        <v>39</v>
      </c>
      <c r="J60">
        <v>1</v>
      </c>
      <c r="N60" t="s">
        <v>1238</v>
      </c>
      <c r="R60">
        <v>1</v>
      </c>
      <c r="T60">
        <v>77</v>
      </c>
      <c r="X60">
        <v>1844</v>
      </c>
      <c r="AA60" t="s">
        <v>20</v>
      </c>
      <c r="AB60" t="s">
        <v>20</v>
      </c>
      <c r="AG60" t="s">
        <v>1605</v>
      </c>
    </row>
    <row r="61" spans="1:33" x14ac:dyDescent="0.2">
      <c r="A61" s="7" t="s">
        <v>579</v>
      </c>
      <c r="B61" s="7">
        <v>2021</v>
      </c>
      <c r="C61" s="7">
        <v>11</v>
      </c>
      <c r="D61" s="7" t="s">
        <v>580</v>
      </c>
      <c r="G61" t="s">
        <v>1607</v>
      </c>
      <c r="H61" t="s">
        <v>1606</v>
      </c>
      <c r="I61">
        <v>40</v>
      </c>
      <c r="J61" t="s">
        <v>13</v>
      </c>
      <c r="K61">
        <v>1</v>
      </c>
      <c r="N61" t="s">
        <v>26</v>
      </c>
      <c r="S61">
        <v>1</v>
      </c>
      <c r="T61">
        <v>32</v>
      </c>
      <c r="X61">
        <v>1888</v>
      </c>
      <c r="AA61" t="s">
        <v>1608</v>
      </c>
      <c r="AB61" t="s">
        <v>29</v>
      </c>
      <c r="AF61">
        <v>1</v>
      </c>
      <c r="AG61" t="s">
        <v>14</v>
      </c>
    </row>
    <row r="62" spans="1:33" x14ac:dyDescent="0.2">
      <c r="A62" s="7" t="s">
        <v>579</v>
      </c>
      <c r="B62" s="7">
        <v>2021</v>
      </c>
      <c r="C62" s="7"/>
      <c r="D62" s="7" t="s">
        <v>580</v>
      </c>
      <c r="H62">
        <v>2</v>
      </c>
    </row>
    <row r="63" spans="1:33" x14ac:dyDescent="0.2">
      <c r="A63" s="7" t="s">
        <v>579</v>
      </c>
      <c r="B63" s="7">
        <v>2021</v>
      </c>
      <c r="C63" s="7"/>
      <c r="D63" s="7" t="s">
        <v>580</v>
      </c>
      <c r="G63" t="s">
        <v>1</v>
      </c>
      <c r="H63" t="s">
        <v>0</v>
      </c>
      <c r="J63" t="s">
        <v>3</v>
      </c>
      <c r="N63" t="s">
        <v>2</v>
      </c>
      <c r="T63" t="s">
        <v>5</v>
      </c>
      <c r="X63" t="s">
        <v>4</v>
      </c>
      <c r="AA63" t="s">
        <v>7</v>
      </c>
      <c r="AB63" t="s">
        <v>8</v>
      </c>
      <c r="AG63" t="s">
        <v>6</v>
      </c>
    </row>
    <row r="64" spans="1:33" x14ac:dyDescent="0.2">
      <c r="A64" s="7" t="s">
        <v>579</v>
      </c>
      <c r="B64" s="7">
        <v>2021</v>
      </c>
      <c r="C64" s="7">
        <v>12</v>
      </c>
      <c r="D64" s="7" t="s">
        <v>580</v>
      </c>
      <c r="F64">
        <v>13</v>
      </c>
      <c r="G64" t="s">
        <v>1610</v>
      </c>
      <c r="H64" t="s">
        <v>1609</v>
      </c>
      <c r="I64">
        <v>41</v>
      </c>
      <c r="J64">
        <v>1</v>
      </c>
      <c r="N64">
        <v>1</v>
      </c>
      <c r="T64">
        <v>45</v>
      </c>
      <c r="X64">
        <v>1876</v>
      </c>
      <c r="AA64" t="s">
        <v>47</v>
      </c>
      <c r="AB64" t="s">
        <v>8</v>
      </c>
      <c r="AD64">
        <v>1</v>
      </c>
      <c r="AF64">
        <v>1</v>
      </c>
      <c r="AG64" t="s">
        <v>49</v>
      </c>
    </row>
    <row r="65" spans="1:33" x14ac:dyDescent="0.2">
      <c r="A65" s="7" t="s">
        <v>579</v>
      </c>
      <c r="B65" s="7">
        <v>2021</v>
      </c>
      <c r="C65" s="7">
        <v>12</v>
      </c>
      <c r="D65" s="7" t="s">
        <v>580</v>
      </c>
      <c r="G65" t="s">
        <v>1612</v>
      </c>
      <c r="H65" t="s">
        <v>1611</v>
      </c>
      <c r="I65">
        <v>42</v>
      </c>
      <c r="J65">
        <v>1</v>
      </c>
      <c r="N65" t="s">
        <v>26</v>
      </c>
      <c r="S65">
        <v>1</v>
      </c>
      <c r="T65">
        <v>52</v>
      </c>
      <c r="X65">
        <v>1869</v>
      </c>
      <c r="AA65" t="s">
        <v>1614</v>
      </c>
      <c r="AB65" t="s">
        <v>1615</v>
      </c>
      <c r="AC65">
        <v>1</v>
      </c>
      <c r="AG65" t="s">
        <v>1613</v>
      </c>
    </row>
    <row r="66" spans="1:33" x14ac:dyDescent="0.2">
      <c r="A66" s="7" t="s">
        <v>579</v>
      </c>
      <c r="B66" s="7">
        <v>2021</v>
      </c>
      <c r="C66" s="7">
        <v>12</v>
      </c>
      <c r="D66" s="7" t="s">
        <v>580</v>
      </c>
      <c r="G66" t="s">
        <v>1617</v>
      </c>
      <c r="H66" t="s">
        <v>1616</v>
      </c>
      <c r="I66">
        <v>43</v>
      </c>
      <c r="J66">
        <v>1</v>
      </c>
      <c r="N66" t="s">
        <v>26</v>
      </c>
      <c r="S66">
        <v>1</v>
      </c>
      <c r="T66">
        <v>21</v>
      </c>
      <c r="X66">
        <v>1900</v>
      </c>
      <c r="AA66" t="s">
        <v>1619</v>
      </c>
      <c r="AB66" t="s">
        <v>1620</v>
      </c>
      <c r="AC66">
        <v>1</v>
      </c>
      <c r="AG66" t="s">
        <v>1618</v>
      </c>
    </row>
    <row r="67" spans="1:33" x14ac:dyDescent="0.2">
      <c r="A67" s="7" t="s">
        <v>579</v>
      </c>
      <c r="B67" s="7">
        <v>2021</v>
      </c>
      <c r="C67" s="7">
        <v>12</v>
      </c>
      <c r="D67" s="7" t="s">
        <v>580</v>
      </c>
      <c r="G67" t="s">
        <v>916</v>
      </c>
      <c r="H67" t="s">
        <v>429</v>
      </c>
      <c r="I67">
        <v>44</v>
      </c>
      <c r="J67">
        <v>1</v>
      </c>
      <c r="N67" t="s">
        <v>26</v>
      </c>
      <c r="S67">
        <v>1</v>
      </c>
      <c r="T67">
        <v>18</v>
      </c>
      <c r="X67">
        <v>1903</v>
      </c>
      <c r="AA67" t="s">
        <v>1619</v>
      </c>
      <c r="AB67" t="s">
        <v>1615</v>
      </c>
      <c r="AC67">
        <v>1</v>
      </c>
      <c r="AF67">
        <v>1</v>
      </c>
      <c r="AG67" t="s">
        <v>1346</v>
      </c>
    </row>
    <row r="68" spans="1:33" x14ac:dyDescent="0.2">
      <c r="A68" s="7" t="s">
        <v>579</v>
      </c>
      <c r="B68" s="7">
        <v>2021</v>
      </c>
      <c r="C68" s="7"/>
      <c r="D68" s="7" t="s">
        <v>580</v>
      </c>
      <c r="H68">
        <v>4</v>
      </c>
    </row>
    <row r="69" spans="1:33" x14ac:dyDescent="0.2">
      <c r="A69" s="7" t="s">
        <v>579</v>
      </c>
      <c r="B69" s="7">
        <v>2021</v>
      </c>
      <c r="C69" s="7"/>
      <c r="D69" s="7" t="s">
        <v>580</v>
      </c>
      <c r="G69" t="s">
        <v>1</v>
      </c>
      <c r="H69" t="s">
        <v>0</v>
      </c>
      <c r="J69" t="s">
        <v>3</v>
      </c>
      <c r="N69" t="s">
        <v>2</v>
      </c>
      <c r="T69" t="s">
        <v>5</v>
      </c>
      <c r="X69" t="s">
        <v>4</v>
      </c>
      <c r="AA69" t="s">
        <v>7</v>
      </c>
      <c r="AB69" t="s">
        <v>8</v>
      </c>
      <c r="AG69" t="s">
        <v>6</v>
      </c>
    </row>
    <row r="70" spans="1:33" x14ac:dyDescent="0.2">
      <c r="A70" s="7" t="s">
        <v>579</v>
      </c>
      <c r="B70" s="7">
        <v>2021</v>
      </c>
      <c r="C70" s="7">
        <v>13</v>
      </c>
      <c r="D70" s="7" t="s">
        <v>580</v>
      </c>
      <c r="F70">
        <v>19</v>
      </c>
      <c r="G70" t="s">
        <v>1622</v>
      </c>
      <c r="H70" t="s">
        <v>1621</v>
      </c>
      <c r="I70">
        <v>45</v>
      </c>
      <c r="J70" t="s">
        <v>13</v>
      </c>
      <c r="K70">
        <v>1</v>
      </c>
      <c r="N70">
        <v>1</v>
      </c>
      <c r="T70">
        <v>64</v>
      </c>
      <c r="X70">
        <v>1856</v>
      </c>
      <c r="AA70" t="s">
        <v>1623</v>
      </c>
      <c r="AB70" t="s">
        <v>1624</v>
      </c>
      <c r="AC70">
        <v>1</v>
      </c>
      <c r="AG70" t="s">
        <v>1058</v>
      </c>
    </row>
    <row r="71" spans="1:33" x14ac:dyDescent="0.2">
      <c r="A71" s="7" t="s">
        <v>579</v>
      </c>
      <c r="B71" s="7">
        <v>2021</v>
      </c>
      <c r="C71" s="7">
        <v>13</v>
      </c>
      <c r="D71" s="7" t="s">
        <v>580</v>
      </c>
      <c r="G71" t="s">
        <v>1622</v>
      </c>
      <c r="H71" t="s">
        <v>1625</v>
      </c>
      <c r="I71">
        <v>46</v>
      </c>
      <c r="J71">
        <v>1</v>
      </c>
      <c r="N71" t="s">
        <v>18</v>
      </c>
      <c r="O71">
        <v>1</v>
      </c>
      <c r="T71">
        <v>55</v>
      </c>
      <c r="X71">
        <v>1866</v>
      </c>
      <c r="AA71" t="s">
        <v>50</v>
      </c>
      <c r="AB71" t="s">
        <v>20</v>
      </c>
      <c r="AG71" t="s">
        <v>1626</v>
      </c>
    </row>
    <row r="72" spans="1:33" x14ac:dyDescent="0.2">
      <c r="A72" s="7" t="s">
        <v>579</v>
      </c>
      <c r="B72" s="7">
        <v>2021</v>
      </c>
      <c r="C72" s="7">
        <v>13</v>
      </c>
      <c r="D72" s="7" t="s">
        <v>580</v>
      </c>
      <c r="G72" t="s">
        <v>1622</v>
      </c>
      <c r="H72" t="s">
        <v>1627</v>
      </c>
      <c r="I72">
        <v>47</v>
      </c>
      <c r="J72" t="s">
        <v>13</v>
      </c>
      <c r="K72">
        <v>1</v>
      </c>
      <c r="N72" t="s">
        <v>51</v>
      </c>
      <c r="Q72">
        <v>1</v>
      </c>
      <c r="T72">
        <v>22</v>
      </c>
      <c r="X72">
        <v>1899</v>
      </c>
      <c r="AA72" t="s">
        <v>1628</v>
      </c>
      <c r="AB72" t="s">
        <v>1629</v>
      </c>
      <c r="AC72">
        <v>1</v>
      </c>
      <c r="AF72">
        <v>1</v>
      </c>
      <c r="AG72" t="s">
        <v>49</v>
      </c>
    </row>
    <row r="73" spans="1:33" x14ac:dyDescent="0.2">
      <c r="A73" s="7" t="s">
        <v>579</v>
      </c>
      <c r="B73" s="7">
        <v>2021</v>
      </c>
      <c r="C73" s="7">
        <v>13</v>
      </c>
      <c r="D73" s="7" t="s">
        <v>580</v>
      </c>
      <c r="G73" t="s">
        <v>1622</v>
      </c>
      <c r="H73" t="s">
        <v>768</v>
      </c>
      <c r="I73">
        <v>48</v>
      </c>
      <c r="J73">
        <v>1</v>
      </c>
      <c r="N73" t="s">
        <v>22</v>
      </c>
      <c r="P73">
        <v>1</v>
      </c>
      <c r="T73">
        <v>21</v>
      </c>
      <c r="X73">
        <v>1900</v>
      </c>
      <c r="AA73" t="s">
        <v>1630</v>
      </c>
      <c r="AB73" t="s">
        <v>20</v>
      </c>
      <c r="AF73">
        <v>1</v>
      </c>
      <c r="AG73" t="s">
        <v>49</v>
      </c>
    </row>
    <row r="74" spans="1:33" x14ac:dyDescent="0.2">
      <c r="A74" s="7" t="s">
        <v>579</v>
      </c>
      <c r="B74" s="7">
        <v>2021</v>
      </c>
      <c r="C74" s="7">
        <v>13</v>
      </c>
      <c r="D74" s="7" t="s">
        <v>580</v>
      </c>
      <c r="G74" t="s">
        <v>1622</v>
      </c>
      <c r="H74" t="s">
        <v>1631</v>
      </c>
      <c r="I74">
        <v>49</v>
      </c>
      <c r="J74">
        <v>1</v>
      </c>
      <c r="N74" t="s">
        <v>22</v>
      </c>
      <c r="P74">
        <v>1</v>
      </c>
      <c r="T74">
        <v>18</v>
      </c>
      <c r="X74">
        <v>1902</v>
      </c>
      <c r="AA74" t="s">
        <v>50</v>
      </c>
      <c r="AB74" t="s">
        <v>20</v>
      </c>
      <c r="AF74">
        <v>1</v>
      </c>
      <c r="AG74" t="s">
        <v>49</v>
      </c>
    </row>
    <row r="75" spans="1:33" x14ac:dyDescent="0.2">
      <c r="A75" s="7" t="s">
        <v>579</v>
      </c>
      <c r="B75" s="7">
        <v>2021</v>
      </c>
      <c r="C75" s="7">
        <v>13</v>
      </c>
      <c r="D75" s="7" t="s">
        <v>580</v>
      </c>
      <c r="G75" t="s">
        <v>1633</v>
      </c>
      <c r="H75" t="s">
        <v>1632</v>
      </c>
      <c r="I75">
        <v>50</v>
      </c>
      <c r="J75">
        <v>1</v>
      </c>
      <c r="N75" t="s">
        <v>26</v>
      </c>
      <c r="S75">
        <v>1</v>
      </c>
      <c r="T75">
        <v>46</v>
      </c>
      <c r="X75">
        <v>1875</v>
      </c>
      <c r="AA75" t="s">
        <v>344</v>
      </c>
      <c r="AB75" t="s">
        <v>29</v>
      </c>
      <c r="AC75">
        <v>1</v>
      </c>
      <c r="AG75" t="s">
        <v>1634</v>
      </c>
    </row>
    <row r="76" spans="1:33" x14ac:dyDescent="0.2">
      <c r="A76" s="7" t="s">
        <v>579</v>
      </c>
      <c r="B76" s="7">
        <v>2021</v>
      </c>
      <c r="C76" s="7">
        <v>13</v>
      </c>
      <c r="D76" s="7" t="s">
        <v>580</v>
      </c>
      <c r="G76" t="s">
        <v>1635</v>
      </c>
      <c r="H76" t="s">
        <v>416</v>
      </c>
      <c r="I76">
        <v>51</v>
      </c>
      <c r="J76">
        <v>1</v>
      </c>
      <c r="N76" t="s">
        <v>26</v>
      </c>
      <c r="S76">
        <v>1</v>
      </c>
      <c r="T76">
        <v>16</v>
      </c>
      <c r="X76">
        <v>1904</v>
      </c>
      <c r="AA76" t="s">
        <v>344</v>
      </c>
      <c r="AB76" t="s">
        <v>29</v>
      </c>
      <c r="AC76">
        <v>1</v>
      </c>
      <c r="AG76" t="s">
        <v>212</v>
      </c>
    </row>
    <row r="77" spans="1:33" x14ac:dyDescent="0.2">
      <c r="A77" s="7" t="s">
        <v>579</v>
      </c>
      <c r="B77" s="7">
        <v>2021</v>
      </c>
      <c r="C77" s="7"/>
      <c r="D77" s="7" t="s">
        <v>580</v>
      </c>
      <c r="H77">
        <v>7</v>
      </c>
    </row>
    <row r="78" spans="1:33" x14ac:dyDescent="0.2">
      <c r="A78" s="7" t="s">
        <v>579</v>
      </c>
      <c r="B78" s="7">
        <v>2021</v>
      </c>
      <c r="C78" s="7"/>
      <c r="D78" s="7" t="s">
        <v>580</v>
      </c>
      <c r="G78" t="s">
        <v>1</v>
      </c>
      <c r="H78" t="s">
        <v>0</v>
      </c>
      <c r="J78" t="s">
        <v>3</v>
      </c>
      <c r="N78" t="s">
        <v>2</v>
      </c>
      <c r="T78" t="s">
        <v>5</v>
      </c>
      <c r="X78" t="s">
        <v>4</v>
      </c>
      <c r="AA78" t="s">
        <v>7</v>
      </c>
      <c r="AB78" t="s">
        <v>8</v>
      </c>
      <c r="AG78" t="s">
        <v>6</v>
      </c>
    </row>
    <row r="79" spans="1:33" x14ac:dyDescent="0.2">
      <c r="A79" s="7" t="s">
        <v>579</v>
      </c>
      <c r="B79" s="7">
        <v>2021</v>
      </c>
      <c r="C79" s="7">
        <v>14</v>
      </c>
      <c r="D79" s="7" t="s">
        <v>580</v>
      </c>
      <c r="F79">
        <v>21</v>
      </c>
      <c r="G79" t="s">
        <v>638</v>
      </c>
      <c r="H79" t="s">
        <v>96</v>
      </c>
      <c r="I79">
        <v>52</v>
      </c>
      <c r="J79" t="s">
        <v>13</v>
      </c>
      <c r="K79">
        <v>1</v>
      </c>
      <c r="N79">
        <v>1</v>
      </c>
      <c r="T79">
        <v>58</v>
      </c>
      <c r="X79">
        <v>1863</v>
      </c>
      <c r="AA79" t="s">
        <v>1454</v>
      </c>
      <c r="AB79" t="s">
        <v>8</v>
      </c>
      <c r="AC79">
        <v>1</v>
      </c>
      <c r="AD79">
        <v>1</v>
      </c>
      <c r="AF79">
        <v>1</v>
      </c>
      <c r="AG79" t="s">
        <v>49</v>
      </c>
    </row>
    <row r="80" spans="1:33" x14ac:dyDescent="0.2">
      <c r="A80" s="7" t="s">
        <v>579</v>
      </c>
      <c r="B80" s="7">
        <v>2021</v>
      </c>
      <c r="C80" s="7">
        <v>14</v>
      </c>
      <c r="D80" s="7" t="s">
        <v>580</v>
      </c>
      <c r="G80" t="s">
        <v>638</v>
      </c>
      <c r="H80" t="s">
        <v>1636</v>
      </c>
      <c r="I80">
        <v>53</v>
      </c>
      <c r="J80">
        <v>1</v>
      </c>
      <c r="N80" t="s">
        <v>18</v>
      </c>
      <c r="O80">
        <v>1</v>
      </c>
      <c r="T80">
        <v>51</v>
      </c>
      <c r="X80">
        <v>1870</v>
      </c>
      <c r="AA80" t="s">
        <v>50</v>
      </c>
      <c r="AB80" t="s">
        <v>20</v>
      </c>
      <c r="AF80">
        <v>1</v>
      </c>
      <c r="AG80" t="s">
        <v>733</v>
      </c>
    </row>
    <row r="81" spans="1:33" x14ac:dyDescent="0.2">
      <c r="A81" s="7" t="s">
        <v>579</v>
      </c>
      <c r="B81" s="7">
        <v>2021</v>
      </c>
      <c r="C81" s="7">
        <v>14</v>
      </c>
      <c r="D81" s="7" t="s">
        <v>580</v>
      </c>
      <c r="G81" t="s">
        <v>638</v>
      </c>
      <c r="H81" t="s">
        <v>1637</v>
      </c>
      <c r="I81">
        <v>54</v>
      </c>
      <c r="J81">
        <v>1</v>
      </c>
      <c r="N81" t="s">
        <v>22</v>
      </c>
      <c r="P81">
        <v>1</v>
      </c>
      <c r="T81">
        <v>28</v>
      </c>
      <c r="X81">
        <v>1893</v>
      </c>
      <c r="AA81" t="s">
        <v>1638</v>
      </c>
      <c r="AB81" t="s">
        <v>1639</v>
      </c>
      <c r="AC81">
        <v>1</v>
      </c>
      <c r="AF81">
        <v>1</v>
      </c>
      <c r="AG81" t="s">
        <v>49</v>
      </c>
    </row>
    <row r="82" spans="1:33" x14ac:dyDescent="0.2">
      <c r="A82" s="7" t="s">
        <v>579</v>
      </c>
      <c r="B82" s="7">
        <v>2021</v>
      </c>
      <c r="C82" s="7">
        <v>14</v>
      </c>
      <c r="D82" s="7" t="s">
        <v>580</v>
      </c>
      <c r="G82" t="s">
        <v>470</v>
      </c>
      <c r="H82" t="s">
        <v>416</v>
      </c>
      <c r="I82">
        <v>55</v>
      </c>
      <c r="J82">
        <v>1</v>
      </c>
      <c r="N82" t="s">
        <v>26</v>
      </c>
      <c r="S82">
        <v>1</v>
      </c>
      <c r="T82">
        <v>21</v>
      </c>
      <c r="X82">
        <v>1900</v>
      </c>
      <c r="AA82" t="s">
        <v>344</v>
      </c>
      <c r="AB82" t="s">
        <v>29</v>
      </c>
      <c r="AC82">
        <v>1</v>
      </c>
      <c r="AF82">
        <v>1</v>
      </c>
      <c r="AG82" t="s">
        <v>49</v>
      </c>
    </row>
    <row r="83" spans="1:33" x14ac:dyDescent="0.2">
      <c r="A83" s="7" t="s">
        <v>579</v>
      </c>
      <c r="B83" s="7">
        <v>2021</v>
      </c>
      <c r="C83" s="7">
        <v>14</v>
      </c>
      <c r="D83" s="7" t="s">
        <v>580</v>
      </c>
      <c r="G83" t="s">
        <v>1640</v>
      </c>
      <c r="H83" t="s">
        <v>24</v>
      </c>
      <c r="I83">
        <v>56</v>
      </c>
      <c r="J83">
        <v>1</v>
      </c>
      <c r="N83" t="s">
        <v>26</v>
      </c>
      <c r="S83">
        <v>1</v>
      </c>
      <c r="T83">
        <v>21</v>
      </c>
      <c r="X83">
        <v>1900</v>
      </c>
      <c r="AA83" t="s">
        <v>344</v>
      </c>
      <c r="AB83" t="s">
        <v>29</v>
      </c>
      <c r="AC83">
        <v>1</v>
      </c>
      <c r="AG83" t="s">
        <v>1641</v>
      </c>
    </row>
    <row r="84" spans="1:33" x14ac:dyDescent="0.2">
      <c r="A84" s="7" t="s">
        <v>579</v>
      </c>
      <c r="B84" s="7">
        <v>2021</v>
      </c>
      <c r="C84" s="7"/>
      <c r="D84" s="7" t="s">
        <v>580</v>
      </c>
      <c r="H84">
        <v>5</v>
      </c>
    </row>
    <row r="85" spans="1:33" x14ac:dyDescent="0.2">
      <c r="A85" s="7" t="s">
        <v>579</v>
      </c>
      <c r="B85" s="7">
        <v>2021</v>
      </c>
      <c r="C85" s="7"/>
      <c r="D85" s="7" t="s">
        <v>580</v>
      </c>
      <c r="G85" t="s">
        <v>1</v>
      </c>
      <c r="H85" t="s">
        <v>0</v>
      </c>
      <c r="J85" t="s">
        <v>3</v>
      </c>
      <c r="N85" t="s">
        <v>2</v>
      </c>
      <c r="T85" t="s">
        <v>5</v>
      </c>
      <c r="X85" t="s">
        <v>4</v>
      </c>
      <c r="AA85" t="s">
        <v>7</v>
      </c>
      <c r="AB85" t="s">
        <v>8</v>
      </c>
      <c r="AG85" t="s">
        <v>6</v>
      </c>
    </row>
    <row r="86" spans="1:33" x14ac:dyDescent="0.2">
      <c r="A86" s="7" t="s">
        <v>579</v>
      </c>
      <c r="B86" s="7">
        <v>2021</v>
      </c>
      <c r="C86" s="7">
        <v>15</v>
      </c>
      <c r="D86" s="7" t="s">
        <v>580</v>
      </c>
      <c r="F86">
        <v>23</v>
      </c>
      <c r="G86" t="s">
        <v>1642</v>
      </c>
      <c r="H86" t="s">
        <v>369</v>
      </c>
      <c r="I86">
        <v>57</v>
      </c>
      <c r="J86" t="s">
        <v>13</v>
      </c>
      <c r="K86">
        <v>1</v>
      </c>
      <c r="N86">
        <v>1</v>
      </c>
      <c r="T86">
        <v>37</v>
      </c>
      <c r="X86">
        <v>1884</v>
      </c>
      <c r="AA86" t="s">
        <v>1643</v>
      </c>
      <c r="AB86" t="s">
        <v>8</v>
      </c>
      <c r="AC86">
        <v>1</v>
      </c>
      <c r="AD86">
        <v>1</v>
      </c>
      <c r="AF86">
        <v>1</v>
      </c>
      <c r="AG86" t="s">
        <v>49</v>
      </c>
    </row>
    <row r="87" spans="1:33" x14ac:dyDescent="0.2">
      <c r="A87" s="7" t="s">
        <v>579</v>
      </c>
      <c r="B87" s="7">
        <v>2021</v>
      </c>
      <c r="C87" s="7">
        <v>15</v>
      </c>
      <c r="D87" s="7" t="s">
        <v>580</v>
      </c>
      <c r="G87" t="s">
        <v>1642</v>
      </c>
      <c r="H87" t="s">
        <v>351</v>
      </c>
      <c r="I87">
        <v>58</v>
      </c>
      <c r="J87">
        <v>1</v>
      </c>
      <c r="N87" t="s">
        <v>18</v>
      </c>
      <c r="O87">
        <v>1</v>
      </c>
      <c r="T87">
        <v>38</v>
      </c>
      <c r="X87">
        <v>1883</v>
      </c>
      <c r="AA87" t="s">
        <v>20</v>
      </c>
      <c r="AB87" t="s">
        <v>20</v>
      </c>
      <c r="AF87">
        <v>1</v>
      </c>
      <c r="AG87" t="s">
        <v>733</v>
      </c>
    </row>
    <row r="88" spans="1:33" x14ac:dyDescent="0.2">
      <c r="A88" s="7" t="s">
        <v>579</v>
      </c>
      <c r="B88" s="7">
        <v>2021</v>
      </c>
      <c r="C88" s="7">
        <v>15</v>
      </c>
      <c r="D88" s="7" t="s">
        <v>580</v>
      </c>
      <c r="G88" t="s">
        <v>1642</v>
      </c>
      <c r="H88" t="s">
        <v>1528</v>
      </c>
      <c r="I88">
        <v>59</v>
      </c>
      <c r="J88" t="s">
        <v>19</v>
      </c>
      <c r="L88">
        <v>1</v>
      </c>
      <c r="N88" t="s">
        <v>22</v>
      </c>
      <c r="P88">
        <v>1</v>
      </c>
      <c r="T88">
        <v>8</v>
      </c>
      <c r="X88">
        <v>1912</v>
      </c>
      <c r="AA88" t="s">
        <v>20</v>
      </c>
      <c r="AB88" t="s">
        <v>20</v>
      </c>
      <c r="AF88">
        <v>1</v>
      </c>
      <c r="AG88" t="s">
        <v>49</v>
      </c>
    </row>
    <row r="89" spans="1:33" x14ac:dyDescent="0.2">
      <c r="A89" s="7" t="s">
        <v>579</v>
      </c>
      <c r="B89" s="7">
        <v>2021</v>
      </c>
      <c r="C89" s="7">
        <v>15</v>
      </c>
      <c r="D89" s="7" t="s">
        <v>580</v>
      </c>
      <c r="G89" t="s">
        <v>1642</v>
      </c>
      <c r="H89" t="s">
        <v>738</v>
      </c>
      <c r="I89">
        <v>60</v>
      </c>
      <c r="J89" t="s">
        <v>19</v>
      </c>
      <c r="L89">
        <v>1</v>
      </c>
      <c r="N89" t="s">
        <v>22</v>
      </c>
      <c r="P89">
        <v>1</v>
      </c>
      <c r="T89">
        <v>6</v>
      </c>
      <c r="X89">
        <v>1914</v>
      </c>
      <c r="AA89" t="s">
        <v>20</v>
      </c>
      <c r="AB89" t="s">
        <v>20</v>
      </c>
      <c r="AF89">
        <v>1</v>
      </c>
      <c r="AG89" t="s">
        <v>49</v>
      </c>
    </row>
    <row r="90" spans="1:33" x14ac:dyDescent="0.2">
      <c r="A90" s="7" t="s">
        <v>579</v>
      </c>
      <c r="B90" s="7">
        <v>2021</v>
      </c>
      <c r="C90" s="7">
        <v>15</v>
      </c>
      <c r="D90" s="7" t="s">
        <v>580</v>
      </c>
      <c r="G90" t="s">
        <v>1645</v>
      </c>
      <c r="H90" t="s">
        <v>1644</v>
      </c>
      <c r="I90">
        <v>61</v>
      </c>
      <c r="J90">
        <v>1</v>
      </c>
      <c r="N90" t="s">
        <v>379</v>
      </c>
      <c r="R90">
        <v>1</v>
      </c>
      <c r="T90">
        <v>31</v>
      </c>
      <c r="X90">
        <v>1890</v>
      </c>
      <c r="AA90" t="s">
        <v>379</v>
      </c>
      <c r="AB90" t="s">
        <v>29</v>
      </c>
      <c r="AC90">
        <v>1</v>
      </c>
      <c r="AG90" t="s">
        <v>643</v>
      </c>
    </row>
    <row r="91" spans="1:33" x14ac:dyDescent="0.2">
      <c r="A91" s="7" t="s">
        <v>579</v>
      </c>
      <c r="B91" s="7">
        <v>2021</v>
      </c>
      <c r="C91" s="7">
        <v>15</v>
      </c>
      <c r="D91" s="7" t="s">
        <v>580</v>
      </c>
      <c r="G91" t="s">
        <v>1646</v>
      </c>
      <c r="H91" t="s">
        <v>46</v>
      </c>
      <c r="I91">
        <v>62</v>
      </c>
      <c r="J91">
        <v>1</v>
      </c>
      <c r="N91" t="s">
        <v>26</v>
      </c>
      <c r="S91">
        <v>1</v>
      </c>
      <c r="T91">
        <v>15</v>
      </c>
      <c r="X91">
        <v>1905</v>
      </c>
      <c r="AA91" t="s">
        <v>56</v>
      </c>
      <c r="AB91" t="s">
        <v>29</v>
      </c>
      <c r="AC91">
        <v>1</v>
      </c>
      <c r="AF91">
        <v>1</v>
      </c>
      <c r="AG91" t="s">
        <v>49</v>
      </c>
    </row>
    <row r="92" spans="1:33" x14ac:dyDescent="0.2">
      <c r="A92" s="7" t="s">
        <v>579</v>
      </c>
      <c r="B92" s="7">
        <v>2021</v>
      </c>
      <c r="C92" s="7"/>
      <c r="D92" s="7" t="s">
        <v>580</v>
      </c>
      <c r="H92">
        <v>6</v>
      </c>
    </row>
    <row r="93" spans="1:33" x14ac:dyDescent="0.2">
      <c r="A93" s="7" t="s">
        <v>579</v>
      </c>
      <c r="B93" s="7">
        <v>2021</v>
      </c>
      <c r="C93" s="7"/>
      <c r="D93" s="7" t="s">
        <v>580</v>
      </c>
      <c r="G93" t="s">
        <v>1</v>
      </c>
      <c r="H93" t="s">
        <v>0</v>
      </c>
      <c r="J93" t="s">
        <v>3</v>
      </c>
      <c r="N93" t="s">
        <v>2</v>
      </c>
      <c r="T93" t="s">
        <v>5</v>
      </c>
      <c r="X93" t="s">
        <v>4</v>
      </c>
      <c r="AA93" t="s">
        <v>7</v>
      </c>
      <c r="AB93" t="s">
        <v>8</v>
      </c>
      <c r="AG93" t="s">
        <v>6</v>
      </c>
    </row>
    <row r="94" spans="1:33" s="55" customFormat="1" x14ac:dyDescent="0.2">
      <c r="A94" s="227" t="s">
        <v>579</v>
      </c>
      <c r="B94" s="227">
        <v>2021</v>
      </c>
      <c r="C94" s="227">
        <v>16</v>
      </c>
      <c r="D94" s="227" t="s">
        <v>580</v>
      </c>
      <c r="F94" s="55">
        <v>27</v>
      </c>
      <c r="G94" s="55" t="s">
        <v>1647</v>
      </c>
      <c r="H94" s="55" t="s">
        <v>336</v>
      </c>
      <c r="I94">
        <v>63</v>
      </c>
      <c r="J94" s="55">
        <v>1</v>
      </c>
      <c r="N94" s="55" t="s">
        <v>33</v>
      </c>
      <c r="S94" s="55">
        <v>1</v>
      </c>
      <c r="T94" s="55">
        <v>38</v>
      </c>
      <c r="X94" s="55">
        <v>1883</v>
      </c>
      <c r="AA94" s="55" t="s">
        <v>33</v>
      </c>
      <c r="AB94" s="55" t="s">
        <v>29</v>
      </c>
      <c r="AC94" s="55">
        <v>1</v>
      </c>
      <c r="AG94" s="55" t="s">
        <v>20</v>
      </c>
    </row>
    <row r="95" spans="1:33" x14ac:dyDescent="0.2">
      <c r="A95" s="7" t="s">
        <v>579</v>
      </c>
      <c r="B95" s="7">
        <v>2021</v>
      </c>
      <c r="C95" s="7">
        <v>16</v>
      </c>
      <c r="D95" s="7" t="s">
        <v>580</v>
      </c>
      <c r="G95" t="s">
        <v>1648</v>
      </c>
      <c r="H95" t="s">
        <v>1556</v>
      </c>
      <c r="I95">
        <v>64</v>
      </c>
      <c r="J95">
        <v>1</v>
      </c>
      <c r="N95" t="s">
        <v>1649</v>
      </c>
      <c r="S95">
        <v>1</v>
      </c>
      <c r="T95">
        <v>33</v>
      </c>
      <c r="X95">
        <v>1887</v>
      </c>
      <c r="AA95" t="s">
        <v>1649</v>
      </c>
      <c r="AB95" t="s">
        <v>29</v>
      </c>
      <c r="AC95">
        <v>1</v>
      </c>
      <c r="AG95" t="s">
        <v>1255</v>
      </c>
    </row>
    <row r="96" spans="1:33" x14ac:dyDescent="0.2">
      <c r="A96" s="7" t="s">
        <v>579</v>
      </c>
      <c r="B96" s="7">
        <v>2021</v>
      </c>
      <c r="C96" s="7">
        <v>16</v>
      </c>
      <c r="D96" s="7" t="s">
        <v>580</v>
      </c>
      <c r="G96" t="s">
        <v>1650</v>
      </c>
      <c r="H96" t="s">
        <v>324</v>
      </c>
      <c r="I96">
        <v>65</v>
      </c>
      <c r="J96">
        <v>1</v>
      </c>
      <c r="N96" t="s">
        <v>708</v>
      </c>
      <c r="S96">
        <v>1</v>
      </c>
      <c r="T96">
        <v>47</v>
      </c>
      <c r="X96">
        <v>1873</v>
      </c>
      <c r="AA96" t="s">
        <v>708</v>
      </c>
      <c r="AB96" t="s">
        <v>29</v>
      </c>
      <c r="AC96">
        <v>1</v>
      </c>
      <c r="AG96" t="s">
        <v>1255</v>
      </c>
    </row>
    <row r="97" spans="1:33" x14ac:dyDescent="0.2">
      <c r="A97" s="7" t="s">
        <v>579</v>
      </c>
      <c r="B97" s="7">
        <v>2021</v>
      </c>
      <c r="C97" s="7">
        <v>16</v>
      </c>
      <c r="D97" s="7" t="s">
        <v>580</v>
      </c>
      <c r="G97" t="s">
        <v>1652</v>
      </c>
      <c r="H97" t="s">
        <v>1651</v>
      </c>
      <c r="I97">
        <v>66</v>
      </c>
      <c r="J97">
        <v>1</v>
      </c>
      <c r="N97" t="s">
        <v>360</v>
      </c>
      <c r="S97">
        <v>1</v>
      </c>
      <c r="T97">
        <v>20</v>
      </c>
      <c r="X97">
        <v>1901</v>
      </c>
      <c r="AA97" t="s">
        <v>360</v>
      </c>
      <c r="AB97" t="s">
        <v>29</v>
      </c>
      <c r="AC97">
        <v>1</v>
      </c>
      <c r="AG97" t="s">
        <v>415</v>
      </c>
    </row>
    <row r="98" spans="1:33" x14ac:dyDescent="0.2">
      <c r="A98" s="7" t="s">
        <v>579</v>
      </c>
      <c r="B98" s="7">
        <v>2021</v>
      </c>
      <c r="C98" s="7">
        <v>16</v>
      </c>
      <c r="D98" s="7" t="s">
        <v>580</v>
      </c>
      <c r="G98" t="s">
        <v>1653</v>
      </c>
      <c r="H98" t="s">
        <v>1494</v>
      </c>
      <c r="I98">
        <v>67</v>
      </c>
      <c r="J98">
        <v>1</v>
      </c>
      <c r="N98" t="s">
        <v>1655</v>
      </c>
      <c r="R98">
        <v>1</v>
      </c>
      <c r="T98">
        <v>35</v>
      </c>
      <c r="X98">
        <v>1886</v>
      </c>
      <c r="AA98" t="s">
        <v>1655</v>
      </c>
      <c r="AB98" t="s">
        <v>29</v>
      </c>
      <c r="AC98">
        <v>1</v>
      </c>
      <c r="AG98" t="s">
        <v>1654</v>
      </c>
    </row>
    <row r="99" spans="1:33" x14ac:dyDescent="0.2">
      <c r="A99" s="7" t="s">
        <v>579</v>
      </c>
      <c r="B99" s="7">
        <v>2021</v>
      </c>
      <c r="C99" s="7">
        <v>16</v>
      </c>
      <c r="D99" s="7" t="s">
        <v>580</v>
      </c>
      <c r="G99" t="s">
        <v>1104</v>
      </c>
      <c r="H99" t="s">
        <v>655</v>
      </c>
      <c r="I99">
        <v>68</v>
      </c>
      <c r="J99">
        <v>1</v>
      </c>
      <c r="N99" t="s">
        <v>29</v>
      </c>
      <c r="R99">
        <v>1</v>
      </c>
      <c r="T99">
        <v>61</v>
      </c>
      <c r="X99">
        <v>1860</v>
      </c>
      <c r="AA99" t="s">
        <v>29</v>
      </c>
      <c r="AB99" t="s">
        <v>1738</v>
      </c>
      <c r="AG99" t="s">
        <v>1656</v>
      </c>
    </row>
    <row r="100" spans="1:33" x14ac:dyDescent="0.2">
      <c r="A100" s="7" t="s">
        <v>579</v>
      </c>
      <c r="B100" s="7">
        <v>2021</v>
      </c>
      <c r="C100" s="7">
        <v>16</v>
      </c>
      <c r="D100" s="7" t="s">
        <v>580</v>
      </c>
      <c r="G100" t="s">
        <v>1104</v>
      </c>
      <c r="H100" t="s">
        <v>905</v>
      </c>
      <c r="I100">
        <v>69</v>
      </c>
      <c r="J100">
        <v>1</v>
      </c>
      <c r="N100" t="s">
        <v>20</v>
      </c>
      <c r="R100">
        <v>1</v>
      </c>
      <c r="T100">
        <v>53</v>
      </c>
      <c r="X100">
        <v>1868</v>
      </c>
      <c r="AA100" t="s">
        <v>1738</v>
      </c>
      <c r="AB100" t="s">
        <v>20</v>
      </c>
      <c r="AG100" t="s">
        <v>778</v>
      </c>
    </row>
    <row r="101" spans="1:33" x14ac:dyDescent="0.2">
      <c r="A101" s="7" t="s">
        <v>579</v>
      </c>
      <c r="B101" s="7">
        <v>2021</v>
      </c>
      <c r="C101" s="7"/>
      <c r="D101" s="7" t="s">
        <v>580</v>
      </c>
      <c r="H101">
        <v>7</v>
      </c>
    </row>
    <row r="102" spans="1:33" x14ac:dyDescent="0.2">
      <c r="A102" s="7" t="s">
        <v>579</v>
      </c>
      <c r="B102" s="7">
        <v>2021</v>
      </c>
      <c r="C102" s="7"/>
      <c r="D102" s="7" t="s">
        <v>580</v>
      </c>
      <c r="G102" t="s">
        <v>1</v>
      </c>
      <c r="H102" t="s">
        <v>0</v>
      </c>
      <c r="J102" t="s">
        <v>3</v>
      </c>
      <c r="N102" t="s">
        <v>2</v>
      </c>
      <c r="T102" t="s">
        <v>5</v>
      </c>
      <c r="X102" t="s">
        <v>4</v>
      </c>
      <c r="AA102" t="s">
        <v>7</v>
      </c>
      <c r="AB102" t="s">
        <v>8</v>
      </c>
      <c r="AG102" t="s">
        <v>6</v>
      </c>
    </row>
    <row r="103" spans="1:33" s="55" customFormat="1" x14ac:dyDescent="0.2">
      <c r="A103" s="227" t="s">
        <v>579</v>
      </c>
      <c r="B103" s="227">
        <v>2021</v>
      </c>
      <c r="C103" s="227">
        <v>17</v>
      </c>
      <c r="D103" s="227" t="s">
        <v>580</v>
      </c>
      <c r="F103" s="55">
        <v>29</v>
      </c>
      <c r="G103" s="55" t="s">
        <v>1658</v>
      </c>
      <c r="H103" s="55" t="s">
        <v>1657</v>
      </c>
      <c r="I103">
        <v>70</v>
      </c>
      <c r="J103" s="55">
        <v>1</v>
      </c>
      <c r="N103" s="55">
        <v>1</v>
      </c>
      <c r="T103" s="55">
        <v>56</v>
      </c>
      <c r="X103" s="55">
        <v>1865</v>
      </c>
      <c r="AA103" s="55" t="s">
        <v>50</v>
      </c>
      <c r="AB103" s="55" t="s">
        <v>20</v>
      </c>
      <c r="AF103" s="55">
        <v>1</v>
      </c>
      <c r="AG103" s="55" t="s">
        <v>49</v>
      </c>
    </row>
    <row r="104" spans="1:33" x14ac:dyDescent="0.2">
      <c r="A104" s="7" t="s">
        <v>579</v>
      </c>
      <c r="B104" s="7">
        <v>2021</v>
      </c>
      <c r="C104" s="7">
        <v>17</v>
      </c>
      <c r="D104" s="7" t="s">
        <v>580</v>
      </c>
      <c r="G104" t="s">
        <v>1660</v>
      </c>
      <c r="H104" t="s">
        <v>1659</v>
      </c>
      <c r="I104">
        <v>71</v>
      </c>
      <c r="J104">
        <v>1</v>
      </c>
      <c r="N104" t="s">
        <v>28</v>
      </c>
      <c r="S104">
        <v>1</v>
      </c>
      <c r="T104">
        <v>29</v>
      </c>
      <c r="X104">
        <v>1892</v>
      </c>
      <c r="AA104" t="s">
        <v>28</v>
      </c>
      <c r="AB104" t="s">
        <v>29</v>
      </c>
      <c r="AC104">
        <v>1</v>
      </c>
      <c r="AG104" t="s">
        <v>1661</v>
      </c>
    </row>
    <row r="105" spans="1:33" x14ac:dyDescent="0.2">
      <c r="A105" s="7" t="s">
        <v>579</v>
      </c>
      <c r="B105" s="7">
        <v>2021</v>
      </c>
      <c r="C105" s="7">
        <v>17</v>
      </c>
      <c r="D105" s="7" t="s">
        <v>580</v>
      </c>
      <c r="G105" t="s">
        <v>1662</v>
      </c>
      <c r="H105" t="s">
        <v>90</v>
      </c>
      <c r="I105">
        <v>72</v>
      </c>
      <c r="J105">
        <v>1</v>
      </c>
      <c r="N105" t="s">
        <v>33</v>
      </c>
      <c r="S105">
        <v>1</v>
      </c>
      <c r="T105">
        <v>26</v>
      </c>
      <c r="X105">
        <v>1895</v>
      </c>
      <c r="AA105" t="s">
        <v>33</v>
      </c>
      <c r="AB105" t="s">
        <v>29</v>
      </c>
      <c r="AC105">
        <v>1</v>
      </c>
      <c r="AG105" t="s">
        <v>1663</v>
      </c>
    </row>
    <row r="106" spans="1:33" x14ac:dyDescent="0.2">
      <c r="A106" s="7" t="s">
        <v>579</v>
      </c>
      <c r="B106" s="7">
        <v>2021</v>
      </c>
      <c r="C106" s="7"/>
      <c r="D106" s="7" t="s">
        <v>580</v>
      </c>
      <c r="H106">
        <v>3</v>
      </c>
    </row>
    <row r="107" spans="1:33" x14ac:dyDescent="0.2">
      <c r="A107" s="7" t="s">
        <v>579</v>
      </c>
      <c r="B107" s="7">
        <v>2021</v>
      </c>
      <c r="C107" s="7"/>
      <c r="D107" s="7" t="s">
        <v>580</v>
      </c>
      <c r="F107">
        <v>31</v>
      </c>
      <c r="G107" t="s">
        <v>1</v>
      </c>
      <c r="H107" t="s">
        <v>0</v>
      </c>
      <c r="J107" t="s">
        <v>3</v>
      </c>
      <c r="N107" t="s">
        <v>2</v>
      </c>
      <c r="T107" t="s">
        <v>5</v>
      </c>
      <c r="X107" t="s">
        <v>4</v>
      </c>
      <c r="AA107" t="s">
        <v>7</v>
      </c>
      <c r="AB107" t="s">
        <v>8</v>
      </c>
      <c r="AG107" t="s">
        <v>6</v>
      </c>
    </row>
    <row r="108" spans="1:33" x14ac:dyDescent="0.2">
      <c r="A108" s="7" t="s">
        <v>579</v>
      </c>
      <c r="B108" s="7">
        <v>2021</v>
      </c>
      <c r="C108" s="7">
        <v>18</v>
      </c>
      <c r="D108" s="7" t="s">
        <v>580</v>
      </c>
      <c r="G108" t="s">
        <v>1571</v>
      </c>
      <c r="H108" t="s">
        <v>1207</v>
      </c>
      <c r="I108">
        <v>73</v>
      </c>
      <c r="J108" t="s">
        <v>13</v>
      </c>
      <c r="K108">
        <v>1</v>
      </c>
      <c r="N108">
        <v>1</v>
      </c>
      <c r="T108">
        <v>72</v>
      </c>
      <c r="X108">
        <v>1849</v>
      </c>
      <c r="AA108" t="s">
        <v>1676</v>
      </c>
      <c r="AB108" t="s">
        <v>20</v>
      </c>
      <c r="AG108" t="s">
        <v>1675</v>
      </c>
    </row>
    <row r="109" spans="1:33" x14ac:dyDescent="0.2">
      <c r="A109" s="7" t="s">
        <v>579</v>
      </c>
      <c r="B109" s="7">
        <v>2021</v>
      </c>
      <c r="C109" s="7">
        <v>18</v>
      </c>
      <c r="D109" s="7" t="s">
        <v>580</v>
      </c>
      <c r="G109" t="s">
        <v>1571</v>
      </c>
      <c r="H109" t="s">
        <v>1659</v>
      </c>
      <c r="I109">
        <v>74</v>
      </c>
      <c r="J109">
        <v>1</v>
      </c>
      <c r="N109" t="s">
        <v>18</v>
      </c>
      <c r="O109">
        <v>1</v>
      </c>
      <c r="T109">
        <v>66</v>
      </c>
      <c r="X109">
        <v>1855</v>
      </c>
      <c r="AA109" t="s">
        <v>50</v>
      </c>
      <c r="AB109" t="s">
        <v>20</v>
      </c>
      <c r="AF109">
        <v>1</v>
      </c>
      <c r="AG109" t="s">
        <v>49</v>
      </c>
    </row>
    <row r="110" spans="1:33" x14ac:dyDescent="0.2">
      <c r="A110" s="7" t="s">
        <v>579</v>
      </c>
      <c r="B110" s="7">
        <v>2021</v>
      </c>
      <c r="C110" s="7">
        <v>18</v>
      </c>
      <c r="D110" s="7" t="s">
        <v>580</v>
      </c>
      <c r="G110" t="s">
        <v>1677</v>
      </c>
      <c r="H110" t="s">
        <v>64</v>
      </c>
      <c r="I110">
        <v>75</v>
      </c>
      <c r="J110">
        <v>1</v>
      </c>
      <c r="N110" t="s">
        <v>26</v>
      </c>
      <c r="S110">
        <v>1</v>
      </c>
      <c r="T110">
        <v>20</v>
      </c>
      <c r="X110">
        <v>1901</v>
      </c>
      <c r="AA110" t="s">
        <v>56</v>
      </c>
      <c r="AB110" t="s">
        <v>29</v>
      </c>
      <c r="AC110">
        <v>1</v>
      </c>
      <c r="AF110">
        <v>1</v>
      </c>
      <c r="AG110" t="s">
        <v>718</v>
      </c>
    </row>
    <row r="111" spans="1:33" x14ac:dyDescent="0.2">
      <c r="A111" s="7" t="s">
        <v>579</v>
      </c>
      <c r="B111" s="7">
        <v>2021</v>
      </c>
      <c r="C111" s="7">
        <v>18</v>
      </c>
      <c r="D111" s="7" t="s">
        <v>580</v>
      </c>
      <c r="G111" t="s">
        <v>1678</v>
      </c>
      <c r="H111" t="s">
        <v>1318</v>
      </c>
      <c r="I111">
        <v>76</v>
      </c>
      <c r="J111">
        <v>1</v>
      </c>
      <c r="N111" t="s">
        <v>33</v>
      </c>
      <c r="S111">
        <v>1</v>
      </c>
      <c r="T111">
        <v>56</v>
      </c>
      <c r="X111">
        <v>1865</v>
      </c>
      <c r="AA111" t="s">
        <v>56</v>
      </c>
      <c r="AB111" t="s">
        <v>29</v>
      </c>
      <c r="AC111">
        <v>1</v>
      </c>
      <c r="AG111" t="s">
        <v>415</v>
      </c>
    </row>
    <row r="112" spans="1:33" x14ac:dyDescent="0.2">
      <c r="A112" s="7" t="s">
        <v>579</v>
      </c>
      <c r="B112" s="7">
        <v>2021</v>
      </c>
      <c r="C112" s="7"/>
      <c r="D112" s="7" t="s">
        <v>580</v>
      </c>
      <c r="H112">
        <v>4</v>
      </c>
    </row>
    <row r="113" spans="1:37" x14ac:dyDescent="0.2">
      <c r="A113" s="7" t="s">
        <v>579</v>
      </c>
      <c r="B113" s="7">
        <v>2021</v>
      </c>
      <c r="C113" s="7"/>
      <c r="D113" s="7" t="s">
        <v>580</v>
      </c>
      <c r="G113" t="s">
        <v>1</v>
      </c>
      <c r="H113" t="s">
        <v>0</v>
      </c>
      <c r="J113" t="s">
        <v>3</v>
      </c>
      <c r="N113" t="s">
        <v>2</v>
      </c>
      <c r="T113" t="s">
        <v>5</v>
      </c>
      <c r="X113" t="s">
        <v>4</v>
      </c>
      <c r="AA113" t="s">
        <v>7</v>
      </c>
      <c r="AB113" t="s">
        <v>8</v>
      </c>
      <c r="AG113" t="s">
        <v>6</v>
      </c>
    </row>
    <row r="114" spans="1:37" x14ac:dyDescent="0.2">
      <c r="A114" s="7" t="s">
        <v>579</v>
      </c>
      <c r="B114" s="7">
        <v>2021</v>
      </c>
      <c r="C114" s="7">
        <v>19</v>
      </c>
      <c r="D114" s="7" t="s">
        <v>580</v>
      </c>
      <c r="F114">
        <v>33</v>
      </c>
      <c r="G114" t="s">
        <v>431</v>
      </c>
      <c r="H114" t="s">
        <v>464</v>
      </c>
      <c r="I114">
        <v>77</v>
      </c>
      <c r="J114" t="s">
        <v>13</v>
      </c>
      <c r="K114">
        <v>1</v>
      </c>
      <c r="N114">
        <v>1</v>
      </c>
      <c r="T114">
        <v>75</v>
      </c>
      <c r="X114">
        <v>1845</v>
      </c>
      <c r="AA114" t="s">
        <v>15</v>
      </c>
      <c r="AB114" t="s">
        <v>8</v>
      </c>
      <c r="AC114">
        <v>1</v>
      </c>
      <c r="AD114">
        <v>1</v>
      </c>
      <c r="AF114">
        <v>1</v>
      </c>
      <c r="AG114" t="s">
        <v>1682</v>
      </c>
    </row>
    <row r="115" spans="1:37" x14ac:dyDescent="0.2">
      <c r="A115" s="7" t="s">
        <v>579</v>
      </c>
      <c r="B115" s="7">
        <v>2021</v>
      </c>
      <c r="C115" s="7">
        <v>19</v>
      </c>
      <c r="D115" s="7" t="s">
        <v>580</v>
      </c>
      <c r="G115" t="s">
        <v>431</v>
      </c>
      <c r="H115" t="s">
        <v>352</v>
      </c>
      <c r="I115">
        <v>78</v>
      </c>
      <c r="J115">
        <v>1</v>
      </c>
      <c r="N115" t="s">
        <v>18</v>
      </c>
      <c r="O115">
        <v>1</v>
      </c>
      <c r="T115">
        <v>67</v>
      </c>
      <c r="X115">
        <v>1853</v>
      </c>
      <c r="AA115" t="s">
        <v>20</v>
      </c>
      <c r="AB115" t="s">
        <v>20</v>
      </c>
      <c r="AG115" t="s">
        <v>415</v>
      </c>
    </row>
    <row r="116" spans="1:37" x14ac:dyDescent="0.2">
      <c r="A116" s="7" t="s">
        <v>579</v>
      </c>
      <c r="B116" s="7">
        <v>2021</v>
      </c>
      <c r="C116" s="7">
        <v>19</v>
      </c>
      <c r="D116" s="7" t="s">
        <v>580</v>
      </c>
      <c r="G116" t="s">
        <v>431</v>
      </c>
      <c r="H116" t="s">
        <v>1683</v>
      </c>
      <c r="I116">
        <v>79</v>
      </c>
      <c r="J116" t="s">
        <v>13</v>
      </c>
      <c r="K116">
        <v>1</v>
      </c>
      <c r="N116" t="s">
        <v>51</v>
      </c>
      <c r="Q116">
        <v>1</v>
      </c>
      <c r="T116">
        <v>42</v>
      </c>
      <c r="X116">
        <v>1878</v>
      </c>
      <c r="AA116" t="s">
        <v>2960</v>
      </c>
      <c r="AB116" t="s">
        <v>16</v>
      </c>
      <c r="AC116">
        <v>1</v>
      </c>
      <c r="AF116">
        <v>1</v>
      </c>
      <c r="AG116" t="s">
        <v>49</v>
      </c>
    </row>
    <row r="117" spans="1:37" x14ac:dyDescent="0.2">
      <c r="A117" s="7" t="s">
        <v>579</v>
      </c>
      <c r="B117" s="7">
        <v>2021</v>
      </c>
      <c r="C117" s="7">
        <v>19</v>
      </c>
      <c r="D117" s="7" t="s">
        <v>580</v>
      </c>
      <c r="G117" t="s">
        <v>431</v>
      </c>
      <c r="H117" t="s">
        <v>1685</v>
      </c>
      <c r="I117">
        <v>80</v>
      </c>
      <c r="K117">
        <v>1</v>
      </c>
      <c r="N117" t="s">
        <v>51</v>
      </c>
      <c r="Q117">
        <v>1</v>
      </c>
      <c r="T117">
        <v>36</v>
      </c>
      <c r="X117">
        <v>1885</v>
      </c>
      <c r="AA117" t="s">
        <v>47</v>
      </c>
      <c r="AB117" t="s">
        <v>20</v>
      </c>
      <c r="AF117">
        <v>1</v>
      </c>
      <c r="AG117" t="s">
        <v>49</v>
      </c>
    </row>
    <row r="118" spans="1:37" x14ac:dyDescent="0.2">
      <c r="A118" s="7" t="s">
        <v>579</v>
      </c>
      <c r="B118" s="7">
        <v>2021</v>
      </c>
      <c r="C118" s="7">
        <v>19</v>
      </c>
      <c r="D118" s="7" t="s">
        <v>580</v>
      </c>
      <c r="G118" t="s">
        <v>431</v>
      </c>
      <c r="H118" t="s">
        <v>1686</v>
      </c>
      <c r="I118">
        <v>81</v>
      </c>
      <c r="J118">
        <v>1</v>
      </c>
      <c r="N118" t="s">
        <v>22</v>
      </c>
      <c r="P118">
        <v>1</v>
      </c>
      <c r="T118">
        <v>30</v>
      </c>
      <c r="X118">
        <v>1891</v>
      </c>
      <c r="AA118" t="s">
        <v>47</v>
      </c>
      <c r="AB118" t="s">
        <v>20</v>
      </c>
      <c r="AF118">
        <v>1</v>
      </c>
      <c r="AG118" t="s">
        <v>49</v>
      </c>
    </row>
    <row r="119" spans="1:37" x14ac:dyDescent="0.2">
      <c r="A119" s="7" t="s">
        <v>579</v>
      </c>
      <c r="B119" s="7">
        <v>2021</v>
      </c>
      <c r="C119" s="7">
        <v>19</v>
      </c>
      <c r="D119" s="7" t="s">
        <v>580</v>
      </c>
      <c r="G119" t="s">
        <v>431</v>
      </c>
      <c r="H119" t="s">
        <v>2958</v>
      </c>
      <c r="I119">
        <v>82</v>
      </c>
      <c r="J119" t="s">
        <v>13</v>
      </c>
      <c r="K119">
        <v>1</v>
      </c>
      <c r="N119" t="s">
        <v>51</v>
      </c>
      <c r="Q119">
        <v>1</v>
      </c>
      <c r="T119">
        <v>27</v>
      </c>
      <c r="X119">
        <v>1894</v>
      </c>
      <c r="AA119" t="s">
        <v>47</v>
      </c>
      <c r="AB119" t="s">
        <v>20</v>
      </c>
      <c r="AF119">
        <v>1</v>
      </c>
      <c r="AG119" t="s">
        <v>49</v>
      </c>
      <c r="AK119" t="s">
        <v>2959</v>
      </c>
    </row>
    <row r="120" spans="1:37" x14ac:dyDescent="0.2">
      <c r="A120" s="7" t="s">
        <v>579</v>
      </c>
      <c r="B120" s="7">
        <v>2021</v>
      </c>
      <c r="C120" s="7">
        <v>19</v>
      </c>
      <c r="D120" s="7" t="s">
        <v>580</v>
      </c>
      <c r="G120" t="s">
        <v>1688</v>
      </c>
      <c r="H120" t="s">
        <v>1089</v>
      </c>
      <c r="I120">
        <v>83</v>
      </c>
      <c r="J120">
        <v>1</v>
      </c>
      <c r="N120" t="s">
        <v>26</v>
      </c>
      <c r="S120">
        <v>1</v>
      </c>
      <c r="T120">
        <v>53</v>
      </c>
      <c r="X120">
        <v>1868</v>
      </c>
      <c r="AA120" t="s">
        <v>20</v>
      </c>
      <c r="AB120" t="s">
        <v>29</v>
      </c>
      <c r="AC120">
        <v>1</v>
      </c>
      <c r="AG120" t="s">
        <v>415</v>
      </c>
    </row>
    <row r="121" spans="1:37" x14ac:dyDescent="0.2">
      <c r="A121" s="7" t="s">
        <v>579</v>
      </c>
      <c r="B121" s="7">
        <v>2021</v>
      </c>
      <c r="C121" s="7">
        <v>19</v>
      </c>
      <c r="D121" s="7" t="s">
        <v>580</v>
      </c>
      <c r="G121" t="s">
        <v>1689</v>
      </c>
      <c r="H121" t="s">
        <v>170</v>
      </c>
      <c r="I121">
        <v>84</v>
      </c>
      <c r="J121">
        <v>1</v>
      </c>
      <c r="N121" t="s">
        <v>26</v>
      </c>
      <c r="S121">
        <v>1</v>
      </c>
      <c r="T121">
        <v>56</v>
      </c>
      <c r="X121">
        <v>1865</v>
      </c>
      <c r="AA121" t="s">
        <v>20</v>
      </c>
      <c r="AB121" t="s">
        <v>29</v>
      </c>
      <c r="AC121">
        <v>1</v>
      </c>
      <c r="AG121" t="s">
        <v>415</v>
      </c>
    </row>
    <row r="122" spans="1:37" x14ac:dyDescent="0.2">
      <c r="A122" s="7" t="s">
        <v>579</v>
      </c>
      <c r="B122" s="7">
        <v>2021</v>
      </c>
      <c r="C122" s="7">
        <v>19</v>
      </c>
      <c r="D122" s="7" t="s">
        <v>580</v>
      </c>
      <c r="G122" t="s">
        <v>1690</v>
      </c>
      <c r="H122" t="s">
        <v>121</v>
      </c>
      <c r="I122">
        <v>85</v>
      </c>
      <c r="J122">
        <v>1</v>
      </c>
      <c r="N122" t="s">
        <v>26</v>
      </c>
      <c r="S122">
        <v>1</v>
      </c>
      <c r="T122">
        <v>22</v>
      </c>
      <c r="X122">
        <v>1899</v>
      </c>
      <c r="AA122" t="s">
        <v>20</v>
      </c>
      <c r="AB122" t="s">
        <v>29</v>
      </c>
      <c r="AC122">
        <v>1</v>
      </c>
      <c r="AF122">
        <v>1</v>
      </c>
      <c r="AG122" t="s">
        <v>14</v>
      </c>
    </row>
    <row r="123" spans="1:37" x14ac:dyDescent="0.2">
      <c r="A123" s="7" t="s">
        <v>579</v>
      </c>
      <c r="B123" s="7">
        <v>2021</v>
      </c>
      <c r="C123" s="7">
        <v>19</v>
      </c>
      <c r="D123" s="7" t="s">
        <v>580</v>
      </c>
      <c r="G123" t="s">
        <v>1692</v>
      </c>
      <c r="H123" t="s">
        <v>1691</v>
      </c>
      <c r="I123">
        <v>86</v>
      </c>
      <c r="J123">
        <v>1</v>
      </c>
      <c r="N123" t="s">
        <v>26</v>
      </c>
      <c r="S123">
        <v>1</v>
      </c>
      <c r="T123">
        <v>18</v>
      </c>
      <c r="X123">
        <v>1903</v>
      </c>
      <c r="AA123" t="s">
        <v>20</v>
      </c>
      <c r="AB123" t="s">
        <v>29</v>
      </c>
      <c r="AC123">
        <v>1</v>
      </c>
      <c r="AG123" t="s">
        <v>212</v>
      </c>
    </row>
    <row r="124" spans="1:37" x14ac:dyDescent="0.2">
      <c r="A124" s="7" t="s">
        <v>579</v>
      </c>
      <c r="B124" s="7">
        <v>2021</v>
      </c>
      <c r="C124" s="7">
        <v>19</v>
      </c>
      <c r="D124" s="7" t="s">
        <v>580</v>
      </c>
      <c r="G124" t="s">
        <v>1694</v>
      </c>
      <c r="H124" t="s">
        <v>1693</v>
      </c>
      <c r="I124">
        <v>87</v>
      </c>
      <c r="J124" t="s">
        <v>19</v>
      </c>
      <c r="L124">
        <v>1</v>
      </c>
      <c r="N124" t="s">
        <v>26</v>
      </c>
      <c r="S124">
        <v>1</v>
      </c>
      <c r="T124">
        <v>14</v>
      </c>
      <c r="X124">
        <v>1907</v>
      </c>
      <c r="AA124" t="s">
        <v>20</v>
      </c>
      <c r="AB124" t="s">
        <v>29</v>
      </c>
      <c r="AC124">
        <v>1</v>
      </c>
      <c r="AG124" t="s">
        <v>432</v>
      </c>
    </row>
    <row r="125" spans="1:37" x14ac:dyDescent="0.2">
      <c r="A125" s="7" t="s">
        <v>579</v>
      </c>
      <c r="B125" s="7">
        <v>2021</v>
      </c>
      <c r="C125" s="7"/>
      <c r="D125" s="7" t="s">
        <v>580</v>
      </c>
      <c r="H125">
        <v>11</v>
      </c>
    </row>
    <row r="126" spans="1:37" x14ac:dyDescent="0.2">
      <c r="A126" s="7" t="s">
        <v>579</v>
      </c>
      <c r="B126" s="7">
        <v>2021</v>
      </c>
      <c r="C126" s="7"/>
      <c r="D126" s="7" t="s">
        <v>580</v>
      </c>
      <c r="G126" t="s">
        <v>1</v>
      </c>
      <c r="H126" t="s">
        <v>0</v>
      </c>
      <c r="J126" t="s">
        <v>3</v>
      </c>
      <c r="N126" t="s">
        <v>2</v>
      </c>
      <c r="T126" t="s">
        <v>5</v>
      </c>
      <c r="X126" t="s">
        <v>4</v>
      </c>
      <c r="AA126" t="s">
        <v>7</v>
      </c>
      <c r="AB126" t="s">
        <v>8</v>
      </c>
      <c r="AG126" t="s">
        <v>6</v>
      </c>
    </row>
    <row r="127" spans="1:37" x14ac:dyDescent="0.2">
      <c r="A127" s="7" t="s">
        <v>579</v>
      </c>
      <c r="B127" s="7">
        <v>2021</v>
      </c>
      <c r="C127" s="7">
        <v>20</v>
      </c>
      <c r="D127" s="7" t="s">
        <v>580</v>
      </c>
      <c r="F127">
        <v>37</v>
      </c>
      <c r="G127" t="s">
        <v>479</v>
      </c>
      <c r="H127" t="s">
        <v>1695</v>
      </c>
      <c r="I127">
        <v>88</v>
      </c>
      <c r="J127" t="s">
        <v>13</v>
      </c>
      <c r="K127">
        <v>1</v>
      </c>
      <c r="N127">
        <v>1</v>
      </c>
      <c r="T127">
        <v>43</v>
      </c>
      <c r="X127">
        <v>1878</v>
      </c>
      <c r="AA127" t="s">
        <v>1696</v>
      </c>
      <c r="AB127" t="s">
        <v>8</v>
      </c>
      <c r="AC127">
        <v>1</v>
      </c>
      <c r="AD127">
        <v>1</v>
      </c>
      <c r="AF127">
        <v>1</v>
      </c>
      <c r="AG127" t="s">
        <v>49</v>
      </c>
    </row>
    <row r="128" spans="1:37" x14ac:dyDescent="0.2">
      <c r="A128" s="7" t="s">
        <v>579</v>
      </c>
      <c r="B128" s="7">
        <v>2021</v>
      </c>
      <c r="C128" s="7">
        <v>20</v>
      </c>
      <c r="D128" s="7" t="s">
        <v>580</v>
      </c>
      <c r="G128" t="s">
        <v>479</v>
      </c>
      <c r="H128" t="s">
        <v>1697</v>
      </c>
      <c r="I128">
        <v>89</v>
      </c>
      <c r="J128">
        <v>1</v>
      </c>
      <c r="N128" t="s">
        <v>18</v>
      </c>
      <c r="O128">
        <v>1</v>
      </c>
      <c r="T128">
        <v>33</v>
      </c>
      <c r="X128">
        <v>1888</v>
      </c>
      <c r="AA128" t="s">
        <v>50</v>
      </c>
      <c r="AB128" t="s">
        <v>20</v>
      </c>
      <c r="AF128">
        <v>1</v>
      </c>
      <c r="AG128" t="s">
        <v>49</v>
      </c>
    </row>
    <row r="129" spans="1:33" x14ac:dyDescent="0.2">
      <c r="A129" s="7" t="s">
        <v>579</v>
      </c>
      <c r="B129" s="7">
        <v>2021</v>
      </c>
      <c r="C129" s="7">
        <v>20</v>
      </c>
      <c r="D129" s="7" t="s">
        <v>580</v>
      </c>
      <c r="G129" t="s">
        <v>479</v>
      </c>
      <c r="H129" t="s">
        <v>1698</v>
      </c>
      <c r="I129">
        <v>90</v>
      </c>
      <c r="J129" t="s">
        <v>19</v>
      </c>
      <c r="L129">
        <v>1</v>
      </c>
      <c r="N129" t="s">
        <v>22</v>
      </c>
      <c r="P129">
        <v>1</v>
      </c>
      <c r="T129">
        <v>8</v>
      </c>
      <c r="X129">
        <v>1912</v>
      </c>
      <c r="AA129" t="s">
        <v>20</v>
      </c>
      <c r="AB129" t="s">
        <v>20</v>
      </c>
      <c r="AF129">
        <v>1</v>
      </c>
      <c r="AG129" t="s">
        <v>49</v>
      </c>
    </row>
    <row r="130" spans="1:33" x14ac:dyDescent="0.2">
      <c r="A130" s="7" t="s">
        <v>579</v>
      </c>
      <c r="B130" s="7">
        <v>2021</v>
      </c>
      <c r="C130" s="7">
        <v>20</v>
      </c>
      <c r="D130" s="7" t="s">
        <v>580</v>
      </c>
      <c r="G130" t="s">
        <v>479</v>
      </c>
      <c r="H130" t="s">
        <v>1699</v>
      </c>
      <c r="I130">
        <v>91</v>
      </c>
      <c r="J130" t="s">
        <v>13</v>
      </c>
      <c r="M130">
        <v>1</v>
      </c>
      <c r="N130" t="s">
        <v>51</v>
      </c>
      <c r="Q130">
        <v>1</v>
      </c>
      <c r="T130">
        <v>7</v>
      </c>
      <c r="X130">
        <v>1913</v>
      </c>
      <c r="AA130" t="s">
        <v>20</v>
      </c>
      <c r="AB130" t="s">
        <v>20</v>
      </c>
      <c r="AF130">
        <v>1</v>
      </c>
      <c r="AG130" t="s">
        <v>49</v>
      </c>
    </row>
    <row r="131" spans="1:33" x14ac:dyDescent="0.2">
      <c r="A131" s="7" t="s">
        <v>579</v>
      </c>
      <c r="B131" s="7">
        <v>2021</v>
      </c>
      <c r="C131" s="7">
        <v>20</v>
      </c>
      <c r="D131" s="7" t="s">
        <v>580</v>
      </c>
      <c r="G131" t="s">
        <v>328</v>
      </c>
      <c r="H131" t="s">
        <v>179</v>
      </c>
      <c r="I131">
        <v>92</v>
      </c>
      <c r="J131">
        <v>1</v>
      </c>
      <c r="N131" t="s">
        <v>26</v>
      </c>
      <c r="S131">
        <v>1</v>
      </c>
      <c r="T131">
        <v>31</v>
      </c>
      <c r="X131">
        <v>1889</v>
      </c>
      <c r="AA131" t="s">
        <v>908</v>
      </c>
      <c r="AB131" t="s">
        <v>29</v>
      </c>
      <c r="AC131">
        <v>1</v>
      </c>
      <c r="AG131" t="s">
        <v>1295</v>
      </c>
    </row>
    <row r="132" spans="1:33" x14ac:dyDescent="0.2">
      <c r="A132" s="7" t="s">
        <v>579</v>
      </c>
      <c r="B132" s="7">
        <v>2021</v>
      </c>
      <c r="C132" s="7"/>
      <c r="D132" s="7" t="s">
        <v>580</v>
      </c>
      <c r="H132">
        <v>5</v>
      </c>
    </row>
    <row r="133" spans="1:33" x14ac:dyDescent="0.2">
      <c r="A133" s="7" t="s">
        <v>579</v>
      </c>
      <c r="B133" s="7">
        <v>2021</v>
      </c>
      <c r="C133" s="7"/>
      <c r="D133" s="7" t="s">
        <v>580</v>
      </c>
      <c r="G133" t="s">
        <v>1</v>
      </c>
      <c r="H133" t="s">
        <v>0</v>
      </c>
      <c r="J133" t="s">
        <v>3</v>
      </c>
      <c r="N133" t="s">
        <v>2</v>
      </c>
      <c r="T133" t="s">
        <v>5</v>
      </c>
      <c r="X133" t="s">
        <v>4</v>
      </c>
      <c r="AA133" t="s">
        <v>7</v>
      </c>
      <c r="AB133" t="s">
        <v>8</v>
      </c>
      <c r="AG133" t="s">
        <v>6</v>
      </c>
    </row>
    <row r="134" spans="1:33" x14ac:dyDescent="0.2">
      <c r="A134" s="7" t="s">
        <v>579</v>
      </c>
      <c r="B134" s="7">
        <v>2021</v>
      </c>
      <c r="C134" s="7">
        <v>21</v>
      </c>
      <c r="D134" s="7" t="s">
        <v>580</v>
      </c>
      <c r="F134">
        <v>43</v>
      </c>
      <c r="G134" t="s">
        <v>654</v>
      </c>
      <c r="H134" t="s">
        <v>1700</v>
      </c>
      <c r="I134">
        <v>93</v>
      </c>
      <c r="J134" t="s">
        <v>13</v>
      </c>
      <c r="K134">
        <v>1</v>
      </c>
      <c r="N134">
        <v>1</v>
      </c>
      <c r="T134">
        <v>58</v>
      </c>
      <c r="X134">
        <v>1863</v>
      </c>
      <c r="AA134" t="s">
        <v>1701</v>
      </c>
      <c r="AB134" t="s">
        <v>8</v>
      </c>
      <c r="AC134">
        <v>1</v>
      </c>
      <c r="AD134">
        <v>1</v>
      </c>
      <c r="AF134">
        <v>1</v>
      </c>
      <c r="AG134" t="s">
        <v>40</v>
      </c>
    </row>
    <row r="135" spans="1:33" x14ac:dyDescent="0.2">
      <c r="A135" s="7" t="s">
        <v>579</v>
      </c>
      <c r="B135" s="7">
        <v>2021</v>
      </c>
      <c r="C135" s="7">
        <v>21</v>
      </c>
      <c r="D135" s="7" t="s">
        <v>580</v>
      </c>
      <c r="G135" t="s">
        <v>1702</v>
      </c>
      <c r="H135" t="s">
        <v>336</v>
      </c>
      <c r="I135">
        <v>94</v>
      </c>
      <c r="J135">
        <v>1</v>
      </c>
      <c r="N135" t="s">
        <v>18</v>
      </c>
      <c r="O135">
        <v>1</v>
      </c>
      <c r="T135">
        <v>57</v>
      </c>
      <c r="X135">
        <v>1864</v>
      </c>
      <c r="AA135" t="s">
        <v>18</v>
      </c>
      <c r="AB135" t="s">
        <v>20</v>
      </c>
      <c r="AG135" t="s">
        <v>1703</v>
      </c>
    </row>
    <row r="136" spans="1:33" x14ac:dyDescent="0.2">
      <c r="A136" s="7" t="s">
        <v>579</v>
      </c>
      <c r="B136" s="7">
        <v>2021</v>
      </c>
      <c r="C136" s="7">
        <v>21</v>
      </c>
      <c r="D136" s="7" t="s">
        <v>580</v>
      </c>
      <c r="G136" t="s">
        <v>1705</v>
      </c>
      <c r="H136" t="s">
        <v>1704</v>
      </c>
      <c r="I136">
        <v>95</v>
      </c>
      <c r="J136">
        <v>1</v>
      </c>
      <c r="N136" t="s">
        <v>26</v>
      </c>
      <c r="S136">
        <v>1</v>
      </c>
      <c r="T136">
        <v>28</v>
      </c>
      <c r="X136">
        <v>1893</v>
      </c>
      <c r="AA136" t="s">
        <v>28</v>
      </c>
      <c r="AB136" t="s">
        <v>1706</v>
      </c>
      <c r="AC136">
        <v>1</v>
      </c>
      <c r="AG136" t="s">
        <v>438</v>
      </c>
    </row>
    <row r="137" spans="1:33" x14ac:dyDescent="0.2">
      <c r="A137" s="7" t="s">
        <v>579</v>
      </c>
      <c r="B137" s="7">
        <v>2021</v>
      </c>
      <c r="C137" s="7">
        <v>21</v>
      </c>
      <c r="D137" s="7" t="s">
        <v>580</v>
      </c>
      <c r="G137" t="s">
        <v>1708</v>
      </c>
      <c r="H137" t="s">
        <v>1707</v>
      </c>
      <c r="I137">
        <v>96</v>
      </c>
      <c r="J137">
        <v>1</v>
      </c>
      <c r="N137" t="s">
        <v>26</v>
      </c>
      <c r="S137">
        <v>1</v>
      </c>
      <c r="T137">
        <v>20</v>
      </c>
      <c r="X137">
        <v>1901</v>
      </c>
      <c r="AA137" t="s">
        <v>33</v>
      </c>
      <c r="AB137" t="s">
        <v>1706</v>
      </c>
      <c r="AC137">
        <v>1</v>
      </c>
      <c r="AG137" t="s">
        <v>778</v>
      </c>
    </row>
    <row r="138" spans="1:33" x14ac:dyDescent="0.2">
      <c r="A138" s="7" t="s">
        <v>579</v>
      </c>
      <c r="B138" s="7">
        <v>2021</v>
      </c>
      <c r="C138" s="7"/>
      <c r="D138" s="7" t="s">
        <v>580</v>
      </c>
      <c r="H138">
        <v>4</v>
      </c>
    </row>
    <row r="139" spans="1:33" x14ac:dyDescent="0.2">
      <c r="A139" s="7" t="s">
        <v>579</v>
      </c>
      <c r="B139" s="7">
        <v>2021</v>
      </c>
      <c r="C139" s="7"/>
      <c r="D139" s="7" t="s">
        <v>580</v>
      </c>
      <c r="G139" t="s">
        <v>1</v>
      </c>
      <c r="H139" t="s">
        <v>0</v>
      </c>
      <c r="J139" t="s">
        <v>3</v>
      </c>
      <c r="N139" t="s">
        <v>2</v>
      </c>
      <c r="T139" t="s">
        <v>5</v>
      </c>
      <c r="X139" t="s">
        <v>4</v>
      </c>
      <c r="AA139" t="s">
        <v>7</v>
      </c>
      <c r="AB139" t="s">
        <v>8</v>
      </c>
      <c r="AG139" t="s">
        <v>6</v>
      </c>
    </row>
    <row r="140" spans="1:33" x14ac:dyDescent="0.2">
      <c r="A140" s="7" t="s">
        <v>579</v>
      </c>
      <c r="B140" s="7">
        <v>2021</v>
      </c>
      <c r="C140" s="7">
        <v>22</v>
      </c>
      <c r="D140" s="7" t="s">
        <v>580</v>
      </c>
      <c r="F140">
        <v>45</v>
      </c>
      <c r="G140" t="s">
        <v>1710</v>
      </c>
      <c r="H140" t="s">
        <v>1709</v>
      </c>
      <c r="I140">
        <v>97</v>
      </c>
      <c r="J140" t="s">
        <v>13</v>
      </c>
      <c r="K140">
        <v>1</v>
      </c>
      <c r="N140">
        <v>1</v>
      </c>
      <c r="T140">
        <v>70</v>
      </c>
      <c r="X140">
        <v>1851</v>
      </c>
      <c r="AA140" t="s">
        <v>1711</v>
      </c>
      <c r="AB140" t="s">
        <v>1712</v>
      </c>
      <c r="AG140" t="s">
        <v>1140</v>
      </c>
    </row>
    <row r="141" spans="1:33" x14ac:dyDescent="0.2">
      <c r="A141" s="7" t="s">
        <v>579</v>
      </c>
      <c r="B141" s="7">
        <v>2021</v>
      </c>
      <c r="C141" s="7">
        <v>22</v>
      </c>
      <c r="D141" s="7" t="s">
        <v>580</v>
      </c>
      <c r="G141" t="s">
        <v>1713</v>
      </c>
      <c r="H141" t="s">
        <v>57</v>
      </c>
      <c r="I141">
        <v>98</v>
      </c>
      <c r="J141">
        <v>1</v>
      </c>
      <c r="N141" t="s">
        <v>52</v>
      </c>
      <c r="S141">
        <v>1</v>
      </c>
      <c r="T141">
        <v>53</v>
      </c>
      <c r="X141">
        <v>1868</v>
      </c>
      <c r="AA141" t="s">
        <v>50</v>
      </c>
      <c r="AB141" t="s">
        <v>20</v>
      </c>
      <c r="AG141" t="s">
        <v>1714</v>
      </c>
    </row>
    <row r="142" spans="1:33" x14ac:dyDescent="0.2">
      <c r="A142" s="7" t="s">
        <v>579</v>
      </c>
      <c r="B142" s="7">
        <v>2021</v>
      </c>
      <c r="C142" s="7">
        <v>22</v>
      </c>
      <c r="D142" s="7" t="s">
        <v>580</v>
      </c>
      <c r="G142" t="s">
        <v>1713</v>
      </c>
      <c r="H142" t="s">
        <v>1715</v>
      </c>
      <c r="I142">
        <v>99</v>
      </c>
      <c r="J142" t="s">
        <v>13</v>
      </c>
      <c r="M142">
        <v>1</v>
      </c>
      <c r="N142" t="s">
        <v>1716</v>
      </c>
      <c r="Q142">
        <v>1</v>
      </c>
      <c r="T142">
        <v>9</v>
      </c>
      <c r="X142">
        <v>1912</v>
      </c>
      <c r="AA142" t="s">
        <v>20</v>
      </c>
      <c r="AB142" t="s">
        <v>20</v>
      </c>
      <c r="AF142">
        <v>1</v>
      </c>
      <c r="AG142" t="s">
        <v>49</v>
      </c>
    </row>
    <row r="143" spans="1:33" x14ac:dyDescent="0.2">
      <c r="A143" s="7" t="s">
        <v>579</v>
      </c>
      <c r="B143" s="7">
        <v>2021</v>
      </c>
      <c r="C143" s="7">
        <v>22</v>
      </c>
      <c r="D143" s="7" t="s">
        <v>580</v>
      </c>
      <c r="G143" t="s">
        <v>1718</v>
      </c>
      <c r="H143" t="s">
        <v>1717</v>
      </c>
      <c r="I143">
        <v>100</v>
      </c>
      <c r="J143">
        <v>1</v>
      </c>
      <c r="N143" t="s">
        <v>58</v>
      </c>
      <c r="R143">
        <v>1</v>
      </c>
      <c r="T143">
        <v>20</v>
      </c>
      <c r="X143">
        <v>1900</v>
      </c>
      <c r="AA143" t="s">
        <v>344</v>
      </c>
      <c r="AB143" t="s">
        <v>20</v>
      </c>
      <c r="AC143">
        <v>1</v>
      </c>
      <c r="AF143">
        <v>1</v>
      </c>
      <c r="AG143" t="s">
        <v>49</v>
      </c>
    </row>
    <row r="144" spans="1:33" x14ac:dyDescent="0.2">
      <c r="A144" s="7" t="s">
        <v>579</v>
      </c>
      <c r="B144" s="7">
        <v>2021</v>
      </c>
      <c r="C144" s="7">
        <v>22</v>
      </c>
      <c r="D144" s="7" t="s">
        <v>580</v>
      </c>
      <c r="G144" t="s">
        <v>1718</v>
      </c>
      <c r="H144" t="s">
        <v>1719</v>
      </c>
      <c r="I144">
        <v>101</v>
      </c>
      <c r="J144" t="s">
        <v>19</v>
      </c>
      <c r="L144">
        <v>1</v>
      </c>
      <c r="N144" t="s">
        <v>58</v>
      </c>
      <c r="R144">
        <v>1</v>
      </c>
      <c r="T144" t="s">
        <v>20</v>
      </c>
      <c r="X144">
        <v>1920</v>
      </c>
      <c r="AA144" t="s">
        <v>20</v>
      </c>
      <c r="AB144" t="s">
        <v>20</v>
      </c>
      <c r="AF144">
        <v>1</v>
      </c>
      <c r="AG144" t="s">
        <v>49</v>
      </c>
    </row>
    <row r="145" spans="1:35" x14ac:dyDescent="0.2">
      <c r="A145" s="7" t="s">
        <v>579</v>
      </c>
      <c r="B145" s="7">
        <v>2021</v>
      </c>
      <c r="C145" s="7"/>
      <c r="D145" s="7" t="s">
        <v>580</v>
      </c>
      <c r="H145">
        <v>5</v>
      </c>
    </row>
    <row r="146" spans="1:35" x14ac:dyDescent="0.2">
      <c r="A146" s="7" t="s">
        <v>579</v>
      </c>
      <c r="B146" s="7">
        <v>2021</v>
      </c>
      <c r="C146" s="7"/>
      <c r="D146" s="7" t="s">
        <v>580</v>
      </c>
      <c r="G146" t="s">
        <v>1</v>
      </c>
      <c r="H146" t="s">
        <v>0</v>
      </c>
      <c r="J146" t="s">
        <v>3</v>
      </c>
      <c r="N146" t="s">
        <v>2</v>
      </c>
      <c r="T146" t="s">
        <v>5</v>
      </c>
      <c r="X146" t="s">
        <v>4</v>
      </c>
      <c r="AA146" t="s">
        <v>7</v>
      </c>
      <c r="AB146" t="s">
        <v>8</v>
      </c>
      <c r="AG146" t="s">
        <v>6</v>
      </c>
    </row>
    <row r="147" spans="1:35" x14ac:dyDescent="0.2">
      <c r="A147" s="7" t="s">
        <v>579</v>
      </c>
      <c r="B147" s="7">
        <v>2021</v>
      </c>
      <c r="C147" s="7">
        <v>23</v>
      </c>
      <c r="D147" s="7" t="s">
        <v>580</v>
      </c>
      <c r="F147">
        <v>47</v>
      </c>
      <c r="G147" t="s">
        <v>1721</v>
      </c>
      <c r="H147" t="s">
        <v>1720</v>
      </c>
      <c r="I147">
        <v>102</v>
      </c>
      <c r="J147">
        <v>1</v>
      </c>
      <c r="N147">
        <v>1</v>
      </c>
      <c r="T147">
        <v>36</v>
      </c>
      <c r="X147">
        <v>1885</v>
      </c>
      <c r="AA147" t="s">
        <v>50</v>
      </c>
      <c r="AB147" t="s">
        <v>20</v>
      </c>
      <c r="AG147" t="s">
        <v>1127</v>
      </c>
    </row>
    <row r="148" spans="1:35" x14ac:dyDescent="0.2">
      <c r="A148" s="7" t="s">
        <v>579</v>
      </c>
      <c r="B148" s="7">
        <v>2021</v>
      </c>
      <c r="C148" s="7">
        <v>23</v>
      </c>
      <c r="D148" s="7" t="s">
        <v>580</v>
      </c>
      <c r="G148" t="s">
        <v>1721</v>
      </c>
      <c r="H148" t="s">
        <v>1722</v>
      </c>
      <c r="I148">
        <v>103</v>
      </c>
      <c r="J148" t="s">
        <v>13</v>
      </c>
      <c r="M148">
        <v>1</v>
      </c>
      <c r="N148" t="s">
        <v>51</v>
      </c>
      <c r="Q148">
        <v>1</v>
      </c>
      <c r="T148">
        <v>5</v>
      </c>
      <c r="X148">
        <v>1915</v>
      </c>
      <c r="AA148" t="s">
        <v>20</v>
      </c>
      <c r="AB148" t="s">
        <v>20</v>
      </c>
      <c r="AG148" t="s">
        <v>1127</v>
      </c>
    </row>
    <row r="149" spans="1:35" x14ac:dyDescent="0.2">
      <c r="A149" s="7" t="s">
        <v>579</v>
      </c>
      <c r="B149" s="7">
        <v>2021</v>
      </c>
      <c r="C149" s="7">
        <v>23</v>
      </c>
      <c r="D149" s="7" t="s">
        <v>580</v>
      </c>
      <c r="G149" t="s">
        <v>1721</v>
      </c>
      <c r="H149" t="s">
        <v>1723</v>
      </c>
      <c r="I149">
        <v>104</v>
      </c>
      <c r="J149" t="s">
        <v>13</v>
      </c>
      <c r="M149">
        <v>1</v>
      </c>
      <c r="N149" t="s">
        <v>51</v>
      </c>
      <c r="Q149">
        <v>1</v>
      </c>
      <c r="T149">
        <v>2</v>
      </c>
      <c r="X149">
        <v>1918</v>
      </c>
      <c r="AA149" t="s">
        <v>20</v>
      </c>
      <c r="AB149" t="s">
        <v>20</v>
      </c>
      <c r="AG149" t="s">
        <v>1724</v>
      </c>
    </row>
    <row r="150" spans="1:35" x14ac:dyDescent="0.2">
      <c r="A150" s="7" t="s">
        <v>579</v>
      </c>
      <c r="B150" s="7">
        <v>2021</v>
      </c>
      <c r="C150" s="7">
        <v>23</v>
      </c>
      <c r="D150" s="7" t="s">
        <v>580</v>
      </c>
      <c r="G150" t="s">
        <v>1721</v>
      </c>
      <c r="H150" t="s">
        <v>1725</v>
      </c>
      <c r="I150">
        <v>105</v>
      </c>
      <c r="J150" t="s">
        <v>13</v>
      </c>
      <c r="M150">
        <v>1</v>
      </c>
      <c r="N150" t="s">
        <v>51</v>
      </c>
      <c r="Q150">
        <v>1</v>
      </c>
      <c r="T150" t="s">
        <v>20</v>
      </c>
      <c r="X150">
        <v>1921</v>
      </c>
      <c r="AA150" t="s">
        <v>20</v>
      </c>
      <c r="AB150" t="s">
        <v>20</v>
      </c>
      <c r="AF150">
        <v>1</v>
      </c>
      <c r="AG150" t="s">
        <v>49</v>
      </c>
    </row>
    <row r="151" spans="1:35" x14ac:dyDescent="0.2">
      <c r="A151" s="7" t="s">
        <v>579</v>
      </c>
      <c r="B151" s="7">
        <v>2021</v>
      </c>
      <c r="C151" s="7">
        <v>23</v>
      </c>
      <c r="D151" s="7" t="s">
        <v>580</v>
      </c>
      <c r="G151" t="s">
        <v>1727</v>
      </c>
      <c r="H151" t="s">
        <v>1726</v>
      </c>
      <c r="I151">
        <v>106</v>
      </c>
      <c r="J151">
        <v>1</v>
      </c>
      <c r="N151" t="s">
        <v>26</v>
      </c>
      <c r="S151">
        <v>1</v>
      </c>
      <c r="T151">
        <v>29</v>
      </c>
      <c r="X151">
        <v>1891</v>
      </c>
      <c r="AA151" t="s">
        <v>1674</v>
      </c>
      <c r="AB151" t="s">
        <v>29</v>
      </c>
      <c r="AC151">
        <v>1</v>
      </c>
      <c r="AG151" t="s">
        <v>1728</v>
      </c>
    </row>
    <row r="152" spans="1:35" x14ac:dyDescent="0.2">
      <c r="A152" s="7" t="s">
        <v>579</v>
      </c>
      <c r="B152" s="7">
        <v>2021</v>
      </c>
      <c r="C152" s="7">
        <v>23</v>
      </c>
      <c r="D152" s="7" t="s">
        <v>580</v>
      </c>
      <c r="G152" t="s">
        <v>1729</v>
      </c>
      <c r="H152" t="s">
        <v>676</v>
      </c>
      <c r="I152">
        <v>107</v>
      </c>
      <c r="J152" t="s">
        <v>13</v>
      </c>
      <c r="K152">
        <v>1</v>
      </c>
      <c r="N152" t="s">
        <v>60</v>
      </c>
      <c r="R152">
        <v>1</v>
      </c>
      <c r="T152">
        <v>25</v>
      </c>
      <c r="X152">
        <v>1896</v>
      </c>
      <c r="AA152" t="s">
        <v>1730</v>
      </c>
      <c r="AB152" t="s">
        <v>1731</v>
      </c>
      <c r="AC152">
        <v>1</v>
      </c>
      <c r="AF152">
        <v>1</v>
      </c>
      <c r="AG152" t="s">
        <v>49</v>
      </c>
    </row>
    <row r="153" spans="1:35" x14ac:dyDescent="0.2">
      <c r="A153" s="7" t="s">
        <v>579</v>
      </c>
      <c r="B153" s="7">
        <v>2021</v>
      </c>
      <c r="C153" s="7">
        <v>23</v>
      </c>
      <c r="D153" s="7" t="s">
        <v>580</v>
      </c>
      <c r="G153" t="s">
        <v>1729</v>
      </c>
      <c r="H153" t="s">
        <v>422</v>
      </c>
      <c r="I153">
        <v>108</v>
      </c>
      <c r="J153">
        <v>1</v>
      </c>
      <c r="N153" t="s">
        <v>60</v>
      </c>
      <c r="R153">
        <v>1</v>
      </c>
      <c r="T153">
        <v>25</v>
      </c>
      <c r="X153">
        <v>1896</v>
      </c>
      <c r="AA153" t="s">
        <v>50</v>
      </c>
      <c r="AB153" t="s">
        <v>20</v>
      </c>
      <c r="AG153" t="s">
        <v>432</v>
      </c>
    </row>
    <row r="154" spans="1:35" x14ac:dyDescent="0.2">
      <c r="A154" s="7" t="s">
        <v>579</v>
      </c>
      <c r="B154" s="7">
        <v>2021</v>
      </c>
      <c r="C154" s="7">
        <v>23</v>
      </c>
      <c r="D154" s="7" t="s">
        <v>580</v>
      </c>
      <c r="H154">
        <v>7</v>
      </c>
      <c r="I154">
        <v>108</v>
      </c>
      <c r="J154">
        <f>SUM(J3:J153)</f>
        <v>69</v>
      </c>
      <c r="K154">
        <f t="shared" ref="K154:AI154" si="0">SUM(K3:K153)</f>
        <v>24</v>
      </c>
      <c r="L154">
        <f t="shared" si="0"/>
        <v>6</v>
      </c>
      <c r="M154">
        <f t="shared" si="0"/>
        <v>9</v>
      </c>
      <c r="N154">
        <f t="shared" si="0"/>
        <v>21</v>
      </c>
      <c r="O154">
        <f t="shared" si="0"/>
        <v>14</v>
      </c>
      <c r="P154">
        <f t="shared" si="0"/>
        <v>12</v>
      </c>
      <c r="Q154">
        <f t="shared" si="0"/>
        <v>15</v>
      </c>
      <c r="R154">
        <f t="shared" si="0"/>
        <v>10</v>
      </c>
      <c r="S154">
        <f t="shared" si="0"/>
        <v>36</v>
      </c>
      <c r="T154">
        <f t="shared" si="0"/>
        <v>3867</v>
      </c>
      <c r="U154">
        <f t="shared" si="0"/>
        <v>0</v>
      </c>
      <c r="V154">
        <f t="shared" si="0"/>
        <v>0</v>
      </c>
      <c r="W154">
        <f t="shared" si="0"/>
        <v>0</v>
      </c>
      <c r="Z154">
        <f>SUM(Z3:Z153)</f>
        <v>0</v>
      </c>
      <c r="AA154">
        <f>SUM(AA3:AA153)</f>
        <v>0</v>
      </c>
      <c r="AB154">
        <f>SUM(AB3:AB153)</f>
        <v>0</v>
      </c>
      <c r="AC154">
        <f t="shared" si="0"/>
        <v>53</v>
      </c>
      <c r="AD154">
        <f t="shared" si="0"/>
        <v>6</v>
      </c>
      <c r="AE154">
        <f>AC154-AD154</f>
        <v>47</v>
      </c>
      <c r="AF154">
        <f>SUM(AF3:AF153)</f>
        <v>52</v>
      </c>
      <c r="AG154">
        <f>N155-AF154</f>
        <v>56</v>
      </c>
      <c r="AH154">
        <f>AG154+AF154</f>
        <v>108</v>
      </c>
      <c r="AI154">
        <f t="shared" si="0"/>
        <v>0</v>
      </c>
    </row>
    <row r="155" spans="1:35" x14ac:dyDescent="0.2">
      <c r="A155" s="7" t="s">
        <v>579</v>
      </c>
      <c r="B155" s="7">
        <v>2021</v>
      </c>
      <c r="C155" s="7">
        <v>23</v>
      </c>
      <c r="D155" s="7" t="s">
        <v>580</v>
      </c>
      <c r="I155">
        <f>SUM(J154:M154)</f>
        <v>108</v>
      </c>
      <c r="N155">
        <f>SUM(N154:S154)</f>
        <v>108</v>
      </c>
      <c r="T155" s="64">
        <f>T154/N155</f>
        <v>35.805555555555557</v>
      </c>
    </row>
    <row r="157" spans="1:35" x14ac:dyDescent="0.2">
      <c r="H157" t="s">
        <v>0</v>
      </c>
      <c r="J157" t="s">
        <v>2</v>
      </c>
      <c r="K157" t="s">
        <v>3</v>
      </c>
      <c r="L157" t="s">
        <v>4</v>
      </c>
      <c r="M157" t="s">
        <v>5</v>
      </c>
      <c r="N157" t="s">
        <v>6</v>
      </c>
      <c r="O157" t="s">
        <v>7</v>
      </c>
      <c r="P157" t="s">
        <v>8</v>
      </c>
    </row>
    <row r="158" spans="1:35" x14ac:dyDescent="0.2">
      <c r="F158">
        <v>3</v>
      </c>
      <c r="H158" t="s">
        <v>1542</v>
      </c>
      <c r="J158" t="s">
        <v>12</v>
      </c>
      <c r="K158" t="s">
        <v>13</v>
      </c>
      <c r="L158">
        <v>1852</v>
      </c>
      <c r="M158">
        <v>68</v>
      </c>
      <c r="N158" t="s">
        <v>14</v>
      </c>
      <c r="O158" t="s">
        <v>1544</v>
      </c>
      <c r="P158" t="s">
        <v>20</v>
      </c>
    </row>
    <row r="159" spans="1:35" x14ac:dyDescent="0.2">
      <c r="H159" t="s">
        <v>1545</v>
      </c>
      <c r="J159" t="s">
        <v>22</v>
      </c>
      <c r="K159" t="s">
        <v>19</v>
      </c>
      <c r="L159">
        <v>1883</v>
      </c>
      <c r="M159">
        <v>38</v>
      </c>
      <c r="N159" t="s">
        <v>14</v>
      </c>
      <c r="O159" t="s">
        <v>489</v>
      </c>
      <c r="P159" t="s">
        <v>20</v>
      </c>
    </row>
    <row r="160" spans="1:35" x14ac:dyDescent="0.2">
      <c r="H160" t="s">
        <v>1546</v>
      </c>
      <c r="J160" t="s">
        <v>51</v>
      </c>
      <c r="K160" t="s">
        <v>13</v>
      </c>
      <c r="L160">
        <v>1884</v>
      </c>
      <c r="M160">
        <v>37</v>
      </c>
      <c r="N160" t="s">
        <v>14</v>
      </c>
      <c r="O160" t="s">
        <v>1547</v>
      </c>
      <c r="P160" t="s">
        <v>20</v>
      </c>
    </row>
    <row r="161" spans="6:16" x14ac:dyDescent="0.2">
      <c r="H161" t="s">
        <v>174</v>
      </c>
      <c r="J161" t="s">
        <v>26</v>
      </c>
      <c r="K161" t="s">
        <v>19</v>
      </c>
      <c r="L161">
        <v>1898</v>
      </c>
      <c r="M161">
        <v>23</v>
      </c>
      <c r="N161" t="s">
        <v>1496</v>
      </c>
      <c r="O161" t="s">
        <v>56</v>
      </c>
      <c r="P161" t="s">
        <v>29</v>
      </c>
    </row>
    <row r="163" spans="6:16" x14ac:dyDescent="0.2">
      <c r="F163">
        <v>5</v>
      </c>
      <c r="H163" t="s">
        <v>0</v>
      </c>
      <c r="J163" t="s">
        <v>2</v>
      </c>
      <c r="K163" t="s">
        <v>3</v>
      </c>
      <c r="L163" t="s">
        <v>4</v>
      </c>
      <c r="M163" t="s">
        <v>5</v>
      </c>
      <c r="N163" t="s">
        <v>6</v>
      </c>
      <c r="O163" t="s">
        <v>7</v>
      </c>
      <c r="P163" t="s">
        <v>8</v>
      </c>
    </row>
    <row r="164" spans="6:16" x14ac:dyDescent="0.2">
      <c r="H164" t="s">
        <v>1549</v>
      </c>
      <c r="J164" t="s">
        <v>12</v>
      </c>
      <c r="K164" t="s">
        <v>13</v>
      </c>
      <c r="L164">
        <v>1864</v>
      </c>
      <c r="M164">
        <v>57</v>
      </c>
      <c r="N164" t="s">
        <v>49</v>
      </c>
      <c r="O164" t="s">
        <v>424</v>
      </c>
      <c r="P164" t="s">
        <v>8</v>
      </c>
    </row>
    <row r="165" spans="6:16" x14ac:dyDescent="0.2">
      <c r="H165" t="s">
        <v>1551</v>
      </c>
      <c r="J165" t="s">
        <v>18</v>
      </c>
      <c r="K165" t="s">
        <v>19</v>
      </c>
      <c r="L165">
        <v>1865</v>
      </c>
      <c r="M165">
        <v>56</v>
      </c>
      <c r="N165" t="s">
        <v>1552</v>
      </c>
      <c r="O165" t="s">
        <v>50</v>
      </c>
      <c r="P165" t="s">
        <v>20</v>
      </c>
    </row>
    <row r="166" spans="6:16" x14ac:dyDescent="0.2">
      <c r="H166" t="s">
        <v>1553</v>
      </c>
      <c r="J166" t="s">
        <v>22</v>
      </c>
      <c r="K166" t="s">
        <v>19</v>
      </c>
      <c r="L166">
        <v>1901</v>
      </c>
      <c r="M166">
        <v>19</v>
      </c>
      <c r="N166" t="s">
        <v>733</v>
      </c>
      <c r="O166" t="s">
        <v>427</v>
      </c>
      <c r="P166" t="s">
        <v>20</v>
      </c>
    </row>
    <row r="167" spans="6:16" x14ac:dyDescent="0.2">
      <c r="H167" t="s">
        <v>1554</v>
      </c>
      <c r="J167" t="s">
        <v>51</v>
      </c>
      <c r="K167" t="s">
        <v>13</v>
      </c>
      <c r="L167">
        <v>1903</v>
      </c>
      <c r="M167">
        <v>17</v>
      </c>
      <c r="N167" t="s">
        <v>733</v>
      </c>
      <c r="O167" t="s">
        <v>1555</v>
      </c>
      <c r="P167" t="s">
        <v>20</v>
      </c>
    </row>
    <row r="168" spans="6:16" x14ac:dyDescent="0.2">
      <c r="H168" t="s">
        <v>1556</v>
      </c>
      <c r="J168" t="s">
        <v>26</v>
      </c>
      <c r="K168" t="s">
        <v>19</v>
      </c>
      <c r="L168">
        <v>1883</v>
      </c>
      <c r="M168">
        <v>38</v>
      </c>
      <c r="N168" t="s">
        <v>134</v>
      </c>
      <c r="O168" t="s">
        <v>33</v>
      </c>
      <c r="P168" t="s">
        <v>29</v>
      </c>
    </row>
    <row r="169" spans="6:16" x14ac:dyDescent="0.2">
      <c r="H169" t="s">
        <v>1558</v>
      </c>
      <c r="J169" t="s">
        <v>26</v>
      </c>
      <c r="K169" t="s">
        <v>19</v>
      </c>
      <c r="L169">
        <v>1901</v>
      </c>
      <c r="M169">
        <v>20</v>
      </c>
      <c r="N169" t="s">
        <v>1560</v>
      </c>
      <c r="O169" t="s">
        <v>330</v>
      </c>
      <c r="P169" t="s">
        <v>29</v>
      </c>
    </row>
    <row r="171" spans="6:16" x14ac:dyDescent="0.2">
      <c r="F171">
        <v>7</v>
      </c>
      <c r="H171" t="s">
        <v>0</v>
      </c>
      <c r="J171" t="s">
        <v>2</v>
      </c>
      <c r="K171" t="s">
        <v>3</v>
      </c>
      <c r="L171" t="s">
        <v>4</v>
      </c>
      <c r="M171" t="s">
        <v>5</v>
      </c>
      <c r="N171" t="s">
        <v>6</v>
      </c>
      <c r="O171" t="s">
        <v>7</v>
      </c>
      <c r="P171" t="s">
        <v>8</v>
      </c>
    </row>
    <row r="172" spans="6:16" x14ac:dyDescent="0.2">
      <c r="H172" t="s">
        <v>1000</v>
      </c>
      <c r="J172" t="s">
        <v>12</v>
      </c>
      <c r="K172" t="s">
        <v>13</v>
      </c>
      <c r="L172">
        <v>1878</v>
      </c>
      <c r="M172">
        <v>42</v>
      </c>
      <c r="N172" t="s">
        <v>1561</v>
      </c>
      <c r="O172" t="s">
        <v>1562</v>
      </c>
      <c r="P172" t="s">
        <v>1563</v>
      </c>
    </row>
    <row r="173" spans="6:16" x14ac:dyDescent="0.2">
      <c r="H173" t="s">
        <v>323</v>
      </c>
      <c r="J173" t="s">
        <v>18</v>
      </c>
      <c r="K173" t="s">
        <v>19</v>
      </c>
      <c r="L173">
        <v>1883</v>
      </c>
      <c r="M173">
        <v>38</v>
      </c>
      <c r="N173" t="s">
        <v>778</v>
      </c>
      <c r="O173" t="s">
        <v>20</v>
      </c>
      <c r="P173" t="s">
        <v>1564</v>
      </c>
    </row>
    <row r="174" spans="6:16" x14ac:dyDescent="0.2">
      <c r="H174" t="s">
        <v>1565</v>
      </c>
      <c r="J174" t="s">
        <v>51</v>
      </c>
      <c r="K174" t="s">
        <v>13</v>
      </c>
      <c r="L174">
        <v>1909</v>
      </c>
      <c r="M174">
        <v>11</v>
      </c>
      <c r="N174" t="s">
        <v>1566</v>
      </c>
      <c r="O174" t="s">
        <v>20</v>
      </c>
      <c r="P174" t="s">
        <v>20</v>
      </c>
    </row>
    <row r="175" spans="6:16" x14ac:dyDescent="0.2">
      <c r="H175" t="s">
        <v>1567</v>
      </c>
      <c r="J175" t="s">
        <v>51</v>
      </c>
      <c r="K175" t="s">
        <v>13</v>
      </c>
      <c r="L175">
        <v>1912</v>
      </c>
      <c r="M175">
        <v>8</v>
      </c>
      <c r="N175" t="s">
        <v>1566</v>
      </c>
      <c r="O175" t="s">
        <v>20</v>
      </c>
      <c r="P175" t="s">
        <v>20</v>
      </c>
    </row>
    <row r="176" spans="6:16" x14ac:dyDescent="0.2">
      <c r="H176" t="s">
        <v>1568</v>
      </c>
      <c r="J176" t="s">
        <v>51</v>
      </c>
      <c r="K176" t="s">
        <v>13</v>
      </c>
      <c r="L176">
        <v>1918</v>
      </c>
      <c r="M176">
        <v>3</v>
      </c>
      <c r="N176" t="s">
        <v>1566</v>
      </c>
      <c r="O176" t="s">
        <v>20</v>
      </c>
      <c r="P176" t="s">
        <v>20</v>
      </c>
    </row>
    <row r="177" spans="6:17" x14ac:dyDescent="0.2">
      <c r="H177" t="s">
        <v>1569</v>
      </c>
      <c r="J177" t="s">
        <v>51</v>
      </c>
      <c r="K177" t="s">
        <v>13</v>
      </c>
      <c r="L177">
        <v>1921</v>
      </c>
      <c r="M177">
        <v>0</v>
      </c>
      <c r="N177" t="s">
        <v>49</v>
      </c>
      <c r="O177" t="s">
        <v>20</v>
      </c>
      <c r="P177" t="s">
        <v>20</v>
      </c>
    </row>
    <row r="178" spans="6:17" x14ac:dyDescent="0.2">
      <c r="H178" t="s">
        <v>653</v>
      </c>
      <c r="J178" t="s">
        <v>26</v>
      </c>
      <c r="K178" t="s">
        <v>19</v>
      </c>
      <c r="L178">
        <v>1869</v>
      </c>
      <c r="M178">
        <v>52</v>
      </c>
      <c r="N178" t="s">
        <v>718</v>
      </c>
      <c r="O178" t="s">
        <v>33</v>
      </c>
      <c r="P178" t="s">
        <v>29</v>
      </c>
    </row>
    <row r="179" spans="6:17" x14ac:dyDescent="0.2">
      <c r="H179" t="s">
        <v>408</v>
      </c>
      <c r="J179" t="s">
        <v>26</v>
      </c>
      <c r="K179" t="s">
        <v>19</v>
      </c>
      <c r="L179">
        <v>1901</v>
      </c>
      <c r="M179">
        <v>19</v>
      </c>
      <c r="N179" t="s">
        <v>718</v>
      </c>
      <c r="O179" t="s">
        <v>1572</v>
      </c>
      <c r="P179" t="s">
        <v>20</v>
      </c>
    </row>
    <row r="181" spans="6:17" x14ac:dyDescent="0.2">
      <c r="H181" t="s">
        <v>0</v>
      </c>
      <c r="J181" t="s">
        <v>2</v>
      </c>
      <c r="K181" t="s">
        <v>3</v>
      </c>
      <c r="L181" t="s">
        <v>4</v>
      </c>
      <c r="M181" t="s">
        <v>5</v>
      </c>
      <c r="N181" t="s">
        <v>6</v>
      </c>
      <c r="O181" t="s">
        <v>7</v>
      </c>
      <c r="P181" t="s">
        <v>8</v>
      </c>
    </row>
    <row r="182" spans="6:17" x14ac:dyDescent="0.2">
      <c r="F182">
        <v>9</v>
      </c>
      <c r="H182" t="s">
        <v>1573</v>
      </c>
      <c r="J182" t="s">
        <v>12</v>
      </c>
      <c r="K182" t="s">
        <v>13</v>
      </c>
      <c r="L182">
        <v>1878</v>
      </c>
      <c r="M182">
        <v>43</v>
      </c>
      <c r="N182" t="s">
        <v>778</v>
      </c>
      <c r="O182" t="s">
        <v>1575</v>
      </c>
      <c r="P182" t="s">
        <v>8</v>
      </c>
    </row>
    <row r="183" spans="6:17" x14ac:dyDescent="0.2">
      <c r="H183" t="s">
        <v>1576</v>
      </c>
      <c r="J183" t="s">
        <v>18</v>
      </c>
      <c r="K183" t="s">
        <v>19</v>
      </c>
      <c r="L183">
        <v>1879</v>
      </c>
      <c r="M183">
        <v>42</v>
      </c>
      <c r="N183" t="s">
        <v>14</v>
      </c>
      <c r="O183" t="s">
        <v>50</v>
      </c>
      <c r="P183" t="s">
        <v>20</v>
      </c>
    </row>
    <row r="184" spans="6:17" x14ac:dyDescent="0.2">
      <c r="H184" t="s">
        <v>1577</v>
      </c>
      <c r="J184" t="s">
        <v>22</v>
      </c>
      <c r="K184" t="s">
        <v>19</v>
      </c>
      <c r="L184">
        <v>1904</v>
      </c>
      <c r="M184">
        <v>16</v>
      </c>
      <c r="N184" t="s">
        <v>755</v>
      </c>
      <c r="O184" t="s">
        <v>20</v>
      </c>
      <c r="P184" t="s">
        <v>20</v>
      </c>
    </row>
    <row r="185" spans="6:17" x14ac:dyDescent="0.2">
      <c r="H185" t="s">
        <v>1578</v>
      </c>
      <c r="I185" t="s">
        <v>1</v>
      </c>
      <c r="J185" t="s">
        <v>22</v>
      </c>
      <c r="K185" t="s">
        <v>19</v>
      </c>
      <c r="L185">
        <v>1912</v>
      </c>
      <c r="M185">
        <v>9</v>
      </c>
      <c r="N185" t="s">
        <v>755</v>
      </c>
      <c r="O185" t="s">
        <v>20</v>
      </c>
      <c r="P185" t="s">
        <v>20</v>
      </c>
    </row>
    <row r="186" spans="6:17" x14ac:dyDescent="0.2">
      <c r="H186" t="s">
        <v>398</v>
      </c>
      <c r="I186" t="s">
        <v>1543</v>
      </c>
      <c r="J186" t="s">
        <v>26</v>
      </c>
      <c r="K186" t="s">
        <v>19</v>
      </c>
      <c r="L186">
        <v>1895</v>
      </c>
      <c r="M186">
        <v>26</v>
      </c>
      <c r="N186" t="s">
        <v>1164</v>
      </c>
      <c r="O186" t="s">
        <v>344</v>
      </c>
      <c r="P186" t="s">
        <v>29</v>
      </c>
    </row>
    <row r="187" spans="6:17" x14ac:dyDescent="0.2">
      <c r="I187" t="s">
        <v>1543</v>
      </c>
    </row>
    <row r="188" spans="6:17" x14ac:dyDescent="0.2">
      <c r="H188" t="s">
        <v>0</v>
      </c>
      <c r="I188" t="s">
        <v>1543</v>
      </c>
      <c r="J188" t="s">
        <v>2</v>
      </c>
      <c r="K188" t="s">
        <v>3</v>
      </c>
      <c r="L188" t="s">
        <v>4</v>
      </c>
      <c r="M188" t="s">
        <v>5</v>
      </c>
      <c r="N188" t="s">
        <v>6</v>
      </c>
      <c r="O188" t="s">
        <v>7</v>
      </c>
      <c r="P188" t="s">
        <v>8</v>
      </c>
    </row>
    <row r="189" spans="6:17" x14ac:dyDescent="0.2">
      <c r="F189">
        <v>11</v>
      </c>
      <c r="H189" t="s">
        <v>1732</v>
      </c>
      <c r="I189" t="s">
        <v>1548</v>
      </c>
      <c r="J189" t="s">
        <v>12</v>
      </c>
      <c r="K189" t="s">
        <v>19</v>
      </c>
      <c r="L189">
        <v>1865</v>
      </c>
      <c r="M189">
        <v>55</v>
      </c>
      <c r="N189" t="s">
        <v>49</v>
      </c>
      <c r="O189" t="s">
        <v>20</v>
      </c>
      <c r="P189" t="s">
        <v>20</v>
      </c>
      <c r="Q189" t="s">
        <v>1737</v>
      </c>
    </row>
    <row r="190" spans="6:17" x14ac:dyDescent="0.2">
      <c r="H190" t="s">
        <v>1734</v>
      </c>
      <c r="J190" t="s">
        <v>144</v>
      </c>
      <c r="K190" t="s">
        <v>19</v>
      </c>
      <c r="L190">
        <v>1864</v>
      </c>
      <c r="M190">
        <v>57</v>
      </c>
      <c r="N190" t="s">
        <v>49</v>
      </c>
      <c r="O190" t="s">
        <v>20</v>
      </c>
      <c r="P190" t="s">
        <v>20</v>
      </c>
    </row>
    <row r="191" spans="6:17" x14ac:dyDescent="0.2">
      <c r="H191" t="s">
        <v>655</v>
      </c>
      <c r="I191" t="s">
        <v>1</v>
      </c>
      <c r="J191" t="s">
        <v>26</v>
      </c>
      <c r="K191" t="s">
        <v>19</v>
      </c>
      <c r="L191">
        <v>1883</v>
      </c>
      <c r="M191">
        <v>38</v>
      </c>
      <c r="N191" t="s">
        <v>749</v>
      </c>
      <c r="O191" t="s">
        <v>20</v>
      </c>
      <c r="P191" t="s">
        <v>29</v>
      </c>
    </row>
    <row r="192" spans="6:17" x14ac:dyDescent="0.2">
      <c r="I192" t="s">
        <v>1550</v>
      </c>
    </row>
    <row r="193" spans="6:16" x14ac:dyDescent="0.2">
      <c r="H193" t="s">
        <v>0</v>
      </c>
      <c r="I193" t="s">
        <v>1550</v>
      </c>
      <c r="J193" t="s">
        <v>2</v>
      </c>
      <c r="K193" t="s">
        <v>3</v>
      </c>
      <c r="L193" t="s">
        <v>4</v>
      </c>
      <c r="M193" t="s">
        <v>5</v>
      </c>
      <c r="N193" t="s">
        <v>6</v>
      </c>
      <c r="O193" t="s">
        <v>7</v>
      </c>
      <c r="P193" t="s">
        <v>8</v>
      </c>
    </row>
    <row r="194" spans="6:16" x14ac:dyDescent="0.2">
      <c r="H194" t="s">
        <v>315</v>
      </c>
      <c r="I194" t="s">
        <v>1550</v>
      </c>
      <c r="J194" t="s">
        <v>12</v>
      </c>
      <c r="K194" t="s">
        <v>13</v>
      </c>
      <c r="L194">
        <v>1874</v>
      </c>
      <c r="M194">
        <v>47</v>
      </c>
      <c r="N194" t="s">
        <v>368</v>
      </c>
      <c r="O194" t="s">
        <v>942</v>
      </c>
      <c r="P194" t="s">
        <v>29</v>
      </c>
    </row>
    <row r="195" spans="6:16" x14ac:dyDescent="0.2">
      <c r="H195" t="s">
        <v>1581</v>
      </c>
      <c r="I195" t="s">
        <v>1550</v>
      </c>
      <c r="J195" t="s">
        <v>18</v>
      </c>
      <c r="K195" t="s">
        <v>19</v>
      </c>
      <c r="L195">
        <v>1870</v>
      </c>
      <c r="M195">
        <v>51</v>
      </c>
      <c r="N195" t="s">
        <v>14</v>
      </c>
      <c r="O195" t="s">
        <v>50</v>
      </c>
      <c r="P195" t="s">
        <v>20</v>
      </c>
    </row>
    <row r="196" spans="6:16" x14ac:dyDescent="0.2">
      <c r="I196" t="s">
        <v>1557</v>
      </c>
    </row>
    <row r="197" spans="6:16" x14ac:dyDescent="0.2">
      <c r="H197" t="s">
        <v>0</v>
      </c>
      <c r="I197" t="s">
        <v>1559</v>
      </c>
      <c r="J197" t="s">
        <v>2</v>
      </c>
      <c r="K197" t="s">
        <v>3</v>
      </c>
      <c r="L197" t="s">
        <v>4</v>
      </c>
      <c r="M197" t="s">
        <v>5</v>
      </c>
      <c r="N197" t="s">
        <v>6</v>
      </c>
      <c r="O197" t="s">
        <v>7</v>
      </c>
      <c r="P197" t="s">
        <v>8</v>
      </c>
    </row>
    <row r="198" spans="6:16" x14ac:dyDescent="0.2">
      <c r="F198">
        <v>2</v>
      </c>
      <c r="H198" t="s">
        <v>1582</v>
      </c>
      <c r="J198" t="s">
        <v>12</v>
      </c>
      <c r="K198" t="s">
        <v>13</v>
      </c>
      <c r="L198">
        <v>1845</v>
      </c>
      <c r="M198">
        <v>75</v>
      </c>
      <c r="N198" t="s">
        <v>20</v>
      </c>
      <c r="O198" t="s">
        <v>1584</v>
      </c>
      <c r="P198" t="s">
        <v>20</v>
      </c>
    </row>
    <row r="199" spans="6:16" x14ac:dyDescent="0.2">
      <c r="H199" t="s">
        <v>324</v>
      </c>
      <c r="I199" t="s">
        <v>1</v>
      </c>
      <c r="J199" t="s">
        <v>18</v>
      </c>
      <c r="K199" t="s">
        <v>19</v>
      </c>
      <c r="L199">
        <v>1850</v>
      </c>
      <c r="M199">
        <v>71</v>
      </c>
      <c r="N199" t="s">
        <v>901</v>
      </c>
      <c r="O199" t="s">
        <v>50</v>
      </c>
      <c r="P199" t="s">
        <v>20</v>
      </c>
    </row>
    <row r="200" spans="6:16" x14ac:dyDescent="0.2">
      <c r="I200" t="s">
        <v>1424</v>
      </c>
    </row>
    <row r="201" spans="6:16" x14ac:dyDescent="0.2">
      <c r="H201" t="s">
        <v>0</v>
      </c>
      <c r="I201" t="s">
        <v>1424</v>
      </c>
      <c r="J201" t="s">
        <v>2</v>
      </c>
      <c r="K201" t="s">
        <v>3</v>
      </c>
      <c r="L201" t="s">
        <v>4</v>
      </c>
      <c r="M201" t="s">
        <v>5</v>
      </c>
      <c r="N201" t="s">
        <v>6</v>
      </c>
      <c r="O201" t="s">
        <v>7</v>
      </c>
      <c r="P201" t="s">
        <v>8</v>
      </c>
    </row>
    <row r="202" spans="6:16" x14ac:dyDescent="0.2">
      <c r="F202">
        <v>4</v>
      </c>
      <c r="H202" t="s">
        <v>1585</v>
      </c>
      <c r="I202" t="s">
        <v>1424</v>
      </c>
      <c r="J202" t="s">
        <v>12</v>
      </c>
      <c r="K202" t="s">
        <v>13</v>
      </c>
      <c r="L202">
        <v>1850</v>
      </c>
      <c r="M202">
        <v>71</v>
      </c>
      <c r="N202" t="s">
        <v>1587</v>
      </c>
      <c r="O202" t="s">
        <v>1588</v>
      </c>
      <c r="P202" t="s">
        <v>20</v>
      </c>
    </row>
    <row r="203" spans="6:16" x14ac:dyDescent="0.2">
      <c r="H203" t="s">
        <v>1318</v>
      </c>
      <c r="I203" t="s">
        <v>1424</v>
      </c>
      <c r="J203" t="s">
        <v>18</v>
      </c>
      <c r="K203" t="s">
        <v>19</v>
      </c>
      <c r="L203">
        <v>1853</v>
      </c>
      <c r="M203">
        <v>68</v>
      </c>
      <c r="N203" t="s">
        <v>49</v>
      </c>
      <c r="O203" t="s">
        <v>50</v>
      </c>
      <c r="P203" t="s">
        <v>20</v>
      </c>
    </row>
    <row r="204" spans="6:16" x14ac:dyDescent="0.2">
      <c r="H204" t="s">
        <v>1589</v>
      </c>
      <c r="I204" t="s">
        <v>1424</v>
      </c>
      <c r="J204" t="s">
        <v>22</v>
      </c>
      <c r="K204" t="s">
        <v>19</v>
      </c>
      <c r="L204">
        <v>1893</v>
      </c>
      <c r="M204">
        <v>28</v>
      </c>
      <c r="N204" t="s">
        <v>49</v>
      </c>
      <c r="O204" t="s">
        <v>50</v>
      </c>
      <c r="P204" t="s">
        <v>20</v>
      </c>
    </row>
    <row r="205" spans="6:16" x14ac:dyDescent="0.2">
      <c r="I205" t="s">
        <v>1424</v>
      </c>
    </row>
    <row r="206" spans="6:16" x14ac:dyDescent="0.2">
      <c r="H206" t="s">
        <v>0</v>
      </c>
      <c r="I206" t="s">
        <v>1570</v>
      </c>
      <c r="J206" t="s">
        <v>2</v>
      </c>
      <c r="K206" t="s">
        <v>3</v>
      </c>
      <c r="L206" t="s">
        <v>4</v>
      </c>
      <c r="M206" t="s">
        <v>5</v>
      </c>
      <c r="N206" t="s">
        <v>6</v>
      </c>
      <c r="O206" t="s">
        <v>7</v>
      </c>
      <c r="P206" t="s">
        <v>8</v>
      </c>
    </row>
    <row r="207" spans="6:16" x14ac:dyDescent="0.2">
      <c r="F207">
        <v>6</v>
      </c>
      <c r="H207" t="s">
        <v>1590</v>
      </c>
      <c r="I207" t="s">
        <v>1571</v>
      </c>
      <c r="J207" t="s">
        <v>12</v>
      </c>
      <c r="K207" t="s">
        <v>13</v>
      </c>
      <c r="L207">
        <v>1875</v>
      </c>
      <c r="M207">
        <v>46</v>
      </c>
      <c r="N207" t="s">
        <v>49</v>
      </c>
      <c r="O207" t="s">
        <v>1592</v>
      </c>
      <c r="P207" t="s">
        <v>1593</v>
      </c>
    </row>
    <row r="208" spans="6:16" x14ac:dyDescent="0.2">
      <c r="H208" t="s">
        <v>1594</v>
      </c>
      <c r="J208" t="s">
        <v>18</v>
      </c>
      <c r="K208" t="s">
        <v>19</v>
      </c>
      <c r="L208">
        <v>1875</v>
      </c>
      <c r="M208">
        <v>46</v>
      </c>
      <c r="N208" t="s">
        <v>778</v>
      </c>
      <c r="O208" t="s">
        <v>50</v>
      </c>
      <c r="P208" t="s">
        <v>20</v>
      </c>
    </row>
    <row r="209" spans="6:16" x14ac:dyDescent="0.2">
      <c r="H209" t="s">
        <v>1510</v>
      </c>
      <c r="I209" t="s">
        <v>1</v>
      </c>
      <c r="J209" t="s">
        <v>26</v>
      </c>
      <c r="K209" t="s">
        <v>19</v>
      </c>
      <c r="L209">
        <v>1885</v>
      </c>
      <c r="M209">
        <v>36</v>
      </c>
      <c r="N209" t="s">
        <v>1596</v>
      </c>
      <c r="O209" t="s">
        <v>1597</v>
      </c>
      <c r="P209" t="s">
        <v>29</v>
      </c>
    </row>
    <row r="210" spans="6:16" x14ac:dyDescent="0.2">
      <c r="H210" t="s">
        <v>829</v>
      </c>
      <c r="I210" t="s">
        <v>1574</v>
      </c>
      <c r="J210" t="s">
        <v>26</v>
      </c>
      <c r="K210" t="s">
        <v>19</v>
      </c>
      <c r="L210">
        <v>1900</v>
      </c>
      <c r="M210">
        <v>21</v>
      </c>
      <c r="N210" t="s">
        <v>1599</v>
      </c>
      <c r="O210" t="s">
        <v>1600</v>
      </c>
      <c r="P210" t="s">
        <v>29</v>
      </c>
    </row>
    <row r="211" spans="6:16" x14ac:dyDescent="0.2">
      <c r="I211" t="s">
        <v>1574</v>
      </c>
    </row>
    <row r="212" spans="6:16" x14ac:dyDescent="0.2">
      <c r="F212">
        <v>8</v>
      </c>
      <c r="H212" t="s">
        <v>0</v>
      </c>
      <c r="I212" t="s">
        <v>1574</v>
      </c>
    </row>
    <row r="213" spans="6:16" x14ac:dyDescent="0.2">
      <c r="H213" t="s">
        <v>1</v>
      </c>
      <c r="I213" t="s">
        <v>1574</v>
      </c>
    </row>
    <row r="214" spans="6:16" x14ac:dyDescent="0.2">
      <c r="H214" t="s">
        <v>3</v>
      </c>
      <c r="I214" t="s">
        <v>1579</v>
      </c>
    </row>
    <row r="215" spans="6:16" x14ac:dyDescent="0.2">
      <c r="H215" t="s">
        <v>4</v>
      </c>
    </row>
    <row r="216" spans="6:16" x14ac:dyDescent="0.2">
      <c r="H216" t="s">
        <v>831</v>
      </c>
      <c r="I216" t="s">
        <v>1</v>
      </c>
    </row>
    <row r="217" spans="6:16" x14ac:dyDescent="0.2">
      <c r="H217" t="s">
        <v>5</v>
      </c>
      <c r="I217" t="s">
        <v>1733</v>
      </c>
    </row>
    <row r="218" spans="6:16" x14ac:dyDescent="0.2">
      <c r="H218" t="s">
        <v>2</v>
      </c>
      <c r="I218" t="s">
        <v>1735</v>
      </c>
    </row>
    <row r="219" spans="6:16" x14ac:dyDescent="0.2">
      <c r="H219" t="s">
        <v>835</v>
      </c>
      <c r="I219" t="s">
        <v>1736</v>
      </c>
    </row>
    <row r="220" spans="6:16" x14ac:dyDescent="0.2">
      <c r="H220" t="s">
        <v>6</v>
      </c>
    </row>
    <row r="221" spans="6:16" x14ac:dyDescent="0.2">
      <c r="H221" t="s">
        <v>7</v>
      </c>
      <c r="I221" t="s">
        <v>1</v>
      </c>
    </row>
    <row r="222" spans="6:16" x14ac:dyDescent="0.2">
      <c r="H222" t="s">
        <v>855</v>
      </c>
      <c r="I222" t="s">
        <v>1580</v>
      </c>
    </row>
    <row r="223" spans="6:16" x14ac:dyDescent="0.2">
      <c r="I223" t="s">
        <v>1580</v>
      </c>
    </row>
    <row r="224" spans="6:16" x14ac:dyDescent="0.2">
      <c r="H224" t="s">
        <v>0</v>
      </c>
      <c r="J224" t="s">
        <v>2</v>
      </c>
      <c r="K224" t="s">
        <v>3</v>
      </c>
      <c r="L224" t="s">
        <v>4</v>
      </c>
      <c r="M224" t="s">
        <v>5</v>
      </c>
      <c r="N224" t="s">
        <v>6</v>
      </c>
      <c r="O224" t="s">
        <v>7</v>
      </c>
      <c r="P224" t="s">
        <v>8</v>
      </c>
    </row>
    <row r="225" spans="6:16" x14ac:dyDescent="0.2">
      <c r="F225">
        <v>10</v>
      </c>
      <c r="H225" t="s">
        <v>1604</v>
      </c>
      <c r="I225" t="s">
        <v>1</v>
      </c>
      <c r="J225" t="s">
        <v>1238</v>
      </c>
      <c r="K225" t="s">
        <v>19</v>
      </c>
      <c r="L225">
        <v>1844</v>
      </c>
      <c r="M225">
        <v>77</v>
      </c>
      <c r="N225" t="s">
        <v>1605</v>
      </c>
      <c r="O225" t="s">
        <v>20</v>
      </c>
      <c r="P225" t="s">
        <v>20</v>
      </c>
    </row>
    <row r="226" spans="6:16" x14ac:dyDescent="0.2">
      <c r="H226" t="s">
        <v>1606</v>
      </c>
      <c r="I226" t="s">
        <v>1583</v>
      </c>
      <c r="J226" t="s">
        <v>26</v>
      </c>
      <c r="K226" t="s">
        <v>13</v>
      </c>
      <c r="L226">
        <v>1888</v>
      </c>
      <c r="M226">
        <v>32</v>
      </c>
      <c r="N226" t="s">
        <v>14</v>
      </c>
      <c r="O226" t="s">
        <v>1608</v>
      </c>
      <c r="P226" t="s">
        <v>29</v>
      </c>
    </row>
    <row r="227" spans="6:16" x14ac:dyDescent="0.2">
      <c r="I227" t="s">
        <v>1583</v>
      </c>
    </row>
    <row r="228" spans="6:16" x14ac:dyDescent="0.2">
      <c r="H228" t="s">
        <v>0</v>
      </c>
      <c r="J228" t="s">
        <v>2</v>
      </c>
      <c r="K228" t="s">
        <v>3</v>
      </c>
      <c r="L228" t="s">
        <v>4</v>
      </c>
      <c r="M228" t="s">
        <v>5</v>
      </c>
      <c r="N228" t="s">
        <v>6</v>
      </c>
      <c r="O228" t="s">
        <v>7</v>
      </c>
      <c r="P228" t="s">
        <v>8</v>
      </c>
    </row>
    <row r="229" spans="6:16" x14ac:dyDescent="0.2">
      <c r="F229">
        <v>13</v>
      </c>
      <c r="H229" t="s">
        <v>1609</v>
      </c>
      <c r="I229" t="s">
        <v>1</v>
      </c>
      <c r="J229" t="s">
        <v>12</v>
      </c>
      <c r="K229" t="s">
        <v>19</v>
      </c>
      <c r="L229">
        <v>1876</v>
      </c>
      <c r="M229">
        <v>45</v>
      </c>
      <c r="N229" t="s">
        <v>49</v>
      </c>
      <c r="O229" t="s">
        <v>47</v>
      </c>
      <c r="P229" t="s">
        <v>8</v>
      </c>
    </row>
    <row r="230" spans="6:16" x14ac:dyDescent="0.2">
      <c r="H230" t="s">
        <v>1611</v>
      </c>
      <c r="I230" t="s">
        <v>1586</v>
      </c>
      <c r="J230" t="s">
        <v>26</v>
      </c>
      <c r="K230" t="s">
        <v>19</v>
      </c>
      <c r="L230">
        <v>1869</v>
      </c>
      <c r="M230">
        <v>52</v>
      </c>
      <c r="N230" t="s">
        <v>1613</v>
      </c>
      <c r="O230" t="s">
        <v>1614</v>
      </c>
      <c r="P230" t="s">
        <v>1615</v>
      </c>
    </row>
    <row r="231" spans="6:16" x14ac:dyDescent="0.2">
      <c r="H231" t="s">
        <v>1616</v>
      </c>
      <c r="I231" t="s">
        <v>1586</v>
      </c>
      <c r="J231" t="s">
        <v>26</v>
      </c>
      <c r="K231" t="s">
        <v>19</v>
      </c>
      <c r="L231">
        <v>1900</v>
      </c>
      <c r="M231">
        <v>21</v>
      </c>
      <c r="N231" t="s">
        <v>1618</v>
      </c>
      <c r="O231" t="s">
        <v>1619</v>
      </c>
      <c r="P231" t="s">
        <v>1620</v>
      </c>
    </row>
    <row r="232" spans="6:16" x14ac:dyDescent="0.2">
      <c r="H232" t="s">
        <v>429</v>
      </c>
      <c r="I232" t="s">
        <v>1586</v>
      </c>
      <c r="J232" t="s">
        <v>26</v>
      </c>
      <c r="K232" t="s">
        <v>19</v>
      </c>
      <c r="L232">
        <v>1903</v>
      </c>
      <c r="M232">
        <v>18</v>
      </c>
      <c r="N232" t="s">
        <v>1346</v>
      </c>
      <c r="O232" t="s">
        <v>1619</v>
      </c>
      <c r="P232" t="s">
        <v>1615</v>
      </c>
    </row>
    <row r="234" spans="6:16" x14ac:dyDescent="0.2">
      <c r="H234" t="s">
        <v>0</v>
      </c>
      <c r="I234" t="s">
        <v>1</v>
      </c>
      <c r="J234" t="s">
        <v>2</v>
      </c>
      <c r="K234" t="s">
        <v>3</v>
      </c>
      <c r="L234" t="s">
        <v>4</v>
      </c>
      <c r="M234" t="s">
        <v>5</v>
      </c>
      <c r="N234" t="s">
        <v>6</v>
      </c>
      <c r="O234" t="s">
        <v>7</v>
      </c>
      <c r="P234" t="s">
        <v>8</v>
      </c>
    </row>
    <row r="235" spans="6:16" x14ac:dyDescent="0.2">
      <c r="F235">
        <v>19</v>
      </c>
      <c r="H235" t="s">
        <v>1621</v>
      </c>
      <c r="I235" t="s">
        <v>1591</v>
      </c>
      <c r="J235" t="s">
        <v>12</v>
      </c>
      <c r="K235" t="s">
        <v>13</v>
      </c>
      <c r="L235">
        <v>1856</v>
      </c>
      <c r="M235">
        <v>64</v>
      </c>
      <c r="N235" t="s">
        <v>1058</v>
      </c>
      <c r="O235" t="s">
        <v>1623</v>
      </c>
      <c r="P235" t="s">
        <v>1624</v>
      </c>
    </row>
    <row r="236" spans="6:16" x14ac:dyDescent="0.2">
      <c r="H236" t="s">
        <v>1625</v>
      </c>
      <c r="I236" t="s">
        <v>1591</v>
      </c>
      <c r="J236" t="s">
        <v>18</v>
      </c>
      <c r="K236" t="s">
        <v>19</v>
      </c>
      <c r="L236">
        <v>1866</v>
      </c>
      <c r="M236">
        <v>55</v>
      </c>
      <c r="N236" t="s">
        <v>1626</v>
      </c>
      <c r="O236" t="s">
        <v>50</v>
      </c>
      <c r="P236" t="s">
        <v>20</v>
      </c>
    </row>
    <row r="237" spans="6:16" x14ac:dyDescent="0.2">
      <c r="H237" t="s">
        <v>1627</v>
      </c>
      <c r="I237" t="s">
        <v>1595</v>
      </c>
      <c r="J237" t="s">
        <v>51</v>
      </c>
      <c r="K237" t="s">
        <v>13</v>
      </c>
      <c r="L237">
        <v>1899</v>
      </c>
      <c r="M237">
        <v>22</v>
      </c>
      <c r="N237" t="s">
        <v>49</v>
      </c>
      <c r="O237" t="s">
        <v>1628</v>
      </c>
      <c r="P237" t="s">
        <v>1629</v>
      </c>
    </row>
    <row r="238" spans="6:16" x14ac:dyDescent="0.2">
      <c r="H238" t="s">
        <v>768</v>
      </c>
      <c r="I238" t="s">
        <v>1598</v>
      </c>
      <c r="J238" t="s">
        <v>22</v>
      </c>
      <c r="K238" t="s">
        <v>19</v>
      </c>
      <c r="L238">
        <v>1900</v>
      </c>
      <c r="M238">
        <v>21</v>
      </c>
      <c r="N238" t="s">
        <v>49</v>
      </c>
      <c r="O238" t="s">
        <v>1630</v>
      </c>
      <c r="P238" t="s">
        <v>20</v>
      </c>
    </row>
    <row r="239" spans="6:16" x14ac:dyDescent="0.2">
      <c r="H239" t="s">
        <v>1631</v>
      </c>
      <c r="J239" t="s">
        <v>22</v>
      </c>
      <c r="K239" t="s">
        <v>19</v>
      </c>
      <c r="L239">
        <v>1902</v>
      </c>
      <c r="M239">
        <v>18</v>
      </c>
      <c r="N239" t="s">
        <v>49</v>
      </c>
      <c r="O239" t="s">
        <v>50</v>
      </c>
      <c r="P239" t="s">
        <v>20</v>
      </c>
    </row>
    <row r="240" spans="6:16" x14ac:dyDescent="0.2">
      <c r="H240" t="s">
        <v>1632</v>
      </c>
      <c r="I240" t="s">
        <v>1601</v>
      </c>
      <c r="J240" t="s">
        <v>26</v>
      </c>
      <c r="K240" t="s">
        <v>19</v>
      </c>
      <c r="L240">
        <v>1875</v>
      </c>
      <c r="M240">
        <v>46</v>
      </c>
      <c r="N240" t="s">
        <v>1634</v>
      </c>
      <c r="O240" t="s">
        <v>344</v>
      </c>
      <c r="P240" t="s">
        <v>29</v>
      </c>
    </row>
    <row r="241" spans="6:16" x14ac:dyDescent="0.2">
      <c r="H241" t="s">
        <v>416</v>
      </c>
      <c r="I241" t="s">
        <v>1602</v>
      </c>
      <c r="J241" t="s">
        <v>26</v>
      </c>
      <c r="K241" t="s">
        <v>19</v>
      </c>
      <c r="L241">
        <v>1904</v>
      </c>
      <c r="M241">
        <v>16</v>
      </c>
      <c r="N241" t="s">
        <v>212</v>
      </c>
      <c r="O241" t="s">
        <v>344</v>
      </c>
      <c r="P241" t="s">
        <v>29</v>
      </c>
    </row>
    <row r="243" spans="6:16" x14ac:dyDescent="0.2">
      <c r="I243" t="s">
        <v>19</v>
      </c>
    </row>
    <row r="244" spans="6:16" x14ac:dyDescent="0.2">
      <c r="H244" t="s">
        <v>0</v>
      </c>
      <c r="I244">
        <v>1857</v>
      </c>
      <c r="J244" t="s">
        <v>2</v>
      </c>
      <c r="K244" t="s">
        <v>3</v>
      </c>
      <c r="L244" t="s">
        <v>4</v>
      </c>
      <c r="M244" t="s">
        <v>5</v>
      </c>
      <c r="N244" t="s">
        <v>6</v>
      </c>
      <c r="O244" t="s">
        <v>7</v>
      </c>
      <c r="P244" t="s">
        <v>8</v>
      </c>
    </row>
    <row r="245" spans="6:16" x14ac:dyDescent="0.2">
      <c r="F245">
        <v>21</v>
      </c>
      <c r="G245" t="s">
        <v>638</v>
      </c>
      <c r="H245" t="s">
        <v>96</v>
      </c>
      <c r="I245" s="187">
        <v>7841</v>
      </c>
      <c r="J245" t="s">
        <v>12</v>
      </c>
      <c r="K245" t="s">
        <v>13</v>
      </c>
      <c r="L245">
        <v>1863</v>
      </c>
      <c r="M245">
        <v>58</v>
      </c>
      <c r="N245" t="s">
        <v>49</v>
      </c>
      <c r="O245" t="s">
        <v>1454</v>
      </c>
      <c r="P245" t="s">
        <v>8</v>
      </c>
    </row>
    <row r="246" spans="6:16" x14ac:dyDescent="0.2">
      <c r="G246" t="s">
        <v>638</v>
      </c>
      <c r="H246" t="s">
        <v>1636</v>
      </c>
      <c r="I246">
        <v>63</v>
      </c>
      <c r="J246" t="s">
        <v>18</v>
      </c>
      <c r="K246" t="s">
        <v>19</v>
      </c>
      <c r="L246">
        <v>1870</v>
      </c>
      <c r="M246">
        <v>51</v>
      </c>
      <c r="N246" t="s">
        <v>733</v>
      </c>
      <c r="O246" t="s">
        <v>50</v>
      </c>
      <c r="P246" t="s">
        <v>20</v>
      </c>
    </row>
    <row r="247" spans="6:16" x14ac:dyDescent="0.2">
      <c r="G247" t="s">
        <v>638</v>
      </c>
      <c r="H247" t="s">
        <v>1637</v>
      </c>
      <c r="I247" t="s">
        <v>12</v>
      </c>
      <c r="J247" t="s">
        <v>22</v>
      </c>
      <c r="K247" t="s">
        <v>19</v>
      </c>
      <c r="L247">
        <v>1893</v>
      </c>
      <c r="M247">
        <v>28</v>
      </c>
      <c r="N247" t="s">
        <v>49</v>
      </c>
      <c r="O247" t="s">
        <v>1638</v>
      </c>
      <c r="P247" t="s">
        <v>1639</v>
      </c>
    </row>
    <row r="248" spans="6:16" x14ac:dyDescent="0.2">
      <c r="G248" t="s">
        <v>470</v>
      </c>
      <c r="H248" t="s">
        <v>416</v>
      </c>
      <c r="I248" t="s">
        <v>836</v>
      </c>
      <c r="J248" t="s">
        <v>26</v>
      </c>
      <c r="K248" t="s">
        <v>19</v>
      </c>
      <c r="L248">
        <v>1900</v>
      </c>
      <c r="M248">
        <v>21</v>
      </c>
      <c r="N248" t="s">
        <v>49</v>
      </c>
      <c r="O248" t="s">
        <v>344</v>
      </c>
      <c r="P248" t="s">
        <v>29</v>
      </c>
    </row>
    <row r="249" spans="6:16" x14ac:dyDescent="0.2">
      <c r="G249" t="s">
        <v>1640</v>
      </c>
      <c r="H249" t="s">
        <v>24</v>
      </c>
      <c r="I249" t="s">
        <v>49</v>
      </c>
      <c r="J249" t="s">
        <v>26</v>
      </c>
      <c r="K249" t="s">
        <v>19</v>
      </c>
      <c r="L249">
        <v>1900</v>
      </c>
      <c r="M249">
        <v>21</v>
      </c>
      <c r="N249" t="s">
        <v>1641</v>
      </c>
      <c r="O249" t="s">
        <v>344</v>
      </c>
      <c r="P249" t="s">
        <v>29</v>
      </c>
    </row>
    <row r="250" spans="6:16" x14ac:dyDescent="0.2">
      <c r="I250" t="s">
        <v>50</v>
      </c>
    </row>
    <row r="251" spans="6:16" x14ac:dyDescent="0.2">
      <c r="H251" t="s">
        <v>0</v>
      </c>
      <c r="I251" t="s">
        <v>1603</v>
      </c>
      <c r="J251" t="s">
        <v>2</v>
      </c>
      <c r="K251" t="s">
        <v>3</v>
      </c>
      <c r="L251" t="s">
        <v>4</v>
      </c>
      <c r="M251" t="s">
        <v>5</v>
      </c>
      <c r="N251" t="s">
        <v>6</v>
      </c>
      <c r="O251" t="s">
        <v>7</v>
      </c>
      <c r="P251" t="s">
        <v>8</v>
      </c>
    </row>
    <row r="252" spans="6:16" x14ac:dyDescent="0.2">
      <c r="F252">
        <v>23</v>
      </c>
      <c r="H252" t="s">
        <v>369</v>
      </c>
      <c r="J252" t="s">
        <v>12</v>
      </c>
      <c r="K252" t="s">
        <v>13</v>
      </c>
      <c r="L252">
        <v>1884</v>
      </c>
      <c r="M252">
        <v>37</v>
      </c>
      <c r="N252" t="s">
        <v>49</v>
      </c>
      <c r="O252" t="s">
        <v>1643</v>
      </c>
      <c r="P252" t="s">
        <v>8</v>
      </c>
    </row>
    <row r="253" spans="6:16" x14ac:dyDescent="0.2">
      <c r="H253" t="s">
        <v>351</v>
      </c>
      <c r="I253" t="s">
        <v>1</v>
      </c>
      <c r="J253" t="s">
        <v>18</v>
      </c>
      <c r="K253" t="s">
        <v>19</v>
      </c>
      <c r="L253">
        <v>1883</v>
      </c>
      <c r="M253">
        <v>38</v>
      </c>
      <c r="N253" t="s">
        <v>733</v>
      </c>
      <c r="O253" t="s">
        <v>20</v>
      </c>
      <c r="P253" t="s">
        <v>20</v>
      </c>
    </row>
    <row r="254" spans="6:16" x14ac:dyDescent="0.2">
      <c r="H254" t="s">
        <v>1528</v>
      </c>
      <c r="I254" t="s">
        <v>757</v>
      </c>
      <c r="J254" t="s">
        <v>22</v>
      </c>
      <c r="K254" t="s">
        <v>19</v>
      </c>
      <c r="L254">
        <v>1912</v>
      </c>
      <c r="M254">
        <v>8</v>
      </c>
      <c r="N254" t="s">
        <v>49</v>
      </c>
      <c r="O254" t="s">
        <v>20</v>
      </c>
      <c r="P254" t="s">
        <v>20</v>
      </c>
    </row>
    <row r="255" spans="6:16" x14ac:dyDescent="0.2">
      <c r="H255" t="s">
        <v>738</v>
      </c>
      <c r="I255" t="s">
        <v>1607</v>
      </c>
      <c r="J255" t="s">
        <v>22</v>
      </c>
      <c r="K255" t="s">
        <v>19</v>
      </c>
      <c r="L255">
        <v>1914</v>
      </c>
      <c r="M255">
        <v>6</v>
      </c>
      <c r="N255" t="s">
        <v>49</v>
      </c>
      <c r="O255" t="s">
        <v>20</v>
      </c>
      <c r="P255" t="s">
        <v>20</v>
      </c>
    </row>
    <row r="256" spans="6:16" x14ac:dyDescent="0.2">
      <c r="H256" t="s">
        <v>1644</v>
      </c>
      <c r="J256" t="s">
        <v>379</v>
      </c>
      <c r="K256" t="s">
        <v>19</v>
      </c>
      <c r="L256">
        <v>1890</v>
      </c>
      <c r="M256">
        <v>31</v>
      </c>
      <c r="N256" t="s">
        <v>643</v>
      </c>
      <c r="O256" t="s">
        <v>379</v>
      </c>
      <c r="P256" t="s">
        <v>29</v>
      </c>
    </row>
    <row r="257" spans="6:16" x14ac:dyDescent="0.2">
      <c r="H257" t="s">
        <v>46</v>
      </c>
      <c r="I257" t="s">
        <v>1</v>
      </c>
      <c r="J257" t="s">
        <v>26</v>
      </c>
      <c r="K257" t="s">
        <v>19</v>
      </c>
      <c r="L257">
        <v>1905</v>
      </c>
      <c r="M257">
        <v>15</v>
      </c>
      <c r="N257" t="s">
        <v>49</v>
      </c>
      <c r="O257" t="s">
        <v>56</v>
      </c>
      <c r="P257" t="s">
        <v>29</v>
      </c>
    </row>
    <row r="258" spans="6:16" x14ac:dyDescent="0.2">
      <c r="I258" t="s">
        <v>1610</v>
      </c>
    </row>
    <row r="259" spans="6:16" x14ac:dyDescent="0.2">
      <c r="H259" t="s">
        <v>0</v>
      </c>
      <c r="I259" t="s">
        <v>1612</v>
      </c>
      <c r="J259" t="s">
        <v>2</v>
      </c>
      <c r="K259" t="s">
        <v>3</v>
      </c>
      <c r="L259" t="s">
        <v>4</v>
      </c>
      <c r="M259" t="s">
        <v>5</v>
      </c>
      <c r="N259" t="s">
        <v>6</v>
      </c>
      <c r="O259" t="s">
        <v>7</v>
      </c>
      <c r="P259" t="s">
        <v>8</v>
      </c>
    </row>
    <row r="260" spans="6:16" x14ac:dyDescent="0.2">
      <c r="F260">
        <v>27</v>
      </c>
      <c r="H260" t="s">
        <v>336</v>
      </c>
      <c r="I260" t="s">
        <v>1617</v>
      </c>
      <c r="J260" t="s">
        <v>20</v>
      </c>
      <c r="K260" t="s">
        <v>19</v>
      </c>
      <c r="L260">
        <v>1883</v>
      </c>
      <c r="M260">
        <v>38</v>
      </c>
      <c r="N260" t="s">
        <v>20</v>
      </c>
      <c r="O260" t="s">
        <v>33</v>
      </c>
      <c r="P260" t="s">
        <v>29</v>
      </c>
    </row>
    <row r="261" spans="6:16" x14ac:dyDescent="0.2">
      <c r="H261" t="s">
        <v>1556</v>
      </c>
      <c r="I261" t="s">
        <v>916</v>
      </c>
      <c r="J261" t="s">
        <v>20</v>
      </c>
      <c r="K261" t="s">
        <v>19</v>
      </c>
      <c r="L261">
        <v>1887</v>
      </c>
      <c r="M261">
        <v>33</v>
      </c>
      <c r="N261" t="s">
        <v>1255</v>
      </c>
      <c r="O261" t="s">
        <v>1649</v>
      </c>
      <c r="P261" t="s">
        <v>29</v>
      </c>
    </row>
    <row r="262" spans="6:16" x14ac:dyDescent="0.2">
      <c r="H262" t="s">
        <v>324</v>
      </c>
      <c r="J262" t="s">
        <v>20</v>
      </c>
      <c r="K262" t="s">
        <v>19</v>
      </c>
      <c r="L262">
        <v>1873</v>
      </c>
      <c r="M262">
        <v>47</v>
      </c>
      <c r="N262" t="s">
        <v>1255</v>
      </c>
      <c r="O262" t="s">
        <v>708</v>
      </c>
      <c r="P262" t="s">
        <v>29</v>
      </c>
    </row>
    <row r="263" spans="6:16" x14ac:dyDescent="0.2">
      <c r="H263" t="s">
        <v>1651</v>
      </c>
      <c r="I263" t="s">
        <v>1</v>
      </c>
      <c r="J263" t="s">
        <v>20</v>
      </c>
      <c r="K263" t="s">
        <v>19</v>
      </c>
      <c r="L263">
        <v>1901</v>
      </c>
      <c r="M263">
        <v>20</v>
      </c>
      <c r="N263" t="s">
        <v>415</v>
      </c>
      <c r="O263" t="s">
        <v>360</v>
      </c>
      <c r="P263" t="s">
        <v>29</v>
      </c>
    </row>
    <row r="264" spans="6:16" x14ac:dyDescent="0.2">
      <c r="H264" t="s">
        <v>1494</v>
      </c>
      <c r="I264" t="s">
        <v>1622</v>
      </c>
      <c r="J264" t="s">
        <v>20</v>
      </c>
      <c r="K264" t="s">
        <v>19</v>
      </c>
      <c r="L264">
        <v>1886</v>
      </c>
      <c r="M264">
        <v>35</v>
      </c>
      <c r="N264" t="s">
        <v>1654</v>
      </c>
      <c r="O264" t="s">
        <v>1655</v>
      </c>
      <c r="P264" t="s">
        <v>29</v>
      </c>
    </row>
    <row r="265" spans="6:16" x14ac:dyDescent="0.2">
      <c r="H265" t="s">
        <v>655</v>
      </c>
      <c r="I265" t="s">
        <v>1622</v>
      </c>
      <c r="J265" t="s">
        <v>20</v>
      </c>
      <c r="K265" t="s">
        <v>19</v>
      </c>
      <c r="L265">
        <v>1860</v>
      </c>
      <c r="M265">
        <v>61</v>
      </c>
      <c r="N265" t="s">
        <v>1656</v>
      </c>
      <c r="O265" t="s">
        <v>29</v>
      </c>
      <c r="P265" t="s">
        <v>20</v>
      </c>
    </row>
    <row r="266" spans="6:16" x14ac:dyDescent="0.2">
      <c r="H266" t="s">
        <v>905</v>
      </c>
      <c r="I266" t="s">
        <v>1622</v>
      </c>
      <c r="J266" t="s">
        <v>20</v>
      </c>
      <c r="K266" t="s">
        <v>19</v>
      </c>
      <c r="L266">
        <v>1868</v>
      </c>
      <c r="M266">
        <v>53</v>
      </c>
      <c r="N266" t="s">
        <v>778</v>
      </c>
      <c r="O266" t="s">
        <v>20</v>
      </c>
      <c r="P266" t="s">
        <v>20</v>
      </c>
    </row>
    <row r="267" spans="6:16" x14ac:dyDescent="0.2">
      <c r="I267" t="s">
        <v>1622</v>
      </c>
    </row>
    <row r="268" spans="6:16" x14ac:dyDescent="0.2">
      <c r="H268" t="s">
        <v>0</v>
      </c>
      <c r="I268" t="s">
        <v>1622</v>
      </c>
      <c r="J268" t="s">
        <v>2</v>
      </c>
      <c r="K268" t="s">
        <v>3</v>
      </c>
      <c r="L268" t="s">
        <v>4</v>
      </c>
      <c r="M268" t="s">
        <v>5</v>
      </c>
      <c r="N268" t="s">
        <v>6</v>
      </c>
      <c r="O268" t="s">
        <v>7</v>
      </c>
      <c r="P268" t="s">
        <v>8</v>
      </c>
    </row>
    <row r="269" spans="6:16" x14ac:dyDescent="0.2">
      <c r="F269">
        <v>29</v>
      </c>
      <c r="H269" t="s">
        <v>1657</v>
      </c>
      <c r="I269" t="s">
        <v>1633</v>
      </c>
      <c r="J269" t="s">
        <v>12</v>
      </c>
      <c r="K269" t="s">
        <v>19</v>
      </c>
      <c r="L269">
        <v>1865</v>
      </c>
      <c r="M269">
        <v>56</v>
      </c>
      <c r="N269" t="s">
        <v>49</v>
      </c>
      <c r="O269" t="s">
        <v>50</v>
      </c>
      <c r="P269" t="s">
        <v>20</v>
      </c>
    </row>
    <row r="270" spans="6:16" x14ac:dyDescent="0.2">
      <c r="H270" t="s">
        <v>1659</v>
      </c>
      <c r="I270" t="s">
        <v>1635</v>
      </c>
      <c r="J270" t="s">
        <v>28</v>
      </c>
      <c r="K270" t="s">
        <v>19</v>
      </c>
      <c r="L270">
        <v>1892</v>
      </c>
      <c r="M270">
        <v>29</v>
      </c>
      <c r="N270" t="s">
        <v>1661</v>
      </c>
      <c r="O270" t="s">
        <v>28</v>
      </c>
      <c r="P270" t="s">
        <v>29</v>
      </c>
    </row>
    <row r="271" spans="6:16" x14ac:dyDescent="0.2">
      <c r="H271" t="s">
        <v>90</v>
      </c>
      <c r="J271" t="s">
        <v>33</v>
      </c>
      <c r="K271" t="s">
        <v>19</v>
      </c>
      <c r="L271">
        <v>1895</v>
      </c>
      <c r="M271">
        <v>26</v>
      </c>
      <c r="N271" t="s">
        <v>1663</v>
      </c>
      <c r="O271" t="s">
        <v>33</v>
      </c>
      <c r="P271" t="s">
        <v>29</v>
      </c>
    </row>
    <row r="272" spans="6:16" x14ac:dyDescent="0.2">
      <c r="I272" t="s">
        <v>1</v>
      </c>
    </row>
    <row r="273" spans="6:16" x14ac:dyDescent="0.2">
      <c r="I273" t="s">
        <v>638</v>
      </c>
    </row>
    <row r="274" spans="6:16" x14ac:dyDescent="0.2">
      <c r="F274">
        <v>31</v>
      </c>
      <c r="H274" t="s">
        <v>0</v>
      </c>
      <c r="I274" t="s">
        <v>638</v>
      </c>
      <c r="J274" t="s">
        <v>2</v>
      </c>
      <c r="K274" t="s">
        <v>3</v>
      </c>
      <c r="L274" t="s">
        <v>4</v>
      </c>
      <c r="M274" t="s">
        <v>5</v>
      </c>
      <c r="N274" t="s">
        <v>6</v>
      </c>
      <c r="O274" t="s">
        <v>7</v>
      </c>
      <c r="P274" t="s">
        <v>8</v>
      </c>
    </row>
    <row r="275" spans="6:16" x14ac:dyDescent="0.2">
      <c r="H275" t="s">
        <v>1207</v>
      </c>
      <c r="I275" t="s">
        <v>638</v>
      </c>
      <c r="J275" t="s">
        <v>12</v>
      </c>
      <c r="K275" t="s">
        <v>13</v>
      </c>
      <c r="L275">
        <v>1849</v>
      </c>
      <c r="M275">
        <v>72</v>
      </c>
      <c r="N275" t="s">
        <v>1675</v>
      </c>
      <c r="O275" t="s">
        <v>1676</v>
      </c>
      <c r="P275" t="s">
        <v>20</v>
      </c>
    </row>
    <row r="276" spans="6:16" x14ac:dyDescent="0.2">
      <c r="H276" t="s">
        <v>1659</v>
      </c>
      <c r="I276" t="s">
        <v>470</v>
      </c>
      <c r="J276" t="s">
        <v>18</v>
      </c>
      <c r="K276" t="s">
        <v>19</v>
      </c>
      <c r="L276">
        <v>1855</v>
      </c>
      <c r="M276">
        <v>66</v>
      </c>
      <c r="N276" t="s">
        <v>49</v>
      </c>
      <c r="O276" t="s">
        <v>50</v>
      </c>
      <c r="P276" t="s">
        <v>20</v>
      </c>
    </row>
    <row r="277" spans="6:16" x14ac:dyDescent="0.2">
      <c r="H277" t="s">
        <v>64</v>
      </c>
      <c r="I277" t="s">
        <v>1640</v>
      </c>
      <c r="J277" t="s">
        <v>26</v>
      </c>
      <c r="K277" t="s">
        <v>19</v>
      </c>
      <c r="L277">
        <v>1901</v>
      </c>
      <c r="M277">
        <v>20</v>
      </c>
      <c r="N277" t="s">
        <v>718</v>
      </c>
      <c r="O277" t="s">
        <v>56</v>
      </c>
      <c r="P277" t="s">
        <v>29</v>
      </c>
    </row>
    <row r="278" spans="6:16" x14ac:dyDescent="0.2">
      <c r="H278" t="s">
        <v>1318</v>
      </c>
      <c r="J278" t="s">
        <v>33</v>
      </c>
      <c r="K278" t="s">
        <v>19</v>
      </c>
      <c r="L278">
        <v>1865</v>
      </c>
      <c r="M278">
        <v>56</v>
      </c>
      <c r="N278" t="s">
        <v>415</v>
      </c>
      <c r="O278" t="s">
        <v>56</v>
      </c>
      <c r="P278" t="s">
        <v>29</v>
      </c>
    </row>
    <row r="279" spans="6:16" x14ac:dyDescent="0.2">
      <c r="I279" t="s">
        <v>1</v>
      </c>
    </row>
    <row r="280" spans="6:16" x14ac:dyDescent="0.2">
      <c r="H280" t="s">
        <v>0</v>
      </c>
      <c r="I280" t="s">
        <v>1642</v>
      </c>
      <c r="J280" t="s">
        <v>2</v>
      </c>
      <c r="K280" t="s">
        <v>3</v>
      </c>
      <c r="L280" t="s">
        <v>4</v>
      </c>
      <c r="M280" t="s">
        <v>5</v>
      </c>
      <c r="N280" t="s">
        <v>6</v>
      </c>
      <c r="O280" t="s">
        <v>7</v>
      </c>
      <c r="P280" t="s">
        <v>8</v>
      </c>
    </row>
    <row r="281" spans="6:16" x14ac:dyDescent="0.2">
      <c r="H281" t="s">
        <v>464</v>
      </c>
      <c r="I281" t="s">
        <v>1642</v>
      </c>
      <c r="J281" t="s">
        <v>12</v>
      </c>
      <c r="K281" t="s">
        <v>13</v>
      </c>
      <c r="L281">
        <v>1845</v>
      </c>
      <c r="M281">
        <v>75</v>
      </c>
      <c r="N281" t="s">
        <v>1682</v>
      </c>
      <c r="O281" t="s">
        <v>15</v>
      </c>
      <c r="P281" t="s">
        <v>8</v>
      </c>
    </row>
    <row r="282" spans="6:16" x14ac:dyDescent="0.2">
      <c r="H282" t="s">
        <v>352</v>
      </c>
      <c r="I282" t="s">
        <v>1642</v>
      </c>
      <c r="J282" t="s">
        <v>18</v>
      </c>
      <c r="K282" t="s">
        <v>19</v>
      </c>
      <c r="L282">
        <v>1853</v>
      </c>
      <c r="M282">
        <v>67</v>
      </c>
      <c r="N282" t="s">
        <v>415</v>
      </c>
      <c r="O282" t="s">
        <v>20</v>
      </c>
      <c r="P282" t="s">
        <v>20</v>
      </c>
    </row>
    <row r="283" spans="6:16" x14ac:dyDescent="0.2">
      <c r="H283" t="s">
        <v>1683</v>
      </c>
      <c r="I283" t="s">
        <v>1642</v>
      </c>
      <c r="J283" t="s">
        <v>51</v>
      </c>
      <c r="K283" t="s">
        <v>13</v>
      </c>
      <c r="L283">
        <v>1878</v>
      </c>
      <c r="M283">
        <v>42</v>
      </c>
      <c r="N283" t="s">
        <v>49</v>
      </c>
      <c r="O283" t="s">
        <v>1684</v>
      </c>
      <c r="P283" t="s">
        <v>16</v>
      </c>
    </row>
    <row r="284" spans="6:16" x14ac:dyDescent="0.2">
      <c r="H284" t="s">
        <v>1685</v>
      </c>
      <c r="I284" t="s">
        <v>1645</v>
      </c>
      <c r="J284" t="s">
        <v>51</v>
      </c>
      <c r="K284" t="s">
        <v>13</v>
      </c>
      <c r="L284">
        <v>1885</v>
      </c>
      <c r="M284">
        <v>36</v>
      </c>
      <c r="N284" t="s">
        <v>49</v>
      </c>
      <c r="O284" t="s">
        <v>47</v>
      </c>
      <c r="P284" t="s">
        <v>20</v>
      </c>
    </row>
    <row r="285" spans="6:16" x14ac:dyDescent="0.2">
      <c r="H285" t="s">
        <v>1686</v>
      </c>
      <c r="I285" t="s">
        <v>1646</v>
      </c>
      <c r="J285" t="s">
        <v>22</v>
      </c>
      <c r="K285" t="s">
        <v>19</v>
      </c>
      <c r="L285">
        <v>1891</v>
      </c>
      <c r="M285">
        <v>30</v>
      </c>
      <c r="N285" t="s">
        <v>49</v>
      </c>
      <c r="O285" t="s">
        <v>47</v>
      </c>
      <c r="P285" t="s">
        <v>20</v>
      </c>
    </row>
    <row r="286" spans="6:16" x14ac:dyDescent="0.2">
      <c r="H286" t="s">
        <v>1687</v>
      </c>
      <c r="J286" t="s">
        <v>51</v>
      </c>
      <c r="K286" t="s">
        <v>13</v>
      </c>
      <c r="L286">
        <v>1894</v>
      </c>
      <c r="M286">
        <v>27</v>
      </c>
      <c r="N286" t="s">
        <v>49</v>
      </c>
      <c r="O286" t="s">
        <v>47</v>
      </c>
      <c r="P286" t="s">
        <v>20</v>
      </c>
    </row>
    <row r="288" spans="6:16" x14ac:dyDescent="0.2">
      <c r="H288" t="s">
        <v>1089</v>
      </c>
      <c r="I288" t="s">
        <v>1</v>
      </c>
      <c r="J288" t="s">
        <v>26</v>
      </c>
      <c r="K288" t="s">
        <v>19</v>
      </c>
      <c r="L288">
        <v>1868</v>
      </c>
      <c r="M288">
        <v>53</v>
      </c>
      <c r="N288" t="s">
        <v>415</v>
      </c>
      <c r="O288" t="s">
        <v>20</v>
      </c>
      <c r="P288" t="s">
        <v>29</v>
      </c>
    </row>
    <row r="289" spans="6:16" x14ac:dyDescent="0.2">
      <c r="H289" t="s">
        <v>170</v>
      </c>
      <c r="I289" t="s">
        <v>1647</v>
      </c>
      <c r="J289" t="s">
        <v>26</v>
      </c>
      <c r="K289" t="s">
        <v>19</v>
      </c>
      <c r="L289">
        <v>1865</v>
      </c>
      <c r="M289">
        <v>56</v>
      </c>
      <c r="N289" t="s">
        <v>415</v>
      </c>
      <c r="O289" t="s">
        <v>20</v>
      </c>
      <c r="P289" t="s">
        <v>29</v>
      </c>
    </row>
    <row r="290" spans="6:16" x14ac:dyDescent="0.2">
      <c r="H290" t="s">
        <v>121</v>
      </c>
      <c r="I290" t="s">
        <v>1648</v>
      </c>
      <c r="J290" t="s">
        <v>26</v>
      </c>
      <c r="K290" t="s">
        <v>19</v>
      </c>
      <c r="L290">
        <v>1899</v>
      </c>
      <c r="M290">
        <v>22</v>
      </c>
      <c r="N290" t="s">
        <v>14</v>
      </c>
      <c r="O290" t="s">
        <v>20</v>
      </c>
      <c r="P290" t="s">
        <v>29</v>
      </c>
    </row>
    <row r="291" spans="6:16" x14ac:dyDescent="0.2">
      <c r="H291" t="s">
        <v>1691</v>
      </c>
      <c r="I291" t="s">
        <v>1650</v>
      </c>
      <c r="J291" t="s">
        <v>26</v>
      </c>
      <c r="K291" t="s">
        <v>19</v>
      </c>
      <c r="L291">
        <v>1903</v>
      </c>
      <c r="M291">
        <v>18</v>
      </c>
      <c r="N291" t="s">
        <v>212</v>
      </c>
      <c r="O291" t="s">
        <v>20</v>
      </c>
      <c r="P291" t="s">
        <v>29</v>
      </c>
    </row>
    <row r="292" spans="6:16" x14ac:dyDescent="0.2">
      <c r="H292" t="s">
        <v>1693</v>
      </c>
      <c r="I292" t="s">
        <v>1652</v>
      </c>
      <c r="J292" t="s">
        <v>26</v>
      </c>
      <c r="K292" t="s">
        <v>19</v>
      </c>
      <c r="L292">
        <v>1907</v>
      </c>
      <c r="M292">
        <v>14</v>
      </c>
      <c r="N292" t="s">
        <v>432</v>
      </c>
      <c r="O292" t="s">
        <v>20</v>
      </c>
      <c r="P292" t="s">
        <v>29</v>
      </c>
    </row>
    <row r="293" spans="6:16" x14ac:dyDescent="0.2">
      <c r="I293" t="s">
        <v>1653</v>
      </c>
    </row>
    <row r="295" spans="6:16" x14ac:dyDescent="0.2">
      <c r="H295" t="s">
        <v>0</v>
      </c>
      <c r="I295" t="s">
        <v>1104</v>
      </c>
      <c r="J295" t="s">
        <v>2</v>
      </c>
      <c r="K295" t="s">
        <v>3</v>
      </c>
      <c r="L295" t="s">
        <v>4</v>
      </c>
      <c r="M295" t="s">
        <v>5</v>
      </c>
      <c r="N295" t="s">
        <v>6</v>
      </c>
      <c r="O295" t="s">
        <v>7</v>
      </c>
      <c r="P295" t="s">
        <v>8</v>
      </c>
    </row>
    <row r="296" spans="6:16" x14ac:dyDescent="0.2">
      <c r="F296">
        <v>37</v>
      </c>
      <c r="H296" t="s">
        <v>1695</v>
      </c>
      <c r="I296" t="s">
        <v>1104</v>
      </c>
      <c r="J296" t="s">
        <v>12</v>
      </c>
      <c r="K296" t="s">
        <v>13</v>
      </c>
      <c r="L296">
        <v>1878</v>
      </c>
      <c r="M296">
        <v>43</v>
      </c>
      <c r="N296" t="s">
        <v>49</v>
      </c>
      <c r="O296" t="s">
        <v>1696</v>
      </c>
      <c r="P296" t="s">
        <v>8</v>
      </c>
    </row>
    <row r="297" spans="6:16" x14ac:dyDescent="0.2">
      <c r="H297" t="s">
        <v>1697</v>
      </c>
      <c r="J297" t="s">
        <v>18</v>
      </c>
      <c r="K297" t="s">
        <v>19</v>
      </c>
      <c r="L297">
        <v>1888</v>
      </c>
      <c r="M297">
        <v>33</v>
      </c>
      <c r="N297" t="s">
        <v>49</v>
      </c>
      <c r="O297" t="s">
        <v>50</v>
      </c>
      <c r="P297" t="s">
        <v>20</v>
      </c>
    </row>
    <row r="298" spans="6:16" x14ac:dyDescent="0.2">
      <c r="H298" t="s">
        <v>1698</v>
      </c>
      <c r="I298" t="s">
        <v>1</v>
      </c>
      <c r="J298" t="s">
        <v>22</v>
      </c>
      <c r="K298" t="s">
        <v>19</v>
      </c>
      <c r="L298">
        <v>1912</v>
      </c>
      <c r="M298">
        <v>8</v>
      </c>
      <c r="N298" t="s">
        <v>49</v>
      </c>
      <c r="O298" t="s">
        <v>20</v>
      </c>
      <c r="P298" t="s">
        <v>20</v>
      </c>
    </row>
    <row r="299" spans="6:16" x14ac:dyDescent="0.2">
      <c r="H299" t="s">
        <v>1699</v>
      </c>
      <c r="I299" t="s">
        <v>1658</v>
      </c>
      <c r="J299" t="s">
        <v>51</v>
      </c>
      <c r="K299" t="s">
        <v>13</v>
      </c>
      <c r="L299">
        <v>1913</v>
      </c>
      <c r="M299">
        <v>7</v>
      </c>
      <c r="N299" t="s">
        <v>49</v>
      </c>
      <c r="O299" t="s">
        <v>20</v>
      </c>
      <c r="P299" t="s">
        <v>20</v>
      </c>
    </row>
    <row r="300" spans="6:16" x14ac:dyDescent="0.2">
      <c r="H300" t="s">
        <v>179</v>
      </c>
      <c r="I300" t="s">
        <v>1660</v>
      </c>
      <c r="J300" t="s">
        <v>26</v>
      </c>
      <c r="K300" t="s">
        <v>19</v>
      </c>
      <c r="L300">
        <v>1889</v>
      </c>
      <c r="M300">
        <v>31</v>
      </c>
      <c r="N300" t="s">
        <v>1295</v>
      </c>
      <c r="O300" t="s">
        <v>908</v>
      </c>
      <c r="P300" t="s">
        <v>29</v>
      </c>
    </row>
    <row r="301" spans="6:16" x14ac:dyDescent="0.2">
      <c r="I301" t="s">
        <v>1662</v>
      </c>
    </row>
    <row r="302" spans="6:16" x14ac:dyDescent="0.2">
      <c r="H302" t="s">
        <v>0</v>
      </c>
      <c r="J302" t="s">
        <v>2</v>
      </c>
      <c r="K302" t="s">
        <v>3</v>
      </c>
      <c r="L302" t="s">
        <v>4</v>
      </c>
      <c r="M302" t="s">
        <v>5</v>
      </c>
      <c r="N302" t="s">
        <v>6</v>
      </c>
      <c r="O302" t="s">
        <v>7</v>
      </c>
      <c r="P302" t="s">
        <v>8</v>
      </c>
    </row>
    <row r="303" spans="6:16" x14ac:dyDescent="0.2">
      <c r="F303">
        <v>43</v>
      </c>
      <c r="H303" t="s">
        <v>1700</v>
      </c>
      <c r="J303" t="s">
        <v>12</v>
      </c>
      <c r="K303" t="s">
        <v>13</v>
      </c>
      <c r="L303">
        <v>1863</v>
      </c>
      <c r="M303">
        <v>58</v>
      </c>
      <c r="N303" t="s">
        <v>40</v>
      </c>
      <c r="O303" t="s">
        <v>1701</v>
      </c>
      <c r="P303" t="s">
        <v>8</v>
      </c>
    </row>
    <row r="304" spans="6:16" x14ac:dyDescent="0.2">
      <c r="H304" t="s">
        <v>336</v>
      </c>
      <c r="I304" t="s">
        <v>1</v>
      </c>
      <c r="J304" t="s">
        <v>18</v>
      </c>
      <c r="K304" t="s">
        <v>19</v>
      </c>
      <c r="L304">
        <v>1864</v>
      </c>
      <c r="M304">
        <v>57</v>
      </c>
      <c r="N304" t="s">
        <v>1703</v>
      </c>
      <c r="O304" t="s">
        <v>18</v>
      </c>
      <c r="P304" t="s">
        <v>20</v>
      </c>
    </row>
    <row r="305" spans="6:16" x14ac:dyDescent="0.2">
      <c r="H305" t="s">
        <v>1704</v>
      </c>
      <c r="I305" t="s">
        <v>1571</v>
      </c>
      <c r="J305" t="s">
        <v>26</v>
      </c>
      <c r="K305" t="s">
        <v>19</v>
      </c>
      <c r="L305">
        <v>1893</v>
      </c>
      <c r="M305">
        <v>28</v>
      </c>
      <c r="N305" t="s">
        <v>438</v>
      </c>
      <c r="O305" t="s">
        <v>28</v>
      </c>
      <c r="P305" t="s">
        <v>1706</v>
      </c>
    </row>
    <row r="306" spans="6:16" x14ac:dyDescent="0.2">
      <c r="H306" t="s">
        <v>1707</v>
      </c>
      <c r="I306" t="s">
        <v>1571</v>
      </c>
      <c r="J306" t="s">
        <v>26</v>
      </c>
      <c r="K306" t="s">
        <v>19</v>
      </c>
      <c r="L306">
        <v>1901</v>
      </c>
      <c r="M306">
        <v>20</v>
      </c>
      <c r="N306" t="s">
        <v>778</v>
      </c>
      <c r="O306" t="s">
        <v>33</v>
      </c>
      <c r="P306" t="s">
        <v>1706</v>
      </c>
    </row>
    <row r="307" spans="6:16" x14ac:dyDescent="0.2">
      <c r="I307" t="s">
        <v>1677</v>
      </c>
    </row>
    <row r="308" spans="6:16" x14ac:dyDescent="0.2">
      <c r="H308" t="s">
        <v>0</v>
      </c>
      <c r="I308" t="s">
        <v>1678</v>
      </c>
      <c r="J308" t="s">
        <v>2</v>
      </c>
      <c r="K308" t="s">
        <v>3</v>
      </c>
      <c r="L308" t="s">
        <v>4</v>
      </c>
      <c r="M308" t="s">
        <v>5</v>
      </c>
      <c r="N308" t="s">
        <v>6</v>
      </c>
      <c r="O308" t="s">
        <v>7</v>
      </c>
      <c r="P308" t="s">
        <v>8</v>
      </c>
    </row>
    <row r="309" spans="6:16" x14ac:dyDescent="0.2">
      <c r="H309" t="s">
        <v>1709</v>
      </c>
      <c r="J309" t="s">
        <v>12</v>
      </c>
      <c r="K309" t="s">
        <v>13</v>
      </c>
      <c r="L309">
        <v>1851</v>
      </c>
      <c r="M309">
        <v>70</v>
      </c>
      <c r="N309" t="s">
        <v>1140</v>
      </c>
      <c r="O309" t="s">
        <v>1711</v>
      </c>
      <c r="P309" t="s">
        <v>1712</v>
      </c>
    </row>
    <row r="311" spans="6:16" x14ac:dyDescent="0.2">
      <c r="H311" t="s">
        <v>57</v>
      </c>
      <c r="I311" t="s">
        <v>1</v>
      </c>
      <c r="J311" t="s">
        <v>52</v>
      </c>
      <c r="K311" t="s">
        <v>19</v>
      </c>
      <c r="L311">
        <v>1868</v>
      </c>
      <c r="M311">
        <v>53</v>
      </c>
      <c r="N311" t="s">
        <v>1714</v>
      </c>
      <c r="O311" t="s">
        <v>50</v>
      </c>
      <c r="P311" t="s">
        <v>20</v>
      </c>
    </row>
    <row r="312" spans="6:16" x14ac:dyDescent="0.2">
      <c r="F312">
        <v>33</v>
      </c>
      <c r="H312" t="s">
        <v>1715</v>
      </c>
      <c r="I312" t="s">
        <v>431</v>
      </c>
      <c r="J312" t="s">
        <v>1716</v>
      </c>
      <c r="K312" t="s">
        <v>13</v>
      </c>
      <c r="L312">
        <v>1912</v>
      </c>
      <c r="M312">
        <v>9</v>
      </c>
      <c r="N312" t="s">
        <v>49</v>
      </c>
      <c r="O312" t="s">
        <v>20</v>
      </c>
      <c r="P312" t="s">
        <v>20</v>
      </c>
    </row>
    <row r="313" spans="6:16" x14ac:dyDescent="0.2">
      <c r="H313" t="s">
        <v>1717</v>
      </c>
      <c r="I313" t="s">
        <v>431</v>
      </c>
      <c r="J313" t="s">
        <v>58</v>
      </c>
      <c r="K313" t="s">
        <v>19</v>
      </c>
      <c r="L313">
        <v>1900</v>
      </c>
      <c r="M313">
        <v>20</v>
      </c>
      <c r="N313" t="s">
        <v>49</v>
      </c>
      <c r="O313" t="s">
        <v>344</v>
      </c>
      <c r="P313" t="s">
        <v>20</v>
      </c>
    </row>
    <row r="314" spans="6:16" x14ac:dyDescent="0.2">
      <c r="H314" t="s">
        <v>1719</v>
      </c>
      <c r="I314" t="s">
        <v>431</v>
      </c>
      <c r="J314" t="s">
        <v>58</v>
      </c>
      <c r="K314" t="s">
        <v>19</v>
      </c>
      <c r="L314">
        <v>1920</v>
      </c>
      <c r="M314" t="s">
        <v>20</v>
      </c>
      <c r="N314" t="s">
        <v>49</v>
      </c>
      <c r="O314" t="s">
        <v>20</v>
      </c>
      <c r="P314" t="s">
        <v>20</v>
      </c>
    </row>
    <row r="315" spans="6:16" x14ac:dyDescent="0.2">
      <c r="I315" t="s">
        <v>431</v>
      </c>
    </row>
    <row r="316" spans="6:16" x14ac:dyDescent="0.2">
      <c r="H316" t="s">
        <v>0</v>
      </c>
      <c r="I316" t="s">
        <v>431</v>
      </c>
      <c r="J316" t="s">
        <v>2</v>
      </c>
      <c r="K316" t="s">
        <v>3</v>
      </c>
      <c r="L316" t="s">
        <v>4</v>
      </c>
      <c r="M316" t="s">
        <v>5</v>
      </c>
      <c r="N316" t="s">
        <v>6</v>
      </c>
      <c r="O316" t="s">
        <v>7</v>
      </c>
      <c r="P316" t="s">
        <v>8</v>
      </c>
    </row>
    <row r="317" spans="6:16" x14ac:dyDescent="0.2">
      <c r="F317">
        <v>47</v>
      </c>
      <c r="H317" t="s">
        <v>1720</v>
      </c>
      <c r="I317" t="s">
        <v>431</v>
      </c>
      <c r="J317" t="s">
        <v>12</v>
      </c>
      <c r="K317" t="s">
        <v>19</v>
      </c>
      <c r="L317">
        <v>1885</v>
      </c>
      <c r="M317">
        <v>36</v>
      </c>
      <c r="N317" t="s">
        <v>1127</v>
      </c>
      <c r="O317" t="s">
        <v>50</v>
      </c>
      <c r="P317" t="s">
        <v>20</v>
      </c>
    </row>
    <row r="318" spans="6:16" x14ac:dyDescent="0.2">
      <c r="H318" t="s">
        <v>1722</v>
      </c>
      <c r="I318" t="s">
        <v>1688</v>
      </c>
      <c r="J318" t="s">
        <v>51</v>
      </c>
      <c r="K318" t="s">
        <v>13</v>
      </c>
      <c r="L318">
        <v>1915</v>
      </c>
      <c r="M318">
        <v>5</v>
      </c>
      <c r="N318" t="s">
        <v>1127</v>
      </c>
      <c r="O318" t="s">
        <v>20</v>
      </c>
      <c r="P318" t="s">
        <v>20</v>
      </c>
    </row>
    <row r="319" spans="6:16" x14ac:dyDescent="0.2">
      <c r="H319" t="s">
        <v>1723</v>
      </c>
      <c r="I319" t="s">
        <v>1689</v>
      </c>
      <c r="J319" t="s">
        <v>51</v>
      </c>
      <c r="K319" t="s">
        <v>13</v>
      </c>
      <c r="L319">
        <v>1918</v>
      </c>
      <c r="M319">
        <v>2</v>
      </c>
      <c r="N319" t="s">
        <v>1724</v>
      </c>
      <c r="O319" t="s">
        <v>20</v>
      </c>
      <c r="P319" t="s">
        <v>20</v>
      </c>
    </row>
    <row r="320" spans="6:16" x14ac:dyDescent="0.2">
      <c r="H320" t="s">
        <v>1725</v>
      </c>
      <c r="I320" t="s">
        <v>1690</v>
      </c>
      <c r="J320" t="s">
        <v>51</v>
      </c>
      <c r="K320" t="s">
        <v>13</v>
      </c>
      <c r="L320">
        <v>1921</v>
      </c>
      <c r="M320" t="s">
        <v>20</v>
      </c>
      <c r="N320" t="s">
        <v>49</v>
      </c>
      <c r="O320" t="s">
        <v>20</v>
      </c>
      <c r="P320" t="s">
        <v>20</v>
      </c>
    </row>
    <row r="321" spans="8:16" x14ac:dyDescent="0.2">
      <c r="H321" t="s">
        <v>1726</v>
      </c>
      <c r="I321" t="s">
        <v>1692</v>
      </c>
      <c r="J321" t="s">
        <v>26</v>
      </c>
      <c r="K321" t="s">
        <v>19</v>
      </c>
      <c r="L321">
        <v>1891</v>
      </c>
      <c r="M321">
        <v>29</v>
      </c>
      <c r="N321" t="s">
        <v>1728</v>
      </c>
      <c r="O321" t="s">
        <v>1674</v>
      </c>
      <c r="P321" t="s">
        <v>29</v>
      </c>
    </row>
    <row r="322" spans="8:16" x14ac:dyDescent="0.2">
      <c r="H322" t="s">
        <v>676</v>
      </c>
      <c r="I322" t="s">
        <v>1694</v>
      </c>
      <c r="J322" t="s">
        <v>60</v>
      </c>
      <c r="K322" t="s">
        <v>13</v>
      </c>
      <c r="L322">
        <v>1896</v>
      </c>
      <c r="M322">
        <v>25</v>
      </c>
      <c r="N322" t="s">
        <v>49</v>
      </c>
      <c r="O322" t="s">
        <v>1730</v>
      </c>
      <c r="P322" t="s">
        <v>1731</v>
      </c>
    </row>
    <row r="323" spans="8:16" x14ac:dyDescent="0.2">
      <c r="H323" t="s">
        <v>422</v>
      </c>
      <c r="J323" t="s">
        <v>60</v>
      </c>
      <c r="K323" t="s">
        <v>19</v>
      </c>
      <c r="L323">
        <v>1896</v>
      </c>
      <c r="M323">
        <v>25</v>
      </c>
      <c r="N323" t="s">
        <v>432</v>
      </c>
      <c r="O323" t="s">
        <v>50</v>
      </c>
      <c r="P323" t="s">
        <v>20</v>
      </c>
    </row>
    <row r="324" spans="8:16" x14ac:dyDescent="0.2">
      <c r="I324" t="s">
        <v>1</v>
      </c>
    </row>
    <row r="325" spans="8:16" x14ac:dyDescent="0.2">
      <c r="I325" t="s">
        <v>479</v>
      </c>
    </row>
    <row r="326" spans="8:16" x14ac:dyDescent="0.2">
      <c r="I326" t="s">
        <v>479</v>
      </c>
    </row>
    <row r="327" spans="8:16" x14ac:dyDescent="0.2">
      <c r="I327" t="s">
        <v>479</v>
      </c>
    </row>
    <row r="328" spans="8:16" x14ac:dyDescent="0.2">
      <c r="I328" t="s">
        <v>479</v>
      </c>
    </row>
    <row r="329" spans="8:16" x14ac:dyDescent="0.2">
      <c r="I329" t="s">
        <v>328</v>
      </c>
    </row>
    <row r="331" spans="8:16" x14ac:dyDescent="0.2">
      <c r="I331" t="s">
        <v>1</v>
      </c>
    </row>
    <row r="332" spans="8:16" x14ac:dyDescent="0.2">
      <c r="I332" t="s">
        <v>654</v>
      </c>
    </row>
    <row r="333" spans="8:16" x14ac:dyDescent="0.2">
      <c r="I333" t="s">
        <v>1702</v>
      </c>
    </row>
    <row r="334" spans="8:16" x14ac:dyDescent="0.2">
      <c r="I334" t="s">
        <v>1705</v>
      </c>
    </row>
    <row r="335" spans="8:16" x14ac:dyDescent="0.2">
      <c r="I335" t="s">
        <v>1708</v>
      </c>
    </row>
    <row r="337" spans="9:9" x14ac:dyDescent="0.2">
      <c r="I337" t="s">
        <v>1</v>
      </c>
    </row>
    <row r="338" spans="9:9" x14ac:dyDescent="0.2">
      <c r="I338" t="s">
        <v>1710</v>
      </c>
    </row>
    <row r="339" spans="9:9" x14ac:dyDescent="0.2">
      <c r="I339" t="s">
        <v>1713</v>
      </c>
    </row>
    <row r="340" spans="9:9" x14ac:dyDescent="0.2">
      <c r="I340" t="s">
        <v>1713</v>
      </c>
    </row>
    <row r="341" spans="9:9" x14ac:dyDescent="0.2">
      <c r="I341" t="s">
        <v>1718</v>
      </c>
    </row>
    <row r="342" spans="9:9" x14ac:dyDescent="0.2">
      <c r="I342" t="s">
        <v>1718</v>
      </c>
    </row>
    <row r="344" spans="9:9" x14ac:dyDescent="0.2">
      <c r="I344" t="s">
        <v>1</v>
      </c>
    </row>
    <row r="345" spans="9:9" x14ac:dyDescent="0.2">
      <c r="I345" t="s">
        <v>1721</v>
      </c>
    </row>
    <row r="346" spans="9:9" x14ac:dyDescent="0.2">
      <c r="I346" t="s">
        <v>1721</v>
      </c>
    </row>
    <row r="347" spans="9:9" x14ac:dyDescent="0.2">
      <c r="I347" t="s">
        <v>1721</v>
      </c>
    </row>
    <row r="348" spans="9:9" x14ac:dyDescent="0.2">
      <c r="I348" t="s">
        <v>1721</v>
      </c>
    </row>
    <row r="349" spans="9:9" x14ac:dyDescent="0.2">
      <c r="I349" t="s">
        <v>1727</v>
      </c>
    </row>
    <row r="350" spans="9:9" x14ac:dyDescent="0.2">
      <c r="I350" t="s">
        <v>1729</v>
      </c>
    </row>
    <row r="351" spans="9:9" x14ac:dyDescent="0.2">
      <c r="I351" t="s">
        <v>1729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EFE0-C975-3043-935F-AFE30A7BFCE7}">
  <dimension ref="A1:BC63"/>
  <sheetViews>
    <sheetView workbookViewId="0">
      <selection activeCell="W11" sqref="W11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22.83203125" customWidth="1"/>
    <col min="11" max="11" width="19.1640625" customWidth="1"/>
    <col min="12" max="12" width="7.83203125" customWidth="1"/>
    <col min="13" max="13" width="10" customWidth="1"/>
    <col min="14" max="14" width="44.332031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29" width="16.5" customWidth="1"/>
    <col min="30" max="30" width="25.33203125" customWidth="1"/>
    <col min="31" max="31" width="14.6640625" customWidth="1"/>
    <col min="33" max="33" width="42.5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34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1739</v>
      </c>
      <c r="B3" s="9"/>
      <c r="C3" s="7"/>
      <c r="D3" s="7"/>
      <c r="E3" s="7"/>
      <c r="F3" s="5"/>
      <c r="G3" s="7" t="s">
        <v>3200</v>
      </c>
      <c r="H3" s="7" t="s">
        <v>429</v>
      </c>
      <c r="J3">
        <v>1</v>
      </c>
      <c r="K3" s="10"/>
      <c r="L3" s="5"/>
      <c r="M3" s="5"/>
      <c r="N3" s="5">
        <v>1</v>
      </c>
      <c r="O3" s="5"/>
      <c r="P3" s="5"/>
      <c r="Q3" s="10"/>
      <c r="R3" s="10"/>
      <c r="S3" s="10"/>
      <c r="T3" s="6">
        <v>56</v>
      </c>
      <c r="U3" s="5"/>
      <c r="V3" s="5"/>
      <c r="W3" s="5"/>
      <c r="X3" s="5"/>
      <c r="Y3" s="5"/>
      <c r="Z3" s="5"/>
      <c r="AA3" s="6" t="s">
        <v>3202</v>
      </c>
      <c r="AC3" s="5">
        <v>1</v>
      </c>
      <c r="AD3" s="6" t="s">
        <v>3203</v>
      </c>
      <c r="AE3" s="7" t="s">
        <v>12</v>
      </c>
      <c r="AF3" s="7"/>
      <c r="AG3" s="6" t="s">
        <v>3201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9" customHeight="1" x14ac:dyDescent="0.2">
      <c r="A4" s="9"/>
      <c r="B4" s="9"/>
      <c r="C4" s="7"/>
      <c r="D4" s="7"/>
      <c r="E4" s="7"/>
      <c r="F4" s="5"/>
      <c r="G4" s="7" t="s">
        <v>959</v>
      </c>
      <c r="H4" s="7" t="s">
        <v>1414</v>
      </c>
      <c r="J4">
        <v>1</v>
      </c>
      <c r="K4" s="10"/>
      <c r="L4" s="5"/>
      <c r="M4" s="5"/>
      <c r="N4" s="5"/>
      <c r="O4" s="5"/>
      <c r="P4" s="5"/>
      <c r="Q4" s="10"/>
      <c r="R4" s="10"/>
      <c r="S4" s="10"/>
      <c r="T4" s="6">
        <v>27</v>
      </c>
      <c r="U4" s="5"/>
      <c r="V4" s="5"/>
      <c r="W4" s="5"/>
      <c r="X4" s="5"/>
      <c r="Y4" s="5"/>
      <c r="Z4" s="5"/>
      <c r="AA4" s="6" t="s">
        <v>3206</v>
      </c>
      <c r="AC4" s="5">
        <v>1</v>
      </c>
      <c r="AD4" s="6" t="s">
        <v>3207</v>
      </c>
      <c r="AE4" s="7" t="s">
        <v>3204</v>
      </c>
      <c r="AF4" s="7"/>
      <c r="AG4" s="6" t="s">
        <v>3205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9" customHeight="1" x14ac:dyDescent="0.2">
      <c r="A5" s="9"/>
      <c r="B5" s="9"/>
      <c r="C5" s="7"/>
      <c r="D5" s="7"/>
      <c r="E5" s="7"/>
      <c r="F5" s="5"/>
      <c r="G5" s="7" t="s">
        <v>3200</v>
      </c>
      <c r="H5" s="7" t="s">
        <v>3208</v>
      </c>
      <c r="J5">
        <v>1</v>
      </c>
      <c r="K5" s="10"/>
      <c r="L5" s="5"/>
      <c r="M5" s="5"/>
      <c r="N5" s="5"/>
      <c r="O5" s="5"/>
      <c r="P5" s="5"/>
      <c r="Q5" s="10"/>
      <c r="R5" s="10"/>
      <c r="S5" s="10">
        <v>1</v>
      </c>
      <c r="T5" s="6">
        <v>24</v>
      </c>
      <c r="U5" s="5"/>
      <c r="V5" s="5"/>
      <c r="W5" s="5"/>
      <c r="X5" s="5"/>
      <c r="Y5" s="5"/>
      <c r="Z5" s="5"/>
      <c r="AA5" s="6" t="s">
        <v>1808</v>
      </c>
      <c r="AC5" s="5">
        <v>1</v>
      </c>
      <c r="AD5" s="6" t="s">
        <v>3210</v>
      </c>
      <c r="AE5" s="7" t="s">
        <v>26</v>
      </c>
      <c r="AF5" s="7">
        <v>1</v>
      </c>
      <c r="AG5" s="6" t="s">
        <v>3209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9" customHeight="1" x14ac:dyDescent="0.2">
      <c r="A6" s="9"/>
      <c r="B6" s="9"/>
      <c r="C6" s="7"/>
      <c r="D6" s="7"/>
      <c r="E6" s="7"/>
      <c r="F6" s="5"/>
      <c r="G6" s="7" t="s">
        <v>940</v>
      </c>
      <c r="H6" s="7" t="s">
        <v>937</v>
      </c>
      <c r="J6">
        <v>1</v>
      </c>
      <c r="K6" s="10"/>
      <c r="L6" s="5"/>
      <c r="M6" s="5"/>
      <c r="N6" s="5"/>
      <c r="O6" s="5"/>
      <c r="P6" s="5"/>
      <c r="Q6" s="10"/>
      <c r="R6" s="10"/>
      <c r="S6" s="10">
        <v>1</v>
      </c>
      <c r="T6" s="6">
        <v>19</v>
      </c>
      <c r="U6" s="5"/>
      <c r="V6" s="5"/>
      <c r="W6" s="5"/>
      <c r="X6" s="5"/>
      <c r="Y6" s="5"/>
      <c r="Z6" s="5"/>
      <c r="AA6" s="6" t="s">
        <v>2192</v>
      </c>
      <c r="AC6" s="5">
        <v>1</v>
      </c>
      <c r="AD6" s="6" t="s">
        <v>3211</v>
      </c>
      <c r="AE6" s="7" t="s">
        <v>26</v>
      </c>
      <c r="AF6" s="7"/>
      <c r="AG6" s="6" t="s">
        <v>1896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9" customHeight="1" x14ac:dyDescent="0.2">
      <c r="A7" s="9"/>
      <c r="B7" s="9"/>
      <c r="C7" s="7"/>
      <c r="D7" s="7"/>
      <c r="E7" s="7"/>
      <c r="F7" s="5"/>
      <c r="G7" s="7" t="s">
        <v>3212</v>
      </c>
      <c r="H7" s="7" t="s">
        <v>345</v>
      </c>
      <c r="J7">
        <v>1</v>
      </c>
      <c r="K7" s="10"/>
      <c r="L7" s="5"/>
      <c r="M7" s="5"/>
      <c r="N7" s="5"/>
      <c r="O7" s="5"/>
      <c r="P7" s="5"/>
      <c r="Q7" s="10"/>
      <c r="R7" s="10"/>
      <c r="S7" s="10"/>
      <c r="T7" s="7">
        <v>25</v>
      </c>
      <c r="U7" s="5"/>
      <c r="V7" s="5"/>
      <c r="W7" s="5"/>
      <c r="X7" s="5"/>
      <c r="Y7" s="5"/>
      <c r="Z7" s="5"/>
      <c r="AA7" s="7" t="s">
        <v>3213</v>
      </c>
      <c r="AC7" s="5">
        <v>1</v>
      </c>
      <c r="AD7" s="7" t="s">
        <v>3214</v>
      </c>
      <c r="AE7" s="7" t="s">
        <v>26</v>
      </c>
      <c r="AF7" s="7"/>
      <c r="AG7" s="7" t="s">
        <v>415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9" customHeight="1" x14ac:dyDescent="0.2">
      <c r="A8" s="9"/>
      <c r="B8" s="9"/>
      <c r="C8" s="7"/>
      <c r="D8" s="7"/>
      <c r="E8" s="7"/>
      <c r="F8" s="5"/>
      <c r="G8" s="7" t="s">
        <v>107</v>
      </c>
      <c r="H8" s="7" t="s">
        <v>998</v>
      </c>
      <c r="J8">
        <v>1</v>
      </c>
      <c r="K8" s="10"/>
      <c r="L8" s="5"/>
      <c r="M8" s="5"/>
      <c r="N8" s="5"/>
      <c r="O8" s="5"/>
      <c r="P8" s="5"/>
      <c r="Q8" s="10"/>
      <c r="R8" s="10"/>
      <c r="S8" s="10"/>
      <c r="T8" s="6">
        <v>23</v>
      </c>
      <c r="U8" s="5"/>
      <c r="V8" s="5"/>
      <c r="W8" s="5"/>
      <c r="X8" s="5"/>
      <c r="Y8" s="5"/>
      <c r="Z8" s="5"/>
      <c r="AA8" s="6" t="s">
        <v>3215</v>
      </c>
      <c r="AC8" s="5">
        <v>1</v>
      </c>
      <c r="AD8" s="6" t="s">
        <v>3216</v>
      </c>
      <c r="AE8" s="7" t="s">
        <v>26</v>
      </c>
      <c r="AF8" s="7"/>
      <c r="AG8" s="6" t="s">
        <v>415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9" customHeight="1" x14ac:dyDescent="0.2">
      <c r="A9" s="9"/>
      <c r="B9" s="9"/>
      <c r="C9" s="7"/>
      <c r="D9" s="7"/>
      <c r="E9" s="7"/>
      <c r="F9" s="5"/>
      <c r="G9" s="7" t="s">
        <v>3217</v>
      </c>
      <c r="H9" s="7" t="s">
        <v>115</v>
      </c>
      <c r="J9">
        <v>1</v>
      </c>
      <c r="K9" s="10"/>
      <c r="L9" s="5"/>
      <c r="M9" s="5"/>
      <c r="N9" s="5"/>
      <c r="O9" s="5"/>
      <c r="P9" s="5"/>
      <c r="Q9" s="10"/>
      <c r="R9" s="10"/>
      <c r="S9" s="10"/>
      <c r="T9" s="6">
        <v>36</v>
      </c>
      <c r="U9" s="5"/>
      <c r="V9" s="5"/>
      <c r="W9" s="5"/>
      <c r="X9" s="5"/>
      <c r="Y9" s="5"/>
      <c r="Z9" s="5"/>
      <c r="AA9" s="6" t="s">
        <v>1904</v>
      </c>
      <c r="AC9" s="5">
        <v>1</v>
      </c>
      <c r="AD9" s="6" t="s">
        <v>3218</v>
      </c>
      <c r="AE9" s="7" t="s">
        <v>26</v>
      </c>
      <c r="AF9" s="7"/>
      <c r="AG9" s="6" t="s">
        <v>1675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9" customHeight="1" x14ac:dyDescent="0.2">
      <c r="A10" s="9"/>
      <c r="B10" s="9"/>
      <c r="C10" s="7"/>
      <c r="D10" s="7"/>
      <c r="E10" s="7"/>
      <c r="F10" s="5"/>
      <c r="G10" s="7" t="s">
        <v>3219</v>
      </c>
      <c r="H10" s="7" t="s">
        <v>351</v>
      </c>
      <c r="J10">
        <v>1</v>
      </c>
      <c r="K10" s="10"/>
      <c r="L10" s="5"/>
      <c r="M10" s="5"/>
      <c r="N10" s="5"/>
      <c r="O10" s="5"/>
      <c r="P10" s="5"/>
      <c r="Q10" s="10"/>
      <c r="R10" s="10"/>
      <c r="S10" s="10"/>
      <c r="T10" s="6">
        <v>25</v>
      </c>
      <c r="U10" s="5"/>
      <c r="V10" s="5"/>
      <c r="W10" s="5"/>
      <c r="X10" s="5"/>
      <c r="Y10" s="5"/>
      <c r="Z10" s="5"/>
      <c r="AA10" s="6" t="s">
        <v>1904</v>
      </c>
      <c r="AC10" s="5">
        <v>1</v>
      </c>
      <c r="AD10" s="6" t="s">
        <v>3218</v>
      </c>
      <c r="AE10" s="7" t="s">
        <v>26</v>
      </c>
      <c r="AF10" s="7"/>
      <c r="AG10" s="6" t="s">
        <v>1947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9" customHeight="1" x14ac:dyDescent="0.2">
      <c r="A11" s="9"/>
      <c r="B11" s="9"/>
      <c r="C11" s="7"/>
      <c r="D11" s="7"/>
      <c r="E11" s="7"/>
      <c r="F11" s="5"/>
      <c r="G11" s="7" t="s">
        <v>371</v>
      </c>
      <c r="H11" s="7" t="s">
        <v>3220</v>
      </c>
      <c r="J11">
        <v>1</v>
      </c>
      <c r="K11" s="10"/>
      <c r="L11" s="5"/>
      <c r="M11" s="5"/>
      <c r="N11" s="5"/>
      <c r="O11" s="5"/>
      <c r="P11" s="5"/>
      <c r="Q11" s="10"/>
      <c r="R11" s="10"/>
      <c r="S11" s="10"/>
      <c r="T11" s="6">
        <v>22</v>
      </c>
      <c r="U11" s="5"/>
      <c r="V11" s="5"/>
      <c r="W11" s="5"/>
      <c r="X11" s="5"/>
      <c r="Y11" s="5"/>
      <c r="Z11" s="5"/>
      <c r="AA11" s="6" t="s">
        <v>1904</v>
      </c>
      <c r="AC11" s="5">
        <v>1</v>
      </c>
      <c r="AD11" s="6" t="s">
        <v>3218</v>
      </c>
      <c r="AE11" s="7" t="s">
        <v>26</v>
      </c>
      <c r="AF11" s="7"/>
      <c r="AG11" s="6" t="s">
        <v>3221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9" customHeight="1" x14ac:dyDescent="0.2">
      <c r="A12" s="9"/>
      <c r="B12" s="9"/>
      <c r="C12" s="7"/>
      <c r="D12" s="7"/>
      <c r="E12" s="7"/>
      <c r="F12" s="5"/>
      <c r="G12" s="7" t="s">
        <v>3223</v>
      </c>
      <c r="H12" s="7" t="s">
        <v>3222</v>
      </c>
      <c r="J12">
        <v>1</v>
      </c>
      <c r="K12" s="10"/>
      <c r="L12" s="5"/>
      <c r="M12" s="5"/>
      <c r="N12" s="5"/>
      <c r="O12" s="5"/>
      <c r="P12" s="5"/>
      <c r="Q12" s="10"/>
      <c r="R12" s="10"/>
      <c r="S12" s="10"/>
      <c r="T12" s="6">
        <v>21</v>
      </c>
      <c r="U12" s="5"/>
      <c r="V12" s="5"/>
      <c r="W12" s="5"/>
      <c r="X12" s="5"/>
      <c r="Y12" s="5"/>
      <c r="Z12" s="5"/>
      <c r="AA12" s="6" t="s">
        <v>1904</v>
      </c>
      <c r="AC12" s="5">
        <v>1</v>
      </c>
      <c r="AD12" s="6" t="s">
        <v>3225</v>
      </c>
      <c r="AE12" s="7" t="s">
        <v>26</v>
      </c>
      <c r="AF12" s="7"/>
      <c r="AG12" s="6" t="s">
        <v>3224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9"/>
      <c r="B13" s="9"/>
      <c r="C13" s="7"/>
      <c r="D13" s="7"/>
      <c r="E13" s="7"/>
      <c r="F13" s="5"/>
      <c r="G13" s="7" t="s">
        <v>3226</v>
      </c>
      <c r="H13" s="7" t="s">
        <v>24</v>
      </c>
      <c r="J13">
        <v>1</v>
      </c>
      <c r="K13" s="10"/>
      <c r="L13" s="5"/>
      <c r="M13" s="5"/>
      <c r="N13" s="5"/>
      <c r="O13" s="5"/>
      <c r="P13" s="5"/>
      <c r="Q13" s="10"/>
      <c r="R13" s="10"/>
      <c r="S13" s="10"/>
      <c r="T13" s="6">
        <v>32</v>
      </c>
      <c r="U13" s="5"/>
      <c r="V13" s="5"/>
      <c r="W13" s="5"/>
      <c r="X13" s="5"/>
      <c r="Y13" s="5"/>
      <c r="Z13" s="5"/>
      <c r="AA13" s="6" t="s">
        <v>3227</v>
      </c>
      <c r="AC13" s="5">
        <v>1</v>
      </c>
      <c r="AD13" s="6" t="s">
        <v>3228</v>
      </c>
      <c r="AE13" s="7" t="s">
        <v>20</v>
      </c>
      <c r="AF13" s="7"/>
      <c r="AG13" s="6" t="s">
        <v>415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9" customHeight="1" x14ac:dyDescent="0.2">
      <c r="A14" s="9"/>
      <c r="B14" s="9"/>
      <c r="C14" s="7"/>
      <c r="D14" s="7"/>
      <c r="E14" s="7"/>
      <c r="F14" s="5"/>
      <c r="G14" s="7" t="s">
        <v>3230</v>
      </c>
      <c r="H14" s="7" t="s">
        <v>3229</v>
      </c>
      <c r="J14">
        <v>1</v>
      </c>
      <c r="K14" s="10"/>
      <c r="L14" s="5"/>
      <c r="M14" s="5"/>
      <c r="N14" s="5"/>
      <c r="O14" s="5"/>
      <c r="P14" s="5"/>
      <c r="Q14" s="10"/>
      <c r="R14" s="10"/>
      <c r="S14" s="10"/>
      <c r="T14" s="6">
        <v>50</v>
      </c>
      <c r="U14" s="5"/>
      <c r="V14" s="5"/>
      <c r="W14" s="5"/>
      <c r="X14" s="5"/>
      <c r="Y14" s="5"/>
      <c r="Z14" s="5"/>
      <c r="AA14" s="6" t="s">
        <v>3231</v>
      </c>
      <c r="AC14" s="5">
        <v>1</v>
      </c>
      <c r="AD14" s="6" t="s">
        <v>3228</v>
      </c>
      <c r="AE14" s="7" t="s">
        <v>20</v>
      </c>
      <c r="AF14" s="7"/>
      <c r="AG14" s="6" t="s">
        <v>1491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9" customHeight="1" x14ac:dyDescent="0.2">
      <c r="A15" s="9"/>
      <c r="B15" s="9"/>
      <c r="C15" s="7"/>
      <c r="D15" s="7"/>
      <c r="E15" s="7"/>
      <c r="F15" s="5"/>
      <c r="G15" s="7" t="s">
        <v>402</v>
      </c>
      <c r="H15" s="7" t="s">
        <v>3232</v>
      </c>
      <c r="J15">
        <v>1</v>
      </c>
      <c r="K15" s="10"/>
      <c r="L15" s="5"/>
      <c r="M15" s="5"/>
      <c r="N15" s="5"/>
      <c r="O15" s="5"/>
      <c r="P15" s="5"/>
      <c r="Q15" s="10"/>
      <c r="R15" s="10"/>
      <c r="S15" s="10"/>
      <c r="T15" s="7">
        <v>35</v>
      </c>
      <c r="U15" s="5"/>
      <c r="V15" s="5"/>
      <c r="W15" s="5"/>
      <c r="X15" s="5"/>
      <c r="Y15" s="5"/>
      <c r="Z15" s="5"/>
      <c r="AA15" s="7" t="s">
        <v>3231</v>
      </c>
      <c r="AC15" s="5">
        <v>1</v>
      </c>
      <c r="AD15" s="7" t="s">
        <v>3228</v>
      </c>
      <c r="AE15" s="7" t="s">
        <v>20</v>
      </c>
      <c r="AF15" s="7"/>
      <c r="AG15" s="7" t="s">
        <v>3233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/>
      <c r="B16" s="9"/>
      <c r="C16" s="7"/>
      <c r="D16" s="7"/>
      <c r="E16" s="7"/>
      <c r="F16" s="5"/>
      <c r="G16" s="7" t="s">
        <v>3234</v>
      </c>
      <c r="H16" s="7" t="s">
        <v>90</v>
      </c>
      <c r="J16">
        <v>1</v>
      </c>
      <c r="K16" s="10"/>
      <c r="L16" s="5"/>
      <c r="M16" s="5"/>
      <c r="N16" s="5"/>
      <c r="O16" s="5"/>
      <c r="P16" s="5"/>
      <c r="Q16" s="10"/>
      <c r="R16" s="10"/>
      <c r="S16" s="10"/>
      <c r="T16" s="7">
        <v>27</v>
      </c>
      <c r="U16" s="5"/>
      <c r="V16" s="5"/>
      <c r="W16" s="5"/>
      <c r="X16" s="5"/>
      <c r="Y16" s="5"/>
      <c r="Z16" s="5"/>
      <c r="AA16" s="7" t="s">
        <v>3236</v>
      </c>
      <c r="AC16" s="5">
        <v>1</v>
      </c>
      <c r="AD16" s="7" t="s">
        <v>3228</v>
      </c>
      <c r="AE16" s="7" t="s">
        <v>20</v>
      </c>
      <c r="AF16" s="7"/>
      <c r="AG16" s="7" t="s">
        <v>3235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9" customHeight="1" x14ac:dyDescent="0.2">
      <c r="A17" s="9"/>
      <c r="B17" s="9"/>
      <c r="C17" s="7"/>
      <c r="D17" s="7"/>
      <c r="E17" s="7"/>
      <c r="F17" s="5"/>
      <c r="G17" s="21" t="s">
        <v>3237</v>
      </c>
      <c r="H17" s="21" t="s">
        <v>3220</v>
      </c>
      <c r="J17">
        <v>1</v>
      </c>
      <c r="K17" s="10"/>
      <c r="L17" s="5"/>
      <c r="M17" s="5"/>
      <c r="N17" s="5"/>
      <c r="O17" s="5"/>
      <c r="P17" s="5"/>
      <c r="Q17" s="10"/>
      <c r="R17" s="10"/>
      <c r="S17" s="10"/>
      <c r="T17" s="7">
        <v>38</v>
      </c>
      <c r="U17" s="5"/>
      <c r="V17" s="5"/>
      <c r="W17" s="5"/>
      <c r="X17" s="5"/>
      <c r="Y17" s="5"/>
      <c r="Z17" s="5"/>
      <c r="AA17" s="7" t="s">
        <v>3238</v>
      </c>
      <c r="AC17" s="5">
        <v>1</v>
      </c>
      <c r="AD17" s="7" t="s">
        <v>3228</v>
      </c>
      <c r="AE17" s="7" t="s">
        <v>20</v>
      </c>
      <c r="AF17" s="7"/>
      <c r="AG17" s="7" t="s">
        <v>778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9" customHeight="1" x14ac:dyDescent="0.2">
      <c r="A18" s="9"/>
      <c r="B18" s="9"/>
      <c r="C18" s="7"/>
      <c r="D18" s="7"/>
      <c r="E18" s="7"/>
      <c r="F18" s="5"/>
      <c r="G18" s="7" t="s">
        <v>3239</v>
      </c>
      <c r="H18" s="7" t="s">
        <v>24</v>
      </c>
      <c r="J18">
        <v>1</v>
      </c>
      <c r="K18" s="10"/>
      <c r="L18" s="5"/>
      <c r="M18" s="5"/>
      <c r="N18" s="5"/>
      <c r="O18" s="5"/>
      <c r="P18" s="5"/>
      <c r="Q18" s="10"/>
      <c r="R18" s="10"/>
      <c r="S18" s="10"/>
      <c r="T18" s="7">
        <v>46</v>
      </c>
      <c r="U18" s="5"/>
      <c r="V18" s="5"/>
      <c r="W18" s="5"/>
      <c r="X18" s="5"/>
      <c r="Y18" s="5"/>
      <c r="Z18" s="5"/>
      <c r="AA18" s="7" t="s">
        <v>3241</v>
      </c>
      <c r="AC18" s="5">
        <v>1</v>
      </c>
      <c r="AD18" s="7" t="s">
        <v>3228</v>
      </c>
      <c r="AE18" s="7" t="s">
        <v>20</v>
      </c>
      <c r="AF18" s="7"/>
      <c r="AG18" s="7" t="s">
        <v>3240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9" customHeight="1" x14ac:dyDescent="0.2">
      <c r="A19" s="9"/>
      <c r="B19" s="9"/>
      <c r="C19" s="7"/>
      <c r="D19" s="7"/>
      <c r="E19" s="7"/>
      <c r="F19" s="5"/>
      <c r="G19" s="7" t="s">
        <v>1571</v>
      </c>
      <c r="H19" s="7" t="s">
        <v>3242</v>
      </c>
      <c r="J19">
        <v>1</v>
      </c>
      <c r="K19" s="10"/>
      <c r="L19" s="5"/>
      <c r="M19" s="5"/>
      <c r="N19" s="5"/>
      <c r="O19" s="5"/>
      <c r="P19" s="5"/>
      <c r="Q19" s="10"/>
      <c r="R19" s="10"/>
      <c r="S19" s="10"/>
      <c r="T19" s="7">
        <v>27</v>
      </c>
      <c r="U19" s="5"/>
      <c r="V19" s="5"/>
      <c r="W19" s="5"/>
      <c r="X19" s="5"/>
      <c r="Y19" s="5"/>
      <c r="Z19" s="5"/>
      <c r="AA19" s="7" t="s">
        <v>1904</v>
      </c>
      <c r="AC19" s="5">
        <v>1</v>
      </c>
      <c r="AD19" s="7" t="s">
        <v>3228</v>
      </c>
      <c r="AE19" s="7" t="s">
        <v>20</v>
      </c>
      <c r="AF19" s="7"/>
      <c r="AG19" s="7" t="s">
        <v>2040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9" customHeight="1" x14ac:dyDescent="0.2">
      <c r="A20" s="9"/>
      <c r="B20" s="9"/>
      <c r="C20" s="7"/>
      <c r="D20" s="7"/>
      <c r="E20" s="7"/>
      <c r="F20" s="5"/>
      <c r="G20" s="7" t="s">
        <v>1543</v>
      </c>
      <c r="H20" s="7" t="s">
        <v>3243</v>
      </c>
      <c r="J20">
        <v>1</v>
      </c>
      <c r="K20" s="10"/>
      <c r="L20" s="5"/>
      <c r="M20" s="5"/>
      <c r="N20" s="5"/>
      <c r="O20" s="5"/>
      <c r="P20" s="5"/>
      <c r="Q20" s="10"/>
      <c r="R20" s="10"/>
      <c r="S20" s="10"/>
      <c r="T20" s="7">
        <v>21</v>
      </c>
      <c r="U20" s="5"/>
      <c r="V20" s="5"/>
      <c r="W20" s="5"/>
      <c r="X20" s="5"/>
      <c r="Y20" s="5"/>
      <c r="Z20" s="5"/>
      <c r="AA20" s="7" t="s">
        <v>1904</v>
      </c>
      <c r="AC20" s="5">
        <v>1</v>
      </c>
      <c r="AD20" s="7" t="s">
        <v>3228</v>
      </c>
      <c r="AE20" s="7" t="s">
        <v>20</v>
      </c>
      <c r="AF20" s="7">
        <v>1</v>
      </c>
      <c r="AG20" s="7" t="s">
        <v>77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9" customHeight="1" x14ac:dyDescent="0.2">
      <c r="A21" s="9"/>
      <c r="B21" s="9"/>
      <c r="C21" s="7"/>
      <c r="D21" s="7"/>
      <c r="E21" s="7"/>
      <c r="F21" s="5"/>
      <c r="G21" t="s">
        <v>3245</v>
      </c>
      <c r="H21" t="s">
        <v>3244</v>
      </c>
      <c r="J21">
        <v>1</v>
      </c>
      <c r="K21" s="10"/>
      <c r="L21" s="5"/>
      <c r="M21" s="5"/>
      <c r="N21" s="5"/>
      <c r="O21" s="5"/>
      <c r="P21" s="5"/>
      <c r="Q21" s="10"/>
      <c r="R21" s="10"/>
      <c r="S21" s="10">
        <f>SUM(S5:S20)</f>
        <v>2</v>
      </c>
      <c r="T21">
        <v>22</v>
      </c>
      <c r="U21" s="5"/>
      <c r="V21" s="5"/>
      <c r="W21" s="5"/>
      <c r="X21" s="5"/>
      <c r="Y21" s="5"/>
      <c r="Z21" s="5"/>
      <c r="AA21" t="s">
        <v>1904</v>
      </c>
      <c r="AC21" s="5">
        <v>1</v>
      </c>
      <c r="AD21" t="s">
        <v>3228</v>
      </c>
      <c r="AE21" t="s">
        <v>20</v>
      </c>
      <c r="AF21" s="7"/>
      <c r="AG21" t="s">
        <v>2040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9" customHeight="1" x14ac:dyDescent="0.2">
      <c r="A22" s="9"/>
      <c r="B22" s="9"/>
      <c r="C22" s="7"/>
      <c r="D22" s="7"/>
      <c r="E22" s="7"/>
      <c r="F22" s="5"/>
      <c r="G22" s="5"/>
      <c r="H22" s="5"/>
      <c r="I22" s="5"/>
      <c r="J22" s="5">
        <f>SUM(J3:J21)</f>
        <v>19</v>
      </c>
      <c r="K22" s="10"/>
      <c r="L22" s="5"/>
      <c r="M22" s="5"/>
      <c r="N22" s="5"/>
      <c r="O22" s="5"/>
      <c r="P22" s="5"/>
      <c r="Q22" s="10"/>
      <c r="R22" s="10"/>
      <c r="S22" s="10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7"/>
      <c r="AF22" s="7">
        <f>SUM(AF3:AF21)</f>
        <v>2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9" customHeight="1" x14ac:dyDescent="0.2">
      <c r="A23" s="9"/>
      <c r="B23" s="9"/>
      <c r="C23" s="7"/>
      <c r="D23" s="7"/>
      <c r="E23" s="7"/>
      <c r="F23" s="5"/>
      <c r="G23" s="5"/>
      <c r="H23" s="5"/>
      <c r="I23" s="5"/>
      <c r="J23" s="5"/>
      <c r="K23" s="10"/>
      <c r="L23" s="5"/>
      <c r="M23" s="5"/>
      <c r="N23" s="5"/>
      <c r="O23" s="5"/>
      <c r="P23" s="5"/>
      <c r="Q23" s="10"/>
      <c r="R23" s="10"/>
      <c r="S23" s="10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9" customHeight="1" x14ac:dyDescent="0.2">
      <c r="A24" s="9"/>
      <c r="B24" s="9"/>
      <c r="C24" s="7"/>
      <c r="D24" s="7"/>
      <c r="E24" s="7"/>
      <c r="F24" s="5"/>
      <c r="G24" s="5"/>
      <c r="H24" s="5"/>
      <c r="I24" s="5"/>
      <c r="J24" s="5"/>
      <c r="K24" s="10"/>
      <c r="L24" s="5"/>
      <c r="M24" s="5"/>
      <c r="N24" s="5"/>
      <c r="O24" s="5"/>
      <c r="P24" s="5"/>
      <c r="Q24" s="10"/>
      <c r="R24" s="10"/>
      <c r="S24" s="10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9" customHeight="1" x14ac:dyDescent="0.2">
      <c r="A25" s="9"/>
      <c r="B25" s="9"/>
      <c r="C25" s="7"/>
      <c r="D25" s="7"/>
      <c r="E25" s="7"/>
      <c r="F25" s="5"/>
      <c r="G25" s="5"/>
      <c r="H25" s="5"/>
      <c r="I25" s="5"/>
      <c r="J25" s="5"/>
      <c r="K25" s="10"/>
      <c r="L25" s="5"/>
      <c r="M25" s="5"/>
      <c r="N25" s="5"/>
      <c r="O25" s="5"/>
      <c r="P25" s="5"/>
      <c r="Q25" s="10"/>
      <c r="R25" s="10"/>
      <c r="S25" s="10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9" customHeight="1" x14ac:dyDescent="0.2">
      <c r="A26" s="9"/>
      <c r="B26" s="9"/>
      <c r="C26" s="7"/>
      <c r="D26" s="7"/>
      <c r="E26" s="7"/>
      <c r="F26" s="5"/>
      <c r="G26" s="5"/>
      <c r="H26" s="5"/>
      <c r="I26" s="5"/>
      <c r="J26" s="5"/>
      <c r="K26" s="10"/>
      <c r="L26" s="5"/>
      <c r="M26" s="5"/>
      <c r="N26" s="5"/>
      <c r="O26" s="5"/>
      <c r="P26" s="5"/>
      <c r="Q26" s="10"/>
      <c r="R26" s="10"/>
      <c r="S26" s="10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9" customHeight="1" x14ac:dyDescent="0.2">
      <c r="A27" s="9"/>
      <c r="B27" s="9"/>
      <c r="C27" s="7"/>
      <c r="D27" s="7"/>
      <c r="E27" s="7"/>
      <c r="F27" s="5"/>
      <c r="G27" s="5"/>
      <c r="H27" s="5"/>
      <c r="I27" s="5"/>
      <c r="J27" s="5"/>
      <c r="K27" s="10"/>
      <c r="L27" s="5"/>
      <c r="M27" s="5"/>
      <c r="N27" s="5"/>
      <c r="O27" s="5"/>
      <c r="P27" s="5"/>
      <c r="Q27" s="10"/>
      <c r="R27" s="10"/>
      <c r="S27" s="10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7"/>
      <c r="R33" s="6"/>
      <c r="S33" s="6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6"/>
      <c r="R34" s="6"/>
      <c r="S34" s="6"/>
      <c r="T34" s="6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6"/>
      <c r="N35" s="6"/>
      <c r="O35" s="6"/>
      <c r="P35" s="6"/>
      <c r="Q35" s="6"/>
      <c r="R35" s="6"/>
      <c r="S35" s="6"/>
      <c r="T35" s="6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4" t="s">
        <v>252</v>
      </c>
      <c r="B36" s="7"/>
      <c r="C36" s="7"/>
      <c r="D36" s="7"/>
      <c r="E36" s="7"/>
      <c r="F36" s="7"/>
      <c r="G36" s="7">
        <f>SUM(G3:G35)</f>
        <v>0</v>
      </c>
      <c r="H36" s="7">
        <f t="shared" ref="H36:AD36" si="0">SUM(H3:H35)</f>
        <v>0</v>
      </c>
      <c r="I36" s="7">
        <f t="shared" si="0"/>
        <v>0</v>
      </c>
      <c r="J36" s="7">
        <f t="shared" si="0"/>
        <v>38</v>
      </c>
      <c r="K36" s="7">
        <f t="shared" si="0"/>
        <v>0</v>
      </c>
      <c r="L36" s="7">
        <f t="shared" si="0"/>
        <v>0</v>
      </c>
      <c r="M36" s="7">
        <f t="shared" si="0"/>
        <v>0</v>
      </c>
      <c r="N36" s="7">
        <f t="shared" si="0"/>
        <v>1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0</v>
      </c>
      <c r="S36" s="7">
        <f t="shared" si="0"/>
        <v>4</v>
      </c>
      <c r="T36" s="7">
        <f t="shared" si="0"/>
        <v>576</v>
      </c>
      <c r="U36" s="7">
        <f t="shared" si="0"/>
        <v>0</v>
      </c>
      <c r="V36" s="7">
        <f t="shared" si="0"/>
        <v>0</v>
      </c>
      <c r="W36" s="7">
        <f t="shared" si="0"/>
        <v>0</v>
      </c>
      <c r="X36" s="7">
        <f t="shared" si="0"/>
        <v>0</v>
      </c>
      <c r="Y36" s="7">
        <f t="shared" si="0"/>
        <v>0</v>
      </c>
      <c r="Z36" s="7">
        <f t="shared" si="0"/>
        <v>0</v>
      </c>
      <c r="AA36" s="7">
        <f>SUM(AA3:AA35)</f>
        <v>0</v>
      </c>
      <c r="AB36" s="7">
        <f t="shared" si="0"/>
        <v>0</v>
      </c>
      <c r="AC36" s="7">
        <f t="shared" si="0"/>
        <v>19</v>
      </c>
      <c r="AD36" s="7">
        <f t="shared" si="0"/>
        <v>0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/>
      <c r="B37" s="7"/>
      <c r="C37" s="7"/>
      <c r="D37" s="7"/>
      <c r="E37" s="7"/>
      <c r="F37" s="7"/>
      <c r="G37" s="7">
        <f>G36+H36+I36+J36</f>
        <v>38</v>
      </c>
      <c r="H37" s="7"/>
      <c r="I37" s="7"/>
      <c r="J37" s="7"/>
      <c r="K37" s="7">
        <f>K36+L36+M36+N36+O36+P36</f>
        <v>1</v>
      </c>
      <c r="L37" s="7"/>
      <c r="M37" s="6"/>
      <c r="N37" s="6"/>
      <c r="O37" s="6"/>
      <c r="P37" s="6"/>
      <c r="Q37" s="6">
        <f>Q36/K37</f>
        <v>0</v>
      </c>
      <c r="R37" s="6"/>
      <c r="S37" s="6"/>
      <c r="T37" s="6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6"/>
      <c r="N38" s="6"/>
      <c r="O38" s="6"/>
      <c r="P38" s="6"/>
      <c r="Q38" s="6"/>
      <c r="R38" s="6"/>
      <c r="S38" s="6"/>
      <c r="T38" s="6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11"/>
      <c r="B39" s="11"/>
      <c r="C39" s="11"/>
      <c r="D39" s="12"/>
      <c r="E39" s="11"/>
      <c r="F39" s="12"/>
      <c r="G39" s="12"/>
      <c r="H39" s="12"/>
      <c r="I39" s="12"/>
      <c r="J39" s="12"/>
      <c r="K39" s="13"/>
      <c r="L39" s="12"/>
      <c r="M39" s="12"/>
      <c r="N39" s="12"/>
      <c r="O39" s="12"/>
      <c r="P39" s="12"/>
      <c r="Q39" s="13"/>
      <c r="R39" s="13"/>
      <c r="S39" s="13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28" customHeight="1" x14ac:dyDescent="0.2">
      <c r="A40" s="11"/>
      <c r="B40" s="11"/>
      <c r="C40" s="11"/>
      <c r="D40" s="12"/>
      <c r="E40" s="11"/>
      <c r="F40" s="12"/>
      <c r="G40" s="12"/>
      <c r="H40" s="12"/>
      <c r="I40" s="12"/>
      <c r="J40" s="14"/>
      <c r="K40" s="15"/>
      <c r="L40" s="16"/>
      <c r="M40" s="12"/>
      <c r="N40" s="12"/>
      <c r="O40" s="12"/>
      <c r="P40" s="14"/>
      <c r="Q40" s="15"/>
      <c r="R40" s="15"/>
      <c r="S40" s="15"/>
      <c r="T40" s="17"/>
      <c r="U40" s="12"/>
      <c r="V40" s="12"/>
      <c r="W40" s="12"/>
      <c r="X40" s="12"/>
      <c r="Y40" s="12"/>
      <c r="Z40" s="12"/>
      <c r="AA40" s="12"/>
      <c r="AB40" s="12"/>
      <c r="AC40" s="12"/>
      <c r="AD40" s="11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B41" s="7"/>
      <c r="C41" s="7"/>
      <c r="D41" s="7"/>
      <c r="E41" s="7"/>
      <c r="F41" s="7"/>
      <c r="G41" s="7"/>
      <c r="H41" s="7"/>
      <c r="I41" s="7"/>
      <c r="J41" s="7"/>
      <c r="K41" s="9"/>
      <c r="L41" s="7"/>
      <c r="M41" s="6"/>
      <c r="N41" s="6"/>
      <c r="O41" s="6"/>
      <c r="P41" s="6"/>
      <c r="Q41" s="18"/>
      <c r="R41" s="18"/>
      <c r="S41" s="18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6"/>
      <c r="O42" s="6"/>
      <c r="P42" s="6"/>
      <c r="Q42" s="7"/>
      <c r="R42" s="6"/>
      <c r="S42" s="6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6"/>
      <c r="N43" s="6"/>
      <c r="O43" s="6"/>
      <c r="P43" s="6"/>
      <c r="Q43" s="6"/>
      <c r="R43" s="6"/>
      <c r="S43" s="6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H44" s="7" t="s">
        <v>0</v>
      </c>
      <c r="I44" s="7" t="s">
        <v>1</v>
      </c>
      <c r="J44" s="7" t="s">
        <v>2</v>
      </c>
      <c r="K44" s="7" t="s">
        <v>3</v>
      </c>
      <c r="L44" s="7" t="s">
        <v>4</v>
      </c>
      <c r="M44" s="6" t="s">
        <v>5</v>
      </c>
      <c r="N44" s="6" t="s">
        <v>6</v>
      </c>
      <c r="O44" s="6" t="s">
        <v>7</v>
      </c>
      <c r="P44" s="6" t="s">
        <v>8</v>
      </c>
      <c r="Q44" s="6"/>
      <c r="R44" s="6"/>
      <c r="S44" s="6"/>
      <c r="T44" s="7"/>
      <c r="U44" s="6"/>
      <c r="V44" s="6"/>
      <c r="W44" s="6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/>
      <c r="B45" s="7"/>
      <c r="C45" s="7"/>
      <c r="D45" s="7"/>
      <c r="E45" s="7"/>
      <c r="F45" s="7"/>
      <c r="G45" s="7"/>
      <c r="H45" s="7" t="s">
        <v>429</v>
      </c>
      <c r="I45" s="7" t="s">
        <v>3200</v>
      </c>
      <c r="J45" s="7" t="s">
        <v>12</v>
      </c>
      <c r="K45" s="7" t="s">
        <v>19</v>
      </c>
      <c r="L45" s="7">
        <v>1864</v>
      </c>
      <c r="M45" s="6">
        <v>56</v>
      </c>
      <c r="N45" s="6" t="s">
        <v>3201</v>
      </c>
      <c r="O45" s="6" t="s">
        <v>3202</v>
      </c>
      <c r="P45" s="6" t="s">
        <v>3203</v>
      </c>
      <c r="Q45" s="7"/>
      <c r="R45" s="6"/>
      <c r="S45" s="6"/>
      <c r="T45" s="7"/>
      <c r="U45" s="6"/>
      <c r="V45" s="6"/>
      <c r="W45" s="6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7"/>
      <c r="B46" s="7"/>
      <c r="C46" s="7"/>
      <c r="D46" s="7"/>
      <c r="E46" s="7"/>
      <c r="F46" s="7"/>
      <c r="G46" s="7"/>
      <c r="H46" s="7" t="s">
        <v>1414</v>
      </c>
      <c r="I46" s="7" t="s">
        <v>959</v>
      </c>
      <c r="J46" s="7" t="s">
        <v>3204</v>
      </c>
      <c r="K46" s="7" t="s">
        <v>19</v>
      </c>
      <c r="L46" s="7">
        <v>1894</v>
      </c>
      <c r="M46" s="6">
        <v>27</v>
      </c>
      <c r="N46" s="6" t="s">
        <v>3205</v>
      </c>
      <c r="O46" s="6" t="s">
        <v>3206</v>
      </c>
      <c r="P46" s="6" t="s">
        <v>3207</v>
      </c>
      <c r="Q46" s="7"/>
      <c r="R46" s="6"/>
      <c r="S46" s="6"/>
      <c r="T46" s="7"/>
      <c r="U46" s="6"/>
      <c r="V46" s="6"/>
      <c r="W46" s="6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7"/>
      <c r="B47" s="7"/>
      <c r="C47" s="7"/>
      <c r="D47" s="7"/>
      <c r="E47" s="7"/>
      <c r="F47" s="7"/>
      <c r="G47" s="7"/>
      <c r="H47" s="7" t="s">
        <v>3208</v>
      </c>
      <c r="I47" s="7" t="s">
        <v>3200</v>
      </c>
      <c r="J47" s="7" t="s">
        <v>26</v>
      </c>
      <c r="K47" s="7" t="s">
        <v>19</v>
      </c>
      <c r="L47" s="7">
        <v>1897</v>
      </c>
      <c r="M47" s="6">
        <v>24</v>
      </c>
      <c r="N47" s="6" t="s">
        <v>3209</v>
      </c>
      <c r="O47" s="6" t="s">
        <v>1808</v>
      </c>
      <c r="P47" s="6" t="s">
        <v>3210</v>
      </c>
      <c r="Q47" s="7"/>
      <c r="R47" s="6"/>
      <c r="S47" s="6"/>
      <c r="T47" s="7"/>
      <c r="U47" s="6"/>
      <c r="V47" s="6"/>
      <c r="W47" s="6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7"/>
      <c r="B48" s="7"/>
      <c r="C48" s="7"/>
      <c r="D48" s="7"/>
      <c r="E48" s="7"/>
      <c r="F48" s="7"/>
      <c r="G48" s="7"/>
      <c r="H48" s="7" t="s">
        <v>937</v>
      </c>
      <c r="I48" s="7" t="s">
        <v>940</v>
      </c>
      <c r="J48" s="7" t="s">
        <v>26</v>
      </c>
      <c r="K48" s="7" t="s">
        <v>19</v>
      </c>
      <c r="L48" s="7">
        <v>1902</v>
      </c>
      <c r="M48" s="6">
        <v>19</v>
      </c>
      <c r="N48" s="6" t="s">
        <v>1896</v>
      </c>
      <c r="O48" s="6" t="s">
        <v>2192</v>
      </c>
      <c r="P48" s="6" t="s">
        <v>3211</v>
      </c>
      <c r="Q48" s="7"/>
      <c r="R48" s="6"/>
      <c r="S48" s="6"/>
      <c r="T48" s="7"/>
      <c r="U48" s="6"/>
      <c r="V48" s="6"/>
      <c r="W48" s="6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" customHeight="1" x14ac:dyDescent="0.2">
      <c r="A49" s="7"/>
      <c r="B49" s="7"/>
      <c r="C49" s="7"/>
      <c r="D49" s="7"/>
      <c r="E49" s="7"/>
      <c r="F49" s="7"/>
      <c r="G49" s="7"/>
      <c r="H49" s="7" t="s">
        <v>345</v>
      </c>
      <c r="I49" s="7" t="s">
        <v>3212</v>
      </c>
      <c r="J49" s="7" t="s">
        <v>26</v>
      </c>
      <c r="K49" s="7" t="s">
        <v>19</v>
      </c>
      <c r="L49" s="7">
        <v>1895</v>
      </c>
      <c r="M49" s="7">
        <v>25</v>
      </c>
      <c r="N49" s="7" t="s">
        <v>415</v>
      </c>
      <c r="O49" s="7" t="s">
        <v>3213</v>
      </c>
      <c r="P49" s="7" t="s">
        <v>3214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7"/>
      <c r="B50" s="7"/>
      <c r="C50" s="7"/>
      <c r="D50" s="7"/>
      <c r="E50" s="7"/>
      <c r="F50" s="7"/>
      <c r="G50" s="7"/>
      <c r="H50" s="7" t="s">
        <v>998</v>
      </c>
      <c r="I50" s="7" t="s">
        <v>107</v>
      </c>
      <c r="J50" s="7" t="s">
        <v>26</v>
      </c>
      <c r="K50" s="7" t="s">
        <v>19</v>
      </c>
      <c r="L50" s="7">
        <v>1898</v>
      </c>
      <c r="M50" s="6">
        <v>23</v>
      </c>
      <c r="N50" s="6" t="s">
        <v>415</v>
      </c>
      <c r="O50" s="6" t="s">
        <v>3215</v>
      </c>
      <c r="P50" s="6" t="s">
        <v>3216</v>
      </c>
      <c r="Q50" s="7"/>
      <c r="R50" s="6"/>
      <c r="S50" s="6"/>
      <c r="T50" s="19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 t="s">
        <v>115</v>
      </c>
      <c r="I51" s="7" t="s">
        <v>3217</v>
      </c>
      <c r="J51" s="7" t="s">
        <v>26</v>
      </c>
      <c r="K51" s="7" t="s">
        <v>19</v>
      </c>
      <c r="L51" s="7">
        <v>1884</v>
      </c>
      <c r="M51" s="6">
        <v>36</v>
      </c>
      <c r="N51" s="6" t="s">
        <v>1675</v>
      </c>
      <c r="O51" s="6" t="s">
        <v>1904</v>
      </c>
      <c r="P51" s="6" t="s">
        <v>3218</v>
      </c>
      <c r="Q51" s="7"/>
      <c r="R51" s="6"/>
      <c r="S51" s="6"/>
      <c r="T51" s="7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 t="s">
        <v>351</v>
      </c>
      <c r="I52" s="7" t="s">
        <v>3219</v>
      </c>
      <c r="J52" s="7" t="s">
        <v>26</v>
      </c>
      <c r="K52" s="7" t="s">
        <v>19</v>
      </c>
      <c r="L52" s="7">
        <v>1896</v>
      </c>
      <c r="M52" s="6">
        <v>25</v>
      </c>
      <c r="N52" s="6" t="s">
        <v>1947</v>
      </c>
      <c r="O52" s="6" t="s">
        <v>1904</v>
      </c>
      <c r="P52" s="6" t="s">
        <v>3218</v>
      </c>
      <c r="Q52" s="7"/>
      <c r="R52" s="6"/>
      <c r="S52" s="6"/>
      <c r="T52" s="7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 t="s">
        <v>3220</v>
      </c>
      <c r="I53" s="7" t="s">
        <v>371</v>
      </c>
      <c r="J53" s="7" t="s">
        <v>26</v>
      </c>
      <c r="K53" s="7" t="s">
        <v>19</v>
      </c>
      <c r="L53" s="7">
        <v>1898</v>
      </c>
      <c r="M53" s="6">
        <v>22</v>
      </c>
      <c r="N53" s="6" t="s">
        <v>3221</v>
      </c>
      <c r="O53" s="6" t="s">
        <v>1904</v>
      </c>
      <c r="P53" s="6" t="s">
        <v>3218</v>
      </c>
      <c r="Q53" s="7"/>
      <c r="R53" s="6"/>
      <c r="S53" s="6"/>
      <c r="T53" s="19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 t="s">
        <v>3222</v>
      </c>
      <c r="I54" s="7" t="s">
        <v>3223</v>
      </c>
      <c r="J54" s="7" t="s">
        <v>26</v>
      </c>
      <c r="K54" s="7" t="s">
        <v>19</v>
      </c>
      <c r="L54" s="7">
        <v>1900</v>
      </c>
      <c r="M54" s="6">
        <v>21</v>
      </c>
      <c r="N54" s="6" t="s">
        <v>3224</v>
      </c>
      <c r="O54" s="6" t="s">
        <v>1904</v>
      </c>
      <c r="P54" s="6" t="s">
        <v>3225</v>
      </c>
      <c r="Q54" s="7"/>
      <c r="R54" s="6"/>
      <c r="S54" s="6"/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 t="s">
        <v>24</v>
      </c>
      <c r="I55" s="7" t="s">
        <v>3226</v>
      </c>
      <c r="J55" s="7" t="s">
        <v>20</v>
      </c>
      <c r="K55" s="7" t="s">
        <v>19</v>
      </c>
      <c r="L55" s="7">
        <v>1889</v>
      </c>
      <c r="M55" s="6">
        <v>32</v>
      </c>
      <c r="N55" s="6" t="s">
        <v>415</v>
      </c>
      <c r="O55" s="6" t="s">
        <v>3227</v>
      </c>
      <c r="P55" s="6" t="s">
        <v>3228</v>
      </c>
      <c r="Q55" s="7"/>
      <c r="R55" s="6"/>
      <c r="S55" s="6"/>
      <c r="T55" s="7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7"/>
      <c r="B56" s="7"/>
      <c r="C56" s="7"/>
      <c r="D56" s="7"/>
      <c r="E56" s="7"/>
      <c r="F56" s="7"/>
      <c r="G56" s="7"/>
      <c r="H56" s="7" t="s">
        <v>3229</v>
      </c>
      <c r="I56" s="7" t="s">
        <v>3230</v>
      </c>
      <c r="J56" s="7" t="s">
        <v>20</v>
      </c>
      <c r="K56" s="7" t="s">
        <v>19</v>
      </c>
      <c r="L56" s="7">
        <v>1870</v>
      </c>
      <c r="M56" s="6">
        <v>50</v>
      </c>
      <c r="N56" s="6" t="s">
        <v>1491</v>
      </c>
      <c r="O56" s="6" t="s">
        <v>3231</v>
      </c>
      <c r="P56" s="6" t="s">
        <v>3228</v>
      </c>
      <c r="Q56" s="7"/>
      <c r="R56" s="6"/>
      <c r="S56" s="6"/>
      <c r="T56" s="7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" customHeight="1" x14ac:dyDescent="0.2">
      <c r="A57" s="4" t="s">
        <v>252</v>
      </c>
      <c r="B57" s="7"/>
      <c r="C57" s="7"/>
      <c r="D57" s="7"/>
      <c r="E57" s="7"/>
      <c r="F57" s="7"/>
      <c r="G57" s="7">
        <f>SUM(G3:G56)</f>
        <v>38</v>
      </c>
      <c r="H57" s="7" t="s">
        <v>3232</v>
      </c>
      <c r="I57" s="7" t="s">
        <v>402</v>
      </c>
      <c r="J57" s="7" t="s">
        <v>20</v>
      </c>
      <c r="K57" s="7" t="s">
        <v>19</v>
      </c>
      <c r="L57" s="7">
        <v>1886</v>
      </c>
      <c r="M57" s="7">
        <v>35</v>
      </c>
      <c r="N57" s="7" t="s">
        <v>3233</v>
      </c>
      <c r="O57" s="7" t="s">
        <v>3231</v>
      </c>
      <c r="P57" s="7" t="s">
        <v>3228</v>
      </c>
      <c r="Q57" s="7">
        <f t="shared" ref="Q57:W57" si="1">SUM(Q3:Q56)</f>
        <v>0</v>
      </c>
      <c r="R57" s="7">
        <f t="shared" si="1"/>
        <v>0</v>
      </c>
      <c r="S57" s="7">
        <f t="shared" si="1"/>
        <v>8</v>
      </c>
      <c r="T57" s="7">
        <f t="shared" si="1"/>
        <v>1152</v>
      </c>
      <c r="U57" s="7">
        <f t="shared" si="1"/>
        <v>0</v>
      </c>
      <c r="V57" s="7">
        <f t="shared" si="1"/>
        <v>0</v>
      </c>
      <c r="W57" s="7">
        <f t="shared" si="1"/>
        <v>0</v>
      </c>
      <c r="X57" s="7"/>
      <c r="Y57" s="7"/>
      <c r="Z57" s="7">
        <f>SUM(Z3:Z56)</f>
        <v>0</v>
      </c>
      <c r="AA57" s="7">
        <f>SUM(AA3:AA56)</f>
        <v>0</v>
      </c>
      <c r="AB57" s="7">
        <f>SUM(AB3:AB56)</f>
        <v>0</v>
      </c>
      <c r="AC57" s="7">
        <f>SUM(AC3:AC56)</f>
        <v>38</v>
      </c>
      <c r="AD57" s="7">
        <f>SUM(AD3:AD56)</f>
        <v>0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" customHeight="1" x14ac:dyDescent="0.2">
      <c r="A58" s="7"/>
      <c r="B58" s="7"/>
      <c r="C58" s="7"/>
      <c r="D58" s="7"/>
      <c r="E58" s="7"/>
      <c r="F58" s="7"/>
      <c r="G58" s="7"/>
      <c r="H58" s="7" t="s">
        <v>90</v>
      </c>
      <c r="I58" s="7" t="s">
        <v>3234</v>
      </c>
      <c r="J58" s="7" t="s">
        <v>20</v>
      </c>
      <c r="K58" s="7" t="s">
        <v>19</v>
      </c>
      <c r="L58" s="7">
        <v>1894</v>
      </c>
      <c r="M58" s="7">
        <v>27</v>
      </c>
      <c r="N58" s="7" t="s">
        <v>3235</v>
      </c>
      <c r="O58" s="7" t="s">
        <v>3236</v>
      </c>
      <c r="P58" s="7" t="s">
        <v>3228</v>
      </c>
      <c r="Q58" s="20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" customHeight="1" x14ac:dyDescent="0.2">
      <c r="A59" s="7"/>
      <c r="B59" s="7"/>
      <c r="C59" s="7"/>
      <c r="D59" s="7"/>
      <c r="E59" s="7"/>
      <c r="F59" s="7"/>
      <c r="G59" s="21"/>
      <c r="H59" s="21" t="s">
        <v>3220</v>
      </c>
      <c r="I59" s="21" t="s">
        <v>3237</v>
      </c>
      <c r="J59" s="7" t="s">
        <v>20</v>
      </c>
      <c r="K59" s="7" t="s">
        <v>19</v>
      </c>
      <c r="L59" s="7">
        <v>1883</v>
      </c>
      <c r="M59" s="7">
        <v>38</v>
      </c>
      <c r="N59" s="7" t="s">
        <v>778</v>
      </c>
      <c r="O59" s="7" t="s">
        <v>3238</v>
      </c>
      <c r="P59" s="7" t="s">
        <v>3228</v>
      </c>
      <c r="Q59" s="20"/>
      <c r="R59" s="21"/>
      <c r="S59" s="21"/>
      <c r="T59" s="21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 t="s">
        <v>24</v>
      </c>
      <c r="I60" s="7" t="s">
        <v>3239</v>
      </c>
      <c r="J60" s="7" t="s">
        <v>20</v>
      </c>
      <c r="K60" s="7" t="s">
        <v>19</v>
      </c>
      <c r="L60" s="7">
        <v>1875</v>
      </c>
      <c r="M60" s="7">
        <v>46</v>
      </c>
      <c r="N60" s="7" t="s">
        <v>3240</v>
      </c>
      <c r="O60" s="7" t="s">
        <v>3241</v>
      </c>
      <c r="P60" s="7" t="s">
        <v>3228</v>
      </c>
      <c r="Q60" s="7"/>
      <c r="R60" s="6"/>
      <c r="S60" s="6"/>
      <c r="T60" s="19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" customHeight="1" x14ac:dyDescent="0.2">
      <c r="A61" s="7"/>
      <c r="B61" s="7"/>
      <c r="C61" s="7"/>
      <c r="D61" s="7"/>
      <c r="E61" s="7"/>
      <c r="F61" s="7"/>
      <c r="G61" s="7"/>
      <c r="H61" s="7" t="s">
        <v>3242</v>
      </c>
      <c r="I61" s="7" t="s">
        <v>1571</v>
      </c>
      <c r="J61" s="7" t="s">
        <v>20</v>
      </c>
      <c r="K61" s="7" t="s">
        <v>19</v>
      </c>
      <c r="L61" s="7">
        <v>1894</v>
      </c>
      <c r="M61" s="7">
        <v>27</v>
      </c>
      <c r="N61" s="7" t="s">
        <v>2040</v>
      </c>
      <c r="O61" s="7" t="s">
        <v>1904</v>
      </c>
      <c r="P61" s="7" t="s">
        <v>3228</v>
      </c>
      <c r="Q61" s="7"/>
      <c r="R61" s="21"/>
      <c r="S61" s="21"/>
      <c r="T61" s="21"/>
      <c r="U61" s="7"/>
      <c r="V61" s="7"/>
      <c r="W61" s="7"/>
      <c r="X61" s="7"/>
      <c r="Y61" s="7"/>
      <c r="Z61" s="7"/>
      <c r="AA61" s="7"/>
      <c r="AB61" s="7"/>
      <c r="AC61" s="22"/>
      <c r="AD61" s="22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/>
      <c r="B62" s="7"/>
      <c r="C62" s="7"/>
      <c r="D62" s="7"/>
      <c r="E62" s="7"/>
      <c r="F62" s="7"/>
      <c r="G62" s="7"/>
      <c r="H62" s="7" t="s">
        <v>3243</v>
      </c>
      <c r="I62" s="7" t="s">
        <v>1543</v>
      </c>
      <c r="J62" s="7" t="s">
        <v>20</v>
      </c>
      <c r="K62" s="7" t="s">
        <v>19</v>
      </c>
      <c r="L62" s="7">
        <v>1900</v>
      </c>
      <c r="M62" s="7">
        <v>21</v>
      </c>
      <c r="N62" s="7" t="s">
        <v>77</v>
      </c>
      <c r="O62" s="7" t="s">
        <v>1904</v>
      </c>
      <c r="P62" s="7" t="s">
        <v>3228</v>
      </c>
      <c r="Q62" s="7"/>
      <c r="R62" s="6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">
      <c r="H63" t="s">
        <v>3244</v>
      </c>
      <c r="I63" t="s">
        <v>3245</v>
      </c>
      <c r="J63" t="s">
        <v>20</v>
      </c>
      <c r="K63" t="s">
        <v>19</v>
      </c>
      <c r="L63">
        <v>1899</v>
      </c>
      <c r="M63">
        <v>22</v>
      </c>
      <c r="N63" t="s">
        <v>2040</v>
      </c>
      <c r="O63" t="s">
        <v>1904</v>
      </c>
      <c r="P63" t="s">
        <v>3228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7B69-7D54-8B4A-8B8B-F5D5C0626FFF}">
  <dimension ref="A1:BC282"/>
  <sheetViews>
    <sheetView topLeftCell="G1" zoomScale="141" zoomScaleNormal="141" workbookViewId="0">
      <pane ySplit="2" topLeftCell="A132" activePane="bottomLeft" state="frozen"/>
      <selection pane="bottomLeft" activeCell="L134" sqref="L134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10.83203125" customWidth="1"/>
    <col min="11" max="11" width="19.1640625" customWidth="1"/>
    <col min="12" max="12" width="7.83203125" customWidth="1"/>
    <col min="13" max="13" width="10" customWidth="1"/>
    <col min="14" max="14" width="8.6640625" customWidth="1"/>
    <col min="15" max="15" width="9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564</v>
      </c>
      <c r="B3" s="9">
        <v>1921</v>
      </c>
      <c r="C3" s="7">
        <v>1</v>
      </c>
      <c r="D3" s="7" t="s">
        <v>1155</v>
      </c>
      <c r="E3" s="7"/>
      <c r="F3">
        <v>17</v>
      </c>
      <c r="G3" t="s">
        <v>1157</v>
      </c>
      <c r="H3" t="s">
        <v>1156</v>
      </c>
      <c r="I3">
        <v>1</v>
      </c>
      <c r="J3" t="s">
        <v>13</v>
      </c>
      <c r="K3">
        <v>1</v>
      </c>
      <c r="N3">
        <v>1</v>
      </c>
      <c r="T3">
        <v>32</v>
      </c>
      <c r="AA3" t="s">
        <v>1158</v>
      </c>
      <c r="AC3" s="5">
        <v>1</v>
      </c>
      <c r="AD3">
        <v>1</v>
      </c>
      <c r="AE3" s="7"/>
      <c r="AF3" s="7">
        <v>1</v>
      </c>
      <c r="AG3" t="s">
        <v>49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9" customHeight="1" x14ac:dyDescent="0.2">
      <c r="A4" s="9" t="s">
        <v>564</v>
      </c>
      <c r="B4" s="9">
        <v>1921</v>
      </c>
      <c r="C4" s="7">
        <v>1</v>
      </c>
      <c r="D4" s="7" t="s">
        <v>1155</v>
      </c>
      <c r="E4" s="7"/>
      <c r="G4" t="s">
        <v>1157</v>
      </c>
      <c r="H4" t="s">
        <v>1159</v>
      </c>
      <c r="I4">
        <v>2</v>
      </c>
      <c r="J4">
        <v>1</v>
      </c>
      <c r="N4" t="s">
        <v>18</v>
      </c>
      <c r="O4">
        <v>1</v>
      </c>
      <c r="T4">
        <v>26</v>
      </c>
      <c r="AA4" t="s">
        <v>50</v>
      </c>
      <c r="AC4" s="5"/>
      <c r="AD4" t="s">
        <v>20</v>
      </c>
      <c r="AE4" s="7"/>
      <c r="AF4" s="7"/>
      <c r="AG4" t="s">
        <v>1160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9" customHeight="1" x14ac:dyDescent="0.2">
      <c r="A5" s="9" t="s">
        <v>564</v>
      </c>
      <c r="B5" s="9">
        <v>1921</v>
      </c>
      <c r="C5" s="7">
        <v>1</v>
      </c>
      <c r="D5" s="7" t="s">
        <v>1155</v>
      </c>
      <c r="E5" s="7"/>
      <c r="G5" t="s">
        <v>1157</v>
      </c>
      <c r="H5" t="s">
        <v>1161</v>
      </c>
      <c r="I5">
        <v>3</v>
      </c>
      <c r="L5">
        <v>1</v>
      </c>
      <c r="N5" t="s">
        <v>22</v>
      </c>
      <c r="P5">
        <v>1</v>
      </c>
      <c r="T5">
        <v>3</v>
      </c>
      <c r="AA5" t="s">
        <v>20</v>
      </c>
      <c r="AC5" s="5"/>
      <c r="AD5" t="s">
        <v>20</v>
      </c>
      <c r="AE5" s="7"/>
      <c r="AF5" s="7">
        <v>1</v>
      </c>
      <c r="AG5" t="s">
        <v>49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9" customHeight="1" x14ac:dyDescent="0.2">
      <c r="A6" s="9" t="s">
        <v>564</v>
      </c>
      <c r="B6" s="9">
        <v>1921</v>
      </c>
      <c r="C6" s="7">
        <v>1</v>
      </c>
      <c r="D6" s="7" t="s">
        <v>1155</v>
      </c>
      <c r="E6" s="7"/>
      <c r="G6" t="s">
        <v>1162</v>
      </c>
      <c r="H6" t="s">
        <v>192</v>
      </c>
      <c r="I6">
        <v>4</v>
      </c>
      <c r="J6">
        <v>1</v>
      </c>
      <c r="N6" t="s">
        <v>26</v>
      </c>
      <c r="S6">
        <v>1</v>
      </c>
      <c r="T6">
        <v>31</v>
      </c>
      <c r="AA6" t="s">
        <v>33</v>
      </c>
      <c r="AC6" s="5">
        <v>1</v>
      </c>
      <c r="AD6" t="s">
        <v>29</v>
      </c>
      <c r="AE6" s="7"/>
      <c r="AF6" s="7"/>
      <c r="AG6" t="s">
        <v>368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9" customHeight="1" x14ac:dyDescent="0.2">
      <c r="A7" s="9" t="s">
        <v>564</v>
      </c>
      <c r="B7" s="9">
        <v>1921</v>
      </c>
      <c r="C7" s="7">
        <v>1</v>
      </c>
      <c r="D7" s="7" t="s">
        <v>1155</v>
      </c>
      <c r="E7" s="7"/>
      <c r="G7" t="s">
        <v>1163</v>
      </c>
      <c r="H7" t="s">
        <v>998</v>
      </c>
      <c r="I7">
        <v>5</v>
      </c>
      <c r="J7">
        <v>1</v>
      </c>
      <c r="N7" t="s">
        <v>26</v>
      </c>
      <c r="S7">
        <v>1</v>
      </c>
      <c r="T7">
        <v>20</v>
      </c>
      <c r="AA7" t="s">
        <v>56</v>
      </c>
      <c r="AC7" s="5">
        <v>1</v>
      </c>
      <c r="AD7" t="s">
        <v>29</v>
      </c>
      <c r="AE7" s="7"/>
      <c r="AF7" s="7"/>
      <c r="AG7" t="s">
        <v>1164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9" customHeight="1" x14ac:dyDescent="0.2">
      <c r="A8" s="9" t="s">
        <v>564</v>
      </c>
      <c r="B8" s="9">
        <v>1921</v>
      </c>
      <c r="C8" s="7">
        <v>1</v>
      </c>
      <c r="D8" s="7" t="s">
        <v>1155</v>
      </c>
      <c r="E8" s="7"/>
      <c r="G8" t="s">
        <v>1166</v>
      </c>
      <c r="H8" t="s">
        <v>1165</v>
      </c>
      <c r="I8">
        <v>6</v>
      </c>
      <c r="J8">
        <v>1</v>
      </c>
      <c r="N8" t="s">
        <v>208</v>
      </c>
      <c r="R8">
        <v>1</v>
      </c>
      <c r="T8">
        <v>26</v>
      </c>
      <c r="AA8" t="s">
        <v>208</v>
      </c>
      <c r="AC8" s="5">
        <v>1</v>
      </c>
      <c r="AD8" t="s">
        <v>29</v>
      </c>
      <c r="AE8" s="7"/>
      <c r="AF8" s="7"/>
      <c r="AG8" t="s">
        <v>388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9" customHeight="1" x14ac:dyDescent="0.2">
      <c r="A9" s="9" t="s">
        <v>564</v>
      </c>
      <c r="B9" s="9">
        <v>1921</v>
      </c>
      <c r="C9" s="7"/>
      <c r="D9" s="7" t="s">
        <v>1155</v>
      </c>
      <c r="E9" s="7"/>
      <c r="H9">
        <v>6</v>
      </c>
      <c r="AC9" s="5"/>
      <c r="AE9" s="7"/>
      <c r="AF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9" customHeight="1" x14ac:dyDescent="0.2">
      <c r="A10" s="9" t="s">
        <v>564</v>
      </c>
      <c r="B10" s="9">
        <v>1921</v>
      </c>
      <c r="C10" s="7">
        <v>2</v>
      </c>
      <c r="D10" s="7" t="s">
        <v>1155</v>
      </c>
      <c r="E10" s="7"/>
      <c r="F10">
        <v>2</v>
      </c>
      <c r="G10" t="s">
        <v>1168</v>
      </c>
      <c r="H10" t="s">
        <v>1167</v>
      </c>
      <c r="I10">
        <v>7</v>
      </c>
      <c r="J10" t="s">
        <v>13</v>
      </c>
      <c r="K10">
        <v>1</v>
      </c>
      <c r="N10">
        <v>1</v>
      </c>
      <c r="T10">
        <v>43</v>
      </c>
      <c r="AA10" t="s">
        <v>1170</v>
      </c>
      <c r="AB10" t="s">
        <v>1171</v>
      </c>
      <c r="AC10" s="5">
        <v>1</v>
      </c>
      <c r="AE10" s="7"/>
      <c r="AF10" s="7"/>
      <c r="AG10" t="s">
        <v>1169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9" customHeight="1" x14ac:dyDescent="0.2">
      <c r="A11" s="9" t="s">
        <v>564</v>
      </c>
      <c r="B11" s="9">
        <v>1921</v>
      </c>
      <c r="C11" s="7">
        <v>2</v>
      </c>
      <c r="D11" s="7" t="s">
        <v>1155</v>
      </c>
      <c r="E11" s="7"/>
      <c r="G11" t="s">
        <v>1168</v>
      </c>
      <c r="H11" t="s">
        <v>1172</v>
      </c>
      <c r="I11">
        <v>8</v>
      </c>
      <c r="J11">
        <v>1</v>
      </c>
      <c r="N11" t="s">
        <v>18</v>
      </c>
      <c r="O11">
        <v>1</v>
      </c>
      <c r="T11">
        <v>43</v>
      </c>
      <c r="AA11" t="s">
        <v>1173</v>
      </c>
      <c r="AB11" t="s">
        <v>29</v>
      </c>
      <c r="AC11" s="5"/>
      <c r="AE11" s="7"/>
      <c r="AF11" s="7"/>
      <c r="AG11" t="s">
        <v>368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9" customHeight="1" x14ac:dyDescent="0.2">
      <c r="A12" s="9" t="s">
        <v>564</v>
      </c>
      <c r="B12" s="9">
        <v>1921</v>
      </c>
      <c r="C12" s="7">
        <v>2</v>
      </c>
      <c r="D12" s="7" t="s">
        <v>1155</v>
      </c>
      <c r="E12" s="7"/>
      <c r="G12" t="s">
        <v>1168</v>
      </c>
      <c r="H12" t="s">
        <v>323</v>
      </c>
      <c r="I12">
        <v>9</v>
      </c>
      <c r="J12">
        <v>1</v>
      </c>
      <c r="N12" t="s">
        <v>22</v>
      </c>
      <c r="P12">
        <v>1</v>
      </c>
      <c r="T12">
        <v>19</v>
      </c>
      <c r="AA12" t="s">
        <v>1175</v>
      </c>
      <c r="AB12" t="s">
        <v>1176</v>
      </c>
      <c r="AC12" s="5">
        <v>1</v>
      </c>
      <c r="AE12" s="7"/>
      <c r="AF12" s="7"/>
      <c r="AG12" t="s">
        <v>1174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9" t="s">
        <v>564</v>
      </c>
      <c r="B13" s="9">
        <v>1921</v>
      </c>
      <c r="C13" s="7">
        <v>1</v>
      </c>
      <c r="D13" s="7" t="s">
        <v>1155</v>
      </c>
      <c r="E13" s="7"/>
      <c r="H13">
        <v>3</v>
      </c>
      <c r="AC13" s="5"/>
      <c r="AE13" s="7"/>
      <c r="AF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9" customHeight="1" x14ac:dyDescent="0.2">
      <c r="A14" s="9" t="s">
        <v>564</v>
      </c>
      <c r="B14" s="9">
        <v>1921</v>
      </c>
      <c r="C14" s="7">
        <v>3</v>
      </c>
      <c r="D14" s="7" t="s">
        <v>1155</v>
      </c>
      <c r="E14" s="7"/>
      <c r="F14">
        <v>3</v>
      </c>
      <c r="G14" t="s">
        <v>371</v>
      </c>
      <c r="H14" t="s">
        <v>1177</v>
      </c>
      <c r="I14">
        <v>10</v>
      </c>
      <c r="J14" t="s">
        <v>13</v>
      </c>
      <c r="K14">
        <v>1</v>
      </c>
      <c r="N14">
        <v>1</v>
      </c>
      <c r="T14">
        <v>33</v>
      </c>
      <c r="AA14" t="s">
        <v>1178</v>
      </c>
      <c r="AC14" s="5">
        <v>1</v>
      </c>
      <c r="AD14">
        <v>1</v>
      </c>
      <c r="AE14" s="7"/>
      <c r="AF14" s="7">
        <v>1</v>
      </c>
      <c r="AG14" t="s">
        <v>49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9" customHeight="1" x14ac:dyDescent="0.2">
      <c r="A15" s="9" t="s">
        <v>564</v>
      </c>
      <c r="B15" s="9">
        <v>1921</v>
      </c>
      <c r="C15" s="7">
        <v>3</v>
      </c>
      <c r="D15" s="7" t="s">
        <v>1155</v>
      </c>
      <c r="E15" s="7"/>
      <c r="G15" t="s">
        <v>371</v>
      </c>
      <c r="H15" t="s">
        <v>1179</v>
      </c>
      <c r="I15">
        <v>11</v>
      </c>
      <c r="J15">
        <v>1</v>
      </c>
      <c r="N15" t="s">
        <v>18</v>
      </c>
      <c r="O15">
        <v>1</v>
      </c>
      <c r="T15">
        <v>26</v>
      </c>
      <c r="AA15" t="s">
        <v>50</v>
      </c>
      <c r="AC15" s="5"/>
      <c r="AD15" t="s">
        <v>20</v>
      </c>
      <c r="AE15" s="7"/>
      <c r="AF15" s="7"/>
      <c r="AG15" t="s">
        <v>1180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 t="s">
        <v>564</v>
      </c>
      <c r="B16" s="9">
        <v>1921</v>
      </c>
      <c r="C16" s="7"/>
      <c r="D16" s="7" t="s">
        <v>1155</v>
      </c>
      <c r="E16" s="7"/>
      <c r="H16">
        <v>2</v>
      </c>
      <c r="AC16" s="5"/>
      <c r="AE16" s="7"/>
      <c r="AF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9" customHeight="1" x14ac:dyDescent="0.2">
      <c r="A17" s="9" t="s">
        <v>564</v>
      </c>
      <c r="B17" s="9">
        <v>1921</v>
      </c>
      <c r="C17" s="7"/>
      <c r="D17" s="7" t="s">
        <v>1155</v>
      </c>
      <c r="E17" s="7"/>
      <c r="G17" t="s">
        <v>1</v>
      </c>
      <c r="H17" t="s">
        <v>0</v>
      </c>
      <c r="J17" t="s">
        <v>3</v>
      </c>
      <c r="N17" t="s">
        <v>2</v>
      </c>
      <c r="T17" t="s">
        <v>5</v>
      </c>
      <c r="AA17" t="s">
        <v>7</v>
      </c>
      <c r="AC17" s="5"/>
      <c r="AE17" s="7"/>
      <c r="AF17" s="7"/>
      <c r="AG17" t="s">
        <v>6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9" customHeight="1" x14ac:dyDescent="0.2">
      <c r="A18" s="9" t="s">
        <v>564</v>
      </c>
      <c r="B18" s="9">
        <v>1921</v>
      </c>
      <c r="C18" s="7">
        <v>4</v>
      </c>
      <c r="D18" s="7" t="s">
        <v>1155</v>
      </c>
      <c r="E18" s="7"/>
      <c r="F18">
        <v>4</v>
      </c>
      <c r="G18" t="s">
        <v>1182</v>
      </c>
      <c r="H18" t="s">
        <v>1181</v>
      </c>
      <c r="I18">
        <v>12</v>
      </c>
      <c r="J18" t="s">
        <v>13</v>
      </c>
      <c r="K18">
        <v>1</v>
      </c>
      <c r="N18">
        <v>1</v>
      </c>
      <c r="T18">
        <v>40</v>
      </c>
      <c r="AA18" t="s">
        <v>1184</v>
      </c>
      <c r="AB18" t="s">
        <v>1185</v>
      </c>
      <c r="AC18" s="5">
        <v>1</v>
      </c>
      <c r="AE18" s="7"/>
      <c r="AF18" s="7"/>
      <c r="AG18" t="s">
        <v>1183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9" customHeight="1" x14ac:dyDescent="0.2">
      <c r="A19" s="9" t="s">
        <v>564</v>
      </c>
      <c r="B19" s="9">
        <v>1921</v>
      </c>
      <c r="C19" s="7">
        <v>4</v>
      </c>
      <c r="D19" s="7" t="s">
        <v>1155</v>
      </c>
      <c r="E19" s="7"/>
      <c r="G19" t="s">
        <v>1182</v>
      </c>
      <c r="H19" t="s">
        <v>1186</v>
      </c>
      <c r="I19">
        <v>13</v>
      </c>
      <c r="J19">
        <v>1</v>
      </c>
      <c r="N19" t="s">
        <v>18</v>
      </c>
      <c r="O19">
        <v>1</v>
      </c>
      <c r="T19">
        <v>32</v>
      </c>
      <c r="AA19" t="s">
        <v>50</v>
      </c>
      <c r="AC19" s="5"/>
      <c r="AD19" t="s">
        <v>20</v>
      </c>
      <c r="AE19" s="7"/>
      <c r="AF19" s="7"/>
      <c r="AG19" t="s">
        <v>1187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9" customHeight="1" x14ac:dyDescent="0.2">
      <c r="A20" s="9" t="s">
        <v>564</v>
      </c>
      <c r="B20" s="9">
        <v>1921</v>
      </c>
      <c r="C20" s="7">
        <v>4</v>
      </c>
      <c r="D20" s="7" t="s">
        <v>1155</v>
      </c>
      <c r="E20" s="7"/>
      <c r="G20" t="s">
        <v>1182</v>
      </c>
      <c r="H20" t="s">
        <v>1188</v>
      </c>
      <c r="I20">
        <v>14</v>
      </c>
      <c r="L20">
        <v>1</v>
      </c>
      <c r="N20" t="s">
        <v>22</v>
      </c>
      <c r="P20">
        <v>1</v>
      </c>
      <c r="T20">
        <v>6</v>
      </c>
      <c r="AA20" t="s">
        <v>20</v>
      </c>
      <c r="AC20" s="5"/>
      <c r="AD20" t="s">
        <v>20</v>
      </c>
      <c r="AE20" s="7"/>
      <c r="AF20" s="7"/>
      <c r="AG20" t="s">
        <v>1189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9" customHeight="1" x14ac:dyDescent="0.2">
      <c r="A21" s="9" t="s">
        <v>564</v>
      </c>
      <c r="B21" s="9">
        <v>1921</v>
      </c>
      <c r="C21" s="7"/>
      <c r="D21" s="7" t="s">
        <v>1155</v>
      </c>
      <c r="E21" s="7"/>
      <c r="H21">
        <v>3</v>
      </c>
      <c r="AC21" s="5"/>
      <c r="AE21" s="7"/>
      <c r="AF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9" customHeight="1" x14ac:dyDescent="0.2">
      <c r="A22" s="9" t="s">
        <v>564</v>
      </c>
      <c r="B22" s="9">
        <v>1921</v>
      </c>
      <c r="C22" s="7"/>
      <c r="D22" s="7" t="s">
        <v>1155</v>
      </c>
      <c r="E22" s="7"/>
      <c r="G22" t="s">
        <v>1</v>
      </c>
      <c r="H22" t="s">
        <v>0</v>
      </c>
      <c r="J22" t="s">
        <v>3</v>
      </c>
      <c r="N22" t="s">
        <v>2</v>
      </c>
      <c r="T22" t="s">
        <v>5</v>
      </c>
      <c r="AA22" t="s">
        <v>7</v>
      </c>
      <c r="AC22" s="5"/>
      <c r="AE22" s="7"/>
      <c r="AF22" s="7"/>
      <c r="AG22" t="s">
        <v>6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9" customHeight="1" x14ac:dyDescent="0.2">
      <c r="A23" s="9" t="s">
        <v>564</v>
      </c>
      <c r="B23" s="9">
        <v>1921</v>
      </c>
      <c r="C23" s="7">
        <v>5</v>
      </c>
      <c r="D23" s="7" t="s">
        <v>1155</v>
      </c>
      <c r="E23" s="7"/>
      <c r="F23">
        <v>5</v>
      </c>
      <c r="G23" t="s">
        <v>1191</v>
      </c>
      <c r="H23" t="s">
        <v>1190</v>
      </c>
      <c r="I23">
        <v>15</v>
      </c>
      <c r="J23" t="s">
        <v>13</v>
      </c>
      <c r="K23">
        <v>1</v>
      </c>
      <c r="N23">
        <v>1</v>
      </c>
      <c r="T23">
        <v>56</v>
      </c>
      <c r="AA23" t="s">
        <v>1192</v>
      </c>
      <c r="AB23" t="s">
        <v>1193</v>
      </c>
      <c r="AC23" s="5">
        <v>1</v>
      </c>
      <c r="AE23" s="7"/>
      <c r="AF23" s="7">
        <v>1</v>
      </c>
      <c r="AG23" t="s">
        <v>49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9" customHeight="1" x14ac:dyDescent="0.2">
      <c r="A24" s="9" t="s">
        <v>564</v>
      </c>
      <c r="B24" s="9">
        <v>1921</v>
      </c>
      <c r="C24" s="7">
        <v>5</v>
      </c>
      <c r="D24" s="7" t="s">
        <v>1155</v>
      </c>
      <c r="E24" s="7"/>
      <c r="G24" t="s">
        <v>1191</v>
      </c>
      <c r="H24" t="s">
        <v>1194</v>
      </c>
      <c r="I24">
        <v>16</v>
      </c>
      <c r="J24">
        <v>1</v>
      </c>
      <c r="N24" t="s">
        <v>18</v>
      </c>
      <c r="O24">
        <v>1</v>
      </c>
      <c r="T24">
        <v>52</v>
      </c>
      <c r="AA24" t="s">
        <v>47</v>
      </c>
      <c r="AB24" t="s">
        <v>20</v>
      </c>
      <c r="AC24" s="5"/>
      <c r="AE24" s="7"/>
      <c r="AF24" s="7"/>
      <c r="AG24" t="s">
        <v>149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9" customHeight="1" x14ac:dyDescent="0.2">
      <c r="A25" s="9" t="s">
        <v>564</v>
      </c>
      <c r="B25" s="9">
        <v>1921</v>
      </c>
      <c r="C25" s="7">
        <v>5</v>
      </c>
      <c r="D25" s="7" t="s">
        <v>1155</v>
      </c>
      <c r="E25" s="7"/>
      <c r="G25" t="s">
        <v>1196</v>
      </c>
      <c r="H25" t="s">
        <v>1195</v>
      </c>
      <c r="I25">
        <v>17</v>
      </c>
      <c r="J25">
        <v>1</v>
      </c>
      <c r="N25" t="s">
        <v>26</v>
      </c>
      <c r="S25">
        <v>1</v>
      </c>
      <c r="T25">
        <v>39</v>
      </c>
      <c r="AA25" t="s">
        <v>33</v>
      </c>
      <c r="AB25" t="s">
        <v>1198</v>
      </c>
      <c r="AC25" s="5">
        <v>1</v>
      </c>
      <c r="AE25" s="7"/>
      <c r="AF25" s="7"/>
      <c r="AG25" t="s">
        <v>1197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9" customHeight="1" x14ac:dyDescent="0.2">
      <c r="A26" s="9" t="s">
        <v>564</v>
      </c>
      <c r="B26" s="9">
        <v>1921</v>
      </c>
      <c r="C26" s="7">
        <v>5</v>
      </c>
      <c r="D26" s="7" t="s">
        <v>1155</v>
      </c>
      <c r="E26" s="7"/>
      <c r="G26" t="s">
        <v>1196</v>
      </c>
      <c r="H26" t="s">
        <v>1186</v>
      </c>
      <c r="I26">
        <v>18</v>
      </c>
      <c r="J26">
        <v>1</v>
      </c>
      <c r="N26" t="s">
        <v>26</v>
      </c>
      <c r="S26">
        <v>1</v>
      </c>
      <c r="T26">
        <v>18</v>
      </c>
      <c r="AA26" t="s">
        <v>28</v>
      </c>
      <c r="AB26" t="s">
        <v>1198</v>
      </c>
      <c r="AC26" s="5">
        <v>1</v>
      </c>
      <c r="AE26" s="7"/>
      <c r="AF26" s="7"/>
      <c r="AG26" t="s">
        <v>1199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9" customHeight="1" x14ac:dyDescent="0.2">
      <c r="A27" s="9" t="s">
        <v>564</v>
      </c>
      <c r="B27" s="9">
        <v>1921</v>
      </c>
      <c r="C27" s="7"/>
      <c r="D27" s="7" t="s">
        <v>1155</v>
      </c>
      <c r="E27" s="7"/>
      <c r="H27">
        <v>4</v>
      </c>
      <c r="AC27" s="5"/>
      <c r="AE27" s="7"/>
      <c r="AF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9" customHeight="1" x14ac:dyDescent="0.2">
      <c r="A28" s="9" t="s">
        <v>564</v>
      </c>
      <c r="B28" s="9">
        <v>1921</v>
      </c>
      <c r="C28" s="7"/>
      <c r="D28" s="7" t="s">
        <v>1155</v>
      </c>
      <c r="E28" s="7"/>
      <c r="G28" t="s">
        <v>1</v>
      </c>
      <c r="H28" t="s">
        <v>0</v>
      </c>
      <c r="J28" t="s">
        <v>3</v>
      </c>
      <c r="N28" t="s">
        <v>2</v>
      </c>
      <c r="T28" t="s">
        <v>5</v>
      </c>
      <c r="AA28" t="s">
        <v>7</v>
      </c>
      <c r="AC28" s="5"/>
      <c r="AE28" s="7"/>
      <c r="AF28" s="7"/>
      <c r="AG28" t="s">
        <v>6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9" customHeight="1" x14ac:dyDescent="0.2">
      <c r="A29" s="9" t="s">
        <v>564</v>
      </c>
      <c r="B29" s="9">
        <v>1921</v>
      </c>
      <c r="C29" s="7">
        <v>6</v>
      </c>
      <c r="D29" s="7" t="s">
        <v>1155</v>
      </c>
      <c r="E29" s="7"/>
      <c r="F29">
        <v>6</v>
      </c>
      <c r="G29" t="s">
        <v>1201</v>
      </c>
      <c r="H29" t="s">
        <v>1200</v>
      </c>
      <c r="I29">
        <v>19</v>
      </c>
      <c r="J29" t="s">
        <v>13</v>
      </c>
      <c r="K29">
        <v>1</v>
      </c>
      <c r="N29">
        <v>1</v>
      </c>
      <c r="T29">
        <v>33</v>
      </c>
      <c r="AA29" t="s">
        <v>1203</v>
      </c>
      <c r="AB29" t="s">
        <v>1204</v>
      </c>
      <c r="AC29" s="5">
        <v>1</v>
      </c>
      <c r="AE29" s="7"/>
      <c r="AF29" s="7"/>
      <c r="AG29" t="s">
        <v>1202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9" customHeight="1" x14ac:dyDescent="0.2">
      <c r="A30" s="9" t="s">
        <v>564</v>
      </c>
      <c r="B30" s="9">
        <v>1921</v>
      </c>
      <c r="C30" s="7">
        <v>6</v>
      </c>
      <c r="D30" s="7" t="s">
        <v>1155</v>
      </c>
      <c r="E30" s="7"/>
      <c r="G30" t="s">
        <v>1201</v>
      </c>
      <c r="H30" t="s">
        <v>422</v>
      </c>
      <c r="I30">
        <v>20</v>
      </c>
      <c r="J30">
        <v>1</v>
      </c>
      <c r="N30" t="s">
        <v>18</v>
      </c>
      <c r="O30">
        <v>1</v>
      </c>
      <c r="T30">
        <v>34</v>
      </c>
      <c r="AA30" t="s">
        <v>50</v>
      </c>
      <c r="AC30" s="5"/>
      <c r="AD30" t="s">
        <v>20</v>
      </c>
      <c r="AE30" s="7"/>
      <c r="AF30" s="7"/>
      <c r="AG30" t="s">
        <v>1205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9" customHeight="1" x14ac:dyDescent="0.2">
      <c r="A31" s="9" t="s">
        <v>564</v>
      </c>
      <c r="B31" s="9">
        <v>1921</v>
      </c>
      <c r="C31" s="7">
        <v>6</v>
      </c>
      <c r="D31" s="7" t="s">
        <v>1155</v>
      </c>
      <c r="E31" s="7"/>
      <c r="G31" t="s">
        <v>1201</v>
      </c>
      <c r="H31" t="s">
        <v>1206</v>
      </c>
      <c r="I31">
        <v>21</v>
      </c>
      <c r="J31" t="s">
        <v>13</v>
      </c>
      <c r="K31">
        <v>1</v>
      </c>
      <c r="N31" t="s">
        <v>51</v>
      </c>
      <c r="Q31">
        <v>1</v>
      </c>
      <c r="T31" t="s">
        <v>20</v>
      </c>
      <c r="AA31" t="s">
        <v>20</v>
      </c>
      <c r="AC31" s="5"/>
      <c r="AD31" t="s">
        <v>20</v>
      </c>
      <c r="AE31" s="7"/>
      <c r="AF31" s="7"/>
      <c r="AG31" t="s">
        <v>1205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9" customHeight="1" x14ac:dyDescent="0.2">
      <c r="A32" s="9" t="s">
        <v>564</v>
      </c>
      <c r="B32" s="9">
        <v>1921</v>
      </c>
      <c r="C32" s="7">
        <v>6</v>
      </c>
      <c r="D32" s="7" t="s">
        <v>1155</v>
      </c>
      <c r="E32" s="7"/>
      <c r="G32" t="s">
        <v>1201</v>
      </c>
      <c r="H32" t="s">
        <v>1207</v>
      </c>
      <c r="I32">
        <v>22</v>
      </c>
      <c r="J32" t="s">
        <v>13</v>
      </c>
      <c r="K32">
        <v>1</v>
      </c>
      <c r="N32" t="s">
        <v>1208</v>
      </c>
      <c r="R32">
        <v>1</v>
      </c>
      <c r="T32">
        <v>16</v>
      </c>
      <c r="AA32" t="s">
        <v>1210</v>
      </c>
      <c r="AC32" s="5">
        <v>1</v>
      </c>
      <c r="AD32" t="s">
        <v>20</v>
      </c>
      <c r="AE32" s="7"/>
      <c r="AF32" s="7"/>
      <c r="AG32" t="s">
        <v>1209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9" customHeight="1" x14ac:dyDescent="0.2">
      <c r="A33" s="9" t="s">
        <v>564</v>
      </c>
      <c r="B33" s="9">
        <v>1921</v>
      </c>
      <c r="C33" s="7"/>
      <c r="D33" s="7" t="s">
        <v>1155</v>
      </c>
      <c r="E33" s="7"/>
      <c r="H33">
        <v>4</v>
      </c>
      <c r="AC33" s="5"/>
      <c r="AE33" s="7"/>
      <c r="AF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9" customHeight="1" x14ac:dyDescent="0.2">
      <c r="A34" s="9" t="s">
        <v>564</v>
      </c>
      <c r="B34" s="9">
        <v>1921</v>
      </c>
      <c r="C34" s="7"/>
      <c r="D34" s="7" t="s">
        <v>1155</v>
      </c>
      <c r="E34" s="7"/>
      <c r="G34" t="s">
        <v>1</v>
      </c>
      <c r="H34" t="s">
        <v>0</v>
      </c>
      <c r="J34" t="s">
        <v>3</v>
      </c>
      <c r="N34" t="s">
        <v>2</v>
      </c>
      <c r="T34" t="s">
        <v>5</v>
      </c>
      <c r="AA34" t="s">
        <v>7</v>
      </c>
      <c r="AC34" s="5"/>
      <c r="AD34" t="s">
        <v>8</v>
      </c>
      <c r="AE34" s="7"/>
      <c r="AF34" s="7"/>
      <c r="AG34" t="s">
        <v>6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9" customHeight="1" x14ac:dyDescent="0.2">
      <c r="A35" s="9" t="s">
        <v>564</v>
      </c>
      <c r="B35" s="9">
        <v>1921</v>
      </c>
      <c r="C35" s="7">
        <v>7</v>
      </c>
      <c r="D35" s="7" t="s">
        <v>1155</v>
      </c>
      <c r="E35" s="7"/>
      <c r="F35">
        <v>7</v>
      </c>
      <c r="G35" t="s">
        <v>1212</v>
      </c>
      <c r="H35" t="s">
        <v>1211</v>
      </c>
      <c r="I35">
        <v>23</v>
      </c>
      <c r="J35" t="s">
        <v>13</v>
      </c>
      <c r="K35">
        <v>1</v>
      </c>
      <c r="N35">
        <v>1</v>
      </c>
      <c r="T35">
        <v>58</v>
      </c>
      <c r="AA35" t="s">
        <v>1213</v>
      </c>
      <c r="AC35" s="5">
        <v>1</v>
      </c>
      <c r="AD35">
        <v>1</v>
      </c>
      <c r="AE35" s="7"/>
      <c r="AF35" s="7">
        <v>1</v>
      </c>
      <c r="AG35" t="s">
        <v>49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9" customHeight="1" x14ac:dyDescent="0.2">
      <c r="A36" s="9" t="s">
        <v>564</v>
      </c>
      <c r="B36" s="9">
        <v>1921</v>
      </c>
      <c r="C36" s="7">
        <v>7</v>
      </c>
      <c r="D36" s="7" t="s">
        <v>1155</v>
      </c>
      <c r="E36" s="7"/>
      <c r="G36" t="s">
        <v>1212</v>
      </c>
      <c r="H36" t="s">
        <v>170</v>
      </c>
      <c r="I36">
        <v>24</v>
      </c>
      <c r="J36">
        <v>1</v>
      </c>
      <c r="N36" t="s">
        <v>18</v>
      </c>
      <c r="O36">
        <v>1</v>
      </c>
      <c r="T36">
        <v>64</v>
      </c>
      <c r="AA36" t="s">
        <v>50</v>
      </c>
      <c r="AC36" s="5"/>
      <c r="AD36" t="s">
        <v>20</v>
      </c>
      <c r="AE36" s="7"/>
      <c r="AF36" s="7">
        <v>1</v>
      </c>
      <c r="AG36" t="s">
        <v>49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9" customHeight="1" x14ac:dyDescent="0.2">
      <c r="A37" s="9" t="s">
        <v>564</v>
      </c>
      <c r="B37" s="9">
        <v>1921</v>
      </c>
      <c r="C37" s="7">
        <v>7</v>
      </c>
      <c r="D37" s="7" t="s">
        <v>1155</v>
      </c>
      <c r="E37" s="7"/>
      <c r="G37" t="s">
        <v>1214</v>
      </c>
      <c r="H37" t="s">
        <v>170</v>
      </c>
      <c r="I37">
        <v>25</v>
      </c>
      <c r="J37">
        <v>1</v>
      </c>
      <c r="N37" t="s">
        <v>26</v>
      </c>
      <c r="S37">
        <v>1</v>
      </c>
      <c r="T37">
        <v>47</v>
      </c>
      <c r="AA37" t="s">
        <v>344</v>
      </c>
      <c r="AC37" s="5">
        <v>1</v>
      </c>
      <c r="AD37" t="s">
        <v>29</v>
      </c>
      <c r="AE37" s="7"/>
      <c r="AF37" s="7"/>
      <c r="AG37" t="s">
        <v>452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9" customHeight="1" x14ac:dyDescent="0.2">
      <c r="A38" s="9" t="s">
        <v>564</v>
      </c>
      <c r="B38" s="9">
        <v>1921</v>
      </c>
      <c r="C38" s="7">
        <v>7</v>
      </c>
      <c r="D38" s="7" t="s">
        <v>1155</v>
      </c>
      <c r="E38" s="7"/>
      <c r="G38" t="s">
        <v>1215</v>
      </c>
      <c r="H38" t="s">
        <v>937</v>
      </c>
      <c r="I38">
        <v>26</v>
      </c>
      <c r="J38">
        <v>1</v>
      </c>
      <c r="N38" t="s">
        <v>26</v>
      </c>
      <c r="S38">
        <v>1</v>
      </c>
      <c r="T38">
        <v>33</v>
      </c>
      <c r="AA38" t="s">
        <v>344</v>
      </c>
      <c r="AC38" s="5">
        <v>1</v>
      </c>
      <c r="AD38" t="s">
        <v>29</v>
      </c>
      <c r="AE38" s="7"/>
      <c r="AF38" s="7"/>
      <c r="AG38" t="s">
        <v>1216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9" customHeight="1" x14ac:dyDescent="0.2">
      <c r="A39" s="9" t="s">
        <v>564</v>
      </c>
      <c r="B39" s="9">
        <v>1921</v>
      </c>
      <c r="C39" s="7"/>
      <c r="D39" s="7" t="s">
        <v>1155</v>
      </c>
      <c r="E39" s="7"/>
      <c r="H39">
        <v>4</v>
      </c>
      <c r="AC39" s="5"/>
      <c r="AE39" s="7"/>
      <c r="AF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9" customHeight="1" x14ac:dyDescent="0.2">
      <c r="A40" s="9" t="s">
        <v>564</v>
      </c>
      <c r="B40" s="9">
        <v>1921</v>
      </c>
      <c r="C40" s="7"/>
      <c r="D40" s="7" t="s">
        <v>1155</v>
      </c>
      <c r="E40" s="7"/>
      <c r="G40" t="s">
        <v>1</v>
      </c>
      <c r="H40" t="s">
        <v>0</v>
      </c>
      <c r="J40" t="s">
        <v>3</v>
      </c>
      <c r="N40" t="s">
        <v>2</v>
      </c>
      <c r="T40" t="s">
        <v>5</v>
      </c>
      <c r="AA40" t="s">
        <v>7</v>
      </c>
      <c r="AC40" s="5"/>
      <c r="AD40" t="s">
        <v>8</v>
      </c>
      <c r="AE40" s="7"/>
      <c r="AF40" s="7"/>
      <c r="AG40" t="s">
        <v>6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9" customHeight="1" x14ac:dyDescent="0.2">
      <c r="A41" s="9" t="s">
        <v>564</v>
      </c>
      <c r="B41" s="9">
        <v>1921</v>
      </c>
      <c r="C41" s="7">
        <v>8</v>
      </c>
      <c r="D41" s="7" t="s">
        <v>1155</v>
      </c>
      <c r="E41" s="7"/>
      <c r="F41">
        <v>8</v>
      </c>
      <c r="G41" t="s">
        <v>1218</v>
      </c>
      <c r="H41" t="s">
        <v>1217</v>
      </c>
      <c r="I41">
        <v>27</v>
      </c>
      <c r="J41" t="s">
        <v>13</v>
      </c>
      <c r="K41">
        <v>1</v>
      </c>
      <c r="N41">
        <v>1</v>
      </c>
      <c r="T41">
        <v>65</v>
      </c>
      <c r="AA41" t="s">
        <v>942</v>
      </c>
      <c r="AB41" t="s">
        <v>1219</v>
      </c>
      <c r="AC41" s="5">
        <v>1</v>
      </c>
      <c r="AE41" s="7"/>
      <c r="AF41" s="7"/>
      <c r="AG41" t="s">
        <v>438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9" customHeight="1" x14ac:dyDescent="0.2">
      <c r="A42" s="9" t="s">
        <v>564</v>
      </c>
      <c r="B42" s="9">
        <v>1921</v>
      </c>
      <c r="C42" s="7">
        <v>8</v>
      </c>
      <c r="D42" s="7" t="s">
        <v>1155</v>
      </c>
      <c r="E42" s="7"/>
      <c r="G42" t="s">
        <v>1218</v>
      </c>
      <c r="H42" t="s">
        <v>1220</v>
      </c>
      <c r="I42">
        <v>28</v>
      </c>
      <c r="J42">
        <v>1</v>
      </c>
      <c r="N42" t="s">
        <v>18</v>
      </c>
      <c r="O42">
        <v>1</v>
      </c>
      <c r="T42">
        <v>66</v>
      </c>
      <c r="AA42" t="s">
        <v>50</v>
      </c>
      <c r="AB42" t="s">
        <v>20</v>
      </c>
      <c r="AC42" s="5"/>
      <c r="AE42" s="7"/>
      <c r="AF42" s="7"/>
      <c r="AG42" t="s">
        <v>739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9" customHeight="1" x14ac:dyDescent="0.2">
      <c r="A43" s="9" t="s">
        <v>564</v>
      </c>
      <c r="B43" s="9">
        <v>1921</v>
      </c>
      <c r="C43" s="7">
        <v>8</v>
      </c>
      <c r="D43" s="7" t="s">
        <v>1155</v>
      </c>
      <c r="E43" s="7"/>
      <c r="G43" t="s">
        <v>1222</v>
      </c>
      <c r="H43" t="s">
        <v>1221</v>
      </c>
      <c r="I43">
        <v>29</v>
      </c>
      <c r="J43">
        <v>1</v>
      </c>
      <c r="N43" t="s">
        <v>60</v>
      </c>
      <c r="R43">
        <v>1</v>
      </c>
      <c r="T43">
        <v>29</v>
      </c>
      <c r="AA43" t="s">
        <v>1224</v>
      </c>
      <c r="AB43" t="s">
        <v>1225</v>
      </c>
      <c r="AC43" s="5">
        <v>1</v>
      </c>
      <c r="AE43" s="7"/>
      <c r="AF43" s="7"/>
      <c r="AG43" t="s">
        <v>1223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9" customHeight="1" x14ac:dyDescent="0.2">
      <c r="A44" s="9" t="s">
        <v>564</v>
      </c>
      <c r="B44" s="9">
        <v>1921</v>
      </c>
      <c r="C44" s="7"/>
      <c r="D44" s="7" t="s">
        <v>1155</v>
      </c>
      <c r="E44" s="7"/>
      <c r="H44">
        <v>3</v>
      </c>
      <c r="AC44" s="5"/>
      <c r="AE44" s="7"/>
      <c r="AF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9" customHeight="1" x14ac:dyDescent="0.2">
      <c r="A45" s="9" t="s">
        <v>564</v>
      </c>
      <c r="B45" s="9">
        <v>1921</v>
      </c>
      <c r="C45" s="7"/>
      <c r="D45" s="7" t="s">
        <v>1155</v>
      </c>
      <c r="E45" s="7"/>
      <c r="G45" t="s">
        <v>1</v>
      </c>
      <c r="H45" t="s">
        <v>0</v>
      </c>
      <c r="J45" t="s">
        <v>3</v>
      </c>
      <c r="N45" t="s">
        <v>2</v>
      </c>
      <c r="T45" t="s">
        <v>5</v>
      </c>
      <c r="AA45" t="s">
        <v>7</v>
      </c>
      <c r="AC45" s="5"/>
      <c r="AD45" t="s">
        <v>8</v>
      </c>
      <c r="AE45" s="7"/>
      <c r="AF45" s="7"/>
      <c r="AG45" t="s">
        <v>6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9" customHeight="1" x14ac:dyDescent="0.2">
      <c r="A46" s="9" t="s">
        <v>564</v>
      </c>
      <c r="B46" s="9">
        <v>1921</v>
      </c>
      <c r="C46" s="7">
        <v>9</v>
      </c>
      <c r="D46" s="7" t="s">
        <v>1155</v>
      </c>
      <c r="E46" s="7"/>
      <c r="F46">
        <v>9</v>
      </c>
      <c r="G46" t="s">
        <v>1227</v>
      </c>
      <c r="H46" t="s">
        <v>1226</v>
      </c>
      <c r="I46">
        <v>30</v>
      </c>
      <c r="J46" t="s">
        <v>13</v>
      </c>
      <c r="K46">
        <v>1</v>
      </c>
      <c r="N46">
        <v>1</v>
      </c>
      <c r="T46">
        <v>31</v>
      </c>
      <c r="AA46" t="s">
        <v>1228</v>
      </c>
      <c r="AB46" t="s">
        <v>1229</v>
      </c>
      <c r="AC46" s="5">
        <v>1</v>
      </c>
      <c r="AE46" s="7"/>
      <c r="AF46" s="7">
        <v>1</v>
      </c>
      <c r="AG46" t="s">
        <v>49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9" customHeight="1" x14ac:dyDescent="0.2">
      <c r="A47" s="9" t="s">
        <v>564</v>
      </c>
      <c r="B47" s="9">
        <v>1921</v>
      </c>
      <c r="C47" s="7">
        <v>9</v>
      </c>
      <c r="D47" s="7" t="s">
        <v>1155</v>
      </c>
      <c r="E47" s="7"/>
      <c r="G47" t="s">
        <v>1227</v>
      </c>
      <c r="H47" t="s">
        <v>1230</v>
      </c>
      <c r="I47">
        <v>31</v>
      </c>
      <c r="J47">
        <v>1</v>
      </c>
      <c r="N47" t="s">
        <v>18</v>
      </c>
      <c r="O47">
        <v>1</v>
      </c>
      <c r="T47">
        <v>30</v>
      </c>
      <c r="AA47" t="s">
        <v>50</v>
      </c>
      <c r="AB47" t="s">
        <v>20</v>
      </c>
      <c r="AC47" s="5"/>
      <c r="AE47" s="7"/>
      <c r="AF47" s="7"/>
      <c r="AG47" t="s">
        <v>791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9" customHeight="1" x14ac:dyDescent="0.2">
      <c r="A48" s="9" t="s">
        <v>564</v>
      </c>
      <c r="B48" s="9">
        <v>1921</v>
      </c>
      <c r="C48" s="7">
        <v>9</v>
      </c>
      <c r="D48" s="7" t="s">
        <v>1155</v>
      </c>
      <c r="E48" s="7"/>
      <c r="G48" t="s">
        <v>1227</v>
      </c>
      <c r="H48" t="s">
        <v>1231</v>
      </c>
      <c r="I48">
        <v>32</v>
      </c>
      <c r="J48" t="s">
        <v>13</v>
      </c>
      <c r="K48">
        <v>1</v>
      </c>
      <c r="M48">
        <v>1</v>
      </c>
      <c r="N48" t="s">
        <v>51</v>
      </c>
      <c r="Q48">
        <v>1</v>
      </c>
      <c r="T48">
        <v>1</v>
      </c>
      <c r="AA48" t="s">
        <v>20</v>
      </c>
      <c r="AB48" t="s">
        <v>20</v>
      </c>
      <c r="AC48" s="5"/>
      <c r="AE48" s="7"/>
      <c r="AF48" s="7">
        <v>1</v>
      </c>
      <c r="AG48" t="s">
        <v>49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9" customHeight="1" x14ac:dyDescent="0.2">
      <c r="A49" s="9" t="s">
        <v>564</v>
      </c>
      <c r="B49" s="9">
        <v>1921</v>
      </c>
      <c r="C49" s="7">
        <v>9</v>
      </c>
      <c r="D49" s="7" t="s">
        <v>1155</v>
      </c>
      <c r="E49" s="7"/>
      <c r="G49" t="s">
        <v>1233</v>
      </c>
      <c r="H49" t="s">
        <v>1232</v>
      </c>
      <c r="I49">
        <v>33</v>
      </c>
      <c r="J49" t="s">
        <v>13</v>
      </c>
      <c r="K49">
        <v>1</v>
      </c>
      <c r="N49" t="s">
        <v>1234</v>
      </c>
      <c r="R49">
        <v>1</v>
      </c>
      <c r="T49">
        <v>73</v>
      </c>
      <c r="AA49" t="s">
        <v>1236</v>
      </c>
      <c r="AB49" t="s">
        <v>1237</v>
      </c>
      <c r="AC49" s="5">
        <v>1</v>
      </c>
      <c r="AE49" s="7"/>
      <c r="AF49" s="7"/>
      <c r="AG49" t="s">
        <v>1235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9" customHeight="1" x14ac:dyDescent="0.2">
      <c r="A50" s="9" t="s">
        <v>564</v>
      </c>
      <c r="B50" s="9">
        <v>1921</v>
      </c>
      <c r="C50" s="7">
        <v>9</v>
      </c>
      <c r="D50" s="7" t="s">
        <v>1155</v>
      </c>
      <c r="E50" s="7"/>
      <c r="G50" t="s">
        <v>1233</v>
      </c>
      <c r="H50" t="s">
        <v>135</v>
      </c>
      <c r="I50">
        <v>34</v>
      </c>
      <c r="J50">
        <v>1</v>
      </c>
      <c r="N50" t="s">
        <v>1238</v>
      </c>
      <c r="R50">
        <v>1</v>
      </c>
      <c r="T50">
        <v>73</v>
      </c>
      <c r="AA50" t="s">
        <v>47</v>
      </c>
      <c r="AC50" s="5"/>
      <c r="AD50" t="s">
        <v>20</v>
      </c>
      <c r="AE50" s="7"/>
      <c r="AF50" s="7"/>
      <c r="AG50" t="s">
        <v>791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9" customHeight="1" x14ac:dyDescent="0.2">
      <c r="A51" s="9" t="s">
        <v>564</v>
      </c>
      <c r="B51" s="9">
        <v>1921</v>
      </c>
      <c r="C51" s="7">
        <v>9</v>
      </c>
      <c r="D51" s="7" t="s">
        <v>1155</v>
      </c>
      <c r="E51" s="7"/>
      <c r="G51" t="s">
        <v>1240</v>
      </c>
      <c r="H51" t="s">
        <v>1239</v>
      </c>
      <c r="I51">
        <v>35</v>
      </c>
      <c r="J51">
        <v>1</v>
      </c>
      <c r="N51" t="s">
        <v>1241</v>
      </c>
      <c r="R51">
        <v>1</v>
      </c>
      <c r="T51">
        <v>37</v>
      </c>
      <c r="AA51" t="s">
        <v>1241</v>
      </c>
      <c r="AC51" s="5"/>
      <c r="AD51" t="s">
        <v>20</v>
      </c>
      <c r="AE51" s="7"/>
      <c r="AF51" s="7"/>
      <c r="AG51" t="s">
        <v>368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9" customHeight="1" x14ac:dyDescent="0.2">
      <c r="A52" s="9" t="s">
        <v>564</v>
      </c>
      <c r="B52" s="9">
        <v>1921</v>
      </c>
      <c r="C52" s="7">
        <v>9</v>
      </c>
      <c r="D52" s="7" t="s">
        <v>1155</v>
      </c>
      <c r="E52" s="7"/>
      <c r="G52" t="s">
        <v>1242</v>
      </c>
      <c r="H52" t="s">
        <v>339</v>
      </c>
      <c r="I52">
        <v>36</v>
      </c>
      <c r="J52">
        <v>1</v>
      </c>
      <c r="N52" t="s">
        <v>26</v>
      </c>
      <c r="S52">
        <v>1</v>
      </c>
      <c r="T52">
        <v>19</v>
      </c>
      <c r="AA52" t="s">
        <v>344</v>
      </c>
      <c r="AC52" s="5">
        <v>1</v>
      </c>
      <c r="AD52" t="s">
        <v>29</v>
      </c>
      <c r="AE52" s="7"/>
      <c r="AF52" s="7"/>
      <c r="AG52" t="s">
        <v>1243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9" customHeight="1" x14ac:dyDescent="0.2">
      <c r="A53" s="9" t="s">
        <v>564</v>
      </c>
      <c r="B53" s="9">
        <v>1921</v>
      </c>
      <c r="C53" s="7"/>
      <c r="D53" s="7" t="s">
        <v>1155</v>
      </c>
      <c r="E53" s="7"/>
      <c r="H53">
        <v>7</v>
      </c>
      <c r="AC53" s="5"/>
      <c r="AE53" s="7"/>
      <c r="AF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9" customHeight="1" x14ac:dyDescent="0.2">
      <c r="A54" s="9" t="s">
        <v>564</v>
      </c>
      <c r="B54" s="9">
        <v>1921</v>
      </c>
      <c r="C54" s="7"/>
      <c r="D54" s="7" t="s">
        <v>1155</v>
      </c>
      <c r="E54" s="7"/>
      <c r="G54" t="s">
        <v>1</v>
      </c>
      <c r="H54" t="s">
        <v>0</v>
      </c>
      <c r="J54" t="s">
        <v>3</v>
      </c>
      <c r="N54" t="s">
        <v>2</v>
      </c>
      <c r="T54" t="s">
        <v>5</v>
      </c>
      <c r="AA54" t="s">
        <v>7</v>
      </c>
      <c r="AC54" s="5"/>
      <c r="AD54" t="s">
        <v>8</v>
      </c>
      <c r="AE54" s="7"/>
      <c r="AF54" s="7"/>
      <c r="AG54" t="s">
        <v>6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9" customHeight="1" x14ac:dyDescent="0.2">
      <c r="A55" s="9" t="s">
        <v>564</v>
      </c>
      <c r="B55" s="9">
        <v>1921</v>
      </c>
      <c r="C55" s="7">
        <v>10</v>
      </c>
      <c r="D55" s="7" t="s">
        <v>1155</v>
      </c>
      <c r="E55" s="7"/>
      <c r="F55">
        <v>10</v>
      </c>
      <c r="G55" t="s">
        <v>1244</v>
      </c>
      <c r="H55" t="s">
        <v>386</v>
      </c>
      <c r="I55">
        <v>37</v>
      </c>
      <c r="J55" t="s">
        <v>13</v>
      </c>
      <c r="K55">
        <v>1</v>
      </c>
      <c r="N55">
        <v>1</v>
      </c>
      <c r="T55">
        <v>80</v>
      </c>
      <c r="AA55" t="s">
        <v>1246</v>
      </c>
      <c r="AB55" t="s">
        <v>1247</v>
      </c>
      <c r="AC55" s="5">
        <v>1</v>
      </c>
      <c r="AE55" s="7"/>
      <c r="AF55" s="7">
        <v>1</v>
      </c>
      <c r="AG55" t="s">
        <v>1245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9" customHeight="1" x14ac:dyDescent="0.2">
      <c r="A56" s="9" t="s">
        <v>564</v>
      </c>
      <c r="B56" s="9">
        <v>1921</v>
      </c>
      <c r="C56" s="7">
        <v>10</v>
      </c>
      <c r="D56" s="7" t="s">
        <v>1155</v>
      </c>
      <c r="E56" s="7"/>
      <c r="G56" t="s">
        <v>1244</v>
      </c>
      <c r="H56" t="s">
        <v>704</v>
      </c>
      <c r="I56">
        <v>38</v>
      </c>
      <c r="J56">
        <v>1</v>
      </c>
      <c r="N56" t="s">
        <v>22</v>
      </c>
      <c r="P56">
        <v>1</v>
      </c>
      <c r="T56">
        <v>45</v>
      </c>
      <c r="AA56" t="s">
        <v>407</v>
      </c>
      <c r="AC56" s="5">
        <v>1</v>
      </c>
      <c r="AD56" t="s">
        <v>20</v>
      </c>
      <c r="AE56" s="7"/>
      <c r="AF56" s="7">
        <v>1</v>
      </c>
      <c r="AG56" t="s">
        <v>901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9" customHeight="1" x14ac:dyDescent="0.2">
      <c r="A57" s="9" t="s">
        <v>564</v>
      </c>
      <c r="B57" s="9">
        <v>1921</v>
      </c>
      <c r="C57" s="7">
        <v>10</v>
      </c>
      <c r="D57" s="7" t="s">
        <v>1155</v>
      </c>
      <c r="E57" s="7"/>
      <c r="G57" t="s">
        <v>1244</v>
      </c>
      <c r="H57" t="s">
        <v>24</v>
      </c>
      <c r="I57">
        <v>39</v>
      </c>
      <c r="J57">
        <v>1</v>
      </c>
      <c r="N57" t="s">
        <v>22</v>
      </c>
      <c r="P57">
        <v>1</v>
      </c>
      <c r="T57">
        <v>43</v>
      </c>
      <c r="AA57" t="s">
        <v>1248</v>
      </c>
      <c r="AB57" t="s">
        <v>1249</v>
      </c>
      <c r="AC57" s="5">
        <v>1</v>
      </c>
      <c r="AE57" s="7"/>
      <c r="AF57" s="7">
        <v>1</v>
      </c>
      <c r="AG57" t="s">
        <v>901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9" customHeight="1" x14ac:dyDescent="0.2">
      <c r="A58" s="9" t="s">
        <v>564</v>
      </c>
      <c r="B58" s="9">
        <v>1921</v>
      </c>
      <c r="C58" s="7"/>
      <c r="D58" s="7" t="s">
        <v>1155</v>
      </c>
      <c r="E58" s="7"/>
      <c r="H58">
        <v>3</v>
      </c>
      <c r="AC58" s="5"/>
      <c r="AE58" s="7"/>
      <c r="AF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9" customHeight="1" x14ac:dyDescent="0.2">
      <c r="A59" s="9" t="s">
        <v>564</v>
      </c>
      <c r="B59" s="9">
        <v>1921</v>
      </c>
      <c r="C59" s="7"/>
      <c r="D59" s="7" t="s">
        <v>1155</v>
      </c>
      <c r="E59" s="7"/>
      <c r="G59" t="s">
        <v>1</v>
      </c>
      <c r="H59" t="s">
        <v>0</v>
      </c>
      <c r="J59" t="s">
        <v>3</v>
      </c>
      <c r="N59" t="s">
        <v>2</v>
      </c>
      <c r="T59" t="s">
        <v>5</v>
      </c>
      <c r="AA59" t="s">
        <v>7</v>
      </c>
      <c r="AC59" s="5"/>
      <c r="AD59" t="s">
        <v>8</v>
      </c>
      <c r="AE59" s="7"/>
      <c r="AF59" s="7"/>
      <c r="AG59" t="s">
        <v>6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9" customHeight="1" x14ac:dyDescent="0.2">
      <c r="A60" s="9" t="s">
        <v>564</v>
      </c>
      <c r="B60" s="9">
        <v>1921</v>
      </c>
      <c r="C60" s="7">
        <v>11</v>
      </c>
      <c r="D60" s="7" t="s">
        <v>1155</v>
      </c>
      <c r="E60" s="7"/>
      <c r="F60">
        <v>12</v>
      </c>
      <c r="G60" t="s">
        <v>1250</v>
      </c>
      <c r="H60" t="s">
        <v>444</v>
      </c>
      <c r="I60">
        <v>40</v>
      </c>
      <c r="J60" t="s">
        <v>13</v>
      </c>
      <c r="K60">
        <v>1</v>
      </c>
      <c r="N60">
        <v>1</v>
      </c>
      <c r="T60">
        <v>67</v>
      </c>
      <c r="AA60" t="s">
        <v>1252</v>
      </c>
      <c r="AB60" t="s">
        <v>16</v>
      </c>
      <c r="AC60" s="5">
        <v>1</v>
      </c>
      <c r="AE60" s="7"/>
      <c r="AF60" s="7">
        <v>1</v>
      </c>
      <c r="AG60" t="s">
        <v>1251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9" customHeight="1" x14ac:dyDescent="0.2">
      <c r="A61" s="9" t="s">
        <v>564</v>
      </c>
      <c r="B61" s="9">
        <v>1921</v>
      </c>
      <c r="C61" s="7">
        <v>11</v>
      </c>
      <c r="D61" s="7" t="s">
        <v>1155</v>
      </c>
      <c r="E61" s="7"/>
      <c r="G61" t="s">
        <v>1250</v>
      </c>
      <c r="H61" t="s">
        <v>170</v>
      </c>
      <c r="I61">
        <v>41</v>
      </c>
      <c r="J61">
        <v>1</v>
      </c>
      <c r="N61" t="s">
        <v>18</v>
      </c>
      <c r="O61">
        <v>1</v>
      </c>
      <c r="T61">
        <v>65</v>
      </c>
      <c r="AA61" t="s">
        <v>50</v>
      </c>
      <c r="AC61" s="5"/>
      <c r="AD61" t="s">
        <v>20</v>
      </c>
      <c r="AE61" s="7"/>
      <c r="AF61" s="7">
        <v>1</v>
      </c>
      <c r="AG61" t="s">
        <v>1253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9" customHeight="1" x14ac:dyDescent="0.2">
      <c r="A62" s="9" t="s">
        <v>564</v>
      </c>
      <c r="B62" s="9">
        <v>1921</v>
      </c>
      <c r="C62" s="7"/>
      <c r="D62" s="7" t="s">
        <v>1155</v>
      </c>
      <c r="E62" s="7"/>
      <c r="H62">
        <v>2</v>
      </c>
      <c r="AC62" s="5"/>
      <c r="AE62" s="7"/>
      <c r="AF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9" customHeight="1" x14ac:dyDescent="0.2">
      <c r="A63" s="9" t="s">
        <v>564</v>
      </c>
      <c r="B63" s="9">
        <v>1921</v>
      </c>
      <c r="C63" s="7"/>
      <c r="D63" s="7" t="s">
        <v>1155</v>
      </c>
      <c r="E63" s="7"/>
      <c r="G63" t="s">
        <v>1</v>
      </c>
      <c r="H63" t="s">
        <v>0</v>
      </c>
      <c r="J63" t="s">
        <v>3</v>
      </c>
      <c r="N63" t="s">
        <v>2</v>
      </c>
      <c r="T63" t="s">
        <v>5</v>
      </c>
      <c r="AA63" t="s">
        <v>7</v>
      </c>
      <c r="AC63" s="5"/>
      <c r="AD63" t="s">
        <v>8</v>
      </c>
      <c r="AE63" s="7"/>
      <c r="AF63" s="7"/>
      <c r="AG63" t="s">
        <v>6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9" customHeight="1" x14ac:dyDescent="0.2">
      <c r="A64" s="9" t="s">
        <v>564</v>
      </c>
      <c r="B64" s="9">
        <v>1921</v>
      </c>
      <c r="C64" s="7">
        <v>12</v>
      </c>
      <c r="D64" s="7" t="s">
        <v>1155</v>
      </c>
      <c r="E64" s="7"/>
      <c r="F64">
        <v>13</v>
      </c>
      <c r="G64" t="s">
        <v>1254</v>
      </c>
      <c r="H64" t="s">
        <v>422</v>
      </c>
      <c r="I64">
        <v>42</v>
      </c>
      <c r="J64">
        <v>1</v>
      </c>
      <c r="N64">
        <v>1</v>
      </c>
      <c r="T64">
        <v>58</v>
      </c>
      <c r="AA64" t="s">
        <v>20</v>
      </c>
      <c r="AC64" s="5"/>
      <c r="AD64" t="s">
        <v>20</v>
      </c>
      <c r="AE64" s="7"/>
      <c r="AF64" s="7"/>
      <c r="AG64" t="s">
        <v>1255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9" customHeight="1" x14ac:dyDescent="0.2">
      <c r="A65" s="9" t="s">
        <v>564</v>
      </c>
      <c r="B65" s="9">
        <v>1921</v>
      </c>
      <c r="C65" s="7">
        <v>12</v>
      </c>
      <c r="D65" s="7" t="s">
        <v>1155</v>
      </c>
      <c r="E65" s="7"/>
      <c r="G65" t="s">
        <v>1254</v>
      </c>
      <c r="H65" t="s">
        <v>1230</v>
      </c>
      <c r="I65">
        <v>43</v>
      </c>
      <c r="J65">
        <v>1</v>
      </c>
      <c r="N65" t="s">
        <v>22</v>
      </c>
      <c r="P65">
        <v>1</v>
      </c>
      <c r="T65">
        <v>29</v>
      </c>
      <c r="AA65" t="s">
        <v>50</v>
      </c>
      <c r="AC65" s="5"/>
      <c r="AD65" t="s">
        <v>20</v>
      </c>
      <c r="AE65" s="7"/>
      <c r="AF65" s="7"/>
      <c r="AG65" t="s">
        <v>53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9" customHeight="1" x14ac:dyDescent="0.2">
      <c r="A66" s="9" t="s">
        <v>564</v>
      </c>
      <c r="B66" s="9">
        <v>1921</v>
      </c>
      <c r="C66" s="7">
        <v>12</v>
      </c>
      <c r="D66" s="7" t="s">
        <v>1155</v>
      </c>
      <c r="E66" s="7"/>
      <c r="G66" t="s">
        <v>1256</v>
      </c>
      <c r="H66" t="s">
        <v>336</v>
      </c>
      <c r="I66">
        <v>44</v>
      </c>
      <c r="J66">
        <v>1</v>
      </c>
      <c r="N66" t="s">
        <v>26</v>
      </c>
      <c r="S66">
        <v>1</v>
      </c>
      <c r="T66">
        <v>36</v>
      </c>
      <c r="AA66" t="s">
        <v>344</v>
      </c>
      <c r="AC66" s="5">
        <v>1</v>
      </c>
      <c r="AD66" t="s">
        <v>29</v>
      </c>
      <c r="AE66" s="7"/>
      <c r="AF66" s="7"/>
      <c r="AG66" t="s">
        <v>14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9" customHeight="1" x14ac:dyDescent="0.2">
      <c r="A67" s="9" t="s">
        <v>564</v>
      </c>
      <c r="B67" s="9">
        <v>1921</v>
      </c>
      <c r="C67" s="7"/>
      <c r="D67" s="7" t="s">
        <v>1155</v>
      </c>
      <c r="E67" s="7"/>
      <c r="H67">
        <v>3</v>
      </c>
      <c r="AC67" s="5"/>
      <c r="AE67" s="7"/>
      <c r="AF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9" customHeight="1" x14ac:dyDescent="0.2">
      <c r="A68" s="9" t="s">
        <v>564</v>
      </c>
      <c r="B68" s="9">
        <v>1921</v>
      </c>
      <c r="C68" s="7"/>
      <c r="D68" s="7" t="s">
        <v>1155</v>
      </c>
      <c r="E68" s="7"/>
      <c r="G68" t="s">
        <v>1</v>
      </c>
      <c r="H68" t="s">
        <v>0</v>
      </c>
      <c r="J68" t="s">
        <v>3</v>
      </c>
      <c r="N68" t="s">
        <v>2</v>
      </c>
      <c r="T68" t="s">
        <v>5</v>
      </c>
      <c r="AA68" t="s">
        <v>7</v>
      </c>
      <c r="AC68" s="5"/>
      <c r="AD68" t="s">
        <v>8</v>
      </c>
      <c r="AE68" s="7"/>
      <c r="AF68" s="7"/>
      <c r="AG68" t="s">
        <v>6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9" customHeight="1" x14ac:dyDescent="0.2">
      <c r="A69" s="9" t="s">
        <v>564</v>
      </c>
      <c r="B69" s="9">
        <v>1921</v>
      </c>
      <c r="C69" s="7">
        <v>13</v>
      </c>
      <c r="D69" s="7" t="s">
        <v>1155</v>
      </c>
      <c r="E69" s="7"/>
      <c r="F69">
        <v>15</v>
      </c>
      <c r="G69" t="s">
        <v>1258</v>
      </c>
      <c r="H69" t="s">
        <v>1257</v>
      </c>
      <c r="I69">
        <v>45</v>
      </c>
      <c r="J69" t="s">
        <v>13</v>
      </c>
      <c r="K69">
        <v>1</v>
      </c>
      <c r="N69" t="s">
        <v>51</v>
      </c>
      <c r="Q69">
        <v>1</v>
      </c>
      <c r="T69">
        <v>19</v>
      </c>
      <c r="AA69" t="s">
        <v>1259</v>
      </c>
      <c r="AB69" t="s">
        <v>1260</v>
      </c>
      <c r="AC69" s="5">
        <v>1</v>
      </c>
      <c r="AE69" s="7"/>
      <c r="AF69" s="7">
        <v>1</v>
      </c>
      <c r="AG69" t="s">
        <v>49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9" customHeight="1" x14ac:dyDescent="0.2">
      <c r="A70" s="9" t="s">
        <v>564</v>
      </c>
      <c r="B70" s="9">
        <v>1921</v>
      </c>
      <c r="C70" s="7">
        <v>13</v>
      </c>
      <c r="D70" s="7" t="s">
        <v>1155</v>
      </c>
      <c r="E70" s="7"/>
      <c r="G70" t="s">
        <v>1258</v>
      </c>
      <c r="H70" t="s">
        <v>1261</v>
      </c>
      <c r="I70">
        <v>46</v>
      </c>
      <c r="J70">
        <v>1</v>
      </c>
      <c r="N70" t="s">
        <v>22</v>
      </c>
      <c r="P70">
        <v>1</v>
      </c>
      <c r="T70">
        <v>25</v>
      </c>
      <c r="AA70" t="s">
        <v>50</v>
      </c>
      <c r="AB70" t="s">
        <v>20</v>
      </c>
      <c r="AC70" s="5"/>
      <c r="AE70" s="7"/>
      <c r="AF70" s="7">
        <v>1</v>
      </c>
      <c r="AG70" t="s">
        <v>49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9" customHeight="1" x14ac:dyDescent="0.2">
      <c r="A71" s="9" t="s">
        <v>564</v>
      </c>
      <c r="B71" s="9">
        <v>1921</v>
      </c>
      <c r="C71" s="7">
        <v>13</v>
      </c>
      <c r="D71" s="7" t="s">
        <v>1155</v>
      </c>
      <c r="E71" s="7"/>
      <c r="G71" t="s">
        <v>1258</v>
      </c>
      <c r="H71" t="s">
        <v>1262</v>
      </c>
      <c r="I71">
        <v>47</v>
      </c>
      <c r="J71">
        <v>1</v>
      </c>
      <c r="N71" t="s">
        <v>22</v>
      </c>
      <c r="P71">
        <v>1</v>
      </c>
      <c r="T71">
        <v>22</v>
      </c>
      <c r="AA71" t="s">
        <v>1263</v>
      </c>
      <c r="AB71" t="s">
        <v>1264</v>
      </c>
      <c r="AC71" s="5">
        <v>1</v>
      </c>
      <c r="AE71" s="7"/>
      <c r="AF71" s="7">
        <v>1</v>
      </c>
      <c r="AG71" t="s">
        <v>49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9" customHeight="1" x14ac:dyDescent="0.2">
      <c r="A72" s="9" t="s">
        <v>564</v>
      </c>
      <c r="B72" s="9">
        <v>1921</v>
      </c>
      <c r="C72" s="7">
        <v>13</v>
      </c>
      <c r="D72" s="7" t="s">
        <v>1155</v>
      </c>
      <c r="E72" s="7"/>
      <c r="G72" t="s">
        <v>1266</v>
      </c>
      <c r="H72" t="s">
        <v>1265</v>
      </c>
      <c r="I72">
        <v>48</v>
      </c>
      <c r="J72">
        <v>1</v>
      </c>
      <c r="N72" t="s">
        <v>26</v>
      </c>
      <c r="S72">
        <v>1</v>
      </c>
      <c r="T72">
        <v>28</v>
      </c>
      <c r="AA72" t="s">
        <v>33</v>
      </c>
      <c r="AC72" s="5">
        <v>1</v>
      </c>
      <c r="AD72" t="s">
        <v>29</v>
      </c>
      <c r="AE72" s="7"/>
      <c r="AF72" s="7">
        <v>1</v>
      </c>
      <c r="AG72" t="s">
        <v>54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9" customHeight="1" x14ac:dyDescent="0.2">
      <c r="A73" s="9" t="s">
        <v>564</v>
      </c>
      <c r="B73" s="9">
        <v>1921</v>
      </c>
      <c r="C73" s="7">
        <v>13</v>
      </c>
      <c r="D73" s="7" t="s">
        <v>1155</v>
      </c>
      <c r="E73" s="7"/>
      <c r="G73" t="s">
        <v>1268</v>
      </c>
      <c r="H73" t="s">
        <v>1267</v>
      </c>
      <c r="I73">
        <v>49</v>
      </c>
      <c r="J73">
        <v>1</v>
      </c>
      <c r="N73" t="s">
        <v>26</v>
      </c>
      <c r="S73">
        <v>1</v>
      </c>
      <c r="T73">
        <v>18</v>
      </c>
      <c r="AA73" t="s">
        <v>55</v>
      </c>
      <c r="AC73" s="5">
        <v>1</v>
      </c>
      <c r="AD73" t="s">
        <v>29</v>
      </c>
      <c r="AE73" s="7"/>
      <c r="AF73" s="7">
        <v>1</v>
      </c>
      <c r="AG73" t="s">
        <v>14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9" customHeight="1" x14ac:dyDescent="0.2">
      <c r="A74" s="9" t="s">
        <v>564</v>
      </c>
      <c r="B74" s="9">
        <v>1921</v>
      </c>
      <c r="C74" s="7"/>
      <c r="D74" s="7" t="s">
        <v>1155</v>
      </c>
      <c r="E74" s="7"/>
      <c r="H74">
        <v>5</v>
      </c>
      <c r="AC74" s="5"/>
      <c r="AE74" s="7"/>
      <c r="AF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9" customHeight="1" x14ac:dyDescent="0.2">
      <c r="A75" s="9" t="s">
        <v>564</v>
      </c>
      <c r="B75" s="9">
        <v>1921</v>
      </c>
      <c r="C75" s="7"/>
      <c r="D75" s="7" t="s">
        <v>1155</v>
      </c>
      <c r="E75" s="7"/>
      <c r="F75">
        <v>19</v>
      </c>
      <c r="G75" t="s">
        <v>1</v>
      </c>
      <c r="H75" t="s">
        <v>0</v>
      </c>
      <c r="J75" t="s">
        <v>3</v>
      </c>
      <c r="N75" t="s">
        <v>2</v>
      </c>
      <c r="T75" t="s">
        <v>5</v>
      </c>
      <c r="AA75" t="s">
        <v>7</v>
      </c>
      <c r="AC75" s="5"/>
      <c r="AD75" t="s">
        <v>8</v>
      </c>
      <c r="AE75" s="7"/>
      <c r="AF75" s="7"/>
      <c r="AG75" t="s">
        <v>6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9" customHeight="1" x14ac:dyDescent="0.2">
      <c r="A76" s="9" t="s">
        <v>564</v>
      </c>
      <c r="B76" s="9">
        <v>1921</v>
      </c>
      <c r="C76" s="7">
        <v>14</v>
      </c>
      <c r="D76" s="7" t="s">
        <v>1155</v>
      </c>
      <c r="E76" s="7"/>
      <c r="G76" t="s">
        <v>1269</v>
      </c>
      <c r="H76" t="s">
        <v>1028</v>
      </c>
      <c r="I76">
        <v>50</v>
      </c>
      <c r="J76" t="s">
        <v>13</v>
      </c>
      <c r="K76">
        <v>1</v>
      </c>
      <c r="N76">
        <v>1</v>
      </c>
      <c r="T76">
        <v>72</v>
      </c>
      <c r="AA76" t="s">
        <v>1270</v>
      </c>
      <c r="AC76" s="5">
        <v>1</v>
      </c>
      <c r="AD76">
        <v>1</v>
      </c>
      <c r="AE76" s="7"/>
      <c r="AF76" s="7"/>
      <c r="AG76" t="s">
        <v>149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9" customHeight="1" x14ac:dyDescent="0.2">
      <c r="A77" s="9" t="s">
        <v>564</v>
      </c>
      <c r="B77" s="9">
        <v>1921</v>
      </c>
      <c r="C77" s="7">
        <v>14</v>
      </c>
      <c r="D77" s="7" t="s">
        <v>1155</v>
      </c>
      <c r="E77" s="7"/>
      <c r="G77" t="s">
        <v>1269</v>
      </c>
      <c r="H77" t="s">
        <v>1271</v>
      </c>
      <c r="I77">
        <v>51</v>
      </c>
      <c r="J77">
        <v>1</v>
      </c>
      <c r="N77" t="s">
        <v>18</v>
      </c>
      <c r="O77">
        <v>1</v>
      </c>
      <c r="T77">
        <v>27</v>
      </c>
      <c r="AA77" t="s">
        <v>50</v>
      </c>
      <c r="AC77" s="5"/>
      <c r="AD77" t="s">
        <v>20</v>
      </c>
      <c r="AE77" s="7"/>
      <c r="AF77" s="7"/>
      <c r="AG77" t="s">
        <v>778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9" customHeight="1" x14ac:dyDescent="0.2">
      <c r="A78" s="9" t="s">
        <v>564</v>
      </c>
      <c r="B78" s="9">
        <v>1921</v>
      </c>
      <c r="C78" s="7">
        <v>14</v>
      </c>
      <c r="D78" s="7" t="s">
        <v>1155</v>
      </c>
      <c r="E78" s="7"/>
      <c r="G78" t="s">
        <v>1269</v>
      </c>
      <c r="H78" t="s">
        <v>1272</v>
      </c>
      <c r="I78">
        <v>52</v>
      </c>
      <c r="J78" t="s">
        <v>13</v>
      </c>
      <c r="M78">
        <v>1</v>
      </c>
      <c r="N78" t="s">
        <v>51</v>
      </c>
      <c r="Q78">
        <v>1</v>
      </c>
      <c r="T78">
        <v>1</v>
      </c>
      <c r="AA78" t="s">
        <v>20</v>
      </c>
      <c r="AC78" s="5"/>
      <c r="AD78" t="s">
        <v>20</v>
      </c>
      <c r="AE78" s="7"/>
      <c r="AF78" s="7">
        <v>1</v>
      </c>
      <c r="AG78" t="s">
        <v>14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9" customHeight="1" x14ac:dyDescent="0.2">
      <c r="A79" s="9" t="s">
        <v>564</v>
      </c>
      <c r="B79" s="9">
        <v>1921</v>
      </c>
      <c r="C79" s="7">
        <v>14</v>
      </c>
      <c r="D79" s="7" t="s">
        <v>1155</v>
      </c>
      <c r="E79" s="7"/>
      <c r="G79" t="s">
        <v>1274</v>
      </c>
      <c r="H79" t="s">
        <v>1273</v>
      </c>
      <c r="I79">
        <v>53</v>
      </c>
      <c r="J79">
        <v>1</v>
      </c>
      <c r="N79" t="s">
        <v>58</v>
      </c>
      <c r="R79">
        <v>1</v>
      </c>
      <c r="T79">
        <v>23</v>
      </c>
      <c r="AA79" t="s">
        <v>20</v>
      </c>
      <c r="AC79" s="5"/>
      <c r="AD79" t="s">
        <v>20</v>
      </c>
      <c r="AE79" s="7"/>
      <c r="AF79" s="7"/>
      <c r="AG79" t="s">
        <v>1275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9" customHeight="1" x14ac:dyDescent="0.2">
      <c r="A80" s="9" t="s">
        <v>564</v>
      </c>
      <c r="B80" s="9">
        <v>1921</v>
      </c>
      <c r="C80" s="7">
        <v>14</v>
      </c>
      <c r="D80" s="7" t="s">
        <v>1155</v>
      </c>
      <c r="E80" s="7"/>
      <c r="G80" t="s">
        <v>1145</v>
      </c>
      <c r="H80" t="s">
        <v>398</v>
      </c>
      <c r="I80">
        <v>54</v>
      </c>
      <c r="J80">
        <v>1</v>
      </c>
      <c r="N80" t="s">
        <v>26</v>
      </c>
      <c r="S80">
        <v>1</v>
      </c>
      <c r="T80">
        <v>17</v>
      </c>
      <c r="AA80" t="s">
        <v>344</v>
      </c>
      <c r="AC80" s="5">
        <v>1</v>
      </c>
      <c r="AD80" t="s">
        <v>29</v>
      </c>
      <c r="AE80" s="7"/>
      <c r="AF80" s="7"/>
      <c r="AG80" t="s">
        <v>212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9" customHeight="1" x14ac:dyDescent="0.2">
      <c r="A81" s="9" t="s">
        <v>564</v>
      </c>
      <c r="B81" s="9">
        <v>1921</v>
      </c>
      <c r="C81" s="7"/>
      <c r="D81" s="7" t="s">
        <v>1155</v>
      </c>
      <c r="E81" s="7"/>
      <c r="H81">
        <v>5</v>
      </c>
      <c r="AC81" s="5"/>
      <c r="AE81" s="7"/>
      <c r="AF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9" customHeight="1" x14ac:dyDescent="0.2">
      <c r="A82" s="9" t="s">
        <v>564</v>
      </c>
      <c r="B82" s="9">
        <v>1921</v>
      </c>
      <c r="C82" s="7"/>
      <c r="D82" s="7" t="s">
        <v>1155</v>
      </c>
      <c r="E82" s="7"/>
      <c r="G82" t="s">
        <v>1</v>
      </c>
      <c r="H82" t="s">
        <v>0</v>
      </c>
      <c r="J82" t="s">
        <v>3</v>
      </c>
      <c r="N82" t="s">
        <v>2</v>
      </c>
      <c r="T82" t="s">
        <v>5</v>
      </c>
      <c r="AA82" t="s">
        <v>7</v>
      </c>
      <c r="AC82" s="5"/>
      <c r="AD82" t="s">
        <v>8</v>
      </c>
      <c r="AE82" s="7"/>
      <c r="AF82" s="7"/>
      <c r="AG82" t="s">
        <v>6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9" customHeight="1" x14ac:dyDescent="0.2">
      <c r="A83" s="9" t="s">
        <v>564</v>
      </c>
      <c r="B83" s="9">
        <v>1921</v>
      </c>
      <c r="C83" s="7">
        <v>15</v>
      </c>
      <c r="D83" s="7" t="s">
        <v>1155</v>
      </c>
      <c r="E83" s="7"/>
      <c r="F83">
        <v>21</v>
      </c>
      <c r="G83" t="s">
        <v>517</v>
      </c>
      <c r="H83" t="s">
        <v>1276</v>
      </c>
      <c r="I83">
        <v>55</v>
      </c>
      <c r="J83" t="s">
        <v>13</v>
      </c>
      <c r="K83">
        <v>1</v>
      </c>
      <c r="N83">
        <v>1</v>
      </c>
      <c r="T83">
        <v>46</v>
      </c>
      <c r="AA83" t="s">
        <v>1277</v>
      </c>
      <c r="AB83" t="s">
        <v>1278</v>
      </c>
      <c r="AC83" s="5">
        <v>1</v>
      </c>
      <c r="AE83" s="7"/>
      <c r="AF83" s="7"/>
      <c r="AG83" t="s">
        <v>484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19" customHeight="1" x14ac:dyDescent="0.2">
      <c r="A84" s="9" t="s">
        <v>564</v>
      </c>
      <c r="B84" s="9">
        <v>1921</v>
      </c>
      <c r="C84" s="7">
        <v>15</v>
      </c>
      <c r="D84" s="7" t="s">
        <v>1155</v>
      </c>
      <c r="E84" s="7"/>
      <c r="G84" t="s">
        <v>517</v>
      </c>
      <c r="H84" t="s">
        <v>1279</v>
      </c>
      <c r="I84">
        <v>56</v>
      </c>
      <c r="J84">
        <v>1</v>
      </c>
      <c r="N84" t="s">
        <v>18</v>
      </c>
      <c r="O84">
        <v>1</v>
      </c>
      <c r="T84">
        <v>46</v>
      </c>
      <c r="AA84" t="s">
        <v>20</v>
      </c>
      <c r="AC84" s="5"/>
      <c r="AD84" t="s">
        <v>20</v>
      </c>
      <c r="AE84" s="7"/>
      <c r="AF84" s="7"/>
      <c r="AG84" t="s">
        <v>1280</v>
      </c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19" customHeight="1" x14ac:dyDescent="0.2">
      <c r="A85" s="9" t="s">
        <v>564</v>
      </c>
      <c r="B85" s="9">
        <v>1921</v>
      </c>
      <c r="C85" s="7">
        <v>15</v>
      </c>
      <c r="D85" s="7" t="s">
        <v>1155</v>
      </c>
      <c r="E85" s="7"/>
      <c r="G85" t="s">
        <v>517</v>
      </c>
      <c r="H85" t="s">
        <v>1281</v>
      </c>
      <c r="I85">
        <v>57</v>
      </c>
      <c r="J85" t="s">
        <v>19</v>
      </c>
      <c r="L85">
        <v>1</v>
      </c>
      <c r="N85" t="s">
        <v>22</v>
      </c>
      <c r="P85">
        <v>1</v>
      </c>
      <c r="T85">
        <v>15</v>
      </c>
      <c r="AA85" t="s">
        <v>20</v>
      </c>
      <c r="AC85" s="5"/>
      <c r="AD85" t="s">
        <v>20</v>
      </c>
      <c r="AE85" s="7"/>
      <c r="AF85" s="7"/>
      <c r="AG85" t="s">
        <v>1282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19" customHeight="1" x14ac:dyDescent="0.2">
      <c r="A86" s="9" t="s">
        <v>564</v>
      </c>
      <c r="B86" s="9">
        <v>1921</v>
      </c>
      <c r="C86" s="7"/>
      <c r="D86" s="7" t="s">
        <v>1155</v>
      </c>
      <c r="E86" s="7"/>
      <c r="H86">
        <v>3</v>
      </c>
      <c r="AC86" s="5"/>
      <c r="AE86" s="7"/>
      <c r="AF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19" customHeight="1" x14ac:dyDescent="0.2">
      <c r="A87" s="9" t="s">
        <v>564</v>
      </c>
      <c r="B87" s="9">
        <v>1921</v>
      </c>
      <c r="C87" s="7"/>
      <c r="D87" s="7" t="s">
        <v>1155</v>
      </c>
      <c r="E87" s="7"/>
      <c r="G87" t="s">
        <v>1</v>
      </c>
      <c r="H87" t="s">
        <v>0</v>
      </c>
      <c r="J87" t="s">
        <v>3</v>
      </c>
      <c r="N87" t="s">
        <v>2</v>
      </c>
      <c r="T87" t="s">
        <v>5</v>
      </c>
      <c r="AA87" t="s">
        <v>7</v>
      </c>
      <c r="AC87" s="5"/>
      <c r="AD87" t="s">
        <v>8</v>
      </c>
      <c r="AE87" s="7"/>
      <c r="AF87" s="7"/>
      <c r="AG87" t="s">
        <v>6</v>
      </c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s="55" customFormat="1" ht="19" customHeight="1" x14ac:dyDescent="0.2">
      <c r="A88" s="226" t="s">
        <v>564</v>
      </c>
      <c r="B88" s="226">
        <v>1921</v>
      </c>
      <c r="C88" s="7">
        <v>16</v>
      </c>
      <c r="D88" s="227" t="s">
        <v>1155</v>
      </c>
      <c r="E88" s="227"/>
      <c r="F88" s="55">
        <v>23</v>
      </c>
      <c r="G88" s="55" t="s">
        <v>1283</v>
      </c>
      <c r="H88" s="55" t="s">
        <v>135</v>
      </c>
      <c r="I88" s="55">
        <v>58</v>
      </c>
      <c r="J88" s="55">
        <v>1</v>
      </c>
      <c r="N88" s="55">
        <v>1</v>
      </c>
      <c r="T88" s="55">
        <v>81</v>
      </c>
      <c r="X88" s="55" t="s">
        <v>1296</v>
      </c>
      <c r="AA88" s="55" t="s">
        <v>20</v>
      </c>
      <c r="AC88" s="228"/>
      <c r="AD88" s="55" t="s">
        <v>20</v>
      </c>
      <c r="AE88" s="227"/>
      <c r="AF88" s="227">
        <v>1</v>
      </c>
      <c r="AG88" s="55" t="s">
        <v>14</v>
      </c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</row>
    <row r="89" spans="1:51" ht="19" customHeight="1" x14ac:dyDescent="0.2">
      <c r="A89" s="9" t="s">
        <v>564</v>
      </c>
      <c r="B89" s="9">
        <v>1921</v>
      </c>
      <c r="C89" s="7">
        <v>16</v>
      </c>
      <c r="D89" s="7" t="s">
        <v>1155</v>
      </c>
      <c r="E89" s="7"/>
      <c r="G89" t="s">
        <v>937</v>
      </c>
      <c r="H89" t="s">
        <v>115</v>
      </c>
      <c r="I89">
        <v>59</v>
      </c>
      <c r="J89">
        <v>1</v>
      </c>
      <c r="N89" t="s">
        <v>26</v>
      </c>
      <c r="S89">
        <v>1</v>
      </c>
      <c r="T89">
        <v>27</v>
      </c>
      <c r="AA89" t="s">
        <v>56</v>
      </c>
      <c r="AC89" s="5">
        <v>1</v>
      </c>
      <c r="AD89" t="s">
        <v>29</v>
      </c>
      <c r="AE89" s="7"/>
      <c r="AF89" s="7"/>
      <c r="AG89" t="s">
        <v>1284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ht="19" customHeight="1" x14ac:dyDescent="0.2">
      <c r="A90" s="9" t="s">
        <v>564</v>
      </c>
      <c r="B90" s="9">
        <v>1921</v>
      </c>
      <c r="C90" s="7">
        <v>16</v>
      </c>
      <c r="D90" s="7" t="s">
        <v>1155</v>
      </c>
      <c r="E90" s="7"/>
      <c r="G90" t="s">
        <v>399</v>
      </c>
      <c r="H90" t="s">
        <v>1285</v>
      </c>
      <c r="I90">
        <v>60</v>
      </c>
      <c r="J90">
        <v>1</v>
      </c>
      <c r="N90" t="s">
        <v>26</v>
      </c>
      <c r="S90">
        <v>1</v>
      </c>
      <c r="T90">
        <v>24</v>
      </c>
      <c r="AA90" t="s">
        <v>56</v>
      </c>
      <c r="AC90" s="5">
        <v>1</v>
      </c>
      <c r="AD90" t="s">
        <v>29</v>
      </c>
      <c r="AE90" s="7"/>
      <c r="AF90" s="7"/>
      <c r="AG90" t="s">
        <v>1083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ht="19" customHeight="1" x14ac:dyDescent="0.2">
      <c r="A91" s="9" t="s">
        <v>564</v>
      </c>
      <c r="B91" s="9">
        <v>1921</v>
      </c>
      <c r="C91" s="7"/>
      <c r="D91" s="7" t="s">
        <v>1155</v>
      </c>
      <c r="E91" s="7"/>
      <c r="H91">
        <v>3</v>
      </c>
      <c r="AC91" s="5"/>
      <c r="AE91" s="7"/>
      <c r="AF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19" customHeight="1" x14ac:dyDescent="0.2">
      <c r="A92" s="9" t="s">
        <v>564</v>
      </c>
      <c r="B92" s="9">
        <v>1921</v>
      </c>
      <c r="C92" s="7"/>
      <c r="D92" s="7" t="s">
        <v>1155</v>
      </c>
      <c r="E92" s="7"/>
      <c r="G92" t="s">
        <v>1</v>
      </c>
      <c r="H92" t="s">
        <v>0</v>
      </c>
      <c r="J92" t="s">
        <v>3</v>
      </c>
      <c r="N92" t="s">
        <v>2</v>
      </c>
      <c r="T92" t="s">
        <v>5</v>
      </c>
      <c r="X92" t="s">
        <v>1297</v>
      </c>
      <c r="AA92" t="s">
        <v>7</v>
      </c>
      <c r="AC92" s="5"/>
      <c r="AD92" t="s">
        <v>8</v>
      </c>
      <c r="AE92" s="7"/>
      <c r="AF92" s="7"/>
      <c r="AG92" t="s">
        <v>6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19" customHeight="1" x14ac:dyDescent="0.2">
      <c r="A93" s="9" t="s">
        <v>564</v>
      </c>
      <c r="B93" s="9">
        <v>1921</v>
      </c>
      <c r="C93" s="7">
        <v>17</v>
      </c>
      <c r="D93" s="7" t="s">
        <v>1155</v>
      </c>
      <c r="E93" s="7"/>
      <c r="F93" t="s">
        <v>3143</v>
      </c>
      <c r="G93" t="s">
        <v>1287</v>
      </c>
      <c r="H93" t="s">
        <v>1286</v>
      </c>
      <c r="I93">
        <v>61</v>
      </c>
      <c r="J93" t="s">
        <v>13</v>
      </c>
      <c r="K93">
        <v>1</v>
      </c>
      <c r="N93">
        <v>1</v>
      </c>
      <c r="T93">
        <v>83</v>
      </c>
      <c r="AA93" t="s">
        <v>1288</v>
      </c>
      <c r="AC93" s="5">
        <v>1</v>
      </c>
      <c r="AD93" t="s">
        <v>20</v>
      </c>
      <c r="AE93" s="7"/>
      <c r="AF93" s="7">
        <v>1</v>
      </c>
      <c r="AG93" t="s">
        <v>49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19" customHeight="1" x14ac:dyDescent="0.2">
      <c r="A94" s="9" t="s">
        <v>564</v>
      </c>
      <c r="B94" s="9">
        <v>1921</v>
      </c>
      <c r="C94" s="7">
        <v>17</v>
      </c>
      <c r="D94" s="7" t="s">
        <v>1155</v>
      </c>
      <c r="E94" s="7"/>
      <c r="G94" t="s">
        <v>1287</v>
      </c>
      <c r="H94" t="s">
        <v>1289</v>
      </c>
      <c r="I94">
        <v>62</v>
      </c>
      <c r="J94">
        <v>1</v>
      </c>
      <c r="N94" t="s">
        <v>22</v>
      </c>
      <c r="P94">
        <v>1</v>
      </c>
      <c r="T94">
        <v>45</v>
      </c>
      <c r="AA94" t="s">
        <v>50</v>
      </c>
      <c r="AC94" s="5"/>
      <c r="AD94" t="s">
        <v>20</v>
      </c>
      <c r="AE94" s="7"/>
      <c r="AF94" s="7">
        <v>1</v>
      </c>
      <c r="AG94" t="s">
        <v>14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19" customHeight="1" x14ac:dyDescent="0.2">
      <c r="A95" s="9" t="s">
        <v>564</v>
      </c>
      <c r="B95" s="9">
        <v>1921</v>
      </c>
      <c r="C95" s="7">
        <v>17</v>
      </c>
      <c r="D95" s="7" t="s">
        <v>1155</v>
      </c>
      <c r="E95" s="7"/>
      <c r="G95" t="s">
        <v>1290</v>
      </c>
      <c r="H95" t="s">
        <v>700</v>
      </c>
      <c r="I95">
        <v>63</v>
      </c>
      <c r="J95">
        <v>1</v>
      </c>
      <c r="N95" t="s">
        <v>26</v>
      </c>
      <c r="S95">
        <v>1</v>
      </c>
      <c r="T95">
        <v>47</v>
      </c>
      <c r="AA95" t="s">
        <v>33</v>
      </c>
      <c r="AC95" s="5">
        <v>1</v>
      </c>
      <c r="AD95" t="s">
        <v>20</v>
      </c>
      <c r="AE95" s="7"/>
      <c r="AF95" s="7"/>
      <c r="AG95" t="s">
        <v>1291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19" customHeight="1" x14ac:dyDescent="0.2">
      <c r="A96" s="9" t="s">
        <v>564</v>
      </c>
      <c r="B96" s="9">
        <v>1921</v>
      </c>
      <c r="C96" s="7">
        <v>17</v>
      </c>
      <c r="D96" s="7" t="s">
        <v>1155</v>
      </c>
      <c r="E96" s="7"/>
      <c r="G96" t="s">
        <v>1292</v>
      </c>
      <c r="H96" t="s">
        <v>90</v>
      </c>
      <c r="I96">
        <v>64</v>
      </c>
      <c r="J96">
        <v>1</v>
      </c>
      <c r="N96" t="s">
        <v>26</v>
      </c>
      <c r="S96">
        <v>1</v>
      </c>
      <c r="T96">
        <v>42</v>
      </c>
      <c r="AA96" t="s">
        <v>1293</v>
      </c>
      <c r="AC96" s="5">
        <v>1</v>
      </c>
      <c r="AD96" t="s">
        <v>20</v>
      </c>
      <c r="AE96" s="7"/>
      <c r="AF96" s="7"/>
      <c r="AG96" t="s">
        <v>368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19" customHeight="1" x14ac:dyDescent="0.2">
      <c r="A97" s="9" t="s">
        <v>564</v>
      </c>
      <c r="B97" s="9">
        <v>1921</v>
      </c>
      <c r="C97" s="7">
        <v>17</v>
      </c>
      <c r="D97" s="7" t="s">
        <v>1155</v>
      </c>
      <c r="E97" s="7"/>
      <c r="G97" t="s">
        <v>1294</v>
      </c>
      <c r="H97" t="s">
        <v>24</v>
      </c>
      <c r="I97">
        <v>65</v>
      </c>
      <c r="J97">
        <v>1</v>
      </c>
      <c r="N97" t="s">
        <v>26</v>
      </c>
      <c r="S97">
        <v>1</v>
      </c>
      <c r="T97">
        <v>17</v>
      </c>
      <c r="AA97" t="s">
        <v>28</v>
      </c>
      <c r="AC97" s="5">
        <v>1</v>
      </c>
      <c r="AD97" t="s">
        <v>20</v>
      </c>
      <c r="AE97" s="7"/>
      <c r="AF97" s="7"/>
      <c r="AG97" t="s">
        <v>1295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19" customHeight="1" x14ac:dyDescent="0.2">
      <c r="A98" s="9" t="s">
        <v>564</v>
      </c>
      <c r="B98" s="9">
        <v>1921</v>
      </c>
      <c r="C98" s="7"/>
      <c r="D98" s="7" t="s">
        <v>1155</v>
      </c>
      <c r="E98" s="7"/>
      <c r="H98">
        <v>5</v>
      </c>
      <c r="AC98" s="5"/>
      <c r="AE98" s="7"/>
      <c r="AF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19" customHeight="1" x14ac:dyDescent="0.2">
      <c r="A99" s="9" t="s">
        <v>564</v>
      </c>
      <c r="B99" s="9">
        <v>1921</v>
      </c>
      <c r="C99" s="7"/>
      <c r="D99" s="7" t="s">
        <v>1155</v>
      </c>
      <c r="E99" s="7"/>
      <c r="F99">
        <v>25</v>
      </c>
      <c r="G99" t="s">
        <v>1</v>
      </c>
      <c r="H99" t="s">
        <v>0</v>
      </c>
      <c r="J99" t="s">
        <v>3</v>
      </c>
      <c r="N99" t="s">
        <v>2</v>
      </c>
      <c r="T99" t="s">
        <v>5</v>
      </c>
      <c r="AA99" t="s">
        <v>7</v>
      </c>
      <c r="AC99" s="5"/>
      <c r="AD99" t="s">
        <v>8</v>
      </c>
      <c r="AE99" s="7"/>
      <c r="AF99" s="7"/>
      <c r="AG99" t="s">
        <v>6</v>
      </c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19" customHeight="1" x14ac:dyDescent="0.2">
      <c r="A100" s="9" t="s">
        <v>564</v>
      </c>
      <c r="B100" s="9">
        <v>1921</v>
      </c>
      <c r="C100" s="7">
        <v>18</v>
      </c>
      <c r="D100" s="7" t="s">
        <v>1155</v>
      </c>
      <c r="E100" s="7"/>
      <c r="G100" t="s">
        <v>1227</v>
      </c>
      <c r="H100" t="s">
        <v>1298</v>
      </c>
      <c r="I100">
        <v>66</v>
      </c>
      <c r="J100" t="s">
        <v>13</v>
      </c>
      <c r="K100">
        <v>1</v>
      </c>
      <c r="N100">
        <v>1</v>
      </c>
      <c r="T100">
        <v>57</v>
      </c>
      <c r="AA100" t="s">
        <v>1299</v>
      </c>
      <c r="AC100" s="5">
        <v>1</v>
      </c>
      <c r="AD100">
        <v>1</v>
      </c>
      <c r="AE100" s="7"/>
      <c r="AF100" s="7">
        <v>1</v>
      </c>
      <c r="AG100" t="s">
        <v>14</v>
      </c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9" customHeight="1" x14ac:dyDescent="0.2">
      <c r="A101" s="9" t="s">
        <v>564</v>
      </c>
      <c r="B101" s="9">
        <v>1921</v>
      </c>
      <c r="C101" s="7">
        <v>18</v>
      </c>
      <c r="D101" s="7" t="s">
        <v>1155</v>
      </c>
      <c r="E101" s="7"/>
      <c r="G101" t="s">
        <v>1227</v>
      </c>
      <c r="H101" t="s">
        <v>1300</v>
      </c>
      <c r="I101">
        <v>67</v>
      </c>
      <c r="J101">
        <v>1</v>
      </c>
      <c r="N101" t="s">
        <v>18</v>
      </c>
      <c r="O101">
        <v>1</v>
      </c>
      <c r="T101">
        <v>58</v>
      </c>
      <c r="AA101" t="s">
        <v>20</v>
      </c>
      <c r="AC101" s="5"/>
      <c r="AD101" t="s">
        <v>20</v>
      </c>
      <c r="AE101" s="7"/>
      <c r="AF101" s="7">
        <v>1</v>
      </c>
      <c r="AG101" t="s">
        <v>14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19" customHeight="1" x14ac:dyDescent="0.2">
      <c r="A102" s="9" t="s">
        <v>564</v>
      </c>
      <c r="B102" s="9">
        <v>1921</v>
      </c>
      <c r="C102" s="7">
        <v>18</v>
      </c>
      <c r="D102" s="7" t="s">
        <v>1155</v>
      </c>
      <c r="E102" s="7"/>
      <c r="G102" t="s">
        <v>1227</v>
      </c>
      <c r="H102" t="s">
        <v>1301</v>
      </c>
      <c r="I102">
        <v>68</v>
      </c>
      <c r="J102" t="s">
        <v>13</v>
      </c>
      <c r="K102">
        <v>1</v>
      </c>
      <c r="N102" t="s">
        <v>51</v>
      </c>
      <c r="Q102">
        <v>1</v>
      </c>
      <c r="T102">
        <v>24</v>
      </c>
      <c r="AA102" t="s">
        <v>173</v>
      </c>
      <c r="AB102" t="s">
        <v>1302</v>
      </c>
      <c r="AC102" s="5">
        <v>1</v>
      </c>
      <c r="AE102" s="7"/>
      <c r="AF102" s="7">
        <v>1</v>
      </c>
      <c r="AG102" t="s">
        <v>14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19" customHeight="1" x14ac:dyDescent="0.2">
      <c r="A103" s="9" t="s">
        <v>564</v>
      </c>
      <c r="B103" s="9">
        <v>1921</v>
      </c>
      <c r="C103" s="7">
        <v>18</v>
      </c>
      <c r="D103" s="7" t="s">
        <v>1155</v>
      </c>
      <c r="E103" s="7"/>
      <c r="G103" t="s">
        <v>1304</v>
      </c>
      <c r="H103" t="s">
        <v>1303</v>
      </c>
      <c r="I103">
        <v>69</v>
      </c>
      <c r="J103">
        <v>1</v>
      </c>
      <c r="N103" t="s">
        <v>58</v>
      </c>
      <c r="R103">
        <v>1</v>
      </c>
      <c r="T103">
        <v>25</v>
      </c>
      <c r="AA103" t="s">
        <v>20</v>
      </c>
      <c r="AC103" s="5"/>
      <c r="AD103" t="s">
        <v>20</v>
      </c>
      <c r="AE103" s="7"/>
      <c r="AF103" s="7">
        <v>1</v>
      </c>
      <c r="AG103" t="s">
        <v>14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19" customHeight="1" x14ac:dyDescent="0.2">
      <c r="A104" s="9" t="s">
        <v>564</v>
      </c>
      <c r="B104" s="9">
        <v>1921</v>
      </c>
      <c r="C104" s="7">
        <v>18</v>
      </c>
      <c r="D104" s="7" t="s">
        <v>1155</v>
      </c>
      <c r="E104" s="7"/>
      <c r="G104" t="s">
        <v>1306</v>
      </c>
      <c r="H104" t="s">
        <v>1305</v>
      </c>
      <c r="I104">
        <v>70</v>
      </c>
      <c r="J104">
        <v>1</v>
      </c>
      <c r="N104" t="s">
        <v>26</v>
      </c>
      <c r="S104">
        <v>1</v>
      </c>
      <c r="T104">
        <v>25</v>
      </c>
      <c r="AA104" t="s">
        <v>56</v>
      </c>
      <c r="AC104" s="5">
        <v>1</v>
      </c>
      <c r="AD104" t="s">
        <v>29</v>
      </c>
      <c r="AE104" s="7"/>
      <c r="AF104" s="7"/>
      <c r="AG104" t="s">
        <v>1307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19" customHeight="1" x14ac:dyDescent="0.2">
      <c r="A105" s="9" t="s">
        <v>564</v>
      </c>
      <c r="B105" s="9">
        <v>1921</v>
      </c>
      <c r="C105" s="7"/>
      <c r="D105" s="7" t="s">
        <v>1155</v>
      </c>
      <c r="E105" s="7"/>
      <c r="H105">
        <v>5</v>
      </c>
      <c r="AC105" s="5"/>
      <c r="AE105" s="7"/>
      <c r="AF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19" customHeight="1" x14ac:dyDescent="0.2">
      <c r="A106" s="9" t="s">
        <v>564</v>
      </c>
      <c r="B106" s="9">
        <v>1921</v>
      </c>
      <c r="C106" s="7"/>
      <c r="D106" s="7" t="s">
        <v>1155</v>
      </c>
      <c r="E106" s="7"/>
      <c r="G106" t="s">
        <v>1</v>
      </c>
      <c r="H106" t="s">
        <v>0</v>
      </c>
      <c r="J106" t="s">
        <v>3</v>
      </c>
      <c r="N106" t="s">
        <v>2</v>
      </c>
      <c r="T106" t="s">
        <v>5</v>
      </c>
      <c r="AA106" t="s">
        <v>7</v>
      </c>
      <c r="AC106" s="5"/>
      <c r="AD106" t="s">
        <v>8</v>
      </c>
      <c r="AE106" s="7"/>
      <c r="AF106" s="7"/>
      <c r="AG106" t="s">
        <v>6</v>
      </c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19" customHeight="1" x14ac:dyDescent="0.2">
      <c r="A107" s="9" t="s">
        <v>564</v>
      </c>
      <c r="B107" s="9">
        <v>1921</v>
      </c>
      <c r="C107" s="7">
        <v>19</v>
      </c>
      <c r="D107" s="7" t="s">
        <v>1155</v>
      </c>
      <c r="E107" s="7"/>
      <c r="F107">
        <v>11</v>
      </c>
      <c r="G107" t="s">
        <v>1309</v>
      </c>
      <c r="H107" t="s">
        <v>1308</v>
      </c>
      <c r="I107">
        <v>71</v>
      </c>
      <c r="J107" t="s">
        <v>13</v>
      </c>
      <c r="K107">
        <v>1</v>
      </c>
      <c r="N107">
        <v>1</v>
      </c>
      <c r="T107">
        <v>42</v>
      </c>
      <c r="X107" t="s">
        <v>1324</v>
      </c>
      <c r="AA107" t="s">
        <v>1310</v>
      </c>
      <c r="AC107" s="5">
        <v>1</v>
      </c>
      <c r="AD107">
        <v>1</v>
      </c>
      <c r="AE107" s="7"/>
      <c r="AF107" s="7">
        <v>1</v>
      </c>
      <c r="AG107" t="s">
        <v>49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19" customHeight="1" x14ac:dyDescent="0.2">
      <c r="A108" s="9" t="s">
        <v>564</v>
      </c>
      <c r="B108" s="9">
        <v>1921</v>
      </c>
      <c r="C108" s="7">
        <v>19</v>
      </c>
      <c r="D108" s="7" t="s">
        <v>1155</v>
      </c>
      <c r="E108" s="7"/>
      <c r="G108" t="s">
        <v>1309</v>
      </c>
      <c r="H108" t="s">
        <v>1311</v>
      </c>
      <c r="I108">
        <v>72</v>
      </c>
      <c r="J108">
        <v>1</v>
      </c>
      <c r="N108" t="s">
        <v>18</v>
      </c>
      <c r="O108">
        <v>1</v>
      </c>
      <c r="T108">
        <v>37</v>
      </c>
      <c r="AA108" t="s">
        <v>50</v>
      </c>
      <c r="AC108" s="5"/>
      <c r="AD108" t="s">
        <v>20</v>
      </c>
      <c r="AE108" s="7"/>
      <c r="AF108" s="7">
        <v>1</v>
      </c>
      <c r="AG108" t="s">
        <v>49</v>
      </c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19" customHeight="1" x14ac:dyDescent="0.2">
      <c r="A109" s="9" t="s">
        <v>564</v>
      </c>
      <c r="B109" s="9">
        <v>1921</v>
      </c>
      <c r="C109" s="7">
        <v>19</v>
      </c>
      <c r="D109" s="7" t="s">
        <v>1155</v>
      </c>
      <c r="E109" s="7"/>
      <c r="G109" t="s">
        <v>1309</v>
      </c>
      <c r="H109" t="s">
        <v>1312</v>
      </c>
      <c r="I109">
        <v>73</v>
      </c>
      <c r="J109" t="s">
        <v>19</v>
      </c>
      <c r="L109">
        <v>1</v>
      </c>
      <c r="N109" t="s">
        <v>22</v>
      </c>
      <c r="P109">
        <v>1</v>
      </c>
      <c r="T109">
        <v>15</v>
      </c>
      <c r="AA109" t="s">
        <v>20</v>
      </c>
      <c r="AC109" s="5"/>
      <c r="AD109" t="s">
        <v>20</v>
      </c>
      <c r="AE109" s="7"/>
      <c r="AF109" s="7">
        <v>1</v>
      </c>
      <c r="AG109" t="s">
        <v>1313</v>
      </c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19" customHeight="1" x14ac:dyDescent="0.2">
      <c r="A110" s="9" t="s">
        <v>564</v>
      </c>
      <c r="B110" s="9">
        <v>1921</v>
      </c>
      <c r="C110" s="7">
        <v>19</v>
      </c>
      <c r="D110" s="7" t="s">
        <v>1155</v>
      </c>
      <c r="E110" s="7"/>
      <c r="G110" t="s">
        <v>1309</v>
      </c>
      <c r="H110" t="s">
        <v>1314</v>
      </c>
      <c r="I110">
        <v>74</v>
      </c>
      <c r="J110" t="s">
        <v>19</v>
      </c>
      <c r="L110">
        <v>1</v>
      </c>
      <c r="N110" t="s">
        <v>22</v>
      </c>
      <c r="P110">
        <v>1</v>
      </c>
      <c r="T110">
        <v>13</v>
      </c>
      <c r="AA110" t="s">
        <v>20</v>
      </c>
      <c r="AC110" s="5"/>
      <c r="AD110" t="s">
        <v>20</v>
      </c>
      <c r="AE110" s="7"/>
      <c r="AF110" s="7">
        <v>1</v>
      </c>
      <c r="AG110" t="s">
        <v>1313</v>
      </c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19" customHeight="1" x14ac:dyDescent="0.2">
      <c r="A111" s="9" t="s">
        <v>564</v>
      </c>
      <c r="B111" s="9">
        <v>1921</v>
      </c>
      <c r="C111" s="7">
        <v>19</v>
      </c>
      <c r="D111" s="7" t="s">
        <v>1155</v>
      </c>
      <c r="E111" s="7"/>
      <c r="G111" t="s">
        <v>1309</v>
      </c>
      <c r="H111" t="s">
        <v>1315</v>
      </c>
      <c r="I111">
        <v>75</v>
      </c>
      <c r="J111">
        <v>1</v>
      </c>
      <c r="N111" t="s">
        <v>22</v>
      </c>
      <c r="P111">
        <v>1</v>
      </c>
      <c r="T111">
        <v>29</v>
      </c>
      <c r="AA111" t="s">
        <v>20</v>
      </c>
      <c r="AC111" s="5"/>
      <c r="AD111" t="s">
        <v>20</v>
      </c>
      <c r="AE111" s="7"/>
      <c r="AF111" s="7">
        <v>1</v>
      </c>
      <c r="AG111" t="s">
        <v>1313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17.5" customHeight="1" x14ac:dyDescent="0.2">
      <c r="A112" s="9" t="s">
        <v>564</v>
      </c>
      <c r="B112" s="9">
        <v>1921</v>
      </c>
      <c r="C112" s="7"/>
      <c r="D112" s="7" t="s">
        <v>1155</v>
      </c>
      <c r="E112" s="7"/>
      <c r="H112">
        <v>5</v>
      </c>
      <c r="AC112" s="7"/>
      <c r="AE112" s="7"/>
      <c r="AF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17.5" customHeight="1" x14ac:dyDescent="0.2">
      <c r="A113" s="9" t="s">
        <v>564</v>
      </c>
      <c r="B113" s="9">
        <v>1921</v>
      </c>
      <c r="C113" s="7">
        <v>20</v>
      </c>
      <c r="D113" s="7" t="s">
        <v>1155</v>
      </c>
      <c r="E113" s="7"/>
      <c r="F113">
        <v>1</v>
      </c>
      <c r="G113" t="s">
        <v>1</v>
      </c>
      <c r="H113" t="s">
        <v>0</v>
      </c>
      <c r="J113" t="s">
        <v>3</v>
      </c>
      <c r="N113" t="s">
        <v>2</v>
      </c>
      <c r="T113" t="s">
        <v>5</v>
      </c>
      <c r="X113" t="s">
        <v>1323</v>
      </c>
      <c r="AA113" t="s">
        <v>7</v>
      </c>
      <c r="AC113" s="7"/>
      <c r="AD113" t="s">
        <v>8</v>
      </c>
      <c r="AE113" s="7"/>
      <c r="AF113" s="7"/>
      <c r="AG113" t="s">
        <v>6</v>
      </c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ht="17.5" customHeight="1" x14ac:dyDescent="0.2">
      <c r="A114" s="9" t="s">
        <v>564</v>
      </c>
      <c r="B114" s="9">
        <v>1921</v>
      </c>
      <c r="C114" s="7">
        <v>20</v>
      </c>
      <c r="D114" s="7" t="s">
        <v>1155</v>
      </c>
      <c r="E114" s="7"/>
      <c r="G114" t="s">
        <v>906</v>
      </c>
      <c r="H114" t="s">
        <v>1317</v>
      </c>
      <c r="I114">
        <v>76</v>
      </c>
      <c r="J114" t="s">
        <v>13</v>
      </c>
      <c r="K114">
        <v>1</v>
      </c>
      <c r="N114">
        <v>1</v>
      </c>
      <c r="T114">
        <v>63</v>
      </c>
      <c r="AA114" t="s">
        <v>15</v>
      </c>
      <c r="AC114" s="7">
        <v>1</v>
      </c>
      <c r="AD114">
        <v>1</v>
      </c>
      <c r="AE114" s="7"/>
      <c r="AF114" s="7">
        <v>1</v>
      </c>
      <c r="AG114" t="s">
        <v>14</v>
      </c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ht="17.5" customHeight="1" x14ac:dyDescent="0.2">
      <c r="A115" s="9" t="s">
        <v>564</v>
      </c>
      <c r="B115" s="9">
        <v>1921</v>
      </c>
      <c r="C115" s="7">
        <v>20</v>
      </c>
      <c r="D115" s="7" t="s">
        <v>1155</v>
      </c>
      <c r="E115" s="7"/>
      <c r="G115" t="s">
        <v>906</v>
      </c>
      <c r="H115" t="s">
        <v>1318</v>
      </c>
      <c r="I115">
        <v>77</v>
      </c>
      <c r="J115" t="s">
        <v>19</v>
      </c>
      <c r="N115" t="s">
        <v>18</v>
      </c>
      <c r="O115">
        <v>1</v>
      </c>
      <c r="T115">
        <v>62</v>
      </c>
      <c r="AA115" t="s">
        <v>50</v>
      </c>
      <c r="AC115" s="7"/>
      <c r="AD115" t="s">
        <v>20</v>
      </c>
      <c r="AE115" s="7"/>
      <c r="AF115" s="7"/>
      <c r="AG115" t="s">
        <v>1319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ht="17.5" customHeight="1" x14ac:dyDescent="0.2">
      <c r="A116" s="9" t="s">
        <v>564</v>
      </c>
      <c r="B116" s="9">
        <v>1921</v>
      </c>
      <c r="C116" s="7">
        <v>20</v>
      </c>
      <c r="D116" s="7" t="s">
        <v>1155</v>
      </c>
      <c r="E116" s="7"/>
      <c r="G116" t="s">
        <v>906</v>
      </c>
      <c r="H116" t="s">
        <v>676</v>
      </c>
      <c r="I116">
        <v>78</v>
      </c>
      <c r="J116" t="s">
        <v>13</v>
      </c>
      <c r="K116">
        <v>1</v>
      </c>
      <c r="N116" t="s">
        <v>51</v>
      </c>
      <c r="Q116">
        <v>1</v>
      </c>
      <c r="T116">
        <v>25</v>
      </c>
      <c r="AA116" t="s">
        <v>1320</v>
      </c>
      <c r="AB116" t="s">
        <v>1321</v>
      </c>
      <c r="AC116" s="7">
        <v>1</v>
      </c>
      <c r="AE116" s="7"/>
      <c r="AF116" s="7">
        <v>1</v>
      </c>
      <c r="AG116" t="s">
        <v>49</v>
      </c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ht="17.5" customHeight="1" x14ac:dyDescent="0.2">
      <c r="A117" s="9" t="s">
        <v>564</v>
      </c>
      <c r="B117" s="9">
        <v>1921</v>
      </c>
      <c r="C117" s="7">
        <v>20</v>
      </c>
      <c r="D117" s="7" t="s">
        <v>1155</v>
      </c>
      <c r="E117" s="7"/>
      <c r="G117" t="s">
        <v>1322</v>
      </c>
      <c r="H117" t="s">
        <v>318</v>
      </c>
      <c r="I117">
        <v>79</v>
      </c>
      <c r="J117">
        <v>1</v>
      </c>
      <c r="N117" t="s">
        <v>26</v>
      </c>
      <c r="S117">
        <v>1</v>
      </c>
      <c r="T117">
        <v>25</v>
      </c>
      <c r="AA117" t="s">
        <v>344</v>
      </c>
      <c r="AC117" s="7">
        <v>1</v>
      </c>
      <c r="AD117" t="s">
        <v>29</v>
      </c>
      <c r="AE117" s="7"/>
      <c r="AF117" s="7"/>
      <c r="AG117" t="s">
        <v>149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ht="17.5" customHeight="1" x14ac:dyDescent="0.2">
      <c r="A118" s="9"/>
      <c r="B118" s="9"/>
      <c r="C118" s="7"/>
      <c r="D118" s="7"/>
      <c r="E118" s="7"/>
      <c r="H118">
        <v>4</v>
      </c>
      <c r="AC118" s="7"/>
      <c r="AE118" s="7"/>
      <c r="AF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ht="17.5" customHeight="1" x14ac:dyDescent="0.2">
      <c r="A119" s="9" t="s">
        <v>564</v>
      </c>
      <c r="B119" s="9">
        <v>1921</v>
      </c>
      <c r="C119" s="7">
        <v>21</v>
      </c>
      <c r="D119" s="7" t="s">
        <v>1155</v>
      </c>
      <c r="E119" s="7"/>
      <c r="F119">
        <v>31</v>
      </c>
      <c r="G119" t="s">
        <v>316</v>
      </c>
      <c r="H119" t="s">
        <v>1664</v>
      </c>
      <c r="I119">
        <v>80</v>
      </c>
      <c r="K119">
        <v>1</v>
      </c>
      <c r="N119">
        <v>1</v>
      </c>
      <c r="T119">
        <v>27</v>
      </c>
      <c r="AA119" t="s">
        <v>321</v>
      </c>
      <c r="AB119" t="s">
        <v>1665</v>
      </c>
      <c r="AC119" s="7">
        <v>1</v>
      </c>
      <c r="AD119">
        <v>1</v>
      </c>
      <c r="AE119" s="7"/>
      <c r="AF119" s="7">
        <v>1</v>
      </c>
      <c r="AG119" t="s">
        <v>49</v>
      </c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ht="17.5" customHeight="1" x14ac:dyDescent="0.2">
      <c r="A120" s="9" t="s">
        <v>564</v>
      </c>
      <c r="B120" s="9">
        <v>1921</v>
      </c>
      <c r="C120" s="7">
        <v>21</v>
      </c>
      <c r="D120" s="7" t="s">
        <v>1155</v>
      </c>
      <c r="E120" s="7"/>
      <c r="G120" t="s">
        <v>316</v>
      </c>
      <c r="H120" t="s">
        <v>1666</v>
      </c>
      <c r="I120">
        <v>81</v>
      </c>
      <c r="J120">
        <v>1</v>
      </c>
      <c r="N120" t="s">
        <v>18</v>
      </c>
      <c r="O120">
        <v>1</v>
      </c>
      <c r="T120">
        <v>28</v>
      </c>
      <c r="AA120" t="s">
        <v>50</v>
      </c>
      <c r="AB120" t="s">
        <v>20</v>
      </c>
      <c r="AC120" s="7"/>
      <c r="AE120" s="7"/>
      <c r="AF120" s="7"/>
      <c r="AG120" t="s">
        <v>1667</v>
      </c>
      <c r="AJ120" t="s">
        <v>1679</v>
      </c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ht="17.5" customHeight="1" x14ac:dyDescent="0.2">
      <c r="A121" s="9" t="s">
        <v>564</v>
      </c>
      <c r="B121" s="9">
        <v>1921</v>
      </c>
      <c r="C121" s="7">
        <v>21</v>
      </c>
      <c r="D121" s="7" t="s">
        <v>1155</v>
      </c>
      <c r="E121" s="7"/>
      <c r="G121" t="s">
        <v>316</v>
      </c>
      <c r="H121" t="s">
        <v>1668</v>
      </c>
      <c r="I121">
        <v>82</v>
      </c>
      <c r="J121">
        <v>1</v>
      </c>
      <c r="N121" t="s">
        <v>22</v>
      </c>
      <c r="R121">
        <v>1</v>
      </c>
      <c r="T121">
        <v>2</v>
      </c>
      <c r="AA121" t="s">
        <v>20</v>
      </c>
      <c r="AB121" t="s">
        <v>20</v>
      </c>
      <c r="AC121" s="7"/>
      <c r="AE121" s="7"/>
      <c r="AF121" s="7">
        <v>1</v>
      </c>
      <c r="AG121" t="s">
        <v>49</v>
      </c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ht="17.5" customHeight="1" x14ac:dyDescent="0.2">
      <c r="A122" s="9" t="s">
        <v>564</v>
      </c>
      <c r="B122" s="9">
        <v>1921</v>
      </c>
      <c r="C122" s="7">
        <v>21</v>
      </c>
      <c r="D122" s="7" t="s">
        <v>1155</v>
      </c>
      <c r="E122" s="7"/>
      <c r="G122" t="s">
        <v>316</v>
      </c>
      <c r="H122" t="s">
        <v>1669</v>
      </c>
      <c r="I122">
        <v>83</v>
      </c>
      <c r="J122">
        <v>1</v>
      </c>
      <c r="N122" t="s">
        <v>22</v>
      </c>
      <c r="R122">
        <v>1</v>
      </c>
      <c r="T122" t="s">
        <v>20</v>
      </c>
      <c r="AA122" t="s">
        <v>20</v>
      </c>
      <c r="AB122" t="s">
        <v>20</v>
      </c>
      <c r="AC122" s="7"/>
      <c r="AE122" s="7"/>
      <c r="AF122" s="7">
        <v>1</v>
      </c>
      <c r="AG122" t="s">
        <v>49</v>
      </c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ht="17.5" customHeight="1" x14ac:dyDescent="0.2">
      <c r="A123" s="9" t="s">
        <v>564</v>
      </c>
      <c r="B123" s="9">
        <v>1921</v>
      </c>
      <c r="C123" s="7">
        <v>21</v>
      </c>
      <c r="D123" s="7" t="s">
        <v>1155</v>
      </c>
      <c r="E123" s="7"/>
      <c r="G123" t="s">
        <v>1477</v>
      </c>
      <c r="H123" t="s">
        <v>1601</v>
      </c>
      <c r="I123">
        <v>84</v>
      </c>
      <c r="J123">
        <v>1</v>
      </c>
      <c r="N123" t="s">
        <v>26</v>
      </c>
      <c r="S123">
        <v>1</v>
      </c>
      <c r="T123">
        <v>38</v>
      </c>
      <c r="AA123" t="s">
        <v>33</v>
      </c>
      <c r="AB123" t="s">
        <v>29</v>
      </c>
      <c r="AC123" s="7">
        <v>1</v>
      </c>
      <c r="AE123" s="7">
        <v>1</v>
      </c>
      <c r="AF123" s="7"/>
      <c r="AG123" t="s">
        <v>1670</v>
      </c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ht="17.5" customHeight="1" x14ac:dyDescent="0.2">
      <c r="A124" s="9" t="s">
        <v>564</v>
      </c>
      <c r="B124" s="9">
        <v>1921</v>
      </c>
      <c r="C124" s="7">
        <v>21</v>
      </c>
      <c r="D124" s="7" t="s">
        <v>1155</v>
      </c>
      <c r="E124" s="7"/>
      <c r="G124" t="s">
        <v>1671</v>
      </c>
      <c r="H124" t="s">
        <v>24</v>
      </c>
      <c r="I124">
        <v>85</v>
      </c>
      <c r="J124">
        <v>1</v>
      </c>
      <c r="N124" t="s">
        <v>26</v>
      </c>
      <c r="S124">
        <v>1</v>
      </c>
      <c r="T124">
        <v>16</v>
      </c>
      <c r="AA124" t="s">
        <v>55</v>
      </c>
      <c r="AB124" t="s">
        <v>29</v>
      </c>
      <c r="AC124" s="7">
        <v>1</v>
      </c>
      <c r="AE124" s="7">
        <v>1</v>
      </c>
      <c r="AF124" s="7"/>
      <c r="AG124" t="s">
        <v>1672</v>
      </c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ht="17.5" customHeight="1" x14ac:dyDescent="0.2">
      <c r="A125" s="9" t="s">
        <v>564</v>
      </c>
      <c r="B125" s="9">
        <v>1921</v>
      </c>
      <c r="C125" s="7">
        <v>21</v>
      </c>
      <c r="D125" s="7" t="s">
        <v>1155</v>
      </c>
      <c r="E125" s="7"/>
      <c r="G125" t="s">
        <v>1673</v>
      </c>
      <c r="H125" t="s">
        <v>24</v>
      </c>
      <c r="I125">
        <v>86</v>
      </c>
      <c r="J125">
        <v>1</v>
      </c>
      <c r="N125" t="s">
        <v>26</v>
      </c>
      <c r="S125">
        <v>1</v>
      </c>
      <c r="T125">
        <v>17</v>
      </c>
      <c r="AA125" t="s">
        <v>1674</v>
      </c>
      <c r="AB125" t="s">
        <v>29</v>
      </c>
      <c r="AC125" s="7">
        <v>1</v>
      </c>
      <c r="AE125" s="7">
        <v>1</v>
      </c>
      <c r="AF125" s="7"/>
      <c r="AG125" t="s">
        <v>666</v>
      </c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ht="17.5" customHeight="1" x14ac:dyDescent="0.2">
      <c r="A126" s="9" t="s">
        <v>564</v>
      </c>
      <c r="B126" s="9">
        <v>1921</v>
      </c>
      <c r="C126" s="7">
        <v>21</v>
      </c>
      <c r="D126" s="7" t="s">
        <v>1155</v>
      </c>
      <c r="E126" s="7"/>
      <c r="F126" s="7"/>
      <c r="G126" s="7"/>
      <c r="H126" s="7"/>
      <c r="I126" s="7">
        <v>86</v>
      </c>
      <c r="J126" s="7">
        <f>SUM(J3:J125)</f>
        <v>54</v>
      </c>
      <c r="K126" s="7">
        <f t="shared" ref="K126:AF126" si="0">SUM(K3:K125)</f>
        <v>25</v>
      </c>
      <c r="L126" s="7">
        <f t="shared" si="0"/>
        <v>5</v>
      </c>
      <c r="M126" s="7">
        <f t="shared" si="0"/>
        <v>2</v>
      </c>
      <c r="N126" s="7">
        <f t="shared" si="0"/>
        <v>20</v>
      </c>
      <c r="O126" s="7">
        <f t="shared" si="0"/>
        <v>16</v>
      </c>
      <c r="P126" s="7">
        <f t="shared" si="0"/>
        <v>13</v>
      </c>
      <c r="Q126" s="7">
        <f t="shared" si="0"/>
        <v>6</v>
      </c>
      <c r="R126" s="7">
        <f t="shared" si="0"/>
        <v>10</v>
      </c>
      <c r="S126" s="7">
        <f t="shared" si="0"/>
        <v>21</v>
      </c>
      <c r="T126" s="7">
        <f t="shared" si="0"/>
        <v>3030</v>
      </c>
      <c r="U126" s="7">
        <f t="shared" si="0"/>
        <v>0</v>
      </c>
      <c r="V126" s="7">
        <f t="shared" si="0"/>
        <v>0</v>
      </c>
      <c r="W126" s="7">
        <f t="shared" si="0"/>
        <v>0</v>
      </c>
      <c r="X126" s="7">
        <f>SUM(X3:X125)</f>
        <v>0</v>
      </c>
      <c r="Y126" s="7">
        <f>SUM(Y3:Y125)</f>
        <v>0</v>
      </c>
      <c r="Z126" s="7">
        <f>SUM(Z3:Z125)</f>
        <v>0</v>
      </c>
      <c r="AA126" s="7">
        <f>SUM(AA3:AA125)</f>
        <v>0</v>
      </c>
      <c r="AB126" s="7">
        <f>SUM(AB3:AB125)</f>
        <v>0</v>
      </c>
      <c r="AC126" s="7">
        <f t="shared" si="0"/>
        <v>50</v>
      </c>
      <c r="AD126" s="7">
        <f t="shared" si="0"/>
        <v>8</v>
      </c>
      <c r="AE126" s="7">
        <f>AC126-AD126</f>
        <v>42</v>
      </c>
      <c r="AF126" s="7">
        <f t="shared" si="0"/>
        <v>36</v>
      </c>
      <c r="AG126" s="7">
        <f>N127-AF126</f>
        <v>50</v>
      </c>
      <c r="AH126" s="7">
        <f>AG126+AF126</f>
        <v>86</v>
      </c>
      <c r="AI126" s="7">
        <f>SUM(AI3:AI125)</f>
        <v>0</v>
      </c>
      <c r="AJ126" s="7">
        <f>SUM(AJ3:AJ125)</f>
        <v>0</v>
      </c>
      <c r="AK126" s="7">
        <f t="shared" ref="AK126:AV126" si="1">SUM(AK3:AK117)</f>
        <v>0</v>
      </c>
      <c r="AL126" s="7">
        <f t="shared" si="1"/>
        <v>0</v>
      </c>
      <c r="AM126" s="7">
        <f t="shared" si="1"/>
        <v>0</v>
      </c>
      <c r="AN126" s="7">
        <f t="shared" si="1"/>
        <v>0</v>
      </c>
      <c r="AO126" s="7">
        <f t="shared" si="1"/>
        <v>0</v>
      </c>
      <c r="AP126" s="7">
        <f t="shared" si="1"/>
        <v>0</v>
      </c>
      <c r="AQ126" s="7">
        <f t="shared" si="1"/>
        <v>0</v>
      </c>
      <c r="AR126" s="7">
        <f t="shared" si="1"/>
        <v>0</v>
      </c>
      <c r="AS126" s="7">
        <f t="shared" si="1"/>
        <v>0</v>
      </c>
      <c r="AT126" s="7">
        <f t="shared" si="1"/>
        <v>0</v>
      </c>
      <c r="AU126" s="7">
        <f t="shared" si="1"/>
        <v>0</v>
      </c>
      <c r="AV126" s="7">
        <f t="shared" si="1"/>
        <v>0</v>
      </c>
      <c r="AW126" s="7"/>
      <c r="AX126" s="7"/>
      <c r="AY126" s="7"/>
    </row>
    <row r="127" spans="1:51" ht="17.5" customHeight="1" x14ac:dyDescent="0.2">
      <c r="A127" s="9" t="s">
        <v>564</v>
      </c>
      <c r="B127" s="9">
        <v>1921</v>
      </c>
      <c r="C127" s="7">
        <v>21</v>
      </c>
      <c r="D127" s="7" t="s">
        <v>1155</v>
      </c>
      <c r="E127" s="7"/>
      <c r="F127" s="7"/>
      <c r="G127" s="7"/>
      <c r="H127" s="7">
        <v>7</v>
      </c>
      <c r="I127" s="7">
        <f>SUM(J126:M126)</f>
        <v>86</v>
      </c>
      <c r="J127" s="7"/>
      <c r="K127" s="7"/>
      <c r="L127" s="7"/>
      <c r="M127" s="6"/>
      <c r="N127" s="6">
        <f>SUM(N126:S126)</f>
        <v>86</v>
      </c>
      <c r="O127" s="6"/>
      <c r="P127" s="6"/>
      <c r="Q127" s="6"/>
      <c r="R127" s="6"/>
      <c r="S127" s="6"/>
      <c r="T127" s="150">
        <f>T126/N127</f>
        <v>35.232558139534881</v>
      </c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ht="17" customHeight="1" x14ac:dyDescent="0.2">
      <c r="A128" s="4"/>
      <c r="B128" s="7"/>
      <c r="C128" s="7" t="s">
        <v>1326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ht="17.5" customHeight="1" x14ac:dyDescent="0.2">
      <c r="A129" s="7"/>
      <c r="B129" s="7"/>
      <c r="C129" s="7" t="s">
        <v>1681</v>
      </c>
      <c r="D129" s="7"/>
      <c r="E129" s="7"/>
      <c r="F129" s="7"/>
      <c r="G129" s="7"/>
      <c r="H129" s="7"/>
      <c r="I129" s="7"/>
      <c r="J129" s="7"/>
      <c r="K129" s="7"/>
      <c r="L129" s="7"/>
      <c r="M129" s="6"/>
      <c r="N129" s="6"/>
      <c r="O129" s="6"/>
      <c r="P129" s="6"/>
      <c r="Q129" s="6"/>
      <c r="R129" s="6"/>
      <c r="S129" s="6"/>
      <c r="T129" s="6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ht="17.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6"/>
      <c r="N130" s="6"/>
      <c r="O130" s="6"/>
      <c r="P130" s="6"/>
      <c r="Q130" s="6"/>
      <c r="R130" s="6"/>
      <c r="S130" s="6"/>
      <c r="T130" s="6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ht="17.5" customHeight="1" x14ac:dyDescent="0.2">
      <c r="A131" s="11"/>
      <c r="B131" s="11"/>
      <c r="C131" s="11"/>
      <c r="D131" s="12"/>
      <c r="E131" s="11"/>
      <c r="F131" s="12"/>
      <c r="G131" s="12"/>
      <c r="H131" s="12"/>
      <c r="I131" s="12"/>
      <c r="J131" s="12"/>
      <c r="K131" s="13"/>
      <c r="L131" s="12"/>
      <c r="M131" s="12"/>
      <c r="N131" s="12"/>
      <c r="O131" s="12"/>
      <c r="P131" s="12"/>
      <c r="Q131" s="13"/>
      <c r="R131" s="13"/>
      <c r="S131" s="13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ht="28" customHeight="1" x14ac:dyDescent="0.2">
      <c r="A132" s="11"/>
      <c r="B132" s="11"/>
      <c r="C132" s="11"/>
      <c r="D132" s="12"/>
      <c r="E132" s="11"/>
      <c r="F132" s="12"/>
      <c r="G132" s="12"/>
      <c r="H132" s="12"/>
      <c r="I132" s="12"/>
      <c r="J132" s="14"/>
      <c r="K132" s="15"/>
      <c r="L132" s="16"/>
      <c r="M132" s="12"/>
      <c r="N132" s="12"/>
      <c r="O132" s="12"/>
      <c r="P132" s="14"/>
      <c r="Q132" s="15"/>
      <c r="R132" s="15"/>
      <c r="S132" s="15"/>
      <c r="T132" s="17"/>
      <c r="U132" s="12"/>
      <c r="V132" s="12"/>
      <c r="W132" s="12"/>
      <c r="X132" s="12"/>
      <c r="Y132" s="12"/>
      <c r="Z132" s="12"/>
      <c r="AA132" s="12"/>
      <c r="AB132" s="12"/>
      <c r="AC132" s="12"/>
      <c r="AD132" s="11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ht="17.5" customHeight="1" x14ac:dyDescent="0.2">
      <c r="B133" s="7"/>
      <c r="C133" s="7"/>
      <c r="D133" s="7"/>
      <c r="E133" s="7"/>
      <c r="F133" s="7"/>
      <c r="G133" s="7"/>
      <c r="H133" s="7"/>
      <c r="I133" s="7"/>
      <c r="J133" s="7"/>
      <c r="K133" s="9"/>
      <c r="L133" s="7"/>
      <c r="M133" s="6"/>
      <c r="N133" s="6"/>
      <c r="O133" s="6"/>
      <c r="P133" s="6"/>
      <c r="Q133" s="18"/>
      <c r="R133" s="18"/>
      <c r="S133" s="18"/>
      <c r="T133" s="6"/>
      <c r="U133" s="6"/>
      <c r="V133" s="6"/>
      <c r="W133" s="6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ht="17.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6"/>
      <c r="N134" s="6"/>
      <c r="O134" s="6"/>
      <c r="P134" s="6"/>
      <c r="Q134" s="7"/>
      <c r="R134" s="6"/>
      <c r="S134" s="6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ht="17.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6"/>
      <c r="N135" s="6"/>
      <c r="O135" s="6"/>
      <c r="P135" s="6"/>
      <c r="Q135" s="6"/>
      <c r="R135" s="6"/>
      <c r="S135" s="6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ht="17.5" customHeight="1" x14ac:dyDescent="0.2">
      <c r="A136" s="7"/>
      <c r="B136" s="7"/>
      <c r="C136" s="7"/>
      <c r="D136" s="7"/>
      <c r="E136" s="7"/>
      <c r="F136" s="7"/>
      <c r="G136" s="7"/>
      <c r="J136" t="s">
        <v>0</v>
      </c>
      <c r="K136" t="s">
        <v>1</v>
      </c>
      <c r="L136" t="s">
        <v>2</v>
      </c>
      <c r="M136" t="s">
        <v>3</v>
      </c>
      <c r="N136" t="s">
        <v>4</v>
      </c>
      <c r="O136" t="s">
        <v>5</v>
      </c>
      <c r="P136" t="s">
        <v>6</v>
      </c>
      <c r="Q136" t="s">
        <v>7</v>
      </c>
      <c r="R136" t="s">
        <v>8</v>
      </c>
      <c r="U136" t="s">
        <v>1680</v>
      </c>
      <c r="V136" s="6"/>
      <c r="W136" s="6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ht="17.5" customHeight="1" x14ac:dyDescent="0.2">
      <c r="A137" s="7"/>
      <c r="B137" s="7"/>
      <c r="C137" s="7"/>
      <c r="D137" s="7"/>
      <c r="E137" s="7"/>
      <c r="F137" s="7"/>
      <c r="G137" s="7"/>
      <c r="H137">
        <v>31</v>
      </c>
      <c r="J137" t="s">
        <v>1664</v>
      </c>
      <c r="K137" t="s">
        <v>316</v>
      </c>
      <c r="L137" t="s">
        <v>12</v>
      </c>
      <c r="M137" t="s">
        <v>13</v>
      </c>
      <c r="N137">
        <v>1894</v>
      </c>
      <c r="O137">
        <v>27</v>
      </c>
      <c r="P137" t="s">
        <v>49</v>
      </c>
      <c r="Q137" t="s">
        <v>321</v>
      </c>
      <c r="R137" t="s">
        <v>1665</v>
      </c>
      <c r="V137" s="6"/>
      <c r="W137" s="6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ht="17.5" customHeight="1" x14ac:dyDescent="0.2">
      <c r="A138" s="7"/>
      <c r="B138" s="7"/>
      <c r="C138" s="7"/>
      <c r="D138" s="7"/>
      <c r="E138" s="7"/>
      <c r="F138" s="7"/>
      <c r="G138" s="7"/>
      <c r="J138" t="s">
        <v>1666</v>
      </c>
      <c r="K138" t="s">
        <v>316</v>
      </c>
      <c r="L138" t="s">
        <v>18</v>
      </c>
      <c r="M138" t="s">
        <v>19</v>
      </c>
      <c r="N138">
        <v>1893</v>
      </c>
      <c r="O138">
        <v>28</v>
      </c>
      <c r="P138" t="s">
        <v>1667</v>
      </c>
      <c r="Q138" t="s">
        <v>50</v>
      </c>
      <c r="R138" t="s">
        <v>20</v>
      </c>
      <c r="S138" t="s">
        <v>1679</v>
      </c>
      <c r="V138" s="6"/>
      <c r="W138" s="6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ht="17.5" customHeight="1" x14ac:dyDescent="0.2">
      <c r="A139" s="7"/>
      <c r="B139" s="7"/>
      <c r="C139" s="7"/>
      <c r="D139" s="7"/>
      <c r="E139" s="7"/>
      <c r="F139" s="7"/>
      <c r="G139" s="7"/>
      <c r="J139" t="s">
        <v>1668</v>
      </c>
      <c r="K139" t="s">
        <v>316</v>
      </c>
      <c r="L139" t="s">
        <v>22</v>
      </c>
      <c r="M139" t="s">
        <v>19</v>
      </c>
      <c r="N139">
        <v>1919</v>
      </c>
      <c r="O139">
        <v>2</v>
      </c>
      <c r="P139" t="s">
        <v>49</v>
      </c>
      <c r="Q139" t="s">
        <v>20</v>
      </c>
      <c r="R139" t="s">
        <v>20</v>
      </c>
      <c r="V139" s="6"/>
      <c r="W139" s="6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ht="17.5" customHeight="1" x14ac:dyDescent="0.2">
      <c r="A140" s="7"/>
      <c r="B140" s="7"/>
      <c r="C140" s="7"/>
      <c r="D140" s="7"/>
      <c r="E140" s="7"/>
      <c r="F140" s="7"/>
      <c r="G140" s="7"/>
      <c r="J140" t="s">
        <v>1669</v>
      </c>
      <c r="K140" t="s">
        <v>316</v>
      </c>
      <c r="L140" t="s">
        <v>22</v>
      </c>
      <c r="M140" t="s">
        <v>19</v>
      </c>
      <c r="N140">
        <v>1921</v>
      </c>
      <c r="O140" t="s">
        <v>20</v>
      </c>
      <c r="P140" t="s">
        <v>49</v>
      </c>
      <c r="Q140" t="s">
        <v>20</v>
      </c>
      <c r="R140" t="s">
        <v>20</v>
      </c>
      <c r="V140" s="6"/>
      <c r="W140" s="6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ht="17" customHeight="1" x14ac:dyDescent="0.2">
      <c r="A141" s="7"/>
      <c r="B141" s="7"/>
      <c r="C141" s="7"/>
      <c r="D141" s="7"/>
      <c r="E141" s="7"/>
      <c r="F141" s="7"/>
      <c r="G141" s="7"/>
      <c r="J141" t="s">
        <v>1601</v>
      </c>
      <c r="K141" t="s">
        <v>1477</v>
      </c>
      <c r="L141" t="s">
        <v>26</v>
      </c>
      <c r="M141" t="s">
        <v>19</v>
      </c>
      <c r="N141">
        <v>1882</v>
      </c>
      <c r="O141">
        <v>38</v>
      </c>
      <c r="P141" t="s">
        <v>1670</v>
      </c>
      <c r="Q141" t="s">
        <v>33</v>
      </c>
      <c r="R141" t="s">
        <v>29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ht="17.5" customHeight="1" x14ac:dyDescent="0.2">
      <c r="A142" s="7"/>
      <c r="B142" s="7"/>
      <c r="C142" s="7"/>
      <c r="D142" s="7"/>
      <c r="E142" s="7"/>
      <c r="F142" s="7"/>
      <c r="G142" s="7"/>
      <c r="J142" t="s">
        <v>24</v>
      </c>
      <c r="K142" t="s">
        <v>1671</v>
      </c>
      <c r="L142" t="s">
        <v>26</v>
      </c>
      <c r="M142" t="s">
        <v>19</v>
      </c>
      <c r="N142">
        <v>1904</v>
      </c>
      <c r="O142">
        <v>16</v>
      </c>
      <c r="P142" t="s">
        <v>1672</v>
      </c>
      <c r="Q142" t="s">
        <v>55</v>
      </c>
      <c r="R142" t="s">
        <v>29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ht="17.5" customHeight="1" x14ac:dyDescent="0.2">
      <c r="A143" s="7"/>
      <c r="B143" s="7"/>
      <c r="C143" s="7"/>
      <c r="D143" s="7"/>
      <c r="E143" s="7"/>
      <c r="F143" s="7"/>
      <c r="G143" s="7"/>
      <c r="J143" t="s">
        <v>24</v>
      </c>
      <c r="K143" t="s">
        <v>1673</v>
      </c>
      <c r="L143" t="s">
        <v>26</v>
      </c>
      <c r="M143" t="s">
        <v>19</v>
      </c>
      <c r="N143">
        <v>1904</v>
      </c>
      <c r="O143">
        <v>17</v>
      </c>
      <c r="P143" t="s">
        <v>666</v>
      </c>
      <c r="Q143" t="s">
        <v>1674</v>
      </c>
      <c r="R143" t="s">
        <v>29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ht="17.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6"/>
      <c r="N144" s="6"/>
      <c r="O144" s="6"/>
      <c r="P144" s="6"/>
      <c r="Q144" s="7"/>
      <c r="R144" s="6"/>
      <c r="S144" s="6"/>
      <c r="T144" s="7"/>
      <c r="U144" s="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ht="17.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6"/>
      <c r="N145" s="6"/>
      <c r="O145" s="6"/>
      <c r="P145" s="6"/>
      <c r="Q145" s="7"/>
      <c r="R145" s="6"/>
      <c r="S145" s="6"/>
      <c r="T145" s="19"/>
      <c r="U145" s="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ht="17.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6"/>
      <c r="N146" s="6"/>
      <c r="O146" s="6"/>
      <c r="P146" s="6"/>
      <c r="Q146" s="7"/>
      <c r="R146" s="6"/>
      <c r="S146" s="6"/>
      <c r="T146" s="7"/>
      <c r="U146" s="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ht="17.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6"/>
      <c r="N147" s="6"/>
      <c r="O147" s="6"/>
      <c r="P147" s="6"/>
      <c r="Q147" s="7"/>
      <c r="R147" s="6"/>
      <c r="S147" s="6"/>
      <c r="T147" s="7"/>
      <c r="U147" s="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ht="17.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6"/>
      <c r="N148" s="6"/>
      <c r="O148" s="6"/>
      <c r="P148" s="6"/>
      <c r="Q148" s="7"/>
      <c r="R148" s="6"/>
      <c r="S148" s="6"/>
      <c r="T148" s="7"/>
      <c r="U148" s="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ht="17" customHeight="1" x14ac:dyDescent="0.2">
      <c r="A149" s="4" t="s">
        <v>252</v>
      </c>
      <c r="B149" s="7"/>
      <c r="C149" s="7"/>
      <c r="D149" s="7"/>
      <c r="E149" s="7"/>
      <c r="F149" s="7"/>
      <c r="G149" s="7">
        <f t="shared" ref="G149:N149" si="2">SUM(G3:G148)</f>
        <v>0</v>
      </c>
      <c r="H149" s="7">
        <f t="shared" si="2"/>
        <v>117</v>
      </c>
      <c r="I149" s="7">
        <f t="shared" si="2"/>
        <v>3913</v>
      </c>
      <c r="J149" s="7">
        <f t="shared" si="2"/>
        <v>108</v>
      </c>
      <c r="K149" s="7">
        <f t="shared" si="2"/>
        <v>50</v>
      </c>
      <c r="L149" s="7">
        <f t="shared" si="2"/>
        <v>10</v>
      </c>
      <c r="M149" s="7">
        <f t="shared" si="2"/>
        <v>4</v>
      </c>
      <c r="N149" s="7">
        <f t="shared" si="2"/>
        <v>13443</v>
      </c>
      <c r="O149" s="7"/>
      <c r="P149" s="7">
        <f t="shared" ref="P149:W149" si="3">SUM(P3:P148)</f>
        <v>26</v>
      </c>
      <c r="Q149" s="7">
        <f t="shared" si="3"/>
        <v>12</v>
      </c>
      <c r="R149" s="7">
        <f t="shared" si="3"/>
        <v>20</v>
      </c>
      <c r="S149" s="7">
        <f t="shared" si="3"/>
        <v>42</v>
      </c>
      <c r="T149" s="7">
        <f t="shared" si="3"/>
        <v>6095.2325581395353</v>
      </c>
      <c r="U149" s="7">
        <f t="shared" si="3"/>
        <v>0</v>
      </c>
      <c r="V149" s="7">
        <f t="shared" si="3"/>
        <v>0</v>
      </c>
      <c r="W149" s="7">
        <f t="shared" si="3"/>
        <v>0</v>
      </c>
      <c r="X149" s="7"/>
      <c r="Y149" s="7"/>
      <c r="Z149" s="7">
        <f>SUM(Z3:Z148)</f>
        <v>0</v>
      </c>
      <c r="AA149" s="7">
        <f>SUM(AA3:AA148)</f>
        <v>0</v>
      </c>
      <c r="AB149" s="7">
        <f>SUM(AB3:AB148)</f>
        <v>0</v>
      </c>
      <c r="AC149" s="7">
        <f>SUM(AC3:AC148)</f>
        <v>100</v>
      </c>
      <c r="AD149" s="7">
        <f>SUM(AD3:AD148)</f>
        <v>16</v>
      </c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ht="17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20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ht="17" customHeight="1" x14ac:dyDescent="0.2">
      <c r="A151" s="7"/>
      <c r="B151" s="7"/>
      <c r="C151" s="7"/>
      <c r="D151" s="7"/>
      <c r="E151" s="7"/>
      <c r="F151" s="7"/>
      <c r="G151" s="21"/>
      <c r="H151" s="21"/>
      <c r="I151" s="21"/>
      <c r="J151" s="7"/>
      <c r="K151" s="7"/>
      <c r="L151" s="7"/>
      <c r="M151" s="7"/>
      <c r="N151" s="7"/>
      <c r="O151" s="7"/>
      <c r="P151" s="7"/>
      <c r="Q151" s="20"/>
      <c r="R151" s="21"/>
      <c r="S151" s="21"/>
      <c r="T151" s="21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ht="17.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6"/>
      <c r="S152" s="6"/>
      <c r="T152" s="19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ht="17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21"/>
      <c r="S153" s="21"/>
      <c r="T153" s="21"/>
      <c r="U153" s="7"/>
      <c r="V153" s="7"/>
      <c r="W153" s="7"/>
      <c r="X153" s="7"/>
      <c r="Y153" s="7"/>
      <c r="Z153" s="7"/>
      <c r="AA153" s="7"/>
      <c r="AB153" s="7"/>
      <c r="AC153" s="22"/>
      <c r="AD153" s="22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ht="17.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6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8" spans="1:51" x14ac:dyDescent="0.2">
      <c r="H158" t="s">
        <v>0</v>
      </c>
      <c r="I158" t="s">
        <v>1</v>
      </c>
      <c r="J158" t="s">
        <v>2</v>
      </c>
      <c r="K158" t="s">
        <v>3</v>
      </c>
      <c r="L158" t="s">
        <v>4</v>
      </c>
      <c r="M158" t="s">
        <v>5</v>
      </c>
      <c r="N158" t="s">
        <v>6</v>
      </c>
      <c r="O158" t="s">
        <v>7</v>
      </c>
      <c r="P158" t="s">
        <v>8</v>
      </c>
    </row>
    <row r="159" spans="1:51" x14ac:dyDescent="0.2">
      <c r="F159">
        <v>17</v>
      </c>
      <c r="H159" t="s">
        <v>1156</v>
      </c>
      <c r="I159" t="s">
        <v>1157</v>
      </c>
      <c r="J159" t="s">
        <v>12</v>
      </c>
      <c r="K159" t="s">
        <v>13</v>
      </c>
      <c r="L159">
        <v>1889</v>
      </c>
      <c r="M159">
        <v>32</v>
      </c>
      <c r="N159" t="s">
        <v>49</v>
      </c>
      <c r="O159" t="s">
        <v>1158</v>
      </c>
      <c r="P159" t="s">
        <v>8</v>
      </c>
    </row>
    <row r="160" spans="1:51" x14ac:dyDescent="0.2">
      <c r="H160" t="s">
        <v>1159</v>
      </c>
      <c r="I160" t="s">
        <v>1157</v>
      </c>
      <c r="J160" t="s">
        <v>18</v>
      </c>
      <c r="K160" t="s">
        <v>19</v>
      </c>
      <c r="L160">
        <v>1895</v>
      </c>
      <c r="M160">
        <v>26</v>
      </c>
      <c r="N160" t="s">
        <v>1160</v>
      </c>
      <c r="O160" t="s">
        <v>50</v>
      </c>
      <c r="P160" t="s">
        <v>20</v>
      </c>
    </row>
    <row r="161" spans="6:16" x14ac:dyDescent="0.2">
      <c r="H161" t="s">
        <v>1161</v>
      </c>
      <c r="I161" t="s">
        <v>1157</v>
      </c>
      <c r="J161" t="s">
        <v>22</v>
      </c>
      <c r="K161" t="s">
        <v>19</v>
      </c>
      <c r="L161">
        <v>1918</v>
      </c>
      <c r="M161">
        <v>3</v>
      </c>
      <c r="N161" t="s">
        <v>49</v>
      </c>
      <c r="O161" t="s">
        <v>20</v>
      </c>
      <c r="P161" t="s">
        <v>20</v>
      </c>
    </row>
    <row r="162" spans="6:16" x14ac:dyDescent="0.2">
      <c r="H162" t="s">
        <v>192</v>
      </c>
      <c r="I162" t="s">
        <v>1162</v>
      </c>
      <c r="J162" t="s">
        <v>26</v>
      </c>
      <c r="K162" t="s">
        <v>19</v>
      </c>
      <c r="L162">
        <v>1889</v>
      </c>
      <c r="M162">
        <v>31</v>
      </c>
      <c r="N162" t="s">
        <v>368</v>
      </c>
      <c r="O162" t="s">
        <v>33</v>
      </c>
      <c r="P162" t="s">
        <v>29</v>
      </c>
    </row>
    <row r="163" spans="6:16" x14ac:dyDescent="0.2">
      <c r="H163" t="s">
        <v>998</v>
      </c>
      <c r="I163" t="s">
        <v>1163</v>
      </c>
      <c r="J163" t="s">
        <v>26</v>
      </c>
      <c r="K163" t="s">
        <v>19</v>
      </c>
      <c r="L163">
        <v>1900</v>
      </c>
      <c r="M163">
        <v>20</v>
      </c>
      <c r="N163" t="s">
        <v>1164</v>
      </c>
      <c r="O163" t="s">
        <v>56</v>
      </c>
      <c r="P163" t="s">
        <v>29</v>
      </c>
    </row>
    <row r="164" spans="6:16" x14ac:dyDescent="0.2">
      <c r="H164" t="s">
        <v>1165</v>
      </c>
      <c r="I164" t="s">
        <v>1166</v>
      </c>
      <c r="J164" t="s">
        <v>208</v>
      </c>
      <c r="K164" t="s">
        <v>19</v>
      </c>
      <c r="L164">
        <v>1895</v>
      </c>
      <c r="M164">
        <v>26</v>
      </c>
      <c r="N164" t="s">
        <v>388</v>
      </c>
      <c r="O164" t="s">
        <v>208</v>
      </c>
      <c r="P164" t="s">
        <v>29</v>
      </c>
    </row>
    <row r="166" spans="6:16" x14ac:dyDescent="0.2">
      <c r="F166">
        <v>2</v>
      </c>
      <c r="H166" t="s">
        <v>0</v>
      </c>
      <c r="I166" t="s">
        <v>1</v>
      </c>
      <c r="J166" t="s">
        <v>2</v>
      </c>
      <c r="K166" t="s">
        <v>3</v>
      </c>
      <c r="L166" t="s">
        <v>4</v>
      </c>
      <c r="M166" t="s">
        <v>5</v>
      </c>
      <c r="N166" t="s">
        <v>6</v>
      </c>
      <c r="O166" t="s">
        <v>7</v>
      </c>
      <c r="P166" t="s">
        <v>8</v>
      </c>
    </row>
    <row r="167" spans="6:16" x14ac:dyDescent="0.2">
      <c r="H167" t="s">
        <v>1167</v>
      </c>
      <c r="I167" t="s">
        <v>1168</v>
      </c>
      <c r="J167" t="s">
        <v>12</v>
      </c>
      <c r="K167" t="s">
        <v>13</v>
      </c>
      <c r="L167">
        <v>1878</v>
      </c>
      <c r="M167">
        <v>43</v>
      </c>
      <c r="N167" t="s">
        <v>1169</v>
      </c>
      <c r="O167" t="s">
        <v>1170</v>
      </c>
      <c r="P167" t="s">
        <v>1171</v>
      </c>
    </row>
    <row r="168" spans="6:16" x14ac:dyDescent="0.2">
      <c r="H168" t="s">
        <v>1172</v>
      </c>
      <c r="I168" t="s">
        <v>1168</v>
      </c>
      <c r="J168" t="s">
        <v>18</v>
      </c>
      <c r="K168" t="s">
        <v>19</v>
      </c>
      <c r="L168">
        <v>1878</v>
      </c>
      <c r="M168">
        <v>43</v>
      </c>
      <c r="N168" t="s">
        <v>368</v>
      </c>
      <c r="O168" t="s">
        <v>1173</v>
      </c>
      <c r="P168" t="s">
        <v>29</v>
      </c>
    </row>
    <row r="169" spans="6:16" x14ac:dyDescent="0.2">
      <c r="H169" t="s">
        <v>323</v>
      </c>
      <c r="I169" t="s">
        <v>1168</v>
      </c>
      <c r="J169" t="s">
        <v>22</v>
      </c>
      <c r="K169" t="s">
        <v>19</v>
      </c>
      <c r="L169">
        <v>1902</v>
      </c>
      <c r="M169">
        <v>19</v>
      </c>
      <c r="N169" t="s">
        <v>1174</v>
      </c>
      <c r="O169" t="s">
        <v>1175</v>
      </c>
      <c r="P169" t="s">
        <v>1176</v>
      </c>
    </row>
    <row r="171" spans="6:16" x14ac:dyDescent="0.2">
      <c r="H171" t="s">
        <v>0</v>
      </c>
      <c r="I171" t="s">
        <v>1</v>
      </c>
      <c r="J171" t="s">
        <v>2</v>
      </c>
      <c r="K171" t="s">
        <v>3</v>
      </c>
      <c r="L171" t="s">
        <v>4</v>
      </c>
      <c r="M171" t="s">
        <v>5</v>
      </c>
      <c r="N171" t="s">
        <v>6</v>
      </c>
      <c r="O171" t="s">
        <v>7</v>
      </c>
      <c r="P171" t="s">
        <v>8</v>
      </c>
    </row>
    <row r="172" spans="6:16" x14ac:dyDescent="0.2">
      <c r="F172">
        <v>3</v>
      </c>
      <c r="H172" t="s">
        <v>1177</v>
      </c>
      <c r="I172" t="s">
        <v>371</v>
      </c>
      <c r="J172" t="s">
        <v>12</v>
      </c>
      <c r="K172" t="s">
        <v>13</v>
      </c>
      <c r="L172">
        <v>1888</v>
      </c>
      <c r="M172">
        <v>33</v>
      </c>
      <c r="N172" t="s">
        <v>49</v>
      </c>
      <c r="O172" t="s">
        <v>1178</v>
      </c>
      <c r="P172" t="s">
        <v>8</v>
      </c>
    </row>
    <row r="173" spans="6:16" x14ac:dyDescent="0.2">
      <c r="H173" t="s">
        <v>1179</v>
      </c>
      <c r="I173" t="s">
        <v>371</v>
      </c>
      <c r="J173" t="s">
        <v>18</v>
      </c>
      <c r="K173" t="s">
        <v>19</v>
      </c>
      <c r="L173">
        <v>1895</v>
      </c>
      <c r="M173">
        <v>26</v>
      </c>
      <c r="N173" t="s">
        <v>1180</v>
      </c>
      <c r="O173" t="s">
        <v>50</v>
      </c>
      <c r="P173" t="s">
        <v>20</v>
      </c>
    </row>
    <row r="175" spans="6:16" x14ac:dyDescent="0.2">
      <c r="H175" t="s">
        <v>0</v>
      </c>
      <c r="I175" t="s">
        <v>1</v>
      </c>
      <c r="J175" t="s">
        <v>2</v>
      </c>
      <c r="K175" t="s">
        <v>3</v>
      </c>
      <c r="L175" t="s">
        <v>4</v>
      </c>
      <c r="M175" t="s">
        <v>5</v>
      </c>
      <c r="N175" t="s">
        <v>6</v>
      </c>
      <c r="O175" t="s">
        <v>7</v>
      </c>
      <c r="P175" t="s">
        <v>8</v>
      </c>
    </row>
    <row r="176" spans="6:16" x14ac:dyDescent="0.2">
      <c r="F176">
        <v>4</v>
      </c>
      <c r="H176" t="s">
        <v>1181</v>
      </c>
      <c r="I176" t="s">
        <v>1182</v>
      </c>
      <c r="J176" t="s">
        <v>12</v>
      </c>
      <c r="K176" t="s">
        <v>13</v>
      </c>
      <c r="L176">
        <v>1880</v>
      </c>
      <c r="M176">
        <v>40</v>
      </c>
      <c r="N176" t="s">
        <v>1183</v>
      </c>
      <c r="O176" t="s">
        <v>1184</v>
      </c>
      <c r="P176" t="s">
        <v>1185</v>
      </c>
    </row>
    <row r="177" spans="6:16" x14ac:dyDescent="0.2">
      <c r="H177" t="s">
        <v>1186</v>
      </c>
      <c r="I177" t="s">
        <v>1182</v>
      </c>
      <c r="J177" t="s">
        <v>18</v>
      </c>
      <c r="K177" t="s">
        <v>19</v>
      </c>
      <c r="L177">
        <v>1889</v>
      </c>
      <c r="M177">
        <v>32</v>
      </c>
      <c r="N177" t="s">
        <v>1187</v>
      </c>
      <c r="O177" t="s">
        <v>50</v>
      </c>
      <c r="P177" t="s">
        <v>20</v>
      </c>
    </row>
    <row r="178" spans="6:16" x14ac:dyDescent="0.2">
      <c r="H178" t="s">
        <v>1188</v>
      </c>
      <c r="I178" t="s">
        <v>1182</v>
      </c>
      <c r="J178" t="s">
        <v>22</v>
      </c>
      <c r="K178" t="s">
        <v>19</v>
      </c>
      <c r="L178">
        <v>1914</v>
      </c>
      <c r="M178">
        <v>6</v>
      </c>
      <c r="N178" t="s">
        <v>1189</v>
      </c>
      <c r="O178" t="s">
        <v>20</v>
      </c>
      <c r="P178" t="s">
        <v>20</v>
      </c>
    </row>
    <row r="180" spans="6:16" x14ac:dyDescent="0.2">
      <c r="H180" t="s">
        <v>0</v>
      </c>
      <c r="I180" t="s">
        <v>1</v>
      </c>
      <c r="J180" t="s">
        <v>2</v>
      </c>
      <c r="K180" t="s">
        <v>3</v>
      </c>
      <c r="L180" t="s">
        <v>4</v>
      </c>
      <c r="M180" t="s">
        <v>5</v>
      </c>
      <c r="N180" t="s">
        <v>6</v>
      </c>
      <c r="O180" t="s">
        <v>7</v>
      </c>
      <c r="P180" t="s">
        <v>8</v>
      </c>
    </row>
    <row r="181" spans="6:16" x14ac:dyDescent="0.2">
      <c r="F181">
        <v>5</v>
      </c>
      <c r="H181" t="s">
        <v>1190</v>
      </c>
      <c r="I181" t="s">
        <v>1191</v>
      </c>
      <c r="J181" t="s">
        <v>12</v>
      </c>
      <c r="K181" t="s">
        <v>13</v>
      </c>
      <c r="L181">
        <v>1865</v>
      </c>
      <c r="M181">
        <v>56</v>
      </c>
      <c r="N181" t="s">
        <v>49</v>
      </c>
      <c r="O181" t="s">
        <v>1192</v>
      </c>
      <c r="P181" t="s">
        <v>1193</v>
      </c>
    </row>
    <row r="182" spans="6:16" x14ac:dyDescent="0.2">
      <c r="H182" t="s">
        <v>1194</v>
      </c>
      <c r="I182" t="s">
        <v>1191</v>
      </c>
      <c r="J182" t="s">
        <v>18</v>
      </c>
      <c r="K182" t="s">
        <v>19</v>
      </c>
      <c r="L182">
        <v>1869</v>
      </c>
      <c r="M182">
        <v>52</v>
      </c>
      <c r="N182" t="s">
        <v>149</v>
      </c>
      <c r="O182" t="s">
        <v>47</v>
      </c>
      <c r="P182" t="s">
        <v>20</v>
      </c>
    </row>
    <row r="183" spans="6:16" x14ac:dyDescent="0.2">
      <c r="H183" t="s">
        <v>1195</v>
      </c>
      <c r="I183" t="s">
        <v>1196</v>
      </c>
      <c r="J183" t="s">
        <v>26</v>
      </c>
      <c r="K183" t="s">
        <v>19</v>
      </c>
      <c r="L183">
        <v>1882</v>
      </c>
      <c r="M183">
        <v>39</v>
      </c>
      <c r="N183" t="s">
        <v>1197</v>
      </c>
      <c r="O183" t="s">
        <v>33</v>
      </c>
      <c r="P183" t="s">
        <v>1198</v>
      </c>
    </row>
    <row r="184" spans="6:16" x14ac:dyDescent="0.2">
      <c r="H184" t="s">
        <v>1186</v>
      </c>
      <c r="I184" t="s">
        <v>1196</v>
      </c>
      <c r="J184" t="s">
        <v>26</v>
      </c>
      <c r="K184" t="s">
        <v>19</v>
      </c>
      <c r="L184">
        <v>1903</v>
      </c>
      <c r="M184">
        <v>18</v>
      </c>
      <c r="N184" t="s">
        <v>1199</v>
      </c>
      <c r="O184" t="s">
        <v>28</v>
      </c>
      <c r="P184" t="s">
        <v>1198</v>
      </c>
    </row>
    <row r="186" spans="6:16" x14ac:dyDescent="0.2">
      <c r="H186" t="s">
        <v>0</v>
      </c>
      <c r="I186" t="s">
        <v>1</v>
      </c>
      <c r="J186" t="s">
        <v>2</v>
      </c>
      <c r="K186" t="s">
        <v>3</v>
      </c>
      <c r="L186" t="s">
        <v>4</v>
      </c>
      <c r="M186" t="s">
        <v>5</v>
      </c>
      <c r="N186" t="s">
        <v>6</v>
      </c>
      <c r="O186" t="s">
        <v>7</v>
      </c>
      <c r="P186" t="s">
        <v>8</v>
      </c>
    </row>
    <row r="187" spans="6:16" x14ac:dyDescent="0.2">
      <c r="F187">
        <v>6</v>
      </c>
      <c r="H187" t="s">
        <v>1200</v>
      </c>
      <c r="I187" t="s">
        <v>1201</v>
      </c>
      <c r="J187" t="s">
        <v>12</v>
      </c>
      <c r="K187" t="s">
        <v>13</v>
      </c>
      <c r="L187">
        <v>1887</v>
      </c>
      <c r="M187">
        <v>33</v>
      </c>
      <c r="N187" t="s">
        <v>1202</v>
      </c>
      <c r="O187" t="s">
        <v>1203</v>
      </c>
      <c r="P187" t="s">
        <v>1204</v>
      </c>
    </row>
    <row r="188" spans="6:16" x14ac:dyDescent="0.2">
      <c r="H188" t="s">
        <v>422</v>
      </c>
      <c r="I188" t="s">
        <v>1201</v>
      </c>
      <c r="J188" t="s">
        <v>18</v>
      </c>
      <c r="K188" t="s">
        <v>19</v>
      </c>
      <c r="L188">
        <v>1886</v>
      </c>
      <c r="M188">
        <v>34</v>
      </c>
      <c r="N188" t="s">
        <v>1205</v>
      </c>
      <c r="O188" t="s">
        <v>50</v>
      </c>
      <c r="P188" t="s">
        <v>20</v>
      </c>
    </row>
    <row r="189" spans="6:16" x14ac:dyDescent="0.2">
      <c r="H189" t="s">
        <v>1206</v>
      </c>
      <c r="I189" t="s">
        <v>1201</v>
      </c>
      <c r="J189" t="s">
        <v>51</v>
      </c>
      <c r="K189" t="s">
        <v>13</v>
      </c>
      <c r="L189">
        <v>1921</v>
      </c>
      <c r="M189" t="s">
        <v>20</v>
      </c>
      <c r="N189" t="s">
        <v>1205</v>
      </c>
      <c r="O189" t="s">
        <v>20</v>
      </c>
      <c r="P189" t="s">
        <v>20</v>
      </c>
    </row>
    <row r="190" spans="6:16" x14ac:dyDescent="0.2">
      <c r="H190" t="s">
        <v>1207</v>
      </c>
      <c r="I190" t="s">
        <v>1201</v>
      </c>
      <c r="J190" t="s">
        <v>1208</v>
      </c>
      <c r="K190" t="s">
        <v>13</v>
      </c>
      <c r="L190">
        <v>1905</v>
      </c>
      <c r="M190">
        <v>16</v>
      </c>
      <c r="N190" t="s">
        <v>1209</v>
      </c>
      <c r="O190" t="s">
        <v>1210</v>
      </c>
      <c r="P190" t="s">
        <v>20</v>
      </c>
    </row>
    <row r="192" spans="6:16" x14ac:dyDescent="0.2">
      <c r="H192" t="s">
        <v>0</v>
      </c>
      <c r="I192" t="s">
        <v>1</v>
      </c>
      <c r="J192" t="s">
        <v>2</v>
      </c>
      <c r="K192" t="s">
        <v>3</v>
      </c>
      <c r="L192" t="s">
        <v>4</v>
      </c>
      <c r="M192" t="s">
        <v>5</v>
      </c>
      <c r="N192" t="s">
        <v>6</v>
      </c>
      <c r="O192" t="s">
        <v>7</v>
      </c>
      <c r="P192" t="s">
        <v>8</v>
      </c>
    </row>
    <row r="193" spans="6:16" x14ac:dyDescent="0.2">
      <c r="F193">
        <v>7</v>
      </c>
      <c r="H193" t="s">
        <v>1211</v>
      </c>
      <c r="I193" t="s">
        <v>1212</v>
      </c>
      <c r="J193" t="s">
        <v>12</v>
      </c>
      <c r="K193" t="s">
        <v>13</v>
      </c>
      <c r="L193">
        <v>1862</v>
      </c>
      <c r="M193">
        <v>58</v>
      </c>
      <c r="N193" t="s">
        <v>49</v>
      </c>
      <c r="O193" t="s">
        <v>1213</v>
      </c>
      <c r="P193" t="s">
        <v>8</v>
      </c>
    </row>
    <row r="194" spans="6:16" x14ac:dyDescent="0.2">
      <c r="H194" t="s">
        <v>170</v>
      </c>
      <c r="I194" t="s">
        <v>1212</v>
      </c>
      <c r="J194" t="s">
        <v>18</v>
      </c>
      <c r="K194" t="s">
        <v>19</v>
      </c>
      <c r="L194">
        <v>1856</v>
      </c>
      <c r="M194">
        <v>64</v>
      </c>
      <c r="N194" t="s">
        <v>49</v>
      </c>
      <c r="O194" t="s">
        <v>50</v>
      </c>
      <c r="P194" t="s">
        <v>20</v>
      </c>
    </row>
    <row r="195" spans="6:16" x14ac:dyDescent="0.2">
      <c r="H195" t="s">
        <v>170</v>
      </c>
      <c r="I195" t="s">
        <v>1214</v>
      </c>
      <c r="J195" t="s">
        <v>26</v>
      </c>
      <c r="K195" t="s">
        <v>19</v>
      </c>
      <c r="L195">
        <v>1874</v>
      </c>
      <c r="M195">
        <v>47</v>
      </c>
      <c r="N195" t="s">
        <v>452</v>
      </c>
      <c r="O195" t="s">
        <v>344</v>
      </c>
      <c r="P195" t="s">
        <v>29</v>
      </c>
    </row>
    <row r="196" spans="6:16" x14ac:dyDescent="0.2">
      <c r="H196" t="s">
        <v>937</v>
      </c>
      <c r="I196" t="s">
        <v>1215</v>
      </c>
      <c r="J196" t="s">
        <v>26</v>
      </c>
      <c r="K196" t="s">
        <v>19</v>
      </c>
      <c r="L196">
        <v>1888</v>
      </c>
      <c r="M196">
        <v>33</v>
      </c>
      <c r="N196" t="s">
        <v>1216</v>
      </c>
      <c r="O196" t="s">
        <v>344</v>
      </c>
      <c r="P196" t="s">
        <v>29</v>
      </c>
    </row>
    <row r="198" spans="6:16" x14ac:dyDescent="0.2">
      <c r="H198" t="s">
        <v>0</v>
      </c>
      <c r="I198" t="s">
        <v>1</v>
      </c>
      <c r="J198" t="s">
        <v>2</v>
      </c>
      <c r="K198" t="s">
        <v>3</v>
      </c>
      <c r="L198" t="s">
        <v>4</v>
      </c>
      <c r="M198" t="s">
        <v>5</v>
      </c>
      <c r="N198" t="s">
        <v>6</v>
      </c>
      <c r="O198" t="s">
        <v>7</v>
      </c>
      <c r="P198" t="s">
        <v>8</v>
      </c>
    </row>
    <row r="199" spans="6:16" x14ac:dyDescent="0.2">
      <c r="F199">
        <v>8</v>
      </c>
      <c r="H199" t="s">
        <v>1217</v>
      </c>
      <c r="I199" t="s">
        <v>1218</v>
      </c>
      <c r="J199" t="s">
        <v>12</v>
      </c>
      <c r="K199" t="s">
        <v>13</v>
      </c>
      <c r="L199">
        <v>1856</v>
      </c>
      <c r="M199">
        <v>65</v>
      </c>
      <c r="N199" t="s">
        <v>438</v>
      </c>
      <c r="O199" t="s">
        <v>942</v>
      </c>
      <c r="P199" t="s">
        <v>1219</v>
      </c>
    </row>
    <row r="200" spans="6:16" x14ac:dyDescent="0.2">
      <c r="H200" t="s">
        <v>1220</v>
      </c>
      <c r="I200" t="s">
        <v>1218</v>
      </c>
      <c r="J200" t="s">
        <v>18</v>
      </c>
      <c r="K200" t="s">
        <v>19</v>
      </c>
      <c r="L200">
        <v>1855</v>
      </c>
      <c r="M200">
        <v>66</v>
      </c>
      <c r="N200" t="s">
        <v>739</v>
      </c>
      <c r="O200" t="s">
        <v>50</v>
      </c>
      <c r="P200" t="s">
        <v>20</v>
      </c>
    </row>
    <row r="201" spans="6:16" x14ac:dyDescent="0.2">
      <c r="H201" t="s">
        <v>1221</v>
      </c>
      <c r="I201" t="s">
        <v>1222</v>
      </c>
      <c r="J201" t="s">
        <v>60</v>
      </c>
      <c r="K201" t="s">
        <v>19</v>
      </c>
      <c r="L201">
        <v>1891</v>
      </c>
      <c r="M201">
        <v>29</v>
      </c>
      <c r="N201" t="s">
        <v>1223</v>
      </c>
      <c r="O201" t="s">
        <v>1224</v>
      </c>
      <c r="P201" t="s">
        <v>1225</v>
      </c>
    </row>
    <row r="203" spans="6:16" x14ac:dyDescent="0.2">
      <c r="H203" t="s">
        <v>0</v>
      </c>
      <c r="I203" t="s">
        <v>1</v>
      </c>
      <c r="J203" t="s">
        <v>2</v>
      </c>
      <c r="K203" t="s">
        <v>3</v>
      </c>
      <c r="L203" t="s">
        <v>4</v>
      </c>
      <c r="M203" t="s">
        <v>5</v>
      </c>
      <c r="N203" t="s">
        <v>6</v>
      </c>
      <c r="O203" t="s">
        <v>7</v>
      </c>
      <c r="P203" t="s">
        <v>8</v>
      </c>
    </row>
    <row r="204" spans="6:16" x14ac:dyDescent="0.2">
      <c r="F204">
        <v>9</v>
      </c>
      <c r="H204" t="s">
        <v>1226</v>
      </c>
      <c r="I204" t="s">
        <v>1227</v>
      </c>
      <c r="J204" t="s">
        <v>12</v>
      </c>
      <c r="K204" t="s">
        <v>13</v>
      </c>
      <c r="L204">
        <v>1890</v>
      </c>
      <c r="M204">
        <v>31</v>
      </c>
      <c r="N204" t="s">
        <v>49</v>
      </c>
      <c r="O204" t="s">
        <v>1228</v>
      </c>
      <c r="P204" t="s">
        <v>1229</v>
      </c>
    </row>
    <row r="205" spans="6:16" x14ac:dyDescent="0.2">
      <c r="H205" t="s">
        <v>1230</v>
      </c>
      <c r="I205" t="s">
        <v>1227</v>
      </c>
      <c r="J205" t="s">
        <v>18</v>
      </c>
      <c r="K205" t="s">
        <v>19</v>
      </c>
      <c r="L205">
        <v>1890</v>
      </c>
      <c r="M205">
        <v>30</v>
      </c>
      <c r="N205" t="s">
        <v>791</v>
      </c>
      <c r="O205" t="s">
        <v>50</v>
      </c>
      <c r="P205" t="s">
        <v>20</v>
      </c>
    </row>
    <row r="206" spans="6:16" x14ac:dyDescent="0.2">
      <c r="H206" t="s">
        <v>1231</v>
      </c>
      <c r="I206" t="s">
        <v>1227</v>
      </c>
      <c r="J206" t="s">
        <v>51</v>
      </c>
      <c r="K206" t="s">
        <v>13</v>
      </c>
      <c r="L206">
        <v>1919</v>
      </c>
      <c r="M206">
        <v>1</v>
      </c>
      <c r="N206" t="s">
        <v>49</v>
      </c>
      <c r="O206" t="s">
        <v>20</v>
      </c>
      <c r="P206" t="s">
        <v>20</v>
      </c>
    </row>
    <row r="207" spans="6:16" x14ac:dyDescent="0.2">
      <c r="H207" t="s">
        <v>1232</v>
      </c>
      <c r="I207" t="s">
        <v>1233</v>
      </c>
      <c r="J207" t="s">
        <v>1234</v>
      </c>
      <c r="K207" t="s">
        <v>13</v>
      </c>
      <c r="L207">
        <v>1848</v>
      </c>
      <c r="M207">
        <v>73</v>
      </c>
      <c r="N207" t="s">
        <v>1235</v>
      </c>
      <c r="O207" t="s">
        <v>1236</v>
      </c>
      <c r="P207" t="s">
        <v>1237</v>
      </c>
    </row>
    <row r="208" spans="6:16" x14ac:dyDescent="0.2">
      <c r="H208" t="s">
        <v>135</v>
      </c>
      <c r="I208" t="s">
        <v>1233</v>
      </c>
      <c r="J208" t="s">
        <v>1238</v>
      </c>
      <c r="K208" t="s">
        <v>19</v>
      </c>
      <c r="L208">
        <v>1848</v>
      </c>
      <c r="M208">
        <v>73</v>
      </c>
      <c r="N208" t="s">
        <v>791</v>
      </c>
      <c r="O208" t="s">
        <v>47</v>
      </c>
      <c r="P208" t="s">
        <v>20</v>
      </c>
    </row>
    <row r="209" spans="6:16" x14ac:dyDescent="0.2">
      <c r="H209" t="s">
        <v>1239</v>
      </c>
      <c r="I209" t="s">
        <v>1240</v>
      </c>
      <c r="J209" t="s">
        <v>1241</v>
      </c>
      <c r="K209" t="s">
        <v>19</v>
      </c>
      <c r="L209">
        <v>1884</v>
      </c>
      <c r="M209">
        <v>37</v>
      </c>
      <c r="N209" t="s">
        <v>368</v>
      </c>
      <c r="O209" t="s">
        <v>1241</v>
      </c>
      <c r="P209" t="s">
        <v>20</v>
      </c>
    </row>
    <row r="210" spans="6:16" x14ac:dyDescent="0.2">
      <c r="H210" t="s">
        <v>339</v>
      </c>
      <c r="I210" t="s">
        <v>1242</v>
      </c>
      <c r="J210" t="s">
        <v>26</v>
      </c>
      <c r="K210" t="s">
        <v>19</v>
      </c>
      <c r="L210">
        <v>1901</v>
      </c>
      <c r="M210">
        <v>19</v>
      </c>
      <c r="N210" t="s">
        <v>1243</v>
      </c>
      <c r="O210" t="s">
        <v>344</v>
      </c>
      <c r="P210" t="s">
        <v>29</v>
      </c>
    </row>
    <row r="212" spans="6:16" x14ac:dyDescent="0.2">
      <c r="H212" t="s">
        <v>0</v>
      </c>
      <c r="I212" t="s">
        <v>1</v>
      </c>
      <c r="J212" t="s">
        <v>2</v>
      </c>
      <c r="K212" t="s">
        <v>3</v>
      </c>
      <c r="L212" t="s">
        <v>4</v>
      </c>
      <c r="M212" t="s">
        <v>5</v>
      </c>
      <c r="N212" t="s">
        <v>6</v>
      </c>
      <c r="O212" t="s">
        <v>7</v>
      </c>
      <c r="P212" t="s">
        <v>8</v>
      </c>
    </row>
    <row r="213" spans="6:16" x14ac:dyDescent="0.2">
      <c r="F213">
        <v>10</v>
      </c>
      <c r="H213" t="s">
        <v>386</v>
      </c>
      <c r="I213" t="s">
        <v>1244</v>
      </c>
      <c r="J213" t="s">
        <v>12</v>
      </c>
      <c r="K213" t="s">
        <v>13</v>
      </c>
      <c r="L213">
        <v>1841</v>
      </c>
      <c r="M213">
        <v>80</v>
      </c>
      <c r="N213" t="s">
        <v>1245</v>
      </c>
      <c r="O213" t="s">
        <v>1246</v>
      </c>
      <c r="P213" t="s">
        <v>1247</v>
      </c>
    </row>
    <row r="214" spans="6:16" x14ac:dyDescent="0.2">
      <c r="H214" t="s">
        <v>704</v>
      </c>
      <c r="I214" t="s">
        <v>1244</v>
      </c>
      <c r="J214" t="s">
        <v>22</v>
      </c>
      <c r="K214" t="s">
        <v>19</v>
      </c>
      <c r="L214">
        <v>1876</v>
      </c>
      <c r="M214">
        <v>45</v>
      </c>
      <c r="N214" t="s">
        <v>901</v>
      </c>
      <c r="O214" t="s">
        <v>407</v>
      </c>
      <c r="P214" t="s">
        <v>20</v>
      </c>
    </row>
    <row r="215" spans="6:16" x14ac:dyDescent="0.2">
      <c r="H215" t="s">
        <v>24</v>
      </c>
      <c r="I215" t="s">
        <v>1244</v>
      </c>
      <c r="J215" t="s">
        <v>22</v>
      </c>
      <c r="K215" t="s">
        <v>19</v>
      </c>
      <c r="L215">
        <v>1878</v>
      </c>
      <c r="M215">
        <v>43</v>
      </c>
      <c r="N215" t="s">
        <v>901</v>
      </c>
      <c r="O215" t="s">
        <v>1248</v>
      </c>
      <c r="P215" t="s">
        <v>1249</v>
      </c>
    </row>
    <row r="217" spans="6:16" x14ac:dyDescent="0.2">
      <c r="H217" t="s">
        <v>0</v>
      </c>
      <c r="I217" t="s">
        <v>1</v>
      </c>
      <c r="J217" t="s">
        <v>2</v>
      </c>
      <c r="K217" t="s">
        <v>3</v>
      </c>
      <c r="L217" t="s">
        <v>4</v>
      </c>
      <c r="M217" t="s">
        <v>5</v>
      </c>
      <c r="N217" t="s">
        <v>6</v>
      </c>
      <c r="O217" t="s">
        <v>7</v>
      </c>
      <c r="P217" t="s">
        <v>8</v>
      </c>
    </row>
    <row r="218" spans="6:16" x14ac:dyDescent="0.2">
      <c r="F218">
        <v>12</v>
      </c>
      <c r="H218" t="s">
        <v>444</v>
      </c>
      <c r="I218" t="s">
        <v>1250</v>
      </c>
      <c r="J218" t="s">
        <v>12</v>
      </c>
      <c r="K218" t="s">
        <v>13</v>
      </c>
      <c r="L218">
        <v>1854</v>
      </c>
      <c r="M218">
        <v>67</v>
      </c>
      <c r="N218" t="s">
        <v>1251</v>
      </c>
      <c r="O218" t="s">
        <v>1252</v>
      </c>
      <c r="P218" t="s">
        <v>16</v>
      </c>
    </row>
    <row r="219" spans="6:16" x14ac:dyDescent="0.2">
      <c r="H219" t="s">
        <v>170</v>
      </c>
      <c r="I219" t="s">
        <v>1250</v>
      </c>
      <c r="J219" t="s">
        <v>18</v>
      </c>
      <c r="K219" t="s">
        <v>19</v>
      </c>
      <c r="L219">
        <v>1856</v>
      </c>
      <c r="M219">
        <v>65</v>
      </c>
      <c r="N219" t="s">
        <v>1253</v>
      </c>
      <c r="O219" t="s">
        <v>50</v>
      </c>
      <c r="P219" t="s">
        <v>20</v>
      </c>
    </row>
    <row r="221" spans="6:16" x14ac:dyDescent="0.2">
      <c r="H221" t="s">
        <v>0</v>
      </c>
      <c r="I221" t="s">
        <v>1</v>
      </c>
      <c r="J221" t="s">
        <v>2</v>
      </c>
      <c r="K221" t="s">
        <v>3</v>
      </c>
      <c r="L221" t="s">
        <v>4</v>
      </c>
      <c r="M221" t="s">
        <v>5</v>
      </c>
      <c r="N221" t="s">
        <v>6</v>
      </c>
      <c r="O221" t="s">
        <v>7</v>
      </c>
      <c r="P221" t="s">
        <v>8</v>
      </c>
    </row>
    <row r="222" spans="6:16" x14ac:dyDescent="0.2">
      <c r="F222">
        <v>13</v>
      </c>
      <c r="H222" t="s">
        <v>422</v>
      </c>
      <c r="I222" t="s">
        <v>1254</v>
      </c>
      <c r="J222" t="s">
        <v>12</v>
      </c>
      <c r="K222" t="s">
        <v>19</v>
      </c>
      <c r="L222">
        <v>1863</v>
      </c>
      <c r="M222">
        <v>58</v>
      </c>
      <c r="N222" t="s">
        <v>1255</v>
      </c>
      <c r="O222" t="s">
        <v>20</v>
      </c>
      <c r="P222" t="s">
        <v>20</v>
      </c>
    </row>
    <row r="223" spans="6:16" x14ac:dyDescent="0.2">
      <c r="H223" t="s">
        <v>1230</v>
      </c>
      <c r="I223" t="s">
        <v>1254</v>
      </c>
      <c r="J223" t="s">
        <v>22</v>
      </c>
      <c r="K223" t="s">
        <v>19</v>
      </c>
      <c r="L223">
        <v>1892</v>
      </c>
      <c r="M223">
        <v>29</v>
      </c>
      <c r="N223" t="s">
        <v>53</v>
      </c>
      <c r="O223" t="s">
        <v>50</v>
      </c>
      <c r="P223" t="s">
        <v>20</v>
      </c>
    </row>
    <row r="224" spans="6:16" x14ac:dyDescent="0.2">
      <c r="H224" t="s">
        <v>336</v>
      </c>
      <c r="I224" t="s">
        <v>1256</v>
      </c>
      <c r="J224" t="s">
        <v>26</v>
      </c>
      <c r="K224" t="s">
        <v>19</v>
      </c>
      <c r="L224">
        <v>1885</v>
      </c>
      <c r="M224">
        <v>36</v>
      </c>
      <c r="N224" t="s">
        <v>14</v>
      </c>
      <c r="O224" t="s">
        <v>344</v>
      </c>
      <c r="P224" t="s">
        <v>29</v>
      </c>
    </row>
    <row r="226" spans="6:16" x14ac:dyDescent="0.2">
      <c r="H226" t="s">
        <v>0</v>
      </c>
      <c r="I226" t="s">
        <v>1</v>
      </c>
      <c r="J226" t="s">
        <v>2</v>
      </c>
      <c r="K226" t="s">
        <v>3</v>
      </c>
      <c r="L226" t="s">
        <v>4</v>
      </c>
      <c r="M226" t="s">
        <v>5</v>
      </c>
      <c r="N226" t="s">
        <v>6</v>
      </c>
      <c r="O226" t="s">
        <v>7</v>
      </c>
      <c r="P226" t="s">
        <v>8</v>
      </c>
    </row>
    <row r="227" spans="6:16" x14ac:dyDescent="0.2">
      <c r="F227">
        <v>15</v>
      </c>
      <c r="H227" t="s">
        <v>1257</v>
      </c>
      <c r="I227" t="s">
        <v>1258</v>
      </c>
      <c r="J227" t="s">
        <v>51</v>
      </c>
      <c r="K227" t="s">
        <v>13</v>
      </c>
      <c r="L227">
        <v>1901</v>
      </c>
      <c r="M227">
        <v>19</v>
      </c>
      <c r="N227" t="s">
        <v>49</v>
      </c>
      <c r="O227" t="s">
        <v>1259</v>
      </c>
      <c r="P227" t="s">
        <v>1260</v>
      </c>
    </row>
    <row r="228" spans="6:16" x14ac:dyDescent="0.2">
      <c r="H228" t="s">
        <v>1261</v>
      </c>
      <c r="I228" t="s">
        <v>1258</v>
      </c>
      <c r="J228" t="s">
        <v>22</v>
      </c>
      <c r="K228" t="s">
        <v>19</v>
      </c>
      <c r="L228">
        <v>1896</v>
      </c>
      <c r="M228">
        <v>25</v>
      </c>
      <c r="N228" t="s">
        <v>49</v>
      </c>
      <c r="O228" t="s">
        <v>50</v>
      </c>
      <c r="P228" t="s">
        <v>20</v>
      </c>
    </row>
    <row r="229" spans="6:16" x14ac:dyDescent="0.2">
      <c r="H229" t="s">
        <v>1262</v>
      </c>
      <c r="I229" t="s">
        <v>1258</v>
      </c>
      <c r="J229" t="s">
        <v>22</v>
      </c>
      <c r="K229" t="s">
        <v>19</v>
      </c>
      <c r="L229">
        <v>1898</v>
      </c>
      <c r="M229">
        <v>22</v>
      </c>
      <c r="N229" t="s">
        <v>49</v>
      </c>
      <c r="O229" t="s">
        <v>1263</v>
      </c>
      <c r="P229" t="s">
        <v>1264</v>
      </c>
    </row>
    <row r="230" spans="6:16" x14ac:dyDescent="0.2">
      <c r="H230" t="s">
        <v>1265</v>
      </c>
      <c r="I230" t="s">
        <v>1266</v>
      </c>
      <c r="J230" t="s">
        <v>26</v>
      </c>
      <c r="K230" t="s">
        <v>19</v>
      </c>
      <c r="L230">
        <v>1892</v>
      </c>
      <c r="M230">
        <v>28</v>
      </c>
      <c r="N230" t="s">
        <v>54</v>
      </c>
      <c r="O230" t="s">
        <v>33</v>
      </c>
      <c r="P230" t="s">
        <v>29</v>
      </c>
    </row>
    <row r="231" spans="6:16" x14ac:dyDescent="0.2">
      <c r="H231" t="s">
        <v>1267</v>
      </c>
      <c r="I231" t="s">
        <v>1268</v>
      </c>
      <c r="J231" t="s">
        <v>26</v>
      </c>
      <c r="K231" t="s">
        <v>19</v>
      </c>
      <c r="L231">
        <v>1903</v>
      </c>
      <c r="M231">
        <v>18</v>
      </c>
      <c r="N231" t="s">
        <v>14</v>
      </c>
      <c r="O231" t="s">
        <v>55</v>
      </c>
      <c r="P231" t="s">
        <v>29</v>
      </c>
    </row>
    <row r="233" spans="6:16" x14ac:dyDescent="0.2">
      <c r="F233">
        <v>19</v>
      </c>
      <c r="H233" t="s">
        <v>0</v>
      </c>
      <c r="I233" t="s">
        <v>1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</row>
    <row r="234" spans="6:16" x14ac:dyDescent="0.2">
      <c r="H234" t="s">
        <v>1028</v>
      </c>
      <c r="I234" t="s">
        <v>1269</v>
      </c>
      <c r="J234" t="s">
        <v>12</v>
      </c>
      <c r="K234" t="s">
        <v>13</v>
      </c>
      <c r="L234">
        <v>1848</v>
      </c>
      <c r="M234">
        <v>72</v>
      </c>
      <c r="N234" t="s">
        <v>149</v>
      </c>
      <c r="O234" t="s">
        <v>1270</v>
      </c>
      <c r="P234" t="s">
        <v>8</v>
      </c>
    </row>
    <row r="235" spans="6:16" x14ac:dyDescent="0.2">
      <c r="H235" t="s">
        <v>1271</v>
      </c>
      <c r="I235" t="s">
        <v>1269</v>
      </c>
      <c r="J235" t="s">
        <v>18</v>
      </c>
      <c r="K235" t="s">
        <v>19</v>
      </c>
      <c r="L235">
        <v>1894</v>
      </c>
      <c r="M235">
        <v>27</v>
      </c>
      <c r="N235" t="s">
        <v>778</v>
      </c>
      <c r="O235" t="s">
        <v>50</v>
      </c>
      <c r="P235" t="s">
        <v>20</v>
      </c>
    </row>
    <row r="236" spans="6:16" x14ac:dyDescent="0.2">
      <c r="H236" t="s">
        <v>1272</v>
      </c>
      <c r="I236" t="s">
        <v>1269</v>
      </c>
      <c r="J236" t="s">
        <v>51</v>
      </c>
      <c r="K236" t="s">
        <v>13</v>
      </c>
      <c r="L236">
        <v>1921</v>
      </c>
      <c r="M236" t="s">
        <v>20</v>
      </c>
      <c r="N236" t="s">
        <v>14</v>
      </c>
      <c r="O236" t="s">
        <v>20</v>
      </c>
      <c r="P236" t="s">
        <v>20</v>
      </c>
    </row>
    <row r="237" spans="6:16" x14ac:dyDescent="0.2">
      <c r="H237" t="s">
        <v>1273</v>
      </c>
      <c r="I237" t="s">
        <v>1274</v>
      </c>
      <c r="J237" t="s">
        <v>58</v>
      </c>
      <c r="K237" t="s">
        <v>19</v>
      </c>
      <c r="L237">
        <v>1898</v>
      </c>
      <c r="M237">
        <v>23</v>
      </c>
      <c r="N237" t="s">
        <v>1275</v>
      </c>
      <c r="O237" t="s">
        <v>20</v>
      </c>
      <c r="P237" t="s">
        <v>20</v>
      </c>
    </row>
    <row r="238" spans="6:16" x14ac:dyDescent="0.2">
      <c r="H238" t="s">
        <v>398</v>
      </c>
      <c r="I238" t="s">
        <v>1145</v>
      </c>
      <c r="J238" t="s">
        <v>26</v>
      </c>
      <c r="K238" t="s">
        <v>19</v>
      </c>
      <c r="L238">
        <v>1904</v>
      </c>
      <c r="M238">
        <v>17</v>
      </c>
      <c r="N238" t="s">
        <v>212</v>
      </c>
      <c r="O238" t="s">
        <v>344</v>
      </c>
      <c r="P238" t="s">
        <v>29</v>
      </c>
    </row>
    <row r="240" spans="6:16" x14ac:dyDescent="0.2">
      <c r="H240" t="s">
        <v>0</v>
      </c>
      <c r="I240" t="s">
        <v>1</v>
      </c>
      <c r="J240" t="s">
        <v>2</v>
      </c>
      <c r="K240" t="s">
        <v>3</v>
      </c>
      <c r="L240" t="s">
        <v>4</v>
      </c>
      <c r="M240" t="s">
        <v>5</v>
      </c>
      <c r="N240" t="s">
        <v>6</v>
      </c>
      <c r="O240" t="s">
        <v>7</v>
      </c>
      <c r="P240" t="s">
        <v>8</v>
      </c>
    </row>
    <row r="241" spans="6:17" x14ac:dyDescent="0.2">
      <c r="F241">
        <v>21</v>
      </c>
      <c r="H241" t="s">
        <v>1276</v>
      </c>
      <c r="I241" t="s">
        <v>517</v>
      </c>
      <c r="J241" t="s">
        <v>12</v>
      </c>
      <c r="K241" t="s">
        <v>13</v>
      </c>
      <c r="L241">
        <v>1875</v>
      </c>
      <c r="M241">
        <v>46</v>
      </c>
      <c r="N241" t="s">
        <v>484</v>
      </c>
      <c r="O241" t="s">
        <v>1277</v>
      </c>
      <c r="P241" t="s">
        <v>1278</v>
      </c>
    </row>
    <row r="242" spans="6:17" x14ac:dyDescent="0.2">
      <c r="H242" t="s">
        <v>1279</v>
      </c>
      <c r="I242" t="s">
        <v>517</v>
      </c>
      <c r="J242" t="s">
        <v>18</v>
      </c>
      <c r="K242" t="s">
        <v>19</v>
      </c>
      <c r="L242">
        <v>1875</v>
      </c>
      <c r="M242">
        <v>46</v>
      </c>
      <c r="N242" t="s">
        <v>1280</v>
      </c>
      <c r="O242" t="s">
        <v>20</v>
      </c>
      <c r="P242" t="s">
        <v>20</v>
      </c>
    </row>
    <row r="243" spans="6:17" x14ac:dyDescent="0.2">
      <c r="H243" t="s">
        <v>1281</v>
      </c>
      <c r="I243" t="s">
        <v>517</v>
      </c>
      <c r="J243" t="s">
        <v>22</v>
      </c>
      <c r="K243" t="s">
        <v>19</v>
      </c>
      <c r="L243">
        <v>1906</v>
      </c>
      <c r="M243">
        <v>15</v>
      </c>
      <c r="N243" t="s">
        <v>1282</v>
      </c>
      <c r="O243" t="s">
        <v>20</v>
      </c>
      <c r="P243" t="s">
        <v>20</v>
      </c>
    </row>
    <row r="245" spans="6:17" x14ac:dyDescent="0.2">
      <c r="H245" t="s">
        <v>0</v>
      </c>
      <c r="I245" t="s">
        <v>1</v>
      </c>
      <c r="J245" t="s">
        <v>2</v>
      </c>
      <c r="K245" t="s">
        <v>3</v>
      </c>
      <c r="L245" t="s">
        <v>4</v>
      </c>
      <c r="M245" t="s">
        <v>5</v>
      </c>
      <c r="N245" t="s">
        <v>6</v>
      </c>
      <c r="O245" t="s">
        <v>7</v>
      </c>
      <c r="P245" t="s">
        <v>8</v>
      </c>
    </row>
    <row r="246" spans="6:17" x14ac:dyDescent="0.2">
      <c r="F246">
        <v>23</v>
      </c>
      <c r="H246" t="s">
        <v>135</v>
      </c>
      <c r="I246" t="s">
        <v>1283</v>
      </c>
      <c r="J246" t="s">
        <v>12</v>
      </c>
      <c r="K246" t="s">
        <v>19</v>
      </c>
      <c r="L246">
        <v>1839</v>
      </c>
      <c r="M246">
        <v>81</v>
      </c>
      <c r="N246" t="s">
        <v>14</v>
      </c>
      <c r="O246" t="s">
        <v>20</v>
      </c>
      <c r="P246" t="s">
        <v>20</v>
      </c>
      <c r="Q246" t="s">
        <v>1296</v>
      </c>
    </row>
    <row r="247" spans="6:17" x14ac:dyDescent="0.2">
      <c r="H247" t="s">
        <v>115</v>
      </c>
      <c r="I247" t="s">
        <v>937</v>
      </c>
      <c r="J247" t="s">
        <v>26</v>
      </c>
      <c r="K247" t="s">
        <v>19</v>
      </c>
      <c r="L247">
        <v>1893</v>
      </c>
      <c r="M247">
        <v>27</v>
      </c>
      <c r="N247" t="s">
        <v>1284</v>
      </c>
      <c r="O247" t="s">
        <v>56</v>
      </c>
      <c r="P247" t="s">
        <v>29</v>
      </c>
    </row>
    <row r="248" spans="6:17" x14ac:dyDescent="0.2">
      <c r="H248" t="s">
        <v>1285</v>
      </c>
      <c r="I248" t="s">
        <v>399</v>
      </c>
      <c r="J248" t="s">
        <v>26</v>
      </c>
      <c r="K248" t="s">
        <v>19</v>
      </c>
      <c r="L248">
        <v>1897</v>
      </c>
      <c r="M248">
        <v>24</v>
      </c>
      <c r="N248" t="s">
        <v>1083</v>
      </c>
      <c r="O248" t="s">
        <v>56</v>
      </c>
      <c r="P248" t="s">
        <v>29</v>
      </c>
    </row>
    <row r="250" spans="6:17" x14ac:dyDescent="0.2">
      <c r="H250" t="s">
        <v>0</v>
      </c>
      <c r="I250" t="s">
        <v>1</v>
      </c>
      <c r="J250" t="s">
        <v>2</v>
      </c>
      <c r="K250" t="s">
        <v>3</v>
      </c>
      <c r="L250" t="s">
        <v>4</v>
      </c>
      <c r="M250" t="s">
        <v>5</v>
      </c>
      <c r="N250" t="s">
        <v>6</v>
      </c>
      <c r="O250" t="s">
        <v>7</v>
      </c>
      <c r="P250" t="s">
        <v>8</v>
      </c>
      <c r="Q250" t="s">
        <v>1297</v>
      </c>
    </row>
    <row r="251" spans="6:17" x14ac:dyDescent="0.2">
      <c r="F251" t="s">
        <v>3144</v>
      </c>
      <c r="H251" t="s">
        <v>1286</v>
      </c>
      <c r="I251" t="s">
        <v>1287</v>
      </c>
      <c r="J251" t="s">
        <v>12</v>
      </c>
      <c r="K251" t="s">
        <v>13</v>
      </c>
      <c r="L251">
        <v>1838</v>
      </c>
      <c r="M251">
        <v>83</v>
      </c>
      <c r="N251" t="s">
        <v>49</v>
      </c>
      <c r="O251" t="s">
        <v>1288</v>
      </c>
      <c r="P251" t="s">
        <v>20</v>
      </c>
    </row>
    <row r="252" spans="6:17" x14ac:dyDescent="0.2">
      <c r="H252" t="s">
        <v>1289</v>
      </c>
      <c r="I252" t="s">
        <v>1287</v>
      </c>
      <c r="J252" t="s">
        <v>22</v>
      </c>
      <c r="K252" t="s">
        <v>19</v>
      </c>
      <c r="L252">
        <v>1876</v>
      </c>
      <c r="M252">
        <v>45</v>
      </c>
      <c r="N252" t="s">
        <v>14</v>
      </c>
      <c r="O252" t="s">
        <v>50</v>
      </c>
      <c r="P252" t="s">
        <v>20</v>
      </c>
    </row>
    <row r="253" spans="6:17" x14ac:dyDescent="0.2">
      <c r="H253" t="s">
        <v>700</v>
      </c>
      <c r="I253" t="s">
        <v>1290</v>
      </c>
      <c r="J253" t="s">
        <v>26</v>
      </c>
      <c r="K253" t="s">
        <v>19</v>
      </c>
      <c r="L253">
        <v>1874</v>
      </c>
      <c r="M253">
        <v>47</v>
      </c>
      <c r="N253" t="s">
        <v>1291</v>
      </c>
      <c r="O253" t="s">
        <v>33</v>
      </c>
      <c r="P253" t="s">
        <v>20</v>
      </c>
    </row>
    <row r="254" spans="6:17" x14ac:dyDescent="0.2">
      <c r="H254" t="s">
        <v>90</v>
      </c>
      <c r="I254" t="s">
        <v>1292</v>
      </c>
      <c r="J254" t="s">
        <v>26</v>
      </c>
      <c r="K254" t="s">
        <v>19</v>
      </c>
      <c r="L254">
        <v>1878</v>
      </c>
      <c r="M254">
        <v>42</v>
      </c>
      <c r="N254" t="s">
        <v>368</v>
      </c>
      <c r="O254" t="s">
        <v>1293</v>
      </c>
      <c r="P254" t="s">
        <v>20</v>
      </c>
    </row>
    <row r="255" spans="6:17" x14ac:dyDescent="0.2">
      <c r="H255" t="s">
        <v>24</v>
      </c>
      <c r="I255" t="s">
        <v>1294</v>
      </c>
      <c r="J255" t="s">
        <v>26</v>
      </c>
      <c r="K255" t="s">
        <v>19</v>
      </c>
      <c r="L255">
        <v>1904</v>
      </c>
      <c r="M255">
        <v>17</v>
      </c>
      <c r="N255" t="s">
        <v>1295</v>
      </c>
      <c r="O255" t="s">
        <v>28</v>
      </c>
      <c r="P255" t="s">
        <v>20</v>
      </c>
    </row>
    <row r="257" spans="6:17" x14ac:dyDescent="0.2">
      <c r="F257">
        <v>25</v>
      </c>
      <c r="H257" t="s">
        <v>0</v>
      </c>
      <c r="I257" t="s">
        <v>1</v>
      </c>
      <c r="J257" t="s">
        <v>2</v>
      </c>
      <c r="K257" t="s">
        <v>3</v>
      </c>
      <c r="L257" t="s">
        <v>4</v>
      </c>
      <c r="M257" t="s">
        <v>5</v>
      </c>
      <c r="N257" t="s">
        <v>6</v>
      </c>
      <c r="O257" t="s">
        <v>7</v>
      </c>
      <c r="P257" t="s">
        <v>8</v>
      </c>
    </row>
    <row r="258" spans="6:17" x14ac:dyDescent="0.2">
      <c r="H258" t="s">
        <v>1298</v>
      </c>
      <c r="I258" t="s">
        <v>1227</v>
      </c>
      <c r="J258" t="s">
        <v>12</v>
      </c>
      <c r="K258" t="s">
        <v>13</v>
      </c>
      <c r="L258">
        <v>1864</v>
      </c>
      <c r="M258">
        <v>57</v>
      </c>
      <c r="N258" t="s">
        <v>14</v>
      </c>
      <c r="O258" t="s">
        <v>1299</v>
      </c>
      <c r="P258" t="s">
        <v>8</v>
      </c>
    </row>
    <row r="259" spans="6:17" x14ac:dyDescent="0.2">
      <c r="H259" t="s">
        <v>1300</v>
      </c>
      <c r="I259" t="s">
        <v>1227</v>
      </c>
      <c r="J259" t="s">
        <v>18</v>
      </c>
      <c r="K259" t="s">
        <v>19</v>
      </c>
      <c r="L259">
        <v>1863</v>
      </c>
      <c r="M259">
        <v>58</v>
      </c>
      <c r="N259" t="s">
        <v>14</v>
      </c>
      <c r="O259" t="s">
        <v>20</v>
      </c>
      <c r="P259" t="s">
        <v>20</v>
      </c>
    </row>
    <row r="260" spans="6:17" x14ac:dyDescent="0.2">
      <c r="H260" t="s">
        <v>1301</v>
      </c>
      <c r="I260" t="s">
        <v>1227</v>
      </c>
      <c r="J260" t="s">
        <v>51</v>
      </c>
      <c r="K260" t="s">
        <v>13</v>
      </c>
      <c r="L260">
        <v>1897</v>
      </c>
      <c r="M260">
        <v>24</v>
      </c>
      <c r="N260" t="s">
        <v>14</v>
      </c>
      <c r="O260" t="s">
        <v>173</v>
      </c>
      <c r="P260" t="s">
        <v>1302</v>
      </c>
    </row>
    <row r="261" spans="6:17" x14ac:dyDescent="0.2">
      <c r="H261" t="s">
        <v>1303</v>
      </c>
      <c r="I261" t="s">
        <v>1304</v>
      </c>
      <c r="J261" t="s">
        <v>58</v>
      </c>
      <c r="K261" t="s">
        <v>19</v>
      </c>
      <c r="L261">
        <v>1896</v>
      </c>
      <c r="M261">
        <v>25</v>
      </c>
      <c r="N261" t="s">
        <v>14</v>
      </c>
      <c r="O261" t="s">
        <v>20</v>
      </c>
      <c r="P261" t="s">
        <v>20</v>
      </c>
    </row>
    <row r="262" spans="6:17" x14ac:dyDescent="0.2">
      <c r="H262" t="s">
        <v>1305</v>
      </c>
      <c r="I262" t="s">
        <v>1306</v>
      </c>
      <c r="J262" t="s">
        <v>26</v>
      </c>
      <c r="K262" t="s">
        <v>19</v>
      </c>
      <c r="L262">
        <v>1896</v>
      </c>
      <c r="M262">
        <v>25</v>
      </c>
      <c r="N262" t="s">
        <v>1307</v>
      </c>
      <c r="O262" t="s">
        <v>56</v>
      </c>
      <c r="P262" t="s">
        <v>29</v>
      </c>
    </row>
    <row r="264" spans="6:17" x14ac:dyDescent="0.2">
      <c r="H264" t="s">
        <v>0</v>
      </c>
      <c r="I264" t="s">
        <v>1</v>
      </c>
      <c r="J264" t="s">
        <v>2</v>
      </c>
      <c r="K264" t="s">
        <v>3</v>
      </c>
      <c r="L264" t="s">
        <v>4</v>
      </c>
      <c r="M264" t="s">
        <v>5</v>
      </c>
      <c r="N264" t="s">
        <v>6</v>
      </c>
      <c r="O264" t="s">
        <v>7</v>
      </c>
      <c r="P264" t="s">
        <v>8</v>
      </c>
    </row>
    <row r="265" spans="6:17" x14ac:dyDescent="0.2">
      <c r="F265">
        <v>11</v>
      </c>
      <c r="H265" t="s">
        <v>1308</v>
      </c>
      <c r="I265" t="s">
        <v>1309</v>
      </c>
      <c r="J265" t="s">
        <v>12</v>
      </c>
      <c r="K265" t="s">
        <v>13</v>
      </c>
      <c r="L265">
        <v>1879</v>
      </c>
      <c r="M265">
        <v>42</v>
      </c>
      <c r="N265" t="s">
        <v>49</v>
      </c>
      <c r="O265" t="s">
        <v>1310</v>
      </c>
      <c r="P265" t="s">
        <v>8</v>
      </c>
      <c r="Q265" t="s">
        <v>1324</v>
      </c>
    </row>
    <row r="266" spans="6:17" x14ac:dyDescent="0.2">
      <c r="H266" t="s">
        <v>1311</v>
      </c>
      <c r="I266" t="s">
        <v>1309</v>
      </c>
      <c r="J266" t="s">
        <v>18</v>
      </c>
      <c r="K266" t="s">
        <v>19</v>
      </c>
      <c r="L266">
        <v>1884</v>
      </c>
      <c r="M266">
        <v>37</v>
      </c>
      <c r="N266" t="s">
        <v>49</v>
      </c>
      <c r="O266" t="s">
        <v>50</v>
      </c>
      <c r="P266" t="s">
        <v>20</v>
      </c>
    </row>
    <row r="267" spans="6:17" x14ac:dyDescent="0.2">
      <c r="H267" t="s">
        <v>1312</v>
      </c>
      <c r="I267" t="s">
        <v>1309</v>
      </c>
      <c r="J267" t="s">
        <v>22</v>
      </c>
      <c r="K267" t="s">
        <v>19</v>
      </c>
      <c r="L267">
        <v>1905</v>
      </c>
      <c r="M267">
        <v>15</v>
      </c>
      <c r="N267" t="s">
        <v>1313</v>
      </c>
      <c r="O267" t="s">
        <v>20</v>
      </c>
      <c r="P267" t="s">
        <v>20</v>
      </c>
    </row>
    <row r="268" spans="6:17" x14ac:dyDescent="0.2">
      <c r="H268" t="s">
        <v>1314</v>
      </c>
      <c r="I268" t="s">
        <v>1309</v>
      </c>
      <c r="J268" t="s">
        <v>22</v>
      </c>
      <c r="K268" t="s">
        <v>19</v>
      </c>
      <c r="L268">
        <v>1907</v>
      </c>
      <c r="M268">
        <v>13</v>
      </c>
      <c r="N268" t="s">
        <v>1313</v>
      </c>
      <c r="O268" t="s">
        <v>20</v>
      </c>
      <c r="P268" t="s">
        <v>20</v>
      </c>
    </row>
    <row r="269" spans="6:17" x14ac:dyDescent="0.2">
      <c r="H269" t="s">
        <v>1315</v>
      </c>
      <c r="I269" t="s">
        <v>1309</v>
      </c>
      <c r="J269" t="s">
        <v>22</v>
      </c>
      <c r="K269" t="s">
        <v>19</v>
      </c>
      <c r="L269">
        <v>1891</v>
      </c>
      <c r="M269">
        <v>29</v>
      </c>
      <c r="N269" t="s">
        <v>1313</v>
      </c>
      <c r="O269" t="s">
        <v>20</v>
      </c>
      <c r="P269" t="s">
        <v>20</v>
      </c>
    </row>
    <row r="271" spans="6:17" x14ac:dyDescent="0.2">
      <c r="F271">
        <v>1</v>
      </c>
      <c r="H271" t="s">
        <v>0</v>
      </c>
      <c r="I271" t="s">
        <v>1</v>
      </c>
      <c r="J271" t="s">
        <v>2</v>
      </c>
      <c r="K271" t="s">
        <v>3</v>
      </c>
      <c r="L271" t="s">
        <v>4</v>
      </c>
      <c r="M271" t="s">
        <v>5</v>
      </c>
      <c r="N271" t="s">
        <v>6</v>
      </c>
      <c r="O271" t="s">
        <v>7</v>
      </c>
      <c r="P271" t="s">
        <v>8</v>
      </c>
      <c r="Q271" t="s">
        <v>1323</v>
      </c>
    </row>
    <row r="272" spans="6:17" x14ac:dyDescent="0.2">
      <c r="H272" t="s">
        <v>1317</v>
      </c>
      <c r="I272" t="s">
        <v>906</v>
      </c>
      <c r="J272" t="s">
        <v>12</v>
      </c>
      <c r="K272" t="s">
        <v>13</v>
      </c>
      <c r="L272">
        <v>1858</v>
      </c>
      <c r="M272">
        <v>63</v>
      </c>
      <c r="N272" t="s">
        <v>14</v>
      </c>
      <c r="O272" t="s">
        <v>15</v>
      </c>
      <c r="P272" t="s">
        <v>8</v>
      </c>
    </row>
    <row r="273" spans="1:16" x14ac:dyDescent="0.2">
      <c r="H273" t="s">
        <v>1318</v>
      </c>
      <c r="I273" t="s">
        <v>906</v>
      </c>
      <c r="J273" t="s">
        <v>18</v>
      </c>
      <c r="K273" t="s">
        <v>19</v>
      </c>
      <c r="L273">
        <v>1858</v>
      </c>
      <c r="M273">
        <v>62</v>
      </c>
      <c r="N273" t="s">
        <v>1319</v>
      </c>
      <c r="O273" t="s">
        <v>50</v>
      </c>
      <c r="P273" t="s">
        <v>20</v>
      </c>
    </row>
    <row r="274" spans="1:16" x14ac:dyDescent="0.2">
      <c r="H274" t="s">
        <v>676</v>
      </c>
      <c r="I274" t="s">
        <v>906</v>
      </c>
      <c r="J274" t="s">
        <v>51</v>
      </c>
      <c r="K274" t="s">
        <v>13</v>
      </c>
      <c r="L274">
        <v>1895</v>
      </c>
      <c r="M274">
        <v>25</v>
      </c>
      <c r="N274" t="s">
        <v>49</v>
      </c>
      <c r="O274" t="s">
        <v>1320</v>
      </c>
      <c r="P274" t="s">
        <v>1321</v>
      </c>
    </row>
    <row r="275" spans="1:16" x14ac:dyDescent="0.2">
      <c r="H275" t="s">
        <v>318</v>
      </c>
      <c r="I275" t="s">
        <v>1322</v>
      </c>
      <c r="J275" t="s">
        <v>26</v>
      </c>
      <c r="K275" t="s">
        <v>19</v>
      </c>
      <c r="L275">
        <v>1895</v>
      </c>
      <c r="M275">
        <v>25</v>
      </c>
      <c r="N275" t="s">
        <v>149</v>
      </c>
      <c r="O275" t="s">
        <v>344</v>
      </c>
      <c r="P275" t="s">
        <v>29</v>
      </c>
    </row>
    <row r="276" spans="1:16" s="225" customFormat="1" x14ac:dyDescent="0.2"/>
    <row r="278" spans="1:16" x14ac:dyDescent="0.2">
      <c r="A278" s="225" t="s">
        <v>1316</v>
      </c>
      <c r="B278" s="225">
        <v>1911</v>
      </c>
      <c r="C278" t="s">
        <v>1325</v>
      </c>
      <c r="F278" s="225"/>
    </row>
    <row r="279" spans="1:16" x14ac:dyDescent="0.2">
      <c r="F279" s="225">
        <v>14</v>
      </c>
    </row>
    <row r="280" spans="1:16" x14ac:dyDescent="0.2">
      <c r="F280" s="225"/>
    </row>
    <row r="281" spans="1:16" x14ac:dyDescent="0.2">
      <c r="F281" s="225">
        <v>29</v>
      </c>
    </row>
    <row r="282" spans="1:16" x14ac:dyDescent="0.2">
      <c r="F282" s="225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F5FA-EFF4-454B-86D0-EF4428E72A31}">
  <dimension ref="A1:BC61"/>
  <sheetViews>
    <sheetView workbookViewId="0">
      <pane ySplit="2" topLeftCell="A33" activePane="bottomLeft" state="frozen"/>
      <selection pane="bottomLeft" activeCell="I50" sqref="I50"/>
    </sheetView>
  </sheetViews>
  <sheetFormatPr baseColWidth="10" defaultColWidth="10.83203125" defaultRowHeight="16" x14ac:dyDescent="0.2"/>
  <cols>
    <col min="2" max="2" width="6" customWidth="1"/>
    <col min="4" max="4" width="17.83203125" customWidth="1"/>
    <col min="5" max="5" width="19.5" customWidth="1"/>
    <col min="6" max="6" width="11.5" customWidth="1"/>
    <col min="8" max="8" width="17.1640625" customWidth="1"/>
    <col min="10" max="10" width="11.33203125" customWidth="1"/>
    <col min="11" max="11" width="8.1640625" customWidth="1"/>
    <col min="12" max="12" width="7.83203125" customWidth="1"/>
    <col min="13" max="13" width="10" customWidth="1"/>
    <col min="14" max="14" width="8.6640625" customWidth="1"/>
    <col min="15" max="15" width="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11.1640625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235" customFormat="1" ht="30" customHeight="1" x14ac:dyDescent="0.2">
      <c r="A3" s="233" t="s">
        <v>583</v>
      </c>
      <c r="B3" s="234">
        <v>1921</v>
      </c>
      <c r="C3" s="234" t="s">
        <v>1768</v>
      </c>
      <c r="D3" s="234" t="s">
        <v>1769</v>
      </c>
      <c r="E3" s="7" t="s">
        <v>2962</v>
      </c>
      <c r="F3" s="7"/>
      <c r="G3" s="227" t="s">
        <v>1740</v>
      </c>
      <c r="H3" s="227" t="s">
        <v>1501</v>
      </c>
      <c r="I3" s="235">
        <v>1</v>
      </c>
      <c r="J3" s="226">
        <v>1</v>
      </c>
      <c r="N3" s="227">
        <v>1</v>
      </c>
      <c r="S3" s="227"/>
      <c r="T3" s="229">
        <v>72</v>
      </c>
      <c r="X3" s="237"/>
      <c r="Y3" s="237"/>
      <c r="Z3" s="237"/>
      <c r="AA3" s="229" t="s">
        <v>50</v>
      </c>
      <c r="AB3" s="229" t="s">
        <v>29</v>
      </c>
      <c r="AC3" s="237"/>
      <c r="AD3" s="237"/>
      <c r="AE3" s="237"/>
      <c r="AF3" s="237"/>
      <c r="AG3" s="229" t="s">
        <v>1741</v>
      </c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</row>
    <row r="4" spans="1:55" s="64" customFormat="1" ht="51" x14ac:dyDescent="0.2">
      <c r="A4" s="151" t="s">
        <v>583</v>
      </c>
      <c r="B4" s="152">
        <v>1921</v>
      </c>
      <c r="C4" s="152" t="s">
        <v>1768</v>
      </c>
      <c r="D4" s="152" t="s">
        <v>1769</v>
      </c>
      <c r="E4" s="7" t="s">
        <v>2962</v>
      </c>
      <c r="F4" s="7"/>
      <c r="G4" s="7" t="s">
        <v>1740</v>
      </c>
      <c r="H4" s="7" t="s">
        <v>1742</v>
      </c>
      <c r="I4" s="64">
        <v>2</v>
      </c>
      <c r="J4" s="7">
        <v>1</v>
      </c>
      <c r="N4" s="7" t="s">
        <v>22</v>
      </c>
      <c r="P4" s="64">
        <v>1</v>
      </c>
      <c r="S4" s="7"/>
      <c r="T4" s="6">
        <v>45</v>
      </c>
      <c r="X4" s="148"/>
      <c r="Y4" s="148"/>
      <c r="Z4" s="148"/>
      <c r="AA4" s="6" t="s">
        <v>50</v>
      </c>
      <c r="AB4" s="6" t="s">
        <v>29</v>
      </c>
      <c r="AC4" s="148"/>
      <c r="AD4" s="148"/>
      <c r="AE4" s="148"/>
      <c r="AF4" s="148"/>
      <c r="AG4" s="6" t="s">
        <v>1180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5" s="64" customFormat="1" ht="51" x14ac:dyDescent="0.2">
      <c r="A5" s="151" t="s">
        <v>583</v>
      </c>
      <c r="B5" s="152">
        <v>1921</v>
      </c>
      <c r="C5" s="152" t="s">
        <v>1768</v>
      </c>
      <c r="D5" s="152" t="s">
        <v>1769</v>
      </c>
      <c r="E5" s="7" t="s">
        <v>2962</v>
      </c>
      <c r="F5" s="7"/>
      <c r="G5" s="7" t="s">
        <v>1740</v>
      </c>
      <c r="H5" s="7" t="s">
        <v>1743</v>
      </c>
      <c r="I5" s="64">
        <v>3</v>
      </c>
      <c r="J5" s="7">
        <v>1</v>
      </c>
      <c r="N5" s="7" t="s">
        <v>22</v>
      </c>
      <c r="P5" s="64">
        <v>1</v>
      </c>
      <c r="S5" s="7"/>
      <c r="T5" s="6">
        <v>29</v>
      </c>
      <c r="X5" s="148"/>
      <c r="Y5" s="148"/>
      <c r="Z5" s="148"/>
      <c r="AA5" s="6" t="s">
        <v>50</v>
      </c>
      <c r="AB5" s="6" t="s">
        <v>29</v>
      </c>
      <c r="AC5" s="148"/>
      <c r="AD5" s="148"/>
      <c r="AE5" s="148"/>
      <c r="AF5" s="148"/>
      <c r="AG5" s="6" t="s">
        <v>1180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5" s="64" customFormat="1" ht="51" x14ac:dyDescent="0.2">
      <c r="A6" s="151" t="s">
        <v>583</v>
      </c>
      <c r="B6" s="152">
        <v>1921</v>
      </c>
      <c r="C6" s="152" t="s">
        <v>1768</v>
      </c>
      <c r="D6" s="152" t="s">
        <v>1769</v>
      </c>
      <c r="E6" s="7" t="s">
        <v>2962</v>
      </c>
      <c r="F6" s="7"/>
      <c r="G6" s="7" t="s">
        <v>61</v>
      </c>
      <c r="H6" s="7" t="s">
        <v>318</v>
      </c>
      <c r="I6" s="64">
        <v>4</v>
      </c>
      <c r="J6" s="7">
        <v>1</v>
      </c>
      <c r="N6" s="7" t="s">
        <v>26</v>
      </c>
      <c r="S6" s="7">
        <v>1</v>
      </c>
      <c r="T6" s="6">
        <v>19</v>
      </c>
      <c r="X6" s="148"/>
      <c r="Y6" s="148"/>
      <c r="Z6" s="148"/>
      <c r="AA6" s="6" t="s">
        <v>344</v>
      </c>
      <c r="AB6" s="6" t="s">
        <v>29</v>
      </c>
      <c r="AC6" s="148">
        <v>1</v>
      </c>
      <c r="AD6" s="148"/>
      <c r="AE6" s="148"/>
      <c r="AF6" s="148">
        <v>1</v>
      </c>
      <c r="AG6" s="6" t="s">
        <v>14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5" s="64" customFormat="1" x14ac:dyDescent="0.2">
      <c r="A7" s="151"/>
      <c r="B7" s="152"/>
      <c r="C7" s="152"/>
      <c r="D7" s="152"/>
      <c r="E7" s="152"/>
      <c r="F7" s="153"/>
      <c r="G7" s="7"/>
      <c r="H7" s="7">
        <v>4</v>
      </c>
      <c r="J7" s="7"/>
      <c r="N7" s="7"/>
      <c r="S7" s="7"/>
      <c r="T7" s="6"/>
      <c r="X7" s="148"/>
      <c r="Y7" s="148"/>
      <c r="Z7" s="148"/>
      <c r="AA7" s="6"/>
      <c r="AB7" s="6"/>
      <c r="AC7" s="148"/>
      <c r="AD7" s="148"/>
      <c r="AE7" s="148"/>
      <c r="AF7" s="148"/>
      <c r="AG7" s="6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5" s="64" customFormat="1" ht="17" x14ac:dyDescent="0.2">
      <c r="A8" s="151" t="s">
        <v>583</v>
      </c>
      <c r="B8" s="152">
        <v>1921</v>
      </c>
      <c r="C8" s="152" t="s">
        <v>1770</v>
      </c>
      <c r="D8" s="152" t="s">
        <v>1769</v>
      </c>
      <c r="E8" s="152"/>
      <c r="F8" s="153"/>
      <c r="G8" s="7" t="s">
        <v>1</v>
      </c>
      <c r="H8" s="7" t="s">
        <v>0</v>
      </c>
      <c r="J8" s="7" t="s">
        <v>3</v>
      </c>
      <c r="N8" s="7" t="s">
        <v>2</v>
      </c>
      <c r="S8" s="7"/>
      <c r="T8" s="6" t="s">
        <v>5</v>
      </c>
      <c r="X8" s="148"/>
      <c r="Y8" s="148"/>
      <c r="Z8" s="148"/>
      <c r="AA8" s="6" t="s">
        <v>7</v>
      </c>
      <c r="AB8" s="6" t="s">
        <v>8</v>
      </c>
      <c r="AC8" s="148"/>
      <c r="AD8" s="148"/>
      <c r="AE8" s="148"/>
      <c r="AF8" s="148"/>
      <c r="AG8" s="6" t="s">
        <v>6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5" s="64" customFormat="1" ht="51" x14ac:dyDescent="0.2">
      <c r="A9" s="151" t="s">
        <v>583</v>
      </c>
      <c r="B9" s="152">
        <v>1921</v>
      </c>
      <c r="C9" s="152" t="s">
        <v>1770</v>
      </c>
      <c r="D9" s="152" t="s">
        <v>1769</v>
      </c>
      <c r="E9" s="152" t="s">
        <v>2967</v>
      </c>
      <c r="F9" s="153">
        <v>5</v>
      </c>
      <c r="G9" s="7" t="s">
        <v>1745</v>
      </c>
      <c r="H9" s="7" t="s">
        <v>1744</v>
      </c>
      <c r="I9" s="64">
        <v>5</v>
      </c>
      <c r="J9" s="7" t="s">
        <v>13</v>
      </c>
      <c r="K9" s="64">
        <v>1</v>
      </c>
      <c r="N9" s="7">
        <v>1</v>
      </c>
      <c r="S9" s="7"/>
      <c r="T9" s="6">
        <v>68</v>
      </c>
      <c r="X9" s="148"/>
      <c r="Y9" s="148"/>
      <c r="Z9" s="148"/>
      <c r="AA9" s="6" t="s">
        <v>1747</v>
      </c>
      <c r="AB9" s="6" t="s">
        <v>8</v>
      </c>
      <c r="AC9" s="148">
        <v>1</v>
      </c>
      <c r="AD9" s="148">
        <v>1</v>
      </c>
      <c r="AE9" s="148"/>
      <c r="AF9" s="148"/>
      <c r="AG9" s="6" t="s">
        <v>1746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5" s="64" customFormat="1" ht="68" x14ac:dyDescent="0.2">
      <c r="A10" s="151" t="s">
        <v>583</v>
      </c>
      <c r="B10" s="152">
        <v>1921</v>
      </c>
      <c r="C10" s="152" t="s">
        <v>1770</v>
      </c>
      <c r="D10" s="152" t="s">
        <v>1769</v>
      </c>
      <c r="E10" s="152" t="s">
        <v>2967</v>
      </c>
      <c r="F10" s="153">
        <v>5</v>
      </c>
      <c r="G10" s="7" t="s">
        <v>1745</v>
      </c>
      <c r="H10" s="7" t="s">
        <v>1748</v>
      </c>
      <c r="I10" s="64">
        <v>6</v>
      </c>
      <c r="J10" s="7">
        <v>1</v>
      </c>
      <c r="N10" s="7" t="s">
        <v>22</v>
      </c>
      <c r="P10" s="64">
        <v>1</v>
      </c>
      <c r="S10" s="7"/>
      <c r="T10" s="6">
        <v>25</v>
      </c>
      <c r="X10" s="148"/>
      <c r="Y10" s="148"/>
      <c r="Z10" s="148"/>
      <c r="AA10" s="6" t="s">
        <v>47</v>
      </c>
      <c r="AB10" s="6" t="s">
        <v>20</v>
      </c>
      <c r="AC10" s="148"/>
      <c r="AD10" s="148"/>
      <c r="AE10" s="148"/>
      <c r="AF10" s="148">
        <v>1</v>
      </c>
      <c r="AG10" s="6" t="s">
        <v>49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5" s="64" customFormat="1" ht="34" x14ac:dyDescent="0.2">
      <c r="A11" s="151" t="s">
        <v>583</v>
      </c>
      <c r="B11" s="152">
        <v>1921</v>
      </c>
      <c r="C11" s="152" t="s">
        <v>1770</v>
      </c>
      <c r="D11" s="152" t="s">
        <v>1769</v>
      </c>
      <c r="E11" s="152" t="s">
        <v>2967</v>
      </c>
      <c r="F11" s="153">
        <v>5</v>
      </c>
      <c r="G11" s="7" t="s">
        <v>1745</v>
      </c>
      <c r="H11" s="7" t="s">
        <v>1749</v>
      </c>
      <c r="I11" s="64">
        <v>7</v>
      </c>
      <c r="J11" s="7">
        <v>1</v>
      </c>
      <c r="N11" s="7" t="s">
        <v>22</v>
      </c>
      <c r="P11" s="64">
        <v>1</v>
      </c>
      <c r="S11" s="7"/>
      <c r="T11" s="7">
        <v>19</v>
      </c>
      <c r="X11" s="148"/>
      <c r="Y11" s="148"/>
      <c r="Z11" s="148"/>
      <c r="AA11" s="7" t="s">
        <v>47</v>
      </c>
      <c r="AB11" s="7" t="s">
        <v>20</v>
      </c>
      <c r="AC11" s="148"/>
      <c r="AD11" s="148"/>
      <c r="AE11" s="148"/>
      <c r="AF11" s="148">
        <v>1</v>
      </c>
      <c r="AG11" s="7" t="s">
        <v>49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5" s="64" customFormat="1" x14ac:dyDescent="0.2">
      <c r="A12" s="151"/>
      <c r="B12" s="152"/>
      <c r="C12" s="152"/>
      <c r="D12" s="152"/>
      <c r="E12" s="152"/>
      <c r="F12" s="153"/>
      <c r="G12" s="7"/>
      <c r="H12" s="7">
        <v>3</v>
      </c>
      <c r="J12" s="7"/>
      <c r="N12" s="7"/>
      <c r="S12" s="7"/>
      <c r="T12" s="6"/>
      <c r="X12" s="148"/>
      <c r="Y12" s="148"/>
      <c r="Z12" s="148"/>
      <c r="AA12" s="6"/>
      <c r="AB12" s="6"/>
      <c r="AC12" s="148"/>
      <c r="AD12" s="148"/>
      <c r="AE12" s="148"/>
      <c r="AF12" s="148"/>
      <c r="AG12" s="6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5" s="64" customFormat="1" ht="17" x14ac:dyDescent="0.2">
      <c r="A13" s="151" t="s">
        <v>583</v>
      </c>
      <c r="B13" s="152">
        <v>1921</v>
      </c>
      <c r="C13" s="152"/>
      <c r="D13" s="152" t="s">
        <v>1769</v>
      </c>
      <c r="E13" s="152"/>
      <c r="F13" s="153"/>
      <c r="G13" s="7" t="s">
        <v>1</v>
      </c>
      <c r="H13" s="7" t="s">
        <v>0</v>
      </c>
      <c r="J13" s="7" t="s">
        <v>3</v>
      </c>
      <c r="N13" s="7" t="s">
        <v>2</v>
      </c>
      <c r="S13" s="7"/>
      <c r="T13" s="6" t="s">
        <v>5</v>
      </c>
      <c r="X13" s="148"/>
      <c r="Y13" s="148"/>
      <c r="Z13" s="148"/>
      <c r="AA13" s="6" t="s">
        <v>7</v>
      </c>
      <c r="AB13" s="6" t="s">
        <v>8</v>
      </c>
      <c r="AC13" s="148"/>
      <c r="AD13" s="148"/>
      <c r="AE13" s="148"/>
      <c r="AF13" s="148"/>
      <c r="AG13" s="6" t="s">
        <v>6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spans="1:55" s="64" customFormat="1" ht="68" x14ac:dyDescent="0.2">
      <c r="A14" s="151" t="s">
        <v>583</v>
      </c>
      <c r="B14" s="152">
        <v>1921</v>
      </c>
      <c r="C14" s="152" t="s">
        <v>1773</v>
      </c>
      <c r="D14" s="152" t="s">
        <v>1769</v>
      </c>
      <c r="E14" s="152"/>
      <c r="F14" s="153" t="s">
        <v>2968</v>
      </c>
      <c r="G14" s="7" t="s">
        <v>1751</v>
      </c>
      <c r="H14" s="7" t="s">
        <v>1750</v>
      </c>
      <c r="I14" s="64">
        <v>8</v>
      </c>
      <c r="J14" s="7" t="s">
        <v>13</v>
      </c>
      <c r="K14" s="64">
        <v>1</v>
      </c>
      <c r="N14" s="7">
        <v>1</v>
      </c>
      <c r="S14" s="7"/>
      <c r="T14" s="6">
        <v>55</v>
      </c>
      <c r="X14" s="148"/>
      <c r="Y14" s="148"/>
      <c r="Z14" s="148"/>
      <c r="AA14" s="6" t="s">
        <v>1752</v>
      </c>
      <c r="AB14" s="6" t="s">
        <v>8</v>
      </c>
      <c r="AC14" s="148">
        <v>1</v>
      </c>
      <c r="AD14" s="148">
        <v>1</v>
      </c>
      <c r="AE14" s="148"/>
      <c r="AF14" s="148">
        <v>1</v>
      </c>
      <c r="AG14" s="6" t="s">
        <v>49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5" s="64" customFormat="1" ht="51" x14ac:dyDescent="0.2">
      <c r="A15" s="151" t="s">
        <v>583</v>
      </c>
      <c r="B15" s="152">
        <v>1921</v>
      </c>
      <c r="C15" s="152" t="s">
        <v>1773</v>
      </c>
      <c r="D15" s="152" t="s">
        <v>1769</v>
      </c>
      <c r="E15" s="152"/>
      <c r="F15" s="153"/>
      <c r="G15" s="7" t="s">
        <v>1751</v>
      </c>
      <c r="H15" s="7" t="s">
        <v>1753</v>
      </c>
      <c r="I15" s="64">
        <v>9</v>
      </c>
      <c r="J15" s="7">
        <v>1</v>
      </c>
      <c r="N15" s="7" t="s">
        <v>18</v>
      </c>
      <c r="O15" s="64">
        <v>1</v>
      </c>
      <c r="S15" s="7"/>
      <c r="T15" s="6">
        <v>45</v>
      </c>
      <c r="X15" s="148"/>
      <c r="Y15" s="148"/>
      <c r="Z15" s="148"/>
      <c r="AA15" s="6" t="s">
        <v>50</v>
      </c>
      <c r="AB15" s="6" t="s">
        <v>20</v>
      </c>
      <c r="AC15" s="148"/>
      <c r="AD15" s="148"/>
      <c r="AE15" s="148"/>
      <c r="AF15" s="148"/>
      <c r="AG15" s="6" t="s">
        <v>1754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5" s="64" customFormat="1" ht="68" x14ac:dyDescent="0.2">
      <c r="A16" s="151" t="s">
        <v>583</v>
      </c>
      <c r="B16" s="152">
        <v>1921</v>
      </c>
      <c r="C16" s="152" t="s">
        <v>1773</v>
      </c>
      <c r="D16" s="152" t="s">
        <v>1769</v>
      </c>
      <c r="E16" s="152"/>
      <c r="F16" s="153"/>
      <c r="G16" s="7" t="s">
        <v>1751</v>
      </c>
      <c r="H16" s="7" t="s">
        <v>1755</v>
      </c>
      <c r="I16" s="64">
        <v>10</v>
      </c>
      <c r="J16" s="7" t="s">
        <v>13</v>
      </c>
      <c r="M16" s="64">
        <v>1</v>
      </c>
      <c r="N16" s="7" t="s">
        <v>51</v>
      </c>
      <c r="Q16" s="64">
        <v>1</v>
      </c>
      <c r="S16" s="7"/>
      <c r="T16" s="6">
        <v>11</v>
      </c>
      <c r="X16" s="148"/>
      <c r="Y16" s="148"/>
      <c r="Z16" s="148"/>
      <c r="AA16" s="6" t="s">
        <v>20</v>
      </c>
      <c r="AB16" s="6" t="s">
        <v>20</v>
      </c>
      <c r="AC16" s="148"/>
      <c r="AD16" s="148"/>
      <c r="AE16" s="148"/>
      <c r="AF16" s="148">
        <v>1</v>
      </c>
      <c r="AG16" s="6" t="s">
        <v>49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s="64" customFormat="1" ht="68" x14ac:dyDescent="0.2">
      <c r="A17" s="151" t="s">
        <v>583</v>
      </c>
      <c r="B17" s="152">
        <v>1921</v>
      </c>
      <c r="C17" s="152" t="s">
        <v>1771</v>
      </c>
      <c r="D17" s="152" t="s">
        <v>1769</v>
      </c>
      <c r="E17" s="152"/>
      <c r="F17" s="153"/>
      <c r="G17" s="7" t="s">
        <v>1756</v>
      </c>
      <c r="H17" s="7" t="s">
        <v>138</v>
      </c>
      <c r="I17" s="64">
        <v>11</v>
      </c>
      <c r="J17" s="7">
        <v>1</v>
      </c>
      <c r="N17" s="7" t="s">
        <v>26</v>
      </c>
      <c r="S17" s="7">
        <v>1</v>
      </c>
      <c r="T17" s="6">
        <v>18</v>
      </c>
      <c r="X17" s="148"/>
      <c r="Y17" s="148"/>
      <c r="Z17" s="148"/>
      <c r="AA17" s="6" t="s">
        <v>344</v>
      </c>
      <c r="AB17" s="6" t="s">
        <v>29</v>
      </c>
      <c r="AC17" s="148">
        <v>1</v>
      </c>
      <c r="AD17" s="148"/>
      <c r="AE17" s="148"/>
      <c r="AF17" s="148">
        <v>1</v>
      </c>
      <c r="AG17" s="6" t="s">
        <v>1757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s="64" customFormat="1" ht="17" x14ac:dyDescent="0.2">
      <c r="A18" s="151" t="s">
        <v>583</v>
      </c>
      <c r="B18" s="152">
        <v>1921</v>
      </c>
      <c r="C18" s="152"/>
      <c r="D18" s="152" t="s">
        <v>1769</v>
      </c>
      <c r="E18" s="152"/>
      <c r="F18" s="153"/>
      <c r="G18" s="7"/>
      <c r="H18" s="7">
        <v>4</v>
      </c>
      <c r="J18" s="7"/>
      <c r="N18" s="7"/>
      <c r="S18" s="7"/>
      <c r="T18" s="6"/>
      <c r="X18" s="148"/>
      <c r="Y18" s="148"/>
      <c r="Z18" s="148"/>
      <c r="AA18" s="6"/>
      <c r="AB18" s="6"/>
      <c r="AC18" s="148"/>
      <c r="AD18" s="148"/>
      <c r="AE18" s="148"/>
      <c r="AF18" s="148"/>
      <c r="AG18" s="6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s="64" customFormat="1" ht="17" x14ac:dyDescent="0.2">
      <c r="A19" s="151" t="s">
        <v>583</v>
      </c>
      <c r="B19" s="152">
        <v>1921</v>
      </c>
      <c r="C19" s="152"/>
      <c r="D19" s="152" t="s">
        <v>1769</v>
      </c>
      <c r="E19" s="152"/>
      <c r="F19" s="153"/>
      <c r="G19" s="7" t="s">
        <v>1</v>
      </c>
      <c r="H19" s="7" t="s">
        <v>0</v>
      </c>
      <c r="J19" s="7" t="s">
        <v>3</v>
      </c>
      <c r="N19" s="7" t="s">
        <v>2</v>
      </c>
      <c r="S19" s="7"/>
      <c r="T19" s="7" t="s">
        <v>5</v>
      </c>
      <c r="X19" s="148"/>
      <c r="Y19" s="148"/>
      <c r="Z19" s="148"/>
      <c r="AA19" s="7" t="s">
        <v>7</v>
      </c>
      <c r="AB19" s="7" t="s">
        <v>8</v>
      </c>
      <c r="AC19" s="148">
        <v>1</v>
      </c>
      <c r="AD19" s="148"/>
      <c r="AE19" s="148"/>
      <c r="AF19" s="148"/>
      <c r="AG19" s="7" t="s">
        <v>6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1" s="64" customFormat="1" ht="17" x14ac:dyDescent="0.2">
      <c r="A20" s="151" t="s">
        <v>583</v>
      </c>
      <c r="B20" s="152">
        <v>1921</v>
      </c>
      <c r="C20" s="152" t="s">
        <v>1772</v>
      </c>
      <c r="D20" s="152" t="s">
        <v>1769</v>
      </c>
      <c r="E20" s="152" t="s">
        <v>2965</v>
      </c>
      <c r="F20" s="153" t="s">
        <v>2966</v>
      </c>
      <c r="G20" s="7" t="s">
        <v>1758</v>
      </c>
      <c r="H20" s="7" t="s">
        <v>423</v>
      </c>
      <c r="I20" s="64">
        <v>12</v>
      </c>
      <c r="J20" s="7" t="s">
        <v>13</v>
      </c>
      <c r="K20" s="64">
        <v>1</v>
      </c>
      <c r="N20" s="7">
        <v>1</v>
      </c>
      <c r="S20" s="7"/>
      <c r="T20" s="7">
        <v>69</v>
      </c>
      <c r="X20" s="148"/>
      <c r="Y20" s="148"/>
      <c r="Z20" s="148"/>
      <c r="AA20" s="7" t="s">
        <v>1760</v>
      </c>
      <c r="AB20" s="7" t="s">
        <v>1761</v>
      </c>
      <c r="AC20" s="148">
        <v>1</v>
      </c>
      <c r="AD20" s="148"/>
      <c r="AE20" s="148"/>
      <c r="AF20" s="148"/>
      <c r="AG20" s="7" t="s">
        <v>1759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s="64" customFormat="1" ht="17" x14ac:dyDescent="0.2">
      <c r="A21" s="151" t="s">
        <v>583</v>
      </c>
      <c r="B21" s="152">
        <v>1921</v>
      </c>
      <c r="C21" s="152" t="s">
        <v>1772</v>
      </c>
      <c r="D21" s="152" t="s">
        <v>1769</v>
      </c>
      <c r="E21" s="152"/>
      <c r="F21" s="153"/>
      <c r="G21" s="21" t="s">
        <v>1758</v>
      </c>
      <c r="H21" s="21" t="s">
        <v>1581</v>
      </c>
      <c r="I21" s="64">
        <v>13</v>
      </c>
      <c r="J21" s="7">
        <v>1</v>
      </c>
      <c r="N21" s="7" t="s">
        <v>18</v>
      </c>
      <c r="O21" s="64">
        <v>1</v>
      </c>
      <c r="S21" s="7"/>
      <c r="T21" s="7">
        <v>61</v>
      </c>
      <c r="X21" s="148"/>
      <c r="Y21" s="148"/>
      <c r="Z21" s="148"/>
      <c r="AA21" s="7" t="s">
        <v>50</v>
      </c>
      <c r="AB21" s="7" t="s">
        <v>20</v>
      </c>
      <c r="AC21" s="148"/>
      <c r="AD21" s="148"/>
      <c r="AE21" s="148"/>
      <c r="AF21" s="148"/>
      <c r="AG21" s="7" t="s">
        <v>1762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s="64" customFormat="1" ht="17" x14ac:dyDescent="0.2">
      <c r="A22" s="151" t="s">
        <v>583</v>
      </c>
      <c r="B22" s="152">
        <v>1921</v>
      </c>
      <c r="C22" s="152" t="s">
        <v>1772</v>
      </c>
      <c r="D22" s="152" t="s">
        <v>1769</v>
      </c>
      <c r="E22" s="152"/>
      <c r="F22" s="153"/>
      <c r="G22" s="7" t="s">
        <v>1758</v>
      </c>
      <c r="H22" s="7" t="s">
        <v>1763</v>
      </c>
      <c r="I22" s="64">
        <v>14</v>
      </c>
      <c r="J22" s="7" t="s">
        <v>13</v>
      </c>
      <c r="K22" s="64">
        <v>1</v>
      </c>
      <c r="N22" s="7" t="s">
        <v>51</v>
      </c>
      <c r="Q22" s="64">
        <v>1</v>
      </c>
      <c r="S22" s="7"/>
      <c r="T22" s="7">
        <v>35</v>
      </c>
      <c r="X22" s="148"/>
      <c r="Y22" s="148"/>
      <c r="Z22" s="148"/>
      <c r="AA22" s="7" t="s">
        <v>1454</v>
      </c>
      <c r="AB22" s="7" t="s">
        <v>1764</v>
      </c>
      <c r="AC22" s="148">
        <v>1</v>
      </c>
      <c r="AD22" s="148"/>
      <c r="AE22" s="148"/>
      <c r="AF22" s="148">
        <v>1</v>
      </c>
      <c r="AG22" s="7" t="s">
        <v>49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s="64" customFormat="1" ht="17" x14ac:dyDescent="0.2">
      <c r="A23" s="151" t="s">
        <v>583</v>
      </c>
      <c r="B23" s="152">
        <v>1921</v>
      </c>
      <c r="C23" s="152" t="s">
        <v>1772</v>
      </c>
      <c r="D23" s="152" t="s">
        <v>1769</v>
      </c>
      <c r="E23" s="152"/>
      <c r="F23" s="153"/>
      <c r="G23" s="7" t="s">
        <v>1758</v>
      </c>
      <c r="H23" s="7" t="s">
        <v>1286</v>
      </c>
      <c r="I23" s="64">
        <v>15</v>
      </c>
      <c r="J23" s="7" t="s">
        <v>13</v>
      </c>
      <c r="K23" s="64">
        <v>1</v>
      </c>
      <c r="N23" s="7" t="s">
        <v>51</v>
      </c>
      <c r="Q23" s="64">
        <v>1</v>
      </c>
      <c r="S23" s="7"/>
      <c r="T23" s="7">
        <v>34</v>
      </c>
      <c r="X23" s="148"/>
      <c r="Y23" s="148"/>
      <c r="Z23" s="148"/>
      <c r="AA23" s="7" t="s">
        <v>1766</v>
      </c>
      <c r="AB23" s="7" t="s">
        <v>1767</v>
      </c>
      <c r="AC23" s="148"/>
      <c r="AD23" s="148"/>
      <c r="AE23" s="148"/>
      <c r="AF23" s="148">
        <v>1</v>
      </c>
      <c r="AG23" s="7" t="s">
        <v>1765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1" s="64" customFormat="1" ht="17" x14ac:dyDescent="0.2">
      <c r="A24" s="151" t="s">
        <v>583</v>
      </c>
      <c r="B24" s="152">
        <v>1921</v>
      </c>
      <c r="C24" s="152"/>
      <c r="D24" s="152" t="s">
        <v>1769</v>
      </c>
      <c r="E24" s="152"/>
      <c r="F24" s="153"/>
      <c r="G24" s="148"/>
      <c r="H24" s="148">
        <v>4</v>
      </c>
      <c r="J24" s="148"/>
      <c r="K24" s="219"/>
      <c r="L24" s="148"/>
      <c r="M24" s="154"/>
      <c r="N24" s="155"/>
      <c r="O24" s="156"/>
      <c r="P24" s="148"/>
      <c r="Q24" s="219"/>
      <c r="R24" s="219"/>
      <c r="S24" s="220"/>
      <c r="T24" s="155"/>
      <c r="U24" s="155"/>
      <c r="V24" s="155"/>
      <c r="W24" s="157"/>
      <c r="X24" s="148"/>
      <c r="Y24" s="148"/>
      <c r="Z24" s="148"/>
      <c r="AA24" s="148"/>
      <c r="AB24" s="148"/>
      <c r="AC24" s="148"/>
      <c r="AD24" s="148"/>
      <c r="AE24" s="148"/>
      <c r="AF24" s="148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 spans="1:51" s="64" customFormat="1" ht="17" x14ac:dyDescent="0.2">
      <c r="A25" s="151" t="s">
        <v>583</v>
      </c>
      <c r="B25" s="152">
        <v>1921</v>
      </c>
      <c r="C25" s="152">
        <v>4</v>
      </c>
      <c r="D25" s="152" t="s">
        <v>1769</v>
      </c>
      <c r="E25" s="152"/>
      <c r="F25" s="153"/>
      <c r="G25" s="20"/>
      <c r="H25" s="148"/>
      <c r="I25" s="148">
        <v>15</v>
      </c>
      <c r="J25" s="148">
        <f>SUM(J3:J23)</f>
        <v>9</v>
      </c>
      <c r="K25" s="148">
        <f t="shared" ref="K25:AI25" si="0">SUM(K3:K23)</f>
        <v>5</v>
      </c>
      <c r="L25" s="148">
        <f t="shared" si="0"/>
        <v>0</v>
      </c>
      <c r="M25" s="148">
        <f t="shared" si="0"/>
        <v>1</v>
      </c>
      <c r="N25" s="148">
        <f t="shared" si="0"/>
        <v>4</v>
      </c>
      <c r="O25" s="148">
        <f t="shared" si="0"/>
        <v>2</v>
      </c>
      <c r="P25" s="148">
        <f t="shared" si="0"/>
        <v>4</v>
      </c>
      <c r="Q25" s="148">
        <f t="shared" si="0"/>
        <v>3</v>
      </c>
      <c r="R25" s="148">
        <f t="shared" si="0"/>
        <v>0</v>
      </c>
      <c r="S25" s="148">
        <f t="shared" si="0"/>
        <v>2</v>
      </c>
      <c r="T25" s="148">
        <f t="shared" si="0"/>
        <v>605</v>
      </c>
      <c r="U25" s="148">
        <f>SUM(AG3:AG23)</f>
        <v>0</v>
      </c>
      <c r="V25" s="148">
        <f>SUM(AA3:AA23)</f>
        <v>0</v>
      </c>
      <c r="W25" s="148">
        <f>SUM(AB3:AB23)</f>
        <v>0</v>
      </c>
      <c r="X25" s="148">
        <f t="shared" si="0"/>
        <v>0</v>
      </c>
      <c r="Y25" s="148">
        <f t="shared" si="0"/>
        <v>0</v>
      </c>
      <c r="Z25" s="148">
        <f t="shared" si="0"/>
        <v>0</v>
      </c>
      <c r="AA25" s="148" t="e">
        <f>SUM(#REF!)</f>
        <v>#REF!</v>
      </c>
      <c r="AB25" s="148" t="e">
        <f>SUM(#REF!)</f>
        <v>#REF!</v>
      </c>
      <c r="AC25" s="148">
        <f t="shared" si="0"/>
        <v>7</v>
      </c>
      <c r="AD25" s="148">
        <f t="shared" si="0"/>
        <v>2</v>
      </c>
      <c r="AE25" s="148">
        <f>AC25-AD25</f>
        <v>5</v>
      </c>
      <c r="AF25" s="148">
        <f t="shared" si="0"/>
        <v>8</v>
      </c>
      <c r="AG25" s="148">
        <f>J26-AF25</f>
        <v>7</v>
      </c>
      <c r="AH25" s="148">
        <f>AG25+AF25</f>
        <v>15</v>
      </c>
      <c r="AI25" s="148">
        <f t="shared" si="0"/>
        <v>0</v>
      </c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 spans="1:51" ht="19" customHeight="1" x14ac:dyDescent="0.2">
      <c r="A26" s="9"/>
      <c r="B26" s="9"/>
      <c r="C26" s="7"/>
      <c r="D26" s="7"/>
      <c r="E26" s="7"/>
      <c r="F26" s="5"/>
      <c r="G26" s="5"/>
      <c r="H26" s="5"/>
      <c r="I26" s="5"/>
      <c r="J26" s="148">
        <f>SUM(J25:M25)</f>
        <v>15</v>
      </c>
      <c r="K26" s="10"/>
      <c r="L26" s="5"/>
      <c r="M26" s="5"/>
      <c r="N26" s="148">
        <f>SUM(N25:S25)</f>
        <v>15</v>
      </c>
      <c r="O26" s="5"/>
      <c r="P26" s="5"/>
      <c r="Q26" s="10"/>
      <c r="R26" s="10"/>
      <c r="S26" s="10"/>
      <c r="T26" s="148">
        <f>T25/N26</f>
        <v>40.333333333333336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7"/>
      <c r="R27" s="6"/>
      <c r="S27" s="6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6"/>
      <c r="R28" s="6"/>
      <c r="S28" s="6"/>
      <c r="T28" s="6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6"/>
      <c r="R33" s="6"/>
      <c r="S33" s="6"/>
      <c r="T33" s="6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6"/>
      <c r="R34" s="6"/>
      <c r="S34" s="6"/>
      <c r="T34" s="6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6"/>
      <c r="N36" s="6"/>
      <c r="O36" s="6"/>
      <c r="P36" s="6"/>
      <c r="Q36" s="6"/>
      <c r="R36" s="6"/>
      <c r="S36" s="6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6"/>
      <c r="N37" s="6"/>
      <c r="O37" s="6"/>
      <c r="P37" s="6"/>
      <c r="Q37" s="6"/>
      <c r="R37" s="6"/>
      <c r="S37" s="6"/>
      <c r="T37" s="6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11"/>
      <c r="B38" s="11"/>
      <c r="C38" s="11"/>
      <c r="D38" s="12"/>
      <c r="E38" s="11"/>
      <c r="F38" s="12"/>
      <c r="G38" s="12"/>
      <c r="H38" s="12"/>
      <c r="I38" s="12"/>
      <c r="J38" s="12"/>
      <c r="K38" s="13"/>
      <c r="L38" s="12"/>
      <c r="M38" s="12"/>
      <c r="N38" s="12"/>
      <c r="O38" s="12"/>
      <c r="P38" s="12"/>
      <c r="Q38" s="13"/>
      <c r="R38" s="13"/>
      <c r="S38" s="13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28" customHeight="1" x14ac:dyDescent="0.2">
      <c r="A39" s="11"/>
      <c r="B39" s="11"/>
      <c r="C39" s="11"/>
      <c r="D39" s="12"/>
      <c r="E39" s="11"/>
      <c r="F39" s="12"/>
      <c r="G39" s="12"/>
      <c r="H39" s="12" t="s">
        <v>0</v>
      </c>
      <c r="I39" s="12" t="s">
        <v>1</v>
      </c>
      <c r="J39" s="14" t="s">
        <v>2</v>
      </c>
      <c r="K39" s="15" t="s">
        <v>3</v>
      </c>
      <c r="L39" s="16" t="s">
        <v>4</v>
      </c>
      <c r="M39" s="12" t="s">
        <v>5</v>
      </c>
      <c r="N39" s="12" t="s">
        <v>6</v>
      </c>
      <c r="O39" s="12" t="s">
        <v>7</v>
      </c>
      <c r="P39" s="14" t="s">
        <v>8</v>
      </c>
      <c r="Q39" s="15"/>
      <c r="R39" s="15"/>
      <c r="S39" s="15"/>
      <c r="T39" s="17"/>
      <c r="U39" s="12"/>
      <c r="V39" s="12"/>
      <c r="W39" s="12"/>
      <c r="X39" s="12"/>
      <c r="Y39" s="12"/>
      <c r="Z39" s="12"/>
      <c r="AA39" s="12"/>
      <c r="AB39" s="12"/>
      <c r="AC39" s="12"/>
      <c r="AD39" s="11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B40" s="7"/>
      <c r="C40" s="7"/>
      <c r="D40" s="7"/>
      <c r="E40" s="7" t="s">
        <v>2962</v>
      </c>
      <c r="F40" s="7"/>
      <c r="G40" s="7"/>
      <c r="H40" s="7" t="s">
        <v>1501</v>
      </c>
      <c r="I40" s="7" t="s">
        <v>1740</v>
      </c>
      <c r="J40" s="7" t="s">
        <v>12</v>
      </c>
      <c r="K40" s="9" t="s">
        <v>19</v>
      </c>
      <c r="L40" s="7">
        <v>1849</v>
      </c>
      <c r="M40" s="6">
        <v>72</v>
      </c>
      <c r="N40" s="6" t="s">
        <v>1741</v>
      </c>
      <c r="O40" s="6" t="s">
        <v>50</v>
      </c>
      <c r="P40" s="6" t="s">
        <v>29</v>
      </c>
      <c r="Q40" s="18"/>
      <c r="R40" s="18"/>
      <c r="S40" s="18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/>
      <c r="B41" s="7"/>
      <c r="C41" s="7"/>
      <c r="D41" s="7"/>
      <c r="E41" s="7"/>
      <c r="F41" s="7"/>
      <c r="G41" s="7"/>
      <c r="H41" s="7" t="s">
        <v>1742</v>
      </c>
      <c r="I41" s="7" t="s">
        <v>1740</v>
      </c>
      <c r="J41" s="7" t="s">
        <v>22</v>
      </c>
      <c r="K41" s="7" t="s">
        <v>19</v>
      </c>
      <c r="L41" s="7">
        <v>1875</v>
      </c>
      <c r="M41" s="6">
        <v>45</v>
      </c>
      <c r="N41" s="6" t="s">
        <v>1180</v>
      </c>
      <c r="O41" s="6" t="s">
        <v>50</v>
      </c>
      <c r="P41" s="6" t="s">
        <v>29</v>
      </c>
      <c r="Q41" s="7"/>
      <c r="R41" s="6"/>
      <c r="S41" s="6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H42" s="7" t="s">
        <v>1743</v>
      </c>
      <c r="I42" s="7" t="s">
        <v>1740</v>
      </c>
      <c r="J42" s="7" t="s">
        <v>22</v>
      </c>
      <c r="K42" s="7" t="s">
        <v>19</v>
      </c>
      <c r="L42" s="7">
        <v>1892</v>
      </c>
      <c r="M42" s="6">
        <v>29</v>
      </c>
      <c r="N42" s="6" t="s">
        <v>1180</v>
      </c>
      <c r="O42" s="6" t="s">
        <v>50</v>
      </c>
      <c r="P42" s="6" t="s">
        <v>29</v>
      </c>
      <c r="Q42" s="6"/>
      <c r="R42" s="6"/>
      <c r="S42" s="6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7"/>
      <c r="B43" s="7"/>
      <c r="C43" s="7"/>
      <c r="D43" s="7"/>
      <c r="E43" s="7"/>
      <c r="F43" s="7"/>
      <c r="G43" s="7"/>
      <c r="H43" s="7" t="s">
        <v>318</v>
      </c>
      <c r="I43" s="7" t="s">
        <v>61</v>
      </c>
      <c r="J43" s="7" t="s">
        <v>26</v>
      </c>
      <c r="K43" s="7" t="s">
        <v>19</v>
      </c>
      <c r="L43" s="7">
        <v>1901</v>
      </c>
      <c r="M43" s="6">
        <v>19</v>
      </c>
      <c r="N43" s="6" t="s">
        <v>14</v>
      </c>
      <c r="O43" s="6" t="s">
        <v>344</v>
      </c>
      <c r="P43" s="6" t="s">
        <v>29</v>
      </c>
      <c r="Q43" s="6"/>
      <c r="R43" s="6"/>
      <c r="S43" s="6"/>
      <c r="T43" s="7"/>
      <c r="U43" s="6"/>
      <c r="V43" s="6"/>
      <c r="W43" s="6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6"/>
      <c r="N44" s="6"/>
      <c r="O44" s="6"/>
      <c r="P44" s="6"/>
      <c r="Q44" s="7"/>
      <c r="R44" s="6"/>
      <c r="S44" s="6"/>
      <c r="T44" s="7"/>
      <c r="U44" s="6"/>
      <c r="V44" s="6"/>
      <c r="W44" s="6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/>
      <c r="B45" s="7"/>
      <c r="C45" s="7"/>
      <c r="D45" s="7"/>
      <c r="E45" s="7"/>
      <c r="F45" s="7"/>
      <c r="G45" s="7"/>
      <c r="H45" s="7" t="s">
        <v>0</v>
      </c>
      <c r="I45" s="7" t="s">
        <v>1</v>
      </c>
      <c r="J45" s="7" t="s">
        <v>2</v>
      </c>
      <c r="K45" s="7" t="s">
        <v>3</v>
      </c>
      <c r="L45" s="7" t="s">
        <v>4</v>
      </c>
      <c r="M45" s="6" t="s">
        <v>5</v>
      </c>
      <c r="N45" s="6" t="s">
        <v>6</v>
      </c>
      <c r="O45" s="6" t="s">
        <v>7</v>
      </c>
      <c r="P45" s="6" t="s">
        <v>8</v>
      </c>
      <c r="Q45" s="7"/>
      <c r="R45" s="6"/>
      <c r="S45" s="6"/>
      <c r="T45" s="7"/>
      <c r="U45" s="6"/>
      <c r="V45" s="6"/>
      <c r="W45" s="6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7"/>
      <c r="B46" s="7"/>
      <c r="C46" s="7"/>
      <c r="D46" s="7"/>
      <c r="E46" s="7" t="s">
        <v>2964</v>
      </c>
      <c r="F46" s="7" t="s">
        <v>2961</v>
      </c>
      <c r="G46" s="7"/>
      <c r="H46" s="7" t="s">
        <v>1744</v>
      </c>
      <c r="I46" s="7" t="s">
        <v>1745</v>
      </c>
      <c r="J46" s="7" t="s">
        <v>12</v>
      </c>
      <c r="K46" s="7" t="s">
        <v>13</v>
      </c>
      <c r="L46" s="7">
        <v>1853</v>
      </c>
      <c r="M46" s="6">
        <v>68</v>
      </c>
      <c r="N46" s="6" t="s">
        <v>1746</v>
      </c>
      <c r="O46" s="6" t="s">
        <v>1747</v>
      </c>
      <c r="P46" s="6" t="s">
        <v>8</v>
      </c>
      <c r="Q46" s="7"/>
      <c r="R46" s="6"/>
      <c r="S46" s="6"/>
      <c r="T46" s="7"/>
      <c r="U46" s="6"/>
      <c r="V46" s="6"/>
      <c r="W46" s="6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7"/>
      <c r="B47" s="7"/>
      <c r="C47" s="7"/>
      <c r="D47" s="7"/>
      <c r="E47" s="7"/>
      <c r="F47" s="7"/>
      <c r="G47" s="7"/>
      <c r="H47" s="7" t="s">
        <v>1748</v>
      </c>
      <c r="I47" s="7" t="s">
        <v>1745</v>
      </c>
      <c r="J47" s="7" t="s">
        <v>22</v>
      </c>
      <c r="K47" s="7" t="s">
        <v>19</v>
      </c>
      <c r="L47" s="7">
        <v>1896</v>
      </c>
      <c r="M47" s="6">
        <v>25</v>
      </c>
      <c r="N47" s="6" t="s">
        <v>49</v>
      </c>
      <c r="O47" s="6" t="s">
        <v>47</v>
      </c>
      <c r="P47" s="6" t="s">
        <v>20</v>
      </c>
      <c r="Q47" s="7"/>
      <c r="R47" s="6"/>
      <c r="S47" s="6"/>
      <c r="T47" s="7"/>
      <c r="U47" s="6"/>
      <c r="V47" s="6"/>
      <c r="W47" s="6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" customHeight="1" x14ac:dyDescent="0.2">
      <c r="A48" s="7"/>
      <c r="B48" s="7"/>
      <c r="C48" s="7"/>
      <c r="D48" s="7"/>
      <c r="E48" s="7"/>
      <c r="F48" s="7"/>
      <c r="G48" s="7"/>
      <c r="H48" s="7" t="s">
        <v>1749</v>
      </c>
      <c r="I48" s="7" t="s">
        <v>1745</v>
      </c>
      <c r="J48" s="7" t="s">
        <v>22</v>
      </c>
      <c r="K48" s="7" t="s">
        <v>19</v>
      </c>
      <c r="L48" s="7">
        <v>1902</v>
      </c>
      <c r="M48" s="7">
        <v>19</v>
      </c>
      <c r="N48" s="7" t="s">
        <v>49</v>
      </c>
      <c r="O48" s="7" t="s">
        <v>47</v>
      </c>
      <c r="P48" s="7" t="s">
        <v>20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6"/>
      <c r="N49" s="6"/>
      <c r="O49" s="6"/>
      <c r="P49" s="6"/>
      <c r="Q49" s="7"/>
      <c r="R49" s="6"/>
      <c r="S49" s="6"/>
      <c r="T49" s="19"/>
      <c r="U49" s="6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7"/>
      <c r="B50" s="7"/>
      <c r="C50" s="7"/>
      <c r="D50" s="7"/>
      <c r="E50" s="7"/>
      <c r="F50" s="7"/>
      <c r="G50" s="7"/>
      <c r="H50" s="7" t="s">
        <v>0</v>
      </c>
      <c r="I50" s="7" t="s">
        <v>1</v>
      </c>
      <c r="J50" s="7" t="s">
        <v>2</v>
      </c>
      <c r="K50" s="7" t="s">
        <v>3</v>
      </c>
      <c r="L50" s="7" t="s">
        <v>4</v>
      </c>
      <c r="M50" s="6" t="s">
        <v>5</v>
      </c>
      <c r="N50" s="6" t="s">
        <v>6</v>
      </c>
      <c r="O50" s="6" t="s">
        <v>7</v>
      </c>
      <c r="P50" s="6" t="s">
        <v>8</v>
      </c>
      <c r="Q50" s="7"/>
      <c r="R50" s="6"/>
      <c r="S50" s="6"/>
      <c r="T50" s="7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 t="s">
        <v>2963</v>
      </c>
      <c r="G51" s="7"/>
      <c r="H51" s="7" t="s">
        <v>1750</v>
      </c>
      <c r="I51" s="7" t="s">
        <v>1751</v>
      </c>
      <c r="J51" s="7" t="s">
        <v>12</v>
      </c>
      <c r="K51" s="7" t="s">
        <v>13</v>
      </c>
      <c r="L51" s="7">
        <v>1866</v>
      </c>
      <c r="M51" s="6">
        <v>55</v>
      </c>
      <c r="N51" s="6" t="s">
        <v>49</v>
      </c>
      <c r="O51" s="6" t="s">
        <v>1752</v>
      </c>
      <c r="P51" s="6" t="s">
        <v>8</v>
      </c>
      <c r="Q51" s="7"/>
      <c r="R51" s="6"/>
      <c r="S51" s="6"/>
      <c r="T51" s="7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 t="s">
        <v>1753</v>
      </c>
      <c r="I52" s="7" t="s">
        <v>1751</v>
      </c>
      <c r="J52" s="7" t="s">
        <v>18</v>
      </c>
      <c r="K52" s="7" t="s">
        <v>19</v>
      </c>
      <c r="L52" s="7">
        <v>1876</v>
      </c>
      <c r="M52" s="6">
        <v>45</v>
      </c>
      <c r="N52" s="6" t="s">
        <v>1754</v>
      </c>
      <c r="O52" s="6" t="s">
        <v>50</v>
      </c>
      <c r="P52" s="6" t="s">
        <v>20</v>
      </c>
      <c r="Q52" s="7"/>
      <c r="R52" s="6"/>
      <c r="S52" s="6"/>
      <c r="T52" s="19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 t="s">
        <v>1755</v>
      </c>
      <c r="I53" s="7" t="s">
        <v>1751</v>
      </c>
      <c r="J53" s="7" t="s">
        <v>51</v>
      </c>
      <c r="K53" s="7" t="s">
        <v>13</v>
      </c>
      <c r="L53" s="7">
        <v>1910</v>
      </c>
      <c r="M53" s="6">
        <v>11</v>
      </c>
      <c r="N53" s="6" t="s">
        <v>49</v>
      </c>
      <c r="O53" s="6" t="s">
        <v>20</v>
      </c>
      <c r="P53" s="6" t="s">
        <v>20</v>
      </c>
      <c r="Q53" s="7"/>
      <c r="R53" s="6"/>
      <c r="S53" s="6"/>
      <c r="T53" s="7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 t="s">
        <v>138</v>
      </c>
      <c r="I54" s="7" t="s">
        <v>1756</v>
      </c>
      <c r="J54" s="7" t="s">
        <v>26</v>
      </c>
      <c r="K54" s="7" t="s">
        <v>19</v>
      </c>
      <c r="L54" s="7">
        <v>1903</v>
      </c>
      <c r="M54" s="6">
        <v>18</v>
      </c>
      <c r="N54" s="6" t="s">
        <v>1757</v>
      </c>
      <c r="O54" s="6" t="s">
        <v>344</v>
      </c>
      <c r="P54" s="6" t="s">
        <v>29</v>
      </c>
      <c r="Q54" s="7"/>
      <c r="R54" s="6"/>
      <c r="S54" s="6"/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6"/>
      <c r="N55" s="6"/>
      <c r="O55" s="6"/>
      <c r="P55" s="6"/>
      <c r="Q55" s="7"/>
      <c r="R55" s="6"/>
      <c r="S55" s="6"/>
      <c r="T55" s="7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" customHeight="1" x14ac:dyDescent="0.2">
      <c r="A56" s="4" t="s">
        <v>252</v>
      </c>
      <c r="B56" s="7"/>
      <c r="C56" s="7"/>
      <c r="D56" s="7"/>
      <c r="E56" s="7"/>
      <c r="F56" s="7"/>
      <c r="G56" s="7"/>
      <c r="H56" s="7" t="s">
        <v>0</v>
      </c>
      <c r="I56" s="7" t="s">
        <v>1</v>
      </c>
      <c r="J56" s="7" t="s">
        <v>2</v>
      </c>
      <c r="K56" s="7" t="s">
        <v>3</v>
      </c>
      <c r="L56" s="7" t="s">
        <v>4</v>
      </c>
      <c r="M56" s="7" t="s">
        <v>5</v>
      </c>
      <c r="N56" s="7" t="s">
        <v>6</v>
      </c>
      <c r="O56" s="7" t="s">
        <v>7</v>
      </c>
      <c r="P56" s="7" t="s">
        <v>8</v>
      </c>
      <c r="Q56" s="7">
        <f t="shared" ref="Q56:W56" si="1">SUM(Q26:Q55)</f>
        <v>0</v>
      </c>
      <c r="R56" s="7">
        <f t="shared" si="1"/>
        <v>0</v>
      </c>
      <c r="S56" s="7">
        <f t="shared" si="1"/>
        <v>0</v>
      </c>
      <c r="T56" s="7">
        <f t="shared" si="1"/>
        <v>40.333333333333336</v>
      </c>
      <c r="U56" s="7">
        <f t="shared" si="1"/>
        <v>0</v>
      </c>
      <c r="V56" s="7">
        <f t="shared" si="1"/>
        <v>0</v>
      </c>
      <c r="W56" s="7">
        <f t="shared" si="1"/>
        <v>0</v>
      </c>
      <c r="X56" s="7"/>
      <c r="Y56" s="7"/>
      <c r="Z56" s="7">
        <f>SUM(Z26:Z55)</f>
        <v>0</v>
      </c>
      <c r="AA56" s="7">
        <f>SUM(AA26:AA55)</f>
        <v>0</v>
      </c>
      <c r="AB56" s="7">
        <f>SUM(AB26:AB55)</f>
        <v>0</v>
      </c>
      <c r="AC56" s="7">
        <f>SUM(AC26:AC55)</f>
        <v>0</v>
      </c>
      <c r="AD56" s="7">
        <f>SUM(AD26:AD55)</f>
        <v>0</v>
      </c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" customHeight="1" x14ac:dyDescent="0.2">
      <c r="A57" s="7"/>
      <c r="B57" s="7"/>
      <c r="C57" s="7"/>
      <c r="D57" s="7"/>
      <c r="E57" s="7"/>
      <c r="F57" s="7"/>
      <c r="G57" s="7"/>
      <c r="H57" s="7" t="s">
        <v>423</v>
      </c>
      <c r="I57" s="7" t="s">
        <v>1758</v>
      </c>
      <c r="J57" s="7" t="s">
        <v>12</v>
      </c>
      <c r="K57" s="7" t="s">
        <v>13</v>
      </c>
      <c r="L57" s="7">
        <v>1852</v>
      </c>
      <c r="M57" s="7">
        <v>69</v>
      </c>
      <c r="N57" s="7" t="s">
        <v>1759</v>
      </c>
      <c r="O57" s="7" t="s">
        <v>1760</v>
      </c>
      <c r="P57" s="7" t="s">
        <v>1761</v>
      </c>
      <c r="Q57" s="20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" customHeight="1" x14ac:dyDescent="0.2">
      <c r="A58" s="7"/>
      <c r="B58" s="7"/>
      <c r="C58" s="7"/>
      <c r="D58" s="7"/>
      <c r="E58" s="7"/>
      <c r="F58" s="7"/>
      <c r="G58" s="21"/>
      <c r="H58" s="21" t="s">
        <v>1581</v>
      </c>
      <c r="I58" s="21" t="s">
        <v>1758</v>
      </c>
      <c r="J58" s="7" t="s">
        <v>18</v>
      </c>
      <c r="K58" s="7" t="s">
        <v>19</v>
      </c>
      <c r="L58" s="7">
        <v>1860</v>
      </c>
      <c r="M58" s="7">
        <v>61</v>
      </c>
      <c r="N58" s="7" t="s">
        <v>1762</v>
      </c>
      <c r="O58" s="7" t="s">
        <v>50</v>
      </c>
      <c r="P58" s="7" t="s">
        <v>20</v>
      </c>
      <c r="Q58" s="20"/>
      <c r="R58" s="21"/>
      <c r="S58" s="21"/>
      <c r="T58" s="21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/>
      <c r="B59" s="7"/>
      <c r="C59" s="7"/>
      <c r="D59" s="7"/>
      <c r="E59" s="7"/>
      <c r="F59" s="7"/>
      <c r="G59" s="7"/>
      <c r="H59" s="7" t="s">
        <v>1763</v>
      </c>
      <c r="I59" s="7" t="s">
        <v>1758</v>
      </c>
      <c r="J59" s="7" t="s">
        <v>51</v>
      </c>
      <c r="K59" s="7" t="s">
        <v>13</v>
      </c>
      <c r="L59" s="7">
        <v>1885</v>
      </c>
      <c r="M59" s="7">
        <v>35</v>
      </c>
      <c r="N59" s="7" t="s">
        <v>49</v>
      </c>
      <c r="O59" s="7" t="s">
        <v>1454</v>
      </c>
      <c r="P59" s="7" t="s">
        <v>1764</v>
      </c>
      <c r="Q59" s="7"/>
      <c r="R59" s="6"/>
      <c r="S59" s="6"/>
      <c r="T59" s="19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" customHeight="1" x14ac:dyDescent="0.2">
      <c r="A60" s="7"/>
      <c r="B60" s="7"/>
      <c r="C60" s="7"/>
      <c r="D60" s="7"/>
      <c r="E60" s="7"/>
      <c r="F60" s="7"/>
      <c r="G60" s="7"/>
      <c r="H60" s="7" t="s">
        <v>1286</v>
      </c>
      <c r="I60" s="7" t="s">
        <v>1758</v>
      </c>
      <c r="J60" s="7" t="s">
        <v>51</v>
      </c>
      <c r="K60" s="7" t="s">
        <v>13</v>
      </c>
      <c r="L60" s="7">
        <v>1886</v>
      </c>
      <c r="M60" s="7">
        <v>34</v>
      </c>
      <c r="N60" s="7" t="s">
        <v>1765</v>
      </c>
      <c r="O60" s="7" t="s">
        <v>1766</v>
      </c>
      <c r="P60" s="7" t="s">
        <v>1767</v>
      </c>
      <c r="Q60" s="7"/>
      <c r="R60" s="21"/>
      <c r="S60" s="21"/>
      <c r="T60" s="21"/>
      <c r="U60" s="7"/>
      <c r="V60" s="7"/>
      <c r="W60" s="7"/>
      <c r="X60" s="7"/>
      <c r="Y60" s="7"/>
      <c r="Z60" s="7"/>
      <c r="AA60" s="7"/>
      <c r="AB60" s="7"/>
      <c r="AC60" s="22"/>
      <c r="AD60" s="22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6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C9AA-8820-C642-94DC-4962768562D1}">
  <dimension ref="A1:BC63"/>
  <sheetViews>
    <sheetView workbookViewId="0">
      <pane ySplit="2" topLeftCell="A3" activePane="bottomLeft" state="frozen"/>
      <selection pane="bottomLeft" activeCell="A27" sqref="A27:XFD27"/>
    </sheetView>
  </sheetViews>
  <sheetFormatPr baseColWidth="10" defaultColWidth="10.83203125" defaultRowHeight="16" x14ac:dyDescent="0.2"/>
  <cols>
    <col min="4" max="4" width="14.1640625" customWidth="1"/>
    <col min="5" max="5" width="12.1640625" customWidth="1"/>
    <col min="6" max="6" width="10.33203125" customWidth="1"/>
    <col min="11" max="11" width="5.6640625" customWidth="1"/>
    <col min="12" max="12" width="7.83203125" customWidth="1"/>
    <col min="13" max="13" width="10" customWidth="1"/>
    <col min="14" max="14" width="8.6640625" customWidth="1"/>
    <col min="15" max="15" width="7.8320312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585</v>
      </c>
      <c r="B3" s="9">
        <v>1921</v>
      </c>
      <c r="C3" s="7">
        <v>1</v>
      </c>
      <c r="D3" s="7" t="s">
        <v>586</v>
      </c>
      <c r="E3" s="7"/>
      <c r="F3">
        <v>2</v>
      </c>
      <c r="G3" t="s">
        <v>752</v>
      </c>
      <c r="H3" t="s">
        <v>1774</v>
      </c>
      <c r="I3">
        <v>1</v>
      </c>
      <c r="J3" t="s">
        <v>13</v>
      </c>
      <c r="K3">
        <v>1</v>
      </c>
      <c r="N3">
        <v>1</v>
      </c>
      <c r="T3">
        <v>56</v>
      </c>
      <c r="Y3" s="10"/>
      <c r="Z3" s="10"/>
      <c r="AA3" t="s">
        <v>1775</v>
      </c>
      <c r="AB3" t="s">
        <v>1776</v>
      </c>
      <c r="AC3" s="10">
        <v>1</v>
      </c>
      <c r="AD3" s="7"/>
      <c r="AE3" s="7"/>
      <c r="AF3" s="7"/>
      <c r="AG3" t="s">
        <v>329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585</v>
      </c>
      <c r="B4" s="9">
        <v>1921</v>
      </c>
      <c r="C4" s="7">
        <v>1</v>
      </c>
      <c r="D4" s="7" t="s">
        <v>586</v>
      </c>
      <c r="E4" s="7"/>
      <c r="G4" t="s">
        <v>752</v>
      </c>
      <c r="H4" t="s">
        <v>1777</v>
      </c>
      <c r="I4">
        <v>2</v>
      </c>
      <c r="J4">
        <v>1</v>
      </c>
      <c r="N4" t="s">
        <v>18</v>
      </c>
      <c r="O4">
        <v>1</v>
      </c>
      <c r="T4">
        <v>54</v>
      </c>
      <c r="Y4" s="6"/>
      <c r="Z4" s="6"/>
      <c r="AA4" t="s">
        <v>50</v>
      </c>
      <c r="AB4" t="s">
        <v>20</v>
      </c>
      <c r="AC4" s="7"/>
      <c r="AD4" s="7"/>
      <c r="AE4" s="7"/>
      <c r="AF4" s="7">
        <v>1</v>
      </c>
      <c r="AG4" t="s">
        <v>49</v>
      </c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585</v>
      </c>
      <c r="B5" s="9">
        <v>1921</v>
      </c>
      <c r="C5" s="7">
        <v>1</v>
      </c>
      <c r="D5" s="7" t="s">
        <v>586</v>
      </c>
      <c r="E5" s="7"/>
      <c r="G5" t="s">
        <v>752</v>
      </c>
      <c r="H5" t="s">
        <v>1778</v>
      </c>
      <c r="I5">
        <v>3</v>
      </c>
      <c r="J5">
        <v>1</v>
      </c>
      <c r="N5" t="s">
        <v>22</v>
      </c>
      <c r="P5">
        <v>1</v>
      </c>
      <c r="T5">
        <v>26</v>
      </c>
      <c r="Y5" s="6"/>
      <c r="Z5" s="6"/>
      <c r="AA5" t="s">
        <v>1779</v>
      </c>
      <c r="AB5" t="s">
        <v>1780</v>
      </c>
      <c r="AC5" s="6">
        <v>1</v>
      </c>
      <c r="AD5" s="7"/>
      <c r="AE5" s="7"/>
      <c r="AF5" s="7">
        <v>1</v>
      </c>
      <c r="AG5" t="s">
        <v>49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585</v>
      </c>
      <c r="B6" s="9">
        <v>1921</v>
      </c>
      <c r="C6" s="7">
        <v>1</v>
      </c>
      <c r="D6" s="7" t="s">
        <v>586</v>
      </c>
      <c r="E6" s="7"/>
      <c r="G6" t="s">
        <v>752</v>
      </c>
      <c r="H6" t="s">
        <v>1781</v>
      </c>
      <c r="I6">
        <v>4</v>
      </c>
      <c r="J6">
        <v>1</v>
      </c>
      <c r="N6" t="s">
        <v>22</v>
      </c>
      <c r="P6">
        <v>1</v>
      </c>
      <c r="T6">
        <v>24</v>
      </c>
      <c r="Y6" s="6"/>
      <c r="Z6" s="6"/>
      <c r="AA6" t="s">
        <v>1782</v>
      </c>
      <c r="AB6" t="s">
        <v>1783</v>
      </c>
      <c r="AC6" s="6">
        <v>1</v>
      </c>
      <c r="AD6" s="7"/>
      <c r="AE6" s="7"/>
      <c r="AF6" s="7">
        <v>1</v>
      </c>
      <c r="AG6" t="s">
        <v>49</v>
      </c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585</v>
      </c>
      <c r="B7" s="9">
        <v>1921</v>
      </c>
      <c r="C7" s="7">
        <v>1</v>
      </c>
      <c r="D7" s="7" t="s">
        <v>586</v>
      </c>
      <c r="E7" s="7"/>
      <c r="G7" t="s">
        <v>752</v>
      </c>
      <c r="H7" t="s">
        <v>1784</v>
      </c>
      <c r="I7">
        <v>5</v>
      </c>
      <c r="J7">
        <v>1</v>
      </c>
      <c r="N7" t="s">
        <v>22</v>
      </c>
      <c r="P7">
        <v>1</v>
      </c>
      <c r="T7">
        <v>21</v>
      </c>
      <c r="Y7" s="6"/>
      <c r="Z7" s="6"/>
      <c r="AA7" t="s">
        <v>1785</v>
      </c>
      <c r="AB7" t="s">
        <v>20</v>
      </c>
      <c r="AC7" s="6"/>
      <c r="AD7" s="7"/>
      <c r="AE7" s="7"/>
      <c r="AF7" s="7">
        <v>1</v>
      </c>
      <c r="AG7" t="s">
        <v>49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585</v>
      </c>
      <c r="B8" s="9">
        <v>1921</v>
      </c>
      <c r="C8" s="7">
        <v>1</v>
      </c>
      <c r="D8" s="7" t="s">
        <v>586</v>
      </c>
      <c r="E8" s="7"/>
      <c r="H8">
        <v>5</v>
      </c>
      <c r="Y8" s="6"/>
      <c r="Z8" s="6"/>
      <c r="AC8" s="6"/>
      <c r="AD8" s="7"/>
      <c r="AE8" s="7"/>
      <c r="AF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585</v>
      </c>
      <c r="B9" s="9">
        <v>1921</v>
      </c>
      <c r="C9" s="7"/>
      <c r="D9" s="7" t="s">
        <v>586</v>
      </c>
      <c r="E9" s="7"/>
      <c r="G9" t="s">
        <v>1</v>
      </c>
      <c r="H9" t="s">
        <v>0</v>
      </c>
      <c r="J9" t="s">
        <v>3</v>
      </c>
      <c r="N9" t="s">
        <v>2</v>
      </c>
      <c r="T9" t="s">
        <v>5</v>
      </c>
      <c r="Y9" s="6"/>
      <c r="Z9" s="6"/>
      <c r="AA9" t="s">
        <v>7</v>
      </c>
      <c r="AB9" t="s">
        <v>8</v>
      </c>
      <c r="AC9" s="7"/>
      <c r="AD9" s="7"/>
      <c r="AE9" s="7"/>
      <c r="AF9" s="7"/>
      <c r="AG9" t="s">
        <v>6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585</v>
      </c>
      <c r="B10" s="9">
        <v>1921</v>
      </c>
      <c r="C10" s="7"/>
      <c r="D10" s="7" t="s">
        <v>586</v>
      </c>
      <c r="E10" s="7"/>
      <c r="F10">
        <v>4</v>
      </c>
      <c r="G10" t="s">
        <v>723</v>
      </c>
      <c r="H10" t="s">
        <v>1774</v>
      </c>
      <c r="I10">
        <v>6</v>
      </c>
      <c r="J10" t="s">
        <v>13</v>
      </c>
      <c r="K10">
        <v>1</v>
      </c>
      <c r="N10">
        <v>1</v>
      </c>
      <c r="T10">
        <v>43</v>
      </c>
      <c r="Y10" s="6"/>
      <c r="Z10" s="6"/>
      <c r="AA10" t="s">
        <v>1787</v>
      </c>
      <c r="AB10" t="s">
        <v>1788</v>
      </c>
      <c r="AC10" s="6">
        <v>1</v>
      </c>
      <c r="AD10" s="7"/>
      <c r="AE10" s="7"/>
      <c r="AF10" s="7"/>
      <c r="AG10" t="s">
        <v>1786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585</v>
      </c>
      <c r="B11" s="9">
        <v>1921</v>
      </c>
      <c r="C11" s="7">
        <v>2</v>
      </c>
      <c r="D11" s="7" t="s">
        <v>586</v>
      </c>
      <c r="E11" s="7"/>
      <c r="G11" t="s">
        <v>723</v>
      </c>
      <c r="H11" t="s">
        <v>1789</v>
      </c>
      <c r="I11">
        <v>7</v>
      </c>
      <c r="J11">
        <v>1</v>
      </c>
      <c r="N11" t="s">
        <v>18</v>
      </c>
      <c r="O11">
        <v>1</v>
      </c>
      <c r="T11">
        <v>39</v>
      </c>
      <c r="Y11" s="6"/>
      <c r="Z11" s="6"/>
      <c r="AA11" t="s">
        <v>50</v>
      </c>
      <c r="AB11" t="s">
        <v>20</v>
      </c>
      <c r="AC11" s="6"/>
      <c r="AD11" s="7"/>
      <c r="AE11" s="7"/>
      <c r="AF11" s="7"/>
      <c r="AG11" t="s">
        <v>1790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585</v>
      </c>
      <c r="B12" s="9">
        <v>1921</v>
      </c>
      <c r="C12" s="7">
        <v>2</v>
      </c>
      <c r="D12" s="7" t="s">
        <v>586</v>
      </c>
      <c r="E12" s="7"/>
      <c r="G12" t="s">
        <v>723</v>
      </c>
      <c r="H12" t="s">
        <v>1791</v>
      </c>
      <c r="I12">
        <v>8</v>
      </c>
      <c r="J12">
        <v>1</v>
      </c>
      <c r="N12" t="s">
        <v>22</v>
      </c>
      <c r="P12">
        <v>1</v>
      </c>
      <c r="T12">
        <v>21</v>
      </c>
      <c r="Y12" s="7">
        <f>SUM(Y3:Y11)</f>
        <v>0</v>
      </c>
      <c r="Z12" s="7">
        <f>SUM(Z3:Z11)</f>
        <v>0</v>
      </c>
      <c r="AA12" t="s">
        <v>1792</v>
      </c>
      <c r="AB12" t="s">
        <v>1793</v>
      </c>
      <c r="AC12" s="7">
        <v>1</v>
      </c>
      <c r="AD12" s="7"/>
      <c r="AE12" s="7"/>
      <c r="AF12" s="7">
        <v>1</v>
      </c>
      <c r="AG12" t="s">
        <v>49</v>
      </c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585</v>
      </c>
      <c r="B13" s="9">
        <v>1921</v>
      </c>
      <c r="C13" s="7">
        <v>2</v>
      </c>
      <c r="D13" s="7" t="s">
        <v>586</v>
      </c>
      <c r="E13" s="7"/>
      <c r="G13" t="s">
        <v>723</v>
      </c>
      <c r="H13" t="s">
        <v>369</v>
      </c>
      <c r="I13">
        <v>9</v>
      </c>
      <c r="J13" t="s">
        <v>13</v>
      </c>
      <c r="M13">
        <v>1</v>
      </c>
      <c r="N13" t="s">
        <v>51</v>
      </c>
      <c r="Q13">
        <v>1</v>
      </c>
      <c r="T13">
        <v>15</v>
      </c>
      <c r="Y13" s="6"/>
      <c r="Z13" s="6"/>
      <c r="AA13" t="s">
        <v>1794</v>
      </c>
      <c r="AB13" t="s">
        <v>1795</v>
      </c>
      <c r="AC13" s="6">
        <v>1</v>
      </c>
      <c r="AD13" s="7"/>
      <c r="AE13" s="7"/>
      <c r="AF13" s="7">
        <v>1</v>
      </c>
      <c r="AG13" t="s">
        <v>49</v>
      </c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585</v>
      </c>
      <c r="B14" s="9">
        <v>1921</v>
      </c>
      <c r="C14" s="7">
        <v>2</v>
      </c>
      <c r="D14" s="7" t="s">
        <v>586</v>
      </c>
      <c r="E14" s="7"/>
      <c r="G14" t="s">
        <v>1796</v>
      </c>
      <c r="H14" t="s">
        <v>351</v>
      </c>
      <c r="I14">
        <v>10</v>
      </c>
      <c r="J14">
        <v>1</v>
      </c>
      <c r="N14" t="s">
        <v>22</v>
      </c>
      <c r="O14">
        <v>1</v>
      </c>
      <c r="T14" t="s">
        <v>20</v>
      </c>
      <c r="Y14" s="6"/>
      <c r="Z14" s="6"/>
      <c r="AA14" t="s">
        <v>20</v>
      </c>
      <c r="AB14" t="s">
        <v>20</v>
      </c>
      <c r="AC14" s="6"/>
      <c r="AD14" s="7"/>
      <c r="AE14" s="7"/>
      <c r="AF14" s="7">
        <v>1</v>
      </c>
      <c r="AG14" t="s">
        <v>49</v>
      </c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585</v>
      </c>
      <c r="B15" s="9">
        <v>1921</v>
      </c>
      <c r="C15" s="7">
        <v>2</v>
      </c>
      <c r="D15" s="7" t="s">
        <v>586</v>
      </c>
      <c r="E15" s="11"/>
      <c r="G15" t="s">
        <v>1796</v>
      </c>
      <c r="H15" t="s">
        <v>369</v>
      </c>
      <c r="I15">
        <v>11</v>
      </c>
      <c r="J15" t="s">
        <v>13</v>
      </c>
      <c r="K15">
        <v>1</v>
      </c>
      <c r="N15" t="s">
        <v>1797</v>
      </c>
      <c r="R15">
        <v>1</v>
      </c>
      <c r="T15">
        <v>44</v>
      </c>
      <c r="Y15" s="13"/>
      <c r="Z15" s="13"/>
      <c r="AA15" t="s">
        <v>472</v>
      </c>
      <c r="AB15" t="s">
        <v>1798</v>
      </c>
      <c r="AC15" s="13">
        <v>1</v>
      </c>
      <c r="AD15" s="7"/>
      <c r="AE15" s="7"/>
      <c r="AF15" s="7"/>
      <c r="AG15" t="s">
        <v>1790</v>
      </c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 t="s">
        <v>585</v>
      </c>
      <c r="B16" s="9">
        <v>1921</v>
      </c>
      <c r="C16" s="7"/>
      <c r="D16" s="7" t="s">
        <v>586</v>
      </c>
      <c r="E16" s="11"/>
      <c r="H16">
        <v>6</v>
      </c>
      <c r="Y16" s="15"/>
      <c r="Z16" s="15"/>
      <c r="AC16" s="15"/>
      <c r="AD16" s="7"/>
      <c r="AE16" s="7"/>
      <c r="AF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585</v>
      </c>
      <c r="B17" s="9">
        <v>1921</v>
      </c>
      <c r="C17" s="7">
        <v>3</v>
      </c>
      <c r="D17" s="7" t="s">
        <v>586</v>
      </c>
      <c r="E17" s="7"/>
      <c r="F17">
        <v>6</v>
      </c>
      <c r="G17" t="s">
        <v>1</v>
      </c>
      <c r="H17" t="s">
        <v>0</v>
      </c>
      <c r="J17" t="s">
        <v>3</v>
      </c>
      <c r="N17" t="s">
        <v>2</v>
      </c>
      <c r="T17" t="s">
        <v>5</v>
      </c>
      <c r="Y17" s="18"/>
      <c r="Z17" s="18"/>
      <c r="AA17" t="s">
        <v>7</v>
      </c>
      <c r="AB17" t="s">
        <v>8</v>
      </c>
      <c r="AC17" s="18"/>
      <c r="AD17" s="7"/>
      <c r="AE17" s="7"/>
      <c r="AF17" s="7"/>
      <c r="AG17" t="s">
        <v>6</v>
      </c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585</v>
      </c>
      <c r="B18" s="9">
        <v>1921</v>
      </c>
      <c r="C18" s="7">
        <v>3</v>
      </c>
      <c r="D18" s="7" t="s">
        <v>586</v>
      </c>
      <c r="E18" s="7"/>
      <c r="G18" t="s">
        <v>1799</v>
      </c>
      <c r="H18" t="s">
        <v>1028</v>
      </c>
      <c r="I18">
        <v>12</v>
      </c>
      <c r="K18">
        <v>1</v>
      </c>
      <c r="N18">
        <v>1</v>
      </c>
      <c r="T18">
        <v>53</v>
      </c>
      <c r="Y18" s="6"/>
      <c r="Z18" s="6"/>
      <c r="AA18" t="s">
        <v>1801</v>
      </c>
      <c r="AB18" t="s">
        <v>1802</v>
      </c>
      <c r="AC18" s="7">
        <v>1</v>
      </c>
      <c r="AD18" s="7"/>
      <c r="AE18" s="7"/>
      <c r="AF18" s="7"/>
      <c r="AG18" t="s">
        <v>1800</v>
      </c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585</v>
      </c>
      <c r="B19" s="9">
        <v>1921</v>
      </c>
      <c r="C19" s="7">
        <v>3</v>
      </c>
      <c r="D19" s="7" t="s">
        <v>586</v>
      </c>
      <c r="E19" s="7"/>
      <c r="G19" t="s">
        <v>1799</v>
      </c>
      <c r="H19" t="s">
        <v>1803</v>
      </c>
      <c r="I19">
        <v>13</v>
      </c>
      <c r="J19">
        <v>1</v>
      </c>
      <c r="N19" t="s">
        <v>18</v>
      </c>
      <c r="O19">
        <v>1</v>
      </c>
      <c r="T19">
        <v>49</v>
      </c>
      <c r="Y19" s="6"/>
      <c r="Z19" s="6"/>
      <c r="AA19" t="s">
        <v>1804</v>
      </c>
      <c r="AB19" t="s">
        <v>16</v>
      </c>
      <c r="AC19" s="6">
        <v>1</v>
      </c>
      <c r="AD19" s="7"/>
      <c r="AE19" s="7"/>
      <c r="AF19" s="7">
        <v>1</v>
      </c>
      <c r="AG19" t="s">
        <v>49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585</v>
      </c>
      <c r="B20" s="9">
        <v>1921</v>
      </c>
      <c r="C20" s="7">
        <v>3</v>
      </c>
      <c r="D20" s="7" t="s">
        <v>586</v>
      </c>
      <c r="E20" s="7"/>
      <c r="G20" t="s">
        <v>1806</v>
      </c>
      <c r="H20" t="s">
        <v>1805</v>
      </c>
      <c r="I20">
        <v>14</v>
      </c>
      <c r="J20">
        <v>1</v>
      </c>
      <c r="N20" t="s">
        <v>1807</v>
      </c>
      <c r="P20">
        <v>1</v>
      </c>
      <c r="T20">
        <v>27</v>
      </c>
      <c r="Y20" s="6"/>
      <c r="Z20" s="6"/>
      <c r="AA20" t="s">
        <v>1808</v>
      </c>
      <c r="AB20" t="s">
        <v>29</v>
      </c>
      <c r="AC20" s="6">
        <v>1</v>
      </c>
      <c r="AD20" s="7"/>
      <c r="AE20" s="7"/>
      <c r="AF20" s="7"/>
      <c r="AG20" t="s">
        <v>368</v>
      </c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585</v>
      </c>
      <c r="B21" s="9">
        <v>1921</v>
      </c>
      <c r="C21" s="7">
        <v>3</v>
      </c>
      <c r="D21" s="7" t="s">
        <v>586</v>
      </c>
      <c r="E21" s="7"/>
      <c r="G21" t="s">
        <v>1810</v>
      </c>
      <c r="H21" t="s">
        <v>1809</v>
      </c>
      <c r="I21">
        <v>15</v>
      </c>
      <c r="J21" t="s">
        <v>13</v>
      </c>
      <c r="K21">
        <v>1</v>
      </c>
      <c r="N21" t="s">
        <v>60</v>
      </c>
      <c r="R21">
        <v>1</v>
      </c>
      <c r="T21">
        <v>38</v>
      </c>
      <c r="Y21" s="6"/>
      <c r="Z21" s="6"/>
      <c r="AA21" t="s">
        <v>1456</v>
      </c>
      <c r="AB21" t="s">
        <v>8</v>
      </c>
      <c r="AC21" s="7">
        <v>1</v>
      </c>
      <c r="AD21" s="7">
        <v>1</v>
      </c>
      <c r="AE21" s="7"/>
      <c r="AF21" s="7"/>
      <c r="AG21" t="s">
        <v>1811</v>
      </c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585</v>
      </c>
      <c r="B22" s="9">
        <v>1921</v>
      </c>
      <c r="C22" s="7">
        <v>3</v>
      </c>
      <c r="D22" s="7" t="s">
        <v>586</v>
      </c>
      <c r="E22" s="7"/>
      <c r="G22" t="s">
        <v>1810</v>
      </c>
      <c r="H22" t="s">
        <v>90</v>
      </c>
      <c r="I22">
        <v>16</v>
      </c>
      <c r="J22">
        <v>1</v>
      </c>
      <c r="N22" t="s">
        <v>60</v>
      </c>
      <c r="R22">
        <v>1</v>
      </c>
      <c r="T22">
        <v>23</v>
      </c>
      <c r="Y22" s="6"/>
      <c r="Z22" s="6"/>
      <c r="AA22" t="s">
        <v>1090</v>
      </c>
      <c r="AB22" t="s">
        <v>20</v>
      </c>
      <c r="AC22" s="7"/>
      <c r="AD22" s="7"/>
      <c r="AE22" s="7"/>
      <c r="AF22" s="7"/>
      <c r="AG22" t="s">
        <v>149</v>
      </c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585</v>
      </c>
      <c r="B23" s="9">
        <v>1921</v>
      </c>
      <c r="C23" s="7">
        <v>3</v>
      </c>
      <c r="D23" s="7" t="s">
        <v>586</v>
      </c>
      <c r="E23" s="7"/>
      <c r="G23" t="s">
        <v>1812</v>
      </c>
      <c r="H23" t="s">
        <v>423</v>
      </c>
      <c r="I23">
        <v>17</v>
      </c>
      <c r="J23" t="s">
        <v>13</v>
      </c>
      <c r="K23">
        <v>1</v>
      </c>
      <c r="N23" t="s">
        <v>60</v>
      </c>
      <c r="R23">
        <v>1</v>
      </c>
      <c r="T23">
        <v>36</v>
      </c>
      <c r="Y23" s="6"/>
      <c r="Z23" s="6"/>
      <c r="AA23" t="s">
        <v>1813</v>
      </c>
      <c r="AB23" t="s">
        <v>8</v>
      </c>
      <c r="AC23" s="7">
        <v>1</v>
      </c>
      <c r="AD23" s="7">
        <v>1</v>
      </c>
      <c r="AE23" s="7"/>
      <c r="AF23" s="7"/>
      <c r="AG23" t="s">
        <v>276</v>
      </c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585</v>
      </c>
      <c r="B24" s="9">
        <v>1921</v>
      </c>
      <c r="C24" s="7">
        <v>3</v>
      </c>
      <c r="D24" s="7" t="s">
        <v>586</v>
      </c>
      <c r="E24" s="7"/>
      <c r="G24" t="s">
        <v>1815</v>
      </c>
      <c r="H24" t="s">
        <v>1814</v>
      </c>
      <c r="I24">
        <v>18</v>
      </c>
      <c r="J24" t="s">
        <v>13</v>
      </c>
      <c r="K24">
        <v>1</v>
      </c>
      <c r="N24" t="s">
        <v>60</v>
      </c>
      <c r="R24">
        <v>1</v>
      </c>
      <c r="T24">
        <v>49</v>
      </c>
      <c r="Y24" s="6"/>
      <c r="Z24" s="6"/>
      <c r="AA24" t="s">
        <v>923</v>
      </c>
      <c r="AB24" t="s">
        <v>8</v>
      </c>
      <c r="AC24" s="7">
        <v>1</v>
      </c>
      <c r="AD24" s="7">
        <v>1</v>
      </c>
      <c r="AE24" s="7"/>
      <c r="AF24" s="7">
        <v>1</v>
      </c>
      <c r="AG24" t="s">
        <v>49</v>
      </c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9" t="s">
        <v>585</v>
      </c>
      <c r="B25" s="9">
        <v>1921</v>
      </c>
      <c r="C25" s="7">
        <v>3</v>
      </c>
      <c r="D25" s="7" t="s">
        <v>586</v>
      </c>
      <c r="E25" s="7"/>
      <c r="G25" t="s">
        <v>1294</v>
      </c>
      <c r="H25" t="s">
        <v>1816</v>
      </c>
      <c r="I25">
        <v>19</v>
      </c>
      <c r="J25" t="s">
        <v>13</v>
      </c>
      <c r="K25">
        <v>1</v>
      </c>
      <c r="N25" t="s">
        <v>60</v>
      </c>
      <c r="R25">
        <v>1</v>
      </c>
      <c r="T25">
        <v>31</v>
      </c>
      <c r="Y25" s="7"/>
      <c r="Z25" s="7"/>
      <c r="AA25" t="s">
        <v>1817</v>
      </c>
      <c r="AB25" t="s">
        <v>1818</v>
      </c>
      <c r="AC25" s="7">
        <v>1</v>
      </c>
      <c r="AD25" s="7"/>
      <c r="AE25" s="7"/>
      <c r="AF25" s="7">
        <v>1</v>
      </c>
      <c r="AG25" t="s">
        <v>49</v>
      </c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585</v>
      </c>
      <c r="B26" s="9">
        <v>1921</v>
      </c>
      <c r="C26" s="7"/>
      <c r="D26" s="7" t="s">
        <v>586</v>
      </c>
      <c r="E26" s="7"/>
      <c r="F26" s="7"/>
      <c r="G26" s="7"/>
      <c r="H26" s="7">
        <v>8</v>
      </c>
      <c r="I26" s="7"/>
      <c r="J26" s="7"/>
      <c r="K26" s="7"/>
      <c r="L26" s="7"/>
      <c r="M26" s="6"/>
      <c r="N26" s="6"/>
      <c r="O26" s="6"/>
      <c r="P26" s="6"/>
      <c r="Q26" s="7"/>
      <c r="R26" s="6"/>
      <c r="S26" s="6"/>
      <c r="T26" s="19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585</v>
      </c>
      <c r="B27" s="9">
        <v>1921</v>
      </c>
      <c r="C27" s="7">
        <v>3</v>
      </c>
      <c r="D27" s="7" t="s">
        <v>586</v>
      </c>
      <c r="E27" s="7"/>
      <c r="F27" s="7"/>
      <c r="G27" s="7"/>
      <c r="H27" s="7"/>
      <c r="I27" s="7">
        <v>19</v>
      </c>
      <c r="J27" s="7">
        <f>SUM(J3:J26)</f>
        <v>10</v>
      </c>
      <c r="K27" s="7">
        <f>SUM(K3:K26)</f>
        <v>8</v>
      </c>
      <c r="L27" s="7">
        <f t="shared" ref="L27:Z27" si="0">SUM(L3:L26)</f>
        <v>0</v>
      </c>
      <c r="M27" s="7">
        <f t="shared" si="0"/>
        <v>1</v>
      </c>
      <c r="N27" s="7">
        <f t="shared" si="0"/>
        <v>3</v>
      </c>
      <c r="O27" s="7">
        <f t="shared" si="0"/>
        <v>4</v>
      </c>
      <c r="P27" s="7">
        <f t="shared" si="0"/>
        <v>5</v>
      </c>
      <c r="Q27" s="7">
        <f t="shared" si="0"/>
        <v>1</v>
      </c>
      <c r="R27" s="7">
        <f t="shared" si="0"/>
        <v>6</v>
      </c>
      <c r="S27" s="7">
        <f t="shared" si="0"/>
        <v>0</v>
      </c>
      <c r="T27" s="7">
        <f t="shared" si="0"/>
        <v>649</v>
      </c>
      <c r="U27" s="7">
        <f t="shared" si="0"/>
        <v>0</v>
      </c>
      <c r="V27" s="7">
        <f t="shared" si="0"/>
        <v>0</v>
      </c>
      <c r="W27" s="7">
        <f t="shared" si="0"/>
        <v>0</v>
      </c>
      <c r="X27" s="7">
        <f t="shared" si="0"/>
        <v>0</v>
      </c>
      <c r="Y27" s="7">
        <f t="shared" si="0"/>
        <v>0</v>
      </c>
      <c r="Z27" s="7">
        <f t="shared" si="0"/>
        <v>0</v>
      </c>
      <c r="AA27" s="7">
        <f>SUM(AA3:AA26)</f>
        <v>0</v>
      </c>
      <c r="AB27" s="7">
        <f>SUM(AB3:AB26)</f>
        <v>0</v>
      </c>
      <c r="AC27" s="7">
        <f>SUM(AC3:AC26)</f>
        <v>14</v>
      </c>
      <c r="AD27" s="7">
        <f>SUM(AD3:AD26)</f>
        <v>3</v>
      </c>
      <c r="AE27" s="7">
        <f>AC27-AD27</f>
        <v>11</v>
      </c>
      <c r="AF27" s="7">
        <f>SUM(AF3:AF26)</f>
        <v>10</v>
      </c>
      <c r="AG27" s="7">
        <f>I27-AF27</f>
        <v>9</v>
      </c>
      <c r="AH27" s="7">
        <f>SUM(AH3:AH26)</f>
        <v>0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20">
        <f>T27/I27</f>
        <v>34.157894736842103</v>
      </c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7"/>
      <c r="R29" s="6"/>
      <c r="S29" s="6"/>
      <c r="T29" s="19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6"/>
      <c r="N30" s="6"/>
      <c r="O30" s="6"/>
      <c r="P30" s="6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4" t="s">
        <v>252</v>
      </c>
      <c r="B33" s="7"/>
      <c r="C33" s="7"/>
      <c r="D33" s="7"/>
      <c r="E33" s="7"/>
      <c r="F33" s="7"/>
      <c r="G33" s="7">
        <f>SUM(G3:G32)</f>
        <v>0</v>
      </c>
      <c r="H33" s="7">
        <f t="shared" ref="H33:N33" si="1">SUM(H3:H32)</f>
        <v>19</v>
      </c>
      <c r="I33" s="7">
        <f t="shared" si="1"/>
        <v>209</v>
      </c>
      <c r="J33" s="7">
        <f>SUM(J3:J32)</f>
        <v>20</v>
      </c>
      <c r="K33" s="7">
        <f t="shared" si="1"/>
        <v>16</v>
      </c>
      <c r="L33" s="7">
        <f t="shared" si="1"/>
        <v>0</v>
      </c>
      <c r="M33" s="7">
        <f t="shared" si="1"/>
        <v>2</v>
      </c>
      <c r="N33" s="7">
        <f t="shared" si="1"/>
        <v>6</v>
      </c>
      <c r="O33" s="7"/>
      <c r="P33" s="7">
        <f t="shared" ref="P33:W33" si="2">SUM(P3:P32)</f>
        <v>10</v>
      </c>
      <c r="Q33" s="7">
        <f t="shared" si="2"/>
        <v>2</v>
      </c>
      <c r="R33" s="7">
        <f t="shared" si="2"/>
        <v>12</v>
      </c>
      <c r="S33" s="7">
        <f t="shared" si="2"/>
        <v>0</v>
      </c>
      <c r="T33" s="7">
        <f t="shared" si="2"/>
        <v>1332.1578947368421</v>
      </c>
      <c r="U33" s="7">
        <f t="shared" si="2"/>
        <v>0</v>
      </c>
      <c r="V33" s="7">
        <f t="shared" si="2"/>
        <v>0</v>
      </c>
      <c r="W33" s="7">
        <f t="shared" si="2"/>
        <v>0</v>
      </c>
      <c r="X33" s="7"/>
      <c r="Y33" s="7"/>
      <c r="Z33" s="7">
        <f>SUM(Z3:Z32)</f>
        <v>0</v>
      </c>
      <c r="AA33" s="7">
        <f>SUM(AA3:AA32)</f>
        <v>0</v>
      </c>
      <c r="AB33" s="7">
        <f>SUM(AB3:AB32)</f>
        <v>0</v>
      </c>
      <c r="AC33" s="7">
        <f>SUM(AC3:AC32)</f>
        <v>28</v>
      </c>
      <c r="AD33" s="7">
        <f>SUM(AD3:AD32)</f>
        <v>6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21"/>
      <c r="H35" s="21"/>
      <c r="I35" s="21"/>
      <c r="J35" s="7"/>
      <c r="K35" s="7"/>
      <c r="L35" s="7"/>
      <c r="M35" s="7"/>
      <c r="N35" s="7"/>
      <c r="O35" s="7"/>
      <c r="P35" s="7"/>
      <c r="Q35" s="20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19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"/>
      <c r="S37" s="21"/>
      <c r="T37" s="21"/>
      <c r="U37" s="7"/>
      <c r="V37" s="7"/>
      <c r="W37" s="7"/>
      <c r="X37" s="7"/>
      <c r="Y37" s="7"/>
      <c r="Z37" s="7"/>
      <c r="AA37" s="7"/>
      <c r="AB37" s="7"/>
      <c r="AC37" s="22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40" spans="1:51" x14ac:dyDescent="0.2">
      <c r="H40" t="s">
        <v>0</v>
      </c>
      <c r="I40" t="s">
        <v>1</v>
      </c>
      <c r="J40" t="s">
        <v>2</v>
      </c>
      <c r="K40" t="s">
        <v>3</v>
      </c>
      <c r="L40" t="s">
        <v>4</v>
      </c>
      <c r="M40" t="s">
        <v>5</v>
      </c>
      <c r="N40" t="s">
        <v>6</v>
      </c>
      <c r="O40" t="s">
        <v>7</v>
      </c>
      <c r="P40" t="s">
        <v>8</v>
      </c>
    </row>
    <row r="41" spans="1:51" x14ac:dyDescent="0.2">
      <c r="F41">
        <v>2</v>
      </c>
      <c r="H41" t="s">
        <v>1774</v>
      </c>
      <c r="I41" t="s">
        <v>752</v>
      </c>
      <c r="J41" t="s">
        <v>12</v>
      </c>
      <c r="K41" t="s">
        <v>13</v>
      </c>
      <c r="L41">
        <v>1865</v>
      </c>
      <c r="M41">
        <v>56</v>
      </c>
      <c r="N41" t="s">
        <v>329</v>
      </c>
      <c r="O41" t="s">
        <v>1775</v>
      </c>
      <c r="P41" t="s">
        <v>1776</v>
      </c>
    </row>
    <row r="42" spans="1:51" x14ac:dyDescent="0.2">
      <c r="H42" t="s">
        <v>1777</v>
      </c>
      <c r="I42" t="s">
        <v>752</v>
      </c>
      <c r="J42" t="s">
        <v>18</v>
      </c>
      <c r="K42" t="s">
        <v>19</v>
      </c>
      <c r="L42">
        <v>1866</v>
      </c>
      <c r="M42">
        <v>54</v>
      </c>
      <c r="N42" t="s">
        <v>49</v>
      </c>
      <c r="O42" t="s">
        <v>50</v>
      </c>
      <c r="P42" t="s">
        <v>20</v>
      </c>
    </row>
    <row r="43" spans="1:51" x14ac:dyDescent="0.2">
      <c r="H43" t="s">
        <v>1778</v>
      </c>
      <c r="I43" t="s">
        <v>752</v>
      </c>
      <c r="J43" t="s">
        <v>22</v>
      </c>
      <c r="K43" t="s">
        <v>19</v>
      </c>
      <c r="L43">
        <v>1894</v>
      </c>
      <c r="M43">
        <v>26</v>
      </c>
      <c r="N43" t="s">
        <v>49</v>
      </c>
      <c r="O43" t="s">
        <v>1779</v>
      </c>
      <c r="P43" t="s">
        <v>1780</v>
      </c>
    </row>
    <row r="44" spans="1:51" x14ac:dyDescent="0.2">
      <c r="H44" t="s">
        <v>1781</v>
      </c>
      <c r="I44" t="s">
        <v>752</v>
      </c>
      <c r="J44" t="s">
        <v>22</v>
      </c>
      <c r="K44" t="s">
        <v>19</v>
      </c>
      <c r="L44">
        <v>1896</v>
      </c>
      <c r="M44">
        <v>24</v>
      </c>
      <c r="N44" t="s">
        <v>49</v>
      </c>
      <c r="O44" t="s">
        <v>1782</v>
      </c>
      <c r="P44" t="s">
        <v>1783</v>
      </c>
    </row>
    <row r="45" spans="1:51" x14ac:dyDescent="0.2">
      <c r="H45" t="s">
        <v>1784</v>
      </c>
      <c r="I45" t="s">
        <v>752</v>
      </c>
      <c r="J45" t="s">
        <v>22</v>
      </c>
      <c r="K45" t="s">
        <v>19</v>
      </c>
      <c r="L45">
        <v>1900</v>
      </c>
      <c r="M45">
        <v>21</v>
      </c>
      <c r="N45" t="s">
        <v>49</v>
      </c>
      <c r="O45" t="s">
        <v>1785</v>
      </c>
      <c r="P45" t="s">
        <v>20</v>
      </c>
    </row>
    <row r="47" spans="1:51" x14ac:dyDescent="0.2">
      <c r="H47" t="s">
        <v>0</v>
      </c>
      <c r="I47" t="s">
        <v>1</v>
      </c>
      <c r="J47" t="s">
        <v>2</v>
      </c>
      <c r="K47" t="s">
        <v>3</v>
      </c>
      <c r="L47" t="s">
        <v>4</v>
      </c>
      <c r="M47" t="s">
        <v>5</v>
      </c>
      <c r="N47" t="s">
        <v>6</v>
      </c>
      <c r="O47" t="s">
        <v>7</v>
      </c>
      <c r="P47" t="s">
        <v>8</v>
      </c>
    </row>
    <row r="48" spans="1:51" x14ac:dyDescent="0.2">
      <c r="F48">
        <v>4</v>
      </c>
      <c r="H48" t="s">
        <v>1774</v>
      </c>
      <c r="I48" t="s">
        <v>723</v>
      </c>
      <c r="J48" t="s">
        <v>12</v>
      </c>
      <c r="K48" t="s">
        <v>13</v>
      </c>
      <c r="L48">
        <v>1877</v>
      </c>
      <c r="M48">
        <v>43</v>
      </c>
      <c r="N48" t="s">
        <v>1786</v>
      </c>
      <c r="O48" t="s">
        <v>1787</v>
      </c>
      <c r="P48" t="s">
        <v>1788</v>
      </c>
    </row>
    <row r="49" spans="6:16" x14ac:dyDescent="0.2">
      <c r="H49" t="s">
        <v>1789</v>
      </c>
      <c r="I49" t="s">
        <v>723</v>
      </c>
      <c r="J49" t="s">
        <v>18</v>
      </c>
      <c r="K49" t="s">
        <v>19</v>
      </c>
      <c r="L49">
        <v>1882</v>
      </c>
      <c r="M49">
        <v>39</v>
      </c>
      <c r="N49" t="s">
        <v>1790</v>
      </c>
      <c r="O49" t="s">
        <v>50</v>
      </c>
      <c r="P49" t="s">
        <v>20</v>
      </c>
    </row>
    <row r="50" spans="6:16" x14ac:dyDescent="0.2">
      <c r="H50" t="s">
        <v>1791</v>
      </c>
      <c r="I50" t="s">
        <v>723</v>
      </c>
      <c r="J50" t="s">
        <v>22</v>
      </c>
      <c r="K50" t="s">
        <v>19</v>
      </c>
      <c r="L50">
        <v>1900</v>
      </c>
      <c r="M50">
        <v>21</v>
      </c>
      <c r="N50" t="s">
        <v>49</v>
      </c>
      <c r="O50" t="s">
        <v>1792</v>
      </c>
      <c r="P50" t="s">
        <v>1793</v>
      </c>
    </row>
    <row r="51" spans="6:16" x14ac:dyDescent="0.2">
      <c r="H51" t="s">
        <v>369</v>
      </c>
      <c r="I51" t="s">
        <v>723</v>
      </c>
      <c r="J51" t="s">
        <v>51</v>
      </c>
      <c r="K51" t="s">
        <v>13</v>
      </c>
      <c r="L51">
        <v>1905</v>
      </c>
      <c r="M51">
        <v>15</v>
      </c>
      <c r="N51" t="s">
        <v>49</v>
      </c>
      <c r="O51" t="s">
        <v>1794</v>
      </c>
      <c r="P51" t="s">
        <v>1795</v>
      </c>
    </row>
    <row r="52" spans="6:16" x14ac:dyDescent="0.2">
      <c r="H52" t="s">
        <v>351</v>
      </c>
      <c r="I52" t="s">
        <v>1796</v>
      </c>
      <c r="J52" t="s">
        <v>22</v>
      </c>
      <c r="K52" t="s">
        <v>19</v>
      </c>
      <c r="L52">
        <v>1921</v>
      </c>
      <c r="M52" t="s">
        <v>20</v>
      </c>
      <c r="N52" t="s">
        <v>49</v>
      </c>
      <c r="O52" t="s">
        <v>20</v>
      </c>
      <c r="P52" t="s">
        <v>20</v>
      </c>
    </row>
    <row r="53" spans="6:16" x14ac:dyDescent="0.2">
      <c r="H53" t="s">
        <v>369</v>
      </c>
      <c r="I53" t="s">
        <v>1796</v>
      </c>
      <c r="J53" t="s">
        <v>1797</v>
      </c>
      <c r="K53" t="s">
        <v>13</v>
      </c>
      <c r="L53">
        <v>1877</v>
      </c>
      <c r="M53">
        <v>44</v>
      </c>
      <c r="N53" t="s">
        <v>1790</v>
      </c>
      <c r="O53" t="s">
        <v>472</v>
      </c>
      <c r="P53" t="s">
        <v>1798</v>
      </c>
    </row>
    <row r="55" spans="6:16" x14ac:dyDescent="0.2">
      <c r="F55">
        <v>6</v>
      </c>
      <c r="H55" t="s">
        <v>0</v>
      </c>
      <c r="I55" t="s">
        <v>1</v>
      </c>
      <c r="J55" t="s">
        <v>2</v>
      </c>
      <c r="K55" t="s">
        <v>3</v>
      </c>
      <c r="L55" t="s">
        <v>4</v>
      </c>
      <c r="M55" t="s">
        <v>5</v>
      </c>
      <c r="N55" t="s">
        <v>6</v>
      </c>
      <c r="O55" t="s">
        <v>7</v>
      </c>
      <c r="P55" t="s">
        <v>8</v>
      </c>
    </row>
    <row r="56" spans="6:16" x14ac:dyDescent="0.2">
      <c r="H56" t="s">
        <v>1028</v>
      </c>
      <c r="I56" t="s">
        <v>1799</v>
      </c>
      <c r="J56" t="s">
        <v>12</v>
      </c>
      <c r="K56" t="s">
        <v>13</v>
      </c>
      <c r="L56">
        <v>1868</v>
      </c>
      <c r="M56">
        <v>53</v>
      </c>
      <c r="N56" t="s">
        <v>1800</v>
      </c>
      <c r="O56" t="s">
        <v>1801</v>
      </c>
      <c r="P56" t="s">
        <v>1802</v>
      </c>
    </row>
    <row r="57" spans="6:16" x14ac:dyDescent="0.2">
      <c r="H57" t="s">
        <v>1803</v>
      </c>
      <c r="I57" t="s">
        <v>1799</v>
      </c>
      <c r="J57" t="s">
        <v>18</v>
      </c>
      <c r="K57" t="s">
        <v>19</v>
      </c>
      <c r="L57">
        <v>1871</v>
      </c>
      <c r="M57">
        <v>49</v>
      </c>
      <c r="N57" t="s">
        <v>49</v>
      </c>
      <c r="O57" t="s">
        <v>1804</v>
      </c>
      <c r="P57" t="s">
        <v>16</v>
      </c>
    </row>
    <row r="58" spans="6:16" x14ac:dyDescent="0.2">
      <c r="H58" t="s">
        <v>1805</v>
      </c>
      <c r="I58" t="s">
        <v>1806</v>
      </c>
      <c r="J58" t="s">
        <v>1807</v>
      </c>
      <c r="K58" t="s">
        <v>19</v>
      </c>
      <c r="L58">
        <v>1894</v>
      </c>
      <c r="M58">
        <v>27</v>
      </c>
      <c r="N58" t="s">
        <v>368</v>
      </c>
      <c r="O58" t="s">
        <v>1808</v>
      </c>
      <c r="P58" t="s">
        <v>29</v>
      </c>
    </row>
    <row r="59" spans="6:16" x14ac:dyDescent="0.2">
      <c r="H59" t="s">
        <v>1809</v>
      </c>
      <c r="I59" t="s">
        <v>1810</v>
      </c>
      <c r="J59" t="s">
        <v>60</v>
      </c>
      <c r="K59" t="s">
        <v>13</v>
      </c>
      <c r="L59">
        <v>1883</v>
      </c>
      <c r="M59">
        <v>38</v>
      </c>
      <c r="N59" t="s">
        <v>1811</v>
      </c>
      <c r="O59" t="s">
        <v>1456</v>
      </c>
      <c r="P59" t="s">
        <v>8</v>
      </c>
    </row>
    <row r="60" spans="6:16" x14ac:dyDescent="0.2">
      <c r="H60" t="s">
        <v>90</v>
      </c>
      <c r="I60" t="s">
        <v>1810</v>
      </c>
      <c r="J60" t="s">
        <v>60</v>
      </c>
      <c r="K60" t="s">
        <v>19</v>
      </c>
      <c r="L60">
        <v>1898</v>
      </c>
      <c r="M60">
        <v>23</v>
      </c>
      <c r="N60" t="s">
        <v>149</v>
      </c>
      <c r="O60" t="s">
        <v>1090</v>
      </c>
      <c r="P60" t="s">
        <v>20</v>
      </c>
    </row>
    <row r="61" spans="6:16" x14ac:dyDescent="0.2">
      <c r="H61" t="s">
        <v>423</v>
      </c>
      <c r="I61" t="s">
        <v>1812</v>
      </c>
      <c r="J61" t="s">
        <v>60</v>
      </c>
      <c r="K61" t="s">
        <v>13</v>
      </c>
      <c r="L61">
        <v>1885</v>
      </c>
      <c r="M61">
        <v>36</v>
      </c>
      <c r="N61" t="s">
        <v>276</v>
      </c>
      <c r="O61" t="s">
        <v>1813</v>
      </c>
      <c r="P61" t="s">
        <v>8</v>
      </c>
    </row>
    <row r="62" spans="6:16" x14ac:dyDescent="0.2">
      <c r="H62" t="s">
        <v>1814</v>
      </c>
      <c r="I62" t="s">
        <v>1815</v>
      </c>
      <c r="J62" t="s">
        <v>60</v>
      </c>
      <c r="K62" t="s">
        <v>13</v>
      </c>
      <c r="L62">
        <v>1872</v>
      </c>
      <c r="M62">
        <v>49</v>
      </c>
      <c r="N62" t="s">
        <v>49</v>
      </c>
      <c r="O62" t="s">
        <v>923</v>
      </c>
      <c r="P62" t="s">
        <v>8</v>
      </c>
    </row>
    <row r="63" spans="6:16" x14ac:dyDescent="0.2">
      <c r="H63" t="s">
        <v>1816</v>
      </c>
      <c r="I63" t="s">
        <v>1294</v>
      </c>
      <c r="J63" t="s">
        <v>60</v>
      </c>
      <c r="K63" t="s">
        <v>13</v>
      </c>
      <c r="L63">
        <v>1890</v>
      </c>
      <c r="M63">
        <v>31</v>
      </c>
      <c r="N63" t="s">
        <v>49</v>
      </c>
      <c r="O63" t="s">
        <v>1817</v>
      </c>
      <c r="P63" t="s">
        <v>1818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BD76-1AE7-1D4B-B205-9EEA6DDD3C1E}">
  <dimension ref="A1:BC243"/>
  <sheetViews>
    <sheetView workbookViewId="0">
      <pane ySplit="2" topLeftCell="A3" activePane="bottomLeft" state="frozen"/>
      <selection pane="bottomLeft" activeCell="A121" sqref="A121:XFD121"/>
    </sheetView>
  </sheetViews>
  <sheetFormatPr baseColWidth="10" defaultColWidth="10.83203125" defaultRowHeight="16" x14ac:dyDescent="0.2"/>
  <cols>
    <col min="2" max="2" width="5.6640625" customWidth="1"/>
    <col min="4" max="4" width="17.83203125" customWidth="1"/>
    <col min="5" max="5" width="11.6640625" customWidth="1"/>
    <col min="6" max="6" width="10.33203125" customWidth="1"/>
    <col min="7" max="7" width="8.83203125" customWidth="1"/>
    <col min="11" max="11" width="5.83203125" customWidth="1"/>
    <col min="12" max="12" width="7.83203125" customWidth="1"/>
    <col min="13" max="13" width="10" customWidth="1"/>
    <col min="14" max="14" width="8.6640625" customWidth="1"/>
    <col min="15" max="15" width="9.664062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12.1640625" customWidth="1"/>
    <col min="25" max="25" width="14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7.5" customHeight="1" x14ac:dyDescent="0.2">
      <c r="A3" s="9" t="s">
        <v>587</v>
      </c>
      <c r="B3" s="9">
        <v>1921</v>
      </c>
      <c r="C3" s="7">
        <v>1</v>
      </c>
      <c r="D3" s="7" t="s">
        <v>588</v>
      </c>
      <c r="G3" t="s">
        <v>932</v>
      </c>
      <c r="H3" t="s">
        <v>423</v>
      </c>
      <c r="I3">
        <v>1</v>
      </c>
      <c r="J3" t="s">
        <v>13</v>
      </c>
      <c r="K3">
        <v>1</v>
      </c>
      <c r="N3">
        <v>1</v>
      </c>
      <c r="T3">
        <v>70</v>
      </c>
      <c r="Y3" s="6"/>
      <c r="Z3" s="7"/>
      <c r="AA3" t="s">
        <v>20</v>
      </c>
      <c r="AC3" s="7"/>
      <c r="AD3" s="7"/>
      <c r="AE3" s="7"/>
      <c r="AF3" s="7">
        <v>1</v>
      </c>
      <c r="AG3" t="s">
        <v>1819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587</v>
      </c>
      <c r="B4" s="9">
        <v>1921</v>
      </c>
      <c r="C4" s="7">
        <v>1</v>
      </c>
      <c r="D4" s="7" t="s">
        <v>588</v>
      </c>
      <c r="G4" t="s">
        <v>932</v>
      </c>
      <c r="H4" t="s">
        <v>336</v>
      </c>
      <c r="I4">
        <v>2</v>
      </c>
      <c r="J4">
        <v>1</v>
      </c>
      <c r="N4" t="s">
        <v>18</v>
      </c>
      <c r="O4">
        <v>1</v>
      </c>
      <c r="T4">
        <v>75</v>
      </c>
      <c r="Y4" s="6"/>
      <c r="Z4" s="7"/>
      <c r="AA4" t="s">
        <v>20</v>
      </c>
      <c r="AC4" s="6"/>
      <c r="AD4" s="7"/>
      <c r="AE4" s="7"/>
      <c r="AF4" s="7">
        <v>1</v>
      </c>
      <c r="AG4" t="s">
        <v>1820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587</v>
      </c>
      <c r="B5" s="9">
        <v>1921</v>
      </c>
      <c r="C5" s="7">
        <v>1</v>
      </c>
      <c r="D5" s="7" t="s">
        <v>588</v>
      </c>
      <c r="G5" t="s">
        <v>932</v>
      </c>
      <c r="H5" t="s">
        <v>937</v>
      </c>
      <c r="I5">
        <v>3</v>
      </c>
      <c r="J5">
        <v>1</v>
      </c>
      <c r="N5" t="s">
        <v>22</v>
      </c>
      <c r="P5">
        <v>1</v>
      </c>
      <c r="T5">
        <v>38</v>
      </c>
      <c r="Y5" s="6"/>
      <c r="Z5" s="7"/>
      <c r="AA5" t="s">
        <v>1821</v>
      </c>
      <c r="AC5" s="6">
        <v>1</v>
      </c>
      <c r="AD5" s="7"/>
      <c r="AE5" s="7"/>
      <c r="AF5" s="7"/>
      <c r="AG5" t="s">
        <v>43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/>
      <c r="B6" s="9"/>
      <c r="C6" s="7"/>
      <c r="D6" s="7"/>
      <c r="H6">
        <v>3</v>
      </c>
      <c r="Y6" s="6"/>
      <c r="Z6" s="7"/>
      <c r="AC6" s="6"/>
      <c r="AD6" s="7"/>
      <c r="AE6" s="7"/>
      <c r="AF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587</v>
      </c>
      <c r="B7" s="9">
        <v>1921</v>
      </c>
      <c r="C7" s="7">
        <v>2</v>
      </c>
      <c r="D7" s="7" t="s">
        <v>588</v>
      </c>
      <c r="G7" t="s">
        <v>1</v>
      </c>
      <c r="H7" t="s">
        <v>0</v>
      </c>
      <c r="J7" t="s">
        <v>3</v>
      </c>
      <c r="N7" t="s">
        <v>2</v>
      </c>
      <c r="T7" t="s">
        <v>5</v>
      </c>
      <c r="Y7" s="6"/>
      <c r="Z7" s="7"/>
      <c r="AA7" t="s">
        <v>7</v>
      </c>
      <c r="AB7" t="s">
        <v>8</v>
      </c>
      <c r="AC7" s="6"/>
      <c r="AD7" s="7"/>
      <c r="AE7" s="7"/>
      <c r="AF7" s="7"/>
      <c r="AG7" t="s">
        <v>6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587</v>
      </c>
      <c r="B8" s="9">
        <v>1921</v>
      </c>
      <c r="C8" s="7">
        <v>2</v>
      </c>
      <c r="D8" s="7" t="s">
        <v>588</v>
      </c>
      <c r="E8" t="s">
        <v>1828</v>
      </c>
      <c r="F8">
        <v>1</v>
      </c>
      <c r="G8" t="s">
        <v>374</v>
      </c>
      <c r="H8" t="s">
        <v>1822</v>
      </c>
      <c r="I8">
        <v>4</v>
      </c>
      <c r="J8" t="s">
        <v>13</v>
      </c>
      <c r="K8">
        <v>1</v>
      </c>
      <c r="N8">
        <v>1</v>
      </c>
      <c r="T8">
        <v>28</v>
      </c>
      <c r="Y8" s="6"/>
      <c r="Z8" s="7"/>
      <c r="AA8" t="s">
        <v>1823</v>
      </c>
      <c r="AB8" t="s">
        <v>1824</v>
      </c>
      <c r="AC8" s="7">
        <v>1</v>
      </c>
      <c r="AD8" s="7"/>
      <c r="AE8" s="7"/>
      <c r="AF8" s="7"/>
      <c r="AG8" t="s">
        <v>415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587</v>
      </c>
      <c r="B9" s="9">
        <v>1921</v>
      </c>
      <c r="C9" s="7">
        <v>2</v>
      </c>
      <c r="D9" s="7" t="s">
        <v>588</v>
      </c>
      <c r="G9" t="s">
        <v>1825</v>
      </c>
      <c r="H9" t="s">
        <v>1286</v>
      </c>
      <c r="I9">
        <v>5</v>
      </c>
      <c r="J9" t="s">
        <v>13</v>
      </c>
      <c r="K9">
        <v>1</v>
      </c>
      <c r="N9" t="s">
        <v>20</v>
      </c>
      <c r="R9">
        <v>1</v>
      </c>
      <c r="T9">
        <v>56</v>
      </c>
      <c r="Y9" s="6"/>
      <c r="Z9" s="7"/>
      <c r="AA9" t="s">
        <v>1827</v>
      </c>
      <c r="AB9" t="s">
        <v>1824</v>
      </c>
      <c r="AC9" s="6">
        <v>1</v>
      </c>
      <c r="AD9" s="7"/>
      <c r="AE9" s="7"/>
      <c r="AF9" s="7"/>
      <c r="AG9" t="s">
        <v>1826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/>
      <c r="B10" s="9"/>
      <c r="C10" s="7"/>
      <c r="D10" s="7"/>
      <c r="H10">
        <v>2</v>
      </c>
      <c r="Y10" s="6"/>
      <c r="Z10" s="7"/>
      <c r="AC10" s="6"/>
      <c r="AD10" s="7"/>
      <c r="AE10" s="7"/>
      <c r="AF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" customHeight="1" x14ac:dyDescent="0.2">
      <c r="A11" s="9" t="s">
        <v>587</v>
      </c>
      <c r="B11" s="9">
        <v>1921</v>
      </c>
      <c r="C11" s="7">
        <v>3</v>
      </c>
      <c r="D11" s="7" t="s">
        <v>588</v>
      </c>
      <c r="G11" t="s">
        <v>1</v>
      </c>
      <c r="H11" t="s">
        <v>0</v>
      </c>
      <c r="J11" t="s">
        <v>3</v>
      </c>
      <c r="N11" t="s">
        <v>2</v>
      </c>
      <c r="T11" t="s">
        <v>5</v>
      </c>
      <c r="Y11" s="7">
        <f>SUM(Y3:Y10)</f>
        <v>0</v>
      </c>
      <c r="Z11" s="7">
        <f>SUM(Z3:Z10)</f>
        <v>0</v>
      </c>
      <c r="AA11" t="s">
        <v>7</v>
      </c>
      <c r="AB11" t="s">
        <v>8</v>
      </c>
      <c r="AC11" s="7">
        <f>SUM(AC3:AC10)</f>
        <v>3</v>
      </c>
      <c r="AD11" s="7">
        <f>SUM(AD3:AD10)</f>
        <v>0</v>
      </c>
      <c r="AE11" s="7"/>
      <c r="AF11" s="7"/>
      <c r="AG11" t="s">
        <v>6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9" t="s">
        <v>587</v>
      </c>
      <c r="B12" s="9">
        <v>1921</v>
      </c>
      <c r="C12" s="7">
        <v>3</v>
      </c>
      <c r="D12" s="7" t="s">
        <v>588</v>
      </c>
      <c r="F12">
        <v>2</v>
      </c>
      <c r="G12" t="s">
        <v>1829</v>
      </c>
      <c r="H12" t="s">
        <v>1012</v>
      </c>
      <c r="I12">
        <v>6</v>
      </c>
      <c r="J12" t="s">
        <v>13</v>
      </c>
      <c r="K12">
        <v>1</v>
      </c>
      <c r="N12">
        <v>1</v>
      </c>
      <c r="T12">
        <v>58</v>
      </c>
      <c r="Y12" s="6"/>
      <c r="Z12" s="7"/>
      <c r="AA12" t="s">
        <v>827</v>
      </c>
      <c r="AB12" t="s">
        <v>1767</v>
      </c>
      <c r="AC12" s="6"/>
      <c r="AD12" s="7"/>
      <c r="AE12" s="7"/>
      <c r="AF12" s="7">
        <v>1</v>
      </c>
      <c r="AG12" t="s">
        <v>718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587</v>
      </c>
      <c r="B13" s="9">
        <v>1921</v>
      </c>
      <c r="C13" s="7">
        <v>3</v>
      </c>
      <c r="D13" s="7" t="s">
        <v>588</v>
      </c>
      <c r="G13" t="s">
        <v>1829</v>
      </c>
      <c r="H13" t="s">
        <v>1012</v>
      </c>
      <c r="I13">
        <v>7</v>
      </c>
      <c r="J13" t="s">
        <v>13</v>
      </c>
      <c r="K13">
        <v>1</v>
      </c>
      <c r="N13" t="s">
        <v>51</v>
      </c>
      <c r="Q13">
        <v>1</v>
      </c>
      <c r="T13">
        <v>34</v>
      </c>
      <c r="Y13" s="6"/>
      <c r="Z13" s="7"/>
      <c r="AA13" t="s">
        <v>1830</v>
      </c>
      <c r="AB13" t="s">
        <v>16</v>
      </c>
      <c r="AC13" s="6">
        <v>1</v>
      </c>
      <c r="AD13" s="7"/>
      <c r="AE13" s="7"/>
      <c r="AF13" s="7">
        <v>1</v>
      </c>
      <c r="AG13" t="s">
        <v>718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587</v>
      </c>
      <c r="B14" s="9">
        <v>1921</v>
      </c>
      <c r="C14" s="7">
        <v>3</v>
      </c>
      <c r="D14" s="7" t="s">
        <v>588</v>
      </c>
      <c r="G14" t="s">
        <v>1829</v>
      </c>
      <c r="H14" t="s">
        <v>1831</v>
      </c>
      <c r="I14">
        <v>8</v>
      </c>
      <c r="J14">
        <v>1</v>
      </c>
      <c r="N14" t="s">
        <v>22</v>
      </c>
      <c r="P14">
        <v>1</v>
      </c>
      <c r="T14">
        <v>26</v>
      </c>
      <c r="Y14" s="13"/>
      <c r="Z14" s="12"/>
      <c r="AA14" t="s">
        <v>1832</v>
      </c>
      <c r="AB14" t="s">
        <v>20</v>
      </c>
      <c r="AC14" s="13"/>
      <c r="AD14" s="12"/>
      <c r="AE14" s="7"/>
      <c r="AF14" s="7">
        <v>1</v>
      </c>
      <c r="AG14" t="s">
        <v>718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28" customHeight="1" x14ac:dyDescent="0.2">
      <c r="A15" s="9" t="s">
        <v>587</v>
      </c>
      <c r="B15" s="9">
        <v>1921</v>
      </c>
      <c r="C15" s="7">
        <v>3</v>
      </c>
      <c r="D15" s="7" t="s">
        <v>588</v>
      </c>
      <c r="G15" t="s">
        <v>1708</v>
      </c>
      <c r="H15" t="s">
        <v>1477</v>
      </c>
      <c r="I15">
        <v>9</v>
      </c>
      <c r="J15" t="s">
        <v>13</v>
      </c>
      <c r="K15">
        <v>1</v>
      </c>
      <c r="N15" t="s">
        <v>1833</v>
      </c>
      <c r="R15">
        <v>1</v>
      </c>
      <c r="T15">
        <v>65</v>
      </c>
      <c r="Y15" s="15"/>
      <c r="Z15" s="12"/>
      <c r="AA15" t="s">
        <v>1834</v>
      </c>
      <c r="AB15" t="s">
        <v>1835</v>
      </c>
      <c r="AC15" s="15">
        <v>1</v>
      </c>
      <c r="AD15" s="11"/>
      <c r="AE15" s="7"/>
      <c r="AF15" s="7">
        <v>1</v>
      </c>
      <c r="AG15" t="s">
        <v>14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/>
      <c r="B16" s="9"/>
      <c r="C16" s="7"/>
      <c r="D16" s="7"/>
      <c r="H16">
        <v>4</v>
      </c>
      <c r="Y16" s="18"/>
      <c r="Z16" s="7"/>
      <c r="AC16" s="18"/>
      <c r="AD16" s="7"/>
      <c r="AE16" s="7"/>
      <c r="AF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587</v>
      </c>
      <c r="B17" s="9">
        <v>1921</v>
      </c>
      <c r="C17" s="7">
        <v>4</v>
      </c>
      <c r="D17" s="7" t="s">
        <v>588</v>
      </c>
      <c r="G17" t="s">
        <v>1</v>
      </c>
      <c r="H17" t="s">
        <v>0</v>
      </c>
      <c r="J17" t="s">
        <v>3</v>
      </c>
      <c r="N17" t="s">
        <v>2</v>
      </c>
      <c r="T17" t="s">
        <v>5</v>
      </c>
      <c r="Y17" s="6"/>
      <c r="Z17" s="7"/>
      <c r="AA17" t="s">
        <v>7</v>
      </c>
      <c r="AB17" t="s">
        <v>8</v>
      </c>
      <c r="AC17" s="7"/>
      <c r="AD17" s="7"/>
      <c r="AE17" s="7"/>
      <c r="AF17" s="7"/>
      <c r="AG17" t="s">
        <v>6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587</v>
      </c>
      <c r="B18" s="9">
        <v>1921</v>
      </c>
      <c r="C18" s="7">
        <v>4</v>
      </c>
      <c r="D18" s="7" t="s">
        <v>588</v>
      </c>
      <c r="F18">
        <v>3</v>
      </c>
      <c r="G18" t="s">
        <v>1836</v>
      </c>
      <c r="H18" t="s">
        <v>1286</v>
      </c>
      <c r="I18">
        <v>10</v>
      </c>
      <c r="J18" t="s">
        <v>13</v>
      </c>
      <c r="K18">
        <v>1</v>
      </c>
      <c r="N18">
        <v>1</v>
      </c>
      <c r="T18">
        <v>55</v>
      </c>
      <c r="Y18" s="6"/>
      <c r="Z18" s="7"/>
      <c r="AA18" t="s">
        <v>1838</v>
      </c>
      <c r="AB18" t="s">
        <v>1839</v>
      </c>
      <c r="AC18" s="6">
        <v>1</v>
      </c>
      <c r="AD18" s="7"/>
      <c r="AE18" s="7"/>
      <c r="AF18" s="7">
        <v>1</v>
      </c>
      <c r="AG18" t="s">
        <v>1837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587</v>
      </c>
      <c r="B19" s="9">
        <v>1921</v>
      </c>
      <c r="C19" s="7">
        <v>4</v>
      </c>
      <c r="D19" s="7" t="s">
        <v>588</v>
      </c>
      <c r="G19" t="s">
        <v>1836</v>
      </c>
      <c r="H19" t="s">
        <v>1840</v>
      </c>
      <c r="I19">
        <v>11</v>
      </c>
      <c r="J19">
        <v>1</v>
      </c>
      <c r="N19" t="s">
        <v>18</v>
      </c>
      <c r="O19">
        <v>1</v>
      </c>
      <c r="T19">
        <v>54</v>
      </c>
      <c r="Y19" s="6"/>
      <c r="Z19" s="7"/>
      <c r="AA19" t="s">
        <v>50</v>
      </c>
      <c r="AB19" t="s">
        <v>20</v>
      </c>
      <c r="AC19" s="6"/>
      <c r="AD19" s="7"/>
      <c r="AE19" s="7"/>
      <c r="AF19" s="7"/>
      <c r="AG19" t="s">
        <v>1841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587</v>
      </c>
      <c r="B20" s="9">
        <v>1921</v>
      </c>
      <c r="C20" s="7">
        <v>4</v>
      </c>
      <c r="D20" s="7" t="s">
        <v>588</v>
      </c>
      <c r="G20" t="s">
        <v>1836</v>
      </c>
      <c r="H20" t="s">
        <v>1842</v>
      </c>
      <c r="I20">
        <v>12</v>
      </c>
      <c r="J20" t="s">
        <v>13</v>
      </c>
      <c r="K20">
        <v>1</v>
      </c>
      <c r="N20" t="s">
        <v>51</v>
      </c>
      <c r="Q20">
        <v>1</v>
      </c>
      <c r="T20">
        <v>28</v>
      </c>
      <c r="Y20" s="6"/>
      <c r="Z20" s="7"/>
      <c r="AA20" t="s">
        <v>1843</v>
      </c>
      <c r="AB20" t="s">
        <v>1844</v>
      </c>
      <c r="AC20" s="7">
        <v>1</v>
      </c>
      <c r="AD20" s="7"/>
      <c r="AE20" s="7"/>
      <c r="AF20" s="7">
        <v>1</v>
      </c>
      <c r="AG20" t="s">
        <v>49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587</v>
      </c>
      <c r="B21" s="9">
        <v>1921</v>
      </c>
      <c r="C21" s="7">
        <v>4</v>
      </c>
      <c r="D21" s="7" t="s">
        <v>588</v>
      </c>
      <c r="G21" t="s">
        <v>1846</v>
      </c>
      <c r="H21" t="s">
        <v>1845</v>
      </c>
      <c r="I21">
        <v>13</v>
      </c>
      <c r="J21" t="s">
        <v>13</v>
      </c>
      <c r="K21">
        <v>1</v>
      </c>
      <c r="N21" t="s">
        <v>1847</v>
      </c>
      <c r="R21">
        <v>1</v>
      </c>
      <c r="T21">
        <v>27</v>
      </c>
      <c r="Y21" s="6"/>
      <c r="Z21" s="7"/>
      <c r="AA21" t="s">
        <v>1848</v>
      </c>
      <c r="AB21" t="s">
        <v>1849</v>
      </c>
      <c r="AC21" s="7">
        <v>1</v>
      </c>
      <c r="AD21" s="7"/>
      <c r="AE21" s="7"/>
      <c r="AF21" s="7">
        <v>1</v>
      </c>
      <c r="AG21" t="s">
        <v>49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587</v>
      </c>
      <c r="B22" s="9">
        <v>1921</v>
      </c>
      <c r="C22" s="7">
        <v>4</v>
      </c>
      <c r="D22" s="7" t="s">
        <v>588</v>
      </c>
      <c r="G22" t="s">
        <v>1846</v>
      </c>
      <c r="H22" t="s">
        <v>1850</v>
      </c>
      <c r="I22">
        <v>14</v>
      </c>
      <c r="J22">
        <v>1</v>
      </c>
      <c r="N22" t="s">
        <v>22</v>
      </c>
      <c r="P22">
        <v>1</v>
      </c>
      <c r="T22">
        <v>27</v>
      </c>
      <c r="Y22" s="6"/>
      <c r="Z22" s="7"/>
      <c r="AA22" t="s">
        <v>50</v>
      </c>
      <c r="AB22" t="s">
        <v>20</v>
      </c>
      <c r="AC22" s="7"/>
      <c r="AD22" s="7"/>
      <c r="AE22" s="7"/>
      <c r="AF22" s="7">
        <v>1</v>
      </c>
      <c r="AG22" t="s">
        <v>49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587</v>
      </c>
      <c r="B23" s="9">
        <v>1921</v>
      </c>
      <c r="C23" s="7">
        <v>4</v>
      </c>
      <c r="D23" s="7" t="s">
        <v>588</v>
      </c>
      <c r="G23" t="s">
        <v>1846</v>
      </c>
      <c r="H23" t="s">
        <v>1851</v>
      </c>
      <c r="I23">
        <v>15</v>
      </c>
      <c r="J23" t="s">
        <v>19</v>
      </c>
      <c r="L23">
        <v>1</v>
      </c>
      <c r="N23" t="s">
        <v>1852</v>
      </c>
      <c r="R23">
        <v>1</v>
      </c>
      <c r="T23">
        <v>3</v>
      </c>
      <c r="Y23" s="6"/>
      <c r="Z23" s="7"/>
      <c r="AA23" t="s">
        <v>20</v>
      </c>
      <c r="AB23" t="s">
        <v>20</v>
      </c>
      <c r="AC23" s="7"/>
      <c r="AD23" s="7"/>
      <c r="AE23" s="7"/>
      <c r="AF23" s="7">
        <v>1</v>
      </c>
      <c r="AG23" t="s">
        <v>49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" customHeight="1" x14ac:dyDescent="0.2">
      <c r="A24" s="9" t="s">
        <v>587</v>
      </c>
      <c r="B24" s="9">
        <v>1921</v>
      </c>
      <c r="C24" s="7">
        <v>4</v>
      </c>
      <c r="D24" s="7" t="s">
        <v>588</v>
      </c>
      <c r="G24" t="s">
        <v>1846</v>
      </c>
      <c r="H24" t="s">
        <v>1853</v>
      </c>
      <c r="I24">
        <v>16</v>
      </c>
      <c r="J24" t="s">
        <v>13</v>
      </c>
      <c r="M24">
        <v>1</v>
      </c>
      <c r="N24" t="s">
        <v>1046</v>
      </c>
      <c r="R24">
        <v>1</v>
      </c>
      <c r="T24">
        <v>1</v>
      </c>
      <c r="Y24" s="7"/>
      <c r="Z24" s="7"/>
      <c r="AA24" t="s">
        <v>20</v>
      </c>
      <c r="AB24" t="s">
        <v>20</v>
      </c>
      <c r="AC24" s="7"/>
      <c r="AD24" s="7"/>
      <c r="AE24" s="7"/>
      <c r="AF24" s="7">
        <v>1</v>
      </c>
      <c r="AG24" t="s">
        <v>49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9" t="s">
        <v>587</v>
      </c>
      <c r="B25" s="9">
        <v>1921</v>
      </c>
      <c r="C25" s="7">
        <v>4</v>
      </c>
      <c r="D25" s="7" t="s">
        <v>588</v>
      </c>
      <c r="G25" t="s">
        <v>1846</v>
      </c>
      <c r="H25" t="s">
        <v>1854</v>
      </c>
      <c r="I25">
        <v>17</v>
      </c>
      <c r="J25" t="s">
        <v>13</v>
      </c>
      <c r="M25">
        <v>1</v>
      </c>
      <c r="N25" t="s">
        <v>1046</v>
      </c>
      <c r="R25">
        <v>1</v>
      </c>
      <c r="T25" t="s">
        <v>20</v>
      </c>
      <c r="Y25" s="6"/>
      <c r="Z25" s="7"/>
      <c r="AA25" t="s">
        <v>20</v>
      </c>
      <c r="AB25" t="s">
        <v>20</v>
      </c>
      <c r="AC25" s="7"/>
      <c r="AD25" s="7"/>
      <c r="AE25" s="7"/>
      <c r="AF25" s="7">
        <v>1</v>
      </c>
      <c r="AG25" t="s">
        <v>49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/>
      <c r="B26" s="9"/>
      <c r="C26" s="7"/>
      <c r="D26" s="7"/>
      <c r="H26">
        <v>8</v>
      </c>
      <c r="Y26" s="6"/>
      <c r="Z26" s="7"/>
      <c r="AC26" s="7"/>
      <c r="AD26" s="7"/>
      <c r="AE26" s="7"/>
      <c r="AF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587</v>
      </c>
      <c r="B27" s="9">
        <v>1921</v>
      </c>
      <c r="C27" s="7">
        <v>5</v>
      </c>
      <c r="D27" s="7" t="s">
        <v>588</v>
      </c>
      <c r="G27" t="s">
        <v>1</v>
      </c>
      <c r="H27" t="s">
        <v>0</v>
      </c>
      <c r="J27" t="s">
        <v>3</v>
      </c>
      <c r="N27" t="s">
        <v>2</v>
      </c>
      <c r="T27" t="s">
        <v>5</v>
      </c>
      <c r="Y27" s="6"/>
      <c r="Z27" s="7"/>
      <c r="AA27" t="s">
        <v>7</v>
      </c>
      <c r="AB27" t="s">
        <v>8</v>
      </c>
      <c r="AC27" s="7"/>
      <c r="AD27" s="7"/>
      <c r="AE27" s="7"/>
      <c r="AF27" s="7"/>
      <c r="AG27" t="s">
        <v>6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587</v>
      </c>
      <c r="B28" s="9">
        <v>1921</v>
      </c>
      <c r="C28" s="7">
        <v>5</v>
      </c>
      <c r="D28" s="7" t="s">
        <v>588</v>
      </c>
      <c r="F28">
        <v>4</v>
      </c>
      <c r="G28" t="s">
        <v>916</v>
      </c>
      <c r="H28" t="s">
        <v>1855</v>
      </c>
      <c r="I28">
        <v>18</v>
      </c>
      <c r="J28" t="s">
        <v>13</v>
      </c>
      <c r="K28">
        <v>1</v>
      </c>
      <c r="N28">
        <v>1</v>
      </c>
      <c r="T28">
        <v>34</v>
      </c>
      <c r="Y28" s="6"/>
      <c r="Z28" s="7"/>
      <c r="AA28" t="s">
        <v>1856</v>
      </c>
      <c r="AB28" t="s">
        <v>1857</v>
      </c>
      <c r="AC28" s="7">
        <v>1</v>
      </c>
      <c r="AD28" s="7"/>
      <c r="AE28" s="7"/>
      <c r="AF28" s="7">
        <v>1</v>
      </c>
      <c r="AG28" t="s">
        <v>49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587</v>
      </c>
      <c r="B29" s="9">
        <v>1921</v>
      </c>
      <c r="C29" s="7">
        <v>5</v>
      </c>
      <c r="D29" s="7" t="s">
        <v>588</v>
      </c>
      <c r="G29" t="s">
        <v>916</v>
      </c>
      <c r="H29" t="s">
        <v>1858</v>
      </c>
      <c r="I29">
        <v>19</v>
      </c>
      <c r="J29">
        <v>1</v>
      </c>
      <c r="N29" t="s">
        <v>18</v>
      </c>
      <c r="O29">
        <v>1</v>
      </c>
      <c r="T29">
        <v>29</v>
      </c>
      <c r="Y29" s="6"/>
      <c r="Z29" s="7"/>
      <c r="AA29" t="s">
        <v>489</v>
      </c>
      <c r="AB29" t="s">
        <v>20</v>
      </c>
      <c r="AC29" s="7"/>
      <c r="AD29" s="7"/>
      <c r="AE29" s="7"/>
      <c r="AF29" s="7">
        <v>1</v>
      </c>
      <c r="AG29" t="s">
        <v>49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587</v>
      </c>
      <c r="B30" s="9">
        <v>1921</v>
      </c>
      <c r="C30" s="7">
        <v>5</v>
      </c>
      <c r="D30" s="7" t="s">
        <v>588</v>
      </c>
      <c r="G30" t="s">
        <v>916</v>
      </c>
      <c r="H30" t="s">
        <v>350</v>
      </c>
      <c r="I30">
        <v>20</v>
      </c>
      <c r="J30" t="s">
        <v>19</v>
      </c>
      <c r="L30">
        <v>1</v>
      </c>
      <c r="N30" t="s">
        <v>22</v>
      </c>
      <c r="P30">
        <v>1</v>
      </c>
      <c r="T30">
        <v>1</v>
      </c>
      <c r="Y30" s="6"/>
      <c r="Z30" s="7"/>
      <c r="AA30" t="s">
        <v>20</v>
      </c>
      <c r="AB30" t="s">
        <v>20</v>
      </c>
      <c r="AC30" s="7"/>
      <c r="AD30" s="7"/>
      <c r="AE30" s="7"/>
      <c r="AF30" s="7">
        <v>1</v>
      </c>
      <c r="AG30" t="s">
        <v>49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/>
      <c r="B31" s="9"/>
      <c r="C31" s="7"/>
      <c r="D31" s="7"/>
      <c r="H31">
        <v>3</v>
      </c>
      <c r="Y31" s="6"/>
      <c r="Z31" s="7"/>
      <c r="AC31" s="7"/>
      <c r="AD31" s="7"/>
      <c r="AE31" s="7"/>
      <c r="AF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9" t="s">
        <v>587</v>
      </c>
      <c r="B32" s="9">
        <v>1921</v>
      </c>
      <c r="C32" s="7">
        <v>6</v>
      </c>
      <c r="D32" s="7" t="s">
        <v>588</v>
      </c>
      <c r="G32" t="s">
        <v>1</v>
      </c>
      <c r="H32" t="s">
        <v>0</v>
      </c>
      <c r="J32" t="s">
        <v>3</v>
      </c>
      <c r="N32" t="s">
        <v>2</v>
      </c>
      <c r="T32" t="s">
        <v>5</v>
      </c>
      <c r="Y32" s="7">
        <f>SUM(Y3:Y31)</f>
        <v>0</v>
      </c>
      <c r="Z32" s="7">
        <f>SUM(Z3:Z31)</f>
        <v>0</v>
      </c>
      <c r="AA32" t="s">
        <v>7</v>
      </c>
      <c r="AB32" t="s">
        <v>8</v>
      </c>
      <c r="AC32" s="7">
        <f>SUM(AC3:AC31)</f>
        <v>12</v>
      </c>
      <c r="AD32" s="7">
        <f>SUM(AD3:AD31)</f>
        <v>0</v>
      </c>
      <c r="AE32" s="7"/>
      <c r="AF32" s="7"/>
      <c r="AG32" t="s">
        <v>6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9" t="s">
        <v>587</v>
      </c>
      <c r="B33" s="9">
        <v>1921</v>
      </c>
      <c r="C33" s="7">
        <v>6</v>
      </c>
      <c r="D33" s="7" t="s">
        <v>588</v>
      </c>
      <c r="F33">
        <v>5</v>
      </c>
      <c r="G33" t="s">
        <v>1860</v>
      </c>
      <c r="H33" t="s">
        <v>1859</v>
      </c>
      <c r="I33">
        <v>21</v>
      </c>
      <c r="K33">
        <v>1</v>
      </c>
      <c r="N33">
        <v>1</v>
      </c>
      <c r="T33">
        <v>80</v>
      </c>
      <c r="Y33" s="7"/>
      <c r="Z33" s="7"/>
      <c r="AA33" t="s">
        <v>1862</v>
      </c>
      <c r="AB33" t="s">
        <v>1863</v>
      </c>
      <c r="AC33" s="20">
        <v>1</v>
      </c>
      <c r="AD33" s="7"/>
      <c r="AE33" s="7"/>
      <c r="AF33" s="7"/>
      <c r="AG33" t="s">
        <v>1861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9" t="s">
        <v>587</v>
      </c>
      <c r="B34" s="9">
        <v>1921</v>
      </c>
      <c r="C34" s="7">
        <v>6</v>
      </c>
      <c r="D34" s="7" t="s">
        <v>588</v>
      </c>
      <c r="G34" t="s">
        <v>1860</v>
      </c>
      <c r="H34" t="s">
        <v>937</v>
      </c>
      <c r="I34">
        <v>22</v>
      </c>
      <c r="J34">
        <v>1</v>
      </c>
      <c r="N34" t="s">
        <v>22</v>
      </c>
      <c r="P34">
        <v>1</v>
      </c>
      <c r="T34">
        <v>52</v>
      </c>
      <c r="Y34" s="21"/>
      <c r="Z34" s="7"/>
      <c r="AA34" t="s">
        <v>1864</v>
      </c>
      <c r="AB34" t="s">
        <v>1865</v>
      </c>
      <c r="AC34" s="20">
        <v>1</v>
      </c>
      <c r="AD34" s="7"/>
      <c r="AE34" s="7"/>
      <c r="AF34" s="7">
        <v>1</v>
      </c>
      <c r="AG34" t="s">
        <v>49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9" t="s">
        <v>587</v>
      </c>
      <c r="B35" s="9">
        <v>1921</v>
      </c>
      <c r="C35" s="7">
        <v>6</v>
      </c>
      <c r="D35" s="7" t="s">
        <v>588</v>
      </c>
      <c r="G35" t="s">
        <v>1860</v>
      </c>
      <c r="H35" t="s">
        <v>1866</v>
      </c>
      <c r="I35">
        <v>23</v>
      </c>
      <c r="J35">
        <v>1</v>
      </c>
      <c r="N35" t="s">
        <v>22</v>
      </c>
      <c r="P35">
        <v>1</v>
      </c>
      <c r="T35">
        <v>43</v>
      </c>
      <c r="Y35" s="6"/>
      <c r="Z35" s="7"/>
      <c r="AA35" t="s">
        <v>1867</v>
      </c>
      <c r="AB35" t="s">
        <v>1865</v>
      </c>
      <c r="AC35" s="7">
        <v>1</v>
      </c>
      <c r="AD35" s="7"/>
      <c r="AE35" s="7"/>
      <c r="AF35" s="7">
        <v>1</v>
      </c>
      <c r="AG35" t="s">
        <v>1245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9" t="s">
        <v>587</v>
      </c>
      <c r="B36" s="9">
        <v>1921</v>
      </c>
      <c r="C36" s="7">
        <v>6</v>
      </c>
      <c r="D36" s="7" t="s">
        <v>588</v>
      </c>
      <c r="G36" t="s">
        <v>1868</v>
      </c>
      <c r="H36" t="s">
        <v>366</v>
      </c>
      <c r="I36">
        <v>24</v>
      </c>
      <c r="J36">
        <v>1</v>
      </c>
      <c r="N36" t="s">
        <v>26</v>
      </c>
      <c r="S36">
        <v>1</v>
      </c>
      <c r="T36">
        <v>28</v>
      </c>
      <c r="Y36" s="21"/>
      <c r="Z36" s="7"/>
      <c r="AA36" t="s">
        <v>344</v>
      </c>
      <c r="AB36" t="s">
        <v>29</v>
      </c>
      <c r="AC36" s="7">
        <v>1</v>
      </c>
      <c r="AD36" s="22"/>
      <c r="AE36" s="7"/>
      <c r="AF36" s="7"/>
      <c r="AG36" t="s">
        <v>1463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9"/>
      <c r="B37" s="9"/>
      <c r="C37" s="7"/>
      <c r="D37" s="7"/>
      <c r="H37">
        <v>4</v>
      </c>
      <c r="Y37" s="6"/>
      <c r="Z37" s="7"/>
      <c r="AC37" s="7"/>
      <c r="AD37" s="7"/>
      <c r="AE37" s="7"/>
      <c r="AF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9" t="s">
        <v>587</v>
      </c>
      <c r="B38" s="9">
        <v>1921</v>
      </c>
      <c r="C38" s="7">
        <v>7</v>
      </c>
      <c r="D38" s="7" t="s">
        <v>588</v>
      </c>
      <c r="G38" t="s">
        <v>1</v>
      </c>
      <c r="H38" t="s">
        <v>0</v>
      </c>
      <c r="J38" t="s">
        <v>3</v>
      </c>
      <c r="N38" t="s">
        <v>2</v>
      </c>
      <c r="T38" t="s">
        <v>5</v>
      </c>
      <c r="Y38" s="231"/>
      <c r="AA38" t="s">
        <v>7</v>
      </c>
      <c r="AB38" t="s">
        <v>8</v>
      </c>
      <c r="AG38" t="s">
        <v>6</v>
      </c>
    </row>
    <row r="39" spans="1:51" ht="17.5" customHeight="1" x14ac:dyDescent="0.2">
      <c r="A39" s="9" t="s">
        <v>587</v>
      </c>
      <c r="B39" s="9">
        <v>1921</v>
      </c>
      <c r="C39" s="7">
        <v>7</v>
      </c>
      <c r="D39" s="7" t="s">
        <v>588</v>
      </c>
      <c r="F39">
        <v>6</v>
      </c>
      <c r="G39" t="s">
        <v>1870</v>
      </c>
      <c r="H39" t="s">
        <v>1869</v>
      </c>
      <c r="I39">
        <v>25</v>
      </c>
      <c r="J39" t="s">
        <v>13</v>
      </c>
      <c r="K39">
        <v>1</v>
      </c>
      <c r="N39">
        <v>1</v>
      </c>
      <c r="T39">
        <v>40</v>
      </c>
      <c r="Y39" s="231"/>
      <c r="AA39" t="s">
        <v>1871</v>
      </c>
      <c r="AB39" t="s">
        <v>1872</v>
      </c>
      <c r="AC39">
        <v>1</v>
      </c>
      <c r="AF39">
        <v>1</v>
      </c>
      <c r="AG39" t="s">
        <v>49</v>
      </c>
    </row>
    <row r="40" spans="1:51" ht="17.5" customHeight="1" x14ac:dyDescent="0.2">
      <c r="A40" s="9" t="s">
        <v>587</v>
      </c>
      <c r="B40" s="9">
        <v>1921</v>
      </c>
      <c r="C40" s="7">
        <v>7</v>
      </c>
      <c r="D40" s="7" t="s">
        <v>588</v>
      </c>
      <c r="G40" t="s">
        <v>1870</v>
      </c>
      <c r="H40" t="s">
        <v>1873</v>
      </c>
      <c r="I40">
        <v>26</v>
      </c>
      <c r="J40">
        <v>1</v>
      </c>
      <c r="N40" t="s">
        <v>18</v>
      </c>
      <c r="O40">
        <v>1</v>
      </c>
      <c r="T40">
        <v>37</v>
      </c>
      <c r="Y40" s="231"/>
      <c r="AA40" t="s">
        <v>50</v>
      </c>
      <c r="AB40" t="s">
        <v>20</v>
      </c>
      <c r="AF40">
        <v>1</v>
      </c>
      <c r="AG40" t="s">
        <v>49</v>
      </c>
    </row>
    <row r="41" spans="1:51" ht="17.5" customHeight="1" x14ac:dyDescent="0.2">
      <c r="A41" s="9" t="s">
        <v>587</v>
      </c>
      <c r="B41" s="9">
        <v>1921</v>
      </c>
      <c r="C41" s="7">
        <v>7</v>
      </c>
      <c r="D41" s="7" t="s">
        <v>588</v>
      </c>
      <c r="G41" t="s">
        <v>1870</v>
      </c>
      <c r="H41" t="s">
        <v>1874</v>
      </c>
      <c r="I41">
        <v>27</v>
      </c>
      <c r="J41" t="s">
        <v>13</v>
      </c>
      <c r="K41">
        <v>1</v>
      </c>
      <c r="N41" t="s">
        <v>51</v>
      </c>
      <c r="Q41">
        <v>1</v>
      </c>
      <c r="T41">
        <v>16</v>
      </c>
      <c r="Y41" s="231"/>
      <c r="AA41" t="s">
        <v>1843</v>
      </c>
      <c r="AB41" t="s">
        <v>1875</v>
      </c>
      <c r="AC41">
        <v>1</v>
      </c>
      <c r="AF41">
        <v>1</v>
      </c>
      <c r="AG41" t="s">
        <v>49</v>
      </c>
    </row>
    <row r="42" spans="1:51" ht="17.5" customHeight="1" x14ac:dyDescent="0.2">
      <c r="A42" s="9" t="s">
        <v>587</v>
      </c>
      <c r="B42" s="9">
        <v>1921</v>
      </c>
      <c r="C42" s="7">
        <v>7</v>
      </c>
      <c r="D42" s="7" t="s">
        <v>588</v>
      </c>
      <c r="G42" t="s">
        <v>1870</v>
      </c>
      <c r="H42" t="s">
        <v>1876</v>
      </c>
      <c r="I42">
        <v>28</v>
      </c>
      <c r="J42" t="s">
        <v>13</v>
      </c>
      <c r="M42">
        <v>1</v>
      </c>
      <c r="N42" t="s">
        <v>51</v>
      </c>
      <c r="Q42">
        <v>1</v>
      </c>
      <c r="T42">
        <v>14</v>
      </c>
      <c r="Y42" s="231"/>
      <c r="AA42" t="s">
        <v>20</v>
      </c>
      <c r="AB42" t="s">
        <v>20</v>
      </c>
      <c r="AF42">
        <v>1</v>
      </c>
      <c r="AG42" t="s">
        <v>1765</v>
      </c>
    </row>
    <row r="43" spans="1:51" ht="17.5" customHeight="1" x14ac:dyDescent="0.2">
      <c r="A43" s="9" t="s">
        <v>587</v>
      </c>
      <c r="B43" s="9">
        <v>1921</v>
      </c>
      <c r="C43" s="7">
        <v>7</v>
      </c>
      <c r="D43" s="7" t="s">
        <v>588</v>
      </c>
      <c r="G43" t="s">
        <v>1870</v>
      </c>
      <c r="H43" t="s">
        <v>1877</v>
      </c>
      <c r="I43">
        <v>29</v>
      </c>
      <c r="J43" t="s">
        <v>13</v>
      </c>
      <c r="M43">
        <v>1</v>
      </c>
      <c r="N43" t="s">
        <v>51</v>
      </c>
      <c r="Q43">
        <v>1</v>
      </c>
      <c r="T43">
        <v>13</v>
      </c>
      <c r="Y43" s="231"/>
      <c r="AA43" t="s">
        <v>20</v>
      </c>
      <c r="AB43" t="s">
        <v>20</v>
      </c>
      <c r="AF43">
        <v>1</v>
      </c>
      <c r="AG43" t="s">
        <v>1352</v>
      </c>
    </row>
    <row r="44" spans="1:51" ht="17.5" customHeight="1" x14ac:dyDescent="0.2">
      <c r="A44" s="9" t="s">
        <v>587</v>
      </c>
      <c r="B44" s="9">
        <v>1921</v>
      </c>
      <c r="C44" s="7">
        <v>7</v>
      </c>
      <c r="D44" s="7" t="s">
        <v>588</v>
      </c>
      <c r="G44" t="s">
        <v>1870</v>
      </c>
      <c r="H44" t="s">
        <v>1878</v>
      </c>
      <c r="I44">
        <v>30</v>
      </c>
      <c r="J44" t="s">
        <v>13</v>
      </c>
      <c r="M44">
        <v>1</v>
      </c>
      <c r="N44" t="s">
        <v>51</v>
      </c>
      <c r="Q44">
        <v>1</v>
      </c>
      <c r="T44">
        <v>11</v>
      </c>
      <c r="Y44" s="231"/>
      <c r="AA44" t="s">
        <v>20</v>
      </c>
      <c r="AB44" t="s">
        <v>20</v>
      </c>
      <c r="AF44">
        <v>1</v>
      </c>
      <c r="AG44" t="s">
        <v>1765</v>
      </c>
    </row>
    <row r="45" spans="1:51" ht="17.5" customHeight="1" x14ac:dyDescent="0.2">
      <c r="A45" s="9" t="s">
        <v>587</v>
      </c>
      <c r="B45" s="9">
        <v>1921</v>
      </c>
      <c r="C45" s="7"/>
      <c r="D45" s="7" t="s">
        <v>588</v>
      </c>
      <c r="H45">
        <v>6</v>
      </c>
      <c r="Y45" s="231"/>
    </row>
    <row r="46" spans="1:51" ht="17.5" customHeight="1" x14ac:dyDescent="0.2">
      <c r="A46" s="9" t="s">
        <v>587</v>
      </c>
      <c r="B46" s="9">
        <v>1921</v>
      </c>
      <c r="C46" s="7"/>
      <c r="D46" s="7" t="s">
        <v>588</v>
      </c>
      <c r="G46" t="s">
        <v>1</v>
      </c>
      <c r="H46" t="s">
        <v>0</v>
      </c>
      <c r="J46" t="s">
        <v>3</v>
      </c>
      <c r="N46" t="s">
        <v>2</v>
      </c>
      <c r="T46" t="s">
        <v>5</v>
      </c>
      <c r="Y46" s="231"/>
      <c r="AA46" t="s">
        <v>7</v>
      </c>
      <c r="AB46" t="s">
        <v>8</v>
      </c>
      <c r="AG46" t="s">
        <v>6</v>
      </c>
    </row>
    <row r="47" spans="1:51" ht="17.5" customHeight="1" x14ac:dyDescent="0.2">
      <c r="A47" s="9" t="s">
        <v>587</v>
      </c>
      <c r="B47" s="9">
        <v>1921</v>
      </c>
      <c r="C47" s="7">
        <v>8</v>
      </c>
      <c r="D47" s="7" t="s">
        <v>588</v>
      </c>
      <c r="F47">
        <v>7</v>
      </c>
      <c r="G47" t="s">
        <v>1879</v>
      </c>
      <c r="H47" t="s">
        <v>758</v>
      </c>
      <c r="I47">
        <v>31</v>
      </c>
      <c r="J47" t="s">
        <v>13</v>
      </c>
      <c r="K47">
        <v>1</v>
      </c>
      <c r="N47">
        <v>1</v>
      </c>
      <c r="T47">
        <v>37</v>
      </c>
      <c r="Y47" s="231"/>
      <c r="AA47" t="s">
        <v>1368</v>
      </c>
      <c r="AB47" t="s">
        <v>1880</v>
      </c>
      <c r="AC47">
        <v>1</v>
      </c>
      <c r="AF47">
        <v>1</v>
      </c>
      <c r="AG47" t="s">
        <v>1346</v>
      </c>
    </row>
    <row r="48" spans="1:51" ht="17.5" customHeight="1" x14ac:dyDescent="0.2">
      <c r="A48" s="9" t="s">
        <v>587</v>
      </c>
      <c r="B48" s="9">
        <v>1921</v>
      </c>
      <c r="C48" s="7">
        <v>8</v>
      </c>
      <c r="D48" s="7" t="s">
        <v>588</v>
      </c>
      <c r="G48" t="s">
        <v>1879</v>
      </c>
      <c r="H48" t="s">
        <v>1881</v>
      </c>
      <c r="I48">
        <v>32</v>
      </c>
      <c r="J48">
        <v>1</v>
      </c>
      <c r="N48" t="s">
        <v>18</v>
      </c>
      <c r="O48">
        <v>1</v>
      </c>
      <c r="T48">
        <v>38</v>
      </c>
      <c r="Y48" s="231"/>
      <c r="AA48" t="s">
        <v>50</v>
      </c>
      <c r="AB48" t="s">
        <v>20</v>
      </c>
      <c r="AG48" t="s">
        <v>1882</v>
      </c>
    </row>
    <row r="49" spans="1:33" ht="17.5" customHeight="1" x14ac:dyDescent="0.2">
      <c r="A49" s="9" t="s">
        <v>587</v>
      </c>
      <c r="B49" s="9">
        <v>1921</v>
      </c>
      <c r="C49" s="7">
        <v>8</v>
      </c>
      <c r="D49" s="7" t="s">
        <v>588</v>
      </c>
      <c r="G49" t="s">
        <v>1879</v>
      </c>
      <c r="H49" t="s">
        <v>1883</v>
      </c>
      <c r="I49">
        <v>33</v>
      </c>
      <c r="J49" t="s">
        <v>13</v>
      </c>
      <c r="M49">
        <v>1</v>
      </c>
      <c r="N49" t="s">
        <v>51</v>
      </c>
      <c r="Q49">
        <v>1</v>
      </c>
      <c r="T49">
        <v>7</v>
      </c>
      <c r="Y49" s="231"/>
      <c r="AA49" t="s">
        <v>20</v>
      </c>
      <c r="AB49" t="s">
        <v>20</v>
      </c>
      <c r="AF49">
        <v>1</v>
      </c>
      <c r="AG49" t="s">
        <v>49</v>
      </c>
    </row>
    <row r="50" spans="1:33" ht="17.5" customHeight="1" x14ac:dyDescent="0.2">
      <c r="A50" s="9" t="s">
        <v>587</v>
      </c>
      <c r="B50" s="9">
        <v>1921</v>
      </c>
      <c r="C50" s="7">
        <v>8</v>
      </c>
      <c r="D50" s="7" t="s">
        <v>588</v>
      </c>
      <c r="G50" t="s">
        <v>1879</v>
      </c>
      <c r="H50" t="s">
        <v>1884</v>
      </c>
      <c r="I50">
        <v>34</v>
      </c>
      <c r="J50" t="s">
        <v>19</v>
      </c>
      <c r="L50">
        <v>1</v>
      </c>
      <c r="N50" t="s">
        <v>22</v>
      </c>
      <c r="P50">
        <v>1</v>
      </c>
      <c r="T50">
        <v>3</v>
      </c>
      <c r="Y50" s="231"/>
      <c r="AA50" t="s">
        <v>20</v>
      </c>
      <c r="AB50" t="s">
        <v>20</v>
      </c>
      <c r="AF50">
        <v>1</v>
      </c>
      <c r="AG50" t="s">
        <v>49</v>
      </c>
    </row>
    <row r="51" spans="1:33" ht="17.5" customHeight="1" x14ac:dyDescent="0.2">
      <c r="A51" s="9" t="s">
        <v>587</v>
      </c>
      <c r="B51" s="9">
        <v>1921</v>
      </c>
      <c r="C51" s="7">
        <v>8</v>
      </c>
      <c r="D51" s="7" t="s">
        <v>588</v>
      </c>
      <c r="G51" t="s">
        <v>1885</v>
      </c>
      <c r="H51" t="s">
        <v>422</v>
      </c>
      <c r="I51">
        <v>35</v>
      </c>
      <c r="J51">
        <v>1</v>
      </c>
      <c r="N51" t="s">
        <v>26</v>
      </c>
      <c r="S51">
        <v>1</v>
      </c>
      <c r="T51">
        <v>29</v>
      </c>
      <c r="Y51" s="231"/>
      <c r="AA51" t="s">
        <v>344</v>
      </c>
      <c r="AB51" t="s">
        <v>29</v>
      </c>
      <c r="AC51">
        <v>1</v>
      </c>
      <c r="AF51">
        <v>1</v>
      </c>
      <c r="AG51" t="s">
        <v>77</v>
      </c>
    </row>
    <row r="52" spans="1:33" ht="17.5" customHeight="1" x14ac:dyDescent="0.2">
      <c r="A52" s="9" t="s">
        <v>587</v>
      </c>
      <c r="B52" s="9">
        <v>1921</v>
      </c>
      <c r="C52" s="7"/>
      <c r="D52" s="7" t="s">
        <v>588</v>
      </c>
      <c r="H52">
        <v>5</v>
      </c>
      <c r="Y52" s="231"/>
    </row>
    <row r="53" spans="1:33" ht="17.5" customHeight="1" x14ac:dyDescent="0.2">
      <c r="A53" s="9" t="s">
        <v>587</v>
      </c>
      <c r="B53" s="9">
        <v>1921</v>
      </c>
      <c r="C53" s="7"/>
      <c r="D53" s="7" t="s">
        <v>588</v>
      </c>
      <c r="G53" t="s">
        <v>1</v>
      </c>
      <c r="H53" t="s">
        <v>0</v>
      </c>
      <c r="J53" t="s">
        <v>3</v>
      </c>
      <c r="N53" t="s">
        <v>2</v>
      </c>
      <c r="T53" t="s">
        <v>5</v>
      </c>
      <c r="Y53" s="231"/>
      <c r="AA53" t="s">
        <v>7</v>
      </c>
      <c r="AB53" t="s">
        <v>8</v>
      </c>
      <c r="AG53" t="s">
        <v>6</v>
      </c>
    </row>
    <row r="54" spans="1:33" ht="17.5" customHeight="1" x14ac:dyDescent="0.2">
      <c r="A54" s="9" t="s">
        <v>587</v>
      </c>
      <c r="B54" s="9">
        <v>1921</v>
      </c>
      <c r="C54" s="7">
        <v>9</v>
      </c>
      <c r="D54" s="7" t="s">
        <v>588</v>
      </c>
      <c r="F54">
        <v>8</v>
      </c>
      <c r="G54" t="s">
        <v>355</v>
      </c>
      <c r="H54" t="s">
        <v>1886</v>
      </c>
      <c r="I54">
        <v>36</v>
      </c>
      <c r="J54" t="s">
        <v>13</v>
      </c>
      <c r="K54">
        <v>1</v>
      </c>
      <c r="N54">
        <v>1</v>
      </c>
      <c r="T54">
        <v>44</v>
      </c>
      <c r="Y54" s="231"/>
      <c r="AA54" t="s">
        <v>1887</v>
      </c>
      <c r="AB54" t="s">
        <v>1888</v>
      </c>
      <c r="AC54">
        <v>1</v>
      </c>
      <c r="AG54" t="s">
        <v>438</v>
      </c>
    </row>
    <row r="55" spans="1:33" ht="17.5" customHeight="1" x14ac:dyDescent="0.2">
      <c r="A55" s="9" t="s">
        <v>587</v>
      </c>
      <c r="B55" s="9">
        <v>1921</v>
      </c>
      <c r="C55" s="7">
        <v>9</v>
      </c>
      <c r="D55" s="7" t="s">
        <v>588</v>
      </c>
      <c r="G55" t="s">
        <v>355</v>
      </c>
      <c r="H55" t="s">
        <v>1889</v>
      </c>
      <c r="I55">
        <v>37</v>
      </c>
      <c r="J55">
        <v>1</v>
      </c>
      <c r="N55" t="s">
        <v>18</v>
      </c>
      <c r="O55">
        <v>1</v>
      </c>
      <c r="T55">
        <v>29</v>
      </c>
      <c r="Y55" s="231"/>
      <c r="AA55" t="s">
        <v>50</v>
      </c>
      <c r="AB55" t="s">
        <v>20</v>
      </c>
      <c r="AG55" t="s">
        <v>1890</v>
      </c>
    </row>
    <row r="56" spans="1:33" ht="17.5" customHeight="1" x14ac:dyDescent="0.2">
      <c r="A56" s="9" t="s">
        <v>587</v>
      </c>
      <c r="B56" s="9">
        <v>1921</v>
      </c>
      <c r="C56" s="7"/>
      <c r="D56" s="7" t="s">
        <v>588</v>
      </c>
      <c r="H56">
        <v>2</v>
      </c>
      <c r="Y56" s="231"/>
    </row>
    <row r="57" spans="1:33" ht="17.5" customHeight="1" x14ac:dyDescent="0.2">
      <c r="A57" s="9" t="s">
        <v>587</v>
      </c>
      <c r="B57" s="9">
        <v>1921</v>
      </c>
      <c r="C57" s="7"/>
      <c r="D57" s="7" t="s">
        <v>588</v>
      </c>
      <c r="G57" t="s">
        <v>1</v>
      </c>
      <c r="H57" t="s">
        <v>0</v>
      </c>
      <c r="J57" t="s">
        <v>3</v>
      </c>
      <c r="N57" t="s">
        <v>2</v>
      </c>
      <c r="T57" t="s">
        <v>5</v>
      </c>
      <c r="Y57" s="231"/>
      <c r="AA57" t="s">
        <v>7</v>
      </c>
      <c r="AB57" t="s">
        <v>8</v>
      </c>
      <c r="AG57" t="s">
        <v>6</v>
      </c>
    </row>
    <row r="58" spans="1:33" s="55" customFormat="1" ht="17.5" customHeight="1" x14ac:dyDescent="0.2">
      <c r="A58" s="226" t="s">
        <v>587</v>
      </c>
      <c r="B58" s="226">
        <v>1921</v>
      </c>
      <c r="C58" s="227">
        <v>10</v>
      </c>
      <c r="D58" s="227" t="s">
        <v>588</v>
      </c>
      <c r="F58" s="55">
        <v>12</v>
      </c>
      <c r="G58" s="55" t="s">
        <v>1892</v>
      </c>
      <c r="H58" s="55" t="s">
        <v>1891</v>
      </c>
      <c r="I58" s="55">
        <v>38</v>
      </c>
      <c r="J58" s="55">
        <v>1</v>
      </c>
      <c r="N58" s="55">
        <v>1</v>
      </c>
      <c r="T58" s="55">
        <v>66</v>
      </c>
      <c r="Y58" s="243"/>
      <c r="AA58" s="55" t="s">
        <v>20</v>
      </c>
      <c r="AB58" s="55" t="s">
        <v>20</v>
      </c>
      <c r="AG58" s="55" t="s">
        <v>1458</v>
      </c>
    </row>
    <row r="59" spans="1:33" ht="17.5" customHeight="1" x14ac:dyDescent="0.2">
      <c r="A59" s="9" t="s">
        <v>587</v>
      </c>
      <c r="B59" s="9">
        <v>1921</v>
      </c>
      <c r="C59" s="7">
        <v>10</v>
      </c>
      <c r="D59" s="7" t="s">
        <v>588</v>
      </c>
      <c r="G59" t="s">
        <v>1893</v>
      </c>
      <c r="H59" t="s">
        <v>1232</v>
      </c>
      <c r="I59">
        <v>39</v>
      </c>
      <c r="J59" t="s">
        <v>13</v>
      </c>
      <c r="K59">
        <v>1</v>
      </c>
      <c r="N59" t="s">
        <v>1847</v>
      </c>
      <c r="R59">
        <v>1</v>
      </c>
      <c r="T59">
        <v>50</v>
      </c>
      <c r="Y59" s="231"/>
      <c r="AA59" t="s">
        <v>1894</v>
      </c>
      <c r="AB59" t="s">
        <v>16</v>
      </c>
      <c r="AC59">
        <v>1</v>
      </c>
      <c r="AG59" t="s">
        <v>778</v>
      </c>
    </row>
    <row r="60" spans="1:33" ht="17.5" customHeight="1" x14ac:dyDescent="0.2">
      <c r="A60" s="9" t="s">
        <v>587</v>
      </c>
      <c r="B60" s="9">
        <v>1921</v>
      </c>
      <c r="C60" s="7">
        <v>10</v>
      </c>
      <c r="D60" s="7" t="s">
        <v>588</v>
      </c>
      <c r="G60" t="s">
        <v>1893</v>
      </c>
      <c r="H60" t="s">
        <v>336</v>
      </c>
      <c r="I60">
        <v>40</v>
      </c>
      <c r="J60">
        <v>1</v>
      </c>
      <c r="N60" t="s">
        <v>22</v>
      </c>
      <c r="P60">
        <v>1</v>
      </c>
      <c r="T60">
        <v>42</v>
      </c>
      <c r="Y60" s="231"/>
      <c r="AA60" t="s">
        <v>1895</v>
      </c>
      <c r="AB60" t="s">
        <v>20</v>
      </c>
      <c r="AG60" t="s">
        <v>1458</v>
      </c>
    </row>
    <row r="61" spans="1:33" ht="17.5" customHeight="1" x14ac:dyDescent="0.2">
      <c r="A61" s="9" t="s">
        <v>587</v>
      </c>
      <c r="B61" s="9">
        <v>1921</v>
      </c>
      <c r="C61" s="7">
        <v>10</v>
      </c>
      <c r="D61" s="7" t="s">
        <v>588</v>
      </c>
      <c r="G61" t="s">
        <v>1893</v>
      </c>
      <c r="H61" t="s">
        <v>464</v>
      </c>
      <c r="I61">
        <v>41</v>
      </c>
      <c r="J61">
        <v>1</v>
      </c>
      <c r="N61" t="s">
        <v>1852</v>
      </c>
      <c r="R61">
        <v>1</v>
      </c>
      <c r="T61">
        <v>18</v>
      </c>
      <c r="Y61" s="231"/>
      <c r="AA61" t="s">
        <v>50</v>
      </c>
      <c r="AB61" t="s">
        <v>20</v>
      </c>
      <c r="AG61" t="s">
        <v>1896</v>
      </c>
    </row>
    <row r="62" spans="1:33" ht="17.5" customHeight="1" x14ac:dyDescent="0.2">
      <c r="A62" s="9" t="s">
        <v>587</v>
      </c>
      <c r="B62" s="9">
        <v>1921</v>
      </c>
      <c r="C62" s="7">
        <v>10</v>
      </c>
      <c r="D62" s="7" t="s">
        <v>588</v>
      </c>
      <c r="G62" t="s">
        <v>1897</v>
      </c>
      <c r="H62" t="s">
        <v>46</v>
      </c>
      <c r="I62">
        <v>42</v>
      </c>
      <c r="J62">
        <v>1</v>
      </c>
      <c r="N62" t="s">
        <v>1241</v>
      </c>
      <c r="R62">
        <v>1</v>
      </c>
      <c r="T62">
        <v>40</v>
      </c>
      <c r="Y62" s="231"/>
      <c r="AA62" t="s">
        <v>20</v>
      </c>
      <c r="AB62" t="s">
        <v>20</v>
      </c>
      <c r="AF62">
        <v>1</v>
      </c>
      <c r="AG62" t="s">
        <v>49</v>
      </c>
    </row>
    <row r="63" spans="1:33" ht="17.5" customHeight="1" x14ac:dyDescent="0.2">
      <c r="A63" s="9" t="s">
        <v>587</v>
      </c>
      <c r="B63" s="9">
        <v>1921</v>
      </c>
      <c r="C63" s="7">
        <v>10</v>
      </c>
      <c r="D63" s="7" t="s">
        <v>588</v>
      </c>
      <c r="G63" t="s">
        <v>1899</v>
      </c>
      <c r="H63" t="s">
        <v>1898</v>
      </c>
      <c r="I63">
        <v>43</v>
      </c>
      <c r="J63">
        <v>1</v>
      </c>
      <c r="N63" t="s">
        <v>58</v>
      </c>
      <c r="R63">
        <v>1</v>
      </c>
      <c r="T63">
        <v>19</v>
      </c>
      <c r="Y63" s="231"/>
      <c r="AA63" t="s">
        <v>1901</v>
      </c>
      <c r="AB63" t="s">
        <v>20</v>
      </c>
      <c r="AC63">
        <v>1</v>
      </c>
      <c r="AG63" t="s">
        <v>1900</v>
      </c>
    </row>
    <row r="64" spans="1:33" ht="17.5" customHeight="1" x14ac:dyDescent="0.2">
      <c r="A64" s="9" t="s">
        <v>587</v>
      </c>
      <c r="B64" s="9">
        <v>1921</v>
      </c>
      <c r="C64" s="7"/>
      <c r="D64" s="7" t="s">
        <v>588</v>
      </c>
      <c r="H64">
        <v>6</v>
      </c>
      <c r="Y64" s="231"/>
    </row>
    <row r="65" spans="1:33" ht="17.5" customHeight="1" x14ac:dyDescent="0.2">
      <c r="A65" s="9" t="s">
        <v>587</v>
      </c>
      <c r="B65" s="9">
        <v>1921</v>
      </c>
      <c r="C65" s="7"/>
      <c r="D65" s="7" t="s">
        <v>588</v>
      </c>
      <c r="G65" t="s">
        <v>1</v>
      </c>
      <c r="H65" t="s">
        <v>0</v>
      </c>
      <c r="J65" t="s">
        <v>3</v>
      </c>
      <c r="N65" t="s">
        <v>2</v>
      </c>
      <c r="T65" t="s">
        <v>5</v>
      </c>
      <c r="Y65" s="231"/>
      <c r="AA65" t="s">
        <v>7</v>
      </c>
      <c r="AB65" t="s">
        <v>8</v>
      </c>
      <c r="AG65" t="s">
        <v>6</v>
      </c>
    </row>
    <row r="66" spans="1:33" ht="17.5" customHeight="1" x14ac:dyDescent="0.2">
      <c r="A66" s="9" t="s">
        <v>587</v>
      </c>
      <c r="B66" s="9">
        <v>1921</v>
      </c>
      <c r="C66" s="7">
        <v>11</v>
      </c>
      <c r="D66" s="7" t="s">
        <v>588</v>
      </c>
      <c r="F66">
        <v>13</v>
      </c>
      <c r="G66" t="s">
        <v>430</v>
      </c>
      <c r="H66" t="s">
        <v>464</v>
      </c>
      <c r="I66">
        <v>44</v>
      </c>
      <c r="J66" t="s">
        <v>13</v>
      </c>
      <c r="K66">
        <v>1</v>
      </c>
      <c r="N66" t="s">
        <v>782</v>
      </c>
      <c r="R66">
        <v>1</v>
      </c>
      <c r="T66">
        <v>81</v>
      </c>
      <c r="Y66" s="231"/>
      <c r="AA66" t="s">
        <v>1903</v>
      </c>
      <c r="AB66" t="s">
        <v>20</v>
      </c>
      <c r="AG66" t="s">
        <v>1902</v>
      </c>
    </row>
    <row r="67" spans="1:33" ht="17.5" customHeight="1" x14ac:dyDescent="0.2">
      <c r="A67" s="9" t="s">
        <v>587</v>
      </c>
      <c r="B67" s="9">
        <v>1921</v>
      </c>
      <c r="C67" s="7">
        <v>11</v>
      </c>
      <c r="D67" s="7" t="s">
        <v>588</v>
      </c>
      <c r="G67" t="s">
        <v>430</v>
      </c>
      <c r="H67" t="s">
        <v>386</v>
      </c>
      <c r="I67">
        <v>45</v>
      </c>
      <c r="J67" t="s">
        <v>13</v>
      </c>
      <c r="K67">
        <v>1</v>
      </c>
      <c r="N67" t="s">
        <v>51</v>
      </c>
      <c r="Q67">
        <v>1</v>
      </c>
      <c r="T67">
        <v>49</v>
      </c>
      <c r="Y67" s="231"/>
      <c r="AA67" t="s">
        <v>385</v>
      </c>
      <c r="AB67" t="s">
        <v>16</v>
      </c>
      <c r="AC67">
        <v>1</v>
      </c>
      <c r="AG67" t="s">
        <v>368</v>
      </c>
    </row>
    <row r="68" spans="1:33" ht="17.5" customHeight="1" x14ac:dyDescent="0.2">
      <c r="A68" s="9" t="s">
        <v>587</v>
      </c>
      <c r="B68" s="9">
        <v>1921</v>
      </c>
      <c r="C68" s="7">
        <v>11</v>
      </c>
      <c r="D68" s="7" t="s">
        <v>588</v>
      </c>
      <c r="G68" t="s">
        <v>430</v>
      </c>
      <c r="H68" t="s">
        <v>464</v>
      </c>
      <c r="I68">
        <v>46</v>
      </c>
      <c r="J68" t="s">
        <v>13</v>
      </c>
      <c r="K68">
        <v>1</v>
      </c>
      <c r="N68" t="s">
        <v>51</v>
      </c>
      <c r="Q68">
        <v>1</v>
      </c>
      <c r="T68">
        <v>38</v>
      </c>
      <c r="Y68" s="231"/>
      <c r="AA68" t="s">
        <v>1904</v>
      </c>
      <c r="AB68" t="s">
        <v>1905</v>
      </c>
      <c r="AC68">
        <v>1</v>
      </c>
      <c r="AG68" t="s">
        <v>368</v>
      </c>
    </row>
    <row r="69" spans="1:33" ht="17.5" customHeight="1" x14ac:dyDescent="0.2">
      <c r="A69" s="9" t="s">
        <v>587</v>
      </c>
      <c r="B69" s="9">
        <v>1921</v>
      </c>
      <c r="C69" s="7">
        <v>11</v>
      </c>
      <c r="D69" s="7" t="s">
        <v>588</v>
      </c>
      <c r="G69" t="s">
        <v>430</v>
      </c>
      <c r="H69" t="s">
        <v>653</v>
      </c>
      <c r="I69">
        <v>47</v>
      </c>
      <c r="J69">
        <v>1</v>
      </c>
      <c r="N69" t="s">
        <v>1906</v>
      </c>
      <c r="R69">
        <v>1</v>
      </c>
      <c r="T69">
        <v>32</v>
      </c>
      <c r="Y69" s="231"/>
      <c r="AA69" t="s">
        <v>20</v>
      </c>
      <c r="AB69" t="s">
        <v>20</v>
      </c>
      <c r="AG69" t="s">
        <v>1907</v>
      </c>
    </row>
    <row r="70" spans="1:33" ht="17.5" customHeight="1" x14ac:dyDescent="0.2">
      <c r="A70" s="9" t="s">
        <v>587</v>
      </c>
      <c r="B70" s="9">
        <v>1921</v>
      </c>
      <c r="C70" s="7"/>
      <c r="D70" s="7" t="s">
        <v>588</v>
      </c>
      <c r="H70">
        <v>4</v>
      </c>
      <c r="Y70" s="231"/>
    </row>
    <row r="71" spans="1:33" ht="17.5" customHeight="1" x14ac:dyDescent="0.2">
      <c r="A71" s="9" t="s">
        <v>587</v>
      </c>
      <c r="B71" s="9">
        <v>1921</v>
      </c>
      <c r="C71" s="7"/>
      <c r="D71" s="7" t="s">
        <v>588</v>
      </c>
      <c r="G71" t="s">
        <v>1</v>
      </c>
      <c r="H71" t="s">
        <v>0</v>
      </c>
      <c r="J71" t="s">
        <v>3</v>
      </c>
      <c r="N71" t="s">
        <v>2</v>
      </c>
      <c r="T71" t="s">
        <v>5</v>
      </c>
      <c r="Y71" s="231"/>
      <c r="AA71" t="s">
        <v>7</v>
      </c>
      <c r="AB71" t="s">
        <v>8</v>
      </c>
      <c r="AG71" t="s">
        <v>6</v>
      </c>
    </row>
    <row r="72" spans="1:33" ht="17.5" customHeight="1" x14ac:dyDescent="0.2">
      <c r="A72" s="9" t="s">
        <v>587</v>
      </c>
      <c r="B72" s="9">
        <v>1921</v>
      </c>
      <c r="C72" s="7">
        <v>12</v>
      </c>
      <c r="D72" s="7" t="s">
        <v>588</v>
      </c>
      <c r="F72">
        <v>14</v>
      </c>
      <c r="G72" t="s">
        <v>1909</v>
      </c>
      <c r="H72" t="s">
        <v>1908</v>
      </c>
      <c r="I72">
        <v>48</v>
      </c>
      <c r="K72">
        <v>1</v>
      </c>
      <c r="N72">
        <v>1</v>
      </c>
      <c r="T72">
        <v>60</v>
      </c>
      <c r="Y72" s="231"/>
      <c r="AA72" t="s">
        <v>1910</v>
      </c>
      <c r="AB72" t="s">
        <v>1911</v>
      </c>
      <c r="AC72">
        <v>1</v>
      </c>
      <c r="AF72">
        <v>1</v>
      </c>
      <c r="AG72" t="s">
        <v>14</v>
      </c>
    </row>
    <row r="73" spans="1:33" ht="17.5" customHeight="1" x14ac:dyDescent="0.2">
      <c r="A73" s="9" t="s">
        <v>587</v>
      </c>
      <c r="B73" s="9">
        <v>1921</v>
      </c>
      <c r="C73" s="7">
        <v>12</v>
      </c>
      <c r="D73" s="7" t="s">
        <v>588</v>
      </c>
      <c r="G73" t="s">
        <v>1909</v>
      </c>
      <c r="H73" t="s">
        <v>1912</v>
      </c>
      <c r="I73">
        <v>49</v>
      </c>
      <c r="J73">
        <v>1</v>
      </c>
      <c r="N73" t="s">
        <v>22</v>
      </c>
      <c r="P73">
        <v>1</v>
      </c>
      <c r="T73">
        <v>29</v>
      </c>
      <c r="Y73" s="231"/>
      <c r="AA73" t="s">
        <v>489</v>
      </c>
      <c r="AB73" t="s">
        <v>20</v>
      </c>
      <c r="AF73">
        <v>1</v>
      </c>
      <c r="AG73" t="s">
        <v>14</v>
      </c>
    </row>
    <row r="74" spans="1:33" ht="17.5" customHeight="1" x14ac:dyDescent="0.2">
      <c r="A74" s="9" t="s">
        <v>587</v>
      </c>
      <c r="B74" s="9">
        <v>1921</v>
      </c>
      <c r="C74" s="7">
        <v>12</v>
      </c>
      <c r="D74" s="7" t="s">
        <v>588</v>
      </c>
      <c r="G74" t="s">
        <v>1909</v>
      </c>
      <c r="H74" t="s">
        <v>1230</v>
      </c>
      <c r="I74">
        <v>50</v>
      </c>
      <c r="J74">
        <v>1</v>
      </c>
      <c r="N74" t="s">
        <v>22</v>
      </c>
      <c r="P74">
        <v>1</v>
      </c>
      <c r="T74">
        <v>27</v>
      </c>
      <c r="Y74" s="231"/>
      <c r="AA74" t="s">
        <v>489</v>
      </c>
      <c r="AB74" t="s">
        <v>20</v>
      </c>
      <c r="AF74">
        <v>1</v>
      </c>
      <c r="AG74" t="s">
        <v>14</v>
      </c>
    </row>
    <row r="75" spans="1:33" ht="17.5" customHeight="1" x14ac:dyDescent="0.2">
      <c r="A75" s="9" t="s">
        <v>587</v>
      </c>
      <c r="B75" s="9">
        <v>1921</v>
      </c>
      <c r="C75" s="7">
        <v>12</v>
      </c>
      <c r="D75" s="7" t="s">
        <v>588</v>
      </c>
      <c r="G75" t="s">
        <v>1909</v>
      </c>
      <c r="H75" t="s">
        <v>1913</v>
      </c>
      <c r="I75">
        <v>51</v>
      </c>
      <c r="J75">
        <v>1</v>
      </c>
      <c r="N75" t="s">
        <v>22</v>
      </c>
      <c r="P75">
        <v>1</v>
      </c>
      <c r="T75">
        <v>24</v>
      </c>
      <c r="Y75" s="231"/>
      <c r="AA75" t="s">
        <v>1914</v>
      </c>
      <c r="AB75" t="s">
        <v>1915</v>
      </c>
      <c r="AC75">
        <v>1</v>
      </c>
      <c r="AF75">
        <v>1</v>
      </c>
      <c r="AG75" t="s">
        <v>14</v>
      </c>
    </row>
    <row r="76" spans="1:33" ht="17.5" customHeight="1" x14ac:dyDescent="0.2">
      <c r="A76" s="9" t="s">
        <v>587</v>
      </c>
      <c r="B76" s="9">
        <v>1921</v>
      </c>
      <c r="C76" s="7">
        <v>12</v>
      </c>
      <c r="D76" s="7" t="s">
        <v>588</v>
      </c>
      <c r="G76" t="s">
        <v>1909</v>
      </c>
      <c r="H76" t="s">
        <v>1916</v>
      </c>
      <c r="I76">
        <v>52</v>
      </c>
      <c r="J76">
        <v>1</v>
      </c>
      <c r="N76" t="s">
        <v>22</v>
      </c>
      <c r="P76">
        <v>1</v>
      </c>
      <c r="T76">
        <v>21</v>
      </c>
      <c r="Y76" s="231"/>
      <c r="AA76" t="s">
        <v>1917</v>
      </c>
      <c r="AB76" t="s">
        <v>1918</v>
      </c>
      <c r="AC76">
        <v>1</v>
      </c>
      <c r="AG76" t="s">
        <v>1765</v>
      </c>
    </row>
    <row r="77" spans="1:33" ht="17.5" customHeight="1" x14ac:dyDescent="0.2">
      <c r="A77" s="9" t="s">
        <v>587</v>
      </c>
      <c r="B77" s="9">
        <v>1921</v>
      </c>
      <c r="C77" s="7">
        <v>12</v>
      </c>
      <c r="D77" s="7" t="s">
        <v>588</v>
      </c>
      <c r="H77">
        <v>5</v>
      </c>
      <c r="Y77" s="231"/>
    </row>
    <row r="78" spans="1:33" ht="17.5" customHeight="1" x14ac:dyDescent="0.2">
      <c r="A78" s="9" t="s">
        <v>587</v>
      </c>
      <c r="B78" s="9">
        <v>1921</v>
      </c>
      <c r="C78" s="7"/>
      <c r="D78" s="7" t="s">
        <v>588</v>
      </c>
      <c r="G78" t="s">
        <v>1</v>
      </c>
      <c r="H78" t="s">
        <v>0</v>
      </c>
      <c r="J78" t="s">
        <v>3</v>
      </c>
      <c r="N78" t="s">
        <v>2</v>
      </c>
      <c r="T78" t="s">
        <v>5</v>
      </c>
      <c r="Y78" s="231"/>
      <c r="AA78" t="s">
        <v>7</v>
      </c>
      <c r="AB78" t="s">
        <v>8</v>
      </c>
      <c r="AG78" t="s">
        <v>6</v>
      </c>
    </row>
    <row r="79" spans="1:33" ht="17.5" customHeight="1" x14ac:dyDescent="0.2">
      <c r="A79" s="9" t="s">
        <v>587</v>
      </c>
      <c r="B79" s="9">
        <v>1921</v>
      </c>
      <c r="C79" s="7"/>
      <c r="D79" s="7" t="s">
        <v>588</v>
      </c>
      <c r="F79">
        <v>15</v>
      </c>
      <c r="G79" t="s">
        <v>1919</v>
      </c>
      <c r="H79" t="s">
        <v>423</v>
      </c>
      <c r="I79">
        <v>53</v>
      </c>
      <c r="J79" t="s">
        <v>13</v>
      </c>
      <c r="K79">
        <v>1</v>
      </c>
      <c r="N79">
        <v>1</v>
      </c>
      <c r="T79">
        <v>49</v>
      </c>
      <c r="Y79" s="231"/>
      <c r="AA79" t="s">
        <v>1920</v>
      </c>
      <c r="AB79" t="s">
        <v>1921</v>
      </c>
      <c r="AC79">
        <v>1</v>
      </c>
      <c r="AD79">
        <v>1</v>
      </c>
      <c r="AF79">
        <v>1</v>
      </c>
      <c r="AG79" t="s">
        <v>1346</v>
      </c>
    </row>
    <row r="80" spans="1:33" ht="17.5" customHeight="1" x14ac:dyDescent="0.2">
      <c r="A80" s="9" t="s">
        <v>587</v>
      </c>
      <c r="B80" s="9">
        <v>1921</v>
      </c>
      <c r="C80" s="7">
        <v>13</v>
      </c>
      <c r="D80" s="7" t="s">
        <v>588</v>
      </c>
      <c r="G80" t="s">
        <v>1919</v>
      </c>
      <c r="H80" t="s">
        <v>641</v>
      </c>
      <c r="I80">
        <v>54</v>
      </c>
      <c r="J80">
        <v>1</v>
      </c>
      <c r="N80" t="s">
        <v>18</v>
      </c>
      <c r="O80">
        <v>1</v>
      </c>
      <c r="T80">
        <v>49</v>
      </c>
      <c r="Y80" s="231"/>
      <c r="AA80" t="s">
        <v>50</v>
      </c>
      <c r="AB80" t="s">
        <v>50</v>
      </c>
      <c r="AF80">
        <v>1</v>
      </c>
      <c r="AG80" t="s">
        <v>718</v>
      </c>
    </row>
    <row r="81" spans="1:33" ht="17.5" customHeight="1" x14ac:dyDescent="0.2">
      <c r="A81" s="9" t="s">
        <v>587</v>
      </c>
      <c r="B81" s="9">
        <v>1921</v>
      </c>
      <c r="C81" s="7">
        <v>13</v>
      </c>
      <c r="D81" s="7" t="s">
        <v>588</v>
      </c>
      <c r="G81" t="s">
        <v>1919</v>
      </c>
      <c r="H81" t="s">
        <v>1922</v>
      </c>
      <c r="I81">
        <v>55</v>
      </c>
      <c r="J81" t="s">
        <v>13</v>
      </c>
      <c r="K81">
        <v>1</v>
      </c>
      <c r="N81" t="s">
        <v>51</v>
      </c>
      <c r="Q81">
        <v>1</v>
      </c>
      <c r="T81">
        <v>24</v>
      </c>
      <c r="Y81" s="231"/>
      <c r="AA81" t="s">
        <v>1923</v>
      </c>
      <c r="AB81" t="s">
        <v>1143</v>
      </c>
      <c r="AC81">
        <v>1</v>
      </c>
      <c r="AF81">
        <v>1</v>
      </c>
      <c r="AG81" t="s">
        <v>49</v>
      </c>
    </row>
    <row r="82" spans="1:33" ht="17.5" customHeight="1" x14ac:dyDescent="0.2">
      <c r="A82" s="9" t="s">
        <v>587</v>
      </c>
      <c r="B82" s="9">
        <v>1921</v>
      </c>
      <c r="C82" s="7">
        <v>13</v>
      </c>
      <c r="D82" s="7" t="s">
        <v>588</v>
      </c>
      <c r="G82" t="s">
        <v>1919</v>
      </c>
      <c r="H82" t="s">
        <v>1924</v>
      </c>
      <c r="I82">
        <v>56</v>
      </c>
      <c r="J82" t="s">
        <v>13</v>
      </c>
      <c r="K82">
        <v>1</v>
      </c>
      <c r="N82" t="s">
        <v>51</v>
      </c>
      <c r="Q82">
        <v>1</v>
      </c>
      <c r="T82">
        <v>22</v>
      </c>
      <c r="Y82" s="231"/>
      <c r="AA82" t="s">
        <v>1925</v>
      </c>
      <c r="AB82" t="s">
        <v>1926</v>
      </c>
      <c r="AC82">
        <v>1</v>
      </c>
      <c r="AF82">
        <v>1</v>
      </c>
      <c r="AG82" t="s">
        <v>49</v>
      </c>
    </row>
    <row r="83" spans="1:33" ht="17.5" customHeight="1" x14ac:dyDescent="0.2">
      <c r="A83" s="9" t="s">
        <v>587</v>
      </c>
      <c r="B83" s="9">
        <v>1921</v>
      </c>
      <c r="C83" s="7">
        <v>13</v>
      </c>
      <c r="D83" s="7" t="s">
        <v>588</v>
      </c>
      <c r="G83" t="s">
        <v>1927</v>
      </c>
      <c r="H83" t="s">
        <v>1510</v>
      </c>
      <c r="I83">
        <v>57</v>
      </c>
      <c r="J83">
        <v>1</v>
      </c>
      <c r="N83" t="s">
        <v>1928</v>
      </c>
      <c r="R83">
        <v>1</v>
      </c>
      <c r="T83">
        <v>60</v>
      </c>
      <c r="Y83" s="231"/>
      <c r="AA83" t="s">
        <v>407</v>
      </c>
      <c r="AB83" t="s">
        <v>1929</v>
      </c>
      <c r="AF83">
        <v>1</v>
      </c>
      <c r="AG83" t="s">
        <v>718</v>
      </c>
    </row>
    <row r="84" spans="1:33" x14ac:dyDescent="0.2">
      <c r="A84" s="9" t="s">
        <v>587</v>
      </c>
      <c r="B84" s="9">
        <v>1921</v>
      </c>
      <c r="C84" s="7">
        <v>13</v>
      </c>
      <c r="D84" s="7" t="s">
        <v>588</v>
      </c>
      <c r="H84">
        <v>5</v>
      </c>
    </row>
    <row r="85" spans="1:33" x14ac:dyDescent="0.2">
      <c r="A85" s="9" t="s">
        <v>587</v>
      </c>
      <c r="B85" s="9">
        <v>1921</v>
      </c>
      <c r="C85" s="7"/>
      <c r="D85" s="7" t="s">
        <v>588</v>
      </c>
      <c r="G85" t="s">
        <v>1</v>
      </c>
      <c r="H85" t="s">
        <v>0</v>
      </c>
      <c r="J85" t="s">
        <v>3</v>
      </c>
      <c r="N85" t="s">
        <v>2</v>
      </c>
      <c r="T85" t="s">
        <v>5</v>
      </c>
      <c r="AA85" t="s">
        <v>7</v>
      </c>
      <c r="AB85" t="s">
        <v>8</v>
      </c>
      <c r="AG85" t="s">
        <v>6</v>
      </c>
    </row>
    <row r="86" spans="1:33" x14ac:dyDescent="0.2">
      <c r="A86" s="9" t="s">
        <v>587</v>
      </c>
      <c r="B86" s="9">
        <v>1921</v>
      </c>
      <c r="C86" s="7"/>
      <c r="D86" s="7" t="s">
        <v>588</v>
      </c>
      <c r="F86">
        <v>16</v>
      </c>
      <c r="G86" t="s">
        <v>1931</v>
      </c>
      <c r="H86" t="s">
        <v>1930</v>
      </c>
      <c r="I86">
        <v>58</v>
      </c>
      <c r="J86" t="s">
        <v>13</v>
      </c>
      <c r="K86">
        <v>1</v>
      </c>
      <c r="N86">
        <v>1</v>
      </c>
      <c r="T86">
        <v>54</v>
      </c>
      <c r="AA86" t="s">
        <v>1932</v>
      </c>
      <c r="AB86" t="s">
        <v>8</v>
      </c>
      <c r="AC86">
        <v>1</v>
      </c>
      <c r="AD86">
        <v>1</v>
      </c>
      <c r="AG86" t="s">
        <v>778</v>
      </c>
    </row>
    <row r="87" spans="1:33" x14ac:dyDescent="0.2">
      <c r="A87" s="9" t="s">
        <v>587</v>
      </c>
      <c r="B87" s="9">
        <v>1921</v>
      </c>
      <c r="C87" s="7">
        <v>14</v>
      </c>
      <c r="D87" s="7" t="s">
        <v>588</v>
      </c>
      <c r="G87" t="s">
        <v>1931</v>
      </c>
      <c r="H87" t="s">
        <v>1933</v>
      </c>
      <c r="I87">
        <v>59</v>
      </c>
      <c r="J87">
        <v>1</v>
      </c>
      <c r="N87" t="s">
        <v>144</v>
      </c>
      <c r="R87">
        <v>1</v>
      </c>
      <c r="T87">
        <v>56</v>
      </c>
      <c r="AA87" t="s">
        <v>1934</v>
      </c>
      <c r="AB87" t="s">
        <v>20</v>
      </c>
      <c r="AC87">
        <v>1</v>
      </c>
      <c r="AG87" t="s">
        <v>778</v>
      </c>
    </row>
    <row r="88" spans="1:33" x14ac:dyDescent="0.2">
      <c r="A88" s="9" t="s">
        <v>587</v>
      </c>
      <c r="B88" s="9">
        <v>1921</v>
      </c>
      <c r="C88" s="7">
        <v>14</v>
      </c>
      <c r="D88" s="7" t="s">
        <v>588</v>
      </c>
      <c r="H88">
        <v>2</v>
      </c>
    </row>
    <row r="89" spans="1:33" x14ac:dyDescent="0.2">
      <c r="A89" s="9" t="s">
        <v>587</v>
      </c>
      <c r="B89" s="9">
        <v>1921</v>
      </c>
      <c r="C89" s="7"/>
      <c r="D89" s="7" t="s">
        <v>588</v>
      </c>
      <c r="G89" t="s">
        <v>1</v>
      </c>
      <c r="H89" t="s">
        <v>0</v>
      </c>
      <c r="J89" t="s">
        <v>3</v>
      </c>
      <c r="N89" t="s">
        <v>2</v>
      </c>
      <c r="T89" t="s">
        <v>5</v>
      </c>
      <c r="AA89" t="s">
        <v>7</v>
      </c>
      <c r="AB89" t="s">
        <v>8</v>
      </c>
      <c r="AG89" t="s">
        <v>6</v>
      </c>
    </row>
    <row r="90" spans="1:33" x14ac:dyDescent="0.2">
      <c r="A90" s="9" t="s">
        <v>587</v>
      </c>
      <c r="B90" s="9">
        <v>1921</v>
      </c>
      <c r="C90" s="7"/>
      <c r="D90" s="7" t="s">
        <v>588</v>
      </c>
      <c r="F90">
        <v>17</v>
      </c>
      <c r="G90" t="s">
        <v>1936</v>
      </c>
      <c r="H90" t="s">
        <v>1935</v>
      </c>
      <c r="I90">
        <v>60</v>
      </c>
      <c r="J90" t="s">
        <v>13</v>
      </c>
      <c r="K90">
        <v>1</v>
      </c>
      <c r="N90">
        <v>1</v>
      </c>
      <c r="T90">
        <v>63</v>
      </c>
      <c r="AA90" t="s">
        <v>1937</v>
      </c>
      <c r="AB90" t="s">
        <v>1938</v>
      </c>
      <c r="AC90">
        <v>1</v>
      </c>
      <c r="AF90">
        <v>1</v>
      </c>
      <c r="AG90" t="s">
        <v>49</v>
      </c>
    </row>
    <row r="91" spans="1:33" x14ac:dyDescent="0.2">
      <c r="A91" s="9" t="s">
        <v>587</v>
      </c>
      <c r="B91" s="9">
        <v>1921</v>
      </c>
      <c r="C91" s="7">
        <v>15</v>
      </c>
      <c r="D91" s="7" t="s">
        <v>588</v>
      </c>
      <c r="G91" t="s">
        <v>1936</v>
      </c>
      <c r="H91" t="s">
        <v>138</v>
      </c>
      <c r="I91">
        <v>61</v>
      </c>
      <c r="J91">
        <v>1</v>
      </c>
      <c r="N91" t="s">
        <v>18</v>
      </c>
      <c r="O91">
        <v>1</v>
      </c>
      <c r="T91">
        <v>62</v>
      </c>
      <c r="AA91" t="s">
        <v>468</v>
      </c>
      <c r="AB91" t="s">
        <v>20</v>
      </c>
      <c r="AF91">
        <v>1</v>
      </c>
      <c r="AG91" t="s">
        <v>49</v>
      </c>
    </row>
    <row r="92" spans="1:33" x14ac:dyDescent="0.2">
      <c r="A92" s="9" t="s">
        <v>587</v>
      </c>
      <c r="B92" s="9">
        <v>1921</v>
      </c>
      <c r="C92" s="7">
        <v>15</v>
      </c>
      <c r="D92" s="7" t="s">
        <v>588</v>
      </c>
      <c r="G92" t="s">
        <v>1936</v>
      </c>
      <c r="H92" t="s">
        <v>1939</v>
      </c>
      <c r="I92">
        <v>62</v>
      </c>
      <c r="J92">
        <v>1</v>
      </c>
      <c r="N92" t="s">
        <v>22</v>
      </c>
      <c r="P92">
        <v>1</v>
      </c>
      <c r="T92">
        <v>34</v>
      </c>
      <c r="AA92" t="s">
        <v>1940</v>
      </c>
      <c r="AB92" t="s">
        <v>1941</v>
      </c>
      <c r="AC92">
        <v>1</v>
      </c>
      <c r="AF92">
        <v>1</v>
      </c>
      <c r="AG92" t="s">
        <v>49</v>
      </c>
    </row>
    <row r="93" spans="1:33" x14ac:dyDescent="0.2">
      <c r="A93" s="9" t="s">
        <v>587</v>
      </c>
      <c r="B93" s="9">
        <v>1921</v>
      </c>
      <c r="C93" s="7"/>
      <c r="D93" s="7" t="s">
        <v>588</v>
      </c>
      <c r="H93">
        <v>3</v>
      </c>
    </row>
    <row r="94" spans="1:33" x14ac:dyDescent="0.2">
      <c r="A94" s="9" t="s">
        <v>587</v>
      </c>
      <c r="B94" s="9">
        <v>1921</v>
      </c>
      <c r="C94" s="7"/>
      <c r="D94" s="7" t="s">
        <v>588</v>
      </c>
      <c r="G94" t="s">
        <v>1</v>
      </c>
      <c r="H94" t="s">
        <v>0</v>
      </c>
      <c r="J94" t="s">
        <v>3</v>
      </c>
      <c r="N94" t="s">
        <v>2</v>
      </c>
      <c r="T94" t="s">
        <v>5</v>
      </c>
      <c r="AA94" t="s">
        <v>7</v>
      </c>
      <c r="AB94" t="s">
        <v>8</v>
      </c>
      <c r="AG94" t="s">
        <v>6</v>
      </c>
    </row>
    <row r="95" spans="1:33" x14ac:dyDescent="0.2">
      <c r="A95" s="9" t="s">
        <v>587</v>
      </c>
      <c r="B95" s="9">
        <v>1921</v>
      </c>
      <c r="C95" s="7">
        <v>16</v>
      </c>
      <c r="D95" s="7" t="s">
        <v>588</v>
      </c>
      <c r="F95">
        <v>18</v>
      </c>
      <c r="G95" t="s">
        <v>1943</v>
      </c>
      <c r="H95" t="s">
        <v>1942</v>
      </c>
      <c r="I95">
        <v>63</v>
      </c>
      <c r="J95" t="s">
        <v>13</v>
      </c>
      <c r="K95">
        <v>1</v>
      </c>
      <c r="N95">
        <v>1</v>
      </c>
      <c r="T95">
        <v>35</v>
      </c>
      <c r="AA95" t="s">
        <v>15</v>
      </c>
      <c r="AB95" t="s">
        <v>1944</v>
      </c>
      <c r="AC95">
        <v>1</v>
      </c>
      <c r="AG95" t="s">
        <v>989</v>
      </c>
    </row>
    <row r="96" spans="1:33" x14ac:dyDescent="0.2">
      <c r="A96" s="9" t="s">
        <v>587</v>
      </c>
      <c r="B96" s="9">
        <v>1921</v>
      </c>
      <c r="C96" s="7">
        <v>16</v>
      </c>
      <c r="D96" s="7" t="s">
        <v>588</v>
      </c>
      <c r="G96" t="s">
        <v>1943</v>
      </c>
      <c r="H96" t="s">
        <v>413</v>
      </c>
      <c r="I96">
        <v>64</v>
      </c>
      <c r="J96">
        <v>1</v>
      </c>
      <c r="N96" t="s">
        <v>18</v>
      </c>
      <c r="O96">
        <v>1</v>
      </c>
      <c r="T96">
        <v>36</v>
      </c>
      <c r="AA96" t="s">
        <v>47</v>
      </c>
      <c r="AB96" t="s">
        <v>20</v>
      </c>
      <c r="AG96" t="s">
        <v>134</v>
      </c>
    </row>
    <row r="97" spans="1:33" x14ac:dyDescent="0.2">
      <c r="A97" s="9" t="s">
        <v>587</v>
      </c>
      <c r="B97" s="9">
        <v>1921</v>
      </c>
      <c r="C97" s="7"/>
      <c r="D97" s="7" t="s">
        <v>588</v>
      </c>
      <c r="H97">
        <v>2</v>
      </c>
    </row>
    <row r="98" spans="1:33" x14ac:dyDescent="0.2">
      <c r="A98" s="9" t="s">
        <v>587</v>
      </c>
      <c r="B98" s="9">
        <v>1921</v>
      </c>
      <c r="C98" s="7"/>
      <c r="D98" s="7" t="s">
        <v>588</v>
      </c>
      <c r="G98" t="s">
        <v>1</v>
      </c>
      <c r="H98" t="s">
        <v>0</v>
      </c>
      <c r="J98" t="s">
        <v>3</v>
      </c>
      <c r="N98" t="s">
        <v>2</v>
      </c>
      <c r="T98" t="s">
        <v>5</v>
      </c>
      <c r="AA98" t="s">
        <v>7</v>
      </c>
      <c r="AB98" t="s">
        <v>8</v>
      </c>
      <c r="AG98" t="s">
        <v>6</v>
      </c>
    </row>
    <row r="99" spans="1:33" x14ac:dyDescent="0.2">
      <c r="A99" s="9" t="s">
        <v>587</v>
      </c>
      <c r="B99" s="9">
        <v>1921</v>
      </c>
      <c r="C99" s="7">
        <v>17</v>
      </c>
      <c r="D99" s="7" t="s">
        <v>588</v>
      </c>
      <c r="F99">
        <v>19</v>
      </c>
      <c r="G99" t="s">
        <v>787</v>
      </c>
      <c r="H99" t="s">
        <v>1232</v>
      </c>
      <c r="I99">
        <v>65</v>
      </c>
      <c r="J99" t="s">
        <v>13</v>
      </c>
      <c r="K99">
        <v>1</v>
      </c>
      <c r="N99">
        <v>1</v>
      </c>
      <c r="T99">
        <v>69</v>
      </c>
      <c r="AA99" t="s">
        <v>47</v>
      </c>
      <c r="AB99" t="s">
        <v>20</v>
      </c>
      <c r="AG99" t="s">
        <v>368</v>
      </c>
    </row>
    <row r="100" spans="1:33" x14ac:dyDescent="0.2">
      <c r="A100" s="9" t="s">
        <v>587</v>
      </c>
      <c r="B100" s="9">
        <v>1921</v>
      </c>
      <c r="C100" s="7">
        <v>17</v>
      </c>
      <c r="D100" s="7" t="s">
        <v>588</v>
      </c>
      <c r="G100" t="s">
        <v>787</v>
      </c>
      <c r="H100" t="s">
        <v>1898</v>
      </c>
      <c r="I100">
        <v>66</v>
      </c>
      <c r="J100">
        <v>1</v>
      </c>
      <c r="N100" t="s">
        <v>18</v>
      </c>
      <c r="O100">
        <v>1</v>
      </c>
      <c r="T100">
        <v>73</v>
      </c>
      <c r="AA100" t="s">
        <v>50</v>
      </c>
      <c r="AB100" t="s">
        <v>20</v>
      </c>
      <c r="AG100" t="s">
        <v>388</v>
      </c>
    </row>
    <row r="101" spans="1:33" x14ac:dyDescent="0.2">
      <c r="A101" s="9" t="s">
        <v>587</v>
      </c>
      <c r="B101" s="9">
        <v>1921</v>
      </c>
      <c r="C101" s="7">
        <v>17</v>
      </c>
      <c r="D101" s="7" t="s">
        <v>588</v>
      </c>
      <c r="G101" t="s">
        <v>1946</v>
      </c>
      <c r="H101" t="s">
        <v>1945</v>
      </c>
      <c r="I101">
        <v>67</v>
      </c>
      <c r="J101">
        <v>1</v>
      </c>
      <c r="N101" t="s">
        <v>22</v>
      </c>
      <c r="P101">
        <v>1</v>
      </c>
      <c r="T101">
        <v>44</v>
      </c>
      <c r="AA101" t="s">
        <v>50</v>
      </c>
      <c r="AB101" t="s">
        <v>20</v>
      </c>
      <c r="AG101" t="s">
        <v>1947</v>
      </c>
    </row>
    <row r="102" spans="1:33" x14ac:dyDescent="0.2">
      <c r="A102" s="9" t="s">
        <v>587</v>
      </c>
      <c r="B102" s="9">
        <v>1921</v>
      </c>
      <c r="C102" s="7">
        <v>17</v>
      </c>
      <c r="D102" s="7" t="s">
        <v>588</v>
      </c>
      <c r="G102" t="s">
        <v>1946</v>
      </c>
      <c r="H102" t="s">
        <v>464</v>
      </c>
      <c r="I102">
        <v>68</v>
      </c>
      <c r="J102" t="s">
        <v>13</v>
      </c>
      <c r="K102">
        <v>1</v>
      </c>
      <c r="N102" t="s">
        <v>1847</v>
      </c>
      <c r="R102">
        <v>1</v>
      </c>
      <c r="T102">
        <v>63</v>
      </c>
      <c r="AA102" t="s">
        <v>1949</v>
      </c>
      <c r="AB102" t="s">
        <v>1950</v>
      </c>
      <c r="AC102">
        <v>1</v>
      </c>
      <c r="AG102" t="s">
        <v>1948</v>
      </c>
    </row>
    <row r="103" spans="1:33" x14ac:dyDescent="0.2">
      <c r="A103" s="9" t="s">
        <v>587</v>
      </c>
      <c r="B103" s="9">
        <v>1921</v>
      </c>
      <c r="C103" s="7">
        <v>17</v>
      </c>
      <c r="D103" s="7" t="s">
        <v>588</v>
      </c>
      <c r="G103" t="s">
        <v>787</v>
      </c>
      <c r="H103" t="s">
        <v>1951</v>
      </c>
      <c r="I103">
        <v>69</v>
      </c>
      <c r="J103">
        <v>1</v>
      </c>
      <c r="N103" t="s">
        <v>22</v>
      </c>
      <c r="P103">
        <v>1</v>
      </c>
      <c r="T103">
        <v>41</v>
      </c>
      <c r="AA103" t="s">
        <v>1952</v>
      </c>
      <c r="AB103" t="s">
        <v>1953</v>
      </c>
      <c r="AC103">
        <v>1</v>
      </c>
      <c r="AG103" t="s">
        <v>388</v>
      </c>
    </row>
    <row r="104" spans="1:33" x14ac:dyDescent="0.2">
      <c r="A104" s="9" t="s">
        <v>587</v>
      </c>
      <c r="B104" s="9">
        <v>1921</v>
      </c>
      <c r="C104" s="7"/>
      <c r="D104" s="7" t="s">
        <v>588</v>
      </c>
      <c r="H104">
        <v>5</v>
      </c>
    </row>
    <row r="105" spans="1:33" x14ac:dyDescent="0.2">
      <c r="A105" s="9" t="s">
        <v>587</v>
      </c>
      <c r="B105" s="9">
        <v>1921</v>
      </c>
      <c r="C105" s="7"/>
      <c r="D105" s="7" t="s">
        <v>588</v>
      </c>
      <c r="G105" t="s">
        <v>1</v>
      </c>
      <c r="H105" t="s">
        <v>0</v>
      </c>
      <c r="J105" t="s">
        <v>3</v>
      </c>
      <c r="N105" t="s">
        <v>2</v>
      </c>
      <c r="T105" t="s">
        <v>5</v>
      </c>
      <c r="AA105" t="s">
        <v>7</v>
      </c>
      <c r="AB105" t="s">
        <v>8</v>
      </c>
      <c r="AG105" t="s">
        <v>6</v>
      </c>
    </row>
    <row r="106" spans="1:33" x14ac:dyDescent="0.2">
      <c r="A106" s="9" t="s">
        <v>587</v>
      </c>
      <c r="B106" s="9">
        <v>1921</v>
      </c>
      <c r="C106" s="7">
        <v>18</v>
      </c>
      <c r="D106" s="7" t="s">
        <v>588</v>
      </c>
      <c r="F106">
        <v>20</v>
      </c>
      <c r="G106" t="s">
        <v>1955</v>
      </c>
      <c r="H106" t="s">
        <v>1954</v>
      </c>
      <c r="I106">
        <v>70</v>
      </c>
      <c r="K106">
        <v>1</v>
      </c>
      <c r="N106">
        <v>1</v>
      </c>
      <c r="T106">
        <v>34</v>
      </c>
      <c r="AA106" t="s">
        <v>20</v>
      </c>
      <c r="AB106" t="s">
        <v>1957</v>
      </c>
      <c r="AC106">
        <v>1</v>
      </c>
      <c r="AG106" t="s">
        <v>1956</v>
      </c>
    </row>
    <row r="107" spans="1:33" x14ac:dyDescent="0.2">
      <c r="A107" s="9" t="s">
        <v>587</v>
      </c>
      <c r="B107" s="9">
        <v>1921</v>
      </c>
      <c r="C107" s="7">
        <v>18</v>
      </c>
      <c r="D107" s="7" t="s">
        <v>588</v>
      </c>
      <c r="G107" t="s">
        <v>1955</v>
      </c>
      <c r="H107" t="s">
        <v>1958</v>
      </c>
      <c r="I107">
        <v>71</v>
      </c>
      <c r="J107">
        <v>1</v>
      </c>
      <c r="N107" t="s">
        <v>18</v>
      </c>
      <c r="O107">
        <v>1</v>
      </c>
      <c r="T107">
        <v>32</v>
      </c>
      <c r="AA107" t="s">
        <v>20</v>
      </c>
      <c r="AB107" t="s">
        <v>20</v>
      </c>
      <c r="AF107">
        <v>1</v>
      </c>
      <c r="AG107" t="s">
        <v>77</v>
      </c>
    </row>
    <row r="108" spans="1:33" x14ac:dyDescent="0.2">
      <c r="A108" s="9" t="s">
        <v>587</v>
      </c>
      <c r="B108" s="9">
        <v>1921</v>
      </c>
      <c r="C108" s="7"/>
      <c r="D108" s="7" t="s">
        <v>588</v>
      </c>
      <c r="H108">
        <v>2</v>
      </c>
    </row>
    <row r="109" spans="1:33" x14ac:dyDescent="0.2">
      <c r="A109" s="9" t="s">
        <v>587</v>
      </c>
      <c r="B109" s="9">
        <v>1921</v>
      </c>
      <c r="C109" s="7"/>
      <c r="D109" s="7" t="s">
        <v>588</v>
      </c>
      <c r="G109" t="s">
        <v>1</v>
      </c>
      <c r="H109" t="s">
        <v>0</v>
      </c>
      <c r="J109" t="s">
        <v>3</v>
      </c>
      <c r="N109" t="s">
        <v>2</v>
      </c>
      <c r="T109" t="s">
        <v>5</v>
      </c>
      <c r="AA109" t="s">
        <v>7</v>
      </c>
      <c r="AB109" t="s">
        <v>8</v>
      </c>
      <c r="AG109" t="s">
        <v>6</v>
      </c>
    </row>
    <row r="110" spans="1:33" x14ac:dyDescent="0.2">
      <c r="A110" s="9" t="s">
        <v>587</v>
      </c>
      <c r="B110" s="9">
        <v>1921</v>
      </c>
      <c r="C110" s="7">
        <v>19</v>
      </c>
      <c r="D110" s="7" t="s">
        <v>588</v>
      </c>
      <c r="F110">
        <v>21</v>
      </c>
      <c r="G110" t="s">
        <v>1960</v>
      </c>
      <c r="H110" t="s">
        <v>1959</v>
      </c>
      <c r="I110">
        <v>72</v>
      </c>
      <c r="J110" t="s">
        <v>13</v>
      </c>
      <c r="K110">
        <v>1</v>
      </c>
      <c r="N110">
        <v>1</v>
      </c>
      <c r="T110">
        <v>66</v>
      </c>
      <c r="AA110" t="s">
        <v>1962</v>
      </c>
      <c r="AB110" t="s">
        <v>1963</v>
      </c>
      <c r="AC110">
        <v>1</v>
      </c>
      <c r="AG110" t="s">
        <v>1961</v>
      </c>
    </row>
    <row r="111" spans="1:33" x14ac:dyDescent="0.2">
      <c r="A111" s="9" t="s">
        <v>587</v>
      </c>
      <c r="B111" s="9">
        <v>1921</v>
      </c>
      <c r="C111" s="7">
        <v>19</v>
      </c>
      <c r="D111" s="7" t="s">
        <v>588</v>
      </c>
      <c r="G111" t="s">
        <v>1960</v>
      </c>
      <c r="H111" t="s">
        <v>1964</v>
      </c>
      <c r="I111">
        <v>73</v>
      </c>
      <c r="J111">
        <v>1</v>
      </c>
      <c r="N111" t="s">
        <v>18</v>
      </c>
      <c r="O111">
        <v>1</v>
      </c>
      <c r="T111">
        <v>58</v>
      </c>
      <c r="AA111" t="s">
        <v>50</v>
      </c>
      <c r="AB111" t="s">
        <v>20</v>
      </c>
      <c r="AG111" t="s">
        <v>1965</v>
      </c>
    </row>
    <row r="112" spans="1:33" x14ac:dyDescent="0.2">
      <c r="A112" s="9" t="s">
        <v>587</v>
      </c>
      <c r="B112" s="9">
        <v>1921</v>
      </c>
      <c r="C112" s="7">
        <v>19</v>
      </c>
      <c r="D112" s="7" t="s">
        <v>588</v>
      </c>
      <c r="G112" t="s">
        <v>1960</v>
      </c>
      <c r="H112" t="s">
        <v>1966</v>
      </c>
      <c r="I112">
        <v>74</v>
      </c>
      <c r="J112">
        <v>1</v>
      </c>
      <c r="N112" t="s">
        <v>58</v>
      </c>
      <c r="R112">
        <v>1</v>
      </c>
      <c r="T112">
        <v>52</v>
      </c>
      <c r="AA112" t="s">
        <v>1968</v>
      </c>
      <c r="AB112" t="s">
        <v>1969</v>
      </c>
      <c r="AC112">
        <v>1</v>
      </c>
      <c r="AG112" t="s">
        <v>1967</v>
      </c>
    </row>
    <row r="113" spans="1:35" x14ac:dyDescent="0.2">
      <c r="A113" s="9" t="s">
        <v>587</v>
      </c>
      <c r="B113" s="9">
        <v>1921</v>
      </c>
      <c r="C113" s="7">
        <v>19</v>
      </c>
      <c r="D113" s="7" t="s">
        <v>588</v>
      </c>
      <c r="G113" t="s">
        <v>1012</v>
      </c>
      <c r="H113" t="s">
        <v>318</v>
      </c>
      <c r="I113">
        <v>75</v>
      </c>
      <c r="J113">
        <v>1</v>
      </c>
      <c r="N113" t="s">
        <v>51</v>
      </c>
      <c r="Q113">
        <v>1</v>
      </c>
      <c r="T113">
        <v>20</v>
      </c>
      <c r="AA113" t="s">
        <v>344</v>
      </c>
      <c r="AB113" t="s">
        <v>29</v>
      </c>
      <c r="AC113">
        <v>1</v>
      </c>
      <c r="AG113" t="s">
        <v>1970</v>
      </c>
    </row>
    <row r="114" spans="1:35" x14ac:dyDescent="0.2">
      <c r="A114" s="9" t="s">
        <v>587</v>
      </c>
      <c r="B114" s="9">
        <v>1921</v>
      </c>
      <c r="C114" s="7"/>
      <c r="D114" s="7" t="s">
        <v>588</v>
      </c>
      <c r="H114">
        <v>4</v>
      </c>
    </row>
    <row r="115" spans="1:35" x14ac:dyDescent="0.2">
      <c r="A115" s="9" t="s">
        <v>587</v>
      </c>
      <c r="B115" s="9">
        <v>1921</v>
      </c>
      <c r="C115" s="7"/>
      <c r="D115" s="7" t="s">
        <v>588</v>
      </c>
      <c r="G115" t="s">
        <v>1</v>
      </c>
      <c r="H115" t="s">
        <v>0</v>
      </c>
      <c r="J115" t="s">
        <v>3</v>
      </c>
      <c r="N115" t="s">
        <v>2</v>
      </c>
      <c r="T115" t="s">
        <v>5</v>
      </c>
      <c r="AA115" t="s">
        <v>7</v>
      </c>
      <c r="AB115" t="s">
        <v>8</v>
      </c>
      <c r="AG115" t="s">
        <v>6</v>
      </c>
    </row>
    <row r="116" spans="1:35" x14ac:dyDescent="0.2">
      <c r="A116" s="9" t="s">
        <v>587</v>
      </c>
      <c r="B116" s="9">
        <v>1921</v>
      </c>
      <c r="C116" s="7">
        <v>20</v>
      </c>
      <c r="D116" s="7" t="s">
        <v>588</v>
      </c>
      <c r="F116">
        <v>22</v>
      </c>
      <c r="G116" t="s">
        <v>1191</v>
      </c>
      <c r="H116" t="s">
        <v>386</v>
      </c>
      <c r="I116">
        <v>76</v>
      </c>
      <c r="J116" t="s">
        <v>13</v>
      </c>
      <c r="K116">
        <v>1</v>
      </c>
      <c r="N116">
        <v>1</v>
      </c>
      <c r="T116">
        <v>72</v>
      </c>
      <c r="AA116" t="s">
        <v>1090</v>
      </c>
      <c r="AB116" t="s">
        <v>20</v>
      </c>
      <c r="AG116" t="s">
        <v>1463</v>
      </c>
    </row>
    <row r="117" spans="1:35" x14ac:dyDescent="0.2">
      <c r="A117" s="9" t="s">
        <v>587</v>
      </c>
      <c r="B117" s="9">
        <v>1921</v>
      </c>
      <c r="C117" s="7">
        <v>20</v>
      </c>
      <c r="D117" s="7" t="s">
        <v>588</v>
      </c>
      <c r="G117" t="s">
        <v>1191</v>
      </c>
      <c r="H117" t="s">
        <v>1425</v>
      </c>
      <c r="I117">
        <v>77</v>
      </c>
      <c r="J117">
        <v>1</v>
      </c>
      <c r="N117" t="s">
        <v>18</v>
      </c>
      <c r="O117">
        <v>1</v>
      </c>
      <c r="T117">
        <v>67</v>
      </c>
      <c r="AA117" t="s">
        <v>50</v>
      </c>
      <c r="AB117" t="s">
        <v>20</v>
      </c>
      <c r="AG117" t="s">
        <v>20</v>
      </c>
    </row>
    <row r="118" spans="1:35" x14ac:dyDescent="0.2">
      <c r="A118" s="9" t="s">
        <v>587</v>
      </c>
      <c r="B118" s="9">
        <v>1921</v>
      </c>
      <c r="C118" s="7">
        <v>20</v>
      </c>
      <c r="D118" s="7" t="s">
        <v>588</v>
      </c>
      <c r="G118" t="s">
        <v>1191</v>
      </c>
      <c r="H118" t="s">
        <v>1971</v>
      </c>
      <c r="I118">
        <v>78</v>
      </c>
      <c r="J118">
        <v>1</v>
      </c>
      <c r="N118" t="s">
        <v>22</v>
      </c>
      <c r="P118">
        <v>1</v>
      </c>
      <c r="T118">
        <v>30</v>
      </c>
      <c r="AA118" t="s">
        <v>50</v>
      </c>
      <c r="AB118" t="s">
        <v>20</v>
      </c>
      <c r="AF118">
        <v>1</v>
      </c>
      <c r="AG118" t="s">
        <v>49</v>
      </c>
    </row>
    <row r="119" spans="1:35" x14ac:dyDescent="0.2">
      <c r="A119" s="9" t="s">
        <v>587</v>
      </c>
      <c r="B119" s="9">
        <v>1921</v>
      </c>
      <c r="C119" s="7">
        <v>20</v>
      </c>
      <c r="D119" s="7" t="s">
        <v>588</v>
      </c>
      <c r="G119" t="s">
        <v>1191</v>
      </c>
      <c r="H119" t="s">
        <v>1972</v>
      </c>
      <c r="I119">
        <v>79</v>
      </c>
      <c r="J119" t="s">
        <v>13</v>
      </c>
      <c r="K119">
        <v>1</v>
      </c>
      <c r="N119" t="s">
        <v>51</v>
      </c>
      <c r="Q119">
        <v>1</v>
      </c>
      <c r="T119">
        <v>25</v>
      </c>
      <c r="AA119" t="s">
        <v>1848</v>
      </c>
      <c r="AB119" t="s">
        <v>1973</v>
      </c>
      <c r="AC119">
        <v>1</v>
      </c>
      <c r="AF119">
        <v>1</v>
      </c>
      <c r="AG119" t="s">
        <v>49</v>
      </c>
    </row>
    <row r="120" spans="1:35" x14ac:dyDescent="0.2">
      <c r="A120" s="9" t="s">
        <v>587</v>
      </c>
      <c r="B120" s="9">
        <v>1921</v>
      </c>
      <c r="C120" s="7"/>
      <c r="D120" s="7" t="s">
        <v>588</v>
      </c>
      <c r="H120">
        <v>4</v>
      </c>
    </row>
    <row r="121" spans="1:35" x14ac:dyDescent="0.2">
      <c r="A121" s="9" t="s">
        <v>587</v>
      </c>
      <c r="B121" s="9">
        <v>1921</v>
      </c>
      <c r="C121" s="7">
        <v>20</v>
      </c>
      <c r="D121" s="7" t="s">
        <v>588</v>
      </c>
      <c r="I121">
        <v>79</v>
      </c>
      <c r="J121">
        <f>SUM(J3:J120)</f>
        <v>38</v>
      </c>
      <c r="K121">
        <f t="shared" ref="K121:AI121" si="0">SUM(K3:K120)</f>
        <v>32</v>
      </c>
      <c r="L121">
        <f t="shared" si="0"/>
        <v>3</v>
      </c>
      <c r="M121">
        <f t="shared" si="0"/>
        <v>6</v>
      </c>
      <c r="N121">
        <f t="shared" si="0"/>
        <v>19</v>
      </c>
      <c r="O121">
        <f t="shared" si="0"/>
        <v>13</v>
      </c>
      <c r="P121">
        <f t="shared" si="0"/>
        <v>16</v>
      </c>
      <c r="Q121">
        <f t="shared" si="0"/>
        <v>13</v>
      </c>
      <c r="R121">
        <f t="shared" si="0"/>
        <v>16</v>
      </c>
      <c r="S121">
        <f t="shared" si="0"/>
        <v>2</v>
      </c>
      <c r="T121">
        <f t="shared" si="0"/>
        <v>3116</v>
      </c>
      <c r="U121">
        <f t="shared" si="0"/>
        <v>0</v>
      </c>
      <c r="V121">
        <f t="shared" si="0"/>
        <v>0</v>
      </c>
      <c r="W121">
        <f t="shared" si="0"/>
        <v>0</v>
      </c>
      <c r="X121">
        <f t="shared" si="0"/>
        <v>0</v>
      </c>
      <c r="Y121">
        <f t="shared" si="0"/>
        <v>0</v>
      </c>
      <c r="Z121">
        <f t="shared" si="0"/>
        <v>0</v>
      </c>
      <c r="AA121">
        <f>SUM(AA3:AA120)</f>
        <v>0</v>
      </c>
      <c r="AB121">
        <f>SUM(AB3:AB120)</f>
        <v>0</v>
      </c>
      <c r="AC121">
        <f>SUM(AC3:AC120)</f>
        <v>55</v>
      </c>
      <c r="AD121">
        <f t="shared" si="0"/>
        <v>2</v>
      </c>
      <c r="AE121">
        <f>AC121-AD121</f>
        <v>53</v>
      </c>
      <c r="AF121">
        <f t="shared" si="0"/>
        <v>44</v>
      </c>
      <c r="AG121">
        <f>N122-AF121</f>
        <v>35</v>
      </c>
      <c r="AH121">
        <f>AG121+AF121</f>
        <v>79</v>
      </c>
      <c r="AI121">
        <f t="shared" si="0"/>
        <v>0</v>
      </c>
    </row>
    <row r="122" spans="1:35" x14ac:dyDescent="0.2">
      <c r="I122">
        <f>SUM(J121:M121)</f>
        <v>79</v>
      </c>
      <c r="N122">
        <f>SUM(N120:S121)</f>
        <v>79</v>
      </c>
      <c r="T122" s="64">
        <f>T121/N122</f>
        <v>39.443037974683541</v>
      </c>
    </row>
    <row r="126" spans="1:35" x14ac:dyDescent="0.2">
      <c r="H126" t="s">
        <v>0</v>
      </c>
      <c r="I126" t="s">
        <v>1</v>
      </c>
      <c r="J126" t="s">
        <v>2</v>
      </c>
      <c r="K126" t="s">
        <v>3</v>
      </c>
      <c r="L126" t="s">
        <v>4</v>
      </c>
      <c r="M126" t="s">
        <v>5</v>
      </c>
      <c r="N126" t="s">
        <v>6</v>
      </c>
      <c r="O126" t="s">
        <v>8</v>
      </c>
    </row>
    <row r="127" spans="1:35" x14ac:dyDescent="0.2">
      <c r="H127" t="s">
        <v>423</v>
      </c>
      <c r="I127" t="s">
        <v>932</v>
      </c>
      <c r="J127" t="s">
        <v>12</v>
      </c>
      <c r="K127" t="s">
        <v>13</v>
      </c>
      <c r="L127">
        <v>1851</v>
      </c>
      <c r="M127">
        <v>70</v>
      </c>
      <c r="N127" t="s">
        <v>1819</v>
      </c>
      <c r="O127" t="s">
        <v>20</v>
      </c>
    </row>
    <row r="128" spans="1:35" x14ac:dyDescent="0.2">
      <c r="H128" t="s">
        <v>336</v>
      </c>
      <c r="I128" t="s">
        <v>932</v>
      </c>
      <c r="J128" t="s">
        <v>18</v>
      </c>
      <c r="K128" t="s">
        <v>19</v>
      </c>
      <c r="L128">
        <v>1846</v>
      </c>
      <c r="M128">
        <v>75</v>
      </c>
      <c r="N128" t="s">
        <v>1820</v>
      </c>
      <c r="O128" t="s">
        <v>20</v>
      </c>
    </row>
    <row r="129" spans="5:16" x14ac:dyDescent="0.2">
      <c r="H129" t="s">
        <v>937</v>
      </c>
      <c r="I129" t="s">
        <v>932</v>
      </c>
      <c r="J129" t="s">
        <v>22</v>
      </c>
      <c r="K129" t="s">
        <v>19</v>
      </c>
      <c r="L129">
        <v>1883</v>
      </c>
      <c r="M129">
        <v>38</v>
      </c>
      <c r="N129" t="s">
        <v>43</v>
      </c>
      <c r="O129" t="s">
        <v>1821</v>
      </c>
    </row>
    <row r="131" spans="5:16" x14ac:dyDescent="0.2">
      <c r="H131" t="s">
        <v>0</v>
      </c>
      <c r="I131" t="s">
        <v>1</v>
      </c>
      <c r="J131" t="s">
        <v>2</v>
      </c>
      <c r="K131" t="s">
        <v>3</v>
      </c>
      <c r="L131" t="s">
        <v>4</v>
      </c>
      <c r="M131" t="s">
        <v>5</v>
      </c>
      <c r="N131" t="s">
        <v>6</v>
      </c>
      <c r="O131" t="s">
        <v>7</v>
      </c>
      <c r="P131" t="s">
        <v>8</v>
      </c>
    </row>
    <row r="132" spans="5:16" x14ac:dyDescent="0.2">
      <c r="E132" t="s">
        <v>1828</v>
      </c>
      <c r="F132">
        <v>1</v>
      </c>
      <c r="H132" t="s">
        <v>1822</v>
      </c>
      <c r="I132" t="s">
        <v>374</v>
      </c>
      <c r="J132" t="s">
        <v>12</v>
      </c>
      <c r="K132" t="s">
        <v>13</v>
      </c>
      <c r="L132">
        <v>1892</v>
      </c>
      <c r="M132">
        <v>28</v>
      </c>
      <c r="N132" t="s">
        <v>415</v>
      </c>
      <c r="O132" t="s">
        <v>1823</v>
      </c>
      <c r="P132" t="s">
        <v>1824</v>
      </c>
    </row>
    <row r="133" spans="5:16" x14ac:dyDescent="0.2">
      <c r="H133" t="s">
        <v>1286</v>
      </c>
      <c r="I133" t="s">
        <v>1825</v>
      </c>
      <c r="J133" t="s">
        <v>20</v>
      </c>
      <c r="K133" t="s">
        <v>13</v>
      </c>
      <c r="L133">
        <v>1864</v>
      </c>
      <c r="M133">
        <v>56</v>
      </c>
      <c r="N133" t="s">
        <v>1826</v>
      </c>
      <c r="O133" t="s">
        <v>1827</v>
      </c>
      <c r="P133" t="s">
        <v>1824</v>
      </c>
    </row>
    <row r="135" spans="5:16" x14ac:dyDescent="0.2">
      <c r="H135" t="s">
        <v>0</v>
      </c>
      <c r="I135" t="s">
        <v>1</v>
      </c>
      <c r="J135" t="s">
        <v>2</v>
      </c>
      <c r="K135" t="s">
        <v>3</v>
      </c>
      <c r="L135" t="s">
        <v>4</v>
      </c>
      <c r="M135" t="s">
        <v>5</v>
      </c>
      <c r="N135" t="s">
        <v>6</v>
      </c>
      <c r="O135" t="s">
        <v>7</v>
      </c>
      <c r="P135" t="s">
        <v>8</v>
      </c>
    </row>
    <row r="136" spans="5:16" x14ac:dyDescent="0.2">
      <c r="F136">
        <v>2</v>
      </c>
      <c r="H136" t="s">
        <v>1012</v>
      </c>
      <c r="I136" t="s">
        <v>1829</v>
      </c>
      <c r="J136" t="s">
        <v>12</v>
      </c>
      <c r="K136" t="s">
        <v>13</v>
      </c>
      <c r="L136">
        <v>1863</v>
      </c>
      <c r="M136">
        <v>58</v>
      </c>
      <c r="N136" t="s">
        <v>718</v>
      </c>
      <c r="O136" t="s">
        <v>827</v>
      </c>
      <c r="P136" t="s">
        <v>1767</v>
      </c>
    </row>
    <row r="137" spans="5:16" x14ac:dyDescent="0.2">
      <c r="H137" t="s">
        <v>1012</v>
      </c>
      <c r="I137" t="s">
        <v>1829</v>
      </c>
      <c r="J137" t="s">
        <v>51</v>
      </c>
      <c r="K137" t="s">
        <v>13</v>
      </c>
      <c r="L137">
        <v>1887</v>
      </c>
      <c r="M137">
        <v>34</v>
      </c>
      <c r="N137" t="s">
        <v>718</v>
      </c>
      <c r="O137" t="s">
        <v>1830</v>
      </c>
      <c r="P137" t="s">
        <v>16</v>
      </c>
    </row>
    <row r="138" spans="5:16" x14ac:dyDescent="0.2">
      <c r="H138" t="s">
        <v>1831</v>
      </c>
      <c r="I138" t="s">
        <v>1829</v>
      </c>
      <c r="J138" t="s">
        <v>22</v>
      </c>
      <c r="K138" t="s">
        <v>19</v>
      </c>
      <c r="L138">
        <v>1894</v>
      </c>
      <c r="M138">
        <v>26</v>
      </c>
      <c r="N138" t="s">
        <v>718</v>
      </c>
      <c r="O138" t="s">
        <v>1832</v>
      </c>
      <c r="P138" t="s">
        <v>20</v>
      </c>
    </row>
    <row r="139" spans="5:16" x14ac:dyDescent="0.2">
      <c r="H139" t="s">
        <v>1477</v>
      </c>
      <c r="I139" t="s">
        <v>1708</v>
      </c>
      <c r="J139" t="s">
        <v>1833</v>
      </c>
      <c r="K139" t="s">
        <v>13</v>
      </c>
      <c r="L139">
        <v>1856</v>
      </c>
      <c r="M139">
        <v>65</v>
      </c>
      <c r="N139" t="s">
        <v>14</v>
      </c>
      <c r="O139" t="s">
        <v>1834</v>
      </c>
      <c r="P139" t="s">
        <v>1835</v>
      </c>
    </row>
    <row r="141" spans="5:16" x14ac:dyDescent="0.2">
      <c r="H141" t="s">
        <v>0</v>
      </c>
      <c r="I141" t="s">
        <v>1</v>
      </c>
      <c r="J141" t="s">
        <v>2</v>
      </c>
      <c r="K141" t="s">
        <v>3</v>
      </c>
      <c r="L141" t="s">
        <v>4</v>
      </c>
      <c r="M141" t="s">
        <v>5</v>
      </c>
      <c r="N141" t="s">
        <v>6</v>
      </c>
      <c r="O141" t="s">
        <v>7</v>
      </c>
      <c r="P141" t="s">
        <v>8</v>
      </c>
    </row>
    <row r="142" spans="5:16" x14ac:dyDescent="0.2">
      <c r="F142">
        <v>3</v>
      </c>
      <c r="H142" t="s">
        <v>1286</v>
      </c>
      <c r="I142" t="s">
        <v>1836</v>
      </c>
      <c r="J142" t="s">
        <v>12</v>
      </c>
      <c r="K142" t="s">
        <v>13</v>
      </c>
      <c r="L142">
        <v>1866</v>
      </c>
      <c r="M142">
        <v>55</v>
      </c>
      <c r="N142" t="s">
        <v>1837</v>
      </c>
      <c r="O142" t="s">
        <v>1838</v>
      </c>
      <c r="P142" t="s">
        <v>1839</v>
      </c>
    </row>
    <row r="143" spans="5:16" x14ac:dyDescent="0.2">
      <c r="H143" t="s">
        <v>1840</v>
      </c>
      <c r="I143" t="s">
        <v>1836</v>
      </c>
      <c r="J143" t="s">
        <v>18</v>
      </c>
      <c r="K143" t="s">
        <v>19</v>
      </c>
      <c r="L143">
        <v>1867</v>
      </c>
      <c r="M143">
        <v>54</v>
      </c>
      <c r="N143" t="s">
        <v>1841</v>
      </c>
      <c r="O143" t="s">
        <v>50</v>
      </c>
      <c r="P143" t="s">
        <v>20</v>
      </c>
    </row>
    <row r="144" spans="5:16" x14ac:dyDescent="0.2">
      <c r="H144" t="s">
        <v>1842</v>
      </c>
      <c r="I144" t="s">
        <v>1836</v>
      </c>
      <c r="J144" t="s">
        <v>51</v>
      </c>
      <c r="K144" t="s">
        <v>13</v>
      </c>
      <c r="L144">
        <v>1892</v>
      </c>
      <c r="M144">
        <v>28</v>
      </c>
      <c r="N144" t="s">
        <v>49</v>
      </c>
      <c r="O144" t="s">
        <v>1843</v>
      </c>
      <c r="P144" t="s">
        <v>1844</v>
      </c>
    </row>
    <row r="145" spans="6:16" x14ac:dyDescent="0.2">
      <c r="H145" t="s">
        <v>1845</v>
      </c>
      <c r="I145" t="s">
        <v>1846</v>
      </c>
      <c r="J145" t="s">
        <v>1847</v>
      </c>
      <c r="K145" t="s">
        <v>13</v>
      </c>
      <c r="L145">
        <v>1893</v>
      </c>
      <c r="M145">
        <v>27</v>
      </c>
      <c r="N145" t="s">
        <v>49</v>
      </c>
      <c r="O145" t="s">
        <v>1848</v>
      </c>
      <c r="P145" t="s">
        <v>1849</v>
      </c>
    </row>
    <row r="146" spans="6:16" x14ac:dyDescent="0.2">
      <c r="H146" t="s">
        <v>1850</v>
      </c>
      <c r="I146" t="s">
        <v>1846</v>
      </c>
      <c r="J146" t="s">
        <v>22</v>
      </c>
      <c r="K146" t="s">
        <v>19</v>
      </c>
      <c r="L146">
        <v>1894</v>
      </c>
      <c r="M146">
        <v>27</v>
      </c>
      <c r="N146" t="s">
        <v>49</v>
      </c>
      <c r="O146" t="s">
        <v>50</v>
      </c>
      <c r="P146" t="s">
        <v>20</v>
      </c>
    </row>
    <row r="147" spans="6:16" x14ac:dyDescent="0.2">
      <c r="H147" t="s">
        <v>1851</v>
      </c>
      <c r="I147" t="s">
        <v>1846</v>
      </c>
      <c r="J147" t="s">
        <v>1852</v>
      </c>
      <c r="K147" t="s">
        <v>19</v>
      </c>
      <c r="L147">
        <v>1918</v>
      </c>
      <c r="M147">
        <v>3</v>
      </c>
      <c r="N147" t="s">
        <v>49</v>
      </c>
      <c r="O147" t="s">
        <v>20</v>
      </c>
      <c r="P147" t="s">
        <v>20</v>
      </c>
    </row>
    <row r="148" spans="6:16" x14ac:dyDescent="0.2">
      <c r="H148" t="s">
        <v>1853</v>
      </c>
      <c r="I148" t="s">
        <v>1846</v>
      </c>
      <c r="J148" t="s">
        <v>1046</v>
      </c>
      <c r="K148" t="s">
        <v>13</v>
      </c>
      <c r="L148">
        <v>1920</v>
      </c>
      <c r="M148">
        <v>1</v>
      </c>
      <c r="N148" t="s">
        <v>49</v>
      </c>
      <c r="O148" t="s">
        <v>20</v>
      </c>
      <c r="P148" t="s">
        <v>20</v>
      </c>
    </row>
    <row r="149" spans="6:16" x14ac:dyDescent="0.2">
      <c r="H149" t="s">
        <v>1854</v>
      </c>
      <c r="I149" t="s">
        <v>1846</v>
      </c>
      <c r="J149" t="s">
        <v>1046</v>
      </c>
      <c r="K149" t="s">
        <v>13</v>
      </c>
      <c r="L149">
        <v>1921</v>
      </c>
      <c r="M149" t="s">
        <v>20</v>
      </c>
      <c r="N149" t="s">
        <v>49</v>
      </c>
      <c r="O149" t="s">
        <v>20</v>
      </c>
      <c r="P149" t="s">
        <v>20</v>
      </c>
    </row>
    <row r="151" spans="6:16" x14ac:dyDescent="0.2">
      <c r="H151" t="s">
        <v>0</v>
      </c>
      <c r="I151" t="s">
        <v>1</v>
      </c>
      <c r="J151" t="s">
        <v>2</v>
      </c>
      <c r="K151" t="s">
        <v>3</v>
      </c>
      <c r="L151" t="s">
        <v>4</v>
      </c>
      <c r="M151" t="s">
        <v>5</v>
      </c>
      <c r="N151" t="s">
        <v>6</v>
      </c>
      <c r="O151" t="s">
        <v>7</v>
      </c>
      <c r="P151" t="s">
        <v>8</v>
      </c>
    </row>
    <row r="152" spans="6:16" x14ac:dyDescent="0.2">
      <c r="F152">
        <v>4</v>
      </c>
      <c r="H152" t="s">
        <v>1855</v>
      </c>
      <c r="I152" t="s">
        <v>916</v>
      </c>
      <c r="J152" t="s">
        <v>12</v>
      </c>
      <c r="K152" t="s">
        <v>13</v>
      </c>
      <c r="L152">
        <v>1887</v>
      </c>
      <c r="M152">
        <v>34</v>
      </c>
      <c r="N152" t="s">
        <v>49</v>
      </c>
      <c r="O152" t="s">
        <v>1856</v>
      </c>
      <c r="P152" t="s">
        <v>1857</v>
      </c>
    </row>
    <row r="153" spans="6:16" x14ac:dyDescent="0.2">
      <c r="H153" t="s">
        <v>1858</v>
      </c>
      <c r="I153" t="s">
        <v>916</v>
      </c>
      <c r="J153" t="s">
        <v>18</v>
      </c>
      <c r="K153" t="s">
        <v>19</v>
      </c>
      <c r="L153">
        <v>1892</v>
      </c>
      <c r="M153">
        <v>29</v>
      </c>
      <c r="N153" t="s">
        <v>49</v>
      </c>
      <c r="O153" t="s">
        <v>489</v>
      </c>
      <c r="P153" t="s">
        <v>20</v>
      </c>
    </row>
    <row r="154" spans="6:16" x14ac:dyDescent="0.2">
      <c r="H154" t="s">
        <v>350</v>
      </c>
      <c r="I154" t="s">
        <v>916</v>
      </c>
      <c r="J154" t="s">
        <v>22</v>
      </c>
      <c r="K154" t="s">
        <v>19</v>
      </c>
      <c r="L154">
        <v>1919</v>
      </c>
      <c r="M154">
        <v>1</v>
      </c>
      <c r="N154" t="s">
        <v>49</v>
      </c>
      <c r="O154" t="s">
        <v>20</v>
      </c>
      <c r="P154" t="s">
        <v>20</v>
      </c>
    </row>
    <row r="156" spans="6:16" x14ac:dyDescent="0.2">
      <c r="H156" t="s">
        <v>0</v>
      </c>
      <c r="I156" t="s">
        <v>1</v>
      </c>
      <c r="J156" t="s">
        <v>2</v>
      </c>
      <c r="K156" t="s">
        <v>3</v>
      </c>
      <c r="L156" t="s">
        <v>4</v>
      </c>
      <c r="M156" t="s">
        <v>5</v>
      </c>
      <c r="N156" t="s">
        <v>6</v>
      </c>
      <c r="O156" t="s">
        <v>7</v>
      </c>
      <c r="P156" t="s">
        <v>8</v>
      </c>
    </row>
    <row r="157" spans="6:16" x14ac:dyDescent="0.2">
      <c r="F157">
        <v>5</v>
      </c>
      <c r="H157" t="s">
        <v>1859</v>
      </c>
      <c r="I157" t="s">
        <v>1860</v>
      </c>
      <c r="J157" t="s">
        <v>12</v>
      </c>
      <c r="K157" t="s">
        <v>13</v>
      </c>
      <c r="L157">
        <v>1841</v>
      </c>
      <c r="M157">
        <v>80</v>
      </c>
      <c r="N157" t="s">
        <v>1861</v>
      </c>
      <c r="O157" t="s">
        <v>1862</v>
      </c>
      <c r="P157" t="s">
        <v>1863</v>
      </c>
    </row>
    <row r="158" spans="6:16" x14ac:dyDescent="0.2">
      <c r="H158" t="s">
        <v>937</v>
      </c>
      <c r="I158" t="s">
        <v>1860</v>
      </c>
      <c r="J158" t="s">
        <v>22</v>
      </c>
      <c r="K158" t="s">
        <v>19</v>
      </c>
      <c r="L158">
        <v>1869</v>
      </c>
      <c r="M158">
        <v>52</v>
      </c>
      <c r="N158" t="s">
        <v>49</v>
      </c>
      <c r="O158" t="s">
        <v>1864</v>
      </c>
      <c r="P158" t="s">
        <v>1865</v>
      </c>
    </row>
    <row r="159" spans="6:16" x14ac:dyDescent="0.2">
      <c r="H159" t="s">
        <v>1866</v>
      </c>
      <c r="I159" t="s">
        <v>1860</v>
      </c>
      <c r="J159" t="s">
        <v>22</v>
      </c>
      <c r="K159" t="s">
        <v>19</v>
      </c>
      <c r="L159">
        <v>1877</v>
      </c>
      <c r="M159">
        <v>43</v>
      </c>
      <c r="N159" t="s">
        <v>1245</v>
      </c>
      <c r="O159" t="s">
        <v>1867</v>
      </c>
      <c r="P159" t="s">
        <v>1865</v>
      </c>
    </row>
    <row r="160" spans="6:16" x14ac:dyDescent="0.2">
      <c r="H160" t="s">
        <v>366</v>
      </c>
      <c r="I160" t="s">
        <v>1868</v>
      </c>
      <c r="J160" t="s">
        <v>26</v>
      </c>
      <c r="K160" t="s">
        <v>19</v>
      </c>
      <c r="L160">
        <v>1893</v>
      </c>
      <c r="M160">
        <v>28</v>
      </c>
      <c r="N160" t="s">
        <v>1463</v>
      </c>
      <c r="O160" t="s">
        <v>344</v>
      </c>
      <c r="P160" t="s">
        <v>29</v>
      </c>
    </row>
    <row r="162" spans="6:16" x14ac:dyDescent="0.2">
      <c r="H162" t="s">
        <v>0</v>
      </c>
      <c r="I162" t="s">
        <v>1</v>
      </c>
      <c r="J162" t="s">
        <v>2</v>
      </c>
      <c r="K162" t="s">
        <v>3</v>
      </c>
      <c r="L162" t="s">
        <v>4</v>
      </c>
      <c r="M162" t="s">
        <v>5</v>
      </c>
      <c r="N162" t="s">
        <v>6</v>
      </c>
      <c r="O162" t="s">
        <v>7</v>
      </c>
      <c r="P162" t="s">
        <v>8</v>
      </c>
    </row>
    <row r="163" spans="6:16" x14ac:dyDescent="0.2">
      <c r="F163">
        <v>6</v>
      </c>
      <c r="H163" t="s">
        <v>1869</v>
      </c>
      <c r="I163" t="s">
        <v>1870</v>
      </c>
      <c r="J163" t="s">
        <v>12</v>
      </c>
      <c r="K163" t="s">
        <v>13</v>
      </c>
      <c r="L163">
        <v>1881</v>
      </c>
      <c r="M163">
        <v>40</v>
      </c>
      <c r="N163" t="s">
        <v>49</v>
      </c>
      <c r="O163" t="s">
        <v>1871</v>
      </c>
      <c r="P163" t="s">
        <v>1872</v>
      </c>
    </row>
    <row r="164" spans="6:16" x14ac:dyDescent="0.2">
      <c r="H164" t="s">
        <v>1873</v>
      </c>
      <c r="I164" t="s">
        <v>1870</v>
      </c>
      <c r="J164" t="s">
        <v>18</v>
      </c>
      <c r="K164" t="s">
        <v>19</v>
      </c>
      <c r="L164">
        <v>1883</v>
      </c>
      <c r="M164">
        <v>37</v>
      </c>
      <c r="N164" t="s">
        <v>49</v>
      </c>
      <c r="O164" t="s">
        <v>50</v>
      </c>
      <c r="P164" t="s">
        <v>20</v>
      </c>
    </row>
    <row r="165" spans="6:16" x14ac:dyDescent="0.2">
      <c r="H165" t="s">
        <v>1874</v>
      </c>
      <c r="I165" t="s">
        <v>1870</v>
      </c>
      <c r="J165" t="s">
        <v>51</v>
      </c>
      <c r="K165" t="s">
        <v>13</v>
      </c>
      <c r="L165">
        <v>1905</v>
      </c>
      <c r="M165">
        <v>16</v>
      </c>
      <c r="N165" t="s">
        <v>49</v>
      </c>
      <c r="O165" t="s">
        <v>1843</v>
      </c>
      <c r="P165" t="s">
        <v>1875</v>
      </c>
    </row>
    <row r="166" spans="6:16" x14ac:dyDescent="0.2">
      <c r="H166" t="s">
        <v>1876</v>
      </c>
      <c r="I166" t="s">
        <v>1870</v>
      </c>
      <c r="J166" t="s">
        <v>51</v>
      </c>
      <c r="K166" t="s">
        <v>13</v>
      </c>
      <c r="L166">
        <v>1906</v>
      </c>
      <c r="M166">
        <v>14</v>
      </c>
      <c r="N166" t="s">
        <v>1765</v>
      </c>
      <c r="O166" t="s">
        <v>20</v>
      </c>
      <c r="P166" t="s">
        <v>20</v>
      </c>
    </row>
    <row r="167" spans="6:16" x14ac:dyDescent="0.2">
      <c r="H167" t="s">
        <v>1877</v>
      </c>
      <c r="I167" t="s">
        <v>1870</v>
      </c>
      <c r="J167" t="s">
        <v>51</v>
      </c>
      <c r="K167" t="s">
        <v>13</v>
      </c>
      <c r="L167">
        <v>1908</v>
      </c>
      <c r="M167">
        <v>13</v>
      </c>
      <c r="N167" t="s">
        <v>1352</v>
      </c>
      <c r="O167" t="s">
        <v>20</v>
      </c>
      <c r="P167" t="s">
        <v>20</v>
      </c>
    </row>
    <row r="168" spans="6:16" x14ac:dyDescent="0.2">
      <c r="H168" t="s">
        <v>1878</v>
      </c>
      <c r="I168" t="s">
        <v>1870</v>
      </c>
      <c r="J168" t="s">
        <v>51</v>
      </c>
      <c r="K168" t="s">
        <v>13</v>
      </c>
      <c r="L168">
        <v>1910</v>
      </c>
      <c r="M168">
        <v>11</v>
      </c>
      <c r="N168" t="s">
        <v>1765</v>
      </c>
      <c r="O168" t="s">
        <v>20</v>
      </c>
      <c r="P168" t="s">
        <v>20</v>
      </c>
    </row>
    <row r="170" spans="6:16" x14ac:dyDescent="0.2">
      <c r="H170" t="s">
        <v>0</v>
      </c>
      <c r="I170" t="s">
        <v>1</v>
      </c>
      <c r="J170" t="s">
        <v>2</v>
      </c>
      <c r="K170" t="s">
        <v>3</v>
      </c>
      <c r="L170" t="s">
        <v>4</v>
      </c>
      <c r="M170" t="s">
        <v>5</v>
      </c>
      <c r="N170" t="s">
        <v>6</v>
      </c>
      <c r="O170" t="s">
        <v>7</v>
      </c>
      <c r="P170" t="s">
        <v>8</v>
      </c>
    </row>
    <row r="171" spans="6:16" x14ac:dyDescent="0.2">
      <c r="F171">
        <v>7</v>
      </c>
      <c r="H171" t="s">
        <v>758</v>
      </c>
      <c r="I171" t="s">
        <v>1879</v>
      </c>
      <c r="J171" t="s">
        <v>12</v>
      </c>
      <c r="K171" t="s">
        <v>13</v>
      </c>
      <c r="L171">
        <v>1884</v>
      </c>
      <c r="M171">
        <v>37</v>
      </c>
      <c r="N171" t="s">
        <v>1346</v>
      </c>
      <c r="O171" t="s">
        <v>1368</v>
      </c>
      <c r="P171" t="s">
        <v>1880</v>
      </c>
    </row>
    <row r="172" spans="6:16" x14ac:dyDescent="0.2">
      <c r="H172" t="s">
        <v>1881</v>
      </c>
      <c r="I172" t="s">
        <v>1879</v>
      </c>
      <c r="J172" t="s">
        <v>18</v>
      </c>
      <c r="K172" t="s">
        <v>19</v>
      </c>
      <c r="L172">
        <v>1883</v>
      </c>
      <c r="M172">
        <v>38</v>
      </c>
      <c r="N172" t="s">
        <v>1882</v>
      </c>
      <c r="O172" t="s">
        <v>50</v>
      </c>
      <c r="P172" t="s">
        <v>20</v>
      </c>
    </row>
    <row r="173" spans="6:16" x14ac:dyDescent="0.2">
      <c r="H173" t="s">
        <v>1883</v>
      </c>
      <c r="I173" t="s">
        <v>1879</v>
      </c>
      <c r="J173" t="s">
        <v>51</v>
      </c>
      <c r="K173" t="s">
        <v>13</v>
      </c>
      <c r="L173">
        <v>1914</v>
      </c>
      <c r="M173">
        <v>7</v>
      </c>
      <c r="N173" t="s">
        <v>49</v>
      </c>
      <c r="O173" t="s">
        <v>20</v>
      </c>
      <c r="P173" t="s">
        <v>20</v>
      </c>
    </row>
    <row r="174" spans="6:16" x14ac:dyDescent="0.2">
      <c r="H174" t="s">
        <v>1884</v>
      </c>
      <c r="I174" t="s">
        <v>1879</v>
      </c>
      <c r="J174" t="s">
        <v>22</v>
      </c>
      <c r="K174" t="s">
        <v>19</v>
      </c>
      <c r="L174">
        <v>1917</v>
      </c>
      <c r="M174">
        <v>3</v>
      </c>
      <c r="N174" t="s">
        <v>49</v>
      </c>
      <c r="O174" t="s">
        <v>20</v>
      </c>
      <c r="P174" t="s">
        <v>20</v>
      </c>
    </row>
    <row r="175" spans="6:16" x14ac:dyDescent="0.2">
      <c r="H175" t="s">
        <v>422</v>
      </c>
      <c r="I175" t="s">
        <v>1885</v>
      </c>
      <c r="J175" t="s">
        <v>26</v>
      </c>
      <c r="K175" t="s">
        <v>19</v>
      </c>
      <c r="L175">
        <v>1892</v>
      </c>
      <c r="M175">
        <v>29</v>
      </c>
      <c r="N175" t="s">
        <v>77</v>
      </c>
      <c r="O175" t="s">
        <v>344</v>
      </c>
      <c r="P175" t="s">
        <v>29</v>
      </c>
    </row>
    <row r="177" spans="6:16" x14ac:dyDescent="0.2">
      <c r="H177" t="s">
        <v>0</v>
      </c>
      <c r="I177" t="s">
        <v>1</v>
      </c>
      <c r="J177" t="s">
        <v>2</v>
      </c>
      <c r="K177" t="s">
        <v>3</v>
      </c>
      <c r="L177" t="s">
        <v>4</v>
      </c>
      <c r="M177" t="s">
        <v>5</v>
      </c>
      <c r="N177" t="s">
        <v>6</v>
      </c>
      <c r="O177" t="s">
        <v>7</v>
      </c>
      <c r="P177" t="s">
        <v>8</v>
      </c>
    </row>
    <row r="178" spans="6:16" x14ac:dyDescent="0.2">
      <c r="F178">
        <v>8</v>
      </c>
      <c r="H178" t="s">
        <v>1886</v>
      </c>
      <c r="I178" t="s">
        <v>355</v>
      </c>
      <c r="J178" t="s">
        <v>12</v>
      </c>
      <c r="K178" t="s">
        <v>13</v>
      </c>
      <c r="L178">
        <v>1877</v>
      </c>
      <c r="M178">
        <v>44</v>
      </c>
      <c r="N178" t="s">
        <v>438</v>
      </c>
      <c r="O178" t="s">
        <v>1887</v>
      </c>
      <c r="P178" t="s">
        <v>1888</v>
      </c>
    </row>
    <row r="179" spans="6:16" x14ac:dyDescent="0.2">
      <c r="H179" t="s">
        <v>1889</v>
      </c>
      <c r="I179" t="s">
        <v>355</v>
      </c>
      <c r="J179" t="s">
        <v>18</v>
      </c>
      <c r="K179" t="s">
        <v>19</v>
      </c>
      <c r="L179">
        <v>1891</v>
      </c>
      <c r="M179">
        <v>29</v>
      </c>
      <c r="N179" t="s">
        <v>1890</v>
      </c>
      <c r="O179" t="s">
        <v>50</v>
      </c>
      <c r="P179" t="s">
        <v>20</v>
      </c>
    </row>
    <row r="181" spans="6:16" x14ac:dyDescent="0.2">
      <c r="H181" t="s">
        <v>0</v>
      </c>
      <c r="I181" t="s">
        <v>1</v>
      </c>
      <c r="J181" t="s">
        <v>2</v>
      </c>
      <c r="K181" t="s">
        <v>3</v>
      </c>
      <c r="L181" t="s">
        <v>4</v>
      </c>
      <c r="M181" t="s">
        <v>5</v>
      </c>
      <c r="N181" t="s">
        <v>6</v>
      </c>
      <c r="O181" t="s">
        <v>7</v>
      </c>
      <c r="P181" t="s">
        <v>8</v>
      </c>
    </row>
    <row r="182" spans="6:16" x14ac:dyDescent="0.2">
      <c r="F182">
        <v>12</v>
      </c>
      <c r="H182" t="s">
        <v>1891</v>
      </c>
      <c r="I182" t="s">
        <v>1892</v>
      </c>
      <c r="J182" t="s">
        <v>12</v>
      </c>
      <c r="K182" t="s">
        <v>19</v>
      </c>
      <c r="L182">
        <v>1855</v>
      </c>
      <c r="M182">
        <v>66</v>
      </c>
      <c r="N182" t="s">
        <v>1458</v>
      </c>
      <c r="O182" t="s">
        <v>20</v>
      </c>
      <c r="P182" t="s">
        <v>20</v>
      </c>
    </row>
    <row r="183" spans="6:16" x14ac:dyDescent="0.2">
      <c r="H183" t="s">
        <v>1232</v>
      </c>
      <c r="I183" t="s">
        <v>1893</v>
      </c>
      <c r="J183" t="s">
        <v>1847</v>
      </c>
      <c r="K183" t="s">
        <v>13</v>
      </c>
      <c r="L183">
        <v>1871</v>
      </c>
      <c r="M183">
        <v>50</v>
      </c>
      <c r="N183" t="s">
        <v>778</v>
      </c>
      <c r="O183" t="s">
        <v>1894</v>
      </c>
      <c r="P183" t="s">
        <v>16</v>
      </c>
    </row>
    <row r="184" spans="6:16" x14ac:dyDescent="0.2">
      <c r="H184" t="s">
        <v>336</v>
      </c>
      <c r="I184" t="s">
        <v>1893</v>
      </c>
      <c r="J184" t="s">
        <v>22</v>
      </c>
      <c r="K184" t="s">
        <v>19</v>
      </c>
      <c r="L184">
        <v>1879</v>
      </c>
      <c r="M184">
        <v>42</v>
      </c>
      <c r="N184" t="s">
        <v>1458</v>
      </c>
      <c r="O184" t="s">
        <v>1895</v>
      </c>
      <c r="P184" t="s">
        <v>20</v>
      </c>
    </row>
    <row r="185" spans="6:16" x14ac:dyDescent="0.2">
      <c r="H185" t="s">
        <v>464</v>
      </c>
      <c r="I185" t="s">
        <v>1893</v>
      </c>
      <c r="J185" t="s">
        <v>1852</v>
      </c>
      <c r="K185" t="s">
        <v>19</v>
      </c>
      <c r="L185">
        <v>1903</v>
      </c>
      <c r="M185">
        <v>18</v>
      </c>
      <c r="N185" t="s">
        <v>1896</v>
      </c>
      <c r="O185" t="s">
        <v>50</v>
      </c>
      <c r="P185" t="s">
        <v>20</v>
      </c>
    </row>
    <row r="186" spans="6:16" x14ac:dyDescent="0.2">
      <c r="H186" t="s">
        <v>46</v>
      </c>
      <c r="I186" t="s">
        <v>1897</v>
      </c>
      <c r="J186" t="s">
        <v>1241</v>
      </c>
      <c r="K186" t="s">
        <v>19</v>
      </c>
      <c r="L186">
        <v>1881</v>
      </c>
      <c r="M186">
        <v>40</v>
      </c>
      <c r="N186" t="s">
        <v>49</v>
      </c>
      <c r="O186" t="s">
        <v>20</v>
      </c>
      <c r="P186" t="s">
        <v>20</v>
      </c>
    </row>
    <row r="187" spans="6:16" x14ac:dyDescent="0.2">
      <c r="H187" t="s">
        <v>1898</v>
      </c>
      <c r="I187" t="s">
        <v>1899</v>
      </c>
      <c r="J187" t="s">
        <v>58</v>
      </c>
      <c r="K187" t="s">
        <v>19</v>
      </c>
      <c r="L187">
        <v>1902</v>
      </c>
      <c r="M187">
        <v>19</v>
      </c>
      <c r="N187" t="s">
        <v>1900</v>
      </c>
      <c r="O187" t="s">
        <v>1901</v>
      </c>
      <c r="P187" t="s">
        <v>20</v>
      </c>
    </row>
    <row r="189" spans="6:16" x14ac:dyDescent="0.2">
      <c r="H189" t="s">
        <v>0</v>
      </c>
      <c r="I189" t="s">
        <v>1</v>
      </c>
      <c r="J189" t="s">
        <v>2</v>
      </c>
      <c r="K189" t="s">
        <v>3</v>
      </c>
      <c r="L189" t="s">
        <v>4</v>
      </c>
      <c r="M189" t="s">
        <v>5</v>
      </c>
      <c r="N189" t="s">
        <v>6</v>
      </c>
      <c r="O189" t="s">
        <v>7</v>
      </c>
      <c r="P189" t="s">
        <v>8</v>
      </c>
    </row>
    <row r="190" spans="6:16" x14ac:dyDescent="0.2">
      <c r="F190">
        <v>13</v>
      </c>
      <c r="H190" t="s">
        <v>464</v>
      </c>
      <c r="I190" t="s">
        <v>430</v>
      </c>
      <c r="J190" t="s">
        <v>782</v>
      </c>
      <c r="K190" t="s">
        <v>13</v>
      </c>
      <c r="L190">
        <v>1839</v>
      </c>
      <c r="M190">
        <v>81</v>
      </c>
      <c r="N190" t="s">
        <v>1902</v>
      </c>
      <c r="O190" t="s">
        <v>1903</v>
      </c>
      <c r="P190" t="s">
        <v>20</v>
      </c>
    </row>
    <row r="191" spans="6:16" x14ac:dyDescent="0.2">
      <c r="H191" t="s">
        <v>386</v>
      </c>
      <c r="I191" t="s">
        <v>430</v>
      </c>
      <c r="J191" t="s">
        <v>51</v>
      </c>
      <c r="K191" t="s">
        <v>13</v>
      </c>
      <c r="L191">
        <v>1872</v>
      </c>
      <c r="M191">
        <v>49</v>
      </c>
      <c r="N191" t="s">
        <v>368</v>
      </c>
      <c r="O191" t="s">
        <v>385</v>
      </c>
      <c r="P191" t="s">
        <v>16</v>
      </c>
    </row>
    <row r="192" spans="6:16" x14ac:dyDescent="0.2">
      <c r="H192" t="s">
        <v>464</v>
      </c>
      <c r="I192" t="s">
        <v>430</v>
      </c>
      <c r="J192" t="s">
        <v>51</v>
      </c>
      <c r="K192" t="s">
        <v>13</v>
      </c>
      <c r="L192">
        <v>1883</v>
      </c>
      <c r="M192">
        <v>38</v>
      </c>
      <c r="N192" t="s">
        <v>368</v>
      </c>
      <c r="O192" t="s">
        <v>1904</v>
      </c>
      <c r="P192" t="s">
        <v>1905</v>
      </c>
    </row>
    <row r="193" spans="6:16" x14ac:dyDescent="0.2">
      <c r="H193" t="s">
        <v>653</v>
      </c>
      <c r="I193" t="s">
        <v>430</v>
      </c>
      <c r="J193" t="s">
        <v>1906</v>
      </c>
      <c r="K193" t="s">
        <v>19</v>
      </c>
      <c r="L193">
        <v>1888</v>
      </c>
      <c r="M193">
        <v>32</v>
      </c>
      <c r="N193" t="s">
        <v>1907</v>
      </c>
      <c r="O193" t="s">
        <v>20</v>
      </c>
      <c r="P193" t="s">
        <v>20</v>
      </c>
    </row>
    <row r="195" spans="6:16" x14ac:dyDescent="0.2">
      <c r="H195" t="s">
        <v>0</v>
      </c>
      <c r="I195" t="s">
        <v>1</v>
      </c>
      <c r="J195" t="s">
        <v>2</v>
      </c>
      <c r="K195" t="s">
        <v>3</v>
      </c>
      <c r="L195" t="s">
        <v>4</v>
      </c>
      <c r="M195" t="s">
        <v>5</v>
      </c>
      <c r="N195" t="s">
        <v>6</v>
      </c>
      <c r="O195" t="s">
        <v>7</v>
      </c>
      <c r="P195" t="s">
        <v>8</v>
      </c>
    </row>
    <row r="196" spans="6:16" x14ac:dyDescent="0.2">
      <c r="F196">
        <v>14</v>
      </c>
      <c r="H196" t="s">
        <v>1908</v>
      </c>
      <c r="I196" t="s">
        <v>1909</v>
      </c>
      <c r="J196" t="s">
        <v>12</v>
      </c>
      <c r="K196" t="s">
        <v>13</v>
      </c>
      <c r="L196">
        <v>1861</v>
      </c>
      <c r="M196">
        <v>60</v>
      </c>
      <c r="N196" t="s">
        <v>14</v>
      </c>
      <c r="O196" t="s">
        <v>1910</v>
      </c>
      <c r="P196" t="s">
        <v>1911</v>
      </c>
    </row>
    <row r="197" spans="6:16" x14ac:dyDescent="0.2">
      <c r="H197" t="s">
        <v>1912</v>
      </c>
      <c r="I197" t="s">
        <v>1909</v>
      </c>
      <c r="J197" t="s">
        <v>22</v>
      </c>
      <c r="K197" t="s">
        <v>19</v>
      </c>
      <c r="L197">
        <v>1892</v>
      </c>
      <c r="M197">
        <v>29</v>
      </c>
      <c r="N197" t="s">
        <v>14</v>
      </c>
      <c r="O197" t="s">
        <v>489</v>
      </c>
      <c r="P197" t="s">
        <v>20</v>
      </c>
    </row>
    <row r="198" spans="6:16" x14ac:dyDescent="0.2">
      <c r="H198" t="s">
        <v>1230</v>
      </c>
      <c r="I198" t="s">
        <v>1909</v>
      </c>
      <c r="J198" t="s">
        <v>22</v>
      </c>
      <c r="K198" t="s">
        <v>19</v>
      </c>
      <c r="L198">
        <v>1893</v>
      </c>
      <c r="M198">
        <v>27</v>
      </c>
      <c r="N198" t="s">
        <v>14</v>
      </c>
      <c r="O198" t="s">
        <v>489</v>
      </c>
      <c r="P198" t="s">
        <v>20</v>
      </c>
    </row>
    <row r="199" spans="6:16" x14ac:dyDescent="0.2">
      <c r="H199" t="s">
        <v>1913</v>
      </c>
      <c r="I199" t="s">
        <v>1909</v>
      </c>
      <c r="J199" t="s">
        <v>22</v>
      </c>
      <c r="K199" t="s">
        <v>19</v>
      </c>
      <c r="L199">
        <v>1897</v>
      </c>
      <c r="M199">
        <v>24</v>
      </c>
      <c r="N199" t="s">
        <v>14</v>
      </c>
      <c r="O199" t="s">
        <v>1914</v>
      </c>
      <c r="P199" t="s">
        <v>1915</v>
      </c>
    </row>
    <row r="200" spans="6:16" x14ac:dyDescent="0.2">
      <c r="H200" t="s">
        <v>1916</v>
      </c>
      <c r="I200" t="s">
        <v>1909</v>
      </c>
      <c r="J200" t="s">
        <v>22</v>
      </c>
      <c r="K200" t="s">
        <v>19</v>
      </c>
      <c r="L200">
        <v>1899</v>
      </c>
      <c r="M200">
        <v>21</v>
      </c>
      <c r="N200" t="s">
        <v>1765</v>
      </c>
      <c r="O200" t="s">
        <v>1917</v>
      </c>
      <c r="P200" t="s">
        <v>1918</v>
      </c>
    </row>
    <row r="202" spans="6:16" x14ac:dyDescent="0.2">
      <c r="H202" t="s">
        <v>0</v>
      </c>
      <c r="I202" t="s">
        <v>1</v>
      </c>
      <c r="J202" t="s">
        <v>2</v>
      </c>
      <c r="K202" t="s">
        <v>3</v>
      </c>
      <c r="L202" t="s">
        <v>4</v>
      </c>
      <c r="M202" t="s">
        <v>5</v>
      </c>
      <c r="N202" t="s">
        <v>6</v>
      </c>
      <c r="O202" t="s">
        <v>7</v>
      </c>
      <c r="P202" t="s">
        <v>8</v>
      </c>
    </row>
    <row r="203" spans="6:16" x14ac:dyDescent="0.2">
      <c r="F203">
        <v>15</v>
      </c>
      <c r="H203" t="s">
        <v>423</v>
      </c>
      <c r="I203" t="s">
        <v>1919</v>
      </c>
      <c r="J203" t="s">
        <v>12</v>
      </c>
      <c r="K203" t="s">
        <v>13</v>
      </c>
      <c r="L203">
        <v>1872</v>
      </c>
      <c r="M203">
        <v>49</v>
      </c>
      <c r="N203" t="s">
        <v>1346</v>
      </c>
      <c r="O203" t="s">
        <v>1920</v>
      </c>
      <c r="P203" t="s">
        <v>1921</v>
      </c>
    </row>
    <row r="204" spans="6:16" x14ac:dyDescent="0.2">
      <c r="H204" t="s">
        <v>641</v>
      </c>
      <c r="I204" t="s">
        <v>1919</v>
      </c>
      <c r="J204" t="s">
        <v>18</v>
      </c>
      <c r="K204" t="s">
        <v>19</v>
      </c>
      <c r="L204">
        <v>1871</v>
      </c>
      <c r="M204">
        <v>49</v>
      </c>
      <c r="N204" t="s">
        <v>718</v>
      </c>
      <c r="O204" t="s">
        <v>50</v>
      </c>
      <c r="P204" t="s">
        <v>50</v>
      </c>
    </row>
    <row r="205" spans="6:16" x14ac:dyDescent="0.2">
      <c r="H205" t="s">
        <v>1922</v>
      </c>
      <c r="I205" t="s">
        <v>1919</v>
      </c>
      <c r="J205" t="s">
        <v>51</v>
      </c>
      <c r="K205" t="s">
        <v>13</v>
      </c>
      <c r="L205">
        <v>1896</v>
      </c>
      <c r="M205">
        <v>24</v>
      </c>
      <c r="N205" t="s">
        <v>49</v>
      </c>
      <c r="O205" t="s">
        <v>1923</v>
      </c>
      <c r="P205" t="s">
        <v>1143</v>
      </c>
    </row>
    <row r="206" spans="6:16" x14ac:dyDescent="0.2">
      <c r="H206" t="s">
        <v>1924</v>
      </c>
      <c r="I206" t="s">
        <v>1919</v>
      </c>
      <c r="J206" t="s">
        <v>51</v>
      </c>
      <c r="K206" t="s">
        <v>13</v>
      </c>
      <c r="L206">
        <v>1898</v>
      </c>
      <c r="M206">
        <v>22</v>
      </c>
      <c r="N206" t="s">
        <v>49</v>
      </c>
      <c r="O206" t="s">
        <v>1925</v>
      </c>
      <c r="P206" t="s">
        <v>1926</v>
      </c>
    </row>
    <row r="207" spans="6:16" x14ac:dyDescent="0.2">
      <c r="H207" t="s">
        <v>1510</v>
      </c>
      <c r="I207" t="s">
        <v>1927</v>
      </c>
      <c r="J207" t="s">
        <v>1928</v>
      </c>
      <c r="K207" t="s">
        <v>19</v>
      </c>
      <c r="L207">
        <v>1861</v>
      </c>
      <c r="M207">
        <v>60</v>
      </c>
      <c r="N207" t="s">
        <v>718</v>
      </c>
      <c r="O207" t="s">
        <v>407</v>
      </c>
      <c r="P207" t="s">
        <v>1929</v>
      </c>
    </row>
    <row r="209" spans="6:16" x14ac:dyDescent="0.2">
      <c r="H209" t="s">
        <v>0</v>
      </c>
      <c r="I209" t="s">
        <v>1</v>
      </c>
      <c r="J209" t="s">
        <v>2</v>
      </c>
      <c r="K209" t="s">
        <v>3</v>
      </c>
      <c r="L209" t="s">
        <v>4</v>
      </c>
      <c r="M209" t="s">
        <v>5</v>
      </c>
      <c r="N209" t="s">
        <v>6</v>
      </c>
      <c r="O209" t="s">
        <v>7</v>
      </c>
      <c r="P209" t="s">
        <v>8</v>
      </c>
    </row>
    <row r="210" spans="6:16" x14ac:dyDescent="0.2">
      <c r="F210">
        <v>16</v>
      </c>
      <c r="H210" t="s">
        <v>1930</v>
      </c>
      <c r="I210" t="s">
        <v>1931</v>
      </c>
      <c r="J210" t="s">
        <v>12</v>
      </c>
      <c r="K210" t="s">
        <v>13</v>
      </c>
      <c r="L210">
        <v>1866</v>
      </c>
      <c r="M210">
        <v>54</v>
      </c>
      <c r="N210" t="s">
        <v>778</v>
      </c>
      <c r="O210" t="s">
        <v>1932</v>
      </c>
      <c r="P210" t="s">
        <v>8</v>
      </c>
    </row>
    <row r="211" spans="6:16" x14ac:dyDescent="0.2">
      <c r="H211" t="s">
        <v>1933</v>
      </c>
      <c r="I211" t="s">
        <v>1931</v>
      </c>
      <c r="J211" t="s">
        <v>144</v>
      </c>
      <c r="K211" t="s">
        <v>19</v>
      </c>
      <c r="L211">
        <v>1865</v>
      </c>
      <c r="M211">
        <v>56</v>
      </c>
      <c r="N211" t="s">
        <v>778</v>
      </c>
      <c r="O211" t="s">
        <v>1934</v>
      </c>
      <c r="P211" t="s">
        <v>20</v>
      </c>
    </row>
    <row r="213" spans="6:16" x14ac:dyDescent="0.2">
      <c r="H213" t="s">
        <v>0</v>
      </c>
      <c r="I213" t="s">
        <v>1</v>
      </c>
      <c r="J213" t="s">
        <v>2</v>
      </c>
      <c r="K213" t="s">
        <v>3</v>
      </c>
      <c r="L213" t="s">
        <v>4</v>
      </c>
      <c r="M213" t="s">
        <v>5</v>
      </c>
      <c r="N213" t="s">
        <v>6</v>
      </c>
      <c r="O213" t="s">
        <v>7</v>
      </c>
      <c r="P213" t="s">
        <v>8</v>
      </c>
    </row>
    <row r="214" spans="6:16" x14ac:dyDescent="0.2">
      <c r="F214">
        <v>17</v>
      </c>
      <c r="H214" t="s">
        <v>1935</v>
      </c>
      <c r="I214" t="s">
        <v>1936</v>
      </c>
      <c r="J214" t="s">
        <v>12</v>
      </c>
      <c r="K214" t="s">
        <v>13</v>
      </c>
      <c r="L214">
        <v>1858</v>
      </c>
      <c r="M214">
        <v>63</v>
      </c>
      <c r="N214" t="s">
        <v>49</v>
      </c>
      <c r="O214" t="s">
        <v>1937</v>
      </c>
      <c r="P214" t="s">
        <v>1938</v>
      </c>
    </row>
    <row r="215" spans="6:16" x14ac:dyDescent="0.2">
      <c r="H215" t="s">
        <v>138</v>
      </c>
      <c r="I215" t="s">
        <v>1936</v>
      </c>
      <c r="J215" t="s">
        <v>18</v>
      </c>
      <c r="K215" t="s">
        <v>19</v>
      </c>
      <c r="L215">
        <v>1859</v>
      </c>
      <c r="M215">
        <v>62</v>
      </c>
      <c r="N215" t="s">
        <v>49</v>
      </c>
      <c r="O215" t="s">
        <v>468</v>
      </c>
      <c r="P215" t="s">
        <v>20</v>
      </c>
    </row>
    <row r="216" spans="6:16" x14ac:dyDescent="0.2">
      <c r="H216" t="s">
        <v>1939</v>
      </c>
      <c r="I216" t="s">
        <v>1936</v>
      </c>
      <c r="J216" t="s">
        <v>22</v>
      </c>
      <c r="K216" t="s">
        <v>19</v>
      </c>
      <c r="L216">
        <v>1887</v>
      </c>
      <c r="M216">
        <v>34</v>
      </c>
      <c r="N216" t="s">
        <v>49</v>
      </c>
      <c r="O216" t="s">
        <v>1940</v>
      </c>
      <c r="P216" t="s">
        <v>1941</v>
      </c>
    </row>
    <row r="218" spans="6:16" x14ac:dyDescent="0.2">
      <c r="H218" t="s">
        <v>0</v>
      </c>
      <c r="I218" t="s">
        <v>1</v>
      </c>
      <c r="J218" t="s">
        <v>2</v>
      </c>
      <c r="K218" t="s">
        <v>3</v>
      </c>
      <c r="L218" t="s">
        <v>4</v>
      </c>
      <c r="M218" t="s">
        <v>5</v>
      </c>
      <c r="N218" t="s">
        <v>6</v>
      </c>
      <c r="O218" t="s">
        <v>7</v>
      </c>
      <c r="P218" t="s">
        <v>8</v>
      </c>
    </row>
    <row r="219" spans="6:16" x14ac:dyDescent="0.2">
      <c r="F219">
        <v>18</v>
      </c>
      <c r="H219" t="s">
        <v>1942</v>
      </c>
      <c r="I219" t="s">
        <v>1943</v>
      </c>
      <c r="J219" t="s">
        <v>12</v>
      </c>
      <c r="K219" t="s">
        <v>13</v>
      </c>
      <c r="L219">
        <v>1885</v>
      </c>
      <c r="M219">
        <v>35</v>
      </c>
      <c r="N219" t="s">
        <v>989</v>
      </c>
      <c r="O219" t="s">
        <v>15</v>
      </c>
      <c r="P219" t="s">
        <v>1944</v>
      </c>
    </row>
    <row r="220" spans="6:16" x14ac:dyDescent="0.2">
      <c r="H220" t="s">
        <v>413</v>
      </c>
      <c r="I220" t="s">
        <v>1943</v>
      </c>
      <c r="J220" t="s">
        <v>18</v>
      </c>
      <c r="K220" t="s">
        <v>19</v>
      </c>
      <c r="L220">
        <v>1884</v>
      </c>
      <c r="M220">
        <v>36</v>
      </c>
      <c r="N220" t="s">
        <v>134</v>
      </c>
      <c r="O220" t="s">
        <v>47</v>
      </c>
      <c r="P220" t="s">
        <v>20</v>
      </c>
    </row>
    <row r="222" spans="6:16" x14ac:dyDescent="0.2">
      <c r="H222" t="s">
        <v>0</v>
      </c>
      <c r="I222" t="s">
        <v>1</v>
      </c>
      <c r="J222" t="s">
        <v>2</v>
      </c>
      <c r="K222" t="s">
        <v>3</v>
      </c>
      <c r="L222" t="s">
        <v>4</v>
      </c>
      <c r="M222" t="s">
        <v>5</v>
      </c>
      <c r="N222" t="s">
        <v>6</v>
      </c>
      <c r="O222" t="s">
        <v>7</v>
      </c>
      <c r="P222" t="s">
        <v>8</v>
      </c>
    </row>
    <row r="223" spans="6:16" x14ac:dyDescent="0.2">
      <c r="F223">
        <v>19</v>
      </c>
      <c r="H223" t="s">
        <v>1232</v>
      </c>
      <c r="I223" t="s">
        <v>787</v>
      </c>
      <c r="J223" t="s">
        <v>12</v>
      </c>
      <c r="K223" t="s">
        <v>13</v>
      </c>
      <c r="L223">
        <v>1852</v>
      </c>
      <c r="M223">
        <v>69</v>
      </c>
      <c r="N223" t="s">
        <v>368</v>
      </c>
      <c r="O223" t="s">
        <v>47</v>
      </c>
      <c r="P223" t="s">
        <v>20</v>
      </c>
    </row>
    <row r="224" spans="6:16" x14ac:dyDescent="0.2">
      <c r="H224" t="s">
        <v>1898</v>
      </c>
      <c r="I224" t="s">
        <v>787</v>
      </c>
      <c r="J224" t="s">
        <v>18</v>
      </c>
      <c r="K224" t="s">
        <v>19</v>
      </c>
      <c r="L224">
        <v>1848</v>
      </c>
      <c r="M224">
        <v>73</v>
      </c>
      <c r="N224" t="s">
        <v>388</v>
      </c>
      <c r="O224" t="s">
        <v>50</v>
      </c>
      <c r="P224" t="s">
        <v>20</v>
      </c>
    </row>
    <row r="225" spans="6:16" x14ac:dyDescent="0.2">
      <c r="H225" t="s">
        <v>1945</v>
      </c>
      <c r="I225" t="s">
        <v>1946</v>
      </c>
      <c r="J225" t="s">
        <v>22</v>
      </c>
      <c r="K225" t="s">
        <v>19</v>
      </c>
      <c r="L225">
        <v>1876</v>
      </c>
      <c r="M225">
        <v>44</v>
      </c>
      <c r="N225" t="s">
        <v>1947</v>
      </c>
      <c r="O225" t="s">
        <v>50</v>
      </c>
      <c r="P225" t="s">
        <v>20</v>
      </c>
    </row>
    <row r="226" spans="6:16" x14ac:dyDescent="0.2">
      <c r="H226" t="s">
        <v>464</v>
      </c>
      <c r="I226" t="s">
        <v>1946</v>
      </c>
      <c r="J226" t="s">
        <v>1847</v>
      </c>
      <c r="K226" t="s">
        <v>13</v>
      </c>
      <c r="L226">
        <v>1857</v>
      </c>
      <c r="M226">
        <v>63</v>
      </c>
      <c r="N226" t="s">
        <v>1948</v>
      </c>
      <c r="O226" t="s">
        <v>1949</v>
      </c>
      <c r="P226" t="s">
        <v>1950</v>
      </c>
    </row>
    <row r="227" spans="6:16" x14ac:dyDescent="0.2">
      <c r="H227" t="s">
        <v>1951</v>
      </c>
      <c r="I227" t="s">
        <v>787</v>
      </c>
      <c r="J227" t="s">
        <v>22</v>
      </c>
      <c r="K227" t="s">
        <v>19</v>
      </c>
      <c r="L227">
        <v>1879</v>
      </c>
      <c r="M227">
        <v>41</v>
      </c>
      <c r="N227" t="s">
        <v>388</v>
      </c>
      <c r="O227" t="s">
        <v>1952</v>
      </c>
      <c r="P227" t="s">
        <v>1953</v>
      </c>
    </row>
    <row r="229" spans="6:16" x14ac:dyDescent="0.2">
      <c r="H229" t="s">
        <v>0</v>
      </c>
      <c r="I229" t="s">
        <v>1</v>
      </c>
      <c r="J229" t="s">
        <v>2</v>
      </c>
      <c r="K229" t="s">
        <v>3</v>
      </c>
      <c r="L229" t="s">
        <v>4</v>
      </c>
      <c r="M229" t="s">
        <v>5</v>
      </c>
      <c r="N229" t="s">
        <v>6</v>
      </c>
      <c r="O229" t="s">
        <v>7</v>
      </c>
      <c r="P229" t="s">
        <v>8</v>
      </c>
    </row>
    <row r="230" spans="6:16" x14ac:dyDescent="0.2">
      <c r="F230">
        <v>20</v>
      </c>
      <c r="H230" t="s">
        <v>1954</v>
      </c>
      <c r="I230" t="s">
        <v>1955</v>
      </c>
      <c r="J230" t="s">
        <v>12</v>
      </c>
      <c r="K230" t="s">
        <v>13</v>
      </c>
      <c r="L230">
        <v>1887</v>
      </c>
      <c r="M230">
        <v>34</v>
      </c>
      <c r="N230" t="s">
        <v>1956</v>
      </c>
      <c r="O230" t="s">
        <v>20</v>
      </c>
      <c r="P230" t="s">
        <v>1957</v>
      </c>
    </row>
    <row r="231" spans="6:16" x14ac:dyDescent="0.2">
      <c r="H231" t="s">
        <v>1958</v>
      </c>
      <c r="I231" t="s">
        <v>1955</v>
      </c>
      <c r="J231" t="s">
        <v>18</v>
      </c>
      <c r="K231" t="s">
        <v>19</v>
      </c>
      <c r="L231">
        <v>1889</v>
      </c>
      <c r="M231">
        <v>32</v>
      </c>
      <c r="N231" t="s">
        <v>77</v>
      </c>
      <c r="O231" t="s">
        <v>20</v>
      </c>
      <c r="P231" t="s">
        <v>20</v>
      </c>
    </row>
    <row r="233" spans="6:16" x14ac:dyDescent="0.2">
      <c r="H233" t="s">
        <v>0</v>
      </c>
      <c r="I233" t="s">
        <v>1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</row>
    <row r="234" spans="6:16" x14ac:dyDescent="0.2">
      <c r="F234">
        <v>21</v>
      </c>
      <c r="H234" t="s">
        <v>1959</v>
      </c>
      <c r="I234" t="s">
        <v>1960</v>
      </c>
      <c r="J234" t="s">
        <v>12</v>
      </c>
      <c r="K234" t="s">
        <v>13</v>
      </c>
      <c r="L234">
        <v>1855</v>
      </c>
      <c r="M234">
        <v>66</v>
      </c>
      <c r="N234" t="s">
        <v>1961</v>
      </c>
      <c r="O234" t="s">
        <v>1962</v>
      </c>
      <c r="P234" t="s">
        <v>1963</v>
      </c>
    </row>
    <row r="235" spans="6:16" x14ac:dyDescent="0.2">
      <c r="H235" t="s">
        <v>1964</v>
      </c>
      <c r="I235" t="s">
        <v>1960</v>
      </c>
      <c r="J235" t="s">
        <v>18</v>
      </c>
      <c r="K235" t="s">
        <v>19</v>
      </c>
      <c r="L235">
        <v>1863</v>
      </c>
      <c r="M235">
        <v>58</v>
      </c>
      <c r="N235" t="s">
        <v>1965</v>
      </c>
      <c r="O235" t="s">
        <v>50</v>
      </c>
      <c r="P235" t="s">
        <v>20</v>
      </c>
    </row>
    <row r="236" spans="6:16" x14ac:dyDescent="0.2">
      <c r="H236" t="s">
        <v>1966</v>
      </c>
      <c r="I236" t="s">
        <v>1960</v>
      </c>
      <c r="J236" t="s">
        <v>58</v>
      </c>
      <c r="K236" t="s">
        <v>19</v>
      </c>
      <c r="L236">
        <v>1868</v>
      </c>
      <c r="M236">
        <v>52</v>
      </c>
      <c r="N236" t="s">
        <v>1967</v>
      </c>
      <c r="O236" t="s">
        <v>1968</v>
      </c>
      <c r="P236" t="s">
        <v>1969</v>
      </c>
    </row>
    <row r="237" spans="6:16" x14ac:dyDescent="0.2">
      <c r="H237" t="s">
        <v>318</v>
      </c>
      <c r="I237" t="s">
        <v>1012</v>
      </c>
      <c r="J237" t="s">
        <v>51</v>
      </c>
      <c r="K237" t="s">
        <v>19</v>
      </c>
      <c r="L237">
        <v>1901</v>
      </c>
      <c r="M237">
        <v>20</v>
      </c>
      <c r="N237" t="s">
        <v>1970</v>
      </c>
      <c r="O237" t="s">
        <v>344</v>
      </c>
      <c r="P237" t="s">
        <v>29</v>
      </c>
    </row>
    <row r="239" spans="6:16" x14ac:dyDescent="0.2">
      <c r="H239" t="s">
        <v>0</v>
      </c>
      <c r="I239" t="s">
        <v>1</v>
      </c>
      <c r="J239" t="s">
        <v>2</v>
      </c>
      <c r="K239" t="s">
        <v>3</v>
      </c>
      <c r="L239" t="s">
        <v>4</v>
      </c>
      <c r="M239" t="s">
        <v>5</v>
      </c>
      <c r="N239" t="s">
        <v>6</v>
      </c>
      <c r="O239" t="s">
        <v>7</v>
      </c>
      <c r="P239" t="s">
        <v>8</v>
      </c>
    </row>
    <row r="240" spans="6:16" x14ac:dyDescent="0.2">
      <c r="F240">
        <v>22</v>
      </c>
      <c r="H240" t="s">
        <v>386</v>
      </c>
      <c r="I240" t="s">
        <v>1191</v>
      </c>
      <c r="J240" t="s">
        <v>12</v>
      </c>
      <c r="K240" t="s">
        <v>13</v>
      </c>
      <c r="L240">
        <v>1849</v>
      </c>
      <c r="M240">
        <v>72</v>
      </c>
      <c r="N240" t="s">
        <v>1463</v>
      </c>
      <c r="O240" t="s">
        <v>1090</v>
      </c>
      <c r="P240" t="s">
        <v>20</v>
      </c>
    </row>
    <row r="241" spans="8:16" x14ac:dyDescent="0.2">
      <c r="H241" t="s">
        <v>1425</v>
      </c>
      <c r="I241" t="s">
        <v>1191</v>
      </c>
      <c r="J241" t="s">
        <v>18</v>
      </c>
      <c r="K241" t="s">
        <v>19</v>
      </c>
      <c r="L241">
        <v>1854</v>
      </c>
      <c r="M241">
        <v>67</v>
      </c>
      <c r="N241" t="s">
        <v>20</v>
      </c>
      <c r="O241" t="s">
        <v>50</v>
      </c>
      <c r="P241" t="s">
        <v>20</v>
      </c>
    </row>
    <row r="242" spans="8:16" x14ac:dyDescent="0.2">
      <c r="H242" t="s">
        <v>1971</v>
      </c>
      <c r="I242" t="s">
        <v>1191</v>
      </c>
      <c r="J242" t="s">
        <v>22</v>
      </c>
      <c r="K242" t="s">
        <v>19</v>
      </c>
      <c r="L242">
        <v>1890</v>
      </c>
      <c r="M242">
        <v>30</v>
      </c>
      <c r="N242" t="s">
        <v>49</v>
      </c>
      <c r="O242" t="s">
        <v>50</v>
      </c>
      <c r="P242" t="s">
        <v>20</v>
      </c>
    </row>
    <row r="243" spans="8:16" x14ac:dyDescent="0.2">
      <c r="H243" t="s">
        <v>1972</v>
      </c>
      <c r="I243" t="s">
        <v>1191</v>
      </c>
      <c r="J243" t="s">
        <v>51</v>
      </c>
      <c r="K243" t="s">
        <v>13</v>
      </c>
      <c r="L243">
        <v>1896</v>
      </c>
      <c r="M243">
        <v>25</v>
      </c>
      <c r="N243" t="s">
        <v>49</v>
      </c>
      <c r="O243" t="s">
        <v>1848</v>
      </c>
      <c r="P243" t="s">
        <v>1973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8C68-AB1A-584F-9FC0-D32F642FE0FA}">
  <dimension ref="A1:BC187"/>
  <sheetViews>
    <sheetView workbookViewId="0">
      <pane ySplit="2" topLeftCell="A160" activePane="bottomLeft" state="frozen"/>
      <selection activeCell="D1" sqref="D1"/>
      <selection pane="bottomLeft" activeCell="I170" sqref="I170"/>
    </sheetView>
  </sheetViews>
  <sheetFormatPr baseColWidth="10" defaultColWidth="10.83203125" defaultRowHeight="16" x14ac:dyDescent="0.2"/>
  <cols>
    <col min="4" max="4" width="17.83203125" customWidth="1"/>
    <col min="5" max="5" width="12.1640625" customWidth="1"/>
    <col min="6" max="6" width="8.83203125" customWidth="1"/>
    <col min="11" max="11" width="6.664062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27" width="16.5" customWidth="1"/>
    <col min="28" max="28" width="25.1640625" customWidth="1"/>
    <col min="29" max="30" width="16.5" customWidth="1"/>
    <col min="31" max="31" width="14.6640625" customWidth="1"/>
    <col min="32" max="32" width="18.832031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/>
      <c r="B3" s="9"/>
      <c r="C3" s="7"/>
      <c r="D3" s="7"/>
      <c r="E3" s="7"/>
      <c r="F3" s="7"/>
      <c r="G3" s="7" t="s">
        <v>1</v>
      </c>
      <c r="H3" s="7" t="s">
        <v>0</v>
      </c>
      <c r="J3" s="7" t="s">
        <v>3</v>
      </c>
      <c r="N3" s="7" t="s">
        <v>2</v>
      </c>
      <c r="P3" s="7"/>
      <c r="T3" s="6" t="s">
        <v>5</v>
      </c>
      <c r="Y3" s="5"/>
      <c r="Z3" s="5"/>
      <c r="AA3" s="6" t="s">
        <v>7</v>
      </c>
      <c r="AB3" s="6" t="s">
        <v>8</v>
      </c>
      <c r="AC3" s="7"/>
      <c r="AD3" s="7"/>
      <c r="AE3" s="7"/>
      <c r="AF3" s="6" t="s">
        <v>6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7" t="s">
        <v>589</v>
      </c>
      <c r="B4" s="7">
        <v>1921</v>
      </c>
      <c r="C4" s="7">
        <v>1</v>
      </c>
      <c r="D4" s="7" t="s">
        <v>590</v>
      </c>
      <c r="E4" s="7"/>
      <c r="F4" s="7">
        <v>8</v>
      </c>
      <c r="G4" s="7" t="s">
        <v>1996</v>
      </c>
      <c r="H4" s="7" t="s">
        <v>1995</v>
      </c>
      <c r="I4">
        <v>1</v>
      </c>
      <c r="J4" s="7" t="s">
        <v>13</v>
      </c>
      <c r="K4">
        <v>1</v>
      </c>
      <c r="N4" s="7">
        <v>1</v>
      </c>
      <c r="P4" s="7"/>
      <c r="T4" s="6">
        <v>35</v>
      </c>
      <c r="Y4" s="7"/>
      <c r="Z4" s="7"/>
      <c r="AA4" s="6" t="s">
        <v>1998</v>
      </c>
      <c r="AB4" s="6" t="s">
        <v>1999</v>
      </c>
      <c r="AC4" s="7">
        <v>1</v>
      </c>
      <c r="AD4" s="7"/>
      <c r="AE4" s="7"/>
      <c r="AF4" s="6" t="s">
        <v>1997</v>
      </c>
      <c r="AG4">
        <v>1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7" t="s">
        <v>589</v>
      </c>
      <c r="B5" s="7">
        <v>1921</v>
      </c>
      <c r="C5" s="7">
        <v>1</v>
      </c>
      <c r="D5" s="7" t="s">
        <v>590</v>
      </c>
      <c r="E5" s="7"/>
      <c r="F5" s="7"/>
      <c r="G5" s="7" t="s">
        <v>1996</v>
      </c>
      <c r="H5" s="7" t="s">
        <v>2000</v>
      </c>
      <c r="I5">
        <v>2</v>
      </c>
      <c r="J5" s="7">
        <v>1</v>
      </c>
      <c r="N5" s="7" t="s">
        <v>18</v>
      </c>
      <c r="O5">
        <v>1</v>
      </c>
      <c r="P5" s="7"/>
      <c r="T5" s="6">
        <v>27</v>
      </c>
      <c r="Y5" s="7"/>
      <c r="Z5" s="7"/>
      <c r="AA5" s="6" t="s">
        <v>50</v>
      </c>
      <c r="AB5" s="6" t="s">
        <v>20</v>
      </c>
      <c r="AC5" s="7"/>
      <c r="AD5" s="7"/>
      <c r="AE5" s="7"/>
      <c r="AF5" s="6" t="s">
        <v>2001</v>
      </c>
      <c r="AG5">
        <v>1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7" t="s">
        <v>589</v>
      </c>
      <c r="B6" s="7">
        <v>1921</v>
      </c>
      <c r="C6" s="7">
        <v>1</v>
      </c>
      <c r="D6" s="7" t="s">
        <v>590</v>
      </c>
      <c r="E6" s="7"/>
      <c r="F6" s="7"/>
      <c r="G6" s="7" t="s">
        <v>1996</v>
      </c>
      <c r="H6" s="7" t="s">
        <v>2002</v>
      </c>
      <c r="I6">
        <v>3</v>
      </c>
      <c r="J6" s="7" t="s">
        <v>13</v>
      </c>
      <c r="M6">
        <v>1</v>
      </c>
      <c r="N6" s="7" t="s">
        <v>51</v>
      </c>
      <c r="P6" s="7"/>
      <c r="Q6">
        <v>1</v>
      </c>
      <c r="T6" s="7">
        <v>1</v>
      </c>
      <c r="Y6" s="7"/>
      <c r="Z6" s="7"/>
      <c r="AA6" s="7" t="s">
        <v>20</v>
      </c>
      <c r="AB6" s="7" t="s">
        <v>20</v>
      </c>
      <c r="AC6" s="7"/>
      <c r="AD6" s="7"/>
      <c r="AE6" s="7"/>
      <c r="AF6" s="7" t="s">
        <v>49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7" t="s">
        <v>589</v>
      </c>
      <c r="B7" s="7">
        <v>1921</v>
      </c>
      <c r="C7" s="7">
        <v>1</v>
      </c>
      <c r="D7" s="7" t="s">
        <v>590</v>
      </c>
      <c r="E7" s="7"/>
      <c r="F7" s="7"/>
      <c r="G7" s="7" t="s">
        <v>2003</v>
      </c>
      <c r="H7" s="7" t="s">
        <v>326</v>
      </c>
      <c r="I7">
        <v>4</v>
      </c>
      <c r="J7" s="7">
        <v>1</v>
      </c>
      <c r="N7" s="7" t="s">
        <v>26</v>
      </c>
      <c r="P7" s="7"/>
      <c r="S7">
        <v>1</v>
      </c>
      <c r="T7" s="6">
        <v>20</v>
      </c>
      <c r="Y7" s="7"/>
      <c r="Z7" s="7"/>
      <c r="AA7" s="6" t="s">
        <v>344</v>
      </c>
      <c r="AB7" s="6" t="s">
        <v>20</v>
      </c>
      <c r="AC7" s="7">
        <v>1</v>
      </c>
      <c r="AD7" s="7"/>
      <c r="AE7" s="7"/>
      <c r="AF7" s="6" t="s">
        <v>152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7" t="s">
        <v>589</v>
      </c>
      <c r="B8" s="7">
        <v>1921</v>
      </c>
      <c r="C8" s="7">
        <v>1</v>
      </c>
      <c r="D8" s="7" t="s">
        <v>590</v>
      </c>
      <c r="E8" s="7"/>
      <c r="F8" s="7"/>
      <c r="G8" s="7"/>
      <c r="H8" s="7">
        <v>4</v>
      </c>
      <c r="J8" s="7"/>
      <c r="N8" s="7"/>
      <c r="P8" s="7"/>
      <c r="T8" s="6"/>
      <c r="Y8" s="7"/>
      <c r="Z8" s="7"/>
      <c r="AA8" s="6"/>
      <c r="AB8" s="6"/>
      <c r="AC8" s="7"/>
      <c r="AD8" s="7"/>
      <c r="AE8" s="7"/>
      <c r="AF8" s="6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7" t="s">
        <v>589</v>
      </c>
      <c r="B9" s="7"/>
      <c r="C9" s="7"/>
      <c r="D9" s="7"/>
      <c r="E9" s="7"/>
      <c r="F9" s="7"/>
      <c r="G9" s="7" t="s">
        <v>1</v>
      </c>
      <c r="H9" s="7" t="s">
        <v>0</v>
      </c>
      <c r="J9" s="7" t="s">
        <v>3</v>
      </c>
      <c r="N9" s="7" t="s">
        <v>2</v>
      </c>
      <c r="P9" s="7"/>
      <c r="T9" s="6" t="s">
        <v>5</v>
      </c>
      <c r="Y9" s="7"/>
      <c r="Z9" s="7"/>
      <c r="AA9" s="6" t="s">
        <v>7</v>
      </c>
      <c r="AB9" s="6" t="s">
        <v>8</v>
      </c>
      <c r="AC9" s="7"/>
      <c r="AD9" s="7"/>
      <c r="AE9" s="7"/>
      <c r="AF9" s="6" t="s">
        <v>6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7" t="s">
        <v>589</v>
      </c>
      <c r="B10" s="7">
        <v>1921</v>
      </c>
      <c r="C10" s="7">
        <v>2</v>
      </c>
      <c r="D10" s="7" t="s">
        <v>590</v>
      </c>
      <c r="E10" s="7"/>
      <c r="F10" s="7"/>
      <c r="G10" s="7" t="s">
        <v>2005</v>
      </c>
      <c r="H10" s="7" t="s">
        <v>2004</v>
      </c>
      <c r="I10">
        <v>5</v>
      </c>
      <c r="J10" s="7" t="s">
        <v>13</v>
      </c>
      <c r="K10">
        <v>1</v>
      </c>
      <c r="N10" s="7">
        <v>1</v>
      </c>
      <c r="P10" s="7"/>
      <c r="T10" s="6">
        <v>62</v>
      </c>
      <c r="Y10" s="7"/>
      <c r="Z10" s="7"/>
      <c r="AA10" s="6" t="s">
        <v>2006</v>
      </c>
      <c r="AB10" s="6" t="s">
        <v>16</v>
      </c>
      <c r="AC10" s="7"/>
      <c r="AD10" s="7"/>
      <c r="AE10" s="7"/>
      <c r="AF10" s="6" t="s">
        <v>49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7" t="s">
        <v>589</v>
      </c>
      <c r="B11" s="7">
        <v>1921</v>
      </c>
      <c r="C11" s="7">
        <v>2</v>
      </c>
      <c r="D11" s="7" t="s">
        <v>590</v>
      </c>
      <c r="E11" s="7"/>
      <c r="F11" s="7"/>
      <c r="G11" s="7" t="s">
        <v>2005</v>
      </c>
      <c r="H11" s="7" t="s">
        <v>2007</v>
      </c>
      <c r="I11">
        <v>6</v>
      </c>
      <c r="J11" s="7">
        <v>1</v>
      </c>
      <c r="N11" s="7" t="s">
        <v>18</v>
      </c>
      <c r="O11">
        <v>1</v>
      </c>
      <c r="P11" s="7"/>
      <c r="T11" s="6">
        <v>41</v>
      </c>
      <c r="Y11" s="7"/>
      <c r="Z11" s="7"/>
      <c r="AA11" s="6" t="s">
        <v>50</v>
      </c>
      <c r="AB11" s="6" t="s">
        <v>20</v>
      </c>
      <c r="AC11" s="7"/>
      <c r="AD11" s="7"/>
      <c r="AE11" s="7"/>
      <c r="AF11" s="6" t="s">
        <v>2008</v>
      </c>
      <c r="AG11">
        <v>1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7" t="s">
        <v>589</v>
      </c>
      <c r="B12" s="7">
        <v>1921</v>
      </c>
      <c r="C12" s="7">
        <v>2</v>
      </c>
      <c r="D12" s="7" t="s">
        <v>590</v>
      </c>
      <c r="E12" s="7"/>
      <c r="F12" s="7"/>
      <c r="G12" s="7" t="s">
        <v>2009</v>
      </c>
      <c r="H12" s="7" t="s">
        <v>345</v>
      </c>
      <c r="I12">
        <v>7</v>
      </c>
      <c r="J12" s="7">
        <v>1</v>
      </c>
      <c r="N12" s="7" t="s">
        <v>26</v>
      </c>
      <c r="P12" s="7"/>
      <c r="S12">
        <v>1</v>
      </c>
      <c r="T12" s="6">
        <v>21</v>
      </c>
      <c r="Y12" s="7"/>
      <c r="Z12" s="7"/>
      <c r="AA12" s="6" t="s">
        <v>344</v>
      </c>
      <c r="AB12" s="6" t="s">
        <v>2010</v>
      </c>
      <c r="AC12" s="7">
        <v>1</v>
      </c>
      <c r="AD12" s="7"/>
      <c r="AE12" s="7"/>
      <c r="AF12" s="6" t="s">
        <v>2008</v>
      </c>
      <c r="AG12">
        <v>1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7" t="s">
        <v>589</v>
      </c>
      <c r="B13" s="7"/>
      <c r="C13" s="7"/>
      <c r="D13" s="7"/>
      <c r="E13" s="7"/>
      <c r="F13" s="7"/>
      <c r="G13" s="7"/>
      <c r="H13" s="7">
        <v>3</v>
      </c>
      <c r="J13" s="7"/>
      <c r="N13" s="7"/>
      <c r="P13" s="7"/>
      <c r="T13" s="6"/>
      <c r="Y13" s="5"/>
      <c r="Z13" s="5"/>
      <c r="AA13" s="6"/>
      <c r="AB13" s="6"/>
      <c r="AC13" s="7"/>
      <c r="AD13" s="7"/>
      <c r="AE13" s="7"/>
      <c r="AF13" s="6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7" t="s">
        <v>589</v>
      </c>
      <c r="B14" s="7">
        <v>1921</v>
      </c>
      <c r="C14" s="7">
        <v>3</v>
      </c>
      <c r="D14" s="7" t="s">
        <v>590</v>
      </c>
      <c r="E14" s="7"/>
      <c r="F14" s="7"/>
      <c r="G14" s="7" t="s">
        <v>1</v>
      </c>
      <c r="H14" s="7" t="s">
        <v>0</v>
      </c>
      <c r="J14" s="7" t="s">
        <v>3</v>
      </c>
      <c r="N14" s="7" t="s">
        <v>2</v>
      </c>
      <c r="P14" s="7"/>
      <c r="T14" s="7" t="s">
        <v>5</v>
      </c>
      <c r="Y14" s="7"/>
      <c r="Z14" s="7"/>
      <c r="AA14" s="7" t="s">
        <v>7</v>
      </c>
      <c r="AB14" s="7" t="s">
        <v>8</v>
      </c>
      <c r="AC14" s="7"/>
      <c r="AD14" s="7"/>
      <c r="AE14" s="7"/>
      <c r="AF14" s="7" t="s">
        <v>6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7" t="s">
        <v>589</v>
      </c>
      <c r="B15" s="7">
        <v>1921</v>
      </c>
      <c r="C15" s="7">
        <v>3</v>
      </c>
      <c r="D15" s="7" t="s">
        <v>590</v>
      </c>
      <c r="E15" s="7"/>
      <c r="F15" s="7"/>
      <c r="G15" s="7" t="s">
        <v>2012</v>
      </c>
      <c r="H15" s="7" t="s">
        <v>2011</v>
      </c>
      <c r="I15">
        <v>8</v>
      </c>
      <c r="J15" s="7">
        <v>1</v>
      </c>
      <c r="N15" s="7" t="s">
        <v>18</v>
      </c>
      <c r="O15">
        <v>1</v>
      </c>
      <c r="P15" s="7"/>
      <c r="T15" s="7">
        <v>74</v>
      </c>
      <c r="Y15" s="7"/>
      <c r="Z15" s="7"/>
      <c r="AA15" s="7" t="s">
        <v>50</v>
      </c>
      <c r="AB15" s="7" t="s">
        <v>20</v>
      </c>
      <c r="AC15" s="20"/>
      <c r="AD15" s="7"/>
      <c r="AE15" s="7"/>
      <c r="AF15" s="7" t="s">
        <v>2013</v>
      </c>
      <c r="AG15">
        <v>1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7" t="s">
        <v>589</v>
      </c>
      <c r="B16" s="7">
        <v>1921</v>
      </c>
      <c r="C16" s="7">
        <v>3</v>
      </c>
      <c r="D16" s="7" t="s">
        <v>590</v>
      </c>
      <c r="E16" s="7"/>
      <c r="F16" s="7"/>
      <c r="G16" s="21" t="s">
        <v>2012</v>
      </c>
      <c r="H16" s="21" t="s">
        <v>2014</v>
      </c>
      <c r="I16">
        <v>9</v>
      </c>
      <c r="J16" s="7">
        <v>1</v>
      </c>
      <c r="N16" s="7" t="s">
        <v>910</v>
      </c>
      <c r="P16" s="7"/>
      <c r="R16">
        <v>1</v>
      </c>
      <c r="T16" s="7">
        <v>78</v>
      </c>
      <c r="Y16" s="7"/>
      <c r="Z16" s="7"/>
      <c r="AA16" s="7" t="s">
        <v>1584</v>
      </c>
      <c r="AB16" s="7" t="s">
        <v>20</v>
      </c>
      <c r="AC16" s="20"/>
      <c r="AD16" s="7"/>
      <c r="AE16" s="7"/>
      <c r="AF16" s="7" t="s">
        <v>2015</v>
      </c>
      <c r="AG16">
        <v>1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7" t="s">
        <v>589</v>
      </c>
      <c r="B17" s="7">
        <v>1921</v>
      </c>
      <c r="C17" s="7">
        <v>3</v>
      </c>
      <c r="D17" s="7" t="s">
        <v>590</v>
      </c>
      <c r="E17" s="7"/>
      <c r="F17" s="7"/>
      <c r="G17" s="7" t="s">
        <v>2016</v>
      </c>
      <c r="H17" s="7" t="s">
        <v>1581</v>
      </c>
      <c r="I17">
        <v>10</v>
      </c>
      <c r="J17" s="7">
        <v>1</v>
      </c>
      <c r="N17" s="7" t="s">
        <v>26</v>
      </c>
      <c r="P17" s="7"/>
      <c r="S17">
        <v>1</v>
      </c>
      <c r="T17" s="7">
        <v>27</v>
      </c>
      <c r="Y17" s="7"/>
      <c r="Z17" s="7"/>
      <c r="AA17" s="7" t="s">
        <v>344</v>
      </c>
      <c r="AB17" s="7" t="s">
        <v>29</v>
      </c>
      <c r="AC17" s="7">
        <v>1</v>
      </c>
      <c r="AD17" s="7"/>
      <c r="AE17" s="7"/>
      <c r="AF17" s="7" t="s">
        <v>2017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7" t="s">
        <v>589</v>
      </c>
      <c r="B18" s="7">
        <v>1921</v>
      </c>
      <c r="C18" s="7"/>
      <c r="D18" s="7" t="s">
        <v>590</v>
      </c>
      <c r="E18" s="7"/>
      <c r="F18" s="7"/>
      <c r="G18" s="7"/>
      <c r="H18" s="7">
        <v>3</v>
      </c>
      <c r="J18" s="7"/>
      <c r="N18" s="7"/>
      <c r="P18" s="7"/>
      <c r="T18" s="7"/>
      <c r="Y18" s="7"/>
      <c r="Z18" s="7"/>
      <c r="AA18" s="7"/>
      <c r="AB18" s="7"/>
      <c r="AC18" s="7"/>
      <c r="AD18" s="7"/>
      <c r="AE18" s="7"/>
      <c r="AF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7" t="s">
        <v>589</v>
      </c>
      <c r="B19" s="7">
        <v>1921</v>
      </c>
      <c r="C19" s="7"/>
      <c r="D19" s="7" t="s">
        <v>590</v>
      </c>
      <c r="E19" s="7"/>
      <c r="F19" s="7"/>
      <c r="G19" s="7" t="s">
        <v>1</v>
      </c>
      <c r="H19" s="7" t="s">
        <v>0</v>
      </c>
      <c r="J19" s="7" t="s">
        <v>3</v>
      </c>
      <c r="N19" s="7" t="s">
        <v>2</v>
      </c>
      <c r="P19" s="7"/>
      <c r="T19" s="7" t="s">
        <v>5</v>
      </c>
      <c r="Y19" s="7"/>
      <c r="Z19" s="7"/>
      <c r="AA19" s="7" t="s">
        <v>7</v>
      </c>
      <c r="AB19" s="7" t="s">
        <v>8</v>
      </c>
      <c r="AC19" s="7"/>
      <c r="AD19" s="7"/>
      <c r="AE19" s="7"/>
      <c r="AF19" s="7" t="s">
        <v>6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s="55" customFormat="1" ht="17.5" customHeight="1" x14ac:dyDescent="0.2">
      <c r="A20" s="7" t="s">
        <v>589</v>
      </c>
      <c r="B20" s="7">
        <v>1921</v>
      </c>
      <c r="C20" s="7">
        <v>4</v>
      </c>
      <c r="D20" s="7" t="s">
        <v>590</v>
      </c>
      <c r="E20" s="227"/>
      <c r="G20" s="55" t="s">
        <v>2018</v>
      </c>
      <c r="H20" s="55" t="s">
        <v>1912</v>
      </c>
      <c r="I20" s="55">
        <v>11</v>
      </c>
      <c r="J20" s="55">
        <v>1</v>
      </c>
      <c r="N20" s="55">
        <v>1</v>
      </c>
      <c r="T20" s="55">
        <v>50</v>
      </c>
      <c r="Y20" s="227"/>
      <c r="Z20" s="227"/>
      <c r="AA20" s="55" t="s">
        <v>2020</v>
      </c>
      <c r="AB20" s="55" t="s">
        <v>2021</v>
      </c>
      <c r="AC20" s="55">
        <v>1</v>
      </c>
      <c r="AD20" s="227"/>
      <c r="AE20" s="227"/>
      <c r="AF20" s="55" t="s">
        <v>2019</v>
      </c>
      <c r="AG20" s="55">
        <v>1</v>
      </c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</row>
    <row r="21" spans="1:51" ht="17.5" customHeight="1" x14ac:dyDescent="0.2">
      <c r="A21" s="7" t="s">
        <v>589</v>
      </c>
      <c r="B21" s="7">
        <v>1921</v>
      </c>
      <c r="C21" s="7">
        <v>4</v>
      </c>
      <c r="D21" s="7" t="s">
        <v>590</v>
      </c>
      <c r="E21" s="7"/>
      <c r="G21" t="s">
        <v>2018</v>
      </c>
      <c r="H21" t="s">
        <v>2022</v>
      </c>
      <c r="I21">
        <v>12</v>
      </c>
      <c r="J21">
        <v>1</v>
      </c>
      <c r="N21" t="s">
        <v>22</v>
      </c>
      <c r="P21">
        <v>1</v>
      </c>
      <c r="T21">
        <v>44</v>
      </c>
      <c r="Y21" s="7"/>
      <c r="Z21" s="7"/>
      <c r="AA21" t="s">
        <v>2023</v>
      </c>
      <c r="AB21" t="s">
        <v>2024</v>
      </c>
      <c r="AC21">
        <v>1</v>
      </c>
      <c r="AD21" s="7"/>
      <c r="AE21" s="7"/>
      <c r="AF21" t="s">
        <v>49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 t="s">
        <v>589</v>
      </c>
      <c r="B22" s="7">
        <v>1921</v>
      </c>
      <c r="C22" s="7">
        <v>4</v>
      </c>
      <c r="D22" s="7" t="s">
        <v>590</v>
      </c>
      <c r="E22" s="7"/>
      <c r="G22" t="s">
        <v>2018</v>
      </c>
      <c r="H22" t="s">
        <v>2025</v>
      </c>
      <c r="I22">
        <v>13</v>
      </c>
      <c r="J22">
        <v>1</v>
      </c>
      <c r="N22" t="s">
        <v>22</v>
      </c>
      <c r="P22">
        <v>1</v>
      </c>
      <c r="T22">
        <v>17</v>
      </c>
      <c r="Y22" s="7"/>
      <c r="Z22" s="7"/>
      <c r="AA22" t="s">
        <v>1862</v>
      </c>
      <c r="AB22" t="s">
        <v>2026</v>
      </c>
      <c r="AC22">
        <v>1</v>
      </c>
      <c r="AD22" s="7"/>
      <c r="AE22" s="7"/>
      <c r="AF22" t="s">
        <v>49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9" customHeight="1" x14ac:dyDescent="0.2">
      <c r="A23" s="7" t="s">
        <v>589</v>
      </c>
      <c r="B23" s="7">
        <v>1921</v>
      </c>
      <c r="C23" s="7">
        <v>4</v>
      </c>
      <c r="D23" s="7" t="s">
        <v>590</v>
      </c>
      <c r="E23" s="7"/>
      <c r="G23" t="s">
        <v>2018</v>
      </c>
      <c r="H23" t="s">
        <v>2027</v>
      </c>
      <c r="I23">
        <v>14</v>
      </c>
      <c r="L23">
        <v>1</v>
      </c>
      <c r="N23" t="s">
        <v>22</v>
      </c>
      <c r="P23">
        <v>1</v>
      </c>
      <c r="T23">
        <v>8</v>
      </c>
      <c r="Y23" s="5"/>
      <c r="Z23" s="5"/>
      <c r="AA23" t="s">
        <v>20</v>
      </c>
      <c r="AB23" t="s">
        <v>20</v>
      </c>
      <c r="AD23" s="7"/>
      <c r="AE23" s="7"/>
      <c r="AF23" t="s">
        <v>49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 t="s">
        <v>589</v>
      </c>
      <c r="B24" s="7">
        <v>1921</v>
      </c>
      <c r="C24" s="7"/>
      <c r="D24" s="7" t="s">
        <v>590</v>
      </c>
      <c r="E24" s="7"/>
      <c r="H24">
        <v>4</v>
      </c>
      <c r="Y24" s="7"/>
      <c r="Z24" s="7"/>
      <c r="AD24" s="7"/>
      <c r="AE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7" t="s">
        <v>589</v>
      </c>
      <c r="B25" s="7">
        <v>1921</v>
      </c>
      <c r="C25" s="7">
        <v>5</v>
      </c>
      <c r="D25" s="7" t="s">
        <v>590</v>
      </c>
      <c r="E25" s="7"/>
      <c r="G25" t="s">
        <v>1</v>
      </c>
      <c r="H25" t="s">
        <v>0</v>
      </c>
      <c r="J25" t="s">
        <v>3</v>
      </c>
      <c r="N25" t="s">
        <v>2</v>
      </c>
      <c r="T25" t="s">
        <v>5</v>
      </c>
      <c r="Y25" s="7"/>
      <c r="Z25" s="7"/>
      <c r="AA25" t="s">
        <v>7</v>
      </c>
      <c r="AB25" t="s">
        <v>8</v>
      </c>
      <c r="AD25" s="7"/>
      <c r="AE25" s="7"/>
      <c r="AF25" t="s">
        <v>6</v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 t="s">
        <v>589</v>
      </c>
      <c r="B26" s="7">
        <v>1921</v>
      </c>
      <c r="C26" s="7">
        <v>5</v>
      </c>
      <c r="D26" s="7" t="s">
        <v>590</v>
      </c>
      <c r="E26" s="7"/>
      <c r="G26" t="s">
        <v>2029</v>
      </c>
      <c r="H26" t="s">
        <v>2028</v>
      </c>
      <c r="I26">
        <v>15</v>
      </c>
      <c r="J26" t="s">
        <v>13</v>
      </c>
      <c r="K26">
        <v>1</v>
      </c>
      <c r="N26">
        <v>1</v>
      </c>
      <c r="T26">
        <v>54</v>
      </c>
      <c r="Y26" s="7"/>
      <c r="Z26" s="7"/>
      <c r="AA26" t="s">
        <v>2031</v>
      </c>
      <c r="AB26" t="s">
        <v>2032</v>
      </c>
      <c r="AC26">
        <v>1</v>
      </c>
      <c r="AD26" s="7"/>
      <c r="AE26" s="7"/>
      <c r="AF26" t="s">
        <v>2030</v>
      </c>
      <c r="AG26">
        <v>1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 t="s">
        <v>589</v>
      </c>
      <c r="B27" s="7">
        <v>1921</v>
      </c>
      <c r="C27" s="7">
        <v>5</v>
      </c>
      <c r="D27" s="7" t="s">
        <v>590</v>
      </c>
      <c r="E27" s="7"/>
      <c r="G27" t="s">
        <v>2029</v>
      </c>
      <c r="H27" t="s">
        <v>429</v>
      </c>
      <c r="I27">
        <v>16</v>
      </c>
      <c r="J27">
        <v>1</v>
      </c>
      <c r="N27" t="s">
        <v>18</v>
      </c>
      <c r="O27">
        <v>1</v>
      </c>
      <c r="T27">
        <v>53</v>
      </c>
      <c r="Y27" s="7"/>
      <c r="Z27" s="7"/>
      <c r="AA27" t="s">
        <v>20</v>
      </c>
      <c r="AB27" t="s">
        <v>20</v>
      </c>
      <c r="AD27" s="7"/>
      <c r="AE27" s="7"/>
      <c r="AF27" t="s">
        <v>149</v>
      </c>
      <c r="AG27">
        <v>1</v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 t="s">
        <v>589</v>
      </c>
      <c r="B28" s="7">
        <v>1921</v>
      </c>
      <c r="C28" s="7"/>
      <c r="D28" s="7" t="s">
        <v>590</v>
      </c>
      <c r="E28" s="7"/>
      <c r="H28">
        <v>2</v>
      </c>
      <c r="Y28" s="7"/>
      <c r="Z28" s="7"/>
      <c r="AD28" s="7"/>
      <c r="AE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 t="s">
        <v>589</v>
      </c>
      <c r="B29" s="7">
        <v>1921</v>
      </c>
      <c r="C29" s="7"/>
      <c r="D29" s="7" t="s">
        <v>590</v>
      </c>
      <c r="E29" s="7"/>
      <c r="G29" t="s">
        <v>1</v>
      </c>
      <c r="H29" t="s">
        <v>0</v>
      </c>
      <c r="J29" t="s">
        <v>3</v>
      </c>
      <c r="N29" t="s">
        <v>2</v>
      </c>
      <c r="T29" t="s">
        <v>5</v>
      </c>
      <c r="Y29" s="7"/>
      <c r="Z29" s="7"/>
      <c r="AA29" t="s">
        <v>7</v>
      </c>
      <c r="AB29" t="s">
        <v>8</v>
      </c>
      <c r="AD29" s="7"/>
      <c r="AE29" s="7"/>
      <c r="AF29" t="s">
        <v>6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 t="s">
        <v>589</v>
      </c>
      <c r="B30" s="7">
        <v>1921</v>
      </c>
      <c r="C30" s="7">
        <v>6</v>
      </c>
      <c r="D30" s="7" t="s">
        <v>590</v>
      </c>
      <c r="E30" s="7"/>
      <c r="F30" t="s">
        <v>2047</v>
      </c>
      <c r="G30" t="s">
        <v>817</v>
      </c>
      <c r="H30" t="s">
        <v>2033</v>
      </c>
      <c r="I30">
        <v>17</v>
      </c>
      <c r="J30" t="s">
        <v>13</v>
      </c>
      <c r="K30">
        <v>1</v>
      </c>
      <c r="N30">
        <v>1</v>
      </c>
      <c r="T30">
        <v>35</v>
      </c>
      <c r="Y30" s="7"/>
      <c r="Z30" s="7"/>
      <c r="AA30" t="s">
        <v>2034</v>
      </c>
      <c r="AB30" t="s">
        <v>2035</v>
      </c>
      <c r="AC30">
        <v>1</v>
      </c>
      <c r="AD30" s="7"/>
      <c r="AE30" s="7"/>
      <c r="AF30" t="s">
        <v>62</v>
      </c>
      <c r="AG30">
        <v>1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 t="s">
        <v>589</v>
      </c>
      <c r="B31" s="7">
        <v>1921</v>
      </c>
      <c r="C31" s="7">
        <v>6</v>
      </c>
      <c r="D31" s="7" t="s">
        <v>590</v>
      </c>
      <c r="E31" s="7"/>
      <c r="G31" t="s">
        <v>817</v>
      </c>
      <c r="H31" t="s">
        <v>2036</v>
      </c>
      <c r="I31">
        <v>18</v>
      </c>
      <c r="J31">
        <v>1</v>
      </c>
      <c r="N31" t="s">
        <v>18</v>
      </c>
      <c r="O31">
        <v>1</v>
      </c>
      <c r="T31">
        <v>31</v>
      </c>
      <c r="Y31" s="7"/>
      <c r="Z31" s="7"/>
      <c r="AA31" t="s">
        <v>50</v>
      </c>
      <c r="AB31" t="s">
        <v>20</v>
      </c>
      <c r="AD31" s="7"/>
      <c r="AE31" s="7"/>
      <c r="AF31" t="s">
        <v>43</v>
      </c>
      <c r="AG31">
        <v>1</v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 t="s">
        <v>589</v>
      </c>
      <c r="B32" s="7">
        <v>1921</v>
      </c>
      <c r="C32" s="7">
        <v>6</v>
      </c>
      <c r="D32" s="7" t="s">
        <v>590</v>
      </c>
      <c r="E32" s="7"/>
      <c r="G32" t="s">
        <v>817</v>
      </c>
      <c r="H32" t="s">
        <v>2037</v>
      </c>
      <c r="I32">
        <v>19</v>
      </c>
      <c r="L32">
        <v>1</v>
      </c>
      <c r="N32" t="s">
        <v>22</v>
      </c>
      <c r="P32">
        <v>1</v>
      </c>
      <c r="T32">
        <v>5</v>
      </c>
      <c r="Y32" s="7"/>
      <c r="Z32" s="7"/>
      <c r="AA32" t="s">
        <v>20</v>
      </c>
      <c r="AB32" t="s">
        <v>20</v>
      </c>
      <c r="AD32" s="7"/>
      <c r="AE32" s="7"/>
      <c r="AF32" t="s">
        <v>212</v>
      </c>
      <c r="AG32">
        <v>1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9" customHeight="1" x14ac:dyDescent="0.2">
      <c r="A33" s="7" t="s">
        <v>589</v>
      </c>
      <c r="B33" s="7">
        <v>1921</v>
      </c>
      <c r="C33" s="7">
        <v>6</v>
      </c>
      <c r="D33" s="7" t="s">
        <v>590</v>
      </c>
      <c r="E33" s="7"/>
      <c r="G33" t="s">
        <v>817</v>
      </c>
      <c r="H33" t="s">
        <v>751</v>
      </c>
      <c r="I33">
        <v>20</v>
      </c>
      <c r="J33" t="s">
        <v>13</v>
      </c>
      <c r="M33">
        <v>1</v>
      </c>
      <c r="N33" t="s">
        <v>51</v>
      </c>
      <c r="Q33">
        <v>1</v>
      </c>
      <c r="T33">
        <v>3</v>
      </c>
      <c r="Y33" s="5"/>
      <c r="Z33" s="5"/>
      <c r="AA33" t="s">
        <v>20</v>
      </c>
      <c r="AB33" t="s">
        <v>20</v>
      </c>
      <c r="AD33" s="7"/>
      <c r="AE33" s="7"/>
      <c r="AF33" t="s">
        <v>440</v>
      </c>
      <c r="AG33">
        <v>1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 t="s">
        <v>589</v>
      </c>
      <c r="B34" s="7">
        <v>1921</v>
      </c>
      <c r="C34" s="7">
        <v>6</v>
      </c>
      <c r="D34" s="7" t="s">
        <v>590</v>
      </c>
      <c r="E34" s="7"/>
      <c r="G34" t="s">
        <v>2039</v>
      </c>
      <c r="H34" t="s">
        <v>2038</v>
      </c>
      <c r="I34">
        <v>21</v>
      </c>
      <c r="J34">
        <v>1</v>
      </c>
      <c r="N34" t="s">
        <v>26</v>
      </c>
      <c r="S34">
        <v>1</v>
      </c>
      <c r="T34">
        <v>28</v>
      </c>
      <c r="Y34" s="7"/>
      <c r="Z34" s="7"/>
      <c r="AA34" t="s">
        <v>344</v>
      </c>
      <c r="AB34" t="s">
        <v>29</v>
      </c>
      <c r="AD34" s="7"/>
      <c r="AE34" s="7"/>
      <c r="AF34" t="s">
        <v>2040</v>
      </c>
      <c r="AG34">
        <v>1</v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 t="s">
        <v>589</v>
      </c>
      <c r="B35" s="7">
        <v>1921</v>
      </c>
      <c r="C35" s="7">
        <v>6</v>
      </c>
      <c r="D35" s="7" t="s">
        <v>590</v>
      </c>
      <c r="E35" s="7"/>
      <c r="G35" t="s">
        <v>2042</v>
      </c>
      <c r="H35" t="s">
        <v>2041</v>
      </c>
      <c r="I35">
        <v>22</v>
      </c>
      <c r="J35" t="s">
        <v>13</v>
      </c>
      <c r="K35">
        <v>1</v>
      </c>
      <c r="N35" t="s">
        <v>58</v>
      </c>
      <c r="R35">
        <v>1</v>
      </c>
      <c r="T35">
        <v>48</v>
      </c>
      <c r="Y35" s="7"/>
      <c r="Z35" s="7"/>
      <c r="AA35" t="s">
        <v>2043</v>
      </c>
      <c r="AB35" t="s">
        <v>2044</v>
      </c>
      <c r="AD35" s="7"/>
      <c r="AE35" s="7"/>
      <c r="AF35" t="s">
        <v>43</v>
      </c>
      <c r="AG35">
        <v>1</v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 t="s">
        <v>589</v>
      </c>
      <c r="B36" s="7">
        <v>1921</v>
      </c>
      <c r="C36" s="7">
        <v>6</v>
      </c>
      <c r="D36" s="7" t="s">
        <v>590</v>
      </c>
      <c r="E36" s="7"/>
      <c r="G36" t="s">
        <v>2042</v>
      </c>
      <c r="H36" t="s">
        <v>2045</v>
      </c>
      <c r="I36">
        <v>23</v>
      </c>
      <c r="J36">
        <v>1</v>
      </c>
      <c r="N36" t="s">
        <v>58</v>
      </c>
      <c r="R36">
        <v>1</v>
      </c>
      <c r="T36">
        <v>51</v>
      </c>
      <c r="Y36" s="7"/>
      <c r="Z36" s="7"/>
      <c r="AA36" t="s">
        <v>50</v>
      </c>
      <c r="AB36" t="s">
        <v>20</v>
      </c>
      <c r="AD36" s="7"/>
      <c r="AE36" s="7"/>
      <c r="AF36" t="s">
        <v>2046</v>
      </c>
      <c r="AG36">
        <v>1</v>
      </c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 t="s">
        <v>589</v>
      </c>
      <c r="B37" s="7">
        <v>1921</v>
      </c>
      <c r="C37" s="7"/>
      <c r="D37" s="7" t="s">
        <v>590</v>
      </c>
      <c r="E37" s="7"/>
      <c r="H37">
        <v>7</v>
      </c>
      <c r="Y37" s="7"/>
      <c r="Z37" s="7"/>
      <c r="AD37" s="7"/>
      <c r="AE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 t="s">
        <v>589</v>
      </c>
      <c r="B38" s="7">
        <v>1921</v>
      </c>
      <c r="C38" s="7"/>
      <c r="D38" s="7" t="s">
        <v>590</v>
      </c>
      <c r="E38" s="7"/>
      <c r="G38" t="s">
        <v>1</v>
      </c>
      <c r="H38" t="s">
        <v>0</v>
      </c>
      <c r="J38" t="s">
        <v>3</v>
      </c>
      <c r="N38" t="s">
        <v>2</v>
      </c>
      <c r="T38" t="s">
        <v>5</v>
      </c>
      <c r="Y38" s="7"/>
      <c r="Z38" s="7"/>
      <c r="AA38" t="s">
        <v>7</v>
      </c>
      <c r="AB38" t="s">
        <v>8</v>
      </c>
      <c r="AD38" s="7"/>
      <c r="AE38" s="7"/>
      <c r="AF38" t="s">
        <v>6</v>
      </c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7" t="s">
        <v>589</v>
      </c>
      <c r="B39" s="7">
        <v>1921</v>
      </c>
      <c r="C39" s="7">
        <v>7</v>
      </c>
      <c r="D39" s="7" t="s">
        <v>590</v>
      </c>
      <c r="E39" s="7"/>
      <c r="F39">
        <v>2</v>
      </c>
      <c r="G39" t="s">
        <v>448</v>
      </c>
      <c r="H39" t="s">
        <v>2048</v>
      </c>
      <c r="I39">
        <v>24</v>
      </c>
      <c r="J39" t="s">
        <v>13</v>
      </c>
      <c r="K39">
        <v>1</v>
      </c>
      <c r="N39">
        <v>1</v>
      </c>
      <c r="T39">
        <v>37</v>
      </c>
      <c r="Y39" s="7"/>
      <c r="Z39" s="7"/>
      <c r="AA39" t="s">
        <v>2049</v>
      </c>
      <c r="AB39" t="s">
        <v>20</v>
      </c>
      <c r="AC39">
        <v>1</v>
      </c>
      <c r="AD39" s="7"/>
      <c r="AE39" s="7"/>
      <c r="AF39" t="s">
        <v>1114</v>
      </c>
      <c r="AG39">
        <v>1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7" t="s">
        <v>589</v>
      </c>
      <c r="B40" s="7">
        <v>1921</v>
      </c>
      <c r="C40" s="7">
        <v>7</v>
      </c>
      <c r="D40" s="7" t="s">
        <v>590</v>
      </c>
      <c r="E40" s="7"/>
      <c r="G40" t="s">
        <v>448</v>
      </c>
      <c r="H40" t="s">
        <v>2050</v>
      </c>
      <c r="I40">
        <v>25</v>
      </c>
      <c r="J40">
        <v>1</v>
      </c>
      <c r="N40" t="s">
        <v>18</v>
      </c>
      <c r="O40">
        <v>1</v>
      </c>
      <c r="T40">
        <v>38</v>
      </c>
      <c r="Y40" s="7"/>
      <c r="Z40" s="7"/>
      <c r="AA40" t="s">
        <v>20</v>
      </c>
      <c r="AB40" t="s">
        <v>20</v>
      </c>
      <c r="AD40" s="7"/>
      <c r="AE40" s="7"/>
      <c r="AF40" t="s">
        <v>2040</v>
      </c>
      <c r="AG40">
        <v>1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 t="s">
        <v>589</v>
      </c>
      <c r="B41" s="7">
        <v>1921</v>
      </c>
      <c r="C41" s="7">
        <v>7</v>
      </c>
      <c r="D41" s="7" t="s">
        <v>590</v>
      </c>
      <c r="E41" s="7"/>
      <c r="G41" t="s">
        <v>448</v>
      </c>
      <c r="H41" t="s">
        <v>2051</v>
      </c>
      <c r="I41">
        <v>26</v>
      </c>
      <c r="L41">
        <v>1</v>
      </c>
      <c r="N41" t="s">
        <v>22</v>
      </c>
      <c r="P41">
        <v>1</v>
      </c>
      <c r="T41">
        <v>8</v>
      </c>
      <c r="Y41" s="7"/>
      <c r="Z41" s="7"/>
      <c r="AA41" t="s">
        <v>20</v>
      </c>
      <c r="AB41" t="s">
        <v>20</v>
      </c>
      <c r="AD41" s="7"/>
      <c r="AE41" s="7"/>
      <c r="AF41" t="s">
        <v>2052</v>
      </c>
      <c r="AG41">
        <v>1</v>
      </c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 t="s">
        <v>589</v>
      </c>
      <c r="B42" s="7">
        <v>1921</v>
      </c>
      <c r="C42" s="7">
        <v>7</v>
      </c>
      <c r="D42" s="7" t="s">
        <v>590</v>
      </c>
      <c r="E42" s="7"/>
      <c r="G42" t="s">
        <v>2053</v>
      </c>
      <c r="H42" t="s">
        <v>339</v>
      </c>
      <c r="I42">
        <v>27</v>
      </c>
      <c r="J42">
        <v>1</v>
      </c>
      <c r="N42" t="s">
        <v>26</v>
      </c>
      <c r="S42">
        <v>1</v>
      </c>
      <c r="T42">
        <v>19</v>
      </c>
      <c r="Y42" s="7"/>
      <c r="Z42" s="7"/>
      <c r="AA42" t="s">
        <v>344</v>
      </c>
      <c r="AB42" t="s">
        <v>29</v>
      </c>
      <c r="AC42">
        <v>1</v>
      </c>
      <c r="AD42" s="7"/>
      <c r="AE42" s="7"/>
      <c r="AF42" t="s">
        <v>2054</v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9" customHeight="1" x14ac:dyDescent="0.2">
      <c r="A43" s="7" t="s">
        <v>589</v>
      </c>
      <c r="B43" s="7">
        <v>1921</v>
      </c>
      <c r="C43" s="7"/>
      <c r="D43" s="7" t="s">
        <v>590</v>
      </c>
      <c r="E43" s="7"/>
      <c r="H43">
        <v>4</v>
      </c>
      <c r="Y43" s="5"/>
      <c r="Z43" s="5"/>
      <c r="AD43" s="7"/>
      <c r="AE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 t="s">
        <v>589</v>
      </c>
      <c r="B44" s="7">
        <v>1921</v>
      </c>
      <c r="C44" s="7"/>
      <c r="D44" s="7" t="s">
        <v>590</v>
      </c>
      <c r="E44" s="7"/>
      <c r="G44" t="s">
        <v>1</v>
      </c>
      <c r="H44" t="s">
        <v>0</v>
      </c>
      <c r="J44" t="s">
        <v>3</v>
      </c>
      <c r="N44" t="s">
        <v>2</v>
      </c>
      <c r="T44" t="s">
        <v>5</v>
      </c>
      <c r="Y44" s="7"/>
      <c r="Z44" s="7"/>
      <c r="AA44" t="s">
        <v>7</v>
      </c>
      <c r="AB44" t="s">
        <v>8</v>
      </c>
      <c r="AD44" s="7"/>
      <c r="AE44" s="7"/>
      <c r="AF44" t="s">
        <v>6</v>
      </c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 t="s">
        <v>589</v>
      </c>
      <c r="B45" s="7">
        <v>1921</v>
      </c>
      <c r="C45" s="7">
        <v>8</v>
      </c>
      <c r="D45" s="7" t="s">
        <v>590</v>
      </c>
      <c r="E45" s="7"/>
      <c r="F45">
        <v>3</v>
      </c>
      <c r="G45" t="s">
        <v>2055</v>
      </c>
      <c r="H45" t="s">
        <v>1012</v>
      </c>
      <c r="I45">
        <v>28</v>
      </c>
      <c r="J45" t="s">
        <v>13</v>
      </c>
      <c r="K45">
        <v>1</v>
      </c>
      <c r="N45">
        <v>1</v>
      </c>
      <c r="T45">
        <v>44</v>
      </c>
      <c r="Y45" s="7"/>
      <c r="Z45" s="7"/>
      <c r="AA45" t="s">
        <v>2057</v>
      </c>
      <c r="AB45" t="s">
        <v>2058</v>
      </c>
      <c r="AC45">
        <v>1</v>
      </c>
      <c r="AD45" s="7"/>
      <c r="AE45" s="7"/>
      <c r="AF45" t="s">
        <v>2056</v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7" t="s">
        <v>589</v>
      </c>
      <c r="B46" s="7">
        <v>1921</v>
      </c>
      <c r="C46" s="7">
        <v>8</v>
      </c>
      <c r="D46" s="7" t="s">
        <v>590</v>
      </c>
      <c r="E46" s="7"/>
      <c r="G46" t="s">
        <v>2055</v>
      </c>
      <c r="H46" t="s">
        <v>63</v>
      </c>
      <c r="I46">
        <v>29</v>
      </c>
      <c r="J46">
        <v>1</v>
      </c>
      <c r="N46" t="s">
        <v>18</v>
      </c>
      <c r="O46">
        <v>1</v>
      </c>
      <c r="T46">
        <v>38</v>
      </c>
      <c r="Y46" s="7"/>
      <c r="Z46" s="7"/>
      <c r="AA46" t="s">
        <v>50</v>
      </c>
      <c r="AB46" t="s">
        <v>20</v>
      </c>
      <c r="AD46" s="7"/>
      <c r="AE46" s="7"/>
      <c r="AF46" t="s">
        <v>2059</v>
      </c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7" t="s">
        <v>589</v>
      </c>
      <c r="B47" s="7">
        <v>1921</v>
      </c>
      <c r="C47" s="7">
        <v>8</v>
      </c>
      <c r="D47" s="7" t="s">
        <v>590</v>
      </c>
      <c r="E47" s="7"/>
      <c r="G47" t="s">
        <v>2055</v>
      </c>
      <c r="H47" t="s">
        <v>2060</v>
      </c>
      <c r="I47">
        <v>30</v>
      </c>
      <c r="J47" t="s">
        <v>13</v>
      </c>
      <c r="M47">
        <v>1</v>
      </c>
      <c r="N47" t="s">
        <v>51</v>
      </c>
      <c r="Q47">
        <v>1</v>
      </c>
      <c r="T47">
        <v>12</v>
      </c>
      <c r="Y47" s="7"/>
      <c r="Z47" s="7"/>
      <c r="AA47" t="s">
        <v>20</v>
      </c>
      <c r="AB47" t="s">
        <v>20</v>
      </c>
      <c r="AD47" s="7"/>
      <c r="AE47" s="7"/>
      <c r="AF47" t="s">
        <v>2061</v>
      </c>
      <c r="AG47">
        <v>1</v>
      </c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7" t="s">
        <v>589</v>
      </c>
      <c r="B48" s="7">
        <v>1921</v>
      </c>
      <c r="C48" s="7"/>
      <c r="D48" s="7" t="s">
        <v>590</v>
      </c>
      <c r="E48" s="7"/>
      <c r="H48">
        <v>3</v>
      </c>
      <c r="Y48" s="7"/>
      <c r="Z48" s="7"/>
      <c r="AD48" s="7"/>
      <c r="AE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7" t="s">
        <v>589</v>
      </c>
      <c r="B49" s="7">
        <v>1921</v>
      </c>
      <c r="C49" s="7"/>
      <c r="D49" s="7" t="s">
        <v>590</v>
      </c>
      <c r="E49" s="7"/>
      <c r="G49" t="s">
        <v>1</v>
      </c>
      <c r="H49" t="s">
        <v>0</v>
      </c>
      <c r="J49" t="s">
        <v>3</v>
      </c>
      <c r="N49" t="s">
        <v>2</v>
      </c>
      <c r="T49" t="s">
        <v>5</v>
      </c>
      <c r="Y49" s="7"/>
      <c r="Z49" s="7"/>
      <c r="AA49" t="s">
        <v>7</v>
      </c>
      <c r="AB49" t="s">
        <v>8</v>
      </c>
      <c r="AD49" s="7"/>
      <c r="AE49" s="7"/>
      <c r="AF49" t="s">
        <v>6</v>
      </c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s="55" customFormat="1" ht="17.5" customHeight="1" x14ac:dyDescent="0.2">
      <c r="A50" s="7" t="s">
        <v>589</v>
      </c>
      <c r="B50" s="7">
        <v>1921</v>
      </c>
      <c r="C50" s="7">
        <v>9</v>
      </c>
      <c r="D50" s="7" t="s">
        <v>590</v>
      </c>
      <c r="E50" s="227"/>
      <c r="F50" s="55">
        <v>4</v>
      </c>
      <c r="G50" s="55" t="s">
        <v>2063</v>
      </c>
      <c r="H50" s="55" t="s">
        <v>2062</v>
      </c>
      <c r="I50" s="55">
        <v>31</v>
      </c>
      <c r="J50" s="55">
        <v>1</v>
      </c>
      <c r="N50" s="55">
        <v>1</v>
      </c>
      <c r="T50" s="55">
        <v>59</v>
      </c>
      <c r="Y50" s="227"/>
      <c r="Z50" s="227"/>
      <c r="AA50" s="55" t="s">
        <v>1804</v>
      </c>
      <c r="AB50" s="55" t="s">
        <v>20</v>
      </c>
      <c r="AC50" s="55">
        <v>1</v>
      </c>
      <c r="AD50" s="227"/>
      <c r="AE50" s="227"/>
      <c r="AF50" s="55" t="s">
        <v>1428</v>
      </c>
      <c r="AG50" s="55">
        <v>1</v>
      </c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</row>
    <row r="51" spans="1:51" ht="17.5" customHeight="1" x14ac:dyDescent="0.2">
      <c r="A51" s="7" t="s">
        <v>589</v>
      </c>
      <c r="B51" s="7">
        <v>1921</v>
      </c>
      <c r="C51" s="7">
        <v>9</v>
      </c>
      <c r="D51" s="7" t="s">
        <v>590</v>
      </c>
      <c r="E51" s="7"/>
      <c r="G51" t="s">
        <v>2065</v>
      </c>
      <c r="H51" t="s">
        <v>2064</v>
      </c>
      <c r="I51">
        <v>33</v>
      </c>
      <c r="J51">
        <v>1</v>
      </c>
      <c r="N51" t="s">
        <v>60</v>
      </c>
      <c r="R51">
        <v>1</v>
      </c>
      <c r="T51">
        <v>26</v>
      </c>
      <c r="Y51" s="7"/>
      <c r="Z51" s="7"/>
      <c r="AA51" t="s">
        <v>1555</v>
      </c>
      <c r="AB51" t="s">
        <v>20</v>
      </c>
      <c r="AD51" s="7"/>
      <c r="AE51" s="7"/>
      <c r="AF51" t="s">
        <v>1552</v>
      </c>
      <c r="AG51">
        <v>1</v>
      </c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 t="s">
        <v>589</v>
      </c>
      <c r="B52" s="7">
        <v>1921</v>
      </c>
      <c r="C52" s="7">
        <v>9</v>
      </c>
      <c r="D52" s="7" t="s">
        <v>590</v>
      </c>
      <c r="E52" s="7"/>
      <c r="G52" t="s">
        <v>2067</v>
      </c>
      <c r="H52" t="s">
        <v>2066</v>
      </c>
      <c r="I52">
        <v>33</v>
      </c>
      <c r="J52" t="s">
        <v>13</v>
      </c>
      <c r="K52">
        <v>1</v>
      </c>
      <c r="N52" t="s">
        <v>60</v>
      </c>
      <c r="R52">
        <v>1</v>
      </c>
      <c r="T52">
        <v>34</v>
      </c>
      <c r="Y52" s="7"/>
      <c r="Z52" s="7"/>
      <c r="AA52" t="s">
        <v>182</v>
      </c>
      <c r="AB52" t="s">
        <v>2069</v>
      </c>
      <c r="AC52">
        <v>1</v>
      </c>
      <c r="AD52" s="7"/>
      <c r="AE52" s="7"/>
      <c r="AF52" t="s">
        <v>2068</v>
      </c>
      <c r="AG52">
        <v>1</v>
      </c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9" customHeight="1" x14ac:dyDescent="0.2">
      <c r="A53" s="7" t="s">
        <v>589</v>
      </c>
      <c r="B53" s="7">
        <v>1921</v>
      </c>
      <c r="C53" s="7">
        <v>9</v>
      </c>
      <c r="D53" s="7" t="s">
        <v>590</v>
      </c>
      <c r="E53" s="7"/>
      <c r="G53" t="s">
        <v>2071</v>
      </c>
      <c r="H53" t="s">
        <v>2070</v>
      </c>
      <c r="I53">
        <v>34</v>
      </c>
      <c r="J53" t="s">
        <v>13</v>
      </c>
      <c r="K53">
        <v>1</v>
      </c>
      <c r="N53" t="s">
        <v>60</v>
      </c>
      <c r="R53">
        <v>1</v>
      </c>
      <c r="T53">
        <v>25</v>
      </c>
      <c r="Y53" s="5"/>
      <c r="Z53" s="5"/>
      <c r="AA53" t="s">
        <v>2072</v>
      </c>
      <c r="AB53" t="s">
        <v>20</v>
      </c>
      <c r="AC53">
        <v>1</v>
      </c>
      <c r="AD53" s="7"/>
      <c r="AE53" s="7"/>
      <c r="AF53" t="s">
        <v>739</v>
      </c>
      <c r="AG53">
        <v>1</v>
      </c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 t="s">
        <v>589</v>
      </c>
      <c r="B54" s="7">
        <v>1921</v>
      </c>
      <c r="C54" s="7">
        <v>9</v>
      </c>
      <c r="D54" s="7" t="s">
        <v>590</v>
      </c>
      <c r="E54" s="7"/>
      <c r="G54" t="s">
        <v>2074</v>
      </c>
      <c r="H54" t="s">
        <v>2073</v>
      </c>
      <c r="I54">
        <v>35</v>
      </c>
      <c r="J54">
        <v>1</v>
      </c>
      <c r="N54" t="s">
        <v>2075</v>
      </c>
      <c r="S54">
        <v>1</v>
      </c>
      <c r="T54">
        <v>19</v>
      </c>
      <c r="Y54" s="7"/>
      <c r="Z54" s="7"/>
      <c r="AA54" t="s">
        <v>56</v>
      </c>
      <c r="AB54" t="s">
        <v>29</v>
      </c>
      <c r="AC54">
        <v>1</v>
      </c>
      <c r="AD54" s="7"/>
      <c r="AE54" s="7"/>
      <c r="AF54" t="s">
        <v>1458</v>
      </c>
      <c r="AG54">
        <v>1</v>
      </c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 t="s">
        <v>589</v>
      </c>
      <c r="B55" s="7">
        <v>1921</v>
      </c>
      <c r="C55" s="7"/>
      <c r="D55" s="7" t="s">
        <v>590</v>
      </c>
      <c r="E55" s="7"/>
      <c r="H55">
        <v>5</v>
      </c>
      <c r="Y55" s="7"/>
      <c r="Z55" s="7"/>
      <c r="AD55" s="7"/>
      <c r="AE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7" t="s">
        <v>589</v>
      </c>
      <c r="B56" s="7">
        <v>1921</v>
      </c>
      <c r="C56" s="7"/>
      <c r="D56" s="7" t="s">
        <v>590</v>
      </c>
      <c r="E56" s="7"/>
      <c r="G56" t="s">
        <v>1</v>
      </c>
      <c r="H56" t="s">
        <v>0</v>
      </c>
      <c r="J56" t="s">
        <v>3</v>
      </c>
      <c r="N56" t="s">
        <v>2</v>
      </c>
      <c r="T56" t="s">
        <v>5</v>
      </c>
      <c r="Y56" s="7"/>
      <c r="Z56" s="7"/>
      <c r="AA56" t="s">
        <v>7</v>
      </c>
      <c r="AB56" t="s">
        <v>8</v>
      </c>
      <c r="AD56" s="7"/>
      <c r="AE56" s="7"/>
      <c r="AF56" t="s">
        <v>6</v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 t="s">
        <v>589</v>
      </c>
      <c r="B57" s="7">
        <v>1921</v>
      </c>
      <c r="C57" s="7">
        <v>10</v>
      </c>
      <c r="D57" s="7" t="s">
        <v>590</v>
      </c>
      <c r="E57" s="7"/>
      <c r="F57">
        <v>5</v>
      </c>
      <c r="G57" t="s">
        <v>2077</v>
      </c>
      <c r="H57" t="s">
        <v>2076</v>
      </c>
      <c r="I57">
        <v>36</v>
      </c>
      <c r="J57" t="s">
        <v>13</v>
      </c>
      <c r="K57">
        <v>1</v>
      </c>
      <c r="N57">
        <v>1</v>
      </c>
      <c r="T57">
        <v>29</v>
      </c>
      <c r="Y57" s="7"/>
      <c r="Z57" s="7"/>
      <c r="AA57" t="s">
        <v>1998</v>
      </c>
      <c r="AB57" t="s">
        <v>16</v>
      </c>
      <c r="AC57">
        <v>1</v>
      </c>
      <c r="AD57" s="7"/>
      <c r="AE57" s="7"/>
      <c r="AF57" t="s">
        <v>488</v>
      </c>
      <c r="AG57">
        <v>1</v>
      </c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 t="s">
        <v>589</v>
      </c>
      <c r="B58" s="7">
        <v>1921</v>
      </c>
      <c r="C58" s="7">
        <v>10</v>
      </c>
      <c r="D58" s="7" t="s">
        <v>590</v>
      </c>
      <c r="E58" s="7"/>
      <c r="G58" t="s">
        <v>2077</v>
      </c>
      <c r="H58" t="s">
        <v>2078</v>
      </c>
      <c r="I58">
        <v>37</v>
      </c>
      <c r="J58">
        <v>1</v>
      </c>
      <c r="N58" t="s">
        <v>18</v>
      </c>
      <c r="O58">
        <v>1</v>
      </c>
      <c r="T58">
        <v>39</v>
      </c>
      <c r="Y58" s="7"/>
      <c r="Z58" s="7"/>
      <c r="AA58" t="s">
        <v>50</v>
      </c>
      <c r="AB58" t="s">
        <v>20</v>
      </c>
      <c r="AD58" s="7"/>
      <c r="AE58" s="7"/>
      <c r="AF58" t="s">
        <v>2079</v>
      </c>
      <c r="AG58">
        <v>1</v>
      </c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 t="s">
        <v>589</v>
      </c>
      <c r="B59" s="7">
        <v>1921</v>
      </c>
      <c r="C59" s="7">
        <v>10</v>
      </c>
      <c r="D59" s="7" t="s">
        <v>590</v>
      </c>
      <c r="E59" s="7"/>
      <c r="G59" t="s">
        <v>2077</v>
      </c>
      <c r="H59" t="s">
        <v>2080</v>
      </c>
      <c r="I59">
        <v>38</v>
      </c>
      <c r="J59">
        <v>1</v>
      </c>
      <c r="N59" t="s">
        <v>910</v>
      </c>
      <c r="R59">
        <v>1</v>
      </c>
      <c r="T59">
        <v>70</v>
      </c>
      <c r="Y59" s="7"/>
      <c r="Z59" s="7"/>
      <c r="AA59" t="s">
        <v>50</v>
      </c>
      <c r="AB59" t="s">
        <v>20</v>
      </c>
      <c r="AD59" s="7"/>
      <c r="AE59" s="7"/>
      <c r="AF59" t="s">
        <v>2081</v>
      </c>
      <c r="AG59">
        <v>1</v>
      </c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 t="s">
        <v>589</v>
      </c>
      <c r="B60" s="7">
        <v>1921</v>
      </c>
      <c r="C60" s="7">
        <v>10</v>
      </c>
      <c r="D60" s="7" t="s">
        <v>590</v>
      </c>
      <c r="E60" s="7"/>
      <c r="G60" t="s">
        <v>2083</v>
      </c>
      <c r="H60" t="s">
        <v>2082</v>
      </c>
      <c r="I60">
        <v>39</v>
      </c>
      <c r="J60" t="s">
        <v>13</v>
      </c>
      <c r="K60">
        <v>1</v>
      </c>
      <c r="N60" t="s">
        <v>60</v>
      </c>
      <c r="R60">
        <v>1</v>
      </c>
      <c r="T60">
        <v>32</v>
      </c>
      <c r="Y60" s="7"/>
      <c r="Z60" s="7"/>
      <c r="AA60" t="s">
        <v>1998</v>
      </c>
      <c r="AB60" t="s">
        <v>16</v>
      </c>
      <c r="AC60">
        <v>1</v>
      </c>
      <c r="AD60" s="7"/>
      <c r="AE60" s="7"/>
      <c r="AF60" t="s">
        <v>49</v>
      </c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A61" s="7" t="s">
        <v>589</v>
      </c>
      <c r="B61" s="7">
        <v>1921</v>
      </c>
      <c r="C61" s="7">
        <v>10</v>
      </c>
      <c r="D61" s="7" t="s">
        <v>590</v>
      </c>
      <c r="E61" s="7"/>
      <c r="G61" t="s">
        <v>2083</v>
      </c>
      <c r="H61" t="s">
        <v>2084</v>
      </c>
      <c r="I61">
        <v>40</v>
      </c>
      <c r="J61">
        <v>1</v>
      </c>
      <c r="N61" t="s">
        <v>18</v>
      </c>
      <c r="O61">
        <v>1</v>
      </c>
      <c r="T61">
        <v>30</v>
      </c>
      <c r="Y61" s="7"/>
      <c r="Z61" s="7"/>
      <c r="AA61" t="s">
        <v>50</v>
      </c>
      <c r="AB61" t="s">
        <v>20</v>
      </c>
      <c r="AD61" s="7"/>
      <c r="AE61" s="7"/>
      <c r="AF61" t="s">
        <v>49</v>
      </c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 t="s">
        <v>589</v>
      </c>
      <c r="B62" s="7">
        <v>1921</v>
      </c>
      <c r="C62" s="7">
        <v>10</v>
      </c>
      <c r="D62" s="7" t="s">
        <v>590</v>
      </c>
      <c r="E62" s="7"/>
      <c r="G62" t="s">
        <v>2083</v>
      </c>
      <c r="H62" t="s">
        <v>2085</v>
      </c>
      <c r="I62">
        <v>41</v>
      </c>
      <c r="L62">
        <v>1</v>
      </c>
      <c r="N62" t="s">
        <v>22</v>
      </c>
      <c r="P62">
        <v>1</v>
      </c>
      <c r="T62">
        <v>2</v>
      </c>
      <c r="Y62" s="7"/>
      <c r="Z62" s="7"/>
      <c r="AA62" t="s">
        <v>20</v>
      </c>
      <c r="AB62" t="s">
        <v>20</v>
      </c>
      <c r="AD62" s="7"/>
      <c r="AE62" s="7"/>
      <c r="AF62" t="s">
        <v>134</v>
      </c>
      <c r="AG62">
        <v>1</v>
      </c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9" customHeight="1" x14ac:dyDescent="0.2">
      <c r="A63" s="7" t="s">
        <v>589</v>
      </c>
      <c r="B63" s="7">
        <v>1921</v>
      </c>
      <c r="C63" s="7"/>
      <c r="D63" s="7" t="s">
        <v>590</v>
      </c>
      <c r="E63" s="7"/>
      <c r="H63">
        <v>6</v>
      </c>
      <c r="Y63" s="5"/>
      <c r="Z63" s="5"/>
      <c r="AD63" s="7"/>
      <c r="AE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.5" customHeight="1" x14ac:dyDescent="0.2">
      <c r="A64" s="7" t="s">
        <v>589</v>
      </c>
      <c r="B64" s="7">
        <v>1921</v>
      </c>
      <c r="C64" s="7"/>
      <c r="D64" s="7" t="s">
        <v>590</v>
      </c>
      <c r="E64" s="7"/>
      <c r="G64" t="s">
        <v>1</v>
      </c>
      <c r="H64" t="s">
        <v>0</v>
      </c>
      <c r="J64" t="s">
        <v>3</v>
      </c>
      <c r="N64" t="s">
        <v>2</v>
      </c>
      <c r="T64" t="s">
        <v>5</v>
      </c>
      <c r="Y64" s="7"/>
      <c r="Z64" s="7"/>
      <c r="AA64" t="s">
        <v>7</v>
      </c>
      <c r="AB64" t="s">
        <v>8</v>
      </c>
      <c r="AD64" s="7"/>
      <c r="AE64" s="7"/>
      <c r="AF64" t="s">
        <v>6</v>
      </c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7" t="s">
        <v>589</v>
      </c>
      <c r="B65" s="7">
        <v>1921</v>
      </c>
      <c r="C65" s="7">
        <v>11</v>
      </c>
      <c r="D65" s="7" t="s">
        <v>590</v>
      </c>
      <c r="E65" s="7"/>
      <c r="F65">
        <v>6</v>
      </c>
      <c r="G65" t="s">
        <v>2087</v>
      </c>
      <c r="H65" t="s">
        <v>2086</v>
      </c>
      <c r="I65">
        <v>42</v>
      </c>
      <c r="J65" t="s">
        <v>13</v>
      </c>
      <c r="K65">
        <v>1</v>
      </c>
      <c r="N65">
        <v>1</v>
      </c>
      <c r="T65">
        <v>54</v>
      </c>
      <c r="Y65" s="7"/>
      <c r="Z65" s="7"/>
      <c r="AA65" t="s">
        <v>2089</v>
      </c>
      <c r="AB65" t="s">
        <v>2090</v>
      </c>
      <c r="AC65">
        <v>1</v>
      </c>
      <c r="AD65" s="7"/>
      <c r="AE65" s="7"/>
      <c r="AF65" t="s">
        <v>2088</v>
      </c>
      <c r="AG65">
        <v>1</v>
      </c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7" t="s">
        <v>589</v>
      </c>
      <c r="B66" s="7">
        <v>1921</v>
      </c>
      <c r="C66" s="7">
        <v>11</v>
      </c>
      <c r="D66" s="7" t="s">
        <v>590</v>
      </c>
      <c r="E66" s="7"/>
      <c r="G66" t="s">
        <v>2087</v>
      </c>
      <c r="H66" t="s">
        <v>2091</v>
      </c>
      <c r="I66">
        <v>43</v>
      </c>
      <c r="J66">
        <v>1</v>
      </c>
      <c r="N66" t="s">
        <v>18</v>
      </c>
      <c r="O66">
        <v>1</v>
      </c>
      <c r="T66">
        <v>55</v>
      </c>
      <c r="Y66" s="7"/>
      <c r="Z66" s="7"/>
      <c r="AA66" t="s">
        <v>20</v>
      </c>
      <c r="AB66" t="s">
        <v>20</v>
      </c>
      <c r="AD66" s="7"/>
      <c r="AE66" s="7"/>
      <c r="AF66" t="s">
        <v>2092</v>
      </c>
      <c r="AG66">
        <v>1</v>
      </c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.5" customHeight="1" x14ac:dyDescent="0.2">
      <c r="A67" s="7" t="s">
        <v>589</v>
      </c>
      <c r="B67" s="7">
        <v>1921</v>
      </c>
      <c r="C67" s="7"/>
      <c r="D67" s="7" t="s">
        <v>590</v>
      </c>
      <c r="E67" s="7"/>
      <c r="H67">
        <v>2</v>
      </c>
      <c r="Y67" s="7"/>
      <c r="Z67" s="7"/>
      <c r="AD67" s="7"/>
      <c r="AE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7" t="s">
        <v>589</v>
      </c>
      <c r="B68" s="7">
        <v>1921</v>
      </c>
      <c r="C68" s="7"/>
      <c r="D68" s="7" t="s">
        <v>590</v>
      </c>
      <c r="E68" s="7"/>
      <c r="G68" t="s">
        <v>1</v>
      </c>
      <c r="H68" t="s">
        <v>0</v>
      </c>
      <c r="J68" t="s">
        <v>3</v>
      </c>
      <c r="N68" t="s">
        <v>2</v>
      </c>
      <c r="T68" t="s">
        <v>5</v>
      </c>
      <c r="Y68" s="7"/>
      <c r="Z68" s="7"/>
      <c r="AA68" t="s">
        <v>7</v>
      </c>
      <c r="AB68" t="s">
        <v>8</v>
      </c>
      <c r="AD68" s="7"/>
      <c r="AE68" s="7"/>
      <c r="AF68" t="s">
        <v>6</v>
      </c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s="55" customFormat="1" ht="17.5" customHeight="1" x14ac:dyDescent="0.2">
      <c r="A69" s="7" t="s">
        <v>589</v>
      </c>
      <c r="B69" s="7">
        <v>1921</v>
      </c>
      <c r="C69" s="7">
        <v>12</v>
      </c>
      <c r="D69" s="7" t="s">
        <v>590</v>
      </c>
      <c r="E69" s="227"/>
      <c r="F69" s="55">
        <v>7</v>
      </c>
      <c r="G69" s="55" t="s">
        <v>2093</v>
      </c>
      <c r="H69" s="55" t="s">
        <v>422</v>
      </c>
      <c r="I69" s="55">
        <v>44</v>
      </c>
      <c r="J69" s="55">
        <v>1</v>
      </c>
      <c r="N69" s="55">
        <v>1</v>
      </c>
      <c r="T69" s="55">
        <v>54</v>
      </c>
      <c r="Y69" s="227"/>
      <c r="Z69" s="227"/>
      <c r="AA69" s="55" t="s">
        <v>2095</v>
      </c>
      <c r="AB69" s="55" t="s">
        <v>20</v>
      </c>
      <c r="AC69" s="55">
        <v>1</v>
      </c>
      <c r="AD69" s="227"/>
      <c r="AE69" s="227"/>
      <c r="AF69" s="55" t="s">
        <v>2094</v>
      </c>
      <c r="AG69" s="55">
        <v>1</v>
      </c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</row>
    <row r="70" spans="1:51" ht="17.5" customHeight="1" x14ac:dyDescent="0.2">
      <c r="A70" s="7" t="s">
        <v>589</v>
      </c>
      <c r="B70" s="7">
        <v>1921</v>
      </c>
      <c r="C70" s="7">
        <v>12</v>
      </c>
      <c r="D70" s="7" t="s">
        <v>590</v>
      </c>
      <c r="E70" s="7"/>
      <c r="G70" t="s">
        <v>2096</v>
      </c>
      <c r="H70" t="s">
        <v>464</v>
      </c>
      <c r="I70">
        <v>45</v>
      </c>
      <c r="J70" t="s">
        <v>13</v>
      </c>
      <c r="K70">
        <v>1</v>
      </c>
      <c r="N70" t="s">
        <v>60</v>
      </c>
      <c r="R70">
        <v>1</v>
      </c>
      <c r="T70">
        <v>74</v>
      </c>
      <c r="Y70" s="7"/>
      <c r="Z70" s="7"/>
      <c r="AA70" t="s">
        <v>2097</v>
      </c>
      <c r="AB70" t="s">
        <v>2098</v>
      </c>
      <c r="AC70">
        <v>1</v>
      </c>
      <c r="AD70" s="7"/>
      <c r="AE70" s="7"/>
      <c r="AF70" t="s">
        <v>20</v>
      </c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.5" customHeight="1" x14ac:dyDescent="0.2">
      <c r="A71" s="7" t="s">
        <v>589</v>
      </c>
      <c r="B71" s="7">
        <v>1921</v>
      </c>
      <c r="C71" s="7">
        <v>12</v>
      </c>
      <c r="D71" s="7" t="s">
        <v>590</v>
      </c>
      <c r="E71" s="7"/>
      <c r="G71" t="s">
        <v>2100</v>
      </c>
      <c r="H71" t="s">
        <v>2099</v>
      </c>
      <c r="I71">
        <v>46</v>
      </c>
      <c r="J71" t="s">
        <v>13</v>
      </c>
      <c r="K71">
        <v>1</v>
      </c>
      <c r="N71" t="s">
        <v>60</v>
      </c>
      <c r="R71">
        <v>1</v>
      </c>
      <c r="T71">
        <v>44</v>
      </c>
      <c r="Y71" s="7"/>
      <c r="Z71" s="7"/>
      <c r="AA71" t="s">
        <v>2102</v>
      </c>
      <c r="AB71" t="s">
        <v>2103</v>
      </c>
      <c r="AC71">
        <v>1</v>
      </c>
      <c r="AD71" s="7"/>
      <c r="AE71" s="7"/>
      <c r="AF71" t="s">
        <v>2101</v>
      </c>
      <c r="AG71">
        <v>1</v>
      </c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.5" customHeight="1" x14ac:dyDescent="0.2">
      <c r="A72" s="7" t="s">
        <v>589</v>
      </c>
      <c r="B72" s="7">
        <v>1921</v>
      </c>
      <c r="C72" s="7"/>
      <c r="D72" s="7" t="s">
        <v>590</v>
      </c>
      <c r="E72" s="7"/>
      <c r="H72">
        <v>3</v>
      </c>
      <c r="Y72" s="7"/>
      <c r="Z72" s="7"/>
      <c r="AD72" s="7"/>
      <c r="AE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9" customHeight="1" x14ac:dyDescent="0.2">
      <c r="A73" s="7" t="s">
        <v>589</v>
      </c>
      <c r="B73" s="7">
        <v>1921</v>
      </c>
      <c r="C73" s="7"/>
      <c r="D73" s="7" t="s">
        <v>590</v>
      </c>
      <c r="E73" s="7"/>
      <c r="G73" t="s">
        <v>1</v>
      </c>
      <c r="H73" t="s">
        <v>0</v>
      </c>
      <c r="J73" t="s">
        <v>3</v>
      </c>
      <c r="N73" t="s">
        <v>2</v>
      </c>
      <c r="T73" t="s">
        <v>5</v>
      </c>
      <c r="Y73" s="5"/>
      <c r="Z73" s="5"/>
      <c r="AA73" t="s">
        <v>7</v>
      </c>
      <c r="AB73" t="s">
        <v>8</v>
      </c>
      <c r="AD73" s="7"/>
      <c r="AE73" s="7"/>
      <c r="AF73" t="s">
        <v>6</v>
      </c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.5" customHeight="1" x14ac:dyDescent="0.2">
      <c r="A74" s="7" t="s">
        <v>589</v>
      </c>
      <c r="B74" s="7">
        <v>1921</v>
      </c>
      <c r="C74" s="7">
        <v>13</v>
      </c>
      <c r="D74" s="7" t="s">
        <v>590</v>
      </c>
      <c r="E74" s="7"/>
      <c r="F74">
        <v>9</v>
      </c>
      <c r="G74" t="s">
        <v>2105</v>
      </c>
      <c r="H74" t="s">
        <v>2104</v>
      </c>
      <c r="I74">
        <v>47</v>
      </c>
      <c r="J74" t="s">
        <v>13</v>
      </c>
      <c r="K74">
        <v>1</v>
      </c>
      <c r="N74">
        <v>1</v>
      </c>
      <c r="T74">
        <v>39</v>
      </c>
      <c r="Y74" s="7"/>
      <c r="Z74" s="7"/>
      <c r="AA74" t="s">
        <v>2106</v>
      </c>
      <c r="AB74" t="s">
        <v>2107</v>
      </c>
      <c r="AD74" s="7"/>
      <c r="AE74" s="7"/>
      <c r="AF74" t="s">
        <v>14</v>
      </c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7" t="s">
        <v>589</v>
      </c>
      <c r="B75" s="7">
        <v>1921</v>
      </c>
      <c r="C75" s="7">
        <v>13</v>
      </c>
      <c r="D75" s="7" t="s">
        <v>590</v>
      </c>
      <c r="E75" s="7"/>
      <c r="G75" t="s">
        <v>2105</v>
      </c>
      <c r="H75" t="s">
        <v>2108</v>
      </c>
      <c r="I75">
        <v>48</v>
      </c>
      <c r="J75">
        <v>1</v>
      </c>
      <c r="N75" t="s">
        <v>18</v>
      </c>
      <c r="O75">
        <v>1</v>
      </c>
      <c r="T75">
        <v>40</v>
      </c>
      <c r="Y75" s="7"/>
      <c r="Z75" s="7"/>
      <c r="AA75" t="s">
        <v>50</v>
      </c>
      <c r="AB75" t="s">
        <v>20</v>
      </c>
      <c r="AD75" s="7"/>
      <c r="AE75" s="7"/>
      <c r="AF75" t="s">
        <v>14</v>
      </c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.5" customHeight="1" x14ac:dyDescent="0.2">
      <c r="A76" s="7" t="s">
        <v>589</v>
      </c>
      <c r="B76" s="7">
        <v>1921</v>
      </c>
      <c r="C76" s="7">
        <v>13</v>
      </c>
      <c r="D76" s="7" t="s">
        <v>590</v>
      </c>
      <c r="E76" s="7"/>
      <c r="G76" t="s">
        <v>2105</v>
      </c>
      <c r="H76" t="s">
        <v>2109</v>
      </c>
      <c r="I76">
        <v>49</v>
      </c>
      <c r="J76" t="s">
        <v>13</v>
      </c>
      <c r="K76">
        <v>1</v>
      </c>
      <c r="N76" t="s">
        <v>51</v>
      </c>
      <c r="Q76">
        <v>1</v>
      </c>
      <c r="T76">
        <v>10</v>
      </c>
      <c r="Y76" s="7"/>
      <c r="Z76" s="7"/>
      <c r="AA76" t="s">
        <v>20</v>
      </c>
      <c r="AB76" t="s">
        <v>20</v>
      </c>
      <c r="AD76" s="7"/>
      <c r="AE76" s="7"/>
      <c r="AF76" t="s">
        <v>14</v>
      </c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7" t="s">
        <v>589</v>
      </c>
      <c r="B77" s="7">
        <v>1921</v>
      </c>
      <c r="C77" s="7">
        <v>13</v>
      </c>
      <c r="D77" s="7" t="s">
        <v>590</v>
      </c>
      <c r="E77" s="7"/>
      <c r="G77" t="s">
        <v>328</v>
      </c>
      <c r="H77" t="s">
        <v>665</v>
      </c>
      <c r="I77">
        <v>50</v>
      </c>
      <c r="J77">
        <v>1</v>
      </c>
      <c r="N77" t="s">
        <v>2110</v>
      </c>
      <c r="R77">
        <v>1</v>
      </c>
      <c r="T77">
        <v>69</v>
      </c>
      <c r="Y77" s="7"/>
      <c r="Z77" s="7"/>
      <c r="AA77" t="s">
        <v>47</v>
      </c>
      <c r="AB77" t="s">
        <v>20</v>
      </c>
      <c r="AD77" s="7"/>
      <c r="AE77" s="7"/>
      <c r="AF77" t="s">
        <v>14</v>
      </c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.5" customHeight="1" x14ac:dyDescent="0.2">
      <c r="A78" s="7" t="s">
        <v>589</v>
      </c>
      <c r="B78" s="7">
        <v>1921</v>
      </c>
      <c r="C78" s="7"/>
      <c r="D78" s="7" t="s">
        <v>590</v>
      </c>
      <c r="E78" s="7"/>
      <c r="H78">
        <v>4</v>
      </c>
      <c r="Y78" s="7"/>
      <c r="Z78" s="7"/>
      <c r="AD78" s="7"/>
      <c r="AE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.5" customHeight="1" x14ac:dyDescent="0.2">
      <c r="A79" s="7" t="s">
        <v>589</v>
      </c>
      <c r="B79" s="7">
        <v>1921</v>
      </c>
      <c r="C79" s="7"/>
      <c r="D79" s="7" t="s">
        <v>590</v>
      </c>
      <c r="E79" s="7"/>
      <c r="G79" t="s">
        <v>1</v>
      </c>
      <c r="H79" t="s">
        <v>0</v>
      </c>
      <c r="J79" t="s">
        <v>3</v>
      </c>
      <c r="N79" t="s">
        <v>2</v>
      </c>
      <c r="T79" t="s">
        <v>5</v>
      </c>
      <c r="Y79" s="7"/>
      <c r="Z79" s="7"/>
      <c r="AA79" t="s">
        <v>7</v>
      </c>
      <c r="AB79" t="s">
        <v>8</v>
      </c>
      <c r="AD79" s="7"/>
      <c r="AE79" s="7"/>
      <c r="AF79" t="s">
        <v>6</v>
      </c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7.5" customHeight="1" x14ac:dyDescent="0.2">
      <c r="A80" s="7" t="s">
        <v>589</v>
      </c>
      <c r="B80" s="7">
        <v>1921</v>
      </c>
      <c r="C80" s="7">
        <v>14</v>
      </c>
      <c r="D80" s="7" t="s">
        <v>590</v>
      </c>
      <c r="E80" s="7"/>
      <c r="F80">
        <v>10</v>
      </c>
      <c r="G80" t="s">
        <v>2111</v>
      </c>
      <c r="H80" t="s">
        <v>758</v>
      </c>
      <c r="I80">
        <v>51</v>
      </c>
      <c r="J80" t="s">
        <v>13</v>
      </c>
      <c r="K80">
        <v>1</v>
      </c>
      <c r="N80">
        <v>1</v>
      </c>
      <c r="T80">
        <v>39</v>
      </c>
      <c r="Y80" s="7"/>
      <c r="Z80" s="7"/>
      <c r="AA80" t="s">
        <v>2113</v>
      </c>
      <c r="AB80" t="s">
        <v>8</v>
      </c>
      <c r="AC80">
        <v>1</v>
      </c>
      <c r="AD80" s="7">
        <v>1</v>
      </c>
      <c r="AE80" s="7"/>
      <c r="AF80" t="s">
        <v>2112</v>
      </c>
      <c r="AG80">
        <v>1</v>
      </c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.5" customHeight="1" x14ac:dyDescent="0.2">
      <c r="A81" s="7" t="s">
        <v>589</v>
      </c>
      <c r="B81" s="7">
        <v>1921</v>
      </c>
      <c r="C81" s="7">
        <v>14</v>
      </c>
      <c r="D81" s="7" t="s">
        <v>590</v>
      </c>
      <c r="E81" s="7"/>
      <c r="G81" t="s">
        <v>2111</v>
      </c>
      <c r="H81" t="s">
        <v>1702</v>
      </c>
      <c r="I81">
        <v>52</v>
      </c>
      <c r="J81">
        <v>1</v>
      </c>
      <c r="N81" t="s">
        <v>18</v>
      </c>
      <c r="O81">
        <v>1</v>
      </c>
      <c r="T81">
        <v>38</v>
      </c>
      <c r="Y81" s="7"/>
      <c r="Z81" s="7"/>
      <c r="AA81" t="s">
        <v>50</v>
      </c>
      <c r="AB81" t="s">
        <v>20</v>
      </c>
      <c r="AD81" s="7"/>
      <c r="AE81" s="7"/>
      <c r="AF81" t="s">
        <v>49</v>
      </c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7.5" customHeight="1" x14ac:dyDescent="0.2">
      <c r="A82" s="7" t="s">
        <v>589</v>
      </c>
      <c r="B82" s="7">
        <v>1921</v>
      </c>
      <c r="C82" s="7">
        <v>14</v>
      </c>
      <c r="D82" s="7" t="s">
        <v>590</v>
      </c>
      <c r="E82" s="7"/>
      <c r="G82" t="s">
        <v>2111</v>
      </c>
      <c r="H82" t="s">
        <v>2114</v>
      </c>
      <c r="I82">
        <v>53</v>
      </c>
      <c r="J82">
        <v>1</v>
      </c>
      <c r="N82" t="s">
        <v>22</v>
      </c>
      <c r="P82">
        <v>1</v>
      </c>
      <c r="T82">
        <v>13</v>
      </c>
      <c r="Y82" s="7"/>
      <c r="Z82" s="7"/>
      <c r="AA82" t="s">
        <v>20</v>
      </c>
      <c r="AB82" t="s">
        <v>20</v>
      </c>
      <c r="AD82" s="7"/>
      <c r="AE82" s="7"/>
      <c r="AF82" t="s">
        <v>49</v>
      </c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7" customHeight="1" x14ac:dyDescent="0.2">
      <c r="A83" s="7" t="s">
        <v>589</v>
      </c>
      <c r="B83" s="7">
        <v>1921</v>
      </c>
      <c r="C83" s="7">
        <v>14</v>
      </c>
      <c r="D83" s="7" t="s">
        <v>590</v>
      </c>
      <c r="E83" s="7"/>
      <c r="G83" t="s">
        <v>2111</v>
      </c>
      <c r="H83" t="s">
        <v>104</v>
      </c>
      <c r="I83">
        <v>54</v>
      </c>
      <c r="J83" t="s">
        <v>13</v>
      </c>
      <c r="K83">
        <v>1</v>
      </c>
      <c r="N83" t="s">
        <v>1208</v>
      </c>
      <c r="R83">
        <v>1</v>
      </c>
      <c r="T83">
        <v>40</v>
      </c>
      <c r="Y83" s="7">
        <f>SUM(Y73:Y82)</f>
        <v>0</v>
      </c>
      <c r="Z83" s="7">
        <f>SUM(Z73:Z82)</f>
        <v>0</v>
      </c>
      <c r="AA83" t="s">
        <v>2113</v>
      </c>
      <c r="AB83" t="s">
        <v>8</v>
      </c>
      <c r="AD83" s="7"/>
      <c r="AE83" s="7"/>
      <c r="AF83" t="s">
        <v>2112</v>
      </c>
      <c r="AG83">
        <v>1</v>
      </c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17.5" customHeight="1" x14ac:dyDescent="0.2">
      <c r="A84" s="7" t="s">
        <v>589</v>
      </c>
      <c r="B84" s="7">
        <v>1921</v>
      </c>
      <c r="C84" s="7">
        <v>14</v>
      </c>
      <c r="D84" s="7" t="s">
        <v>590</v>
      </c>
      <c r="E84" s="7"/>
      <c r="G84" t="s">
        <v>2115</v>
      </c>
      <c r="H84" t="s">
        <v>1232</v>
      </c>
      <c r="I84">
        <v>55</v>
      </c>
      <c r="J84" t="s">
        <v>13</v>
      </c>
      <c r="K84">
        <v>1</v>
      </c>
      <c r="N84" t="s">
        <v>60</v>
      </c>
      <c r="R84">
        <v>1</v>
      </c>
      <c r="T84">
        <v>29</v>
      </c>
      <c r="Y84" s="7"/>
      <c r="Z84" s="7"/>
      <c r="AA84" t="s">
        <v>2116</v>
      </c>
      <c r="AB84" t="s">
        <v>8</v>
      </c>
      <c r="AC84">
        <v>1</v>
      </c>
      <c r="AD84" s="7">
        <v>1</v>
      </c>
      <c r="AE84" s="7"/>
      <c r="AF84" t="s">
        <v>452</v>
      </c>
      <c r="AG84">
        <v>1</v>
      </c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17.5" customHeight="1" x14ac:dyDescent="0.2">
      <c r="A85" s="7" t="s">
        <v>589</v>
      </c>
      <c r="B85" s="7">
        <v>1921</v>
      </c>
      <c r="C85" s="7">
        <v>14</v>
      </c>
      <c r="D85" s="7" t="s">
        <v>590</v>
      </c>
      <c r="E85" s="7"/>
      <c r="G85" t="s">
        <v>2117</v>
      </c>
      <c r="H85" t="s">
        <v>1089</v>
      </c>
      <c r="I85">
        <v>56</v>
      </c>
      <c r="J85">
        <v>1</v>
      </c>
      <c r="N85" t="s">
        <v>26</v>
      </c>
      <c r="S85">
        <v>1</v>
      </c>
      <c r="T85">
        <v>40</v>
      </c>
      <c r="Y85" s="7"/>
      <c r="Z85" s="7"/>
      <c r="AA85" t="s">
        <v>344</v>
      </c>
      <c r="AB85" t="s">
        <v>2118</v>
      </c>
      <c r="AC85">
        <v>1</v>
      </c>
      <c r="AD85" s="7"/>
      <c r="AE85" s="7"/>
      <c r="AF85" t="s">
        <v>49</v>
      </c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17.5" customHeight="1" x14ac:dyDescent="0.2">
      <c r="A86" s="7" t="s">
        <v>589</v>
      </c>
      <c r="B86" s="7">
        <v>1921</v>
      </c>
      <c r="C86" s="7"/>
      <c r="D86" s="7" t="s">
        <v>590</v>
      </c>
      <c r="E86" s="11"/>
      <c r="H86">
        <v>6</v>
      </c>
      <c r="Y86" s="12"/>
      <c r="Z86" s="12"/>
      <c r="AD86" s="7"/>
      <c r="AE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28" customHeight="1" x14ac:dyDescent="0.2">
      <c r="A87" s="7" t="s">
        <v>589</v>
      </c>
      <c r="B87" s="7">
        <v>1921</v>
      </c>
      <c r="C87" s="7"/>
      <c r="D87" s="7" t="s">
        <v>590</v>
      </c>
      <c r="E87" s="11"/>
      <c r="G87" t="s">
        <v>1</v>
      </c>
      <c r="H87" t="s">
        <v>0</v>
      </c>
      <c r="J87" t="s">
        <v>3</v>
      </c>
      <c r="N87" t="s">
        <v>2</v>
      </c>
      <c r="T87" t="s">
        <v>5</v>
      </c>
      <c r="Y87" s="12"/>
      <c r="Z87" s="12"/>
      <c r="AA87" t="s">
        <v>7</v>
      </c>
      <c r="AB87" t="s">
        <v>8</v>
      </c>
      <c r="AD87" s="7"/>
      <c r="AE87" s="7"/>
      <c r="AF87" t="s">
        <v>6</v>
      </c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s="55" customFormat="1" ht="17.5" customHeight="1" x14ac:dyDescent="0.2">
      <c r="A88" s="7" t="s">
        <v>589</v>
      </c>
      <c r="B88" s="7">
        <v>1921</v>
      </c>
      <c r="C88" s="7">
        <v>15</v>
      </c>
      <c r="D88" s="7" t="s">
        <v>590</v>
      </c>
      <c r="E88" s="227"/>
      <c r="F88" s="55">
        <v>11</v>
      </c>
      <c r="G88" s="55" t="s">
        <v>2120</v>
      </c>
      <c r="H88" s="55" t="s">
        <v>2119</v>
      </c>
      <c r="I88" s="55">
        <v>57</v>
      </c>
      <c r="J88" s="55">
        <v>1</v>
      </c>
      <c r="N88" s="55">
        <v>1</v>
      </c>
      <c r="T88" s="55">
        <v>48</v>
      </c>
      <c r="Y88" s="229"/>
      <c r="Z88" s="227"/>
      <c r="AA88" s="55" t="s">
        <v>2122</v>
      </c>
      <c r="AB88" s="55" t="s">
        <v>2123</v>
      </c>
      <c r="AC88" s="55">
        <v>1</v>
      </c>
      <c r="AD88" s="227"/>
      <c r="AE88" s="227"/>
      <c r="AF88" s="55" t="s">
        <v>2121</v>
      </c>
      <c r="AG88" s="55">
        <v>1</v>
      </c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</row>
    <row r="89" spans="1:51" ht="17.5" customHeight="1" x14ac:dyDescent="0.2">
      <c r="A89" s="7" t="s">
        <v>589</v>
      </c>
      <c r="B89" s="7">
        <v>1921</v>
      </c>
      <c r="C89" s="7">
        <v>15</v>
      </c>
      <c r="D89" s="7" t="s">
        <v>590</v>
      </c>
      <c r="E89" s="7"/>
      <c r="G89" t="s">
        <v>2125</v>
      </c>
      <c r="H89" t="s">
        <v>2124</v>
      </c>
      <c r="I89">
        <v>58</v>
      </c>
      <c r="J89">
        <v>1</v>
      </c>
      <c r="N89" t="s">
        <v>26</v>
      </c>
      <c r="S89">
        <v>1</v>
      </c>
      <c r="T89">
        <v>28</v>
      </c>
      <c r="Y89" s="7"/>
      <c r="Z89" s="7"/>
      <c r="AA89" t="s">
        <v>29</v>
      </c>
      <c r="AB89" t="s">
        <v>2127</v>
      </c>
      <c r="AC89">
        <v>1</v>
      </c>
      <c r="AD89" s="7"/>
      <c r="AE89" s="7"/>
      <c r="AF89" t="s">
        <v>2126</v>
      </c>
      <c r="AG89">
        <v>1</v>
      </c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ht="17.5" customHeight="1" x14ac:dyDescent="0.2">
      <c r="A90" s="7" t="s">
        <v>589</v>
      </c>
      <c r="B90" s="7">
        <v>1921</v>
      </c>
      <c r="C90" s="7">
        <v>15</v>
      </c>
      <c r="D90" s="7" t="s">
        <v>590</v>
      </c>
      <c r="E90" s="7"/>
      <c r="G90" t="s">
        <v>2129</v>
      </c>
      <c r="H90" t="s">
        <v>2128</v>
      </c>
      <c r="I90">
        <v>59</v>
      </c>
      <c r="J90">
        <v>1</v>
      </c>
      <c r="N90" t="s">
        <v>60</v>
      </c>
      <c r="R90">
        <v>1</v>
      </c>
      <c r="T90">
        <v>29</v>
      </c>
      <c r="Y90" s="7"/>
      <c r="Z90" s="7"/>
      <c r="AA90" t="s">
        <v>50</v>
      </c>
      <c r="AB90" t="s">
        <v>20</v>
      </c>
      <c r="AD90" s="7"/>
      <c r="AE90" s="7"/>
      <c r="AF90" t="s">
        <v>1976</v>
      </c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ht="17.5" customHeight="1" x14ac:dyDescent="0.2">
      <c r="A91" s="7" t="s">
        <v>589</v>
      </c>
      <c r="B91" s="7">
        <v>1921</v>
      </c>
      <c r="C91" s="7">
        <v>15</v>
      </c>
      <c r="D91" s="7" t="s">
        <v>590</v>
      </c>
      <c r="E91" s="7"/>
      <c r="G91" t="s">
        <v>2129</v>
      </c>
      <c r="H91" t="s">
        <v>1700</v>
      </c>
      <c r="I91">
        <v>60</v>
      </c>
      <c r="J91" t="s">
        <v>13</v>
      </c>
      <c r="K91">
        <v>1</v>
      </c>
      <c r="N91" t="s">
        <v>60</v>
      </c>
      <c r="R91">
        <v>1</v>
      </c>
      <c r="T91">
        <v>31</v>
      </c>
      <c r="Y91" s="6"/>
      <c r="Z91" s="7"/>
      <c r="AA91" t="s">
        <v>2130</v>
      </c>
      <c r="AB91" t="s">
        <v>8</v>
      </c>
      <c r="AC91">
        <v>1</v>
      </c>
      <c r="AD91" s="7">
        <v>1</v>
      </c>
      <c r="AE91" s="7"/>
      <c r="AF91" t="s">
        <v>49</v>
      </c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17.5" customHeight="1" x14ac:dyDescent="0.2">
      <c r="A92" s="7" t="s">
        <v>589</v>
      </c>
      <c r="B92" s="7">
        <v>1921</v>
      </c>
      <c r="C92" s="7">
        <v>15</v>
      </c>
      <c r="D92" s="7" t="s">
        <v>590</v>
      </c>
      <c r="E92" s="7"/>
      <c r="G92" t="s">
        <v>2132</v>
      </c>
      <c r="H92" t="s">
        <v>2131</v>
      </c>
      <c r="I92">
        <v>61</v>
      </c>
      <c r="J92" t="s">
        <v>13</v>
      </c>
      <c r="K92">
        <v>1</v>
      </c>
      <c r="N92" t="s">
        <v>60</v>
      </c>
      <c r="R92">
        <v>1</v>
      </c>
      <c r="T92">
        <v>28</v>
      </c>
      <c r="Y92" s="6"/>
      <c r="Z92" s="7"/>
      <c r="AA92" t="s">
        <v>2133</v>
      </c>
      <c r="AB92" t="s">
        <v>2134</v>
      </c>
      <c r="AC92">
        <v>1</v>
      </c>
      <c r="AD92" s="7"/>
      <c r="AE92" s="7"/>
      <c r="AF92" t="s">
        <v>329</v>
      </c>
      <c r="AG92">
        <v>1</v>
      </c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17.5" customHeight="1" x14ac:dyDescent="0.2">
      <c r="A93" s="7" t="s">
        <v>589</v>
      </c>
      <c r="B93" s="7">
        <v>1921</v>
      </c>
      <c r="C93" s="7">
        <v>15</v>
      </c>
      <c r="D93" s="7" t="s">
        <v>590</v>
      </c>
      <c r="E93" s="7"/>
      <c r="G93" t="s">
        <v>2132</v>
      </c>
      <c r="H93" t="s">
        <v>2135</v>
      </c>
      <c r="I93">
        <v>62</v>
      </c>
      <c r="J93">
        <v>1</v>
      </c>
      <c r="N93" t="s">
        <v>60</v>
      </c>
      <c r="R93">
        <v>1</v>
      </c>
      <c r="T93">
        <v>23</v>
      </c>
      <c r="Y93" s="6"/>
      <c r="Z93" s="7"/>
      <c r="AA93" s="7"/>
      <c r="AB93" s="7"/>
      <c r="AC93" s="7"/>
      <c r="AD93" s="7"/>
      <c r="AE93" s="7"/>
      <c r="AF93" t="s">
        <v>49</v>
      </c>
      <c r="AG93" t="s">
        <v>20</v>
      </c>
      <c r="AH93" t="s">
        <v>20</v>
      </c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17.5" customHeight="1" x14ac:dyDescent="0.2">
      <c r="A94" s="7" t="s">
        <v>589</v>
      </c>
      <c r="B94" s="7">
        <v>1921</v>
      </c>
      <c r="C94" s="7">
        <v>15</v>
      </c>
      <c r="D94" s="7" t="s">
        <v>590</v>
      </c>
      <c r="E94" s="7"/>
      <c r="H94">
        <v>6</v>
      </c>
      <c r="R94" s="6"/>
      <c r="S94" s="6"/>
      <c r="T94" s="7"/>
      <c r="U94" s="6"/>
      <c r="V94" s="6"/>
      <c r="W94" s="6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17.5" customHeight="1" x14ac:dyDescent="0.2">
      <c r="A95" s="106" t="s">
        <v>589</v>
      </c>
      <c r="B95" s="67" t="s">
        <v>808</v>
      </c>
      <c r="C95" s="205">
        <v>15</v>
      </c>
      <c r="D95" s="107" t="s">
        <v>590</v>
      </c>
      <c r="E95" s="7"/>
      <c r="I95">
        <v>62</v>
      </c>
      <c r="J95" s="64">
        <f t="shared" ref="J95:AD95" si="0">SUM(J1:J94)</f>
        <v>34</v>
      </c>
      <c r="K95" s="64">
        <f t="shared" si="0"/>
        <v>21</v>
      </c>
      <c r="L95" s="64">
        <f t="shared" si="0"/>
        <v>4</v>
      </c>
      <c r="M95" s="64">
        <f t="shared" si="0"/>
        <v>3</v>
      </c>
      <c r="N95" s="64">
        <f t="shared" si="0"/>
        <v>14</v>
      </c>
      <c r="O95" s="64">
        <f t="shared" si="0"/>
        <v>12</v>
      </c>
      <c r="P95" s="64">
        <f t="shared" si="0"/>
        <v>7</v>
      </c>
      <c r="Q95" s="64">
        <f t="shared" si="0"/>
        <v>4</v>
      </c>
      <c r="R95" s="64">
        <f t="shared" si="0"/>
        <v>17</v>
      </c>
      <c r="S95" s="64">
        <f t="shared" si="0"/>
        <v>8</v>
      </c>
      <c r="T95" s="64">
        <f t="shared" si="0"/>
        <v>2199</v>
      </c>
      <c r="U95" s="64">
        <f t="shared" si="0"/>
        <v>0</v>
      </c>
      <c r="V95" s="64">
        <f t="shared" si="0"/>
        <v>0</v>
      </c>
      <c r="W95" s="64">
        <f t="shared" si="0"/>
        <v>0</v>
      </c>
      <c r="X95" s="64">
        <f t="shared" si="0"/>
        <v>0</v>
      </c>
      <c r="Y95" s="64">
        <f t="shared" si="0"/>
        <v>0</v>
      </c>
      <c r="Z95" s="64">
        <f t="shared" si="0"/>
        <v>0</v>
      </c>
      <c r="AA95" s="64">
        <f t="shared" si="0"/>
        <v>0</v>
      </c>
      <c r="AB95" s="64">
        <f t="shared" si="0"/>
        <v>0</v>
      </c>
      <c r="AC95" s="64">
        <f t="shared" si="0"/>
        <v>29</v>
      </c>
      <c r="AD95" s="64">
        <f t="shared" si="0"/>
        <v>3</v>
      </c>
      <c r="AE95" s="64">
        <f>AC95-AD95</f>
        <v>26</v>
      </c>
      <c r="AF95" s="64">
        <f>N96-AG95</f>
        <v>23</v>
      </c>
      <c r="AG95" s="64">
        <f>SUM(AG1:AG94)</f>
        <v>39</v>
      </c>
      <c r="AH95" s="64">
        <f>AG95+AF95</f>
        <v>62</v>
      </c>
      <c r="AI95" s="64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17.5" customHeight="1" x14ac:dyDescent="0.2">
      <c r="A96" s="7"/>
      <c r="B96" s="7"/>
      <c r="C96" s="7"/>
      <c r="D96" s="7"/>
      <c r="E96" s="7"/>
      <c r="I96" s="64">
        <f>SUM(J95:M95)</f>
        <v>62</v>
      </c>
      <c r="J96" s="64"/>
      <c r="K96" s="64"/>
      <c r="L96" s="64"/>
      <c r="M96" s="64"/>
      <c r="N96" s="64">
        <f>SUM(N95:S95)</f>
        <v>62</v>
      </c>
      <c r="R96" s="6"/>
      <c r="S96" s="6"/>
      <c r="T96" s="20">
        <f>T95/N96</f>
        <v>35.467741935483872</v>
      </c>
      <c r="U96" s="6"/>
      <c r="V96" s="6"/>
      <c r="W96" s="6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17.5" customHeight="1" x14ac:dyDescent="0.2">
      <c r="A97" s="7"/>
      <c r="B97" s="7"/>
      <c r="C97" s="7"/>
      <c r="D97" s="7"/>
      <c r="E97" s="7"/>
      <c r="R97" s="6"/>
      <c r="S97" s="6"/>
      <c r="T97" s="7"/>
      <c r="U97" s="6"/>
      <c r="V97" s="6"/>
      <c r="W97" s="6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17.5" customHeight="1" x14ac:dyDescent="0.2">
      <c r="A98" s="7"/>
      <c r="B98" s="7"/>
      <c r="C98" s="7"/>
      <c r="D98" s="7"/>
      <c r="E98" s="7"/>
      <c r="F98" s="7">
        <v>8</v>
      </c>
      <c r="G98" s="7"/>
      <c r="H98" s="7" t="s">
        <v>1995</v>
      </c>
      <c r="I98" s="7" t="s">
        <v>1996</v>
      </c>
      <c r="J98" s="7" t="s">
        <v>12</v>
      </c>
      <c r="K98" s="7" t="s">
        <v>13</v>
      </c>
      <c r="L98" s="7">
        <v>1885</v>
      </c>
      <c r="M98" s="6">
        <v>35</v>
      </c>
      <c r="N98" s="6" t="s">
        <v>1997</v>
      </c>
      <c r="O98" s="6" t="s">
        <v>1998</v>
      </c>
      <c r="P98" s="6" t="s">
        <v>1999</v>
      </c>
      <c r="Q98" s="7"/>
      <c r="R98" s="6"/>
      <c r="S98" s="6"/>
      <c r="T98" s="7"/>
      <c r="U98" s="6"/>
      <c r="V98" s="6"/>
      <c r="W98" s="6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17.5" customHeight="1" x14ac:dyDescent="0.2">
      <c r="A99" s="7"/>
      <c r="B99" s="7"/>
      <c r="C99" s="7"/>
      <c r="D99" s="7"/>
      <c r="E99" s="7"/>
      <c r="F99" s="7"/>
      <c r="G99" s="7"/>
      <c r="H99" s="7" t="s">
        <v>2000</v>
      </c>
      <c r="I99" s="7" t="s">
        <v>1996</v>
      </c>
      <c r="J99" s="7" t="s">
        <v>18</v>
      </c>
      <c r="K99" s="7" t="s">
        <v>19</v>
      </c>
      <c r="L99" s="7">
        <v>1894</v>
      </c>
      <c r="M99" s="6">
        <v>27</v>
      </c>
      <c r="N99" s="6" t="s">
        <v>2001</v>
      </c>
      <c r="O99" s="6" t="s">
        <v>50</v>
      </c>
      <c r="P99" s="6" t="s">
        <v>20</v>
      </c>
      <c r="Q99" s="7"/>
      <c r="R99" s="6"/>
      <c r="S99" s="6"/>
      <c r="T99" s="7"/>
      <c r="U99" s="6"/>
      <c r="V99" s="6"/>
      <c r="W99" s="6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17" customHeight="1" x14ac:dyDescent="0.2">
      <c r="A100" s="7"/>
      <c r="B100" s="7"/>
      <c r="C100" s="7"/>
      <c r="D100" s="7"/>
      <c r="E100" s="7"/>
      <c r="F100" s="7"/>
      <c r="G100" s="7"/>
      <c r="H100" s="7" t="s">
        <v>2002</v>
      </c>
      <c r="I100" s="7" t="s">
        <v>1996</v>
      </c>
      <c r="J100" s="7" t="s">
        <v>51</v>
      </c>
      <c r="K100" s="7" t="s">
        <v>13</v>
      </c>
      <c r="L100" s="7">
        <v>1920</v>
      </c>
      <c r="M100" s="7">
        <v>1</v>
      </c>
      <c r="N100" s="7" t="s">
        <v>49</v>
      </c>
      <c r="O100" s="7" t="s">
        <v>20</v>
      </c>
      <c r="P100" s="7" t="s">
        <v>20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7.5" customHeight="1" x14ac:dyDescent="0.2">
      <c r="A101" s="7"/>
      <c r="B101" s="7"/>
      <c r="C101" s="7"/>
      <c r="D101" s="7"/>
      <c r="E101" s="7"/>
      <c r="F101" s="7"/>
      <c r="G101" s="7"/>
      <c r="H101" s="7" t="s">
        <v>326</v>
      </c>
      <c r="I101" s="7" t="s">
        <v>2003</v>
      </c>
      <c r="J101" s="7" t="s">
        <v>26</v>
      </c>
      <c r="K101" s="7" t="s">
        <v>19</v>
      </c>
      <c r="L101" s="7">
        <v>1901</v>
      </c>
      <c r="M101" s="6">
        <v>20</v>
      </c>
      <c r="N101" s="6" t="s">
        <v>152</v>
      </c>
      <c r="O101" s="6" t="s">
        <v>344</v>
      </c>
      <c r="P101" s="6" t="s">
        <v>20</v>
      </c>
      <c r="Q101" s="7"/>
      <c r="R101" s="6"/>
      <c r="S101" s="6"/>
      <c r="T101" s="19"/>
      <c r="U101" s="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17.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6"/>
      <c r="N102" s="6"/>
      <c r="O102" s="6"/>
      <c r="P102" s="6"/>
      <c r="Q102" s="7"/>
      <c r="R102" s="6"/>
      <c r="S102" s="6"/>
      <c r="T102" s="7"/>
      <c r="U102" s="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17.5" customHeight="1" x14ac:dyDescent="0.2">
      <c r="A103" s="7"/>
      <c r="B103" s="7"/>
      <c r="C103" s="7"/>
      <c r="D103" s="7"/>
      <c r="E103" s="7"/>
      <c r="F103" s="7"/>
      <c r="G103" s="7"/>
      <c r="H103" s="7" t="s">
        <v>0</v>
      </c>
      <c r="I103" s="7" t="s">
        <v>1</v>
      </c>
      <c r="J103" s="7" t="s">
        <v>2</v>
      </c>
      <c r="K103" s="7" t="s">
        <v>3</v>
      </c>
      <c r="L103" s="7" t="s">
        <v>4</v>
      </c>
      <c r="M103" s="6" t="s">
        <v>5</v>
      </c>
      <c r="N103" s="6" t="s">
        <v>6</v>
      </c>
      <c r="O103" s="6" t="s">
        <v>7</v>
      </c>
      <c r="P103" s="6" t="s">
        <v>8</v>
      </c>
      <c r="Q103" s="7"/>
      <c r="R103" s="6"/>
      <c r="S103" s="6"/>
      <c r="T103" s="7"/>
      <c r="U103" s="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17.5" customHeight="1" x14ac:dyDescent="0.2">
      <c r="A104" s="7"/>
      <c r="B104" s="7"/>
      <c r="C104" s="7"/>
      <c r="D104" s="7"/>
      <c r="E104" s="7"/>
      <c r="F104" s="7"/>
      <c r="G104" s="7"/>
      <c r="H104" s="7" t="s">
        <v>2004</v>
      </c>
      <c r="I104" s="7" t="s">
        <v>2005</v>
      </c>
      <c r="J104" s="7" t="s">
        <v>12</v>
      </c>
      <c r="K104" s="7" t="s">
        <v>13</v>
      </c>
      <c r="L104" s="7">
        <v>1858</v>
      </c>
      <c r="M104" s="6">
        <v>62</v>
      </c>
      <c r="N104" s="6" t="s">
        <v>49</v>
      </c>
      <c r="O104" s="6" t="s">
        <v>2006</v>
      </c>
      <c r="P104" s="6" t="s">
        <v>16</v>
      </c>
      <c r="Q104" s="7"/>
      <c r="R104" s="6"/>
      <c r="S104" s="6"/>
      <c r="T104" s="19"/>
      <c r="U104" s="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17.5" customHeight="1" x14ac:dyDescent="0.2">
      <c r="A105" s="7"/>
      <c r="B105" s="7"/>
      <c r="C105" s="7"/>
      <c r="D105" s="7"/>
      <c r="E105" s="7"/>
      <c r="F105" s="7"/>
      <c r="G105" s="7"/>
      <c r="H105" s="7" t="s">
        <v>2007</v>
      </c>
      <c r="I105" s="7" t="s">
        <v>2005</v>
      </c>
      <c r="J105" s="7" t="s">
        <v>18</v>
      </c>
      <c r="K105" s="7" t="s">
        <v>19</v>
      </c>
      <c r="L105" s="7">
        <v>1880</v>
      </c>
      <c r="M105" s="6">
        <v>41</v>
      </c>
      <c r="N105" s="6" t="s">
        <v>2008</v>
      </c>
      <c r="O105" s="6" t="s">
        <v>50</v>
      </c>
      <c r="P105" s="6" t="s">
        <v>20</v>
      </c>
      <c r="Q105" s="7"/>
      <c r="R105" s="6"/>
      <c r="S105" s="6"/>
      <c r="T105" s="7"/>
      <c r="U105" s="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17.5" customHeight="1" x14ac:dyDescent="0.2">
      <c r="A106" s="7"/>
      <c r="B106" s="7"/>
      <c r="C106" s="7"/>
      <c r="D106" s="7"/>
      <c r="E106" s="7"/>
      <c r="F106" s="7"/>
      <c r="G106" s="7"/>
      <c r="H106" s="7" t="s">
        <v>345</v>
      </c>
      <c r="I106" s="7" t="s">
        <v>2009</v>
      </c>
      <c r="J106" s="7" t="s">
        <v>26</v>
      </c>
      <c r="K106" s="7" t="s">
        <v>19</v>
      </c>
      <c r="L106" s="7">
        <v>1900</v>
      </c>
      <c r="M106" s="6">
        <v>21</v>
      </c>
      <c r="N106" s="6" t="s">
        <v>2008</v>
      </c>
      <c r="O106" s="6" t="s">
        <v>344</v>
      </c>
      <c r="P106" s="6" t="s">
        <v>2010</v>
      </c>
      <c r="Q106" s="7"/>
      <c r="R106" s="6"/>
      <c r="S106" s="6"/>
      <c r="T106" s="7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17.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6"/>
      <c r="N107" s="6"/>
      <c r="O107" s="6"/>
      <c r="P107" s="6"/>
      <c r="Q107" s="7"/>
      <c r="R107" s="6"/>
      <c r="S107" s="6"/>
      <c r="T107" s="7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17" customHeight="1" x14ac:dyDescent="0.2">
      <c r="A108" s="4" t="s">
        <v>252</v>
      </c>
      <c r="B108" s="7"/>
      <c r="C108" s="7"/>
      <c r="D108" s="7"/>
      <c r="E108" s="7"/>
      <c r="F108" s="7"/>
      <c r="G108" s="7">
        <f>SUM(G94:G107)</f>
        <v>0</v>
      </c>
      <c r="H108" s="7" t="s">
        <v>0</v>
      </c>
      <c r="I108" s="7" t="s">
        <v>1</v>
      </c>
      <c r="J108" s="7" t="s">
        <v>2</v>
      </c>
      <c r="K108" s="7" t="s">
        <v>3</v>
      </c>
      <c r="L108" s="7" t="s">
        <v>4</v>
      </c>
      <c r="M108" s="7" t="s">
        <v>5</v>
      </c>
      <c r="N108" s="7" t="s">
        <v>6</v>
      </c>
      <c r="O108" s="7" t="s">
        <v>7</v>
      </c>
      <c r="P108" s="7" t="s">
        <v>8</v>
      </c>
      <c r="Q108" s="7">
        <f>SUM(Q73:Q107)</f>
        <v>5</v>
      </c>
      <c r="R108" s="7">
        <f>SUM(R94:R107)</f>
        <v>17</v>
      </c>
      <c r="S108" s="7">
        <f>SUM(S94:S107)</f>
        <v>8</v>
      </c>
      <c r="T108" s="7">
        <f>SUM(T94:T107)</f>
        <v>2234.4677419354839</v>
      </c>
      <c r="U108" s="7">
        <f>SUM(U94:U107)</f>
        <v>0</v>
      </c>
      <c r="V108" s="7">
        <f>SUM(V73:V107)</f>
        <v>0</v>
      </c>
      <c r="W108" s="7">
        <f>SUM(W94:W107)</f>
        <v>0</v>
      </c>
      <c r="X108" s="7"/>
      <c r="Y108" s="7"/>
      <c r="Z108" s="7">
        <f>SUM(Z73:Z107)</f>
        <v>0</v>
      </c>
      <c r="AA108" s="7">
        <f>SUM(AA93:AA107)</f>
        <v>0</v>
      </c>
      <c r="AB108" s="7">
        <f>SUM(AB93:AB107)</f>
        <v>0</v>
      </c>
      <c r="AC108" s="7">
        <f>SUM(AC93:AC107)</f>
        <v>29</v>
      </c>
      <c r="AD108" s="7">
        <f>SUM(AD93:AD107)</f>
        <v>3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17" customHeight="1" x14ac:dyDescent="0.2">
      <c r="A109" s="7"/>
      <c r="B109" s="7"/>
      <c r="C109" s="7"/>
      <c r="D109" s="7"/>
      <c r="E109" s="7"/>
      <c r="F109" s="7"/>
      <c r="G109" s="7"/>
      <c r="H109" s="7" t="s">
        <v>2011</v>
      </c>
      <c r="I109" s="7" t="s">
        <v>2012</v>
      </c>
      <c r="J109" s="7" t="s">
        <v>18</v>
      </c>
      <c r="K109" s="7" t="s">
        <v>19</v>
      </c>
      <c r="L109" s="7">
        <v>1847</v>
      </c>
      <c r="M109" s="7">
        <v>74</v>
      </c>
      <c r="N109" s="7" t="s">
        <v>2013</v>
      </c>
      <c r="O109" s="7" t="s">
        <v>50</v>
      </c>
      <c r="P109" s="7" t="s">
        <v>20</v>
      </c>
      <c r="Q109" s="20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17" customHeight="1" x14ac:dyDescent="0.2">
      <c r="A110" s="7"/>
      <c r="B110" s="7"/>
      <c r="C110" s="7"/>
      <c r="D110" s="7"/>
      <c r="E110" s="7"/>
      <c r="F110" s="7"/>
      <c r="G110" s="21"/>
      <c r="H110" s="21" t="s">
        <v>2014</v>
      </c>
      <c r="I110" s="21" t="s">
        <v>2012</v>
      </c>
      <c r="J110" s="7" t="s">
        <v>910</v>
      </c>
      <c r="K110" s="7" t="s">
        <v>19</v>
      </c>
      <c r="L110" s="7">
        <v>1843</v>
      </c>
      <c r="M110" s="7">
        <v>78</v>
      </c>
      <c r="N110" s="7" t="s">
        <v>2015</v>
      </c>
      <c r="O110" s="7" t="s">
        <v>1584</v>
      </c>
      <c r="P110" s="7" t="s">
        <v>20</v>
      </c>
      <c r="Q110" s="20"/>
      <c r="R110" s="21"/>
      <c r="S110" s="21"/>
      <c r="T110" s="21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17.5" customHeight="1" x14ac:dyDescent="0.2">
      <c r="A111" s="7"/>
      <c r="B111" s="7"/>
      <c r="C111" s="7"/>
      <c r="D111" s="7"/>
      <c r="E111" s="7"/>
      <c r="F111" s="7"/>
      <c r="G111" s="7"/>
      <c r="H111" s="7" t="s">
        <v>1581</v>
      </c>
      <c r="I111" s="7" t="s">
        <v>2016</v>
      </c>
      <c r="J111" s="7" t="s">
        <v>26</v>
      </c>
      <c r="K111" s="7" t="s">
        <v>19</v>
      </c>
      <c r="L111" s="7">
        <v>1894</v>
      </c>
      <c r="M111" s="7">
        <v>27</v>
      </c>
      <c r="N111" s="7" t="s">
        <v>2017</v>
      </c>
      <c r="O111" s="7" t="s">
        <v>344</v>
      </c>
      <c r="P111" s="7" t="s">
        <v>29</v>
      </c>
      <c r="Q111" s="7"/>
      <c r="R111" s="6"/>
      <c r="S111" s="6"/>
      <c r="T111" s="19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17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21"/>
      <c r="S112" s="21"/>
      <c r="T112" s="21"/>
      <c r="U112" s="7"/>
      <c r="V112" s="7"/>
      <c r="W112" s="7"/>
      <c r="X112" s="7"/>
      <c r="Y112" s="7"/>
      <c r="Z112" s="7"/>
      <c r="AA112" s="7"/>
      <c r="AB112" s="7"/>
      <c r="AC112" s="22"/>
      <c r="AD112" s="22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17.5" customHeight="1" x14ac:dyDescent="0.2">
      <c r="A113" s="7"/>
      <c r="B113" s="7"/>
      <c r="C113" s="7"/>
      <c r="D113" s="7"/>
      <c r="E113" s="7"/>
      <c r="F113" s="7"/>
      <c r="G113" s="7"/>
      <c r="H113" s="7" t="s">
        <v>0</v>
      </c>
      <c r="I113" s="7" t="s">
        <v>1</v>
      </c>
      <c r="J113" s="7" t="s">
        <v>2</v>
      </c>
      <c r="K113" s="7" t="s">
        <v>3</v>
      </c>
      <c r="L113" s="7" t="s">
        <v>4</v>
      </c>
      <c r="M113" s="7" t="s">
        <v>5</v>
      </c>
      <c r="N113" s="7" t="s">
        <v>6</v>
      </c>
      <c r="O113" s="7" t="s">
        <v>7</v>
      </c>
      <c r="P113" s="7" t="s">
        <v>8</v>
      </c>
      <c r="Q113" s="7"/>
      <c r="R113" s="6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">
      <c r="H114" t="s">
        <v>1912</v>
      </c>
      <c r="I114" t="s">
        <v>2018</v>
      </c>
      <c r="J114" t="s">
        <v>12</v>
      </c>
      <c r="K114" t="s">
        <v>19</v>
      </c>
      <c r="L114">
        <v>1870</v>
      </c>
      <c r="M114">
        <v>50</v>
      </c>
      <c r="N114" t="s">
        <v>2019</v>
      </c>
      <c r="O114" t="s">
        <v>2020</v>
      </c>
      <c r="P114" t="s">
        <v>2021</v>
      </c>
    </row>
    <row r="115" spans="1:51" x14ac:dyDescent="0.2">
      <c r="H115" t="s">
        <v>2022</v>
      </c>
      <c r="I115" t="s">
        <v>2018</v>
      </c>
      <c r="J115" t="s">
        <v>22</v>
      </c>
      <c r="K115" t="s">
        <v>19</v>
      </c>
      <c r="L115">
        <v>1877</v>
      </c>
      <c r="M115">
        <v>44</v>
      </c>
      <c r="N115" t="s">
        <v>49</v>
      </c>
      <c r="O115" t="s">
        <v>2023</v>
      </c>
      <c r="P115" t="s">
        <v>2024</v>
      </c>
    </row>
    <row r="116" spans="1:51" x14ac:dyDescent="0.2">
      <c r="H116" t="s">
        <v>2025</v>
      </c>
      <c r="I116" t="s">
        <v>2018</v>
      </c>
      <c r="J116" t="s">
        <v>22</v>
      </c>
      <c r="K116" t="s">
        <v>19</v>
      </c>
      <c r="L116">
        <v>1903</v>
      </c>
      <c r="M116">
        <v>17</v>
      </c>
      <c r="N116" t="s">
        <v>49</v>
      </c>
      <c r="O116" t="s">
        <v>1862</v>
      </c>
      <c r="P116" t="s">
        <v>2026</v>
      </c>
    </row>
    <row r="117" spans="1:51" x14ac:dyDescent="0.2">
      <c r="H117" t="s">
        <v>2027</v>
      </c>
      <c r="I117" t="s">
        <v>2018</v>
      </c>
      <c r="J117" t="s">
        <v>22</v>
      </c>
      <c r="K117" t="s">
        <v>19</v>
      </c>
      <c r="L117">
        <v>1913</v>
      </c>
      <c r="M117">
        <v>8</v>
      </c>
      <c r="N117" t="s">
        <v>49</v>
      </c>
      <c r="O117" t="s">
        <v>20</v>
      </c>
      <c r="P117" t="s">
        <v>20</v>
      </c>
    </row>
    <row r="119" spans="1:51" x14ac:dyDescent="0.2">
      <c r="H119" t="s">
        <v>0</v>
      </c>
      <c r="I119" t="s">
        <v>1</v>
      </c>
      <c r="J119" t="s">
        <v>2</v>
      </c>
      <c r="K119" t="s">
        <v>3</v>
      </c>
      <c r="L119" t="s">
        <v>4</v>
      </c>
      <c r="M119" t="s">
        <v>5</v>
      </c>
      <c r="N119" t="s">
        <v>6</v>
      </c>
      <c r="O119" t="s">
        <v>7</v>
      </c>
      <c r="P119" t="s">
        <v>8</v>
      </c>
    </row>
    <row r="120" spans="1:51" x14ac:dyDescent="0.2">
      <c r="H120" t="s">
        <v>2028</v>
      </c>
      <c r="I120" t="s">
        <v>2029</v>
      </c>
      <c r="J120" t="s">
        <v>12</v>
      </c>
      <c r="K120" t="s">
        <v>13</v>
      </c>
      <c r="L120">
        <v>1866</v>
      </c>
      <c r="M120">
        <v>54</v>
      </c>
      <c r="N120" t="s">
        <v>2030</v>
      </c>
      <c r="O120" t="s">
        <v>2031</v>
      </c>
      <c r="P120" t="s">
        <v>2032</v>
      </c>
    </row>
    <row r="121" spans="1:51" x14ac:dyDescent="0.2">
      <c r="H121" t="s">
        <v>429</v>
      </c>
      <c r="I121" t="s">
        <v>2029</v>
      </c>
      <c r="J121" t="s">
        <v>18</v>
      </c>
      <c r="K121" t="s">
        <v>19</v>
      </c>
      <c r="L121">
        <v>1868</v>
      </c>
      <c r="M121">
        <v>53</v>
      </c>
      <c r="N121" t="s">
        <v>149</v>
      </c>
      <c r="O121" t="s">
        <v>20</v>
      </c>
      <c r="P121" t="s">
        <v>20</v>
      </c>
    </row>
    <row r="123" spans="1:51" x14ac:dyDescent="0.2">
      <c r="H123" t="s">
        <v>0</v>
      </c>
      <c r="I123" t="s">
        <v>1</v>
      </c>
      <c r="J123" t="s">
        <v>2</v>
      </c>
      <c r="K123" t="s">
        <v>3</v>
      </c>
      <c r="L123" t="s">
        <v>4</v>
      </c>
      <c r="M123" t="s">
        <v>5</v>
      </c>
      <c r="N123" t="s">
        <v>6</v>
      </c>
      <c r="O123" t="s">
        <v>7</v>
      </c>
      <c r="P123" t="s">
        <v>8</v>
      </c>
    </row>
    <row r="124" spans="1:51" x14ac:dyDescent="0.2">
      <c r="G124" t="s">
        <v>2047</v>
      </c>
      <c r="H124" t="s">
        <v>2033</v>
      </c>
      <c r="I124" t="s">
        <v>817</v>
      </c>
      <c r="J124" t="s">
        <v>12</v>
      </c>
      <c r="K124" t="s">
        <v>13</v>
      </c>
      <c r="L124">
        <v>1885</v>
      </c>
      <c r="M124">
        <v>35</v>
      </c>
      <c r="N124" t="s">
        <v>62</v>
      </c>
      <c r="O124" t="s">
        <v>2034</v>
      </c>
      <c r="P124" t="s">
        <v>2035</v>
      </c>
    </row>
    <row r="125" spans="1:51" x14ac:dyDescent="0.2">
      <c r="H125" t="s">
        <v>2036</v>
      </c>
      <c r="I125" t="s">
        <v>817</v>
      </c>
      <c r="J125" t="s">
        <v>18</v>
      </c>
      <c r="K125" t="s">
        <v>19</v>
      </c>
      <c r="L125">
        <v>1889</v>
      </c>
      <c r="M125">
        <v>31</v>
      </c>
      <c r="N125" t="s">
        <v>43</v>
      </c>
      <c r="O125" t="s">
        <v>50</v>
      </c>
      <c r="P125" t="s">
        <v>20</v>
      </c>
    </row>
    <row r="126" spans="1:51" x14ac:dyDescent="0.2">
      <c r="H126" t="s">
        <v>2037</v>
      </c>
      <c r="I126" t="s">
        <v>817</v>
      </c>
      <c r="J126" t="s">
        <v>22</v>
      </c>
      <c r="K126" t="s">
        <v>19</v>
      </c>
      <c r="L126">
        <v>1916</v>
      </c>
      <c r="M126">
        <v>5</v>
      </c>
      <c r="N126" t="s">
        <v>212</v>
      </c>
      <c r="O126" t="s">
        <v>20</v>
      </c>
      <c r="P126" t="s">
        <v>20</v>
      </c>
    </row>
    <row r="127" spans="1:51" x14ac:dyDescent="0.2">
      <c r="H127" t="s">
        <v>751</v>
      </c>
      <c r="I127" t="s">
        <v>817</v>
      </c>
      <c r="J127" t="s">
        <v>51</v>
      </c>
      <c r="K127" t="s">
        <v>13</v>
      </c>
      <c r="L127">
        <v>1917</v>
      </c>
      <c r="M127">
        <v>3</v>
      </c>
      <c r="N127" t="s">
        <v>440</v>
      </c>
      <c r="O127" t="s">
        <v>20</v>
      </c>
      <c r="P127" t="s">
        <v>20</v>
      </c>
    </row>
    <row r="128" spans="1:51" x14ac:dyDescent="0.2">
      <c r="H128" t="s">
        <v>2038</v>
      </c>
      <c r="I128" t="s">
        <v>2039</v>
      </c>
      <c r="J128" t="s">
        <v>26</v>
      </c>
      <c r="K128" t="s">
        <v>19</v>
      </c>
      <c r="L128">
        <v>1893</v>
      </c>
      <c r="M128">
        <v>28</v>
      </c>
      <c r="N128" t="s">
        <v>2040</v>
      </c>
      <c r="O128" t="s">
        <v>344</v>
      </c>
      <c r="P128" t="s">
        <v>29</v>
      </c>
    </row>
    <row r="129" spans="7:16" x14ac:dyDescent="0.2">
      <c r="H129" t="s">
        <v>2041</v>
      </c>
      <c r="I129" t="s">
        <v>2042</v>
      </c>
      <c r="J129" t="s">
        <v>58</v>
      </c>
      <c r="K129" t="s">
        <v>13</v>
      </c>
      <c r="L129">
        <v>1873</v>
      </c>
      <c r="M129">
        <v>48</v>
      </c>
      <c r="N129" t="s">
        <v>43</v>
      </c>
      <c r="O129" t="s">
        <v>2043</v>
      </c>
      <c r="P129" t="s">
        <v>2044</v>
      </c>
    </row>
    <row r="130" spans="7:16" x14ac:dyDescent="0.2">
      <c r="H130" t="s">
        <v>2045</v>
      </c>
      <c r="I130" t="s">
        <v>2042</v>
      </c>
      <c r="J130" t="s">
        <v>58</v>
      </c>
      <c r="K130" t="s">
        <v>19</v>
      </c>
      <c r="L130">
        <v>1870</v>
      </c>
      <c r="M130">
        <v>51</v>
      </c>
      <c r="N130" t="s">
        <v>2046</v>
      </c>
      <c r="O130" t="s">
        <v>50</v>
      </c>
      <c r="P130" t="s">
        <v>20</v>
      </c>
    </row>
    <row r="132" spans="7:16" x14ac:dyDescent="0.2">
      <c r="H132" t="s">
        <v>0</v>
      </c>
      <c r="I132" t="s">
        <v>1</v>
      </c>
      <c r="J132" t="s">
        <v>2</v>
      </c>
      <c r="K132" t="s">
        <v>3</v>
      </c>
      <c r="L132" t="s">
        <v>4</v>
      </c>
      <c r="M132" t="s">
        <v>5</v>
      </c>
      <c r="N132" t="s">
        <v>6</v>
      </c>
      <c r="O132" t="s">
        <v>7</v>
      </c>
      <c r="P132" t="s">
        <v>8</v>
      </c>
    </row>
    <row r="133" spans="7:16" x14ac:dyDescent="0.2">
      <c r="G133">
        <v>2</v>
      </c>
      <c r="H133" t="s">
        <v>2048</v>
      </c>
      <c r="I133" t="s">
        <v>448</v>
      </c>
      <c r="J133" t="s">
        <v>12</v>
      </c>
      <c r="K133" t="s">
        <v>13</v>
      </c>
      <c r="L133">
        <v>1883</v>
      </c>
      <c r="M133">
        <v>37</v>
      </c>
      <c r="N133" t="s">
        <v>1114</v>
      </c>
      <c r="O133" t="s">
        <v>2049</v>
      </c>
      <c r="P133" t="s">
        <v>20</v>
      </c>
    </row>
    <row r="134" spans="7:16" x14ac:dyDescent="0.2">
      <c r="H134" t="s">
        <v>2050</v>
      </c>
      <c r="I134" t="s">
        <v>448</v>
      </c>
      <c r="J134" t="s">
        <v>18</v>
      </c>
      <c r="K134" t="s">
        <v>19</v>
      </c>
      <c r="L134">
        <v>1882</v>
      </c>
      <c r="M134">
        <v>38</v>
      </c>
      <c r="N134" t="s">
        <v>2040</v>
      </c>
      <c r="O134" t="s">
        <v>20</v>
      </c>
      <c r="P134" t="s">
        <v>20</v>
      </c>
    </row>
    <row r="135" spans="7:16" x14ac:dyDescent="0.2">
      <c r="H135" t="s">
        <v>2051</v>
      </c>
      <c r="I135" t="s">
        <v>448</v>
      </c>
      <c r="J135" t="s">
        <v>22</v>
      </c>
      <c r="K135" t="s">
        <v>19</v>
      </c>
      <c r="L135">
        <v>1912</v>
      </c>
      <c r="M135">
        <v>8</v>
      </c>
      <c r="N135" t="s">
        <v>2052</v>
      </c>
      <c r="O135" t="s">
        <v>20</v>
      </c>
      <c r="P135" t="s">
        <v>20</v>
      </c>
    </row>
    <row r="136" spans="7:16" x14ac:dyDescent="0.2">
      <c r="H136" t="s">
        <v>339</v>
      </c>
      <c r="I136" t="s">
        <v>2053</v>
      </c>
      <c r="J136" t="s">
        <v>26</v>
      </c>
      <c r="K136" t="s">
        <v>19</v>
      </c>
      <c r="L136">
        <v>1901</v>
      </c>
      <c r="M136">
        <v>19</v>
      </c>
      <c r="N136" t="s">
        <v>2054</v>
      </c>
      <c r="O136" t="s">
        <v>344</v>
      </c>
      <c r="P136" t="s">
        <v>29</v>
      </c>
    </row>
    <row r="138" spans="7:16" x14ac:dyDescent="0.2">
      <c r="H138" t="s">
        <v>0</v>
      </c>
      <c r="I138" t="s">
        <v>1</v>
      </c>
      <c r="J138" t="s">
        <v>2</v>
      </c>
      <c r="K138" t="s">
        <v>3</v>
      </c>
      <c r="L138" t="s">
        <v>4</v>
      </c>
      <c r="M138" t="s">
        <v>5</v>
      </c>
      <c r="N138" t="s">
        <v>6</v>
      </c>
      <c r="O138" t="s">
        <v>7</v>
      </c>
      <c r="P138" t="s">
        <v>8</v>
      </c>
    </row>
    <row r="139" spans="7:16" x14ac:dyDescent="0.2">
      <c r="G139">
        <v>3</v>
      </c>
      <c r="H139" t="s">
        <v>1012</v>
      </c>
      <c r="I139" t="s">
        <v>2055</v>
      </c>
      <c r="J139" t="s">
        <v>12</v>
      </c>
      <c r="K139" t="s">
        <v>13</v>
      </c>
      <c r="L139">
        <v>1876</v>
      </c>
      <c r="M139">
        <v>44</v>
      </c>
      <c r="N139" t="s">
        <v>2056</v>
      </c>
      <c r="O139" t="s">
        <v>2057</v>
      </c>
      <c r="P139" t="s">
        <v>2058</v>
      </c>
    </row>
    <row r="140" spans="7:16" x14ac:dyDescent="0.2">
      <c r="H140" t="s">
        <v>63</v>
      </c>
      <c r="I140" t="s">
        <v>2055</v>
      </c>
      <c r="J140" t="s">
        <v>18</v>
      </c>
      <c r="K140" t="s">
        <v>19</v>
      </c>
      <c r="L140">
        <v>1883</v>
      </c>
      <c r="M140">
        <v>38</v>
      </c>
      <c r="N140" t="s">
        <v>2059</v>
      </c>
      <c r="O140" t="s">
        <v>50</v>
      </c>
      <c r="P140" t="s">
        <v>20</v>
      </c>
    </row>
    <row r="141" spans="7:16" x14ac:dyDescent="0.2">
      <c r="H141" t="s">
        <v>2060</v>
      </c>
      <c r="I141" t="s">
        <v>2055</v>
      </c>
      <c r="J141" t="s">
        <v>51</v>
      </c>
      <c r="K141" t="s">
        <v>13</v>
      </c>
      <c r="L141">
        <v>1909</v>
      </c>
      <c r="M141">
        <v>12</v>
      </c>
      <c r="N141" t="s">
        <v>2061</v>
      </c>
      <c r="O141" t="s">
        <v>20</v>
      </c>
      <c r="P141" t="s">
        <v>20</v>
      </c>
    </row>
    <row r="143" spans="7:16" x14ac:dyDescent="0.2">
      <c r="H143" t="s">
        <v>0</v>
      </c>
      <c r="I143" t="s">
        <v>1</v>
      </c>
      <c r="J143" t="s">
        <v>2</v>
      </c>
      <c r="K143" t="s">
        <v>3</v>
      </c>
      <c r="L143" t="s">
        <v>4</v>
      </c>
      <c r="M143" t="s">
        <v>5</v>
      </c>
      <c r="N143" t="s">
        <v>6</v>
      </c>
      <c r="O143" t="s">
        <v>7</v>
      </c>
      <c r="P143" t="s">
        <v>8</v>
      </c>
    </row>
    <row r="144" spans="7:16" x14ac:dyDescent="0.2">
      <c r="G144">
        <v>4</v>
      </c>
      <c r="H144" t="s">
        <v>2062</v>
      </c>
      <c r="I144" t="s">
        <v>2063</v>
      </c>
      <c r="J144" t="s">
        <v>12</v>
      </c>
      <c r="K144" t="s">
        <v>19</v>
      </c>
      <c r="L144">
        <v>1861</v>
      </c>
      <c r="M144">
        <v>59</v>
      </c>
      <c r="N144" t="s">
        <v>1428</v>
      </c>
      <c r="O144" t="s">
        <v>1804</v>
      </c>
      <c r="P144" t="s">
        <v>20</v>
      </c>
    </row>
    <row r="145" spans="7:16" x14ac:dyDescent="0.2">
      <c r="H145" t="s">
        <v>2064</v>
      </c>
      <c r="I145" t="s">
        <v>2065</v>
      </c>
      <c r="J145" t="s">
        <v>60</v>
      </c>
      <c r="K145" t="s">
        <v>19</v>
      </c>
      <c r="L145">
        <v>1894</v>
      </c>
      <c r="M145">
        <v>26</v>
      </c>
      <c r="N145" t="s">
        <v>1552</v>
      </c>
      <c r="O145" t="s">
        <v>1555</v>
      </c>
      <c r="P145" t="s">
        <v>20</v>
      </c>
    </row>
    <row r="146" spans="7:16" x14ac:dyDescent="0.2">
      <c r="H146" t="s">
        <v>2066</v>
      </c>
      <c r="I146" t="s">
        <v>2067</v>
      </c>
      <c r="J146" t="s">
        <v>60</v>
      </c>
      <c r="K146" t="s">
        <v>13</v>
      </c>
      <c r="L146">
        <v>1886</v>
      </c>
      <c r="M146">
        <v>34</v>
      </c>
      <c r="N146" t="s">
        <v>2068</v>
      </c>
      <c r="O146" t="s">
        <v>182</v>
      </c>
      <c r="P146" t="s">
        <v>2069</v>
      </c>
    </row>
    <row r="147" spans="7:16" x14ac:dyDescent="0.2">
      <c r="H147" t="s">
        <v>2070</v>
      </c>
      <c r="I147" t="s">
        <v>2071</v>
      </c>
      <c r="J147" t="s">
        <v>60</v>
      </c>
      <c r="K147" t="s">
        <v>13</v>
      </c>
      <c r="L147">
        <v>1895</v>
      </c>
      <c r="M147">
        <v>25</v>
      </c>
      <c r="N147" t="s">
        <v>739</v>
      </c>
      <c r="O147" t="s">
        <v>2072</v>
      </c>
      <c r="P147" t="s">
        <v>20</v>
      </c>
    </row>
    <row r="148" spans="7:16" x14ac:dyDescent="0.2">
      <c r="H148" t="s">
        <v>2073</v>
      </c>
      <c r="I148" t="s">
        <v>2074</v>
      </c>
      <c r="J148" t="s">
        <v>2075</v>
      </c>
      <c r="K148" t="s">
        <v>19</v>
      </c>
      <c r="L148">
        <v>1902</v>
      </c>
      <c r="M148">
        <v>19</v>
      </c>
      <c r="N148" t="s">
        <v>1458</v>
      </c>
      <c r="O148" t="s">
        <v>56</v>
      </c>
      <c r="P148" t="s">
        <v>29</v>
      </c>
    </row>
    <row r="150" spans="7:16" x14ac:dyDescent="0.2">
      <c r="H150" t="s">
        <v>0</v>
      </c>
      <c r="I150" t="s">
        <v>1</v>
      </c>
      <c r="J150" t="s">
        <v>2</v>
      </c>
      <c r="K150" t="s">
        <v>3</v>
      </c>
      <c r="L150" t="s">
        <v>4</v>
      </c>
      <c r="M150" t="s">
        <v>5</v>
      </c>
      <c r="N150" t="s">
        <v>6</v>
      </c>
      <c r="O150" t="s">
        <v>7</v>
      </c>
      <c r="P150" t="s">
        <v>8</v>
      </c>
    </row>
    <row r="151" spans="7:16" x14ac:dyDescent="0.2">
      <c r="G151">
        <v>5</v>
      </c>
      <c r="H151" t="s">
        <v>2076</v>
      </c>
      <c r="I151" t="s">
        <v>2077</v>
      </c>
      <c r="J151" t="s">
        <v>12</v>
      </c>
      <c r="K151" t="s">
        <v>13</v>
      </c>
      <c r="L151">
        <v>1891</v>
      </c>
      <c r="M151">
        <v>29</v>
      </c>
      <c r="N151" t="s">
        <v>488</v>
      </c>
      <c r="O151" t="s">
        <v>1998</v>
      </c>
      <c r="P151" t="s">
        <v>16</v>
      </c>
    </row>
    <row r="152" spans="7:16" x14ac:dyDescent="0.2">
      <c r="H152" t="s">
        <v>2078</v>
      </c>
      <c r="I152" t="s">
        <v>2077</v>
      </c>
      <c r="J152" t="s">
        <v>18</v>
      </c>
      <c r="K152" t="s">
        <v>19</v>
      </c>
      <c r="L152">
        <v>1881</v>
      </c>
      <c r="M152">
        <v>39</v>
      </c>
      <c r="N152" t="s">
        <v>2079</v>
      </c>
      <c r="O152" t="s">
        <v>50</v>
      </c>
      <c r="P152" t="s">
        <v>20</v>
      </c>
    </row>
    <row r="153" spans="7:16" x14ac:dyDescent="0.2">
      <c r="H153" t="s">
        <v>2080</v>
      </c>
      <c r="I153" t="s">
        <v>2077</v>
      </c>
      <c r="J153" t="s">
        <v>910</v>
      </c>
      <c r="K153" t="s">
        <v>19</v>
      </c>
      <c r="L153">
        <v>1851</v>
      </c>
      <c r="M153">
        <v>70</v>
      </c>
      <c r="N153" t="s">
        <v>2081</v>
      </c>
      <c r="O153" t="s">
        <v>50</v>
      </c>
      <c r="P153" t="s">
        <v>20</v>
      </c>
    </row>
    <row r="154" spans="7:16" x14ac:dyDescent="0.2">
      <c r="H154" t="s">
        <v>2082</v>
      </c>
      <c r="I154" t="s">
        <v>2083</v>
      </c>
      <c r="J154" t="s">
        <v>60</v>
      </c>
      <c r="K154" t="s">
        <v>13</v>
      </c>
      <c r="L154">
        <v>1888</v>
      </c>
      <c r="M154">
        <v>32</v>
      </c>
      <c r="N154" t="s">
        <v>49</v>
      </c>
      <c r="O154" t="s">
        <v>1998</v>
      </c>
      <c r="P154" t="s">
        <v>16</v>
      </c>
    </row>
    <row r="155" spans="7:16" x14ac:dyDescent="0.2">
      <c r="H155" t="s">
        <v>2084</v>
      </c>
      <c r="I155" t="s">
        <v>2083</v>
      </c>
      <c r="J155" t="s">
        <v>18</v>
      </c>
      <c r="K155" t="s">
        <v>19</v>
      </c>
      <c r="L155">
        <v>1891</v>
      </c>
      <c r="M155">
        <v>30</v>
      </c>
      <c r="N155" t="s">
        <v>49</v>
      </c>
      <c r="O155" t="s">
        <v>50</v>
      </c>
      <c r="P155" t="s">
        <v>20</v>
      </c>
    </row>
    <row r="156" spans="7:16" x14ac:dyDescent="0.2">
      <c r="H156" t="s">
        <v>2085</v>
      </c>
      <c r="I156" t="s">
        <v>2083</v>
      </c>
      <c r="J156" t="s">
        <v>22</v>
      </c>
      <c r="K156" t="s">
        <v>19</v>
      </c>
      <c r="L156">
        <v>1918</v>
      </c>
      <c r="M156">
        <v>2</v>
      </c>
      <c r="N156" t="s">
        <v>134</v>
      </c>
      <c r="O156" t="s">
        <v>20</v>
      </c>
      <c r="P156" t="s">
        <v>20</v>
      </c>
    </row>
    <row r="158" spans="7:16" x14ac:dyDescent="0.2">
      <c r="H158" t="s">
        <v>0</v>
      </c>
      <c r="I158" t="s">
        <v>1</v>
      </c>
      <c r="J158" t="s">
        <v>2</v>
      </c>
      <c r="K158" t="s">
        <v>3</v>
      </c>
      <c r="L158" t="s">
        <v>4</v>
      </c>
      <c r="M158" t="s">
        <v>5</v>
      </c>
      <c r="N158" t="s">
        <v>6</v>
      </c>
      <c r="O158" t="s">
        <v>7</v>
      </c>
      <c r="P158" t="s">
        <v>8</v>
      </c>
    </row>
    <row r="159" spans="7:16" x14ac:dyDescent="0.2">
      <c r="G159">
        <v>6</v>
      </c>
      <c r="H159" t="s">
        <v>2086</v>
      </c>
      <c r="I159" t="s">
        <v>2087</v>
      </c>
      <c r="J159" t="s">
        <v>12</v>
      </c>
      <c r="K159" t="s">
        <v>13</v>
      </c>
      <c r="L159">
        <v>1866</v>
      </c>
      <c r="M159">
        <v>54</v>
      </c>
      <c r="N159" t="s">
        <v>2088</v>
      </c>
      <c r="O159" t="s">
        <v>2089</v>
      </c>
      <c r="P159" t="s">
        <v>2090</v>
      </c>
    </row>
    <row r="160" spans="7:16" x14ac:dyDescent="0.2">
      <c r="H160" t="s">
        <v>2091</v>
      </c>
      <c r="I160" t="s">
        <v>2087</v>
      </c>
      <c r="J160" t="s">
        <v>18</v>
      </c>
      <c r="K160" t="s">
        <v>19</v>
      </c>
      <c r="L160">
        <v>1865</v>
      </c>
      <c r="M160">
        <v>55</v>
      </c>
      <c r="N160" t="s">
        <v>2092</v>
      </c>
      <c r="O160" t="s">
        <v>20</v>
      </c>
      <c r="P160" t="s">
        <v>20</v>
      </c>
    </row>
    <row r="162" spans="7:16" x14ac:dyDescent="0.2">
      <c r="H162" t="s">
        <v>0</v>
      </c>
      <c r="I162" t="s">
        <v>1</v>
      </c>
      <c r="J162" t="s">
        <v>2</v>
      </c>
      <c r="K162" t="s">
        <v>3</v>
      </c>
      <c r="L162" t="s">
        <v>4</v>
      </c>
      <c r="M162" t="s">
        <v>5</v>
      </c>
      <c r="N162" t="s">
        <v>6</v>
      </c>
      <c r="O162" t="s">
        <v>7</v>
      </c>
      <c r="P162" t="s">
        <v>8</v>
      </c>
    </row>
    <row r="163" spans="7:16" x14ac:dyDescent="0.2">
      <c r="G163">
        <v>7</v>
      </c>
      <c r="H163" t="s">
        <v>422</v>
      </c>
      <c r="I163" t="s">
        <v>2093</v>
      </c>
      <c r="J163" t="s">
        <v>12</v>
      </c>
      <c r="K163" t="s">
        <v>19</v>
      </c>
      <c r="L163">
        <v>1866</v>
      </c>
      <c r="M163">
        <v>54</v>
      </c>
      <c r="N163" t="s">
        <v>2094</v>
      </c>
      <c r="O163" t="s">
        <v>2095</v>
      </c>
      <c r="P163" t="s">
        <v>20</v>
      </c>
    </row>
    <row r="164" spans="7:16" x14ac:dyDescent="0.2">
      <c r="H164" t="s">
        <v>464</v>
      </c>
      <c r="I164" t="s">
        <v>2096</v>
      </c>
      <c r="J164" t="s">
        <v>60</v>
      </c>
      <c r="K164" t="s">
        <v>13</v>
      </c>
      <c r="L164">
        <v>1847</v>
      </c>
      <c r="M164">
        <v>74</v>
      </c>
      <c r="N164" t="s">
        <v>20</v>
      </c>
      <c r="O164" t="s">
        <v>2097</v>
      </c>
      <c r="P164" t="s">
        <v>2098</v>
      </c>
    </row>
    <row r="165" spans="7:16" x14ac:dyDescent="0.2">
      <c r="H165" t="s">
        <v>2099</v>
      </c>
      <c r="I165" t="s">
        <v>2100</v>
      </c>
      <c r="J165" t="s">
        <v>60</v>
      </c>
      <c r="K165" t="s">
        <v>13</v>
      </c>
      <c r="L165">
        <v>1877</v>
      </c>
      <c r="M165">
        <v>44</v>
      </c>
      <c r="N165" t="s">
        <v>2101</v>
      </c>
      <c r="O165" t="s">
        <v>2102</v>
      </c>
      <c r="P165" t="s">
        <v>2103</v>
      </c>
    </row>
    <row r="167" spans="7:16" x14ac:dyDescent="0.2">
      <c r="H167" t="s">
        <v>0</v>
      </c>
      <c r="I167" t="s">
        <v>1</v>
      </c>
      <c r="J167" t="s">
        <v>2</v>
      </c>
      <c r="K167" t="s">
        <v>3</v>
      </c>
      <c r="L167" t="s">
        <v>4</v>
      </c>
      <c r="M167" t="s">
        <v>5</v>
      </c>
      <c r="N167" t="s">
        <v>6</v>
      </c>
      <c r="O167" t="s">
        <v>7</v>
      </c>
      <c r="P167" t="s">
        <v>8</v>
      </c>
    </row>
    <row r="168" spans="7:16" x14ac:dyDescent="0.2">
      <c r="G168">
        <v>9</v>
      </c>
      <c r="H168" t="s">
        <v>2104</v>
      </c>
      <c r="I168" t="s">
        <v>2105</v>
      </c>
      <c r="J168" t="s">
        <v>12</v>
      </c>
      <c r="K168" t="s">
        <v>13</v>
      </c>
      <c r="L168">
        <v>1881</v>
      </c>
      <c r="M168">
        <v>39</v>
      </c>
      <c r="N168" t="s">
        <v>14</v>
      </c>
      <c r="O168" t="s">
        <v>2106</v>
      </c>
      <c r="P168" t="s">
        <v>2107</v>
      </c>
    </row>
    <row r="169" spans="7:16" x14ac:dyDescent="0.2">
      <c r="H169" t="s">
        <v>2108</v>
      </c>
      <c r="I169" t="s">
        <v>2105</v>
      </c>
      <c r="J169" t="s">
        <v>18</v>
      </c>
      <c r="K169" t="s">
        <v>19</v>
      </c>
      <c r="L169">
        <v>1881</v>
      </c>
      <c r="M169">
        <v>40</v>
      </c>
      <c r="N169" t="s">
        <v>14</v>
      </c>
      <c r="O169" t="s">
        <v>50</v>
      </c>
      <c r="P169" t="s">
        <v>20</v>
      </c>
    </row>
    <row r="170" spans="7:16" x14ac:dyDescent="0.2">
      <c r="H170" t="s">
        <v>2109</v>
      </c>
      <c r="I170" t="s">
        <v>2105</v>
      </c>
      <c r="J170" t="s">
        <v>51</v>
      </c>
      <c r="K170" t="s">
        <v>13</v>
      </c>
      <c r="L170">
        <v>1910</v>
      </c>
      <c r="M170">
        <v>10</v>
      </c>
      <c r="N170" t="s">
        <v>14</v>
      </c>
      <c r="O170" t="s">
        <v>20</v>
      </c>
      <c r="P170" t="s">
        <v>20</v>
      </c>
    </row>
    <row r="171" spans="7:16" x14ac:dyDescent="0.2">
      <c r="H171" t="s">
        <v>665</v>
      </c>
      <c r="I171" t="s">
        <v>328</v>
      </c>
      <c r="J171" t="s">
        <v>2110</v>
      </c>
      <c r="K171" t="s">
        <v>19</v>
      </c>
      <c r="L171">
        <v>1852</v>
      </c>
      <c r="M171">
        <v>69</v>
      </c>
      <c r="N171" t="s">
        <v>14</v>
      </c>
      <c r="O171" t="s">
        <v>47</v>
      </c>
      <c r="P171" t="s">
        <v>20</v>
      </c>
    </row>
    <row r="173" spans="7:16" x14ac:dyDescent="0.2">
      <c r="H173" t="s">
        <v>0</v>
      </c>
      <c r="I173" t="s">
        <v>1</v>
      </c>
      <c r="J173" t="s">
        <v>2</v>
      </c>
      <c r="K173" t="s">
        <v>3</v>
      </c>
      <c r="L173" t="s">
        <v>4</v>
      </c>
      <c r="M173" t="s">
        <v>5</v>
      </c>
      <c r="N173" t="s">
        <v>6</v>
      </c>
      <c r="O173" t="s">
        <v>7</v>
      </c>
      <c r="P173" t="s">
        <v>8</v>
      </c>
    </row>
    <row r="174" spans="7:16" x14ac:dyDescent="0.2">
      <c r="G174">
        <v>10</v>
      </c>
      <c r="H174" t="s">
        <v>758</v>
      </c>
      <c r="I174" t="s">
        <v>2111</v>
      </c>
      <c r="J174" t="s">
        <v>12</v>
      </c>
      <c r="K174" t="s">
        <v>13</v>
      </c>
      <c r="L174">
        <v>1882</v>
      </c>
      <c r="M174">
        <v>39</v>
      </c>
      <c r="N174" t="s">
        <v>2112</v>
      </c>
      <c r="O174" t="s">
        <v>2113</v>
      </c>
      <c r="P174" t="s">
        <v>8</v>
      </c>
    </row>
    <row r="175" spans="7:16" x14ac:dyDescent="0.2">
      <c r="H175" t="s">
        <v>1702</v>
      </c>
      <c r="I175" t="s">
        <v>2111</v>
      </c>
      <c r="J175" t="s">
        <v>18</v>
      </c>
      <c r="K175" t="s">
        <v>19</v>
      </c>
      <c r="L175">
        <v>1883</v>
      </c>
      <c r="M175">
        <v>38</v>
      </c>
      <c r="N175" t="s">
        <v>49</v>
      </c>
      <c r="O175" t="s">
        <v>50</v>
      </c>
      <c r="P175" t="s">
        <v>20</v>
      </c>
    </row>
    <row r="176" spans="7:16" x14ac:dyDescent="0.2">
      <c r="H176" t="s">
        <v>2114</v>
      </c>
      <c r="I176" t="s">
        <v>2111</v>
      </c>
      <c r="J176" t="s">
        <v>22</v>
      </c>
      <c r="K176" t="s">
        <v>19</v>
      </c>
      <c r="L176">
        <v>1908</v>
      </c>
      <c r="M176">
        <v>13</v>
      </c>
      <c r="N176" t="s">
        <v>49</v>
      </c>
      <c r="O176" t="s">
        <v>20</v>
      </c>
      <c r="P176" t="s">
        <v>20</v>
      </c>
    </row>
    <row r="177" spans="7:16" x14ac:dyDescent="0.2">
      <c r="H177" t="s">
        <v>104</v>
      </c>
      <c r="I177" t="s">
        <v>2111</v>
      </c>
      <c r="J177" t="s">
        <v>1208</v>
      </c>
      <c r="K177" t="s">
        <v>13</v>
      </c>
      <c r="L177">
        <v>1880</v>
      </c>
      <c r="M177">
        <v>40</v>
      </c>
      <c r="N177" t="s">
        <v>2112</v>
      </c>
      <c r="O177" t="s">
        <v>2113</v>
      </c>
      <c r="P177" t="s">
        <v>8</v>
      </c>
    </row>
    <row r="178" spans="7:16" x14ac:dyDescent="0.2">
      <c r="H178" t="s">
        <v>1232</v>
      </c>
      <c r="I178" t="s">
        <v>2115</v>
      </c>
      <c r="J178" t="s">
        <v>60</v>
      </c>
      <c r="K178" t="s">
        <v>13</v>
      </c>
      <c r="L178">
        <v>1892</v>
      </c>
      <c r="M178">
        <v>29</v>
      </c>
      <c r="N178" t="s">
        <v>452</v>
      </c>
      <c r="O178" t="s">
        <v>2116</v>
      </c>
      <c r="P178" t="s">
        <v>8</v>
      </c>
    </row>
    <row r="179" spans="7:16" x14ac:dyDescent="0.2">
      <c r="H179" t="s">
        <v>1089</v>
      </c>
      <c r="I179" t="s">
        <v>2117</v>
      </c>
      <c r="J179" t="s">
        <v>26</v>
      </c>
      <c r="K179" t="s">
        <v>19</v>
      </c>
      <c r="L179">
        <v>1880</v>
      </c>
      <c r="M179">
        <v>40</v>
      </c>
      <c r="N179" t="s">
        <v>49</v>
      </c>
      <c r="O179" t="s">
        <v>344</v>
      </c>
      <c r="P179" t="s">
        <v>2118</v>
      </c>
    </row>
    <row r="181" spans="7:16" x14ac:dyDescent="0.2">
      <c r="H181" t="s">
        <v>0</v>
      </c>
      <c r="I181" t="s">
        <v>1</v>
      </c>
      <c r="J181" t="s">
        <v>2</v>
      </c>
      <c r="K181" t="s">
        <v>3</v>
      </c>
      <c r="L181" t="s">
        <v>4</v>
      </c>
      <c r="M181" t="s">
        <v>5</v>
      </c>
      <c r="N181" t="s">
        <v>6</v>
      </c>
      <c r="O181" t="s">
        <v>7</v>
      </c>
      <c r="P181" t="s">
        <v>8</v>
      </c>
    </row>
    <row r="182" spans="7:16" x14ac:dyDescent="0.2">
      <c r="G182">
        <v>11</v>
      </c>
      <c r="H182" t="s">
        <v>2119</v>
      </c>
      <c r="I182" t="s">
        <v>2120</v>
      </c>
      <c r="J182" t="s">
        <v>12</v>
      </c>
      <c r="K182" t="s">
        <v>19</v>
      </c>
      <c r="L182">
        <v>1872</v>
      </c>
      <c r="M182">
        <v>48</v>
      </c>
      <c r="N182" t="s">
        <v>2121</v>
      </c>
      <c r="O182" t="s">
        <v>2122</v>
      </c>
      <c r="P182" t="s">
        <v>2123</v>
      </c>
    </row>
    <row r="183" spans="7:16" x14ac:dyDescent="0.2">
      <c r="H183" t="s">
        <v>2124</v>
      </c>
      <c r="I183" t="s">
        <v>2125</v>
      </c>
      <c r="J183" t="s">
        <v>26</v>
      </c>
      <c r="K183" t="s">
        <v>19</v>
      </c>
      <c r="L183">
        <v>1893</v>
      </c>
      <c r="M183">
        <v>28</v>
      </c>
      <c r="N183" t="s">
        <v>2126</v>
      </c>
      <c r="O183" t="s">
        <v>29</v>
      </c>
      <c r="P183" t="s">
        <v>2127</v>
      </c>
    </row>
    <row r="184" spans="7:16" x14ac:dyDescent="0.2">
      <c r="H184" t="s">
        <v>2128</v>
      </c>
      <c r="I184" t="s">
        <v>2129</v>
      </c>
      <c r="J184" t="s">
        <v>60</v>
      </c>
      <c r="K184" t="s">
        <v>19</v>
      </c>
      <c r="L184">
        <v>1892</v>
      </c>
      <c r="M184">
        <v>29</v>
      </c>
      <c r="N184" t="s">
        <v>1976</v>
      </c>
      <c r="O184" t="s">
        <v>50</v>
      </c>
      <c r="P184" t="s">
        <v>20</v>
      </c>
    </row>
    <row r="185" spans="7:16" x14ac:dyDescent="0.2">
      <c r="H185" t="s">
        <v>1700</v>
      </c>
      <c r="I185" t="s">
        <v>2129</v>
      </c>
      <c r="J185" t="s">
        <v>60</v>
      </c>
      <c r="K185" t="s">
        <v>13</v>
      </c>
      <c r="L185">
        <v>1889</v>
      </c>
      <c r="M185">
        <v>31</v>
      </c>
      <c r="N185" t="s">
        <v>49</v>
      </c>
      <c r="O185" t="s">
        <v>2130</v>
      </c>
      <c r="P185" t="s">
        <v>8</v>
      </c>
    </row>
    <row r="186" spans="7:16" x14ac:dyDescent="0.2">
      <c r="H186" t="s">
        <v>2131</v>
      </c>
      <c r="I186" t="s">
        <v>2132</v>
      </c>
      <c r="J186" t="s">
        <v>60</v>
      </c>
      <c r="K186" t="s">
        <v>13</v>
      </c>
      <c r="L186">
        <v>1892</v>
      </c>
      <c r="M186">
        <v>28</v>
      </c>
      <c r="N186" t="s">
        <v>329</v>
      </c>
      <c r="O186" t="s">
        <v>2133</v>
      </c>
      <c r="P186" t="s">
        <v>2134</v>
      </c>
    </row>
    <row r="187" spans="7:16" x14ac:dyDescent="0.2">
      <c r="H187" t="s">
        <v>2135</v>
      </c>
      <c r="I187" t="s">
        <v>2132</v>
      </c>
      <c r="J187" t="s">
        <v>60</v>
      </c>
      <c r="K187" t="s">
        <v>19</v>
      </c>
      <c r="L187">
        <v>1897</v>
      </c>
      <c r="M187">
        <v>23</v>
      </c>
      <c r="N187" t="s">
        <v>49</v>
      </c>
      <c r="O187" t="s">
        <v>20</v>
      </c>
      <c r="P187" t="s">
        <v>20</v>
      </c>
    </row>
  </sheetData>
  <phoneticPr fontId="1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BBA5-2FDE-4F45-A35C-A77380B089A8}">
  <dimension ref="A1:BC51"/>
  <sheetViews>
    <sheetView zoomScale="108" zoomScaleNormal="108" workbookViewId="0">
      <selection activeCell="E17" sqref="E17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10.33203125" customWidth="1"/>
    <col min="8" max="8" width="19.6640625" customWidth="1"/>
    <col min="11" max="11" width="4.5" customWidth="1"/>
    <col min="12" max="12" width="7.83203125" customWidth="1"/>
    <col min="13" max="13" width="5" customWidth="1"/>
    <col min="14" max="14" width="8.6640625" customWidth="1"/>
    <col min="15" max="15" width="7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11.5" customWidth="1"/>
    <col min="25" max="25" width="12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7.5" customHeight="1" x14ac:dyDescent="0.2">
      <c r="A3" s="106" t="s">
        <v>591</v>
      </c>
      <c r="B3" s="67" t="s">
        <v>808</v>
      </c>
      <c r="C3">
        <v>1</v>
      </c>
      <c r="D3" s="109" t="s">
        <v>592</v>
      </c>
      <c r="E3" s="7"/>
      <c r="F3" s="7">
        <v>2</v>
      </c>
      <c r="G3" s="7" t="s">
        <v>118</v>
      </c>
      <c r="H3" s="7" t="s">
        <v>2136</v>
      </c>
      <c r="I3">
        <v>1</v>
      </c>
      <c r="J3" s="7" t="s">
        <v>13</v>
      </c>
      <c r="K3">
        <v>1</v>
      </c>
      <c r="N3" s="7">
        <v>1</v>
      </c>
      <c r="P3" s="7"/>
      <c r="T3" s="6">
        <v>73</v>
      </c>
      <c r="X3" s="7"/>
      <c r="Y3" s="7"/>
      <c r="Z3" s="7"/>
      <c r="AA3" s="93" t="s">
        <v>2137</v>
      </c>
      <c r="AB3" s="93" t="s">
        <v>2138</v>
      </c>
      <c r="AC3">
        <v>1</v>
      </c>
      <c r="AD3" s="7"/>
      <c r="AE3" s="7"/>
      <c r="AF3" s="6" t="s">
        <v>49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106" t="s">
        <v>591</v>
      </c>
      <c r="B4" s="67" t="s">
        <v>808</v>
      </c>
      <c r="C4">
        <v>1</v>
      </c>
      <c r="D4" s="109" t="s">
        <v>592</v>
      </c>
      <c r="E4" s="7"/>
      <c r="F4" s="7"/>
      <c r="G4" s="7" t="s">
        <v>118</v>
      </c>
      <c r="H4" s="7" t="s">
        <v>2139</v>
      </c>
      <c r="I4">
        <v>2</v>
      </c>
      <c r="J4" s="7">
        <v>1</v>
      </c>
      <c r="N4" s="7" t="s">
        <v>18</v>
      </c>
      <c r="O4">
        <v>1</v>
      </c>
      <c r="P4" s="7"/>
      <c r="T4" s="6">
        <v>56</v>
      </c>
      <c r="X4" s="7"/>
      <c r="Y4" s="7"/>
      <c r="Z4" s="7"/>
      <c r="AA4" s="93" t="s">
        <v>47</v>
      </c>
      <c r="AB4" s="93" t="s">
        <v>20</v>
      </c>
      <c r="AD4" s="7"/>
      <c r="AE4" s="7"/>
      <c r="AF4" s="6" t="s">
        <v>49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106" t="s">
        <v>591</v>
      </c>
      <c r="B5" s="67" t="s">
        <v>808</v>
      </c>
      <c r="C5">
        <v>1</v>
      </c>
      <c r="D5" s="109" t="s">
        <v>592</v>
      </c>
      <c r="E5" s="7"/>
      <c r="F5" s="7"/>
      <c r="G5" s="7" t="s">
        <v>2141</v>
      </c>
      <c r="H5" s="7" t="s">
        <v>2140</v>
      </c>
      <c r="I5">
        <v>3</v>
      </c>
      <c r="J5" s="7">
        <v>1</v>
      </c>
      <c r="N5" s="7" t="s">
        <v>26</v>
      </c>
      <c r="P5" s="7"/>
      <c r="S5">
        <v>1</v>
      </c>
      <c r="T5" s="6">
        <v>28</v>
      </c>
      <c r="X5" s="7"/>
      <c r="Y5" s="7"/>
      <c r="Z5" s="7"/>
      <c r="AA5" s="93" t="s">
        <v>26</v>
      </c>
      <c r="AB5" s="93" t="s">
        <v>29</v>
      </c>
      <c r="AC5">
        <v>1</v>
      </c>
      <c r="AD5" s="7"/>
      <c r="AE5" s="7"/>
      <c r="AF5" s="6" t="s">
        <v>2142</v>
      </c>
      <c r="AG5" s="7">
        <v>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x14ac:dyDescent="0.2">
      <c r="A6" s="106"/>
      <c r="B6" s="67"/>
      <c r="D6" s="109"/>
    </row>
    <row r="7" spans="1:55" ht="17.5" customHeight="1" x14ac:dyDescent="0.2">
      <c r="A7" s="106" t="s">
        <v>591</v>
      </c>
      <c r="B7" s="67" t="s">
        <v>808</v>
      </c>
      <c r="C7">
        <v>2</v>
      </c>
      <c r="D7" s="109" t="s">
        <v>592</v>
      </c>
      <c r="E7" s="7"/>
      <c r="F7" s="7">
        <v>4</v>
      </c>
      <c r="G7" s="7"/>
      <c r="H7" s="7"/>
      <c r="I7" s="7"/>
      <c r="J7" s="7"/>
      <c r="K7" s="7"/>
      <c r="L7" s="7"/>
      <c r="M7" s="6"/>
      <c r="N7" s="6"/>
      <c r="O7" s="6"/>
      <c r="P7" s="6"/>
      <c r="Q7" s="7"/>
      <c r="R7" s="6"/>
      <c r="S7" s="6"/>
      <c r="T7" s="7"/>
      <c r="U7" s="6"/>
      <c r="V7" s="6"/>
      <c r="W7" s="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" customHeight="1" x14ac:dyDescent="0.2">
      <c r="A8" s="106" t="s">
        <v>591</v>
      </c>
      <c r="B8" s="67" t="s">
        <v>808</v>
      </c>
      <c r="C8">
        <v>2</v>
      </c>
      <c r="D8" s="109" t="s">
        <v>592</v>
      </c>
      <c r="E8" s="7"/>
      <c r="F8" s="7"/>
      <c r="G8" s="7" t="s">
        <v>11</v>
      </c>
      <c r="H8" s="7" t="s">
        <v>2143</v>
      </c>
      <c r="I8">
        <v>4</v>
      </c>
      <c r="J8" s="7" t="s">
        <v>13</v>
      </c>
      <c r="K8">
        <v>1</v>
      </c>
      <c r="N8" s="7">
        <v>1</v>
      </c>
      <c r="P8" s="7"/>
      <c r="T8" s="6">
        <v>38</v>
      </c>
      <c r="X8" s="7"/>
      <c r="Y8" s="7"/>
      <c r="AA8" s="6" t="s">
        <v>15</v>
      </c>
      <c r="AB8" s="6" t="s">
        <v>8</v>
      </c>
      <c r="AC8" s="7">
        <v>1</v>
      </c>
      <c r="AD8" s="7">
        <v>1</v>
      </c>
      <c r="AE8" s="7"/>
      <c r="AF8" s="6" t="s">
        <v>49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106" t="s">
        <v>591</v>
      </c>
      <c r="B9" s="67" t="s">
        <v>808</v>
      </c>
      <c r="C9">
        <v>2</v>
      </c>
      <c r="D9" s="109" t="s">
        <v>592</v>
      </c>
      <c r="E9" s="7"/>
      <c r="F9" s="7"/>
      <c r="G9" s="7" t="s">
        <v>11</v>
      </c>
      <c r="H9" s="7" t="s">
        <v>2144</v>
      </c>
      <c r="I9">
        <v>5</v>
      </c>
      <c r="J9" s="7">
        <v>1</v>
      </c>
      <c r="N9" s="7" t="s">
        <v>18</v>
      </c>
      <c r="O9">
        <v>1</v>
      </c>
      <c r="P9" s="7"/>
      <c r="T9" s="6">
        <v>31</v>
      </c>
      <c r="X9" s="7"/>
      <c r="Y9" s="7"/>
      <c r="AA9" s="6" t="s">
        <v>20</v>
      </c>
      <c r="AB9" s="6" t="s">
        <v>20</v>
      </c>
      <c r="AC9" s="7"/>
      <c r="AD9" s="7"/>
      <c r="AE9" s="7"/>
      <c r="AF9" s="6" t="s">
        <v>1408</v>
      </c>
      <c r="AG9" s="7">
        <v>1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106" t="s">
        <v>591</v>
      </c>
      <c r="B10" s="67" t="s">
        <v>808</v>
      </c>
      <c r="C10">
        <v>2</v>
      </c>
      <c r="D10" s="109" t="s">
        <v>592</v>
      </c>
      <c r="E10" s="7"/>
      <c r="F10" s="7"/>
      <c r="G10" s="7" t="s">
        <v>11</v>
      </c>
      <c r="H10" s="7" t="s">
        <v>2145</v>
      </c>
      <c r="I10">
        <v>6</v>
      </c>
      <c r="J10" s="7"/>
      <c r="L10">
        <v>1</v>
      </c>
      <c r="N10" s="7" t="s">
        <v>22</v>
      </c>
      <c r="P10" s="7">
        <v>1</v>
      </c>
      <c r="T10" s="7">
        <v>3</v>
      </c>
      <c r="X10" s="7"/>
      <c r="Y10" s="7"/>
      <c r="AA10" s="7" t="s">
        <v>20</v>
      </c>
      <c r="AB10" s="7" t="s">
        <v>20</v>
      </c>
      <c r="AC10" s="7"/>
      <c r="AD10" s="7"/>
      <c r="AE10" s="7"/>
      <c r="AF10" s="7" t="s">
        <v>2146</v>
      </c>
      <c r="AG10" s="7">
        <v>1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106" t="s">
        <v>591</v>
      </c>
      <c r="B11" s="67" t="s">
        <v>808</v>
      </c>
      <c r="C11">
        <v>2</v>
      </c>
      <c r="D11" s="109" t="s">
        <v>592</v>
      </c>
      <c r="E11" s="11"/>
      <c r="F11" s="7"/>
      <c r="G11" s="7" t="s">
        <v>11</v>
      </c>
      <c r="H11" s="7" t="s">
        <v>2147</v>
      </c>
      <c r="I11">
        <v>7</v>
      </c>
      <c r="J11" s="7"/>
      <c r="L11">
        <v>1</v>
      </c>
      <c r="N11" s="7" t="s">
        <v>22</v>
      </c>
      <c r="P11" s="7">
        <v>1</v>
      </c>
      <c r="T11" s="6">
        <v>2</v>
      </c>
      <c r="X11" s="7"/>
      <c r="Y11" s="7"/>
      <c r="AA11" s="6" t="s">
        <v>20</v>
      </c>
      <c r="AB11" s="6" t="s">
        <v>20</v>
      </c>
      <c r="AC11" s="7"/>
      <c r="AD11" s="7"/>
      <c r="AE11" s="7"/>
      <c r="AF11" s="6" t="s">
        <v>49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28" customHeight="1" x14ac:dyDescent="0.2">
      <c r="A12" s="106" t="s">
        <v>591</v>
      </c>
      <c r="B12" s="67" t="s">
        <v>808</v>
      </c>
      <c r="C12">
        <v>2</v>
      </c>
      <c r="D12" s="109" t="s">
        <v>592</v>
      </c>
      <c r="E12" s="11"/>
      <c r="F12" s="7"/>
      <c r="G12" s="7" t="s">
        <v>61</v>
      </c>
      <c r="H12" s="7" t="s">
        <v>2148</v>
      </c>
      <c r="I12">
        <v>8</v>
      </c>
      <c r="J12" s="7">
        <v>1</v>
      </c>
      <c r="N12" s="7" t="s">
        <v>26</v>
      </c>
      <c r="P12" s="7"/>
      <c r="S12">
        <v>1</v>
      </c>
      <c r="T12" s="6">
        <v>20</v>
      </c>
      <c r="X12" s="7"/>
      <c r="Y12" s="7"/>
      <c r="AA12" s="6" t="s">
        <v>56</v>
      </c>
      <c r="AB12" s="6" t="s">
        <v>29</v>
      </c>
      <c r="AC12" s="7">
        <v>1</v>
      </c>
      <c r="AD12" s="7"/>
      <c r="AE12" s="7"/>
      <c r="AF12" s="6" t="s">
        <v>195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106" t="s">
        <v>591</v>
      </c>
      <c r="B13" s="67" t="s">
        <v>808</v>
      </c>
      <c r="C13">
        <v>2</v>
      </c>
      <c r="D13" s="109" t="s">
        <v>592</v>
      </c>
      <c r="E13" s="7"/>
      <c r="F13" s="7"/>
      <c r="G13" s="7" t="s">
        <v>1433</v>
      </c>
      <c r="H13" s="7" t="s">
        <v>2149</v>
      </c>
      <c r="I13">
        <v>9</v>
      </c>
      <c r="J13" s="7">
        <v>1</v>
      </c>
      <c r="N13" s="7" t="s">
        <v>208</v>
      </c>
      <c r="P13" s="7"/>
      <c r="S13">
        <v>1</v>
      </c>
      <c r="T13" s="6">
        <v>26</v>
      </c>
      <c r="X13" s="7"/>
      <c r="Y13" s="7"/>
      <c r="AA13" s="6" t="s">
        <v>2150</v>
      </c>
      <c r="AB13" s="6" t="s">
        <v>29</v>
      </c>
      <c r="AC13" s="7">
        <v>1</v>
      </c>
      <c r="AD13" s="7"/>
      <c r="AE13" s="7"/>
      <c r="AF13" s="93" t="s">
        <v>134</v>
      </c>
      <c r="AG13" s="7">
        <v>1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106"/>
      <c r="B14" s="67"/>
      <c r="D14" s="109"/>
      <c r="E14" s="7"/>
      <c r="F14" s="7"/>
      <c r="G14" s="7"/>
      <c r="H14" s="7"/>
      <c r="J14" s="7"/>
      <c r="N14" s="7"/>
      <c r="P14" s="7"/>
      <c r="T14" s="6"/>
      <c r="X14" s="7"/>
      <c r="Y14" s="7"/>
      <c r="AA14" s="6"/>
      <c r="AB14" s="6"/>
      <c r="AC14" s="7"/>
      <c r="AD14" s="7"/>
      <c r="AE14" s="7"/>
      <c r="AF14" s="6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106" t="s">
        <v>591</v>
      </c>
      <c r="B15" s="67" t="s">
        <v>808</v>
      </c>
      <c r="C15">
        <v>3</v>
      </c>
      <c r="D15" s="109" t="s">
        <v>592</v>
      </c>
      <c r="E15" s="7" t="s">
        <v>3194</v>
      </c>
      <c r="F15" s="7">
        <v>1</v>
      </c>
      <c r="G15" s="7" t="s">
        <v>2152</v>
      </c>
      <c r="H15" s="7" t="s">
        <v>423</v>
      </c>
      <c r="I15">
        <v>10</v>
      </c>
      <c r="J15" s="7" t="s">
        <v>13</v>
      </c>
      <c r="K15">
        <v>1</v>
      </c>
      <c r="N15" s="7">
        <v>1</v>
      </c>
      <c r="P15" s="7"/>
      <c r="T15" s="6">
        <v>64</v>
      </c>
      <c r="X15" s="7"/>
      <c r="Y15" s="7"/>
      <c r="AA15" s="6" t="s">
        <v>20</v>
      </c>
      <c r="AB15" s="93" t="s">
        <v>2154</v>
      </c>
      <c r="AC15" s="7">
        <v>1</v>
      </c>
      <c r="AD15" s="7"/>
      <c r="AE15" s="7"/>
      <c r="AF15" s="93" t="s">
        <v>2153</v>
      </c>
      <c r="AG15" s="7">
        <v>1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106" t="s">
        <v>591</v>
      </c>
      <c r="B16" s="67" t="s">
        <v>808</v>
      </c>
      <c r="C16">
        <v>3</v>
      </c>
      <c r="D16" s="109" t="s">
        <v>592</v>
      </c>
      <c r="E16" s="11"/>
      <c r="F16" s="7"/>
      <c r="G16" s="7" t="s">
        <v>2155</v>
      </c>
      <c r="H16" s="7" t="s">
        <v>170</v>
      </c>
      <c r="I16">
        <v>11</v>
      </c>
      <c r="J16" s="7">
        <v>1</v>
      </c>
      <c r="N16" s="7" t="s">
        <v>26</v>
      </c>
      <c r="P16" s="7"/>
      <c r="S16">
        <v>1</v>
      </c>
      <c r="T16" s="6">
        <v>25</v>
      </c>
      <c r="X16" s="7"/>
      <c r="Y16" s="7"/>
      <c r="AA16" s="6" t="s">
        <v>56</v>
      </c>
      <c r="AB16" s="6" t="s">
        <v>20</v>
      </c>
      <c r="AC16" s="7"/>
      <c r="AD16" s="7"/>
      <c r="AE16" s="7"/>
      <c r="AF16" s="93" t="s">
        <v>2156</v>
      </c>
      <c r="AG16" s="7">
        <v>1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106" t="s">
        <v>591</v>
      </c>
      <c r="B17" s="67" t="s">
        <v>808</v>
      </c>
      <c r="C17">
        <v>3</v>
      </c>
      <c r="D17" s="109" t="s">
        <v>592</v>
      </c>
      <c r="E17" s="7"/>
      <c r="F17" s="7"/>
      <c r="G17" s="7"/>
      <c r="H17" s="7">
        <v>3</v>
      </c>
      <c r="I17" s="7">
        <v>11</v>
      </c>
      <c r="J17" s="7">
        <f>SUM(J3:J16)</f>
        <v>6</v>
      </c>
      <c r="K17" s="7">
        <f t="shared" ref="K17:AI17" si="0">SUM(K3:K16)</f>
        <v>3</v>
      </c>
      <c r="L17" s="7">
        <f t="shared" si="0"/>
        <v>2</v>
      </c>
      <c r="M17" s="7">
        <f t="shared" si="0"/>
        <v>0</v>
      </c>
      <c r="N17" s="7">
        <f t="shared" si="0"/>
        <v>3</v>
      </c>
      <c r="O17" s="7">
        <f t="shared" si="0"/>
        <v>2</v>
      </c>
      <c r="P17" s="7">
        <f t="shared" si="0"/>
        <v>2</v>
      </c>
      <c r="Q17" s="7">
        <f t="shared" si="0"/>
        <v>0</v>
      </c>
      <c r="R17" s="7">
        <f t="shared" si="0"/>
        <v>0</v>
      </c>
      <c r="S17" s="7">
        <f t="shared" si="0"/>
        <v>4</v>
      </c>
      <c r="T17" s="7">
        <f t="shared" si="0"/>
        <v>366</v>
      </c>
      <c r="U17" s="7">
        <f t="shared" si="0"/>
        <v>0</v>
      </c>
      <c r="V17" s="7">
        <f>SUM(V3:V16)</f>
        <v>0</v>
      </c>
      <c r="W17" s="7">
        <f>SUM(W3:W16)</f>
        <v>0</v>
      </c>
      <c r="X17" s="7">
        <f>SUM(X3:X16)</f>
        <v>0</v>
      </c>
      <c r="Y17" s="7">
        <f t="shared" si="0"/>
        <v>0</v>
      </c>
      <c r="Z17" s="7">
        <f>SUM(Z3:Z16)</f>
        <v>0</v>
      </c>
      <c r="AA17" s="7">
        <f>SUM(AA3:AA16)</f>
        <v>0</v>
      </c>
      <c r="AB17" s="7">
        <f>SUM(AB3:AB16)</f>
        <v>0</v>
      </c>
      <c r="AC17" s="7">
        <f t="shared" si="0"/>
        <v>6</v>
      </c>
      <c r="AD17" s="7">
        <f t="shared" si="0"/>
        <v>1</v>
      </c>
      <c r="AE17" s="7">
        <f>AC17-AD17</f>
        <v>5</v>
      </c>
      <c r="AF17" s="7">
        <f>J18-AG17</f>
        <v>5</v>
      </c>
      <c r="AG17" s="7">
        <f t="shared" si="0"/>
        <v>6</v>
      </c>
      <c r="AH17" s="7">
        <f>AG17+AF17</f>
        <v>11</v>
      </c>
      <c r="AI17" s="7">
        <f t="shared" si="0"/>
        <v>0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106"/>
      <c r="B18" s="67"/>
      <c r="D18" s="109"/>
      <c r="E18" s="7"/>
      <c r="F18" s="7"/>
      <c r="G18" s="7"/>
      <c r="H18" s="7"/>
      <c r="I18" s="7"/>
      <c r="J18" s="7">
        <f>SUM(J17:M17)</f>
        <v>11</v>
      </c>
      <c r="K18" s="7"/>
      <c r="L18" s="7"/>
      <c r="M18" s="6"/>
      <c r="N18" s="6"/>
      <c r="O18" s="6"/>
      <c r="P18" s="6"/>
      <c r="Q18" s="6"/>
      <c r="R18" s="6"/>
      <c r="S18" s="6"/>
      <c r="T18" s="64">
        <f>T17/J18</f>
        <v>33.272727272727273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" customHeight="1" x14ac:dyDescent="0.2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150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6"/>
      <c r="O21" s="6"/>
      <c r="P21" s="6"/>
      <c r="Q21" s="6"/>
      <c r="R21" s="6"/>
      <c r="S21" s="6"/>
      <c r="T21" s="6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11"/>
      <c r="B22" s="11"/>
      <c r="C22" s="11"/>
      <c r="D22" s="12"/>
      <c r="E22" s="11"/>
      <c r="F22" s="12"/>
      <c r="G22" s="12"/>
      <c r="H22" s="12"/>
      <c r="I22" s="12"/>
      <c r="J22" s="12"/>
      <c r="K22" s="13"/>
      <c r="L22" s="12"/>
      <c r="M22" s="12"/>
      <c r="N22" s="12"/>
      <c r="O22" s="12"/>
      <c r="P22" s="12"/>
      <c r="Q22" s="13"/>
      <c r="R22" s="13"/>
      <c r="S22" s="13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28" customHeight="1" x14ac:dyDescent="0.2">
      <c r="A23" s="11"/>
      <c r="B23" s="11"/>
      <c r="C23" s="11"/>
      <c r="D23" s="12"/>
      <c r="E23" s="11"/>
      <c r="F23" s="12"/>
      <c r="G23" s="12"/>
      <c r="H23" s="12"/>
      <c r="I23" s="12"/>
      <c r="J23" s="14"/>
      <c r="K23" s="15"/>
      <c r="L23" s="16"/>
      <c r="M23" s="12"/>
      <c r="N23" s="12"/>
      <c r="O23" s="12"/>
      <c r="P23" s="14"/>
      <c r="Q23" s="15"/>
      <c r="R23" s="15"/>
      <c r="S23" s="15"/>
      <c r="T23" s="17"/>
      <c r="U23" s="12"/>
      <c r="V23" s="12"/>
      <c r="W23" s="12"/>
      <c r="X23" s="12"/>
      <c r="Y23" s="12"/>
      <c r="Z23" s="12"/>
      <c r="AA23" s="12"/>
      <c r="AB23" s="12"/>
      <c r="AC23" s="12"/>
      <c r="AD23" s="11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106"/>
      <c r="B24" s="67"/>
      <c r="D24" s="109"/>
      <c r="E24" s="7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6"/>
      <c r="R24" s="6"/>
      <c r="S24" s="6"/>
      <c r="T24" s="150">
        <f>T17/I17</f>
        <v>33.272727272727273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6"/>
      <c r="R26" s="6"/>
      <c r="S26" s="6"/>
      <c r="T26" s="6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6"/>
      <c r="R27" s="6"/>
      <c r="S27" s="6"/>
      <c r="T27" s="6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11"/>
      <c r="B28" s="11"/>
      <c r="C28" s="11"/>
      <c r="D28" s="12"/>
      <c r="E28" s="11"/>
      <c r="F28" s="12"/>
      <c r="G28" s="12"/>
      <c r="H28" s="12"/>
      <c r="I28" s="12"/>
      <c r="J28" s="12"/>
      <c r="K28" s="13"/>
      <c r="L28" s="12"/>
      <c r="M28" s="12"/>
      <c r="N28" s="12"/>
      <c r="O28" s="12"/>
      <c r="P28" s="12"/>
      <c r="Q28" s="13"/>
      <c r="R28" s="13"/>
      <c r="S28" s="13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28" customHeight="1" x14ac:dyDescent="0.2">
      <c r="A29" s="11"/>
      <c r="B29" s="11"/>
      <c r="C29" s="11"/>
      <c r="D29" s="12"/>
      <c r="E29" s="11"/>
      <c r="F29" s="12"/>
      <c r="G29" s="12"/>
      <c r="H29" s="12"/>
      <c r="I29" s="12"/>
      <c r="J29" s="14"/>
      <c r="K29" s="15"/>
      <c r="L29" s="16"/>
      <c r="M29" s="12"/>
      <c r="N29" s="12"/>
      <c r="O29" s="12"/>
      <c r="P29" s="14"/>
      <c r="Q29" s="15"/>
      <c r="R29" s="15"/>
      <c r="S29" s="15"/>
      <c r="T29" s="17"/>
      <c r="U29" s="12"/>
      <c r="V29" s="12"/>
      <c r="W29" s="12"/>
      <c r="X29" s="12"/>
      <c r="Y29" s="12"/>
      <c r="Z29" s="12"/>
      <c r="AA29" s="12"/>
      <c r="AB29" s="12"/>
      <c r="AC29" s="12"/>
      <c r="AD29" s="11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B30" s="7"/>
      <c r="C30" s="7"/>
      <c r="D30" s="7"/>
      <c r="E30" s="7"/>
      <c r="F30" s="7">
        <v>2</v>
      </c>
      <c r="G30" s="7"/>
      <c r="H30" s="7" t="s">
        <v>0</v>
      </c>
      <c r="I30" s="7" t="s">
        <v>1</v>
      </c>
      <c r="J30" s="7" t="s">
        <v>2</v>
      </c>
      <c r="K30" s="9" t="s">
        <v>3</v>
      </c>
      <c r="L30" s="7" t="s">
        <v>4</v>
      </c>
      <c r="M30" s="6" t="s">
        <v>5</v>
      </c>
      <c r="N30" s="6" t="s">
        <v>6</v>
      </c>
      <c r="O30" s="6" t="s">
        <v>7</v>
      </c>
      <c r="P30" s="6" t="s">
        <v>8</v>
      </c>
      <c r="Q30" s="18"/>
      <c r="R30" s="18"/>
      <c r="S30" s="18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 t="s">
        <v>2136</v>
      </c>
      <c r="I31" s="7" t="s">
        <v>118</v>
      </c>
      <c r="J31" s="7" t="s">
        <v>12</v>
      </c>
      <c r="K31" s="7" t="s">
        <v>13</v>
      </c>
      <c r="L31" s="7">
        <v>1848</v>
      </c>
      <c r="M31" s="6">
        <v>73</v>
      </c>
      <c r="N31" s="6" t="s">
        <v>49</v>
      </c>
      <c r="O31" s="6" t="s">
        <v>2137</v>
      </c>
      <c r="P31" s="6" t="s">
        <v>2138</v>
      </c>
      <c r="Q31" s="7"/>
      <c r="R31" s="6"/>
      <c r="S31" s="6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 t="s">
        <v>2139</v>
      </c>
      <c r="I32" s="7" t="s">
        <v>118</v>
      </c>
      <c r="J32" s="7" t="s">
        <v>18</v>
      </c>
      <c r="K32" s="7" t="s">
        <v>19</v>
      </c>
      <c r="L32" s="7">
        <v>1865</v>
      </c>
      <c r="M32" s="6">
        <v>56</v>
      </c>
      <c r="N32" s="6" t="s">
        <v>49</v>
      </c>
      <c r="O32" s="6" t="s">
        <v>47</v>
      </c>
      <c r="P32" s="6" t="s">
        <v>20</v>
      </c>
      <c r="Q32" s="6"/>
      <c r="R32" s="6"/>
      <c r="S32" s="6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 t="s">
        <v>2140</v>
      </c>
      <c r="I33" s="7" t="s">
        <v>2141</v>
      </c>
      <c r="J33" s="7" t="s">
        <v>26</v>
      </c>
      <c r="K33" s="7" t="s">
        <v>19</v>
      </c>
      <c r="L33" s="7">
        <v>1893</v>
      </c>
      <c r="M33" s="6">
        <v>28</v>
      </c>
      <c r="N33" s="6" t="s">
        <v>2142</v>
      </c>
      <c r="O33" s="6" t="s">
        <v>26</v>
      </c>
      <c r="P33" s="6" t="s">
        <v>29</v>
      </c>
      <c r="Q33" s="6"/>
      <c r="R33" s="6"/>
      <c r="S33" s="6"/>
      <c r="T33" s="7"/>
      <c r="U33" s="6"/>
      <c r="V33" s="6"/>
      <c r="W33" s="6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7"/>
      <c r="R34" s="6"/>
      <c r="S34" s="6"/>
      <c r="T34" s="7"/>
      <c r="U34" s="6"/>
      <c r="V34" s="6"/>
      <c r="W34" s="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>
        <v>4</v>
      </c>
      <c r="G35" s="7"/>
      <c r="H35" s="7" t="s">
        <v>0</v>
      </c>
      <c r="I35" s="7" t="s">
        <v>1</v>
      </c>
      <c r="J35" s="7" t="s">
        <v>2</v>
      </c>
      <c r="K35" s="7" t="s">
        <v>3</v>
      </c>
      <c r="L35" s="7" t="s">
        <v>4</v>
      </c>
      <c r="M35" s="6" t="s">
        <v>5</v>
      </c>
      <c r="N35" s="6" t="s">
        <v>6</v>
      </c>
      <c r="O35" s="6" t="s">
        <v>7</v>
      </c>
      <c r="P35" s="6" t="s">
        <v>8</v>
      </c>
      <c r="Q35" s="7" t="s">
        <v>2151</v>
      </c>
      <c r="R35" s="6"/>
      <c r="S35" s="6"/>
      <c r="T35" s="7"/>
      <c r="U35" s="6"/>
      <c r="V35" s="6"/>
      <c r="W35" s="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 t="s">
        <v>2143</v>
      </c>
      <c r="I36" s="7" t="s">
        <v>11</v>
      </c>
      <c r="J36" s="7" t="s">
        <v>12</v>
      </c>
      <c r="K36" s="7" t="s">
        <v>13</v>
      </c>
      <c r="L36" s="7">
        <v>1882</v>
      </c>
      <c r="M36" s="6">
        <v>38</v>
      </c>
      <c r="N36" s="6" t="s">
        <v>49</v>
      </c>
      <c r="O36" s="6" t="s">
        <v>15</v>
      </c>
      <c r="P36" s="6" t="s">
        <v>8</v>
      </c>
      <c r="Q36" s="7"/>
      <c r="R36" s="6"/>
      <c r="S36" s="6"/>
      <c r="T36" s="7"/>
      <c r="U36" s="6"/>
      <c r="V36" s="6"/>
      <c r="W36" s="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/>
      <c r="B37" s="7"/>
      <c r="C37" s="7"/>
      <c r="D37" s="7"/>
      <c r="E37" s="7"/>
      <c r="F37" s="7"/>
      <c r="G37" s="7"/>
      <c r="H37" s="7" t="s">
        <v>2144</v>
      </c>
      <c r="I37" s="7" t="s">
        <v>11</v>
      </c>
      <c r="J37" s="7" t="s">
        <v>18</v>
      </c>
      <c r="K37" s="7" t="s">
        <v>19</v>
      </c>
      <c r="L37" s="7">
        <v>1890</v>
      </c>
      <c r="M37" s="6">
        <v>31</v>
      </c>
      <c r="N37" s="6" t="s">
        <v>1408</v>
      </c>
      <c r="O37" s="6" t="s">
        <v>20</v>
      </c>
      <c r="P37" s="6" t="s">
        <v>20</v>
      </c>
      <c r="Q37" s="7"/>
      <c r="R37" s="6"/>
      <c r="S37" s="6"/>
      <c r="T37" s="7"/>
      <c r="U37" s="6"/>
      <c r="V37" s="6"/>
      <c r="W37" s="6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" customHeight="1" x14ac:dyDescent="0.2">
      <c r="A38" s="7"/>
      <c r="B38" s="7"/>
      <c r="C38" s="7"/>
      <c r="D38" s="7"/>
      <c r="E38" s="7"/>
      <c r="F38" s="7"/>
      <c r="G38" s="7"/>
      <c r="H38" s="7" t="s">
        <v>2145</v>
      </c>
      <c r="I38" s="7" t="s">
        <v>11</v>
      </c>
      <c r="J38" s="7" t="s">
        <v>22</v>
      </c>
      <c r="K38" s="7" t="s">
        <v>19</v>
      </c>
      <c r="L38" s="7">
        <v>1917</v>
      </c>
      <c r="M38" s="7">
        <v>3</v>
      </c>
      <c r="N38" s="7" t="s">
        <v>2146</v>
      </c>
      <c r="O38" s="7" t="s">
        <v>20</v>
      </c>
      <c r="P38" s="7" t="s">
        <v>20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7"/>
      <c r="B39" s="7"/>
      <c r="C39" s="7"/>
      <c r="D39" s="7"/>
      <c r="E39" s="7"/>
      <c r="F39" s="7"/>
      <c r="G39" s="7"/>
      <c r="H39" s="7" t="s">
        <v>2147</v>
      </c>
      <c r="I39" s="7" t="s">
        <v>11</v>
      </c>
      <c r="J39" s="7" t="s">
        <v>22</v>
      </c>
      <c r="K39" s="7" t="s">
        <v>19</v>
      </c>
      <c r="L39" s="7">
        <v>1918</v>
      </c>
      <c r="M39" s="6">
        <v>2</v>
      </c>
      <c r="N39" s="6" t="s">
        <v>49</v>
      </c>
      <c r="O39" s="6" t="s">
        <v>20</v>
      </c>
      <c r="P39" s="6" t="s">
        <v>20</v>
      </c>
      <c r="Q39" s="7"/>
      <c r="R39" s="6"/>
      <c r="S39" s="6"/>
      <c r="T39" s="19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7"/>
      <c r="B40" s="7"/>
      <c r="C40" s="7"/>
      <c r="D40" s="7"/>
      <c r="E40" s="7"/>
      <c r="F40" s="7"/>
      <c r="G40" s="7"/>
      <c r="H40" s="7" t="s">
        <v>2148</v>
      </c>
      <c r="I40" s="7" t="s">
        <v>61</v>
      </c>
      <c r="J40" s="7" t="s">
        <v>26</v>
      </c>
      <c r="K40" s="7" t="s">
        <v>19</v>
      </c>
      <c r="L40" s="7">
        <v>1900</v>
      </c>
      <c r="M40" s="6">
        <v>20</v>
      </c>
      <c r="N40" s="6" t="s">
        <v>195</v>
      </c>
      <c r="O40" s="6" t="s">
        <v>56</v>
      </c>
      <c r="P40" s="6" t="s">
        <v>29</v>
      </c>
      <c r="Q40" s="7"/>
      <c r="R40" s="6"/>
      <c r="S40" s="6"/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/>
      <c r="B41" s="7"/>
      <c r="C41" s="7"/>
      <c r="D41" s="7"/>
      <c r="E41" s="7"/>
      <c r="F41" s="7"/>
      <c r="G41" s="7"/>
      <c r="H41" s="7" t="s">
        <v>2149</v>
      </c>
      <c r="I41" s="7" t="s">
        <v>1433</v>
      </c>
      <c r="J41" s="7" t="s">
        <v>208</v>
      </c>
      <c r="K41" s="7" t="s">
        <v>19</v>
      </c>
      <c r="L41" s="7">
        <v>1894</v>
      </c>
      <c r="M41" s="6">
        <v>26</v>
      </c>
      <c r="N41" s="6" t="s">
        <v>134</v>
      </c>
      <c r="O41" s="6" t="s">
        <v>2150</v>
      </c>
      <c r="P41" s="6" t="s">
        <v>29</v>
      </c>
      <c r="Q41" s="7"/>
      <c r="R41" s="6"/>
      <c r="S41" s="6"/>
      <c r="T41" s="7"/>
      <c r="U41" s="6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6"/>
      <c r="O42" s="6"/>
      <c r="P42" s="6"/>
      <c r="Q42" s="7"/>
      <c r="R42" s="6"/>
      <c r="S42" s="6"/>
      <c r="T42" s="19"/>
      <c r="U42" s="6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7"/>
      <c r="B43" s="7"/>
      <c r="C43" s="7"/>
      <c r="D43" s="7"/>
      <c r="E43" s="7"/>
      <c r="F43" s="7"/>
      <c r="G43" s="7"/>
      <c r="H43" s="7" t="s">
        <v>0</v>
      </c>
      <c r="I43" s="7" t="s">
        <v>1</v>
      </c>
      <c r="J43" s="7" t="s">
        <v>2</v>
      </c>
      <c r="K43" s="7" t="s">
        <v>3</v>
      </c>
      <c r="L43" s="7" t="s">
        <v>4</v>
      </c>
      <c r="M43" s="6" t="s">
        <v>5</v>
      </c>
      <c r="N43" s="6" t="s">
        <v>6</v>
      </c>
      <c r="O43" s="6" t="s">
        <v>7</v>
      </c>
      <c r="P43" s="6" t="s">
        <v>8</v>
      </c>
      <c r="Q43" s="7" t="s">
        <v>2151</v>
      </c>
      <c r="R43" s="6"/>
      <c r="S43" s="6"/>
      <c r="T43" s="7"/>
      <c r="U43" s="6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>
        <v>1</v>
      </c>
      <c r="G44" s="7"/>
      <c r="H44" s="7" t="s">
        <v>423</v>
      </c>
      <c r="I44" s="7" t="s">
        <v>2152</v>
      </c>
      <c r="J44" s="7" t="s">
        <v>12</v>
      </c>
      <c r="K44" s="7" t="s">
        <v>13</v>
      </c>
      <c r="L44" s="7">
        <v>1857</v>
      </c>
      <c r="M44" s="6">
        <v>64</v>
      </c>
      <c r="N44" s="6" t="s">
        <v>2153</v>
      </c>
      <c r="O44" s="6" t="s">
        <v>20</v>
      </c>
      <c r="P44" s="6" t="s">
        <v>2154</v>
      </c>
      <c r="Q44" s="7"/>
      <c r="R44" s="6"/>
      <c r="S44" s="6"/>
      <c r="T44" s="7"/>
      <c r="U44" s="6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/>
      <c r="B45" s="7"/>
      <c r="C45" s="7"/>
      <c r="D45" s="7"/>
      <c r="E45" s="7"/>
      <c r="F45" s="7"/>
      <c r="G45" s="7"/>
      <c r="H45" s="7" t="s">
        <v>170</v>
      </c>
      <c r="I45" s="7" t="s">
        <v>2155</v>
      </c>
      <c r="J45" s="7" t="s">
        <v>26</v>
      </c>
      <c r="K45" s="7" t="s">
        <v>19</v>
      </c>
      <c r="L45" s="7">
        <v>1896</v>
      </c>
      <c r="M45" s="6">
        <v>25</v>
      </c>
      <c r="N45" s="6" t="s">
        <v>2156</v>
      </c>
      <c r="O45" s="6" t="s">
        <v>56</v>
      </c>
      <c r="P45" s="6" t="s">
        <v>20</v>
      </c>
      <c r="Q45" s="7"/>
      <c r="R45" s="6"/>
      <c r="S45" s="6"/>
      <c r="T45" s="7"/>
      <c r="U45" s="6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" customHeight="1" x14ac:dyDescent="0.2">
      <c r="A46" s="4" t="s">
        <v>252</v>
      </c>
      <c r="B46" s="7"/>
      <c r="C46" s="7"/>
      <c r="D46" s="7"/>
      <c r="E46" s="7"/>
      <c r="F46" s="7"/>
      <c r="G46" s="7">
        <f t="shared" ref="G46:N46" si="1">SUM(G3:G45)</f>
        <v>0</v>
      </c>
      <c r="H46" s="7">
        <f t="shared" si="1"/>
        <v>3</v>
      </c>
      <c r="I46" s="7">
        <f t="shared" si="1"/>
        <v>77</v>
      </c>
      <c r="J46" s="7">
        <f t="shared" si="1"/>
        <v>23</v>
      </c>
      <c r="K46" s="7">
        <f t="shared" si="1"/>
        <v>6</v>
      </c>
      <c r="L46" s="7">
        <f t="shared" si="1"/>
        <v>20764</v>
      </c>
      <c r="M46" s="7">
        <f t="shared" si="1"/>
        <v>366</v>
      </c>
      <c r="N46" s="7">
        <f t="shared" si="1"/>
        <v>6</v>
      </c>
      <c r="O46" s="7"/>
      <c r="P46" s="7">
        <f t="shared" ref="P46:W46" si="2">SUM(P3:P45)</f>
        <v>4</v>
      </c>
      <c r="Q46" s="7">
        <f t="shared" si="2"/>
        <v>0</v>
      </c>
      <c r="R46" s="7">
        <f t="shared" si="2"/>
        <v>0</v>
      </c>
      <c r="S46" s="7">
        <f t="shared" si="2"/>
        <v>8</v>
      </c>
      <c r="T46" s="7">
        <f t="shared" si="2"/>
        <v>798.5454545454545</v>
      </c>
      <c r="U46" s="7">
        <f t="shared" si="2"/>
        <v>0</v>
      </c>
      <c r="V46" s="7">
        <f t="shared" si="2"/>
        <v>0</v>
      </c>
      <c r="W46" s="7">
        <f t="shared" si="2"/>
        <v>0</v>
      </c>
      <c r="X46" s="7"/>
      <c r="Y46" s="7"/>
      <c r="Z46" s="7">
        <f>SUM(Z3:Z45)</f>
        <v>0</v>
      </c>
      <c r="AA46" s="7">
        <f>SUM(AA3:AA45)</f>
        <v>0</v>
      </c>
      <c r="AB46" s="7">
        <f>SUM(AB3:AB45)</f>
        <v>0</v>
      </c>
      <c r="AC46" s="7">
        <f>SUM(AC3:AC45)</f>
        <v>12</v>
      </c>
      <c r="AD46" s="7">
        <f>SUM(AD3:AD45)</f>
        <v>2</v>
      </c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20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" customHeight="1" x14ac:dyDescent="0.2">
      <c r="A48" s="7"/>
      <c r="B48" s="7"/>
      <c r="C48" s="7"/>
      <c r="D48" s="7"/>
      <c r="E48" s="7"/>
      <c r="F48" s="7"/>
      <c r="G48" s="21"/>
      <c r="H48" s="21"/>
      <c r="I48" s="21"/>
      <c r="J48" s="7"/>
      <c r="K48" s="7"/>
      <c r="L48" s="7"/>
      <c r="M48" s="7"/>
      <c r="N48" s="7"/>
      <c r="O48" s="7"/>
      <c r="P48" s="7"/>
      <c r="Q48" s="20"/>
      <c r="R48" s="21"/>
      <c r="S48" s="21"/>
      <c r="T48" s="21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6"/>
      <c r="S49" s="6"/>
      <c r="T49" s="19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21"/>
      <c r="S50" s="21"/>
      <c r="T50" s="21"/>
      <c r="U50" s="7"/>
      <c r="V50" s="7"/>
      <c r="W50" s="7"/>
      <c r="X50" s="7"/>
      <c r="Y50" s="7"/>
      <c r="Z50" s="7"/>
      <c r="AA50" s="7"/>
      <c r="AB50" s="7"/>
      <c r="AC50" s="22"/>
      <c r="AD50" s="22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6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</sheetData>
  <phoneticPr fontId="1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AC27-A71A-E747-AB16-7D03AAE2D018}">
  <dimension ref="A1:BD223"/>
  <sheetViews>
    <sheetView workbookViewId="0">
      <pane ySplit="2" topLeftCell="A166" activePane="bottomLeft" state="frozen"/>
      <selection pane="bottomLeft" activeCell="J183" sqref="J183"/>
    </sheetView>
  </sheetViews>
  <sheetFormatPr baseColWidth="10" defaultColWidth="10.83203125" defaultRowHeight="16" x14ac:dyDescent="0.2"/>
  <cols>
    <col min="4" max="4" width="17.83203125" customWidth="1"/>
    <col min="5" max="5" width="13.1640625" customWidth="1"/>
    <col min="6" max="6" width="10.6640625" customWidth="1"/>
    <col min="11" max="11" width="4.83203125" customWidth="1"/>
    <col min="12" max="12" width="7.83203125" customWidth="1"/>
    <col min="13" max="13" width="10" customWidth="1"/>
    <col min="14" max="14" width="8.6640625" customWidth="1"/>
    <col min="15" max="15" width="9.664062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235" customFormat="1" x14ac:dyDescent="0.2">
      <c r="A3" s="248" t="s">
        <v>593</v>
      </c>
      <c r="B3" s="249" t="s">
        <v>808</v>
      </c>
      <c r="C3" s="55">
        <v>1</v>
      </c>
      <c r="D3" s="250" t="s">
        <v>594</v>
      </c>
      <c r="E3" s="234"/>
      <c r="F3" s="55">
        <v>2</v>
      </c>
      <c r="G3" s="55" t="s">
        <v>442</v>
      </c>
      <c r="H3" s="55" t="s">
        <v>2157</v>
      </c>
      <c r="I3" s="235">
        <v>1</v>
      </c>
      <c r="J3" s="55">
        <v>1</v>
      </c>
      <c r="N3" s="55">
        <v>1</v>
      </c>
      <c r="P3" s="55"/>
      <c r="T3" s="55">
        <v>55</v>
      </c>
      <c r="Y3" s="237"/>
      <c r="Z3" s="237"/>
      <c r="AA3" s="55" t="s">
        <v>50</v>
      </c>
      <c r="AB3" s="55" t="s">
        <v>20</v>
      </c>
      <c r="AC3" s="237"/>
      <c r="AD3" s="237"/>
      <c r="AE3" s="237"/>
      <c r="AF3" s="237"/>
      <c r="AG3" s="55" t="s">
        <v>276</v>
      </c>
      <c r="AH3" s="238"/>
      <c r="AI3" s="238"/>
      <c r="AJ3" s="238" t="s">
        <v>2242</v>
      </c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</row>
    <row r="4" spans="1:55" s="64" customFormat="1" x14ac:dyDescent="0.2">
      <c r="A4" s="106" t="s">
        <v>593</v>
      </c>
      <c r="B4" s="67" t="s">
        <v>808</v>
      </c>
      <c r="C4">
        <v>1</v>
      </c>
      <c r="D4" s="109" t="s">
        <v>594</v>
      </c>
      <c r="E4" s="152"/>
      <c r="F4"/>
      <c r="G4" t="s">
        <v>2159</v>
      </c>
      <c r="H4" t="s">
        <v>2158</v>
      </c>
      <c r="I4" s="64">
        <v>2</v>
      </c>
      <c r="J4">
        <v>1</v>
      </c>
      <c r="N4">
        <v>1</v>
      </c>
      <c r="P4"/>
      <c r="T4">
        <v>55</v>
      </c>
      <c r="Y4" s="148"/>
      <c r="Z4" s="148"/>
      <c r="AA4" t="s">
        <v>50</v>
      </c>
      <c r="AB4" t="s">
        <v>20</v>
      </c>
      <c r="AC4" s="148"/>
      <c r="AD4" s="148"/>
      <c r="AE4" s="148"/>
      <c r="AF4" s="148">
        <v>1</v>
      </c>
      <c r="AG4" t="s">
        <v>49</v>
      </c>
      <c r="AH4" s="20"/>
      <c r="AI4" s="20"/>
      <c r="AJ4" s="238" t="s">
        <v>2242</v>
      </c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5" s="64" customFormat="1" x14ac:dyDescent="0.2">
      <c r="A5" s="106" t="s">
        <v>593</v>
      </c>
      <c r="B5" s="67" t="s">
        <v>808</v>
      </c>
      <c r="C5">
        <v>1</v>
      </c>
      <c r="D5" s="109" t="s">
        <v>594</v>
      </c>
      <c r="E5" s="152"/>
      <c r="F5"/>
      <c r="G5" t="s">
        <v>2160</v>
      </c>
      <c r="H5" t="s">
        <v>170</v>
      </c>
      <c r="I5" s="64">
        <v>3</v>
      </c>
      <c r="J5">
        <v>1</v>
      </c>
      <c r="N5" t="s">
        <v>26</v>
      </c>
      <c r="P5"/>
      <c r="S5" s="64">
        <v>1</v>
      </c>
      <c r="T5">
        <v>45</v>
      </c>
      <c r="Y5" s="148"/>
      <c r="Z5" s="148"/>
      <c r="AA5" t="s">
        <v>1097</v>
      </c>
      <c r="AB5" t="s">
        <v>29</v>
      </c>
      <c r="AC5" s="148">
        <v>1</v>
      </c>
      <c r="AD5" s="148"/>
      <c r="AE5" s="148"/>
      <c r="AF5" s="148">
        <v>1</v>
      </c>
      <c r="AG5" t="s">
        <v>77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5" s="64" customFormat="1" x14ac:dyDescent="0.2">
      <c r="A6" s="106" t="s">
        <v>593</v>
      </c>
      <c r="B6" s="67" t="s">
        <v>808</v>
      </c>
      <c r="C6">
        <v>1</v>
      </c>
      <c r="D6" s="109" t="s">
        <v>594</v>
      </c>
      <c r="E6" s="152"/>
      <c r="F6"/>
      <c r="G6" t="s">
        <v>2161</v>
      </c>
      <c r="H6" t="s">
        <v>24</v>
      </c>
      <c r="I6" s="64">
        <v>4</v>
      </c>
      <c r="J6">
        <v>1</v>
      </c>
      <c r="N6" t="s">
        <v>26</v>
      </c>
      <c r="P6"/>
      <c r="S6" s="64">
        <v>1</v>
      </c>
      <c r="T6">
        <v>48</v>
      </c>
      <c r="Y6" s="148"/>
      <c r="Z6" s="148"/>
      <c r="AA6" t="s">
        <v>55</v>
      </c>
      <c r="AB6" t="s">
        <v>29</v>
      </c>
      <c r="AC6" s="148">
        <v>1</v>
      </c>
      <c r="AD6" s="148"/>
      <c r="AE6" s="148"/>
      <c r="AF6" s="148"/>
      <c r="AG6" t="s">
        <v>2162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5" s="64" customFormat="1" x14ac:dyDescent="0.2">
      <c r="A7" s="106"/>
      <c r="B7" s="67"/>
      <c r="C7"/>
      <c r="D7" s="109"/>
      <c r="E7" s="152"/>
      <c r="F7"/>
      <c r="G7"/>
      <c r="H7">
        <v>4</v>
      </c>
      <c r="J7"/>
      <c r="N7"/>
      <c r="P7"/>
      <c r="T7"/>
      <c r="Y7" s="148"/>
      <c r="Z7" s="148"/>
      <c r="AA7"/>
      <c r="AB7"/>
      <c r="AC7" s="148"/>
      <c r="AD7" s="148"/>
      <c r="AE7" s="148"/>
      <c r="AF7" s="148"/>
      <c r="AG7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5" s="64" customFormat="1" x14ac:dyDescent="0.2">
      <c r="A8" s="106" t="s">
        <v>593</v>
      </c>
      <c r="B8" s="67" t="s">
        <v>808</v>
      </c>
      <c r="C8"/>
      <c r="D8" s="109" t="s">
        <v>594</v>
      </c>
      <c r="E8" s="152"/>
      <c r="F8"/>
      <c r="G8" t="s">
        <v>1</v>
      </c>
      <c r="H8" t="s">
        <v>0</v>
      </c>
      <c r="J8" t="s">
        <v>3</v>
      </c>
      <c r="N8" t="s">
        <v>2</v>
      </c>
      <c r="P8"/>
      <c r="T8" t="s">
        <v>5</v>
      </c>
      <c r="Y8" s="148"/>
      <c r="Z8" s="148"/>
      <c r="AA8" t="s">
        <v>7</v>
      </c>
      <c r="AB8" t="s">
        <v>8</v>
      </c>
      <c r="AC8" s="148"/>
      <c r="AD8" s="148"/>
      <c r="AE8" s="148"/>
      <c r="AF8" s="148"/>
      <c r="AG8" t="s">
        <v>6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5" s="64" customFormat="1" x14ac:dyDescent="0.2">
      <c r="A9" s="106" t="s">
        <v>593</v>
      </c>
      <c r="B9" s="67" t="s">
        <v>808</v>
      </c>
      <c r="C9">
        <v>2</v>
      </c>
      <c r="D9" s="109" t="s">
        <v>594</v>
      </c>
      <c r="E9" s="152"/>
      <c r="F9">
        <v>1</v>
      </c>
      <c r="G9" t="s">
        <v>2164</v>
      </c>
      <c r="H9" t="s">
        <v>2163</v>
      </c>
      <c r="I9" s="64">
        <v>5</v>
      </c>
      <c r="J9" t="s">
        <v>13</v>
      </c>
      <c r="K9" s="64">
        <v>1</v>
      </c>
      <c r="N9">
        <v>1</v>
      </c>
      <c r="P9"/>
      <c r="T9">
        <v>48</v>
      </c>
      <c r="Y9" s="148"/>
      <c r="Z9" s="148"/>
      <c r="AA9" t="s">
        <v>2165</v>
      </c>
      <c r="AB9" t="s">
        <v>2166</v>
      </c>
      <c r="AC9" s="148">
        <v>1</v>
      </c>
      <c r="AD9" s="148"/>
      <c r="AE9" s="148"/>
      <c r="AF9" s="148"/>
      <c r="AG9" t="s">
        <v>1896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5" s="64" customFormat="1" x14ac:dyDescent="0.2">
      <c r="A10" s="106" t="s">
        <v>593</v>
      </c>
      <c r="B10" s="67" t="s">
        <v>808</v>
      </c>
      <c r="C10">
        <v>2</v>
      </c>
      <c r="D10" s="109" t="s">
        <v>594</v>
      </c>
      <c r="E10" s="152"/>
      <c r="F10"/>
      <c r="G10" t="s">
        <v>2164</v>
      </c>
      <c r="H10" t="s">
        <v>2167</v>
      </c>
      <c r="I10" s="64">
        <v>6</v>
      </c>
      <c r="J10">
        <v>1</v>
      </c>
      <c r="N10" t="s">
        <v>18</v>
      </c>
      <c r="O10" s="64">
        <v>1</v>
      </c>
      <c r="P10"/>
      <c r="T10">
        <v>45</v>
      </c>
      <c r="Y10" s="148"/>
      <c r="Z10" s="148"/>
      <c r="AA10" t="s">
        <v>50</v>
      </c>
      <c r="AB10" t="s">
        <v>20</v>
      </c>
      <c r="AC10" s="148"/>
      <c r="AD10" s="148"/>
      <c r="AE10" s="148"/>
      <c r="AF10" s="148"/>
      <c r="AG10" t="s">
        <v>2168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5" s="64" customFormat="1" x14ac:dyDescent="0.2">
      <c r="A11" s="106" t="s">
        <v>593</v>
      </c>
      <c r="B11" s="67" t="s">
        <v>808</v>
      </c>
      <c r="C11">
        <v>2</v>
      </c>
      <c r="D11" s="109" t="s">
        <v>594</v>
      </c>
      <c r="E11" s="152"/>
      <c r="F11"/>
      <c r="G11" t="s">
        <v>2170</v>
      </c>
      <c r="H11" t="s">
        <v>2169</v>
      </c>
      <c r="I11" s="64">
        <v>7</v>
      </c>
      <c r="J11">
        <v>1</v>
      </c>
      <c r="N11" t="s">
        <v>26</v>
      </c>
      <c r="P11"/>
      <c r="S11" s="64">
        <v>1</v>
      </c>
      <c r="T11">
        <v>26</v>
      </c>
      <c r="Y11" s="148"/>
      <c r="Z11" s="148"/>
      <c r="AA11" t="s">
        <v>33</v>
      </c>
      <c r="AB11" t="s">
        <v>29</v>
      </c>
      <c r="AC11" s="148">
        <v>1</v>
      </c>
      <c r="AD11" s="148"/>
      <c r="AE11" s="148"/>
      <c r="AF11" s="148">
        <v>1</v>
      </c>
      <c r="AG11" t="s">
        <v>49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5" s="64" customFormat="1" x14ac:dyDescent="0.2">
      <c r="A12" s="106" t="s">
        <v>593</v>
      </c>
      <c r="B12" s="67" t="s">
        <v>808</v>
      </c>
      <c r="C12"/>
      <c r="D12" s="109" t="s">
        <v>594</v>
      </c>
      <c r="E12" s="152"/>
      <c r="F12"/>
      <c r="G12"/>
      <c r="H12">
        <v>3</v>
      </c>
      <c r="J12"/>
      <c r="N12"/>
      <c r="P12"/>
      <c r="T12"/>
      <c r="Y12" s="148"/>
      <c r="Z12" s="148"/>
      <c r="AA12"/>
      <c r="AB12"/>
      <c r="AC12" s="148"/>
      <c r="AD12" s="148"/>
      <c r="AE12" s="148"/>
      <c r="AF12" s="148"/>
      <c r="AG12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5" s="64" customFormat="1" x14ac:dyDescent="0.2">
      <c r="A13" s="106" t="s">
        <v>593</v>
      </c>
      <c r="B13" s="67" t="s">
        <v>808</v>
      </c>
      <c r="C13"/>
      <c r="D13" s="109" t="s">
        <v>594</v>
      </c>
      <c r="E13" s="152"/>
      <c r="F13"/>
      <c r="G13" t="s">
        <v>1</v>
      </c>
      <c r="H13" t="s">
        <v>0</v>
      </c>
      <c r="J13" t="s">
        <v>3</v>
      </c>
      <c r="N13" t="s">
        <v>2</v>
      </c>
      <c r="P13"/>
      <c r="T13" t="s">
        <v>5</v>
      </c>
      <c r="Y13" s="148"/>
      <c r="Z13" s="148"/>
      <c r="AA13" t="s">
        <v>7</v>
      </c>
      <c r="AB13" t="s">
        <v>8</v>
      </c>
      <c r="AC13" s="148"/>
      <c r="AD13" s="148"/>
      <c r="AE13" s="148"/>
      <c r="AF13" s="148"/>
      <c r="AG13" t="s">
        <v>6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spans="1:55" s="64" customFormat="1" x14ac:dyDescent="0.2">
      <c r="A14" s="106" t="s">
        <v>593</v>
      </c>
      <c r="B14" s="67" t="s">
        <v>808</v>
      </c>
      <c r="C14">
        <v>3</v>
      </c>
      <c r="D14" s="109" t="s">
        <v>594</v>
      </c>
      <c r="E14" s="152"/>
      <c r="F14">
        <v>3</v>
      </c>
      <c r="G14" t="s">
        <v>730</v>
      </c>
      <c r="H14" t="s">
        <v>1012</v>
      </c>
      <c r="I14" s="64">
        <v>8</v>
      </c>
      <c r="J14"/>
      <c r="K14" s="64">
        <v>1</v>
      </c>
      <c r="N14">
        <v>1</v>
      </c>
      <c r="P14"/>
      <c r="T14">
        <v>73</v>
      </c>
      <c r="Y14" s="148"/>
      <c r="Z14" s="148"/>
      <c r="AA14" t="s">
        <v>2171</v>
      </c>
      <c r="AB14" t="s">
        <v>20</v>
      </c>
      <c r="AC14" s="148"/>
      <c r="AD14" s="148"/>
      <c r="AE14" s="148"/>
      <c r="AF14" s="148">
        <v>1</v>
      </c>
      <c r="AG14" t="s">
        <v>49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5" s="64" customFormat="1" x14ac:dyDescent="0.2">
      <c r="A15" s="106" t="s">
        <v>593</v>
      </c>
      <c r="B15" s="67" t="s">
        <v>808</v>
      </c>
      <c r="C15">
        <v>3</v>
      </c>
      <c r="D15" s="109" t="s">
        <v>594</v>
      </c>
      <c r="E15" s="152"/>
      <c r="F15"/>
      <c r="G15" t="s">
        <v>2172</v>
      </c>
      <c r="H15" t="s">
        <v>1034</v>
      </c>
      <c r="I15" s="64">
        <v>9</v>
      </c>
      <c r="J15">
        <v>1</v>
      </c>
      <c r="N15" t="s">
        <v>52</v>
      </c>
      <c r="P15"/>
      <c r="S15" s="64">
        <v>1</v>
      </c>
      <c r="T15">
        <v>60</v>
      </c>
      <c r="Y15" s="148"/>
      <c r="Z15" s="148"/>
      <c r="AA15" t="s">
        <v>20</v>
      </c>
      <c r="AB15" t="s">
        <v>2173</v>
      </c>
      <c r="AC15" s="148">
        <v>1</v>
      </c>
      <c r="AD15" s="148"/>
      <c r="AE15" s="148"/>
      <c r="AF15" s="148">
        <v>1</v>
      </c>
      <c r="AG15" t="s">
        <v>1976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5" s="64" customFormat="1" x14ac:dyDescent="0.2">
      <c r="A16" s="106" t="s">
        <v>593</v>
      </c>
      <c r="B16" s="67" t="s">
        <v>808</v>
      </c>
      <c r="C16">
        <v>3</v>
      </c>
      <c r="D16" s="109" t="s">
        <v>594</v>
      </c>
      <c r="E16" s="152"/>
      <c r="F16"/>
      <c r="G16" t="s">
        <v>2175</v>
      </c>
      <c r="H16" t="s">
        <v>2174</v>
      </c>
      <c r="I16" s="64">
        <v>10</v>
      </c>
      <c r="J16">
        <v>1</v>
      </c>
      <c r="N16" t="s">
        <v>26</v>
      </c>
      <c r="P16"/>
      <c r="S16" s="64">
        <v>1</v>
      </c>
      <c r="T16">
        <v>34</v>
      </c>
      <c r="Y16" s="148"/>
      <c r="Z16" s="148"/>
      <c r="AA16" t="s">
        <v>56</v>
      </c>
      <c r="AB16" t="s">
        <v>29</v>
      </c>
      <c r="AC16" s="148">
        <v>1</v>
      </c>
      <c r="AD16" s="148"/>
      <c r="AE16" s="148"/>
      <c r="AF16" s="148">
        <v>1</v>
      </c>
      <c r="AG16" t="s">
        <v>2176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s="64" customFormat="1" x14ac:dyDescent="0.2">
      <c r="A17" s="106" t="s">
        <v>593</v>
      </c>
      <c r="B17" s="67" t="s">
        <v>808</v>
      </c>
      <c r="C17"/>
      <c r="D17" s="109" t="s">
        <v>594</v>
      </c>
      <c r="E17" s="152"/>
      <c r="F17"/>
      <c r="G17"/>
      <c r="H17">
        <v>3</v>
      </c>
      <c r="J17"/>
      <c r="N17"/>
      <c r="P17"/>
      <c r="T17"/>
      <c r="Y17" s="148"/>
      <c r="Z17" s="148"/>
      <c r="AA17"/>
      <c r="AB17"/>
      <c r="AC17" s="148"/>
      <c r="AD17" s="148"/>
      <c r="AE17" s="148"/>
      <c r="AF17" s="148"/>
      <c r="AG17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s="64" customFormat="1" x14ac:dyDescent="0.2">
      <c r="A18" s="106" t="s">
        <v>593</v>
      </c>
      <c r="B18" s="67" t="s">
        <v>808</v>
      </c>
      <c r="C18"/>
      <c r="D18" s="109" t="s">
        <v>594</v>
      </c>
      <c r="E18" s="152"/>
      <c r="F18"/>
      <c r="G18" t="s">
        <v>1</v>
      </c>
      <c r="H18" t="s">
        <v>0</v>
      </c>
      <c r="J18" t="s">
        <v>3</v>
      </c>
      <c r="N18" t="s">
        <v>2</v>
      </c>
      <c r="P18"/>
      <c r="T18" t="s">
        <v>5</v>
      </c>
      <c r="Y18" s="148"/>
      <c r="Z18" s="148"/>
      <c r="AA18" t="s">
        <v>7</v>
      </c>
      <c r="AB18" t="s">
        <v>8</v>
      </c>
      <c r="AC18" s="148"/>
      <c r="AD18" s="148"/>
      <c r="AE18" s="148"/>
      <c r="AF18" s="148"/>
      <c r="AG18" t="s">
        <v>6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s="235" customFormat="1" x14ac:dyDescent="0.2">
      <c r="A19" s="248" t="s">
        <v>593</v>
      </c>
      <c r="B19" s="249" t="s">
        <v>808</v>
      </c>
      <c r="C19" s="55">
        <v>4</v>
      </c>
      <c r="D19" s="250" t="s">
        <v>594</v>
      </c>
      <c r="E19" s="234"/>
      <c r="F19" s="55">
        <v>4</v>
      </c>
      <c r="G19" s="55" t="s">
        <v>2177</v>
      </c>
      <c r="H19" s="55" t="s">
        <v>336</v>
      </c>
      <c r="I19" s="235">
        <v>11</v>
      </c>
      <c r="J19" s="55">
        <v>1</v>
      </c>
      <c r="N19" s="55">
        <v>1</v>
      </c>
      <c r="P19" s="55"/>
      <c r="T19" s="55">
        <v>74</v>
      </c>
      <c r="Y19" s="237"/>
      <c r="Z19" s="237"/>
      <c r="AA19" s="55" t="s">
        <v>2179</v>
      </c>
      <c r="AB19" s="55" t="s">
        <v>20</v>
      </c>
      <c r="AC19" s="237"/>
      <c r="AD19" s="237"/>
      <c r="AE19" s="237"/>
      <c r="AF19" s="237"/>
      <c r="AG19" s="55" t="s">
        <v>2178</v>
      </c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</row>
    <row r="20" spans="1:51" s="64" customFormat="1" x14ac:dyDescent="0.2">
      <c r="A20" s="106" t="s">
        <v>593</v>
      </c>
      <c r="B20" s="67" t="s">
        <v>808</v>
      </c>
      <c r="C20">
        <v>4</v>
      </c>
      <c r="D20" s="109" t="s">
        <v>594</v>
      </c>
      <c r="E20" s="152"/>
      <c r="F20"/>
      <c r="G20" t="s">
        <v>1859</v>
      </c>
      <c r="H20" t="s">
        <v>48</v>
      </c>
      <c r="I20" s="64">
        <v>12</v>
      </c>
      <c r="J20">
        <v>1</v>
      </c>
      <c r="N20" t="s">
        <v>26</v>
      </c>
      <c r="P20"/>
      <c r="S20" s="64">
        <v>1</v>
      </c>
      <c r="T20">
        <v>37</v>
      </c>
      <c r="Y20" s="148"/>
      <c r="Z20" s="148"/>
      <c r="AA20" t="s">
        <v>33</v>
      </c>
      <c r="AB20" t="s">
        <v>29</v>
      </c>
      <c r="AC20" s="148">
        <v>1</v>
      </c>
      <c r="AD20" s="148"/>
      <c r="AE20" s="148"/>
      <c r="AF20" s="148"/>
      <c r="AG20" t="s">
        <v>2180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s="64" customFormat="1" x14ac:dyDescent="0.2">
      <c r="A21" s="106" t="s">
        <v>593</v>
      </c>
      <c r="B21" s="67" t="s">
        <v>808</v>
      </c>
      <c r="C21">
        <v>4</v>
      </c>
      <c r="D21" s="109" t="s">
        <v>594</v>
      </c>
      <c r="E21" s="152"/>
      <c r="F21"/>
      <c r="G21" t="s">
        <v>2181</v>
      </c>
      <c r="H21" t="s">
        <v>1916</v>
      </c>
      <c r="I21" s="64">
        <v>13</v>
      </c>
      <c r="J21">
        <v>1</v>
      </c>
      <c r="N21" t="s">
        <v>26</v>
      </c>
      <c r="P21"/>
      <c r="S21" s="64">
        <v>1</v>
      </c>
      <c r="T21">
        <v>31</v>
      </c>
      <c r="Y21" s="148"/>
      <c r="Z21" s="148"/>
      <c r="AA21" t="s">
        <v>28</v>
      </c>
      <c r="AB21" t="s">
        <v>29</v>
      </c>
      <c r="AC21" s="148">
        <v>1</v>
      </c>
      <c r="AD21" s="148"/>
      <c r="AE21" s="148"/>
      <c r="AF21" s="148">
        <v>1</v>
      </c>
      <c r="AG21" t="s">
        <v>14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s="64" customFormat="1" x14ac:dyDescent="0.2">
      <c r="A22" s="106" t="s">
        <v>593</v>
      </c>
      <c r="B22" s="67" t="s">
        <v>808</v>
      </c>
      <c r="C22"/>
      <c r="D22" s="109" t="s">
        <v>594</v>
      </c>
      <c r="E22" s="152"/>
      <c r="F22"/>
      <c r="G22"/>
      <c r="H22">
        <v>3</v>
      </c>
      <c r="J22"/>
      <c r="N22"/>
      <c r="P22"/>
      <c r="T22"/>
      <c r="Y22" s="148"/>
      <c r="Z22" s="148"/>
      <c r="AA22"/>
      <c r="AB22"/>
      <c r="AC22" s="148"/>
      <c r="AD22" s="148"/>
      <c r="AE22" s="148"/>
      <c r="AF22" s="148"/>
      <c r="AG22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s="64" customFormat="1" x14ac:dyDescent="0.2">
      <c r="A23" s="106" t="s">
        <v>593</v>
      </c>
      <c r="B23" s="67" t="s">
        <v>808</v>
      </c>
      <c r="C23"/>
      <c r="D23" s="109" t="s">
        <v>594</v>
      </c>
      <c r="E23" s="152"/>
      <c r="F23"/>
      <c r="G23" t="s">
        <v>1</v>
      </c>
      <c r="H23" t="s">
        <v>0</v>
      </c>
      <c r="J23" t="s">
        <v>3</v>
      </c>
      <c r="N23" t="s">
        <v>2</v>
      </c>
      <c r="P23"/>
      <c r="T23" t="s">
        <v>5</v>
      </c>
      <c r="Y23" s="148"/>
      <c r="Z23" s="148"/>
      <c r="AA23" t="s">
        <v>7</v>
      </c>
      <c r="AB23" t="s">
        <v>8</v>
      </c>
      <c r="AC23" s="148"/>
      <c r="AD23" s="148"/>
      <c r="AE23" s="148"/>
      <c r="AF23" s="148"/>
      <c r="AG23" t="s">
        <v>6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1" s="64" customFormat="1" x14ac:dyDescent="0.2">
      <c r="A24" s="106" t="s">
        <v>593</v>
      </c>
      <c r="B24" s="67" t="s">
        <v>808</v>
      </c>
      <c r="C24">
        <v>5</v>
      </c>
      <c r="D24" s="109" t="s">
        <v>594</v>
      </c>
      <c r="E24" s="152"/>
      <c r="F24">
        <v>5</v>
      </c>
      <c r="G24" t="s">
        <v>2183</v>
      </c>
      <c r="H24" t="s">
        <v>2182</v>
      </c>
      <c r="I24" s="64">
        <v>14</v>
      </c>
      <c r="J24" t="s">
        <v>13</v>
      </c>
      <c r="K24" s="64">
        <v>1</v>
      </c>
      <c r="N24">
        <v>1</v>
      </c>
      <c r="P24"/>
      <c r="T24">
        <v>49</v>
      </c>
      <c r="Y24" s="148"/>
      <c r="Z24" s="148"/>
      <c r="AA24" t="s">
        <v>2185</v>
      </c>
      <c r="AB24" t="s">
        <v>8</v>
      </c>
      <c r="AC24" s="148">
        <v>1</v>
      </c>
      <c r="AD24" s="148">
        <v>1</v>
      </c>
      <c r="AE24" s="148"/>
      <c r="AF24" s="148"/>
      <c r="AG24" t="s">
        <v>2184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 spans="1:51" s="64" customFormat="1" x14ac:dyDescent="0.2">
      <c r="A25" s="106" t="s">
        <v>593</v>
      </c>
      <c r="B25" s="67" t="s">
        <v>808</v>
      </c>
      <c r="C25">
        <v>5</v>
      </c>
      <c r="D25" s="109" t="s">
        <v>594</v>
      </c>
      <c r="E25" s="152"/>
      <c r="F25"/>
      <c r="G25" t="s">
        <v>465</v>
      </c>
      <c r="H25" t="s">
        <v>326</v>
      </c>
      <c r="I25" s="64">
        <v>15</v>
      </c>
      <c r="J25">
        <v>1</v>
      </c>
      <c r="N25" t="s">
        <v>26</v>
      </c>
      <c r="P25"/>
      <c r="S25" s="64">
        <v>1</v>
      </c>
      <c r="T25">
        <v>22</v>
      </c>
      <c r="Y25" s="148"/>
      <c r="Z25" s="148"/>
      <c r="AA25" t="s">
        <v>33</v>
      </c>
      <c r="AB25" t="s">
        <v>29</v>
      </c>
      <c r="AC25" s="148">
        <v>1</v>
      </c>
      <c r="AD25" s="148"/>
      <c r="AE25" s="148"/>
      <c r="AF25" s="148">
        <v>1</v>
      </c>
      <c r="AG25" t="s">
        <v>1346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 spans="1:51" s="64" customFormat="1" x14ac:dyDescent="0.2">
      <c r="A26" s="106" t="s">
        <v>593</v>
      </c>
      <c r="B26" s="67" t="s">
        <v>808</v>
      </c>
      <c r="C26">
        <v>5</v>
      </c>
      <c r="D26" s="109" t="s">
        <v>594</v>
      </c>
      <c r="E26" s="152"/>
      <c r="F26"/>
      <c r="G26" t="s">
        <v>2187</v>
      </c>
      <c r="H26" t="s">
        <v>2186</v>
      </c>
      <c r="I26" s="64">
        <v>16</v>
      </c>
      <c r="J26">
        <v>1</v>
      </c>
      <c r="N26" t="s">
        <v>26</v>
      </c>
      <c r="P26"/>
      <c r="S26" s="64">
        <v>1</v>
      </c>
      <c r="T26">
        <v>24</v>
      </c>
      <c r="Y26" s="148"/>
      <c r="Z26" s="148"/>
      <c r="AA26" t="s">
        <v>344</v>
      </c>
      <c r="AB26" t="s">
        <v>29</v>
      </c>
      <c r="AC26" s="148">
        <v>1</v>
      </c>
      <c r="AD26" s="148"/>
      <c r="AE26" s="148"/>
      <c r="AF26" s="148"/>
      <c r="AG26" t="s">
        <v>2188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 spans="1:51" s="64" customFormat="1" x14ac:dyDescent="0.2">
      <c r="A27" s="106" t="s">
        <v>593</v>
      </c>
      <c r="B27" s="67" t="s">
        <v>808</v>
      </c>
      <c r="C27"/>
      <c r="D27" s="109" t="s">
        <v>594</v>
      </c>
      <c r="E27" s="152"/>
      <c r="F27"/>
      <c r="G27"/>
      <c r="H27">
        <v>3</v>
      </c>
      <c r="J27"/>
      <c r="N27"/>
      <c r="P27"/>
      <c r="T27"/>
      <c r="Y27" s="148"/>
      <c r="Z27" s="148"/>
      <c r="AA27"/>
      <c r="AB27"/>
      <c r="AC27" s="148"/>
      <c r="AD27" s="148"/>
      <c r="AE27" s="148"/>
      <c r="AF27" s="148"/>
      <c r="AG27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 spans="1:51" s="64" customFormat="1" x14ac:dyDescent="0.2">
      <c r="A28" s="106" t="s">
        <v>593</v>
      </c>
      <c r="B28" s="67" t="s">
        <v>808</v>
      </c>
      <c r="C28"/>
      <c r="D28" s="109" t="s">
        <v>594</v>
      </c>
      <c r="E28" s="152"/>
      <c r="F28"/>
      <c r="G28" t="s">
        <v>1</v>
      </c>
      <c r="H28" t="s">
        <v>0</v>
      </c>
      <c r="J28" t="s">
        <v>3</v>
      </c>
      <c r="N28" t="s">
        <v>2</v>
      </c>
      <c r="P28"/>
      <c r="T28" t="s">
        <v>5</v>
      </c>
      <c r="Y28" s="148"/>
      <c r="Z28" s="148"/>
      <c r="AA28" t="s">
        <v>7</v>
      </c>
      <c r="AB28" t="s">
        <v>8</v>
      </c>
      <c r="AC28" s="148"/>
      <c r="AD28" s="148"/>
      <c r="AE28" s="148"/>
      <c r="AF28" s="148"/>
      <c r="AG28" t="s">
        <v>6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 spans="1:51" s="64" customFormat="1" x14ac:dyDescent="0.2">
      <c r="A29" s="106" t="s">
        <v>593</v>
      </c>
      <c r="B29" s="67" t="s">
        <v>808</v>
      </c>
      <c r="C29">
        <v>6</v>
      </c>
      <c r="D29" s="109" t="s">
        <v>594</v>
      </c>
      <c r="E29" s="152"/>
      <c r="F29">
        <v>6</v>
      </c>
      <c r="G29" t="s">
        <v>420</v>
      </c>
      <c r="H29" t="s">
        <v>1585</v>
      </c>
      <c r="I29" s="64">
        <v>17</v>
      </c>
      <c r="J29" t="s">
        <v>13</v>
      </c>
      <c r="K29" s="64">
        <v>1</v>
      </c>
      <c r="N29">
        <v>1</v>
      </c>
      <c r="P29"/>
      <c r="T29">
        <v>56</v>
      </c>
      <c r="Y29" s="148"/>
      <c r="Z29" s="148"/>
      <c r="AA29" t="s">
        <v>1488</v>
      </c>
      <c r="AB29" t="s">
        <v>8</v>
      </c>
      <c r="AC29" s="148">
        <v>1</v>
      </c>
      <c r="AD29" s="148">
        <v>1</v>
      </c>
      <c r="AE29" s="148"/>
      <c r="AF29" s="148">
        <v>1</v>
      </c>
      <c r="AG29" t="s">
        <v>49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 spans="1:51" s="64" customFormat="1" x14ac:dyDescent="0.2">
      <c r="A30" s="106" t="s">
        <v>593</v>
      </c>
      <c r="B30" s="67" t="s">
        <v>808</v>
      </c>
      <c r="C30">
        <v>6</v>
      </c>
      <c r="D30" s="109" t="s">
        <v>594</v>
      </c>
      <c r="E30" s="152"/>
      <c r="F30"/>
      <c r="G30" t="s">
        <v>420</v>
      </c>
      <c r="H30" t="s">
        <v>768</v>
      </c>
      <c r="I30" s="64">
        <v>18</v>
      </c>
      <c r="J30">
        <v>1</v>
      </c>
      <c r="N30" t="s">
        <v>18</v>
      </c>
      <c r="O30" s="64">
        <v>1</v>
      </c>
      <c r="P30"/>
      <c r="T30">
        <v>54</v>
      </c>
      <c r="Y30" s="148"/>
      <c r="Z30" s="148"/>
      <c r="AA30" t="s">
        <v>50</v>
      </c>
      <c r="AB30" t="s">
        <v>20</v>
      </c>
      <c r="AC30" s="148"/>
      <c r="AD30" s="148"/>
      <c r="AE30" s="148"/>
      <c r="AF30" s="148"/>
      <c r="AG30" t="s">
        <v>2189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 spans="1:51" s="64" customFormat="1" x14ac:dyDescent="0.2">
      <c r="A31" s="106" t="s">
        <v>593</v>
      </c>
      <c r="B31" s="67" t="s">
        <v>808</v>
      </c>
      <c r="C31">
        <v>6</v>
      </c>
      <c r="D31" s="109" t="s">
        <v>594</v>
      </c>
      <c r="E31" s="152"/>
      <c r="F31"/>
      <c r="G31" t="s">
        <v>420</v>
      </c>
      <c r="H31" t="s">
        <v>350</v>
      </c>
      <c r="I31" s="64">
        <v>19</v>
      </c>
      <c r="J31">
        <v>1</v>
      </c>
      <c r="N31" t="s">
        <v>22</v>
      </c>
      <c r="P31">
        <v>1</v>
      </c>
      <c r="T31">
        <v>20</v>
      </c>
      <c r="Y31" s="148"/>
      <c r="Z31" s="148"/>
      <c r="AA31" t="s">
        <v>47</v>
      </c>
      <c r="AB31" t="s">
        <v>20</v>
      </c>
      <c r="AC31" s="148"/>
      <c r="AD31" s="148"/>
      <c r="AE31" s="148"/>
      <c r="AF31" s="148">
        <v>1</v>
      </c>
      <c r="AG31" t="s">
        <v>49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</row>
    <row r="32" spans="1:51" s="64" customFormat="1" x14ac:dyDescent="0.2">
      <c r="A32" s="106" t="s">
        <v>593</v>
      </c>
      <c r="B32" s="67" t="s">
        <v>808</v>
      </c>
      <c r="C32">
        <v>6</v>
      </c>
      <c r="D32" s="109" t="s">
        <v>594</v>
      </c>
      <c r="E32" s="152"/>
      <c r="F32"/>
      <c r="G32" t="s">
        <v>420</v>
      </c>
      <c r="H32" t="s">
        <v>2190</v>
      </c>
      <c r="I32" s="64">
        <v>20</v>
      </c>
      <c r="J32">
        <v>1</v>
      </c>
      <c r="N32" t="s">
        <v>22</v>
      </c>
      <c r="P32">
        <v>1</v>
      </c>
      <c r="T32">
        <v>11</v>
      </c>
      <c r="Y32" s="148"/>
      <c r="Z32" s="148"/>
      <c r="AA32" t="s">
        <v>20</v>
      </c>
      <c r="AB32" t="s">
        <v>20</v>
      </c>
      <c r="AC32" s="148"/>
      <c r="AD32" s="148"/>
      <c r="AE32" s="148"/>
      <c r="AF32" s="148">
        <v>1</v>
      </c>
      <c r="AG32" t="s">
        <v>49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</row>
    <row r="33" spans="1:51" s="64" customFormat="1" x14ac:dyDescent="0.2">
      <c r="A33" s="106" t="s">
        <v>593</v>
      </c>
      <c r="B33" s="67" t="s">
        <v>808</v>
      </c>
      <c r="C33">
        <v>6</v>
      </c>
      <c r="D33" s="109" t="s">
        <v>594</v>
      </c>
      <c r="E33" s="152"/>
      <c r="F33"/>
      <c r="G33" t="s">
        <v>2191</v>
      </c>
      <c r="H33" t="s">
        <v>318</v>
      </c>
      <c r="I33" s="64">
        <v>21</v>
      </c>
      <c r="J33">
        <v>1</v>
      </c>
      <c r="N33" t="s">
        <v>26</v>
      </c>
      <c r="P33"/>
      <c r="S33" s="64">
        <v>1</v>
      </c>
      <c r="T33">
        <v>28</v>
      </c>
      <c r="Y33" s="148"/>
      <c r="Z33" s="148"/>
      <c r="AA33" t="s">
        <v>2192</v>
      </c>
      <c r="AB33" t="s">
        <v>93</v>
      </c>
      <c r="AC33" s="148">
        <v>1</v>
      </c>
      <c r="AD33" s="148"/>
      <c r="AE33" s="148"/>
      <c r="AF33" s="148"/>
      <c r="AG33" t="s">
        <v>471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spans="1:51" s="64" customFormat="1" x14ac:dyDescent="0.2">
      <c r="A34" s="106" t="s">
        <v>593</v>
      </c>
      <c r="B34" s="67" t="s">
        <v>808</v>
      </c>
      <c r="C34">
        <v>6</v>
      </c>
      <c r="D34" s="109" t="s">
        <v>594</v>
      </c>
      <c r="E34" s="152"/>
      <c r="F34"/>
      <c r="G34" t="s">
        <v>2193</v>
      </c>
      <c r="H34" t="s">
        <v>24</v>
      </c>
      <c r="I34" s="64">
        <v>22</v>
      </c>
      <c r="J34">
        <v>1</v>
      </c>
      <c r="N34" t="s">
        <v>26</v>
      </c>
      <c r="P34"/>
      <c r="S34" s="64">
        <v>1</v>
      </c>
      <c r="T34">
        <v>37</v>
      </c>
      <c r="Y34" s="148"/>
      <c r="Z34" s="148"/>
      <c r="AA34" t="s">
        <v>2192</v>
      </c>
      <c r="AB34" t="s">
        <v>33</v>
      </c>
      <c r="AC34" s="148">
        <v>1</v>
      </c>
      <c r="AD34" s="148"/>
      <c r="AE34" s="148"/>
      <c r="AF34" s="148"/>
      <c r="AG34" t="s">
        <v>2194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 spans="1:51" s="64" customFormat="1" x14ac:dyDescent="0.2">
      <c r="A35" s="106" t="s">
        <v>593</v>
      </c>
      <c r="B35" s="67" t="s">
        <v>808</v>
      </c>
      <c r="C35"/>
      <c r="D35" s="109" t="s">
        <v>594</v>
      </c>
      <c r="E35" s="152"/>
      <c r="F35"/>
      <c r="G35"/>
      <c r="H35">
        <v>6</v>
      </c>
      <c r="J35"/>
      <c r="N35"/>
      <c r="P35"/>
      <c r="T35"/>
      <c r="Y35" s="148"/>
      <c r="Z35" s="148"/>
      <c r="AA35"/>
      <c r="AB35"/>
      <c r="AC35" s="148"/>
      <c r="AD35" s="148"/>
      <c r="AE35" s="148"/>
      <c r="AF35" s="148"/>
      <c r="AG35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</row>
    <row r="36" spans="1:51" s="64" customFormat="1" x14ac:dyDescent="0.2">
      <c r="A36" s="106" t="s">
        <v>593</v>
      </c>
      <c r="B36" s="67" t="s">
        <v>808</v>
      </c>
      <c r="C36"/>
      <c r="D36" s="109" t="s">
        <v>594</v>
      </c>
      <c r="E36" s="152"/>
      <c r="F36"/>
      <c r="G36" t="s">
        <v>1</v>
      </c>
      <c r="H36" t="s">
        <v>0</v>
      </c>
      <c r="J36" t="s">
        <v>3</v>
      </c>
      <c r="N36" t="s">
        <v>2</v>
      </c>
      <c r="P36"/>
      <c r="T36" t="s">
        <v>5</v>
      </c>
      <c r="Y36" s="148"/>
      <c r="Z36" s="148"/>
      <c r="AA36" t="s">
        <v>7</v>
      </c>
      <c r="AB36" t="s">
        <v>8</v>
      </c>
      <c r="AC36" s="148"/>
      <c r="AD36" s="148"/>
      <c r="AE36" s="148"/>
      <c r="AF36" s="148"/>
      <c r="AG36" t="s">
        <v>6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</row>
    <row r="37" spans="1:51" s="64" customFormat="1" x14ac:dyDescent="0.2">
      <c r="A37" s="106" t="s">
        <v>593</v>
      </c>
      <c r="B37" s="67" t="s">
        <v>808</v>
      </c>
      <c r="C37">
        <v>7</v>
      </c>
      <c r="D37" s="109" t="s">
        <v>594</v>
      </c>
      <c r="E37" s="152"/>
      <c r="F37">
        <v>8</v>
      </c>
      <c r="G37" t="s">
        <v>743</v>
      </c>
      <c r="H37" t="s">
        <v>2195</v>
      </c>
      <c r="I37" s="64">
        <v>23</v>
      </c>
      <c r="J37" t="s">
        <v>13</v>
      </c>
      <c r="K37" s="64">
        <v>1</v>
      </c>
      <c r="N37">
        <v>1</v>
      </c>
      <c r="P37"/>
      <c r="T37">
        <v>34</v>
      </c>
      <c r="Y37" s="148"/>
      <c r="Z37" s="148"/>
      <c r="AA37" t="s">
        <v>2196</v>
      </c>
      <c r="AB37" t="s">
        <v>2197</v>
      </c>
      <c r="AC37" s="148">
        <v>1</v>
      </c>
      <c r="AD37" s="148"/>
      <c r="AE37" s="148"/>
      <c r="AF37" s="148">
        <v>1</v>
      </c>
      <c r="AG37" t="s">
        <v>49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1:51" s="64" customFormat="1" x14ac:dyDescent="0.2">
      <c r="A38" s="106" t="s">
        <v>593</v>
      </c>
      <c r="B38" s="67" t="s">
        <v>808</v>
      </c>
      <c r="C38">
        <v>7</v>
      </c>
      <c r="D38" s="109" t="s">
        <v>594</v>
      </c>
      <c r="E38" s="152"/>
      <c r="F38"/>
      <c r="G38" t="s">
        <v>743</v>
      </c>
      <c r="H38" t="s">
        <v>2198</v>
      </c>
      <c r="I38" s="64">
        <v>24</v>
      </c>
      <c r="J38">
        <v>1</v>
      </c>
      <c r="N38" t="s">
        <v>18</v>
      </c>
      <c r="O38" s="64">
        <v>1</v>
      </c>
      <c r="P38"/>
      <c r="T38">
        <v>27</v>
      </c>
      <c r="Y38" s="148"/>
      <c r="Z38" s="148"/>
      <c r="AA38" t="s">
        <v>50</v>
      </c>
      <c r="AB38" t="s">
        <v>20</v>
      </c>
      <c r="AC38" s="148"/>
      <c r="AD38" s="148"/>
      <c r="AE38" s="148"/>
      <c r="AF38" s="148"/>
      <c r="AG38" t="s">
        <v>2199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1:51" s="64" customFormat="1" x14ac:dyDescent="0.2">
      <c r="A39" s="106" t="s">
        <v>593</v>
      </c>
      <c r="B39" s="67" t="s">
        <v>808</v>
      </c>
      <c r="C39">
        <v>7</v>
      </c>
      <c r="D39" s="109" t="s">
        <v>594</v>
      </c>
      <c r="E39" s="152"/>
      <c r="F39"/>
      <c r="G39" t="s">
        <v>743</v>
      </c>
      <c r="H39" t="s">
        <v>2200</v>
      </c>
      <c r="I39" s="64">
        <v>25</v>
      </c>
      <c r="J39" t="s">
        <v>19</v>
      </c>
      <c r="L39" s="64">
        <v>1</v>
      </c>
      <c r="N39" t="s">
        <v>22</v>
      </c>
      <c r="P39">
        <v>1</v>
      </c>
      <c r="T39">
        <v>1</v>
      </c>
      <c r="Y39" s="148"/>
      <c r="Z39" s="148"/>
      <c r="AA39" t="s">
        <v>20</v>
      </c>
      <c r="AB39" t="s">
        <v>20</v>
      </c>
      <c r="AC39" s="148"/>
      <c r="AD39" s="148"/>
      <c r="AE39" s="148"/>
      <c r="AF39" s="148">
        <v>1</v>
      </c>
      <c r="AG39" t="s">
        <v>49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1:51" s="64" customFormat="1" x14ac:dyDescent="0.2">
      <c r="A40" s="106" t="s">
        <v>593</v>
      </c>
      <c r="B40" s="67" t="s">
        <v>3017</v>
      </c>
      <c r="C40"/>
      <c r="D40" s="109" t="s">
        <v>594</v>
      </c>
      <c r="E40" s="152"/>
      <c r="F40"/>
      <c r="G40"/>
      <c r="H40">
        <v>3</v>
      </c>
      <c r="J40"/>
      <c r="N40"/>
      <c r="P40"/>
      <c r="T40"/>
      <c r="Y40" s="148"/>
      <c r="Z40" s="148"/>
      <c r="AA40"/>
      <c r="AB40"/>
      <c r="AC40" s="148"/>
      <c r="AD40" s="148"/>
      <c r="AE40" s="148"/>
      <c r="AF40" s="148"/>
      <c r="AG4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1:51" s="64" customFormat="1" x14ac:dyDescent="0.2">
      <c r="A41" s="106" t="s">
        <v>593</v>
      </c>
      <c r="B41" s="67" t="s">
        <v>3018</v>
      </c>
      <c r="C41"/>
      <c r="D41" s="109" t="s">
        <v>594</v>
      </c>
      <c r="E41" s="152"/>
      <c r="F41"/>
      <c r="G41"/>
      <c r="H41"/>
      <c r="I41"/>
      <c r="J41"/>
      <c r="K41"/>
      <c r="L41"/>
      <c r="M41"/>
      <c r="N41"/>
      <c r="O41"/>
      <c r="P41"/>
      <c r="Q41"/>
      <c r="R41"/>
      <c r="T41"/>
      <c r="Y41" s="148"/>
      <c r="Z41" s="148"/>
      <c r="AA41"/>
      <c r="AB41"/>
      <c r="AC41" s="148"/>
      <c r="AD41" s="148"/>
      <c r="AE41" s="148"/>
      <c r="AF41" s="148"/>
      <c r="AG41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1:51" s="64" customFormat="1" x14ac:dyDescent="0.2">
      <c r="A42" s="106" t="s">
        <v>593</v>
      </c>
      <c r="B42" s="67" t="s">
        <v>3019</v>
      </c>
      <c r="C42">
        <v>8</v>
      </c>
      <c r="D42" s="109" t="s">
        <v>594</v>
      </c>
      <c r="E42" s="152"/>
      <c r="F42">
        <v>10</v>
      </c>
      <c r="G42" t="s">
        <v>3012</v>
      </c>
      <c r="H42" t="s">
        <v>3011</v>
      </c>
      <c r="I42" s="64">
        <v>26</v>
      </c>
      <c r="J42" t="s">
        <v>13</v>
      </c>
      <c r="K42" s="64">
        <v>1</v>
      </c>
      <c r="N42">
        <v>1</v>
      </c>
      <c r="P42"/>
      <c r="T42">
        <v>81</v>
      </c>
      <c r="Y42" s="148"/>
      <c r="Z42" s="148"/>
      <c r="AA42" t="s">
        <v>3014</v>
      </c>
      <c r="AB42" t="s">
        <v>3015</v>
      </c>
      <c r="AD42" s="148"/>
      <c r="AE42" s="148"/>
      <c r="AF42" s="148"/>
      <c r="AG42" t="s">
        <v>3013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 spans="1:51" s="64" customFormat="1" x14ac:dyDescent="0.2">
      <c r="A43" s="106" t="s">
        <v>593</v>
      </c>
      <c r="B43" s="67" t="s">
        <v>3020</v>
      </c>
      <c r="C43">
        <v>8</v>
      </c>
      <c r="D43" s="109" t="s">
        <v>594</v>
      </c>
      <c r="E43" s="152"/>
      <c r="F43"/>
      <c r="G43" t="s">
        <v>1536</v>
      </c>
      <c r="H43" t="s">
        <v>3016</v>
      </c>
      <c r="I43" s="64">
        <v>27</v>
      </c>
      <c r="J43">
        <v>1</v>
      </c>
      <c r="N43" t="s">
        <v>52</v>
      </c>
      <c r="P43"/>
      <c r="S43" s="64">
        <v>1</v>
      </c>
      <c r="T43">
        <v>30</v>
      </c>
      <c r="Y43" s="148"/>
      <c r="Z43" s="148"/>
      <c r="AA43" t="s">
        <v>52</v>
      </c>
      <c r="AB43" t="s">
        <v>29</v>
      </c>
      <c r="AC43" s="64">
        <v>1</v>
      </c>
      <c r="AD43" s="148"/>
      <c r="AE43" s="148"/>
      <c r="AF43" s="148">
        <v>1</v>
      </c>
      <c r="AG43" t="s">
        <v>49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1:51" s="64" customFormat="1" x14ac:dyDescent="0.2">
      <c r="A44" s="106" t="s">
        <v>593</v>
      </c>
      <c r="B44" s="67" t="s">
        <v>3021</v>
      </c>
      <c r="C44"/>
      <c r="D44" s="109" t="s">
        <v>594</v>
      </c>
      <c r="E44" s="152"/>
      <c r="F44"/>
      <c r="G44"/>
      <c r="H44">
        <v>2</v>
      </c>
      <c r="I44"/>
      <c r="J44"/>
      <c r="K44"/>
      <c r="L44"/>
      <c r="M44"/>
      <c r="N44"/>
      <c r="O44"/>
      <c r="P44"/>
      <c r="Q44"/>
      <c r="R44"/>
      <c r="T44"/>
      <c r="Y44" s="148"/>
      <c r="Z44" s="148"/>
      <c r="AA44"/>
      <c r="AB44"/>
      <c r="AC44" s="148"/>
      <c r="AD44" s="148"/>
      <c r="AE44" s="148"/>
      <c r="AF44" s="148"/>
      <c r="AG44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1:51" s="64" customFormat="1" x14ac:dyDescent="0.2">
      <c r="A45" s="106" t="s">
        <v>593</v>
      </c>
      <c r="B45" s="67" t="s">
        <v>3022</v>
      </c>
      <c r="C45"/>
      <c r="D45" s="109" t="s">
        <v>594</v>
      </c>
      <c r="E45" s="152"/>
      <c r="F45"/>
      <c r="G45"/>
      <c r="H45"/>
      <c r="I45"/>
      <c r="J45"/>
      <c r="K45"/>
      <c r="L45"/>
      <c r="M45"/>
      <c r="N45"/>
      <c r="O45"/>
      <c r="P45"/>
      <c r="Q45"/>
      <c r="R45"/>
      <c r="T45"/>
      <c r="Y45" s="148"/>
      <c r="Z45" s="148"/>
      <c r="AA45"/>
      <c r="AB45"/>
      <c r="AC45" s="148"/>
      <c r="AD45" s="148"/>
      <c r="AE45" s="148"/>
      <c r="AF45" s="148"/>
      <c r="AG45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1:51" s="64" customFormat="1" x14ac:dyDescent="0.2">
      <c r="A46" s="106" t="s">
        <v>593</v>
      </c>
      <c r="B46" s="67" t="s">
        <v>808</v>
      </c>
      <c r="C46"/>
      <c r="D46" s="109" t="s">
        <v>594</v>
      </c>
      <c r="E46" s="152"/>
      <c r="F46"/>
      <c r="G46" t="s">
        <v>1</v>
      </c>
      <c r="H46" t="s">
        <v>0</v>
      </c>
      <c r="J46" t="s">
        <v>3</v>
      </c>
      <c r="N46" t="s">
        <v>2</v>
      </c>
      <c r="P46"/>
      <c r="T46" t="s">
        <v>5</v>
      </c>
      <c r="Y46" s="148"/>
      <c r="Z46" s="148"/>
      <c r="AA46" t="s">
        <v>7</v>
      </c>
      <c r="AB46" t="s">
        <v>8</v>
      </c>
      <c r="AC46" s="148"/>
      <c r="AD46" s="148"/>
      <c r="AE46" s="148"/>
      <c r="AF46" s="148"/>
      <c r="AG46" t="s">
        <v>6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 spans="1:51" s="64" customFormat="1" x14ac:dyDescent="0.2">
      <c r="A47" s="106" t="s">
        <v>593</v>
      </c>
      <c r="B47" s="67" t="s">
        <v>808</v>
      </c>
      <c r="C47">
        <v>9</v>
      </c>
      <c r="D47" s="109" t="s">
        <v>594</v>
      </c>
      <c r="E47" s="152"/>
      <c r="F47">
        <v>11</v>
      </c>
      <c r="G47" t="s">
        <v>1244</v>
      </c>
      <c r="H47" t="s">
        <v>2201</v>
      </c>
      <c r="I47" s="64">
        <v>28</v>
      </c>
      <c r="J47" t="s">
        <v>13</v>
      </c>
      <c r="K47" s="64">
        <v>1</v>
      </c>
      <c r="N47">
        <v>1</v>
      </c>
      <c r="P47"/>
      <c r="T47">
        <v>33</v>
      </c>
      <c r="Y47" s="148"/>
      <c r="Z47" s="148"/>
      <c r="AA47" t="s">
        <v>2202</v>
      </c>
      <c r="AB47" t="s">
        <v>2203</v>
      </c>
      <c r="AC47" s="148">
        <v>1</v>
      </c>
      <c r="AD47" s="148"/>
      <c r="AE47" s="148"/>
      <c r="AF47" s="148">
        <v>1</v>
      </c>
      <c r="AG47" t="s">
        <v>733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 spans="1:51" ht="19" customHeight="1" x14ac:dyDescent="0.2">
      <c r="A48" s="106" t="s">
        <v>593</v>
      </c>
      <c r="B48" s="67" t="s">
        <v>808</v>
      </c>
      <c r="C48">
        <v>9</v>
      </c>
      <c r="D48" s="109" t="s">
        <v>594</v>
      </c>
      <c r="E48" s="7"/>
      <c r="G48" t="s">
        <v>1244</v>
      </c>
      <c r="H48" t="s">
        <v>2204</v>
      </c>
      <c r="I48" s="64">
        <v>29</v>
      </c>
      <c r="J48">
        <v>1</v>
      </c>
      <c r="N48" t="s">
        <v>18</v>
      </c>
      <c r="O48">
        <v>1</v>
      </c>
      <c r="T48">
        <v>27</v>
      </c>
      <c r="Y48" s="5"/>
      <c r="Z48" s="5"/>
      <c r="AA48" t="s">
        <v>50</v>
      </c>
      <c r="AB48" t="s">
        <v>20</v>
      </c>
      <c r="AC48" s="5"/>
      <c r="AD48" s="5"/>
      <c r="AE48" s="7"/>
      <c r="AF48" s="7">
        <v>1</v>
      </c>
      <c r="AG48" t="s">
        <v>49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106" t="s">
        <v>593</v>
      </c>
      <c r="B49" s="67" t="s">
        <v>808</v>
      </c>
      <c r="C49">
        <v>9</v>
      </c>
      <c r="D49" s="109" t="s">
        <v>594</v>
      </c>
      <c r="E49" s="7"/>
      <c r="G49" t="s">
        <v>1244</v>
      </c>
      <c r="H49" t="s">
        <v>2205</v>
      </c>
      <c r="I49">
        <v>30</v>
      </c>
      <c r="J49" t="s">
        <v>19</v>
      </c>
      <c r="L49">
        <v>1</v>
      </c>
      <c r="N49" t="s">
        <v>22</v>
      </c>
      <c r="P49">
        <v>1</v>
      </c>
      <c r="T49">
        <v>3</v>
      </c>
      <c r="Y49" s="7"/>
      <c r="Z49" s="7"/>
      <c r="AA49" t="s">
        <v>20</v>
      </c>
      <c r="AB49" t="s">
        <v>20</v>
      </c>
      <c r="AC49" s="7"/>
      <c r="AD49" s="7"/>
      <c r="AE49" s="7"/>
      <c r="AF49" s="7">
        <v>1</v>
      </c>
      <c r="AG49" t="s">
        <v>49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106" t="s">
        <v>593</v>
      </c>
      <c r="B50" s="67" t="s">
        <v>808</v>
      </c>
      <c r="C50">
        <v>9</v>
      </c>
      <c r="D50" s="109" t="s">
        <v>594</v>
      </c>
      <c r="E50" s="7"/>
      <c r="G50" t="s">
        <v>448</v>
      </c>
      <c r="H50" t="s">
        <v>174</v>
      </c>
      <c r="J50">
        <v>1</v>
      </c>
      <c r="N50" t="s">
        <v>26</v>
      </c>
      <c r="S50">
        <v>1</v>
      </c>
      <c r="T50">
        <v>28</v>
      </c>
      <c r="Y50" s="7"/>
      <c r="Z50" s="7"/>
      <c r="AA50" t="s">
        <v>344</v>
      </c>
      <c r="AB50" t="s">
        <v>29</v>
      </c>
      <c r="AC50" s="7">
        <v>1</v>
      </c>
      <c r="AD50" s="7"/>
      <c r="AE50" s="7"/>
      <c r="AF50" s="7"/>
      <c r="AG50" t="s">
        <v>1463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106" t="s">
        <v>593</v>
      </c>
      <c r="B51" s="67" t="s">
        <v>808</v>
      </c>
      <c r="D51" s="109" t="s">
        <v>594</v>
      </c>
      <c r="E51" s="7"/>
      <c r="H51">
        <v>4</v>
      </c>
      <c r="I51" s="64"/>
      <c r="Y51" s="7"/>
      <c r="Z51" s="7"/>
      <c r="AC51" s="7"/>
      <c r="AD51" s="7"/>
      <c r="AE51" s="7"/>
      <c r="AF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106" t="s">
        <v>593</v>
      </c>
      <c r="B52" s="67" t="s">
        <v>808</v>
      </c>
      <c r="D52" s="109" t="s">
        <v>594</v>
      </c>
      <c r="E52" s="7"/>
      <c r="G52" t="s">
        <v>1</v>
      </c>
      <c r="H52" t="s">
        <v>0</v>
      </c>
      <c r="I52" s="64"/>
      <c r="J52" t="s">
        <v>3</v>
      </c>
      <c r="N52" t="s">
        <v>2</v>
      </c>
      <c r="T52" t="s">
        <v>5</v>
      </c>
      <c r="Y52" s="7"/>
      <c r="Z52" s="7"/>
      <c r="AA52" t="s">
        <v>7</v>
      </c>
      <c r="AB52" t="s">
        <v>8</v>
      </c>
      <c r="AC52" s="7"/>
      <c r="AD52" s="7"/>
      <c r="AE52" s="7"/>
      <c r="AF52" s="7"/>
      <c r="AG52" t="s">
        <v>6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s="55" customFormat="1" ht="17.5" customHeight="1" x14ac:dyDescent="0.2">
      <c r="A53" s="248" t="s">
        <v>593</v>
      </c>
      <c r="B53" s="249" t="s">
        <v>808</v>
      </c>
      <c r="C53" s="55">
        <v>10</v>
      </c>
      <c r="D53" s="250" t="s">
        <v>594</v>
      </c>
      <c r="E53" s="227"/>
      <c r="F53" s="55">
        <v>13</v>
      </c>
      <c r="G53" s="55" t="s">
        <v>124</v>
      </c>
      <c r="H53" s="55" t="s">
        <v>2206</v>
      </c>
      <c r="I53">
        <v>31</v>
      </c>
      <c r="J53" s="55">
        <v>1</v>
      </c>
      <c r="N53" s="55">
        <v>1</v>
      </c>
      <c r="T53" s="55">
        <v>48</v>
      </c>
      <c r="Y53" s="227"/>
      <c r="Z53" s="227"/>
      <c r="AA53" s="55" t="s">
        <v>50</v>
      </c>
      <c r="AB53" s="55" t="s">
        <v>20</v>
      </c>
      <c r="AC53" s="227"/>
      <c r="AD53" s="227"/>
      <c r="AE53" s="227"/>
      <c r="AF53" s="227">
        <v>1</v>
      </c>
      <c r="AG53" s="55" t="s">
        <v>49</v>
      </c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</row>
    <row r="54" spans="1:51" ht="17.5" customHeight="1" x14ac:dyDescent="0.2">
      <c r="A54" s="106" t="s">
        <v>593</v>
      </c>
      <c r="B54" s="67" t="s">
        <v>808</v>
      </c>
      <c r="C54">
        <v>10</v>
      </c>
      <c r="D54" s="109" t="s">
        <v>594</v>
      </c>
      <c r="E54" s="7"/>
      <c r="G54" t="s">
        <v>2207</v>
      </c>
      <c r="H54" t="s">
        <v>1089</v>
      </c>
      <c r="I54">
        <v>32</v>
      </c>
      <c r="J54">
        <v>1</v>
      </c>
      <c r="N54" t="s">
        <v>243</v>
      </c>
      <c r="P54">
        <v>1</v>
      </c>
      <c r="T54">
        <v>32</v>
      </c>
      <c r="Y54" s="7"/>
      <c r="Z54" s="7"/>
      <c r="AA54" t="s">
        <v>344</v>
      </c>
      <c r="AB54" t="s">
        <v>29</v>
      </c>
      <c r="AC54" s="7">
        <v>1</v>
      </c>
      <c r="AD54" s="7"/>
      <c r="AE54" s="7"/>
      <c r="AF54" s="7"/>
      <c r="AG54" t="s">
        <v>666</v>
      </c>
      <c r="AH54" s="7"/>
      <c r="AI54" s="7"/>
      <c r="AJ54" s="7"/>
      <c r="AK54" s="7" t="s">
        <v>2241</v>
      </c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106"/>
      <c r="B55" s="67"/>
      <c r="D55" s="109"/>
      <c r="E55" s="7"/>
      <c r="H55">
        <v>2</v>
      </c>
      <c r="Y55" s="7"/>
      <c r="Z55" s="7"/>
      <c r="AC55" s="7"/>
      <c r="AD55" s="7"/>
      <c r="AE55" s="7"/>
      <c r="AF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106" t="s">
        <v>593</v>
      </c>
      <c r="B56" s="67" t="s">
        <v>808</v>
      </c>
      <c r="D56" s="109" t="s">
        <v>594</v>
      </c>
      <c r="E56" s="7"/>
      <c r="G56" t="s">
        <v>1</v>
      </c>
      <c r="H56" t="s">
        <v>0</v>
      </c>
      <c r="I56">
        <v>33</v>
      </c>
      <c r="J56" t="s">
        <v>3</v>
      </c>
      <c r="N56" t="s">
        <v>2</v>
      </c>
      <c r="T56" t="s">
        <v>5</v>
      </c>
      <c r="Y56" s="7"/>
      <c r="Z56" s="7"/>
      <c r="AA56" t="s">
        <v>7</v>
      </c>
      <c r="AB56" t="s">
        <v>8</v>
      </c>
      <c r="AC56" s="7"/>
      <c r="AD56" s="7"/>
      <c r="AE56" s="7"/>
      <c r="AF56" s="7"/>
      <c r="AG56" t="s">
        <v>6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" customHeight="1" x14ac:dyDescent="0.2">
      <c r="A57" s="106" t="s">
        <v>593</v>
      </c>
      <c r="B57" s="67" t="s">
        <v>808</v>
      </c>
      <c r="C57">
        <v>11</v>
      </c>
      <c r="D57" s="109" t="s">
        <v>594</v>
      </c>
      <c r="E57" s="7"/>
      <c r="F57">
        <v>14</v>
      </c>
      <c r="G57" t="s">
        <v>2209</v>
      </c>
      <c r="H57" t="s">
        <v>2208</v>
      </c>
      <c r="I57">
        <v>34</v>
      </c>
      <c r="J57" t="s">
        <v>13</v>
      </c>
      <c r="K57">
        <v>1</v>
      </c>
      <c r="N57">
        <v>1</v>
      </c>
      <c r="T57">
        <v>55</v>
      </c>
      <c r="Y57" s="7">
        <f t="shared" ref="Y57:AD57" si="0">SUM(Y48:Y56)</f>
        <v>0</v>
      </c>
      <c r="Z57" s="7">
        <f t="shared" si="0"/>
        <v>0</v>
      </c>
      <c r="AA57" t="s">
        <v>2210</v>
      </c>
      <c r="AB57" t="s">
        <v>20</v>
      </c>
      <c r="AC57" s="7">
        <v>1</v>
      </c>
      <c r="AD57" s="7">
        <f t="shared" si="0"/>
        <v>0</v>
      </c>
      <c r="AE57" s="7"/>
      <c r="AF57" s="7">
        <v>1</v>
      </c>
      <c r="AG57" t="s">
        <v>14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106" t="s">
        <v>593</v>
      </c>
      <c r="B58" s="67" t="s">
        <v>808</v>
      </c>
      <c r="C58">
        <v>11</v>
      </c>
      <c r="D58" s="109" t="s">
        <v>594</v>
      </c>
      <c r="E58" s="7"/>
      <c r="G58" t="s">
        <v>2209</v>
      </c>
      <c r="H58" t="s">
        <v>2211</v>
      </c>
      <c r="I58">
        <v>35</v>
      </c>
      <c r="J58">
        <v>1</v>
      </c>
      <c r="N58" t="s">
        <v>18</v>
      </c>
      <c r="O58">
        <v>1</v>
      </c>
      <c r="T58">
        <v>56</v>
      </c>
      <c r="Y58" s="7"/>
      <c r="Z58" s="7"/>
      <c r="AA58" t="s">
        <v>50</v>
      </c>
      <c r="AB58" t="s">
        <v>20</v>
      </c>
      <c r="AC58" s="7"/>
      <c r="AD58" s="7"/>
      <c r="AE58" s="7"/>
      <c r="AF58" s="7"/>
      <c r="AG58" t="s">
        <v>2015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106" t="s">
        <v>593</v>
      </c>
      <c r="B59" s="67" t="s">
        <v>808</v>
      </c>
      <c r="C59">
        <v>11</v>
      </c>
      <c r="D59" s="109" t="s">
        <v>594</v>
      </c>
      <c r="E59" s="7"/>
      <c r="G59" t="s">
        <v>2213</v>
      </c>
      <c r="H59" t="s">
        <v>2212</v>
      </c>
      <c r="I59">
        <v>36</v>
      </c>
      <c r="J59">
        <v>1</v>
      </c>
      <c r="N59" t="s">
        <v>26</v>
      </c>
      <c r="S59">
        <v>1</v>
      </c>
      <c r="T59">
        <v>37</v>
      </c>
      <c r="Y59" s="7"/>
      <c r="Z59" s="7"/>
      <c r="AA59" t="s">
        <v>33</v>
      </c>
      <c r="AB59" t="s">
        <v>29</v>
      </c>
      <c r="AC59" s="7">
        <v>1</v>
      </c>
      <c r="AD59" s="7"/>
      <c r="AE59" s="7"/>
      <c r="AF59" s="7"/>
      <c r="AG59" t="s">
        <v>20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106" t="s">
        <v>593</v>
      </c>
      <c r="B60" s="67" t="s">
        <v>808</v>
      </c>
      <c r="C60">
        <v>11</v>
      </c>
      <c r="D60" s="109" t="s">
        <v>594</v>
      </c>
      <c r="E60" s="11"/>
      <c r="G60" t="s">
        <v>2215</v>
      </c>
      <c r="H60" t="s">
        <v>2214</v>
      </c>
      <c r="I60">
        <v>37</v>
      </c>
      <c r="J60">
        <v>1</v>
      </c>
      <c r="N60" t="s">
        <v>26</v>
      </c>
      <c r="S60">
        <v>1</v>
      </c>
      <c r="T60">
        <v>24</v>
      </c>
      <c r="Y60" s="12"/>
      <c r="Z60" s="12"/>
      <c r="AA60" t="s">
        <v>360</v>
      </c>
      <c r="AB60" t="s">
        <v>29</v>
      </c>
      <c r="AC60" s="12">
        <v>1</v>
      </c>
      <c r="AD60" s="12"/>
      <c r="AE60" s="7"/>
      <c r="AF60" s="7"/>
      <c r="AG60" t="s">
        <v>368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28" customHeight="1" x14ac:dyDescent="0.2">
      <c r="A61" s="106" t="s">
        <v>593</v>
      </c>
      <c r="B61" s="67" t="s">
        <v>808</v>
      </c>
      <c r="D61" s="109" t="s">
        <v>594</v>
      </c>
      <c r="E61" s="11"/>
      <c r="H61">
        <v>4</v>
      </c>
      <c r="Y61" s="12"/>
      <c r="Z61" s="12"/>
      <c r="AC61" s="12"/>
      <c r="AD61" s="11"/>
      <c r="AE61" s="7"/>
      <c r="AF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106" t="s">
        <v>593</v>
      </c>
      <c r="B62" s="67" t="s">
        <v>808</v>
      </c>
      <c r="D62" s="109" t="s">
        <v>594</v>
      </c>
      <c r="E62" s="7"/>
      <c r="G62" t="s">
        <v>1</v>
      </c>
      <c r="H62" t="s">
        <v>0</v>
      </c>
      <c r="J62" t="s">
        <v>3</v>
      </c>
      <c r="N62" t="s">
        <v>2</v>
      </c>
      <c r="T62" t="s">
        <v>5</v>
      </c>
      <c r="Y62" s="7"/>
      <c r="Z62" s="7"/>
      <c r="AA62" t="s">
        <v>7</v>
      </c>
      <c r="AB62" t="s">
        <v>8</v>
      </c>
      <c r="AC62" s="7"/>
      <c r="AD62" s="7"/>
      <c r="AE62" s="7"/>
      <c r="AF62" s="7"/>
      <c r="AG62" t="s">
        <v>6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A63" s="106" t="s">
        <v>593</v>
      </c>
      <c r="B63" s="67" t="s">
        <v>808</v>
      </c>
      <c r="C63">
        <v>12</v>
      </c>
      <c r="D63" s="109" t="s">
        <v>594</v>
      </c>
      <c r="E63" s="7"/>
      <c r="F63">
        <v>15</v>
      </c>
      <c r="G63" t="s">
        <v>2216</v>
      </c>
      <c r="H63" t="s">
        <v>935</v>
      </c>
      <c r="I63">
        <v>38</v>
      </c>
      <c r="J63">
        <v>1</v>
      </c>
      <c r="N63" t="s">
        <v>910</v>
      </c>
      <c r="R63">
        <v>1</v>
      </c>
      <c r="T63">
        <v>53</v>
      </c>
      <c r="Y63" s="7"/>
      <c r="Z63" s="7"/>
      <c r="AA63" t="s">
        <v>50</v>
      </c>
      <c r="AB63" t="s">
        <v>20</v>
      </c>
      <c r="AC63" s="7"/>
      <c r="AD63" s="7"/>
      <c r="AE63" s="7"/>
      <c r="AF63" s="7">
        <v>1</v>
      </c>
      <c r="AG63" t="s">
        <v>14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.5" customHeight="1" x14ac:dyDescent="0.2">
      <c r="A64" s="106" t="s">
        <v>593</v>
      </c>
      <c r="B64" s="67" t="s">
        <v>808</v>
      </c>
      <c r="C64">
        <v>12</v>
      </c>
      <c r="D64" s="109" t="s">
        <v>594</v>
      </c>
      <c r="E64" s="7"/>
      <c r="G64" t="s">
        <v>2216</v>
      </c>
      <c r="H64" t="s">
        <v>2114</v>
      </c>
      <c r="I64">
        <v>39</v>
      </c>
      <c r="J64">
        <v>1</v>
      </c>
      <c r="N64" t="s">
        <v>22</v>
      </c>
      <c r="P64">
        <v>1</v>
      </c>
      <c r="T64">
        <v>20</v>
      </c>
      <c r="Y64" s="7"/>
      <c r="Z64" s="7"/>
      <c r="AA64" t="s">
        <v>1630</v>
      </c>
      <c r="AB64" t="s">
        <v>20</v>
      </c>
      <c r="AC64" s="7"/>
      <c r="AD64" s="7"/>
      <c r="AE64" s="7"/>
      <c r="AF64" s="7">
        <v>1</v>
      </c>
      <c r="AG64" t="s">
        <v>14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106" t="s">
        <v>593</v>
      </c>
      <c r="B65" s="67" t="s">
        <v>808</v>
      </c>
      <c r="C65">
        <v>12</v>
      </c>
      <c r="D65" s="109" t="s">
        <v>594</v>
      </c>
      <c r="E65" s="7"/>
      <c r="G65" t="s">
        <v>2216</v>
      </c>
      <c r="H65" t="s">
        <v>2217</v>
      </c>
      <c r="I65">
        <v>40</v>
      </c>
      <c r="J65">
        <v>1</v>
      </c>
      <c r="N65" t="s">
        <v>22</v>
      </c>
      <c r="P65">
        <v>1</v>
      </c>
      <c r="T65">
        <v>17</v>
      </c>
      <c r="Y65" s="7"/>
      <c r="Z65" s="7"/>
      <c r="AA65" t="s">
        <v>1630</v>
      </c>
      <c r="AB65" t="s">
        <v>20</v>
      </c>
      <c r="AC65" s="7"/>
      <c r="AD65" s="7"/>
      <c r="AE65" s="7"/>
      <c r="AF65" s="7">
        <v>1</v>
      </c>
      <c r="AG65" t="s">
        <v>14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106" t="s">
        <v>593</v>
      </c>
      <c r="B66" s="67" t="s">
        <v>808</v>
      </c>
      <c r="C66">
        <v>12</v>
      </c>
      <c r="D66" s="109" t="s">
        <v>594</v>
      </c>
      <c r="E66" s="7"/>
      <c r="G66" t="s">
        <v>2218</v>
      </c>
      <c r="H66" t="s">
        <v>170</v>
      </c>
      <c r="I66">
        <v>41</v>
      </c>
      <c r="J66">
        <v>1</v>
      </c>
      <c r="N66" t="s">
        <v>144</v>
      </c>
      <c r="R66">
        <v>1</v>
      </c>
      <c r="T66">
        <v>51</v>
      </c>
      <c r="Y66" s="7"/>
      <c r="Z66" s="7"/>
      <c r="AA66" t="s">
        <v>50</v>
      </c>
      <c r="AB66" t="s">
        <v>20</v>
      </c>
      <c r="AC66" s="7"/>
      <c r="AD66" s="7"/>
      <c r="AE66" s="7"/>
      <c r="AF66" s="7">
        <v>1</v>
      </c>
      <c r="AG66" t="s">
        <v>14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.5" customHeight="1" x14ac:dyDescent="0.2">
      <c r="A67" s="106" t="s">
        <v>593</v>
      </c>
      <c r="B67" s="67" t="s">
        <v>808</v>
      </c>
      <c r="D67" s="109" t="s">
        <v>594</v>
      </c>
      <c r="E67" s="7"/>
      <c r="H67">
        <v>4</v>
      </c>
      <c r="Y67" s="7"/>
      <c r="Z67" s="7"/>
      <c r="AC67" s="7"/>
      <c r="AD67" s="7"/>
      <c r="AE67" s="7"/>
      <c r="AF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106" t="s">
        <v>593</v>
      </c>
      <c r="B68" s="67" t="s">
        <v>808</v>
      </c>
      <c r="D68" s="109" t="s">
        <v>594</v>
      </c>
      <c r="E68" s="7"/>
      <c r="G68" t="s">
        <v>1</v>
      </c>
      <c r="H68" t="s">
        <v>0</v>
      </c>
      <c r="J68" t="s">
        <v>3</v>
      </c>
      <c r="N68" t="s">
        <v>2</v>
      </c>
      <c r="T68" t="s">
        <v>5</v>
      </c>
      <c r="Y68" s="7"/>
      <c r="Z68" s="7"/>
      <c r="AA68" t="s">
        <v>7</v>
      </c>
      <c r="AB68" t="s">
        <v>8</v>
      </c>
      <c r="AC68" s="7"/>
      <c r="AD68" s="7"/>
      <c r="AE68" s="7"/>
      <c r="AF68" s="7"/>
      <c r="AG68" t="s">
        <v>6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.5" customHeight="1" x14ac:dyDescent="0.2">
      <c r="A69" s="106" t="s">
        <v>593</v>
      </c>
      <c r="B69" s="67" t="s">
        <v>808</v>
      </c>
      <c r="C69">
        <v>13</v>
      </c>
      <c r="D69" s="109" t="s">
        <v>594</v>
      </c>
      <c r="E69" s="7"/>
      <c r="F69">
        <v>16</v>
      </c>
      <c r="G69" t="s">
        <v>2219</v>
      </c>
      <c r="H69" t="s">
        <v>1700</v>
      </c>
      <c r="I69">
        <v>42</v>
      </c>
      <c r="J69" t="s">
        <v>13</v>
      </c>
      <c r="K69">
        <v>1</v>
      </c>
      <c r="N69">
        <v>1</v>
      </c>
      <c r="T69">
        <v>58</v>
      </c>
      <c r="Y69" s="7"/>
      <c r="Z69" s="7"/>
      <c r="AA69" t="s">
        <v>2220</v>
      </c>
      <c r="AB69" t="s">
        <v>8</v>
      </c>
      <c r="AC69" s="7">
        <v>1</v>
      </c>
      <c r="AD69" s="7"/>
      <c r="AE69" s="7"/>
      <c r="AF69" s="7"/>
      <c r="AG69" t="s">
        <v>1458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" customHeight="1" x14ac:dyDescent="0.2">
      <c r="A70" s="106" t="s">
        <v>593</v>
      </c>
      <c r="B70" s="67" t="s">
        <v>808</v>
      </c>
      <c r="C70">
        <v>13</v>
      </c>
      <c r="D70" s="109" t="s">
        <v>594</v>
      </c>
      <c r="E70" s="7"/>
      <c r="G70" t="s">
        <v>2219</v>
      </c>
      <c r="H70" t="s">
        <v>2221</v>
      </c>
      <c r="I70">
        <v>43</v>
      </c>
      <c r="J70">
        <v>1</v>
      </c>
      <c r="N70" t="s">
        <v>18</v>
      </c>
      <c r="O70">
        <v>1</v>
      </c>
      <c r="T70">
        <v>60</v>
      </c>
      <c r="Y70" s="7"/>
      <c r="Z70" s="7"/>
      <c r="AA70" t="s">
        <v>20</v>
      </c>
      <c r="AB70" t="s">
        <v>20</v>
      </c>
      <c r="AC70" s="7"/>
      <c r="AD70" s="7"/>
      <c r="AE70" s="7"/>
      <c r="AF70" s="7"/>
      <c r="AG70" t="s">
        <v>2222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.5" customHeight="1" x14ac:dyDescent="0.2">
      <c r="A71" s="106" t="s">
        <v>593</v>
      </c>
      <c r="B71" s="67" t="s">
        <v>808</v>
      </c>
      <c r="C71">
        <v>13</v>
      </c>
      <c r="D71" s="109" t="s">
        <v>594</v>
      </c>
      <c r="E71" s="7"/>
      <c r="G71" t="s">
        <v>2219</v>
      </c>
      <c r="H71" t="s">
        <v>2223</v>
      </c>
      <c r="I71">
        <v>44</v>
      </c>
      <c r="J71" t="s">
        <v>13</v>
      </c>
      <c r="K71">
        <v>1</v>
      </c>
      <c r="N71" t="s">
        <v>51</v>
      </c>
      <c r="Q71">
        <v>1</v>
      </c>
      <c r="T71">
        <v>26</v>
      </c>
      <c r="Y71" s="7"/>
      <c r="Z71" s="7"/>
      <c r="AA71" t="s">
        <v>2224</v>
      </c>
      <c r="AB71" t="s">
        <v>2225</v>
      </c>
      <c r="AC71" s="7">
        <v>1</v>
      </c>
      <c r="AD71" s="7"/>
      <c r="AE71" s="7"/>
      <c r="AF71" s="7">
        <v>1</v>
      </c>
      <c r="AG71" t="s">
        <v>49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.5" customHeight="1" x14ac:dyDescent="0.2">
      <c r="A72" s="106" t="s">
        <v>593</v>
      </c>
      <c r="B72" s="67" t="s">
        <v>808</v>
      </c>
      <c r="C72">
        <v>13</v>
      </c>
      <c r="D72" s="109" t="s">
        <v>594</v>
      </c>
      <c r="E72" s="7"/>
      <c r="G72" t="s">
        <v>914</v>
      </c>
      <c r="H72" t="s">
        <v>2226</v>
      </c>
      <c r="I72">
        <v>45</v>
      </c>
      <c r="J72">
        <v>1</v>
      </c>
      <c r="N72" t="s">
        <v>26</v>
      </c>
      <c r="S72">
        <v>1</v>
      </c>
      <c r="T72">
        <v>21</v>
      </c>
      <c r="Y72" s="7"/>
      <c r="Z72" s="7"/>
      <c r="AA72" t="s">
        <v>1619</v>
      </c>
      <c r="AB72" t="s">
        <v>2228</v>
      </c>
      <c r="AC72" s="7">
        <v>1</v>
      </c>
      <c r="AD72" s="7"/>
      <c r="AE72" s="7"/>
      <c r="AF72" s="7"/>
      <c r="AG72" t="s">
        <v>2227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7.5" customHeight="1" x14ac:dyDescent="0.2">
      <c r="A73" s="106" t="s">
        <v>593</v>
      </c>
      <c r="B73" s="67" t="s">
        <v>808</v>
      </c>
      <c r="C73">
        <v>13</v>
      </c>
      <c r="D73" s="109" t="s">
        <v>594</v>
      </c>
      <c r="E73" s="7"/>
      <c r="G73" t="s">
        <v>914</v>
      </c>
      <c r="H73" t="s">
        <v>2229</v>
      </c>
      <c r="I73">
        <v>46</v>
      </c>
      <c r="J73">
        <v>1</v>
      </c>
      <c r="N73" t="s">
        <v>26</v>
      </c>
      <c r="S73">
        <v>1</v>
      </c>
      <c r="T73">
        <v>15</v>
      </c>
      <c r="Y73" s="7"/>
      <c r="Z73" s="7"/>
      <c r="AA73" t="s">
        <v>1619</v>
      </c>
      <c r="AB73" t="s">
        <v>2228</v>
      </c>
      <c r="AC73" s="7">
        <v>1</v>
      </c>
      <c r="AD73" s="7"/>
      <c r="AE73" s="7"/>
      <c r="AF73" s="7"/>
      <c r="AG73" t="s">
        <v>2227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.5" customHeight="1" x14ac:dyDescent="0.2">
      <c r="A74" s="106" t="s">
        <v>593</v>
      </c>
      <c r="B74" s="67" t="s">
        <v>808</v>
      </c>
      <c r="D74" s="109" t="s">
        <v>594</v>
      </c>
      <c r="E74" s="7"/>
      <c r="H74">
        <v>5</v>
      </c>
      <c r="Y74" s="7"/>
      <c r="Z74" s="7"/>
      <c r="AC74" s="7"/>
      <c r="AD74" s="7"/>
      <c r="AE74" s="7"/>
      <c r="AF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106" t="s">
        <v>593</v>
      </c>
      <c r="B75" s="67" t="s">
        <v>808</v>
      </c>
      <c r="D75" s="109" t="s">
        <v>594</v>
      </c>
      <c r="E75" s="7"/>
      <c r="G75" t="s">
        <v>1</v>
      </c>
      <c r="H75" t="s">
        <v>0</v>
      </c>
      <c r="J75" t="s">
        <v>3</v>
      </c>
      <c r="N75" t="s">
        <v>2</v>
      </c>
      <c r="T75" t="s">
        <v>5</v>
      </c>
      <c r="Y75" s="7"/>
      <c r="Z75" s="7"/>
      <c r="AA75" t="s">
        <v>7</v>
      </c>
      <c r="AB75" t="s">
        <v>8</v>
      </c>
      <c r="AC75" s="7"/>
      <c r="AD75" s="7"/>
      <c r="AE75" s="7"/>
      <c r="AF75" s="7"/>
      <c r="AG75" t="s">
        <v>6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.5" customHeight="1" x14ac:dyDescent="0.2">
      <c r="A76" s="106" t="s">
        <v>593</v>
      </c>
      <c r="B76" s="67" t="s">
        <v>808</v>
      </c>
      <c r="C76">
        <v>14</v>
      </c>
      <c r="D76" s="109" t="s">
        <v>594</v>
      </c>
      <c r="E76" s="7"/>
      <c r="F76">
        <v>17</v>
      </c>
      <c r="G76" t="s">
        <v>2230</v>
      </c>
      <c r="H76" t="s">
        <v>464</v>
      </c>
      <c r="I76">
        <v>47</v>
      </c>
      <c r="J76" t="s">
        <v>13</v>
      </c>
      <c r="K76">
        <v>1</v>
      </c>
      <c r="N76">
        <v>1</v>
      </c>
      <c r="T76">
        <v>59</v>
      </c>
      <c r="Y76" s="7"/>
      <c r="Z76" s="7"/>
      <c r="AA76" t="s">
        <v>2231</v>
      </c>
      <c r="AB76" t="s">
        <v>20</v>
      </c>
      <c r="AC76" s="7">
        <v>1</v>
      </c>
      <c r="AD76" s="7"/>
      <c r="AE76" s="7"/>
      <c r="AF76" s="7">
        <v>1</v>
      </c>
      <c r="AG76" t="s">
        <v>14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106" t="s">
        <v>593</v>
      </c>
      <c r="B77" s="67" t="s">
        <v>808</v>
      </c>
      <c r="C77">
        <v>14</v>
      </c>
      <c r="D77" s="109" t="s">
        <v>594</v>
      </c>
      <c r="E77" s="7"/>
      <c r="G77" t="s">
        <v>2230</v>
      </c>
      <c r="H77" t="s">
        <v>2232</v>
      </c>
      <c r="I77">
        <v>48</v>
      </c>
      <c r="J77">
        <v>1</v>
      </c>
      <c r="N77" t="s">
        <v>18</v>
      </c>
      <c r="O77">
        <v>1</v>
      </c>
      <c r="T77">
        <v>59</v>
      </c>
      <c r="Y77" s="7"/>
      <c r="Z77" s="7"/>
      <c r="AA77" t="s">
        <v>50</v>
      </c>
      <c r="AB77" t="s">
        <v>20</v>
      </c>
      <c r="AC77" s="7"/>
      <c r="AD77" s="7"/>
      <c r="AE77" s="7"/>
      <c r="AF77" s="7">
        <v>1</v>
      </c>
      <c r="AG77" t="s">
        <v>14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" customHeight="1" x14ac:dyDescent="0.2">
      <c r="A78" s="106" t="s">
        <v>593</v>
      </c>
      <c r="B78" s="67" t="s">
        <v>808</v>
      </c>
      <c r="C78">
        <v>14</v>
      </c>
      <c r="D78" s="109" t="s">
        <v>594</v>
      </c>
      <c r="E78" s="7"/>
      <c r="G78" t="s">
        <v>2230</v>
      </c>
      <c r="H78" t="s">
        <v>2233</v>
      </c>
      <c r="I78">
        <v>49</v>
      </c>
      <c r="J78">
        <v>1</v>
      </c>
      <c r="N78" t="s">
        <v>22</v>
      </c>
      <c r="P78">
        <v>1</v>
      </c>
      <c r="T78">
        <v>29</v>
      </c>
      <c r="Y78" s="7"/>
      <c r="Z78" s="7">
        <f>SUM(Z48:Z77)</f>
        <v>0</v>
      </c>
      <c r="AA78" t="s">
        <v>2234</v>
      </c>
      <c r="AB78" t="s">
        <v>20</v>
      </c>
      <c r="AC78" s="7">
        <v>1</v>
      </c>
      <c r="AD78" s="7">
        <f>SUM(AD48:AD77)</f>
        <v>0</v>
      </c>
      <c r="AE78" s="7"/>
      <c r="AF78" s="7">
        <v>1</v>
      </c>
      <c r="AG78" t="s">
        <v>14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" customHeight="1" x14ac:dyDescent="0.2">
      <c r="A79" s="106" t="s">
        <v>593</v>
      </c>
      <c r="B79" s="67" t="s">
        <v>808</v>
      </c>
      <c r="C79">
        <v>14</v>
      </c>
      <c r="D79" s="109" t="s">
        <v>594</v>
      </c>
      <c r="E79" s="7"/>
      <c r="G79" t="s">
        <v>451</v>
      </c>
      <c r="H79" t="s">
        <v>318</v>
      </c>
      <c r="I79">
        <v>50</v>
      </c>
      <c r="J79">
        <v>1</v>
      </c>
      <c r="N79" t="s">
        <v>26</v>
      </c>
      <c r="S79">
        <v>1</v>
      </c>
      <c r="T79">
        <v>18</v>
      </c>
      <c r="Y79" s="7"/>
      <c r="Z79" s="7"/>
      <c r="AA79" t="s">
        <v>20</v>
      </c>
      <c r="AB79" t="s">
        <v>20</v>
      </c>
      <c r="AC79" s="7"/>
      <c r="AD79" s="7"/>
      <c r="AE79" s="7"/>
      <c r="AF79" s="7">
        <v>1</v>
      </c>
      <c r="AG79" t="s">
        <v>14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7" customHeight="1" x14ac:dyDescent="0.2">
      <c r="A80" s="106" t="s">
        <v>593</v>
      </c>
      <c r="B80" s="67" t="s">
        <v>808</v>
      </c>
      <c r="D80" s="109" t="s">
        <v>594</v>
      </c>
      <c r="E80" s="7"/>
      <c r="H80">
        <v>4</v>
      </c>
      <c r="Y80" s="7"/>
      <c r="Z80" s="7"/>
      <c r="AC80" s="7"/>
      <c r="AD80" s="7"/>
      <c r="AE80" s="7"/>
      <c r="AF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.5" customHeight="1" x14ac:dyDescent="0.2">
      <c r="A81" s="106" t="s">
        <v>593</v>
      </c>
      <c r="B81" s="67" t="s">
        <v>808</v>
      </c>
      <c r="D81" s="109" t="s">
        <v>594</v>
      </c>
      <c r="E81" s="7"/>
      <c r="G81" t="s">
        <v>1</v>
      </c>
      <c r="H81" t="s">
        <v>0</v>
      </c>
      <c r="J81" t="s">
        <v>3</v>
      </c>
      <c r="N81" t="s">
        <v>2</v>
      </c>
      <c r="T81" t="s">
        <v>5</v>
      </c>
      <c r="Y81" s="7"/>
      <c r="Z81" s="7"/>
      <c r="AA81" t="s">
        <v>7</v>
      </c>
      <c r="AB81" t="s">
        <v>8</v>
      </c>
      <c r="AC81" s="7"/>
      <c r="AD81" s="7"/>
      <c r="AE81" s="7"/>
      <c r="AF81" s="7"/>
      <c r="AG81" t="s">
        <v>6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7" customHeight="1" x14ac:dyDescent="0.2">
      <c r="A82" s="106" t="s">
        <v>593</v>
      </c>
      <c r="B82" s="67" t="s">
        <v>808</v>
      </c>
      <c r="C82">
        <v>15</v>
      </c>
      <c r="D82" s="109" t="s">
        <v>594</v>
      </c>
      <c r="E82" s="7"/>
      <c r="F82">
        <v>19</v>
      </c>
      <c r="G82" t="s">
        <v>2236</v>
      </c>
      <c r="H82" t="s">
        <v>2235</v>
      </c>
      <c r="I82">
        <v>51</v>
      </c>
      <c r="J82" t="s">
        <v>13</v>
      </c>
      <c r="K82">
        <v>1</v>
      </c>
      <c r="N82">
        <v>1</v>
      </c>
      <c r="T82">
        <v>64</v>
      </c>
      <c r="Y82" s="7"/>
      <c r="Z82" s="7"/>
      <c r="AA82" t="s">
        <v>2237</v>
      </c>
      <c r="AB82" t="s">
        <v>20</v>
      </c>
      <c r="AC82" s="7">
        <v>1</v>
      </c>
      <c r="AD82" s="22"/>
      <c r="AE82" s="7"/>
      <c r="AF82" s="7">
        <v>1</v>
      </c>
      <c r="AG82" t="s">
        <v>49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7.5" customHeight="1" x14ac:dyDescent="0.2">
      <c r="A83" s="106" t="s">
        <v>593</v>
      </c>
      <c r="B83" s="67" t="s">
        <v>808</v>
      </c>
      <c r="C83">
        <v>15</v>
      </c>
      <c r="D83" s="109" t="s">
        <v>594</v>
      </c>
      <c r="E83" s="7"/>
      <c r="G83" t="s">
        <v>2236</v>
      </c>
      <c r="H83" t="s">
        <v>64</v>
      </c>
      <c r="I83">
        <v>52</v>
      </c>
      <c r="J83">
        <v>1</v>
      </c>
      <c r="N83" t="s">
        <v>18</v>
      </c>
      <c r="O83">
        <v>1</v>
      </c>
      <c r="T83">
        <v>62</v>
      </c>
      <c r="Y83" s="7"/>
      <c r="Z83" s="7"/>
      <c r="AA83" t="s">
        <v>50</v>
      </c>
      <c r="AB83" t="s">
        <v>20</v>
      </c>
      <c r="AC83" s="7"/>
      <c r="AD83" s="7"/>
      <c r="AE83" s="7"/>
      <c r="AF83" s="7">
        <v>1</v>
      </c>
      <c r="AG83" t="s">
        <v>49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">
      <c r="A84" s="106" t="s">
        <v>593</v>
      </c>
      <c r="B84" s="67" t="s">
        <v>808</v>
      </c>
      <c r="C84">
        <v>15</v>
      </c>
      <c r="D84" s="109" t="s">
        <v>594</v>
      </c>
      <c r="G84" t="s">
        <v>61</v>
      </c>
      <c r="H84" t="s">
        <v>2238</v>
      </c>
      <c r="I84">
        <v>53</v>
      </c>
      <c r="J84">
        <v>1</v>
      </c>
      <c r="N84" t="s">
        <v>26</v>
      </c>
      <c r="S84">
        <v>1</v>
      </c>
      <c r="T84">
        <v>35</v>
      </c>
      <c r="AA84" t="s">
        <v>137</v>
      </c>
      <c r="AB84" t="s">
        <v>29</v>
      </c>
      <c r="AC84">
        <v>1</v>
      </c>
      <c r="AF84" s="205">
        <v>1</v>
      </c>
      <c r="AG84" t="s">
        <v>14</v>
      </c>
    </row>
    <row r="85" spans="1:51" x14ac:dyDescent="0.2">
      <c r="A85" s="106" t="s">
        <v>593</v>
      </c>
      <c r="B85" s="67" t="s">
        <v>808</v>
      </c>
      <c r="C85">
        <v>15</v>
      </c>
      <c r="D85" s="109" t="s">
        <v>594</v>
      </c>
      <c r="G85" t="s">
        <v>2239</v>
      </c>
      <c r="H85" t="s">
        <v>44</v>
      </c>
      <c r="I85">
        <v>54</v>
      </c>
      <c r="J85">
        <v>1</v>
      </c>
      <c r="N85" t="s">
        <v>26</v>
      </c>
      <c r="S85">
        <v>1</v>
      </c>
      <c r="T85">
        <v>31</v>
      </c>
      <c r="AA85" t="s">
        <v>50</v>
      </c>
      <c r="AB85" t="s">
        <v>29</v>
      </c>
      <c r="AC85">
        <v>1</v>
      </c>
      <c r="AG85" t="s">
        <v>149</v>
      </c>
    </row>
    <row r="86" spans="1:51" x14ac:dyDescent="0.2">
      <c r="A86" s="106" t="s">
        <v>593</v>
      </c>
      <c r="B86" s="67" t="s">
        <v>808</v>
      </c>
      <c r="C86">
        <v>15</v>
      </c>
      <c r="D86" s="109" t="s">
        <v>594</v>
      </c>
      <c r="G86" t="s">
        <v>914</v>
      </c>
      <c r="H86" t="s">
        <v>2240</v>
      </c>
      <c r="I86">
        <v>55</v>
      </c>
      <c r="J86">
        <v>1</v>
      </c>
      <c r="N86" t="s">
        <v>26</v>
      </c>
      <c r="S86">
        <v>1</v>
      </c>
      <c r="T86">
        <v>23</v>
      </c>
      <c r="AA86" t="s">
        <v>33</v>
      </c>
      <c r="AB86" t="s">
        <v>29</v>
      </c>
      <c r="AC86">
        <v>1</v>
      </c>
      <c r="AG86" t="s">
        <v>276</v>
      </c>
    </row>
    <row r="87" spans="1:51" x14ac:dyDescent="0.2">
      <c r="A87" s="106" t="s">
        <v>593</v>
      </c>
      <c r="B87" s="67" t="s">
        <v>808</v>
      </c>
      <c r="D87" s="109" t="s">
        <v>594</v>
      </c>
      <c r="H87">
        <v>5</v>
      </c>
    </row>
    <row r="88" spans="1:51" x14ac:dyDescent="0.2">
      <c r="A88" s="106" t="s">
        <v>593</v>
      </c>
      <c r="B88" s="67" t="s">
        <v>808</v>
      </c>
      <c r="D88" s="109" t="s">
        <v>594</v>
      </c>
      <c r="H88" t="s">
        <v>0</v>
      </c>
      <c r="I88" t="s">
        <v>1</v>
      </c>
      <c r="J88" t="s">
        <v>2</v>
      </c>
      <c r="K88" t="s">
        <v>3</v>
      </c>
      <c r="L88" t="s">
        <v>4</v>
      </c>
      <c r="M88" t="s">
        <v>5</v>
      </c>
      <c r="N88" t="s">
        <v>6</v>
      </c>
      <c r="O88" t="s">
        <v>7</v>
      </c>
      <c r="P88" t="s">
        <v>8</v>
      </c>
    </row>
    <row r="89" spans="1:51" x14ac:dyDescent="0.2">
      <c r="A89" s="106" t="s">
        <v>593</v>
      </c>
      <c r="B89" s="67" t="s">
        <v>808</v>
      </c>
      <c r="C89">
        <v>16</v>
      </c>
      <c r="D89" s="109" t="s">
        <v>594</v>
      </c>
      <c r="E89" t="s">
        <v>2986</v>
      </c>
      <c r="G89" t="s">
        <v>2987</v>
      </c>
      <c r="H89" t="s">
        <v>386</v>
      </c>
      <c r="I89">
        <v>56</v>
      </c>
      <c r="J89" t="s">
        <v>13</v>
      </c>
      <c r="K89">
        <v>1</v>
      </c>
      <c r="N89" t="s">
        <v>20</v>
      </c>
      <c r="R89">
        <v>1</v>
      </c>
      <c r="T89">
        <v>27</v>
      </c>
      <c r="AA89" t="s">
        <v>2988</v>
      </c>
      <c r="AB89" t="s">
        <v>2989</v>
      </c>
      <c r="AC89">
        <v>1</v>
      </c>
      <c r="AG89" t="s">
        <v>2400</v>
      </c>
    </row>
    <row r="90" spans="1:51" x14ac:dyDescent="0.2">
      <c r="A90" s="106" t="s">
        <v>593</v>
      </c>
      <c r="B90" s="67" t="s">
        <v>808</v>
      </c>
      <c r="C90">
        <v>16</v>
      </c>
      <c r="D90" s="109" t="s">
        <v>594</v>
      </c>
      <c r="E90" t="s">
        <v>2986</v>
      </c>
      <c r="G90" t="s">
        <v>2990</v>
      </c>
      <c r="H90" t="s">
        <v>104</v>
      </c>
      <c r="I90">
        <v>57</v>
      </c>
      <c r="J90" t="s">
        <v>13</v>
      </c>
      <c r="K90">
        <v>1</v>
      </c>
      <c r="N90" t="s">
        <v>20</v>
      </c>
      <c r="R90">
        <v>1</v>
      </c>
      <c r="T90">
        <v>27</v>
      </c>
      <c r="AA90" t="s">
        <v>2988</v>
      </c>
      <c r="AB90" t="s">
        <v>2989</v>
      </c>
      <c r="AC90">
        <v>1</v>
      </c>
      <c r="AG90" t="s">
        <v>20</v>
      </c>
    </row>
    <row r="91" spans="1:51" x14ac:dyDescent="0.2">
      <c r="A91" s="106" t="s">
        <v>593</v>
      </c>
      <c r="B91" s="67" t="s">
        <v>808</v>
      </c>
      <c r="C91">
        <v>16</v>
      </c>
      <c r="D91" s="109" t="s">
        <v>594</v>
      </c>
      <c r="E91" t="s">
        <v>2986</v>
      </c>
      <c r="G91" t="s">
        <v>2991</v>
      </c>
      <c r="H91" t="s">
        <v>386</v>
      </c>
      <c r="I91">
        <v>58</v>
      </c>
      <c r="J91" t="s">
        <v>13</v>
      </c>
      <c r="K91">
        <v>1</v>
      </c>
      <c r="N91">
        <v>1</v>
      </c>
      <c r="T91">
        <v>31</v>
      </c>
      <c r="AA91" t="s">
        <v>2988</v>
      </c>
      <c r="AB91" t="s">
        <v>2989</v>
      </c>
      <c r="AC91">
        <v>1</v>
      </c>
      <c r="AG91" t="s">
        <v>2992</v>
      </c>
    </row>
    <row r="92" spans="1:51" x14ac:dyDescent="0.2">
      <c r="A92" s="106" t="s">
        <v>593</v>
      </c>
      <c r="B92" s="67" t="s">
        <v>808</v>
      </c>
      <c r="C92">
        <v>16</v>
      </c>
      <c r="D92" s="109" t="s">
        <v>594</v>
      </c>
      <c r="E92" t="s">
        <v>2986</v>
      </c>
      <c r="G92" t="s">
        <v>2746</v>
      </c>
      <c r="H92" t="s">
        <v>373</v>
      </c>
      <c r="I92">
        <v>59</v>
      </c>
      <c r="J92">
        <v>1</v>
      </c>
      <c r="N92" t="s">
        <v>20</v>
      </c>
      <c r="R92">
        <v>1</v>
      </c>
      <c r="T92">
        <v>27</v>
      </c>
      <c r="AA92" t="s">
        <v>2993</v>
      </c>
      <c r="AB92" t="s">
        <v>2994</v>
      </c>
      <c r="AC92">
        <v>1</v>
      </c>
      <c r="AG92" t="s">
        <v>167</v>
      </c>
    </row>
    <row r="93" spans="1:51" x14ac:dyDescent="0.2">
      <c r="A93" s="106" t="s">
        <v>593</v>
      </c>
      <c r="B93" s="67" t="s">
        <v>808</v>
      </c>
      <c r="C93">
        <v>16</v>
      </c>
      <c r="D93" s="109" t="s">
        <v>594</v>
      </c>
      <c r="E93" t="s">
        <v>2986</v>
      </c>
      <c r="G93" t="s">
        <v>2995</v>
      </c>
      <c r="H93" t="s">
        <v>386</v>
      </c>
      <c r="I93">
        <v>60</v>
      </c>
      <c r="J93" t="s">
        <v>13</v>
      </c>
      <c r="K93">
        <v>1</v>
      </c>
      <c r="N93" t="s">
        <v>20</v>
      </c>
      <c r="R93">
        <v>1</v>
      </c>
      <c r="T93">
        <v>29</v>
      </c>
      <c r="AA93" t="s">
        <v>2988</v>
      </c>
      <c r="AB93" t="s">
        <v>2989</v>
      </c>
      <c r="AC93">
        <v>1</v>
      </c>
      <c r="AG93" t="s">
        <v>43</v>
      </c>
    </row>
    <row r="94" spans="1:51" x14ac:dyDescent="0.2">
      <c r="A94" s="106" t="s">
        <v>593</v>
      </c>
      <c r="B94" s="67" t="s">
        <v>808</v>
      </c>
      <c r="C94">
        <v>16</v>
      </c>
      <c r="D94" s="109" t="s">
        <v>594</v>
      </c>
      <c r="E94" t="s">
        <v>2986</v>
      </c>
      <c r="G94" t="s">
        <v>2996</v>
      </c>
      <c r="H94" t="s">
        <v>331</v>
      </c>
      <c r="I94">
        <v>61</v>
      </c>
      <c r="J94">
        <v>1</v>
      </c>
      <c r="N94" t="s">
        <v>20</v>
      </c>
      <c r="R94">
        <v>1</v>
      </c>
      <c r="T94">
        <v>28</v>
      </c>
      <c r="AA94" t="s">
        <v>2988</v>
      </c>
      <c r="AB94" t="s">
        <v>2989</v>
      </c>
      <c r="AC94">
        <v>1</v>
      </c>
      <c r="AG94" t="s">
        <v>2997</v>
      </c>
    </row>
    <row r="95" spans="1:51" x14ac:dyDescent="0.2">
      <c r="A95" s="106" t="s">
        <v>593</v>
      </c>
      <c r="B95" s="67" t="s">
        <v>808</v>
      </c>
      <c r="C95">
        <v>16</v>
      </c>
      <c r="D95" s="109" t="s">
        <v>594</v>
      </c>
      <c r="E95" t="s">
        <v>2986</v>
      </c>
      <c r="G95" t="s">
        <v>662</v>
      </c>
      <c r="H95" t="s">
        <v>2998</v>
      </c>
      <c r="I95">
        <v>62</v>
      </c>
      <c r="J95">
        <v>1</v>
      </c>
      <c r="N95" t="s">
        <v>20</v>
      </c>
      <c r="R95">
        <v>1</v>
      </c>
      <c r="T95">
        <v>26</v>
      </c>
      <c r="AA95" t="s">
        <v>2993</v>
      </c>
      <c r="AB95" t="s">
        <v>2994</v>
      </c>
      <c r="AC95">
        <v>1</v>
      </c>
      <c r="AG95" t="s">
        <v>778</v>
      </c>
    </row>
    <row r="96" spans="1:51" x14ac:dyDescent="0.2">
      <c r="A96" s="106" t="s">
        <v>593</v>
      </c>
      <c r="B96" s="67" t="s">
        <v>808</v>
      </c>
      <c r="C96">
        <v>16</v>
      </c>
      <c r="D96" s="109" t="s">
        <v>594</v>
      </c>
      <c r="E96" t="s">
        <v>2986</v>
      </c>
      <c r="G96" t="s">
        <v>1011</v>
      </c>
      <c r="H96" t="s">
        <v>1510</v>
      </c>
      <c r="I96">
        <v>63</v>
      </c>
      <c r="J96">
        <v>1</v>
      </c>
      <c r="N96" t="s">
        <v>20</v>
      </c>
      <c r="R96">
        <v>1</v>
      </c>
      <c r="T96">
        <v>33</v>
      </c>
      <c r="AA96" t="s">
        <v>2988</v>
      </c>
      <c r="AB96" t="s">
        <v>2994</v>
      </c>
      <c r="AC96">
        <v>1</v>
      </c>
      <c r="AG96" t="s">
        <v>375</v>
      </c>
    </row>
    <row r="97" spans="1:56" x14ac:dyDescent="0.2">
      <c r="A97" s="106" t="s">
        <v>593</v>
      </c>
      <c r="B97" s="67" t="s">
        <v>808</v>
      </c>
      <c r="C97">
        <v>16</v>
      </c>
      <c r="D97" s="109" t="s">
        <v>594</v>
      </c>
      <c r="E97" t="s">
        <v>2986</v>
      </c>
      <c r="G97" t="s">
        <v>3000</v>
      </c>
      <c r="H97" t="s">
        <v>2999</v>
      </c>
      <c r="I97">
        <v>64</v>
      </c>
      <c r="J97">
        <v>1</v>
      </c>
      <c r="N97" t="s">
        <v>20</v>
      </c>
      <c r="R97">
        <v>1</v>
      </c>
      <c r="T97">
        <v>27</v>
      </c>
      <c r="AA97" t="s">
        <v>2988</v>
      </c>
      <c r="AB97" t="s">
        <v>2989</v>
      </c>
      <c r="AC97">
        <v>1</v>
      </c>
      <c r="AG97" t="s">
        <v>375</v>
      </c>
    </row>
    <row r="98" spans="1:56" x14ac:dyDescent="0.2">
      <c r="A98" s="106" t="s">
        <v>593</v>
      </c>
      <c r="B98" s="67" t="s">
        <v>808</v>
      </c>
      <c r="D98" s="109" t="s">
        <v>594</v>
      </c>
      <c r="H98">
        <v>9</v>
      </c>
    </row>
    <row r="99" spans="1:56" x14ac:dyDescent="0.2">
      <c r="A99" s="106" t="s">
        <v>593</v>
      </c>
      <c r="B99" s="67" t="s">
        <v>808</v>
      </c>
      <c r="D99" s="109" t="s">
        <v>594</v>
      </c>
      <c r="H99" t="s">
        <v>0</v>
      </c>
      <c r="I99" t="s">
        <v>1</v>
      </c>
      <c r="J99" t="s">
        <v>3</v>
      </c>
      <c r="N99" t="s">
        <v>2</v>
      </c>
      <c r="T99" t="s">
        <v>5</v>
      </c>
      <c r="AA99" t="s">
        <v>7</v>
      </c>
      <c r="AB99" t="s">
        <v>8</v>
      </c>
      <c r="AG99" t="s">
        <v>6</v>
      </c>
    </row>
    <row r="100" spans="1:56" x14ac:dyDescent="0.2">
      <c r="A100" s="106" t="s">
        <v>593</v>
      </c>
      <c r="B100" s="67" t="s">
        <v>808</v>
      </c>
      <c r="C100">
        <v>17</v>
      </c>
      <c r="D100" s="109" t="s">
        <v>594</v>
      </c>
      <c r="E100" t="s">
        <v>3010</v>
      </c>
      <c r="G100" t="s">
        <v>377</v>
      </c>
      <c r="H100" t="s">
        <v>104</v>
      </c>
      <c r="I100">
        <v>65</v>
      </c>
      <c r="J100" t="s">
        <v>13</v>
      </c>
      <c r="K100">
        <v>1</v>
      </c>
      <c r="N100">
        <v>1</v>
      </c>
      <c r="T100">
        <v>28</v>
      </c>
      <c r="AA100" t="s">
        <v>20</v>
      </c>
      <c r="AB100" t="s">
        <v>20</v>
      </c>
      <c r="AG100" t="s">
        <v>375</v>
      </c>
    </row>
    <row r="101" spans="1:56" x14ac:dyDescent="0.2">
      <c r="A101" s="106" t="s">
        <v>593</v>
      </c>
      <c r="B101" s="67" t="s">
        <v>808</v>
      </c>
      <c r="C101">
        <v>17</v>
      </c>
      <c r="D101" s="109" t="s">
        <v>594</v>
      </c>
      <c r="G101" t="s">
        <v>377</v>
      </c>
      <c r="H101" t="s">
        <v>3001</v>
      </c>
      <c r="I101">
        <v>66</v>
      </c>
      <c r="J101">
        <v>1</v>
      </c>
      <c r="N101" t="s">
        <v>18</v>
      </c>
      <c r="O101">
        <v>1</v>
      </c>
      <c r="T101">
        <v>29</v>
      </c>
      <c r="AA101" t="s">
        <v>20</v>
      </c>
      <c r="AB101" t="s">
        <v>20</v>
      </c>
      <c r="AG101" t="s">
        <v>3002</v>
      </c>
    </row>
    <row r="102" spans="1:56" x14ac:dyDescent="0.2">
      <c r="A102" s="106" t="s">
        <v>593</v>
      </c>
      <c r="B102" s="67" t="s">
        <v>808</v>
      </c>
      <c r="C102">
        <v>17</v>
      </c>
      <c r="D102" s="109" t="s">
        <v>594</v>
      </c>
      <c r="G102" t="s">
        <v>3003</v>
      </c>
      <c r="H102" t="s">
        <v>2343</v>
      </c>
      <c r="I102">
        <v>67</v>
      </c>
      <c r="J102">
        <v>1</v>
      </c>
      <c r="N102" t="s">
        <v>58</v>
      </c>
      <c r="R102">
        <v>1</v>
      </c>
      <c r="T102">
        <v>65</v>
      </c>
      <c r="AA102" t="s">
        <v>20</v>
      </c>
      <c r="AB102" t="s">
        <v>20</v>
      </c>
      <c r="AG102" t="s">
        <v>3004</v>
      </c>
    </row>
    <row r="103" spans="1:56" x14ac:dyDescent="0.2">
      <c r="A103" s="106" t="s">
        <v>593</v>
      </c>
      <c r="B103" s="67" t="s">
        <v>808</v>
      </c>
      <c r="C103">
        <v>17</v>
      </c>
      <c r="D103" s="109" t="s">
        <v>594</v>
      </c>
      <c r="G103" t="s">
        <v>3005</v>
      </c>
      <c r="H103" t="s">
        <v>704</v>
      </c>
      <c r="I103">
        <v>68</v>
      </c>
      <c r="J103">
        <v>1</v>
      </c>
      <c r="N103" t="s">
        <v>26</v>
      </c>
      <c r="S103">
        <v>1</v>
      </c>
      <c r="T103">
        <v>18</v>
      </c>
      <c r="AA103" t="s">
        <v>208</v>
      </c>
      <c r="AB103" t="s">
        <v>29</v>
      </c>
      <c r="AC103">
        <v>1</v>
      </c>
      <c r="AG103" t="s">
        <v>3006</v>
      </c>
    </row>
    <row r="104" spans="1:56" x14ac:dyDescent="0.2">
      <c r="A104" s="106" t="s">
        <v>593</v>
      </c>
      <c r="B104" s="67" t="s">
        <v>808</v>
      </c>
      <c r="C104">
        <v>17</v>
      </c>
      <c r="D104" s="109" t="s">
        <v>594</v>
      </c>
      <c r="G104" t="s">
        <v>3007</v>
      </c>
      <c r="H104" t="s">
        <v>350</v>
      </c>
      <c r="I104">
        <v>69</v>
      </c>
      <c r="J104">
        <v>1</v>
      </c>
      <c r="N104" t="s">
        <v>26</v>
      </c>
      <c r="S104">
        <v>1</v>
      </c>
      <c r="T104">
        <v>17</v>
      </c>
      <c r="AA104" t="s">
        <v>330</v>
      </c>
      <c r="AB104" t="s">
        <v>29</v>
      </c>
      <c r="AC104">
        <v>1</v>
      </c>
      <c r="AG104" t="s">
        <v>3008</v>
      </c>
    </row>
    <row r="105" spans="1:56" x14ac:dyDescent="0.2">
      <c r="A105" s="106" t="s">
        <v>593</v>
      </c>
      <c r="B105" s="67" t="s">
        <v>808</v>
      </c>
      <c r="C105">
        <v>17</v>
      </c>
      <c r="D105" s="109" t="s">
        <v>594</v>
      </c>
      <c r="G105" t="s">
        <v>3007</v>
      </c>
      <c r="H105" t="s">
        <v>24</v>
      </c>
      <c r="I105">
        <v>70</v>
      </c>
      <c r="J105">
        <v>1</v>
      </c>
      <c r="N105" t="s">
        <v>26</v>
      </c>
      <c r="S105">
        <v>1</v>
      </c>
      <c r="T105">
        <v>21</v>
      </c>
      <c r="AA105" t="s">
        <v>33</v>
      </c>
      <c r="AB105" t="s">
        <v>29</v>
      </c>
      <c r="AC105">
        <v>1</v>
      </c>
      <c r="AG105" t="s">
        <v>438</v>
      </c>
    </row>
    <row r="106" spans="1:56" x14ac:dyDescent="0.2">
      <c r="A106" s="106" t="s">
        <v>593</v>
      </c>
      <c r="B106" s="67" t="s">
        <v>808</v>
      </c>
      <c r="C106">
        <v>17</v>
      </c>
      <c r="D106" s="109" t="s">
        <v>594</v>
      </c>
      <c r="G106" t="s">
        <v>377</v>
      </c>
      <c r="H106" t="s">
        <v>3009</v>
      </c>
      <c r="I106">
        <v>71</v>
      </c>
      <c r="J106" t="s">
        <v>13</v>
      </c>
      <c r="M106">
        <v>1</v>
      </c>
      <c r="N106" t="s">
        <v>51</v>
      </c>
      <c r="Q106">
        <v>1</v>
      </c>
      <c r="T106">
        <v>3</v>
      </c>
      <c r="V106" t="s">
        <v>20</v>
      </c>
      <c r="W106" t="s">
        <v>20</v>
      </c>
      <c r="AG106" t="s">
        <v>1360</v>
      </c>
    </row>
    <row r="107" spans="1:56" x14ac:dyDescent="0.2">
      <c r="A107" s="106" t="s">
        <v>593</v>
      </c>
      <c r="B107" s="67" t="s">
        <v>808</v>
      </c>
      <c r="C107">
        <v>17</v>
      </c>
      <c r="D107" s="109" t="s">
        <v>594</v>
      </c>
      <c r="H107">
        <v>7</v>
      </c>
      <c r="I107">
        <v>71</v>
      </c>
      <c r="J107" s="64">
        <f>SUM(J3:J106)</f>
        <v>51</v>
      </c>
      <c r="K107" s="64">
        <f t="shared" ref="K107:AP107" si="1">SUM(K3:K106)</f>
        <v>17</v>
      </c>
      <c r="L107" s="64">
        <f t="shared" si="1"/>
        <v>2</v>
      </c>
      <c r="M107" s="64">
        <f t="shared" si="1"/>
        <v>1</v>
      </c>
      <c r="N107" s="64">
        <f t="shared" si="1"/>
        <v>17</v>
      </c>
      <c r="O107" s="64">
        <f t="shared" si="1"/>
        <v>9</v>
      </c>
      <c r="P107" s="64">
        <f t="shared" si="1"/>
        <v>8</v>
      </c>
      <c r="Q107" s="64">
        <f t="shared" si="1"/>
        <v>2</v>
      </c>
      <c r="R107" s="64">
        <f t="shared" si="1"/>
        <v>11</v>
      </c>
      <c r="S107" s="64">
        <f t="shared" si="1"/>
        <v>24</v>
      </c>
      <c r="T107" s="64">
        <f t="shared" si="1"/>
        <v>2585</v>
      </c>
      <c r="U107" s="64">
        <f t="shared" si="1"/>
        <v>0</v>
      </c>
      <c r="V107" s="64">
        <f t="shared" si="1"/>
        <v>0</v>
      </c>
      <c r="W107" s="64">
        <f t="shared" si="1"/>
        <v>0</v>
      </c>
      <c r="X107" s="64">
        <f t="shared" si="1"/>
        <v>0</v>
      </c>
      <c r="Y107" s="64">
        <f t="shared" si="1"/>
        <v>0</v>
      </c>
      <c r="Z107" s="64">
        <f t="shared" si="1"/>
        <v>0</v>
      </c>
      <c r="AA107" s="64">
        <f t="shared" si="1"/>
        <v>0</v>
      </c>
      <c r="AB107" s="64">
        <f t="shared" si="1"/>
        <v>0</v>
      </c>
      <c r="AC107" s="64">
        <f t="shared" si="1"/>
        <v>44</v>
      </c>
      <c r="AD107" s="64">
        <f t="shared" si="1"/>
        <v>2</v>
      </c>
      <c r="AE107" s="64">
        <f>AC107-AD107</f>
        <v>42</v>
      </c>
      <c r="AF107" s="64">
        <f t="shared" si="1"/>
        <v>31</v>
      </c>
      <c r="AG107" s="64">
        <f>N108-AF107</f>
        <v>40</v>
      </c>
      <c r="AH107" s="64">
        <f t="shared" si="1"/>
        <v>0</v>
      </c>
      <c r="AI107" s="64">
        <f t="shared" si="1"/>
        <v>0</v>
      </c>
      <c r="AJ107" s="64">
        <f t="shared" si="1"/>
        <v>0</v>
      </c>
      <c r="AK107" s="64">
        <f t="shared" si="1"/>
        <v>0</v>
      </c>
      <c r="AL107" s="64">
        <f t="shared" si="1"/>
        <v>0</v>
      </c>
      <c r="AM107" s="64">
        <f t="shared" si="1"/>
        <v>0</v>
      </c>
      <c r="AN107" s="64">
        <f t="shared" si="1"/>
        <v>0</v>
      </c>
      <c r="AO107" s="64">
        <f t="shared" si="1"/>
        <v>0</v>
      </c>
      <c r="AP107" s="64">
        <f t="shared" si="1"/>
        <v>0</v>
      </c>
      <c r="AQ107">
        <f t="shared" ref="AQ107:BD107" si="2">SUM(AQ3:AQ97)</f>
        <v>0</v>
      </c>
      <c r="AR107">
        <f t="shared" si="2"/>
        <v>0</v>
      </c>
      <c r="AS107">
        <f t="shared" si="2"/>
        <v>0</v>
      </c>
      <c r="AT107">
        <f t="shared" si="2"/>
        <v>0</v>
      </c>
      <c r="AU107">
        <f t="shared" si="2"/>
        <v>0</v>
      </c>
      <c r="AV107">
        <f t="shared" si="2"/>
        <v>0</v>
      </c>
      <c r="AW107">
        <f t="shared" si="2"/>
        <v>0</v>
      </c>
      <c r="AX107">
        <f t="shared" si="2"/>
        <v>0</v>
      </c>
      <c r="AY107">
        <f t="shared" si="2"/>
        <v>0</v>
      </c>
      <c r="AZ107">
        <f t="shared" si="2"/>
        <v>0</v>
      </c>
      <c r="BA107">
        <f t="shared" si="2"/>
        <v>0</v>
      </c>
      <c r="BB107">
        <f t="shared" si="2"/>
        <v>0</v>
      </c>
      <c r="BC107">
        <f t="shared" si="2"/>
        <v>0</v>
      </c>
      <c r="BD107">
        <f t="shared" si="2"/>
        <v>0</v>
      </c>
    </row>
    <row r="108" spans="1:56" x14ac:dyDescent="0.2">
      <c r="A108" s="106" t="s">
        <v>593</v>
      </c>
      <c r="B108" s="67" t="s">
        <v>808</v>
      </c>
      <c r="D108" s="109" t="s">
        <v>594</v>
      </c>
      <c r="I108">
        <f>SUM(J107:M107)</f>
        <v>71</v>
      </c>
      <c r="N108">
        <f>SUM(N107:S107)</f>
        <v>71</v>
      </c>
      <c r="T108" s="251">
        <f>T107/N108</f>
        <v>36.408450704225352</v>
      </c>
    </row>
    <row r="110" spans="1:56" x14ac:dyDescent="0.2">
      <c r="H110" t="s">
        <v>0</v>
      </c>
      <c r="I110" t="s">
        <v>1</v>
      </c>
      <c r="J110" t="s">
        <v>2</v>
      </c>
      <c r="K110" t="s">
        <v>3</v>
      </c>
      <c r="L110" t="s">
        <v>4</v>
      </c>
      <c r="M110" t="s">
        <v>5</v>
      </c>
      <c r="N110" t="s">
        <v>6</v>
      </c>
      <c r="O110" t="s">
        <v>7</v>
      </c>
      <c r="P110" t="s">
        <v>8</v>
      </c>
    </row>
    <row r="111" spans="1:56" x14ac:dyDescent="0.2">
      <c r="F111">
        <v>2</v>
      </c>
      <c r="H111" t="s">
        <v>2157</v>
      </c>
      <c r="I111" t="s">
        <v>442</v>
      </c>
      <c r="J111" t="s">
        <v>12</v>
      </c>
      <c r="K111" t="s">
        <v>19</v>
      </c>
      <c r="L111">
        <v>1865</v>
      </c>
      <c r="M111">
        <v>55</v>
      </c>
      <c r="N111" t="s">
        <v>276</v>
      </c>
      <c r="O111" t="s">
        <v>50</v>
      </c>
      <c r="P111" t="s">
        <v>20</v>
      </c>
    </row>
    <row r="112" spans="1:56" x14ac:dyDescent="0.2">
      <c r="H112" t="s">
        <v>2158</v>
      </c>
      <c r="I112" t="s">
        <v>2159</v>
      </c>
      <c r="J112" t="s">
        <v>12</v>
      </c>
      <c r="K112" t="s">
        <v>19</v>
      </c>
      <c r="L112">
        <v>1866</v>
      </c>
      <c r="M112">
        <v>55</v>
      </c>
      <c r="N112" t="s">
        <v>49</v>
      </c>
      <c r="O112" t="s">
        <v>50</v>
      </c>
      <c r="P112" t="s">
        <v>20</v>
      </c>
    </row>
    <row r="113" spans="6:16" x14ac:dyDescent="0.2">
      <c r="H113" t="s">
        <v>170</v>
      </c>
      <c r="I113" t="s">
        <v>2160</v>
      </c>
      <c r="J113" t="s">
        <v>26</v>
      </c>
      <c r="K113" t="s">
        <v>19</v>
      </c>
      <c r="L113">
        <v>1875</v>
      </c>
      <c r="M113">
        <v>45</v>
      </c>
      <c r="N113" t="s">
        <v>77</v>
      </c>
      <c r="O113" t="s">
        <v>1097</v>
      </c>
      <c r="P113" t="s">
        <v>29</v>
      </c>
    </row>
    <row r="114" spans="6:16" x14ac:dyDescent="0.2">
      <c r="H114" t="s">
        <v>24</v>
      </c>
      <c r="I114" t="s">
        <v>2161</v>
      </c>
      <c r="J114" t="s">
        <v>26</v>
      </c>
      <c r="K114" t="s">
        <v>19</v>
      </c>
      <c r="L114">
        <v>1872</v>
      </c>
      <c r="M114">
        <v>48</v>
      </c>
      <c r="N114" t="s">
        <v>2162</v>
      </c>
      <c r="O114" t="s">
        <v>55</v>
      </c>
      <c r="P114" t="s">
        <v>29</v>
      </c>
    </row>
    <row r="116" spans="6:16" x14ac:dyDescent="0.2">
      <c r="H116" t="s">
        <v>0</v>
      </c>
      <c r="I116" t="s">
        <v>1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P116" t="s">
        <v>8</v>
      </c>
    </row>
    <row r="117" spans="6:16" x14ac:dyDescent="0.2">
      <c r="F117">
        <v>1</v>
      </c>
      <c r="H117" t="s">
        <v>2163</v>
      </c>
      <c r="I117" t="s">
        <v>2164</v>
      </c>
      <c r="J117" t="s">
        <v>12</v>
      </c>
      <c r="K117" t="s">
        <v>13</v>
      </c>
      <c r="L117">
        <v>1873</v>
      </c>
      <c r="M117">
        <v>48</v>
      </c>
      <c r="N117" t="s">
        <v>1896</v>
      </c>
      <c r="O117" t="s">
        <v>2165</v>
      </c>
      <c r="P117" t="s">
        <v>2166</v>
      </c>
    </row>
    <row r="118" spans="6:16" x14ac:dyDescent="0.2">
      <c r="H118" t="s">
        <v>2167</v>
      </c>
      <c r="I118" t="s">
        <v>2164</v>
      </c>
      <c r="J118" t="s">
        <v>18</v>
      </c>
      <c r="K118" t="s">
        <v>19</v>
      </c>
      <c r="L118">
        <v>1876</v>
      </c>
      <c r="M118">
        <v>45</v>
      </c>
      <c r="N118" t="s">
        <v>2168</v>
      </c>
      <c r="O118" t="s">
        <v>50</v>
      </c>
      <c r="P118" t="s">
        <v>20</v>
      </c>
    </row>
    <row r="119" spans="6:16" x14ac:dyDescent="0.2">
      <c r="H119" t="s">
        <v>2169</v>
      </c>
      <c r="I119" t="s">
        <v>2170</v>
      </c>
      <c r="J119" t="s">
        <v>26</v>
      </c>
      <c r="K119" t="s">
        <v>19</v>
      </c>
      <c r="L119">
        <v>1894</v>
      </c>
      <c r="M119">
        <v>26</v>
      </c>
      <c r="N119" t="s">
        <v>49</v>
      </c>
      <c r="O119" t="s">
        <v>33</v>
      </c>
      <c r="P119" t="s">
        <v>29</v>
      </c>
    </row>
    <row r="121" spans="6:16" x14ac:dyDescent="0.2">
      <c r="H121" t="s">
        <v>0</v>
      </c>
      <c r="I121" t="s">
        <v>1</v>
      </c>
      <c r="J121" t="s">
        <v>2</v>
      </c>
      <c r="K121" t="s">
        <v>3</v>
      </c>
      <c r="L121" t="s">
        <v>4</v>
      </c>
      <c r="M121" t="s">
        <v>5</v>
      </c>
      <c r="N121" t="s">
        <v>6</v>
      </c>
      <c r="O121" t="s">
        <v>7</v>
      </c>
      <c r="P121" t="s">
        <v>8</v>
      </c>
    </row>
    <row r="122" spans="6:16" x14ac:dyDescent="0.2">
      <c r="F122">
        <v>3</v>
      </c>
      <c r="H122" t="s">
        <v>1012</v>
      </c>
      <c r="I122" t="s">
        <v>730</v>
      </c>
      <c r="J122" t="s">
        <v>12</v>
      </c>
      <c r="K122" t="s">
        <v>13</v>
      </c>
      <c r="L122">
        <v>1848</v>
      </c>
      <c r="M122">
        <v>73</v>
      </c>
      <c r="N122" t="s">
        <v>49</v>
      </c>
      <c r="O122" t="s">
        <v>2171</v>
      </c>
      <c r="P122" t="s">
        <v>20</v>
      </c>
    </row>
    <row r="123" spans="6:16" x14ac:dyDescent="0.2">
      <c r="H123" t="s">
        <v>1034</v>
      </c>
      <c r="I123" t="s">
        <v>2172</v>
      </c>
      <c r="J123" t="s">
        <v>52</v>
      </c>
      <c r="K123" t="s">
        <v>19</v>
      </c>
      <c r="L123">
        <v>1861</v>
      </c>
      <c r="M123">
        <v>60</v>
      </c>
      <c r="N123" t="s">
        <v>1976</v>
      </c>
      <c r="O123" t="s">
        <v>20</v>
      </c>
      <c r="P123" t="s">
        <v>2173</v>
      </c>
    </row>
    <row r="124" spans="6:16" x14ac:dyDescent="0.2">
      <c r="H124" t="s">
        <v>2174</v>
      </c>
      <c r="I124" t="s">
        <v>2175</v>
      </c>
      <c r="J124" t="s">
        <v>26</v>
      </c>
      <c r="K124" t="s">
        <v>19</v>
      </c>
      <c r="L124">
        <v>1887</v>
      </c>
      <c r="M124">
        <v>34</v>
      </c>
      <c r="N124" t="s">
        <v>2176</v>
      </c>
      <c r="O124" t="s">
        <v>56</v>
      </c>
      <c r="P124" t="s">
        <v>29</v>
      </c>
    </row>
    <row r="126" spans="6:16" x14ac:dyDescent="0.2">
      <c r="H126" t="s">
        <v>0</v>
      </c>
      <c r="I126" t="s">
        <v>1</v>
      </c>
      <c r="J126" t="s">
        <v>2</v>
      </c>
      <c r="K126" t="s">
        <v>3</v>
      </c>
      <c r="L126" t="s">
        <v>4</v>
      </c>
      <c r="M126" t="s">
        <v>5</v>
      </c>
      <c r="N126" t="s">
        <v>6</v>
      </c>
      <c r="O126" t="s">
        <v>7</v>
      </c>
      <c r="P126" t="s">
        <v>8</v>
      </c>
    </row>
    <row r="127" spans="6:16" x14ac:dyDescent="0.2">
      <c r="F127">
        <v>4</v>
      </c>
      <c r="H127" t="s">
        <v>336</v>
      </c>
      <c r="I127" t="s">
        <v>2177</v>
      </c>
      <c r="J127" t="s">
        <v>12</v>
      </c>
      <c r="K127" t="s">
        <v>19</v>
      </c>
      <c r="L127">
        <v>1846</v>
      </c>
      <c r="M127">
        <v>74</v>
      </c>
      <c r="N127" t="s">
        <v>2178</v>
      </c>
      <c r="O127" t="s">
        <v>2179</v>
      </c>
      <c r="P127" t="s">
        <v>20</v>
      </c>
    </row>
    <row r="128" spans="6:16" x14ac:dyDescent="0.2">
      <c r="H128" t="s">
        <v>48</v>
      </c>
      <c r="I128" t="s">
        <v>1859</v>
      </c>
      <c r="J128" t="s">
        <v>26</v>
      </c>
      <c r="K128" t="s">
        <v>19</v>
      </c>
      <c r="L128">
        <v>1883</v>
      </c>
      <c r="M128">
        <v>37</v>
      </c>
      <c r="N128" t="s">
        <v>2180</v>
      </c>
      <c r="O128" t="s">
        <v>33</v>
      </c>
      <c r="P128" t="s">
        <v>29</v>
      </c>
    </row>
    <row r="129" spans="6:16" x14ac:dyDescent="0.2">
      <c r="H129" t="s">
        <v>1916</v>
      </c>
      <c r="I129" t="s">
        <v>2181</v>
      </c>
      <c r="J129" t="s">
        <v>26</v>
      </c>
      <c r="K129" t="s">
        <v>19</v>
      </c>
      <c r="L129">
        <v>1890</v>
      </c>
      <c r="M129">
        <v>31</v>
      </c>
      <c r="N129" t="s">
        <v>14</v>
      </c>
      <c r="O129" t="s">
        <v>28</v>
      </c>
      <c r="P129" t="s">
        <v>29</v>
      </c>
    </row>
    <row r="131" spans="6:16" x14ac:dyDescent="0.2">
      <c r="H131" t="s">
        <v>0</v>
      </c>
      <c r="I131" t="s">
        <v>1</v>
      </c>
      <c r="J131" t="s">
        <v>2</v>
      </c>
      <c r="K131" t="s">
        <v>3</v>
      </c>
      <c r="L131" t="s">
        <v>4</v>
      </c>
      <c r="M131" t="s">
        <v>5</v>
      </c>
      <c r="N131" t="s">
        <v>6</v>
      </c>
      <c r="O131" t="s">
        <v>7</v>
      </c>
      <c r="P131" t="s">
        <v>8</v>
      </c>
    </row>
    <row r="132" spans="6:16" x14ac:dyDescent="0.2">
      <c r="F132">
        <v>5</v>
      </c>
      <c r="H132" t="s">
        <v>2182</v>
      </c>
      <c r="I132" t="s">
        <v>2183</v>
      </c>
      <c r="J132" t="s">
        <v>12</v>
      </c>
      <c r="K132" t="s">
        <v>13</v>
      </c>
      <c r="L132">
        <v>1872</v>
      </c>
      <c r="M132">
        <v>49</v>
      </c>
      <c r="N132" t="s">
        <v>2184</v>
      </c>
      <c r="O132" t="s">
        <v>2185</v>
      </c>
      <c r="P132" t="s">
        <v>8</v>
      </c>
    </row>
    <row r="133" spans="6:16" x14ac:dyDescent="0.2">
      <c r="H133" t="s">
        <v>326</v>
      </c>
      <c r="I133" t="s">
        <v>465</v>
      </c>
      <c r="J133" t="s">
        <v>26</v>
      </c>
      <c r="K133" t="s">
        <v>19</v>
      </c>
      <c r="L133">
        <v>1899</v>
      </c>
      <c r="M133">
        <v>22</v>
      </c>
      <c r="N133" t="s">
        <v>1346</v>
      </c>
      <c r="O133" t="s">
        <v>33</v>
      </c>
      <c r="P133" t="s">
        <v>29</v>
      </c>
    </row>
    <row r="134" spans="6:16" x14ac:dyDescent="0.2">
      <c r="H134" t="s">
        <v>2186</v>
      </c>
      <c r="I134" t="s">
        <v>2187</v>
      </c>
      <c r="J134" t="s">
        <v>26</v>
      </c>
      <c r="K134" t="s">
        <v>19</v>
      </c>
      <c r="L134">
        <v>1897</v>
      </c>
      <c r="M134">
        <v>24</v>
      </c>
      <c r="N134" t="s">
        <v>2188</v>
      </c>
      <c r="O134" t="s">
        <v>344</v>
      </c>
      <c r="P134" t="s">
        <v>29</v>
      </c>
    </row>
    <row r="136" spans="6:16" x14ac:dyDescent="0.2">
      <c r="H136" t="s">
        <v>0</v>
      </c>
      <c r="I136" t="s">
        <v>1</v>
      </c>
      <c r="J136" t="s">
        <v>2</v>
      </c>
      <c r="K136" t="s">
        <v>3</v>
      </c>
      <c r="L136" t="s">
        <v>4</v>
      </c>
      <c r="M136" t="s">
        <v>5</v>
      </c>
      <c r="N136" t="s">
        <v>6</v>
      </c>
      <c r="O136" t="s">
        <v>7</v>
      </c>
      <c r="P136" t="s">
        <v>8</v>
      </c>
    </row>
    <row r="137" spans="6:16" x14ac:dyDescent="0.2">
      <c r="F137">
        <v>6</v>
      </c>
      <c r="H137" t="s">
        <v>1585</v>
      </c>
      <c r="I137" t="s">
        <v>420</v>
      </c>
      <c r="J137" t="s">
        <v>12</v>
      </c>
      <c r="K137" t="s">
        <v>13</v>
      </c>
      <c r="L137">
        <v>1865</v>
      </c>
      <c r="M137">
        <v>56</v>
      </c>
      <c r="N137" t="s">
        <v>49</v>
      </c>
      <c r="O137" t="s">
        <v>1488</v>
      </c>
      <c r="P137" t="s">
        <v>8</v>
      </c>
    </row>
    <row r="138" spans="6:16" x14ac:dyDescent="0.2">
      <c r="H138" t="s">
        <v>768</v>
      </c>
      <c r="I138" t="s">
        <v>420</v>
      </c>
      <c r="J138" t="s">
        <v>18</v>
      </c>
      <c r="K138" t="s">
        <v>19</v>
      </c>
      <c r="L138">
        <v>1867</v>
      </c>
      <c r="M138">
        <v>54</v>
      </c>
      <c r="N138" t="s">
        <v>2189</v>
      </c>
      <c r="O138" t="s">
        <v>50</v>
      </c>
      <c r="P138" t="s">
        <v>20</v>
      </c>
    </row>
    <row r="139" spans="6:16" x14ac:dyDescent="0.2">
      <c r="H139" t="s">
        <v>350</v>
      </c>
      <c r="I139" t="s">
        <v>420</v>
      </c>
      <c r="J139" t="s">
        <v>22</v>
      </c>
      <c r="K139" t="s">
        <v>19</v>
      </c>
      <c r="L139">
        <v>1900</v>
      </c>
      <c r="M139">
        <v>20</v>
      </c>
      <c r="N139" t="s">
        <v>49</v>
      </c>
      <c r="O139" t="s">
        <v>47</v>
      </c>
      <c r="P139" t="s">
        <v>20</v>
      </c>
    </row>
    <row r="140" spans="6:16" x14ac:dyDescent="0.2">
      <c r="H140" t="s">
        <v>2190</v>
      </c>
      <c r="I140" t="s">
        <v>420</v>
      </c>
      <c r="J140" t="s">
        <v>22</v>
      </c>
      <c r="K140" t="s">
        <v>19</v>
      </c>
      <c r="L140">
        <v>1910</v>
      </c>
      <c r="M140">
        <v>11</v>
      </c>
      <c r="N140" t="s">
        <v>49</v>
      </c>
      <c r="O140" t="s">
        <v>20</v>
      </c>
      <c r="P140" t="s">
        <v>20</v>
      </c>
    </row>
    <row r="141" spans="6:16" x14ac:dyDescent="0.2">
      <c r="H141" t="s">
        <v>318</v>
      </c>
      <c r="I141" t="s">
        <v>2191</v>
      </c>
      <c r="J141" t="s">
        <v>26</v>
      </c>
      <c r="K141" t="s">
        <v>19</v>
      </c>
      <c r="L141">
        <v>1893</v>
      </c>
      <c r="M141">
        <v>28</v>
      </c>
      <c r="N141" t="s">
        <v>471</v>
      </c>
      <c r="O141" t="s">
        <v>2192</v>
      </c>
      <c r="P141" t="s">
        <v>93</v>
      </c>
    </row>
    <row r="142" spans="6:16" x14ac:dyDescent="0.2">
      <c r="H142" t="s">
        <v>24</v>
      </c>
      <c r="I142" t="s">
        <v>2193</v>
      </c>
      <c r="J142" t="s">
        <v>26</v>
      </c>
      <c r="K142" t="s">
        <v>19</v>
      </c>
      <c r="L142">
        <v>1883</v>
      </c>
      <c r="M142">
        <v>37</v>
      </c>
      <c r="N142" t="s">
        <v>2194</v>
      </c>
      <c r="O142" t="s">
        <v>2192</v>
      </c>
      <c r="P142" t="s">
        <v>33</v>
      </c>
    </row>
    <row r="144" spans="6:16" x14ac:dyDescent="0.2">
      <c r="H144" t="s">
        <v>0</v>
      </c>
      <c r="I144" t="s">
        <v>1</v>
      </c>
      <c r="J144" t="s">
        <v>2</v>
      </c>
      <c r="K144" t="s">
        <v>3</v>
      </c>
      <c r="L144" t="s">
        <v>4</v>
      </c>
      <c r="M144" t="s">
        <v>5</v>
      </c>
      <c r="N144" t="s">
        <v>6</v>
      </c>
      <c r="O144" t="s">
        <v>7</v>
      </c>
      <c r="P144" t="s">
        <v>8</v>
      </c>
    </row>
    <row r="145" spans="6:16" x14ac:dyDescent="0.2">
      <c r="F145">
        <v>8</v>
      </c>
      <c r="H145" t="s">
        <v>2195</v>
      </c>
      <c r="I145" t="s">
        <v>743</v>
      </c>
      <c r="J145" t="s">
        <v>12</v>
      </c>
      <c r="K145" t="s">
        <v>13</v>
      </c>
      <c r="L145">
        <v>1886</v>
      </c>
      <c r="M145">
        <v>34</v>
      </c>
      <c r="N145" t="s">
        <v>49</v>
      </c>
      <c r="O145" t="s">
        <v>2196</v>
      </c>
      <c r="P145" t="s">
        <v>2197</v>
      </c>
    </row>
    <row r="146" spans="6:16" x14ac:dyDescent="0.2">
      <c r="H146" t="s">
        <v>2198</v>
      </c>
      <c r="I146" t="s">
        <v>743</v>
      </c>
      <c r="J146" t="s">
        <v>18</v>
      </c>
      <c r="K146" t="s">
        <v>19</v>
      </c>
      <c r="L146">
        <v>1894</v>
      </c>
      <c r="M146">
        <v>27</v>
      </c>
      <c r="N146" t="s">
        <v>2199</v>
      </c>
      <c r="O146" t="s">
        <v>50</v>
      </c>
      <c r="P146" t="s">
        <v>20</v>
      </c>
    </row>
    <row r="147" spans="6:16" x14ac:dyDescent="0.2">
      <c r="H147" t="s">
        <v>2200</v>
      </c>
      <c r="I147" t="s">
        <v>743</v>
      </c>
      <c r="J147" t="s">
        <v>22</v>
      </c>
      <c r="K147" t="s">
        <v>19</v>
      </c>
      <c r="L147">
        <v>1919</v>
      </c>
      <c r="M147">
        <v>1</v>
      </c>
      <c r="N147" t="s">
        <v>49</v>
      </c>
      <c r="O147" t="s">
        <v>20</v>
      </c>
      <c r="P147" t="s">
        <v>20</v>
      </c>
    </row>
    <row r="149" spans="6:16" x14ac:dyDescent="0.2">
      <c r="H149" t="s">
        <v>0</v>
      </c>
      <c r="I149" t="s">
        <v>1</v>
      </c>
      <c r="J149" t="s">
        <v>2</v>
      </c>
      <c r="K149" t="s">
        <v>3</v>
      </c>
      <c r="L149" t="s">
        <v>4</v>
      </c>
      <c r="M149" t="s">
        <v>5</v>
      </c>
      <c r="N149" t="s">
        <v>6</v>
      </c>
      <c r="O149" t="s">
        <v>7</v>
      </c>
      <c r="P149" t="s">
        <v>8</v>
      </c>
    </row>
    <row r="150" spans="6:16" x14ac:dyDescent="0.2">
      <c r="F150">
        <v>11</v>
      </c>
      <c r="H150" t="s">
        <v>2201</v>
      </c>
      <c r="I150" t="s">
        <v>1244</v>
      </c>
      <c r="J150" t="s">
        <v>12</v>
      </c>
      <c r="K150" t="s">
        <v>13</v>
      </c>
      <c r="L150">
        <v>1887</v>
      </c>
      <c r="M150">
        <v>33</v>
      </c>
      <c r="N150" t="s">
        <v>733</v>
      </c>
      <c r="O150" t="s">
        <v>2202</v>
      </c>
      <c r="P150" t="s">
        <v>2203</v>
      </c>
    </row>
    <row r="151" spans="6:16" x14ac:dyDescent="0.2">
      <c r="H151" t="s">
        <v>2204</v>
      </c>
      <c r="I151" t="s">
        <v>1244</v>
      </c>
      <c r="J151" t="s">
        <v>18</v>
      </c>
      <c r="K151" t="s">
        <v>19</v>
      </c>
      <c r="L151">
        <v>1893</v>
      </c>
      <c r="M151">
        <v>27</v>
      </c>
      <c r="N151" t="s">
        <v>49</v>
      </c>
      <c r="O151" t="s">
        <v>50</v>
      </c>
      <c r="P151" t="s">
        <v>20</v>
      </c>
    </row>
    <row r="152" spans="6:16" x14ac:dyDescent="0.2">
      <c r="H152" t="s">
        <v>2205</v>
      </c>
      <c r="I152" t="s">
        <v>1244</v>
      </c>
      <c r="J152" t="s">
        <v>22</v>
      </c>
      <c r="K152" t="s">
        <v>19</v>
      </c>
      <c r="L152">
        <v>1917</v>
      </c>
      <c r="M152">
        <v>3</v>
      </c>
      <c r="N152" t="s">
        <v>49</v>
      </c>
      <c r="O152" t="s">
        <v>20</v>
      </c>
      <c r="P152" t="s">
        <v>20</v>
      </c>
    </row>
    <row r="153" spans="6:16" x14ac:dyDescent="0.2">
      <c r="H153" t="s">
        <v>174</v>
      </c>
      <c r="I153" t="s">
        <v>448</v>
      </c>
      <c r="J153" t="s">
        <v>26</v>
      </c>
      <c r="K153" t="s">
        <v>19</v>
      </c>
      <c r="L153">
        <v>1893</v>
      </c>
      <c r="M153">
        <v>28</v>
      </c>
      <c r="N153" t="s">
        <v>1463</v>
      </c>
      <c r="O153" t="s">
        <v>344</v>
      </c>
      <c r="P153" t="s">
        <v>29</v>
      </c>
    </row>
    <row r="155" spans="6:16" x14ac:dyDescent="0.2">
      <c r="H155" t="s">
        <v>0</v>
      </c>
      <c r="I155" t="s">
        <v>1</v>
      </c>
      <c r="J155" t="s">
        <v>2</v>
      </c>
      <c r="K155" t="s">
        <v>3</v>
      </c>
      <c r="L155" t="s">
        <v>4</v>
      </c>
      <c r="M155" t="s">
        <v>5</v>
      </c>
      <c r="N155" t="s">
        <v>6</v>
      </c>
      <c r="O155" t="s">
        <v>7</v>
      </c>
      <c r="P155" t="s">
        <v>8</v>
      </c>
    </row>
    <row r="156" spans="6:16" x14ac:dyDescent="0.2">
      <c r="F156">
        <v>13</v>
      </c>
      <c r="H156" t="s">
        <v>2206</v>
      </c>
      <c r="I156" t="s">
        <v>124</v>
      </c>
      <c r="J156" t="s">
        <v>12</v>
      </c>
      <c r="K156" t="s">
        <v>19</v>
      </c>
      <c r="L156">
        <v>1873</v>
      </c>
      <c r="M156">
        <v>48</v>
      </c>
      <c r="N156" t="s">
        <v>49</v>
      </c>
      <c r="O156" t="s">
        <v>50</v>
      </c>
      <c r="P156" t="s">
        <v>20</v>
      </c>
    </row>
    <row r="157" spans="6:16" x14ac:dyDescent="0.2">
      <c r="H157" t="s">
        <v>1089</v>
      </c>
      <c r="I157" t="s">
        <v>2207</v>
      </c>
      <c r="J157" t="s">
        <v>51</v>
      </c>
      <c r="K157" t="s">
        <v>19</v>
      </c>
      <c r="L157">
        <v>1889</v>
      </c>
      <c r="M157">
        <v>32</v>
      </c>
      <c r="N157" t="s">
        <v>666</v>
      </c>
      <c r="O157" t="s">
        <v>344</v>
      </c>
      <c r="P157" t="s">
        <v>29</v>
      </c>
    </row>
    <row r="159" spans="6:16" x14ac:dyDescent="0.2">
      <c r="H159" t="s">
        <v>0</v>
      </c>
      <c r="I159" t="s">
        <v>1</v>
      </c>
      <c r="J159" t="s">
        <v>2</v>
      </c>
      <c r="K159" t="s">
        <v>3</v>
      </c>
      <c r="L159" t="s">
        <v>4</v>
      </c>
      <c r="M159" t="s">
        <v>5</v>
      </c>
      <c r="N159" t="s">
        <v>6</v>
      </c>
      <c r="O159" t="s">
        <v>7</v>
      </c>
      <c r="P159" t="s">
        <v>8</v>
      </c>
    </row>
    <row r="160" spans="6:16" x14ac:dyDescent="0.2">
      <c r="F160">
        <v>14</v>
      </c>
      <c r="H160" t="s">
        <v>2208</v>
      </c>
      <c r="I160" t="s">
        <v>2209</v>
      </c>
      <c r="J160" t="s">
        <v>12</v>
      </c>
      <c r="K160" t="s">
        <v>13</v>
      </c>
      <c r="L160">
        <v>1865</v>
      </c>
      <c r="M160">
        <v>55</v>
      </c>
      <c r="N160" t="s">
        <v>14</v>
      </c>
      <c r="O160" t="s">
        <v>2210</v>
      </c>
      <c r="P160" t="s">
        <v>20</v>
      </c>
    </row>
    <row r="161" spans="6:16" x14ac:dyDescent="0.2">
      <c r="H161" t="s">
        <v>2211</v>
      </c>
      <c r="I161" t="s">
        <v>2209</v>
      </c>
      <c r="J161" t="s">
        <v>18</v>
      </c>
      <c r="K161" t="s">
        <v>19</v>
      </c>
      <c r="L161">
        <v>1865</v>
      </c>
      <c r="M161">
        <v>56</v>
      </c>
      <c r="N161" t="s">
        <v>2015</v>
      </c>
      <c r="O161" t="s">
        <v>50</v>
      </c>
      <c r="P161" t="s">
        <v>20</v>
      </c>
    </row>
    <row r="162" spans="6:16" x14ac:dyDescent="0.2">
      <c r="H162" t="s">
        <v>2212</v>
      </c>
      <c r="I162" t="s">
        <v>2213</v>
      </c>
      <c r="J162" t="s">
        <v>26</v>
      </c>
      <c r="K162" t="s">
        <v>19</v>
      </c>
      <c r="L162">
        <v>1883</v>
      </c>
      <c r="M162">
        <v>37</v>
      </c>
      <c r="N162" t="s">
        <v>20</v>
      </c>
      <c r="O162" t="s">
        <v>33</v>
      </c>
      <c r="P162" t="s">
        <v>29</v>
      </c>
    </row>
    <row r="163" spans="6:16" x14ac:dyDescent="0.2">
      <c r="H163" t="s">
        <v>2214</v>
      </c>
      <c r="I163" t="s">
        <v>2215</v>
      </c>
      <c r="J163" t="s">
        <v>26</v>
      </c>
      <c r="K163" t="s">
        <v>19</v>
      </c>
      <c r="L163">
        <v>1897</v>
      </c>
      <c r="M163">
        <v>24</v>
      </c>
      <c r="N163" t="s">
        <v>368</v>
      </c>
      <c r="O163" t="s">
        <v>360</v>
      </c>
      <c r="P163" t="s">
        <v>29</v>
      </c>
    </row>
    <row r="165" spans="6:16" x14ac:dyDescent="0.2">
      <c r="H165" t="s">
        <v>0</v>
      </c>
      <c r="I165" t="s">
        <v>1</v>
      </c>
      <c r="J165" t="s">
        <v>2</v>
      </c>
      <c r="K165" t="s">
        <v>3</v>
      </c>
      <c r="L165" t="s">
        <v>4</v>
      </c>
      <c r="M165" t="s">
        <v>5</v>
      </c>
      <c r="N165" t="s">
        <v>6</v>
      </c>
      <c r="O165" t="s">
        <v>7</v>
      </c>
      <c r="P165" t="s">
        <v>8</v>
      </c>
    </row>
    <row r="166" spans="6:16" x14ac:dyDescent="0.2">
      <c r="F166">
        <v>15</v>
      </c>
      <c r="H166" t="s">
        <v>935</v>
      </c>
      <c r="I166" t="s">
        <v>2216</v>
      </c>
      <c r="J166" t="s">
        <v>910</v>
      </c>
      <c r="K166" t="s">
        <v>19</v>
      </c>
      <c r="L166">
        <v>1867</v>
      </c>
      <c r="M166">
        <v>53</v>
      </c>
      <c r="N166" t="s">
        <v>14</v>
      </c>
      <c r="O166" t="s">
        <v>50</v>
      </c>
      <c r="P166" t="s">
        <v>20</v>
      </c>
    </row>
    <row r="167" spans="6:16" x14ac:dyDescent="0.2">
      <c r="H167" t="s">
        <v>2114</v>
      </c>
      <c r="I167" t="s">
        <v>2216</v>
      </c>
      <c r="J167" t="s">
        <v>22</v>
      </c>
      <c r="K167" t="s">
        <v>19</v>
      </c>
      <c r="L167">
        <v>1901</v>
      </c>
      <c r="M167">
        <v>20</v>
      </c>
      <c r="N167" t="s">
        <v>14</v>
      </c>
      <c r="O167" t="s">
        <v>1630</v>
      </c>
      <c r="P167" t="s">
        <v>20</v>
      </c>
    </row>
    <row r="168" spans="6:16" x14ac:dyDescent="0.2">
      <c r="H168" t="s">
        <v>2217</v>
      </c>
      <c r="I168" t="s">
        <v>2216</v>
      </c>
      <c r="J168" t="s">
        <v>22</v>
      </c>
      <c r="K168" t="s">
        <v>19</v>
      </c>
      <c r="L168">
        <v>1903</v>
      </c>
      <c r="M168">
        <v>17</v>
      </c>
      <c r="N168" t="s">
        <v>14</v>
      </c>
      <c r="O168" t="s">
        <v>1630</v>
      </c>
      <c r="P168" t="s">
        <v>20</v>
      </c>
    </row>
    <row r="169" spans="6:16" x14ac:dyDescent="0.2">
      <c r="H169" t="s">
        <v>170</v>
      </c>
      <c r="I169" t="s">
        <v>2218</v>
      </c>
      <c r="J169" t="s">
        <v>144</v>
      </c>
      <c r="K169" t="s">
        <v>19</v>
      </c>
      <c r="L169">
        <v>1870</v>
      </c>
      <c r="M169">
        <v>51</v>
      </c>
      <c r="N169" t="s">
        <v>14</v>
      </c>
      <c r="O169" t="s">
        <v>50</v>
      </c>
      <c r="P169" t="s">
        <v>20</v>
      </c>
    </row>
    <row r="171" spans="6:16" x14ac:dyDescent="0.2">
      <c r="H171" t="s">
        <v>0</v>
      </c>
      <c r="I171" t="s">
        <v>1</v>
      </c>
      <c r="J171" t="s">
        <v>2</v>
      </c>
      <c r="K171" t="s">
        <v>3</v>
      </c>
      <c r="L171" t="s">
        <v>4</v>
      </c>
      <c r="M171" t="s">
        <v>5</v>
      </c>
      <c r="N171" t="s">
        <v>6</v>
      </c>
      <c r="O171" t="s">
        <v>7</v>
      </c>
      <c r="P171" t="s">
        <v>8</v>
      </c>
    </row>
    <row r="172" spans="6:16" x14ac:dyDescent="0.2">
      <c r="F172">
        <v>16</v>
      </c>
      <c r="H172" t="s">
        <v>1700</v>
      </c>
      <c r="I172" t="s">
        <v>2219</v>
      </c>
      <c r="J172" t="s">
        <v>12</v>
      </c>
      <c r="K172" t="s">
        <v>13</v>
      </c>
      <c r="L172">
        <v>1863</v>
      </c>
      <c r="M172">
        <v>58</v>
      </c>
      <c r="N172" t="s">
        <v>1458</v>
      </c>
      <c r="O172" t="s">
        <v>2220</v>
      </c>
      <c r="P172" t="s">
        <v>8</v>
      </c>
    </row>
    <row r="173" spans="6:16" x14ac:dyDescent="0.2">
      <c r="H173" t="s">
        <v>2221</v>
      </c>
      <c r="I173" t="s">
        <v>2219</v>
      </c>
      <c r="J173" t="s">
        <v>18</v>
      </c>
      <c r="K173" t="s">
        <v>19</v>
      </c>
      <c r="L173">
        <v>1860</v>
      </c>
      <c r="M173">
        <v>60</v>
      </c>
      <c r="N173" t="s">
        <v>2222</v>
      </c>
      <c r="O173" t="s">
        <v>20</v>
      </c>
      <c r="P173" t="s">
        <v>20</v>
      </c>
    </row>
    <row r="174" spans="6:16" x14ac:dyDescent="0.2">
      <c r="H174" t="s">
        <v>2223</v>
      </c>
      <c r="I174" t="s">
        <v>2219</v>
      </c>
      <c r="J174" t="s">
        <v>51</v>
      </c>
      <c r="K174" t="s">
        <v>13</v>
      </c>
      <c r="L174">
        <v>1895</v>
      </c>
      <c r="M174">
        <v>26</v>
      </c>
      <c r="N174" t="s">
        <v>49</v>
      </c>
      <c r="O174" t="s">
        <v>2224</v>
      </c>
      <c r="P174" t="s">
        <v>2225</v>
      </c>
    </row>
    <row r="175" spans="6:16" x14ac:dyDescent="0.2">
      <c r="H175" t="s">
        <v>2226</v>
      </c>
      <c r="I175" t="s">
        <v>914</v>
      </c>
      <c r="J175" t="s">
        <v>26</v>
      </c>
      <c r="K175" t="s">
        <v>19</v>
      </c>
      <c r="L175">
        <v>1900</v>
      </c>
      <c r="M175">
        <v>21</v>
      </c>
      <c r="N175" t="s">
        <v>2227</v>
      </c>
      <c r="O175" t="s">
        <v>1619</v>
      </c>
      <c r="P175" t="s">
        <v>2228</v>
      </c>
    </row>
    <row r="176" spans="6:16" x14ac:dyDescent="0.2">
      <c r="H176" t="s">
        <v>2229</v>
      </c>
      <c r="I176" t="s">
        <v>914</v>
      </c>
      <c r="J176" t="s">
        <v>26</v>
      </c>
      <c r="K176" t="s">
        <v>19</v>
      </c>
      <c r="L176">
        <v>1906</v>
      </c>
      <c r="M176">
        <v>15</v>
      </c>
      <c r="N176" t="s">
        <v>2227</v>
      </c>
      <c r="O176" t="s">
        <v>1619</v>
      </c>
      <c r="P176" t="s">
        <v>2228</v>
      </c>
    </row>
    <row r="178" spans="6:16" x14ac:dyDescent="0.2">
      <c r="H178" t="s">
        <v>0</v>
      </c>
      <c r="I178" t="s">
        <v>1</v>
      </c>
      <c r="J178" t="s">
        <v>2</v>
      </c>
      <c r="K178" t="s">
        <v>3</v>
      </c>
      <c r="L178" t="s">
        <v>4</v>
      </c>
      <c r="M178" t="s">
        <v>5</v>
      </c>
      <c r="N178" t="s">
        <v>6</v>
      </c>
      <c r="O178" t="s">
        <v>7</v>
      </c>
      <c r="P178" t="s">
        <v>8</v>
      </c>
    </row>
    <row r="179" spans="6:16" x14ac:dyDescent="0.2">
      <c r="F179">
        <v>17</v>
      </c>
      <c r="H179" t="s">
        <v>464</v>
      </c>
      <c r="I179" t="s">
        <v>2230</v>
      </c>
      <c r="J179" t="s">
        <v>12</v>
      </c>
      <c r="K179" t="s">
        <v>13</v>
      </c>
      <c r="L179">
        <v>1862</v>
      </c>
      <c r="M179">
        <v>59</v>
      </c>
      <c r="N179" t="s">
        <v>14</v>
      </c>
      <c r="O179" t="s">
        <v>2231</v>
      </c>
      <c r="P179" t="s">
        <v>20</v>
      </c>
    </row>
    <row r="180" spans="6:16" x14ac:dyDescent="0.2">
      <c r="H180" t="s">
        <v>2232</v>
      </c>
      <c r="I180" t="s">
        <v>2230</v>
      </c>
      <c r="J180" t="s">
        <v>18</v>
      </c>
      <c r="K180" t="s">
        <v>19</v>
      </c>
      <c r="L180">
        <v>1862</v>
      </c>
      <c r="M180">
        <v>59</v>
      </c>
      <c r="N180" t="s">
        <v>14</v>
      </c>
      <c r="O180" t="s">
        <v>50</v>
      </c>
      <c r="P180" t="s">
        <v>20</v>
      </c>
    </row>
    <row r="181" spans="6:16" x14ac:dyDescent="0.2">
      <c r="H181" t="s">
        <v>2233</v>
      </c>
      <c r="I181" t="s">
        <v>2230</v>
      </c>
      <c r="J181" t="s">
        <v>22</v>
      </c>
      <c r="K181" t="s">
        <v>19</v>
      </c>
      <c r="L181">
        <v>1892</v>
      </c>
      <c r="M181">
        <v>29</v>
      </c>
      <c r="N181" t="s">
        <v>14</v>
      </c>
      <c r="O181" t="s">
        <v>2234</v>
      </c>
      <c r="P181" t="s">
        <v>20</v>
      </c>
    </row>
    <row r="182" spans="6:16" x14ac:dyDescent="0.2">
      <c r="H182" t="s">
        <v>318</v>
      </c>
      <c r="I182" t="s">
        <v>451</v>
      </c>
      <c r="J182" t="s">
        <v>26</v>
      </c>
      <c r="K182" t="s">
        <v>19</v>
      </c>
      <c r="L182">
        <v>1903</v>
      </c>
      <c r="M182">
        <v>18</v>
      </c>
      <c r="N182" t="s">
        <v>14</v>
      </c>
      <c r="O182" t="s">
        <v>20</v>
      </c>
      <c r="P182" t="s">
        <v>20</v>
      </c>
    </row>
    <row r="184" spans="6:16" x14ac:dyDescent="0.2">
      <c r="H184" t="s">
        <v>0</v>
      </c>
      <c r="I184" t="s">
        <v>1</v>
      </c>
      <c r="J184" t="s">
        <v>2</v>
      </c>
      <c r="K184" t="s">
        <v>3</v>
      </c>
      <c r="L184" t="s">
        <v>4</v>
      </c>
      <c r="M184" t="s">
        <v>5</v>
      </c>
      <c r="N184" t="s">
        <v>6</v>
      </c>
      <c r="O184" t="s">
        <v>7</v>
      </c>
      <c r="P184" t="s">
        <v>8</v>
      </c>
    </row>
    <row r="185" spans="6:16" x14ac:dyDescent="0.2">
      <c r="F185">
        <v>19</v>
      </c>
      <c r="H185" t="s">
        <v>2235</v>
      </c>
      <c r="I185" t="s">
        <v>2236</v>
      </c>
      <c r="J185" t="s">
        <v>12</v>
      </c>
      <c r="K185" t="s">
        <v>13</v>
      </c>
      <c r="L185">
        <v>1857</v>
      </c>
      <c r="M185">
        <v>64</v>
      </c>
      <c r="N185" t="s">
        <v>49</v>
      </c>
      <c r="O185" t="s">
        <v>2237</v>
      </c>
      <c r="P185" t="s">
        <v>20</v>
      </c>
    </row>
    <row r="186" spans="6:16" x14ac:dyDescent="0.2">
      <c r="H186" t="s">
        <v>64</v>
      </c>
      <c r="I186" t="s">
        <v>2236</v>
      </c>
      <c r="J186" t="s">
        <v>18</v>
      </c>
      <c r="K186" t="s">
        <v>19</v>
      </c>
      <c r="L186">
        <v>1859</v>
      </c>
      <c r="M186">
        <v>62</v>
      </c>
      <c r="N186" t="s">
        <v>49</v>
      </c>
      <c r="O186" t="s">
        <v>50</v>
      </c>
      <c r="P186" t="s">
        <v>20</v>
      </c>
    </row>
    <row r="187" spans="6:16" x14ac:dyDescent="0.2">
      <c r="H187" t="s">
        <v>2238</v>
      </c>
      <c r="I187" t="s">
        <v>61</v>
      </c>
      <c r="J187" t="s">
        <v>26</v>
      </c>
      <c r="K187" t="s">
        <v>19</v>
      </c>
      <c r="L187">
        <v>1886</v>
      </c>
      <c r="M187">
        <v>35</v>
      </c>
      <c r="N187" t="s">
        <v>14</v>
      </c>
      <c r="O187" t="s">
        <v>137</v>
      </c>
      <c r="P187" t="s">
        <v>29</v>
      </c>
    </row>
    <row r="188" spans="6:16" x14ac:dyDescent="0.2">
      <c r="H188" t="s">
        <v>44</v>
      </c>
      <c r="I188" t="s">
        <v>2239</v>
      </c>
      <c r="J188" t="s">
        <v>26</v>
      </c>
      <c r="K188" t="s">
        <v>19</v>
      </c>
      <c r="L188">
        <v>1890</v>
      </c>
      <c r="M188">
        <v>31</v>
      </c>
      <c r="N188" t="s">
        <v>149</v>
      </c>
      <c r="O188" t="s">
        <v>50</v>
      </c>
      <c r="P188" t="s">
        <v>29</v>
      </c>
    </row>
    <row r="189" spans="6:16" x14ac:dyDescent="0.2">
      <c r="H189" t="s">
        <v>2240</v>
      </c>
      <c r="I189" t="s">
        <v>914</v>
      </c>
      <c r="J189" t="s">
        <v>26</v>
      </c>
      <c r="K189" t="s">
        <v>19</v>
      </c>
      <c r="L189">
        <v>1897</v>
      </c>
      <c r="M189">
        <v>23</v>
      </c>
      <c r="N189" t="s">
        <v>276</v>
      </c>
      <c r="O189" t="s">
        <v>33</v>
      </c>
      <c r="P189" t="s">
        <v>29</v>
      </c>
    </row>
    <row r="191" spans="6:16" x14ac:dyDescent="0.2">
      <c r="H191" t="s">
        <v>0</v>
      </c>
      <c r="I191" t="s">
        <v>1</v>
      </c>
      <c r="J191" t="s">
        <v>2</v>
      </c>
      <c r="K191" t="s">
        <v>3</v>
      </c>
      <c r="L191" t="s">
        <v>4</v>
      </c>
      <c r="M191" t="s">
        <v>5</v>
      </c>
      <c r="N191" t="s">
        <v>6</v>
      </c>
      <c r="O191" t="s">
        <v>7</v>
      </c>
      <c r="P191" t="s">
        <v>8</v>
      </c>
    </row>
    <row r="192" spans="6:16" x14ac:dyDescent="0.2">
      <c r="F192">
        <v>10</v>
      </c>
      <c r="H192" t="s">
        <v>3011</v>
      </c>
      <c r="I192" t="s">
        <v>3012</v>
      </c>
      <c r="J192" t="s">
        <v>12</v>
      </c>
      <c r="K192" t="s">
        <v>13</v>
      </c>
      <c r="L192">
        <v>1840</v>
      </c>
      <c r="M192">
        <v>81</v>
      </c>
      <c r="N192" t="s">
        <v>3013</v>
      </c>
      <c r="O192" t="s">
        <v>3014</v>
      </c>
      <c r="P192" t="s">
        <v>3015</v>
      </c>
    </row>
    <row r="193" spans="5:16" x14ac:dyDescent="0.2">
      <c r="H193" t="s">
        <v>3016</v>
      </c>
      <c r="I193" t="s">
        <v>1536</v>
      </c>
      <c r="J193" t="s">
        <v>52</v>
      </c>
      <c r="K193" t="s">
        <v>19</v>
      </c>
      <c r="L193">
        <v>1891</v>
      </c>
      <c r="M193">
        <v>30</v>
      </c>
      <c r="N193" t="s">
        <v>49</v>
      </c>
      <c r="O193" t="s">
        <v>52</v>
      </c>
      <c r="P193" t="s">
        <v>29</v>
      </c>
    </row>
    <row r="201" spans="5:16" x14ac:dyDescent="0.2">
      <c r="H201" t="s">
        <v>0</v>
      </c>
      <c r="I201" t="s">
        <v>1</v>
      </c>
      <c r="J201" t="s">
        <v>2</v>
      </c>
      <c r="K201" t="s">
        <v>3</v>
      </c>
      <c r="L201" t="s">
        <v>4</v>
      </c>
      <c r="M201" t="s">
        <v>5</v>
      </c>
      <c r="N201" t="s">
        <v>6</v>
      </c>
      <c r="O201" t="s">
        <v>7</v>
      </c>
      <c r="P201" t="s">
        <v>8</v>
      </c>
    </row>
    <row r="202" spans="5:16" x14ac:dyDescent="0.2">
      <c r="E202" t="s">
        <v>3023</v>
      </c>
      <c r="H202" t="s">
        <v>386</v>
      </c>
      <c r="I202" t="s">
        <v>2987</v>
      </c>
      <c r="J202" t="s">
        <v>20</v>
      </c>
      <c r="K202" t="s">
        <v>13</v>
      </c>
      <c r="L202">
        <v>1894</v>
      </c>
      <c r="M202">
        <v>27</v>
      </c>
      <c r="N202" t="s">
        <v>2400</v>
      </c>
      <c r="O202" t="s">
        <v>2988</v>
      </c>
      <c r="P202" t="s">
        <v>2989</v>
      </c>
    </row>
    <row r="203" spans="5:16" x14ac:dyDescent="0.2">
      <c r="H203" t="s">
        <v>104</v>
      </c>
      <c r="I203" t="s">
        <v>2990</v>
      </c>
      <c r="J203" t="s">
        <v>20</v>
      </c>
      <c r="K203" t="s">
        <v>13</v>
      </c>
      <c r="L203">
        <v>1894</v>
      </c>
      <c r="M203">
        <v>27</v>
      </c>
      <c r="N203" t="s">
        <v>20</v>
      </c>
      <c r="O203" t="s">
        <v>2988</v>
      </c>
      <c r="P203" t="s">
        <v>2989</v>
      </c>
    </row>
    <row r="204" spans="5:16" x14ac:dyDescent="0.2">
      <c r="H204" t="s">
        <v>386</v>
      </c>
      <c r="I204" t="s">
        <v>2991</v>
      </c>
      <c r="J204" t="s">
        <v>12</v>
      </c>
      <c r="K204" t="s">
        <v>13</v>
      </c>
      <c r="L204">
        <v>1890</v>
      </c>
      <c r="M204">
        <v>31</v>
      </c>
      <c r="N204" t="s">
        <v>2992</v>
      </c>
      <c r="O204" t="s">
        <v>2988</v>
      </c>
      <c r="P204" t="s">
        <v>2989</v>
      </c>
    </row>
    <row r="205" spans="5:16" x14ac:dyDescent="0.2">
      <c r="H205" t="s">
        <v>373</v>
      </c>
      <c r="I205" t="s">
        <v>2746</v>
      </c>
      <c r="J205" t="s">
        <v>20</v>
      </c>
      <c r="K205" t="s">
        <v>19</v>
      </c>
      <c r="L205">
        <v>1894</v>
      </c>
      <c r="M205">
        <v>27</v>
      </c>
      <c r="N205" t="s">
        <v>167</v>
      </c>
      <c r="O205" t="s">
        <v>2993</v>
      </c>
      <c r="P205" t="s">
        <v>2994</v>
      </c>
    </row>
    <row r="206" spans="5:16" x14ac:dyDescent="0.2">
      <c r="H206" t="s">
        <v>386</v>
      </c>
      <c r="I206" t="s">
        <v>2995</v>
      </c>
      <c r="J206" t="s">
        <v>20</v>
      </c>
      <c r="K206" t="s">
        <v>13</v>
      </c>
      <c r="L206">
        <v>1892</v>
      </c>
      <c r="M206">
        <v>29</v>
      </c>
      <c r="N206" t="s">
        <v>43</v>
      </c>
      <c r="O206" t="s">
        <v>2988</v>
      </c>
      <c r="P206" t="s">
        <v>2989</v>
      </c>
    </row>
    <row r="207" spans="5:16" x14ac:dyDescent="0.2">
      <c r="H207" t="s">
        <v>331</v>
      </c>
      <c r="I207" t="s">
        <v>2996</v>
      </c>
      <c r="J207" t="s">
        <v>20</v>
      </c>
      <c r="K207" t="s">
        <v>19</v>
      </c>
      <c r="L207">
        <v>1893</v>
      </c>
      <c r="M207">
        <v>28</v>
      </c>
      <c r="N207" t="s">
        <v>2997</v>
      </c>
      <c r="O207" t="s">
        <v>2988</v>
      </c>
      <c r="P207" t="s">
        <v>2989</v>
      </c>
    </row>
    <row r="208" spans="5:16" x14ac:dyDescent="0.2">
      <c r="H208" t="s">
        <v>2998</v>
      </c>
      <c r="I208" t="s">
        <v>662</v>
      </c>
      <c r="J208" t="s">
        <v>20</v>
      </c>
      <c r="K208" t="s">
        <v>19</v>
      </c>
      <c r="L208">
        <v>1895</v>
      </c>
      <c r="M208">
        <v>26</v>
      </c>
      <c r="N208" t="s">
        <v>778</v>
      </c>
      <c r="O208" t="s">
        <v>2993</v>
      </c>
      <c r="P208" t="s">
        <v>2994</v>
      </c>
    </row>
    <row r="209" spans="6:16" x14ac:dyDescent="0.2">
      <c r="H209" t="s">
        <v>1510</v>
      </c>
      <c r="I209" t="s">
        <v>1011</v>
      </c>
      <c r="J209" t="s">
        <v>20</v>
      </c>
      <c r="K209" t="s">
        <v>19</v>
      </c>
      <c r="L209">
        <v>1887</v>
      </c>
      <c r="M209">
        <v>33</v>
      </c>
      <c r="N209" t="s">
        <v>375</v>
      </c>
      <c r="O209" t="s">
        <v>2988</v>
      </c>
      <c r="P209" t="s">
        <v>2994</v>
      </c>
    </row>
    <row r="210" spans="6:16" x14ac:dyDescent="0.2">
      <c r="H210" t="s">
        <v>2999</v>
      </c>
      <c r="I210" t="s">
        <v>3000</v>
      </c>
      <c r="J210" t="s">
        <v>20</v>
      </c>
      <c r="K210" t="s">
        <v>19</v>
      </c>
      <c r="L210">
        <v>1894</v>
      </c>
      <c r="M210">
        <v>27</v>
      </c>
      <c r="N210" t="s">
        <v>375</v>
      </c>
      <c r="O210" t="s">
        <v>2988</v>
      </c>
      <c r="P210" t="s">
        <v>2989</v>
      </c>
    </row>
    <row r="221" spans="6:16" x14ac:dyDescent="0.2">
      <c r="H221" t="s">
        <v>0</v>
      </c>
      <c r="I221" t="s">
        <v>1</v>
      </c>
      <c r="J221" t="s">
        <v>2</v>
      </c>
      <c r="K221" t="s">
        <v>3</v>
      </c>
      <c r="L221" t="s">
        <v>4</v>
      </c>
      <c r="M221" t="s">
        <v>5</v>
      </c>
      <c r="N221" t="s">
        <v>6</v>
      </c>
      <c r="O221" t="s">
        <v>7</v>
      </c>
      <c r="P221" t="s">
        <v>8</v>
      </c>
    </row>
    <row r="222" spans="6:16" x14ac:dyDescent="0.2">
      <c r="F222">
        <v>10</v>
      </c>
      <c r="H222" t="s">
        <v>3011</v>
      </c>
      <c r="I222" t="s">
        <v>3012</v>
      </c>
      <c r="J222" t="s">
        <v>12</v>
      </c>
      <c r="K222" t="s">
        <v>13</v>
      </c>
      <c r="L222">
        <v>1840</v>
      </c>
      <c r="M222">
        <v>81</v>
      </c>
      <c r="N222" t="s">
        <v>3013</v>
      </c>
      <c r="O222" t="s">
        <v>3014</v>
      </c>
      <c r="P222" t="s">
        <v>3015</v>
      </c>
    </row>
    <row r="223" spans="6:16" x14ac:dyDescent="0.2">
      <c r="H223" t="s">
        <v>3016</v>
      </c>
      <c r="I223" t="s">
        <v>1536</v>
      </c>
      <c r="J223" t="s">
        <v>52</v>
      </c>
      <c r="K223" t="s">
        <v>19</v>
      </c>
      <c r="L223">
        <v>1891</v>
      </c>
      <c r="M223">
        <v>30</v>
      </c>
      <c r="N223" t="s">
        <v>49</v>
      </c>
      <c r="O223" t="s">
        <v>52</v>
      </c>
      <c r="P223" t="s">
        <v>29</v>
      </c>
    </row>
  </sheetData>
  <phoneticPr fontId="1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C9B7-3A59-3748-98BF-759F5F4E1BF0}">
  <dimension ref="A1:BC239"/>
  <sheetViews>
    <sheetView topLeftCell="B1" workbookViewId="0">
      <pane ySplit="2" topLeftCell="A193" activePane="bottomLeft" state="frozen"/>
      <selection pane="bottomLeft" activeCell="F197" sqref="F197:P202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10.83203125" customWidth="1"/>
    <col min="11" max="11" width="6.1640625" customWidth="1"/>
    <col min="12" max="12" width="7.83203125" customWidth="1"/>
    <col min="13" max="13" width="5.5" customWidth="1"/>
    <col min="14" max="14" width="8.6640625" customWidth="1"/>
    <col min="15" max="15" width="10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12" customWidth="1"/>
    <col min="25" max="25" width="11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/>
      <c r="B3" s="9"/>
      <c r="C3" s="7"/>
      <c r="D3" s="7" t="s">
        <v>596</v>
      </c>
      <c r="G3" t="s">
        <v>1</v>
      </c>
      <c r="H3" t="s">
        <v>0</v>
      </c>
      <c r="J3" t="s">
        <v>3</v>
      </c>
      <c r="N3" t="s">
        <v>2</v>
      </c>
      <c r="T3" t="s">
        <v>5</v>
      </c>
      <c r="X3" s="5"/>
      <c r="AA3" t="s">
        <v>7</v>
      </c>
      <c r="AB3" t="s">
        <v>8</v>
      </c>
      <c r="AC3" s="5"/>
      <c r="AD3" s="5"/>
      <c r="AE3" s="7"/>
      <c r="AF3" s="7"/>
      <c r="AG3" t="s">
        <v>6</v>
      </c>
      <c r="AH3" s="7"/>
      <c r="AI3" s="7" t="s">
        <v>2363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9" customHeight="1" x14ac:dyDescent="0.2">
      <c r="A4" s="9" t="s">
        <v>595</v>
      </c>
      <c r="B4" s="9">
        <v>1921</v>
      </c>
      <c r="C4" s="7">
        <v>1</v>
      </c>
      <c r="D4" s="7" t="s">
        <v>596</v>
      </c>
      <c r="E4" t="s">
        <v>2250</v>
      </c>
      <c r="G4" t="s">
        <v>2243</v>
      </c>
      <c r="H4" t="s">
        <v>107</v>
      </c>
      <c r="I4">
        <v>1</v>
      </c>
      <c r="J4" t="s">
        <v>13</v>
      </c>
      <c r="K4">
        <v>1</v>
      </c>
      <c r="N4">
        <v>1</v>
      </c>
      <c r="T4">
        <v>40</v>
      </c>
      <c r="X4" s="5"/>
      <c r="AA4" t="s">
        <v>2245</v>
      </c>
      <c r="AB4" t="s">
        <v>2246</v>
      </c>
      <c r="AC4" s="5">
        <v>1</v>
      </c>
      <c r="AD4" s="5"/>
      <c r="AE4" s="7"/>
      <c r="AF4" s="7"/>
      <c r="AG4" t="s">
        <v>2244</v>
      </c>
      <c r="AH4" s="7"/>
      <c r="AI4" s="7" t="s">
        <v>2363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9" customHeight="1" x14ac:dyDescent="0.2">
      <c r="A5" s="9" t="s">
        <v>595</v>
      </c>
      <c r="B5" s="9">
        <v>1921</v>
      </c>
      <c r="C5" s="7">
        <v>1</v>
      </c>
      <c r="D5" s="7" t="s">
        <v>596</v>
      </c>
      <c r="E5" t="s">
        <v>2250</v>
      </c>
      <c r="G5" t="s">
        <v>2243</v>
      </c>
      <c r="H5" t="s">
        <v>1981</v>
      </c>
      <c r="I5">
        <v>2</v>
      </c>
      <c r="J5">
        <v>1</v>
      </c>
      <c r="N5" t="s">
        <v>18</v>
      </c>
      <c r="O5">
        <v>1</v>
      </c>
      <c r="T5">
        <v>38</v>
      </c>
      <c r="X5" s="5"/>
      <c r="AA5" t="s">
        <v>20</v>
      </c>
      <c r="AB5" t="s">
        <v>50</v>
      </c>
      <c r="AC5" s="5"/>
      <c r="AD5" s="5"/>
      <c r="AE5" s="7"/>
      <c r="AF5" s="7"/>
      <c r="AG5" t="s">
        <v>2247</v>
      </c>
      <c r="AH5" s="7"/>
      <c r="AI5" s="7" t="s">
        <v>2363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9" customHeight="1" x14ac:dyDescent="0.2">
      <c r="A6" s="9" t="s">
        <v>595</v>
      </c>
      <c r="B6" s="9">
        <v>1921</v>
      </c>
      <c r="C6" s="7">
        <v>1</v>
      </c>
      <c r="D6" s="7" t="s">
        <v>596</v>
      </c>
      <c r="E6" t="s">
        <v>2250</v>
      </c>
      <c r="G6" t="s">
        <v>2243</v>
      </c>
      <c r="H6" t="s">
        <v>2248</v>
      </c>
      <c r="I6">
        <v>3</v>
      </c>
      <c r="J6" t="s">
        <v>13</v>
      </c>
      <c r="K6">
        <v>1</v>
      </c>
      <c r="N6" t="s">
        <v>51</v>
      </c>
      <c r="Q6">
        <v>1</v>
      </c>
      <c r="T6">
        <v>13</v>
      </c>
      <c r="X6" s="5"/>
      <c r="AA6" t="s">
        <v>20</v>
      </c>
      <c r="AB6" t="s">
        <v>20</v>
      </c>
      <c r="AC6" s="5"/>
      <c r="AD6" s="5"/>
      <c r="AE6" s="7"/>
      <c r="AF6" s="7"/>
      <c r="AG6" t="s">
        <v>2249</v>
      </c>
      <c r="AH6" s="7"/>
      <c r="AI6" s="7" t="s">
        <v>2363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9" customHeight="1" x14ac:dyDescent="0.2">
      <c r="A7" s="9" t="s">
        <v>595</v>
      </c>
      <c r="B7" s="9">
        <v>1921</v>
      </c>
      <c r="C7" s="7">
        <v>1</v>
      </c>
      <c r="D7" s="7" t="s">
        <v>596</v>
      </c>
      <c r="E7" t="s">
        <v>2250</v>
      </c>
      <c r="G7" t="s">
        <v>2243</v>
      </c>
      <c r="H7" t="s">
        <v>104</v>
      </c>
      <c r="I7">
        <v>4</v>
      </c>
      <c r="J7" t="s">
        <v>13</v>
      </c>
      <c r="K7">
        <v>1</v>
      </c>
      <c r="N7" t="s">
        <v>51</v>
      </c>
      <c r="Q7">
        <v>1</v>
      </c>
      <c r="T7">
        <v>11</v>
      </c>
      <c r="X7" s="5"/>
      <c r="AA7" t="s">
        <v>20</v>
      </c>
      <c r="AB7" t="s">
        <v>20</v>
      </c>
      <c r="AC7" s="5"/>
      <c r="AD7" s="5"/>
      <c r="AE7" s="7"/>
      <c r="AF7" s="7"/>
      <c r="AG7" t="s">
        <v>2249</v>
      </c>
      <c r="AH7" s="7"/>
      <c r="AI7" s="7" t="s">
        <v>2363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9" customHeight="1" x14ac:dyDescent="0.2">
      <c r="A8" s="9" t="s">
        <v>595</v>
      </c>
      <c r="B8" s="9">
        <v>1921</v>
      </c>
      <c r="C8" s="7">
        <v>1</v>
      </c>
      <c r="D8" s="7" t="s">
        <v>596</v>
      </c>
      <c r="E8" t="s">
        <v>2250</v>
      </c>
      <c r="G8" t="s">
        <v>2243</v>
      </c>
      <c r="H8" t="s">
        <v>738</v>
      </c>
      <c r="I8">
        <v>5</v>
      </c>
      <c r="L8">
        <v>1</v>
      </c>
      <c r="N8" t="s">
        <v>22</v>
      </c>
      <c r="P8">
        <v>1</v>
      </c>
      <c r="T8">
        <v>4</v>
      </c>
      <c r="X8" s="5"/>
      <c r="AA8" t="s">
        <v>20</v>
      </c>
      <c r="AB8" t="s">
        <v>20</v>
      </c>
      <c r="AC8" s="5"/>
      <c r="AD8" s="5"/>
      <c r="AE8" s="7"/>
      <c r="AF8" s="7"/>
      <c r="AG8" t="s">
        <v>778</v>
      </c>
      <c r="AH8" s="7"/>
      <c r="AI8" s="7" t="s">
        <v>2363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9" customHeight="1" x14ac:dyDescent="0.2">
      <c r="A9" s="9" t="s">
        <v>595</v>
      </c>
      <c r="B9" s="9">
        <v>1921</v>
      </c>
      <c r="C9" s="7">
        <v>1</v>
      </c>
      <c r="D9" s="7" t="s">
        <v>596</v>
      </c>
      <c r="E9" t="s">
        <v>2250</v>
      </c>
      <c r="G9" t="s">
        <v>1049</v>
      </c>
      <c r="H9" t="s">
        <v>905</v>
      </c>
      <c r="I9">
        <v>6</v>
      </c>
      <c r="J9">
        <v>1</v>
      </c>
      <c r="N9" t="s">
        <v>26</v>
      </c>
      <c r="S9">
        <v>1</v>
      </c>
      <c r="T9">
        <v>16</v>
      </c>
      <c r="X9" s="5"/>
      <c r="AA9" t="s">
        <v>20</v>
      </c>
      <c r="AB9" t="s">
        <v>29</v>
      </c>
      <c r="AC9" s="5">
        <v>1</v>
      </c>
      <c r="AD9" s="5"/>
      <c r="AE9" s="7"/>
      <c r="AF9" s="7"/>
      <c r="AG9" t="s">
        <v>415</v>
      </c>
      <c r="AH9" s="7"/>
      <c r="AI9" s="7" t="s">
        <v>2363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9" customHeight="1" x14ac:dyDescent="0.2">
      <c r="A10" s="9" t="s">
        <v>595</v>
      </c>
      <c r="B10" s="9">
        <v>1921</v>
      </c>
      <c r="C10" s="7">
        <v>1</v>
      </c>
      <c r="D10" s="7" t="s">
        <v>596</v>
      </c>
      <c r="E10" t="s">
        <v>2250</v>
      </c>
      <c r="H10">
        <v>7</v>
      </c>
      <c r="X10" s="5"/>
      <c r="AC10" s="5"/>
      <c r="AD10" s="5"/>
      <c r="AE10" s="7"/>
      <c r="AF10" s="7"/>
      <c r="AH10" s="7"/>
      <c r="AI10" s="7" t="s">
        <v>2363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9" customHeight="1" x14ac:dyDescent="0.2">
      <c r="A11" s="9" t="s">
        <v>595</v>
      </c>
      <c r="B11" s="9">
        <v>1921</v>
      </c>
      <c r="C11" s="7">
        <v>1</v>
      </c>
      <c r="D11" s="7" t="s">
        <v>596</v>
      </c>
      <c r="E11" t="s">
        <v>2250</v>
      </c>
      <c r="G11" t="s">
        <v>1</v>
      </c>
      <c r="H11" t="s">
        <v>0</v>
      </c>
      <c r="J11" t="s">
        <v>3</v>
      </c>
      <c r="N11" t="s">
        <v>2</v>
      </c>
      <c r="T11" t="s">
        <v>5</v>
      </c>
      <c r="X11" s="5"/>
      <c r="AA11" t="s">
        <v>7</v>
      </c>
      <c r="AB11" t="s">
        <v>8</v>
      </c>
      <c r="AC11" s="5"/>
      <c r="AD11" s="5"/>
      <c r="AE11" s="7"/>
      <c r="AF11" s="7"/>
      <c r="AG11" t="s">
        <v>6</v>
      </c>
      <c r="AH11" s="7"/>
      <c r="AI11" s="7" t="s">
        <v>2363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9" customHeight="1" x14ac:dyDescent="0.2">
      <c r="A12" s="9" t="s">
        <v>595</v>
      </c>
      <c r="B12" s="9">
        <v>1921</v>
      </c>
      <c r="C12" s="7">
        <v>1</v>
      </c>
      <c r="D12" s="7" t="s">
        <v>596</v>
      </c>
      <c r="E12" t="s">
        <v>2250</v>
      </c>
      <c r="G12" t="s">
        <v>2252</v>
      </c>
      <c r="H12" t="s">
        <v>2251</v>
      </c>
      <c r="I12">
        <v>7</v>
      </c>
      <c r="J12" t="s">
        <v>13</v>
      </c>
      <c r="K12">
        <v>1</v>
      </c>
      <c r="N12">
        <v>1</v>
      </c>
      <c r="T12">
        <v>28</v>
      </c>
      <c r="X12" s="5"/>
      <c r="AA12" t="s">
        <v>2253</v>
      </c>
      <c r="AB12" t="s">
        <v>20</v>
      </c>
      <c r="AC12" s="5">
        <v>1</v>
      </c>
      <c r="AD12" s="5"/>
      <c r="AE12" s="7"/>
      <c r="AF12" s="7"/>
      <c r="AG12" t="s">
        <v>20</v>
      </c>
      <c r="AH12" s="7"/>
      <c r="AI12" s="7" t="s">
        <v>2363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9" t="s">
        <v>595</v>
      </c>
      <c r="B13" s="9">
        <v>1921</v>
      </c>
      <c r="C13" s="7">
        <v>1</v>
      </c>
      <c r="D13" s="7" t="s">
        <v>596</v>
      </c>
      <c r="E13" t="s">
        <v>2250</v>
      </c>
      <c r="G13" t="s">
        <v>2252</v>
      </c>
      <c r="H13" t="s">
        <v>905</v>
      </c>
      <c r="I13">
        <v>8</v>
      </c>
      <c r="J13">
        <v>1</v>
      </c>
      <c r="N13" t="s">
        <v>18</v>
      </c>
      <c r="O13">
        <v>1</v>
      </c>
      <c r="T13">
        <v>28</v>
      </c>
      <c r="X13" s="5"/>
      <c r="AA13" t="s">
        <v>47</v>
      </c>
      <c r="AB13" t="s">
        <v>20</v>
      </c>
      <c r="AC13" s="5"/>
      <c r="AD13" s="5"/>
      <c r="AE13" s="7"/>
      <c r="AF13" s="7"/>
      <c r="AG13" t="s">
        <v>2254</v>
      </c>
      <c r="AH13" s="7"/>
      <c r="AI13" s="7" t="s">
        <v>2363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9" customHeight="1" x14ac:dyDescent="0.2">
      <c r="A14" s="9" t="s">
        <v>595</v>
      </c>
      <c r="B14" s="9">
        <v>1921</v>
      </c>
      <c r="C14" s="7"/>
      <c r="D14" s="7" t="s">
        <v>596</v>
      </c>
      <c r="H14">
        <v>10</v>
      </c>
      <c r="X14" s="5"/>
      <c r="AC14" s="5"/>
      <c r="AD14" s="5"/>
      <c r="AE14" s="7"/>
      <c r="AF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9" customHeight="1" x14ac:dyDescent="0.2">
      <c r="A15" s="9" t="s">
        <v>595</v>
      </c>
      <c r="B15" s="9">
        <v>1921</v>
      </c>
      <c r="C15" s="7"/>
      <c r="D15" s="7" t="s">
        <v>596</v>
      </c>
      <c r="G15" t="s">
        <v>1</v>
      </c>
      <c r="H15" t="s">
        <v>0</v>
      </c>
      <c r="J15" t="s">
        <v>3</v>
      </c>
      <c r="N15" t="s">
        <v>2</v>
      </c>
      <c r="T15" t="s">
        <v>5</v>
      </c>
      <c r="X15" s="5"/>
      <c r="AA15" t="s">
        <v>7</v>
      </c>
      <c r="AB15" t="s">
        <v>8</v>
      </c>
      <c r="AC15" s="5"/>
      <c r="AD15" s="5"/>
      <c r="AE15" s="7"/>
      <c r="AF15" s="7"/>
      <c r="AG15" t="s">
        <v>6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 t="s">
        <v>595</v>
      </c>
      <c r="B16" s="9">
        <v>1921</v>
      </c>
      <c r="C16" s="7">
        <v>2</v>
      </c>
      <c r="D16" s="7" t="s">
        <v>596</v>
      </c>
      <c r="F16">
        <v>5</v>
      </c>
      <c r="G16" t="s">
        <v>2255</v>
      </c>
      <c r="H16" t="s">
        <v>386</v>
      </c>
      <c r="I16">
        <v>9</v>
      </c>
      <c r="K16">
        <v>1</v>
      </c>
      <c r="N16">
        <v>1</v>
      </c>
      <c r="T16">
        <v>57</v>
      </c>
      <c r="X16" s="5"/>
      <c r="AA16" t="s">
        <v>2256</v>
      </c>
      <c r="AB16" t="s">
        <v>8</v>
      </c>
      <c r="AC16" s="5">
        <v>1</v>
      </c>
      <c r="AD16" s="5">
        <v>1</v>
      </c>
      <c r="AE16" s="7"/>
      <c r="AF16" s="7">
        <v>1</v>
      </c>
      <c r="AG16" t="s">
        <v>14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9" customHeight="1" x14ac:dyDescent="0.2">
      <c r="A17" s="9" t="s">
        <v>595</v>
      </c>
      <c r="B17" s="9">
        <v>1921</v>
      </c>
      <c r="C17" s="7">
        <v>2</v>
      </c>
      <c r="D17" s="7" t="s">
        <v>596</v>
      </c>
      <c r="G17" t="s">
        <v>2255</v>
      </c>
      <c r="H17" t="s">
        <v>2086</v>
      </c>
      <c r="I17">
        <v>10</v>
      </c>
      <c r="K17">
        <v>1</v>
      </c>
      <c r="N17" t="s">
        <v>1208</v>
      </c>
      <c r="R17">
        <v>1</v>
      </c>
      <c r="T17">
        <v>66</v>
      </c>
      <c r="X17" s="5"/>
      <c r="AA17" t="s">
        <v>2256</v>
      </c>
      <c r="AB17" t="s">
        <v>16</v>
      </c>
      <c r="AC17" s="5">
        <v>1</v>
      </c>
      <c r="AD17" s="5"/>
      <c r="AE17" s="7"/>
      <c r="AF17" s="7">
        <v>1</v>
      </c>
      <c r="AG17" t="s">
        <v>14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9" customHeight="1" x14ac:dyDescent="0.2">
      <c r="A18" s="9" t="s">
        <v>595</v>
      </c>
      <c r="B18" s="9">
        <v>1921</v>
      </c>
      <c r="C18" s="7">
        <v>2</v>
      </c>
      <c r="D18" s="7" t="s">
        <v>596</v>
      </c>
      <c r="G18" t="s">
        <v>2255</v>
      </c>
      <c r="H18" t="s">
        <v>939</v>
      </c>
      <c r="I18">
        <v>11</v>
      </c>
      <c r="K18">
        <v>1</v>
      </c>
      <c r="N18" t="s">
        <v>1208</v>
      </c>
      <c r="R18">
        <v>1</v>
      </c>
      <c r="T18">
        <v>47</v>
      </c>
      <c r="X18" s="5"/>
      <c r="AA18" t="s">
        <v>2256</v>
      </c>
      <c r="AB18" t="s">
        <v>16</v>
      </c>
      <c r="AC18" s="5">
        <v>1</v>
      </c>
      <c r="AD18" s="5"/>
      <c r="AE18" s="7"/>
      <c r="AF18" s="7">
        <v>1</v>
      </c>
      <c r="AG18" t="s">
        <v>14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9" customHeight="1" x14ac:dyDescent="0.2">
      <c r="A19" s="9" t="s">
        <v>595</v>
      </c>
      <c r="B19" s="9">
        <v>1921</v>
      </c>
      <c r="C19" s="7">
        <v>2</v>
      </c>
      <c r="D19" s="7" t="s">
        <v>596</v>
      </c>
      <c r="G19" t="s">
        <v>2257</v>
      </c>
      <c r="H19" t="s">
        <v>423</v>
      </c>
      <c r="I19">
        <v>12</v>
      </c>
      <c r="K19">
        <v>1</v>
      </c>
      <c r="N19" t="s">
        <v>1208</v>
      </c>
      <c r="R19">
        <v>1</v>
      </c>
      <c r="T19">
        <v>47</v>
      </c>
      <c r="X19" s="5"/>
      <c r="AA19" t="s">
        <v>2258</v>
      </c>
      <c r="AB19" t="s">
        <v>29</v>
      </c>
      <c r="AC19" s="5">
        <v>1</v>
      </c>
      <c r="AD19" s="5"/>
      <c r="AE19" s="7"/>
      <c r="AF19" s="7"/>
      <c r="AG19" t="s">
        <v>841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9" customHeight="1" x14ac:dyDescent="0.2">
      <c r="A20" s="9" t="s">
        <v>595</v>
      </c>
      <c r="B20" s="9">
        <v>1921</v>
      </c>
      <c r="C20" s="7">
        <v>2</v>
      </c>
      <c r="D20" s="7" t="s">
        <v>596</v>
      </c>
      <c r="G20" t="s">
        <v>2257</v>
      </c>
      <c r="H20" t="s">
        <v>138</v>
      </c>
      <c r="I20">
        <v>13</v>
      </c>
      <c r="J20">
        <v>1</v>
      </c>
      <c r="N20" t="s">
        <v>52</v>
      </c>
      <c r="S20">
        <v>1</v>
      </c>
      <c r="T20">
        <v>48</v>
      </c>
      <c r="X20" s="5"/>
      <c r="AA20" t="s">
        <v>407</v>
      </c>
      <c r="AB20" t="s">
        <v>29</v>
      </c>
      <c r="AC20" s="5">
        <v>1</v>
      </c>
      <c r="AD20" s="5"/>
      <c r="AE20" s="7"/>
      <c r="AF20" s="7"/>
      <c r="AG20" t="s">
        <v>841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9" customHeight="1" x14ac:dyDescent="0.2">
      <c r="A21" s="9" t="s">
        <v>595</v>
      </c>
      <c r="B21" s="9">
        <v>1921</v>
      </c>
      <c r="C21" s="7">
        <v>2</v>
      </c>
      <c r="D21" s="7" t="s">
        <v>596</v>
      </c>
      <c r="G21" t="s">
        <v>738</v>
      </c>
      <c r="H21" t="s">
        <v>24</v>
      </c>
      <c r="I21">
        <v>14</v>
      </c>
      <c r="J21">
        <v>1</v>
      </c>
      <c r="N21" t="s">
        <v>28</v>
      </c>
      <c r="S21">
        <v>1</v>
      </c>
      <c r="T21">
        <v>24</v>
      </c>
      <c r="X21" s="5"/>
      <c r="AA21" t="s">
        <v>28</v>
      </c>
      <c r="AB21" t="s">
        <v>29</v>
      </c>
      <c r="AC21" s="5">
        <v>1</v>
      </c>
      <c r="AD21" s="5"/>
      <c r="AE21" s="7"/>
      <c r="AF21" s="7"/>
      <c r="AG21" t="s">
        <v>841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9" customHeight="1" x14ac:dyDescent="0.2">
      <c r="A22" s="9" t="s">
        <v>595</v>
      </c>
      <c r="B22" s="9">
        <v>1921</v>
      </c>
      <c r="C22" s="7"/>
      <c r="D22" s="7" t="s">
        <v>596</v>
      </c>
      <c r="H22">
        <v>6</v>
      </c>
      <c r="X22" s="5"/>
      <c r="AC22" s="5"/>
      <c r="AD22" s="5"/>
      <c r="AE22" s="7"/>
      <c r="AF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9" customHeight="1" x14ac:dyDescent="0.2">
      <c r="A23" s="9" t="s">
        <v>595</v>
      </c>
      <c r="B23" s="9">
        <v>1921</v>
      </c>
      <c r="C23" s="7"/>
      <c r="D23" s="7" t="s">
        <v>596</v>
      </c>
      <c r="G23" t="s">
        <v>1</v>
      </c>
      <c r="H23" t="s">
        <v>0</v>
      </c>
      <c r="J23" t="s">
        <v>3</v>
      </c>
      <c r="N23" t="s">
        <v>2</v>
      </c>
      <c r="T23" t="s">
        <v>5</v>
      </c>
      <c r="X23" s="5"/>
      <c r="AA23" t="s">
        <v>7</v>
      </c>
      <c r="AB23" t="s">
        <v>8</v>
      </c>
      <c r="AC23" s="5"/>
      <c r="AD23" s="5"/>
      <c r="AE23" s="7"/>
      <c r="AF23" s="7"/>
      <c r="AG23" t="s">
        <v>6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s="55" customFormat="1" ht="19" customHeight="1" x14ac:dyDescent="0.2">
      <c r="A24" s="226" t="s">
        <v>595</v>
      </c>
      <c r="B24" s="226">
        <v>1921</v>
      </c>
      <c r="C24" s="7">
        <v>3</v>
      </c>
      <c r="D24" s="227" t="s">
        <v>596</v>
      </c>
      <c r="F24" s="55">
        <v>6</v>
      </c>
      <c r="G24" s="55" t="s">
        <v>2259</v>
      </c>
      <c r="H24" s="55" t="s">
        <v>336</v>
      </c>
      <c r="I24" s="55">
        <v>15</v>
      </c>
      <c r="J24" s="55">
        <v>1</v>
      </c>
      <c r="N24" s="55">
        <v>1</v>
      </c>
      <c r="T24" s="55">
        <v>79</v>
      </c>
      <c r="X24" s="228"/>
      <c r="AA24" s="55" t="s">
        <v>47</v>
      </c>
      <c r="AB24" s="55" t="s">
        <v>20</v>
      </c>
      <c r="AC24" s="228"/>
      <c r="AD24" s="228"/>
      <c r="AE24" s="227"/>
      <c r="AF24" s="227"/>
      <c r="AG24" s="55" t="s">
        <v>2260</v>
      </c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</row>
    <row r="25" spans="1:51" ht="19" customHeight="1" x14ac:dyDescent="0.2">
      <c r="A25" s="9" t="s">
        <v>595</v>
      </c>
      <c r="B25" s="9">
        <v>1921</v>
      </c>
      <c r="C25" s="7">
        <v>3</v>
      </c>
      <c r="D25" s="7" t="s">
        <v>596</v>
      </c>
      <c r="G25" t="s">
        <v>2259</v>
      </c>
      <c r="H25" t="s">
        <v>444</v>
      </c>
      <c r="I25">
        <v>16</v>
      </c>
      <c r="J25" t="s">
        <v>13</v>
      </c>
      <c r="K25">
        <v>1</v>
      </c>
      <c r="N25" t="s">
        <v>1208</v>
      </c>
      <c r="R25">
        <v>1</v>
      </c>
      <c r="T25">
        <v>71</v>
      </c>
      <c r="X25" s="5"/>
      <c r="AA25" t="s">
        <v>2261</v>
      </c>
      <c r="AB25" t="s">
        <v>2262</v>
      </c>
      <c r="AC25" s="5">
        <v>1</v>
      </c>
      <c r="AD25" s="5"/>
      <c r="AE25" s="7"/>
      <c r="AF25" s="7"/>
      <c r="AG25" t="s">
        <v>2260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9" customHeight="1" x14ac:dyDescent="0.2">
      <c r="A26" s="9" t="s">
        <v>595</v>
      </c>
      <c r="B26" s="9">
        <v>1921</v>
      </c>
      <c r="C26" s="7">
        <v>3</v>
      </c>
      <c r="D26" s="7" t="s">
        <v>596</v>
      </c>
      <c r="G26" t="s">
        <v>2263</v>
      </c>
      <c r="H26" t="s">
        <v>203</v>
      </c>
      <c r="I26">
        <v>17</v>
      </c>
      <c r="J26">
        <v>1</v>
      </c>
      <c r="N26" t="s">
        <v>1241</v>
      </c>
      <c r="R26">
        <v>1</v>
      </c>
      <c r="T26">
        <v>78</v>
      </c>
      <c r="X26" s="5"/>
      <c r="AA26" t="s">
        <v>47</v>
      </c>
      <c r="AB26" t="s">
        <v>20</v>
      </c>
      <c r="AC26" s="5"/>
      <c r="AD26" s="5"/>
      <c r="AE26" s="7"/>
      <c r="AF26" s="7"/>
      <c r="AG26" t="s">
        <v>1180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9" customHeight="1" x14ac:dyDescent="0.2">
      <c r="A27" s="9" t="s">
        <v>595</v>
      </c>
      <c r="B27" s="9">
        <v>1921</v>
      </c>
      <c r="C27" s="7">
        <v>3</v>
      </c>
      <c r="D27" s="7" t="s">
        <v>596</v>
      </c>
      <c r="G27" t="s">
        <v>1870</v>
      </c>
      <c r="H27" t="s">
        <v>2264</v>
      </c>
      <c r="I27">
        <v>18</v>
      </c>
      <c r="J27">
        <v>1</v>
      </c>
      <c r="N27" t="s">
        <v>26</v>
      </c>
      <c r="S27">
        <v>1</v>
      </c>
      <c r="T27">
        <v>49</v>
      </c>
      <c r="X27" s="5"/>
      <c r="AA27" t="s">
        <v>33</v>
      </c>
      <c r="AB27" t="s">
        <v>29</v>
      </c>
      <c r="AC27" s="5">
        <v>1</v>
      </c>
      <c r="AD27" s="5"/>
      <c r="AE27" s="7"/>
      <c r="AF27" s="7"/>
      <c r="AG27" t="s">
        <v>2265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9" customHeight="1" x14ac:dyDescent="0.2">
      <c r="A28" s="9" t="s">
        <v>595</v>
      </c>
      <c r="B28" s="9">
        <v>1921</v>
      </c>
      <c r="C28" s="7">
        <v>3</v>
      </c>
      <c r="D28" s="7" t="s">
        <v>596</v>
      </c>
      <c r="G28" t="s">
        <v>2267</v>
      </c>
      <c r="H28" t="s">
        <v>2266</v>
      </c>
      <c r="I28">
        <v>19</v>
      </c>
      <c r="J28">
        <v>1</v>
      </c>
      <c r="N28" t="s">
        <v>26</v>
      </c>
      <c r="S28">
        <v>1</v>
      </c>
      <c r="T28">
        <v>25</v>
      </c>
      <c r="X28" s="5"/>
      <c r="AA28" t="s">
        <v>28</v>
      </c>
      <c r="AB28" t="s">
        <v>29</v>
      </c>
      <c r="AC28" s="5">
        <v>1</v>
      </c>
      <c r="AD28" s="5"/>
      <c r="AE28" s="7"/>
      <c r="AF28" s="7"/>
      <c r="AG28" t="s">
        <v>1670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9" customHeight="1" x14ac:dyDescent="0.2">
      <c r="A29" s="9" t="s">
        <v>595</v>
      </c>
      <c r="B29" s="9">
        <v>1921</v>
      </c>
      <c r="C29" s="7"/>
      <c r="D29" s="7" t="s">
        <v>596</v>
      </c>
      <c r="H29">
        <v>5</v>
      </c>
      <c r="X29" s="5"/>
      <c r="AC29" s="5"/>
      <c r="AD29" s="5"/>
      <c r="AE29" s="7"/>
      <c r="AF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9" customHeight="1" x14ac:dyDescent="0.2">
      <c r="A30" s="9" t="s">
        <v>595</v>
      </c>
      <c r="B30" s="9">
        <v>1921</v>
      </c>
      <c r="C30" s="7"/>
      <c r="D30" s="7" t="s">
        <v>596</v>
      </c>
      <c r="G30" t="s">
        <v>1</v>
      </c>
      <c r="H30" t="s">
        <v>0</v>
      </c>
      <c r="J30" t="s">
        <v>3</v>
      </c>
      <c r="N30" t="s">
        <v>2</v>
      </c>
      <c r="T30" t="s">
        <v>5</v>
      </c>
      <c r="X30" s="5"/>
      <c r="AA30" t="s">
        <v>7</v>
      </c>
      <c r="AB30" t="s">
        <v>8</v>
      </c>
      <c r="AC30" s="5"/>
      <c r="AD30" s="5"/>
      <c r="AE30" s="7"/>
      <c r="AF30" s="7"/>
      <c r="AG30" t="s">
        <v>6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9" customHeight="1" x14ac:dyDescent="0.2">
      <c r="A31" s="9" t="s">
        <v>595</v>
      </c>
      <c r="B31" s="9">
        <v>1921</v>
      </c>
      <c r="C31" s="7">
        <v>4</v>
      </c>
      <c r="D31" s="7" t="s">
        <v>596</v>
      </c>
      <c r="F31">
        <v>7</v>
      </c>
      <c r="G31" t="s">
        <v>2268</v>
      </c>
      <c r="H31" t="s">
        <v>464</v>
      </c>
      <c r="I31">
        <v>20</v>
      </c>
      <c r="J31" t="s">
        <v>13</v>
      </c>
      <c r="K31">
        <v>1</v>
      </c>
      <c r="N31">
        <v>1</v>
      </c>
      <c r="T31">
        <v>58</v>
      </c>
      <c r="X31" s="5"/>
      <c r="AA31" t="s">
        <v>2269</v>
      </c>
      <c r="AB31" t="s">
        <v>8</v>
      </c>
      <c r="AC31" s="5">
        <v>1</v>
      </c>
      <c r="AD31" s="5">
        <v>1</v>
      </c>
      <c r="AE31" s="7"/>
      <c r="AF31" s="7">
        <v>1</v>
      </c>
      <c r="AG31" t="s">
        <v>49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9" customHeight="1" x14ac:dyDescent="0.2">
      <c r="A32" s="9" t="s">
        <v>595</v>
      </c>
      <c r="B32" s="9">
        <v>1921</v>
      </c>
      <c r="C32" s="7">
        <v>4</v>
      </c>
      <c r="D32" s="7" t="s">
        <v>596</v>
      </c>
      <c r="G32" t="s">
        <v>2268</v>
      </c>
      <c r="H32" t="s">
        <v>2270</v>
      </c>
      <c r="I32">
        <v>21</v>
      </c>
      <c r="J32">
        <v>1</v>
      </c>
      <c r="N32" t="s">
        <v>18</v>
      </c>
      <c r="O32">
        <v>1</v>
      </c>
      <c r="T32">
        <v>62</v>
      </c>
      <c r="X32" s="5"/>
      <c r="AA32" t="s">
        <v>50</v>
      </c>
      <c r="AB32" t="s">
        <v>20</v>
      </c>
      <c r="AC32" s="5"/>
      <c r="AD32" s="5"/>
      <c r="AE32" s="7"/>
      <c r="AF32" s="7">
        <v>1</v>
      </c>
      <c r="AG32" t="s">
        <v>49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9" customHeight="1" x14ac:dyDescent="0.2">
      <c r="A33" s="9" t="s">
        <v>595</v>
      </c>
      <c r="B33" s="9">
        <v>1921</v>
      </c>
      <c r="C33" s="7">
        <v>4</v>
      </c>
      <c r="D33" s="7" t="s">
        <v>596</v>
      </c>
      <c r="G33" t="s">
        <v>2272</v>
      </c>
      <c r="H33" t="s">
        <v>2271</v>
      </c>
      <c r="I33">
        <v>22</v>
      </c>
      <c r="J33">
        <v>1</v>
      </c>
      <c r="N33" t="s">
        <v>26</v>
      </c>
      <c r="S33">
        <v>1</v>
      </c>
      <c r="T33">
        <v>49</v>
      </c>
      <c r="X33" s="5"/>
      <c r="AA33" t="s">
        <v>56</v>
      </c>
      <c r="AB33" t="s">
        <v>29</v>
      </c>
      <c r="AC33" s="5">
        <v>1</v>
      </c>
      <c r="AD33" s="5"/>
      <c r="AE33" s="7"/>
      <c r="AF33" s="7"/>
      <c r="AG33" t="s">
        <v>368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9" customHeight="1" x14ac:dyDescent="0.2">
      <c r="A34" s="9" t="s">
        <v>595</v>
      </c>
      <c r="B34" s="9">
        <v>1921</v>
      </c>
      <c r="C34" s="7"/>
      <c r="D34" s="7" t="s">
        <v>596</v>
      </c>
      <c r="H34">
        <v>3</v>
      </c>
      <c r="X34" s="5"/>
      <c r="AC34" s="5"/>
      <c r="AD34" s="5"/>
      <c r="AE34" s="7"/>
      <c r="AF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9" customHeight="1" x14ac:dyDescent="0.2">
      <c r="A35" s="9" t="s">
        <v>595</v>
      </c>
      <c r="B35" s="9">
        <v>1921</v>
      </c>
      <c r="C35" s="7"/>
      <c r="D35" s="7" t="s">
        <v>596</v>
      </c>
      <c r="G35" t="s">
        <v>1</v>
      </c>
      <c r="H35" t="s">
        <v>0</v>
      </c>
      <c r="J35" t="s">
        <v>3</v>
      </c>
      <c r="N35" t="s">
        <v>2</v>
      </c>
      <c r="T35" t="s">
        <v>5</v>
      </c>
      <c r="X35" s="5"/>
      <c r="AA35" t="s">
        <v>7</v>
      </c>
      <c r="AB35" t="s">
        <v>8</v>
      </c>
      <c r="AC35" s="5"/>
      <c r="AD35" s="5"/>
      <c r="AE35" s="7"/>
      <c r="AF35" s="7"/>
      <c r="AG35" t="s">
        <v>6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9" customHeight="1" x14ac:dyDescent="0.2">
      <c r="A36" s="9" t="s">
        <v>595</v>
      </c>
      <c r="B36" s="9">
        <v>1921</v>
      </c>
      <c r="C36" s="7">
        <v>5</v>
      </c>
      <c r="D36" s="7" t="s">
        <v>596</v>
      </c>
      <c r="F36">
        <v>9</v>
      </c>
      <c r="G36" t="s">
        <v>1136</v>
      </c>
      <c r="H36" t="s">
        <v>2273</v>
      </c>
      <c r="I36">
        <v>23</v>
      </c>
      <c r="J36" t="s">
        <v>13</v>
      </c>
      <c r="K36">
        <v>1</v>
      </c>
      <c r="N36">
        <v>1</v>
      </c>
      <c r="T36">
        <v>62</v>
      </c>
      <c r="X36" s="5"/>
      <c r="AA36" t="s">
        <v>1925</v>
      </c>
      <c r="AB36" t="s">
        <v>2274</v>
      </c>
      <c r="AC36" s="5">
        <v>1</v>
      </c>
      <c r="AD36" s="5"/>
      <c r="AE36" s="7"/>
      <c r="AF36" s="7">
        <v>1</v>
      </c>
      <c r="AG36" t="s">
        <v>14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9" customHeight="1" x14ac:dyDescent="0.2">
      <c r="A37" s="9" t="s">
        <v>595</v>
      </c>
      <c r="B37" s="9">
        <v>1921</v>
      </c>
      <c r="C37" s="7">
        <v>5</v>
      </c>
      <c r="D37" s="7" t="s">
        <v>596</v>
      </c>
      <c r="G37" t="s">
        <v>2275</v>
      </c>
      <c r="H37" t="s">
        <v>177</v>
      </c>
      <c r="I37">
        <v>24</v>
      </c>
      <c r="J37">
        <v>1</v>
      </c>
      <c r="N37" t="s">
        <v>26</v>
      </c>
      <c r="S37">
        <v>1</v>
      </c>
      <c r="T37">
        <v>49</v>
      </c>
      <c r="X37" s="5"/>
      <c r="AA37" t="s">
        <v>2276</v>
      </c>
      <c r="AB37" t="s">
        <v>29</v>
      </c>
      <c r="AC37" s="5">
        <v>1</v>
      </c>
      <c r="AD37" s="5"/>
      <c r="AE37" s="7"/>
      <c r="AF37" s="7">
        <v>1</v>
      </c>
      <c r="AG37" t="s">
        <v>14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9" customHeight="1" x14ac:dyDescent="0.2">
      <c r="A38" s="9" t="s">
        <v>595</v>
      </c>
      <c r="B38" s="9">
        <v>1921</v>
      </c>
      <c r="C38" s="7"/>
      <c r="D38" s="7" t="s">
        <v>596</v>
      </c>
      <c r="H38">
        <v>2</v>
      </c>
      <c r="X38" s="5"/>
      <c r="AC38" s="5"/>
      <c r="AD38" s="5"/>
      <c r="AE38" s="7"/>
      <c r="AF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9" customHeight="1" x14ac:dyDescent="0.2">
      <c r="A39" s="9" t="s">
        <v>595</v>
      </c>
      <c r="B39" s="9">
        <v>1921</v>
      </c>
      <c r="C39" s="7"/>
      <c r="D39" s="7" t="s">
        <v>596</v>
      </c>
      <c r="G39" t="s">
        <v>1</v>
      </c>
      <c r="H39" t="s">
        <v>0</v>
      </c>
      <c r="J39" t="s">
        <v>3</v>
      </c>
      <c r="N39" t="s">
        <v>2</v>
      </c>
      <c r="T39" t="s">
        <v>5</v>
      </c>
      <c r="X39" s="5"/>
      <c r="AA39" t="s">
        <v>7</v>
      </c>
      <c r="AB39" t="s">
        <v>8</v>
      </c>
      <c r="AC39" s="5"/>
      <c r="AD39" s="5"/>
      <c r="AE39" s="7"/>
      <c r="AF39" s="7"/>
      <c r="AG39" t="s">
        <v>6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9" customHeight="1" x14ac:dyDescent="0.2">
      <c r="A40" s="9" t="s">
        <v>595</v>
      </c>
      <c r="B40" s="9">
        <v>1921</v>
      </c>
      <c r="C40" s="7">
        <v>6</v>
      </c>
      <c r="D40" s="7" t="s">
        <v>596</v>
      </c>
      <c r="F40">
        <v>21</v>
      </c>
      <c r="G40" t="s">
        <v>2278</v>
      </c>
      <c r="H40" t="s">
        <v>2277</v>
      </c>
      <c r="I40">
        <v>25</v>
      </c>
      <c r="J40" t="s">
        <v>13</v>
      </c>
      <c r="K40">
        <v>1</v>
      </c>
      <c r="N40">
        <v>1</v>
      </c>
      <c r="T40">
        <v>40</v>
      </c>
      <c r="X40" s="5"/>
      <c r="AA40" t="s">
        <v>15</v>
      </c>
      <c r="AB40" t="s">
        <v>16</v>
      </c>
      <c r="AC40" s="5">
        <v>1</v>
      </c>
      <c r="AD40" s="5"/>
      <c r="AE40" s="7"/>
      <c r="AF40" s="7">
        <v>1</v>
      </c>
      <c r="AG40" t="s">
        <v>14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9" customHeight="1" x14ac:dyDescent="0.2">
      <c r="A41" s="9" t="s">
        <v>595</v>
      </c>
      <c r="B41" s="9">
        <v>1921</v>
      </c>
      <c r="C41" s="7">
        <v>6</v>
      </c>
      <c r="D41" s="7" t="s">
        <v>596</v>
      </c>
      <c r="G41" t="s">
        <v>2278</v>
      </c>
      <c r="H41" t="s">
        <v>2279</v>
      </c>
      <c r="I41">
        <v>26</v>
      </c>
      <c r="J41">
        <v>1</v>
      </c>
      <c r="N41" t="s">
        <v>18</v>
      </c>
      <c r="O41">
        <v>1</v>
      </c>
      <c r="T41">
        <v>37</v>
      </c>
      <c r="X41" s="5"/>
      <c r="AA41" t="s">
        <v>50</v>
      </c>
      <c r="AB41" t="s">
        <v>20</v>
      </c>
      <c r="AC41" s="5"/>
      <c r="AD41" s="5"/>
      <c r="AE41" s="7"/>
      <c r="AF41" s="7">
        <v>1</v>
      </c>
      <c r="AG41" t="s">
        <v>14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9" customHeight="1" x14ac:dyDescent="0.2">
      <c r="A42" s="9" t="s">
        <v>595</v>
      </c>
      <c r="B42" s="9">
        <v>1921</v>
      </c>
      <c r="C42" s="7">
        <v>6</v>
      </c>
      <c r="D42" s="7" t="s">
        <v>596</v>
      </c>
      <c r="G42" t="s">
        <v>2278</v>
      </c>
      <c r="H42" t="s">
        <v>2280</v>
      </c>
      <c r="I42">
        <v>27</v>
      </c>
      <c r="J42" t="s">
        <v>13</v>
      </c>
      <c r="K42">
        <v>1</v>
      </c>
      <c r="N42" t="s">
        <v>51</v>
      </c>
      <c r="Q42">
        <v>1</v>
      </c>
      <c r="T42">
        <v>12</v>
      </c>
      <c r="X42" s="5"/>
      <c r="AA42" t="s">
        <v>20</v>
      </c>
      <c r="AB42" t="s">
        <v>20</v>
      </c>
      <c r="AC42" s="5"/>
      <c r="AD42" s="5"/>
      <c r="AE42" s="7"/>
      <c r="AF42" s="7">
        <v>1</v>
      </c>
      <c r="AG42" t="s">
        <v>14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9" customHeight="1" x14ac:dyDescent="0.2">
      <c r="A43" s="9" t="s">
        <v>595</v>
      </c>
      <c r="B43" s="9">
        <v>1921</v>
      </c>
      <c r="C43" s="7">
        <v>6</v>
      </c>
      <c r="D43" s="7" t="s">
        <v>596</v>
      </c>
      <c r="G43" t="s">
        <v>2278</v>
      </c>
      <c r="H43" t="s">
        <v>2281</v>
      </c>
      <c r="I43">
        <v>28</v>
      </c>
      <c r="J43" t="s">
        <v>13</v>
      </c>
      <c r="K43">
        <v>1</v>
      </c>
      <c r="N43" t="s">
        <v>51</v>
      </c>
      <c r="Q43">
        <v>1</v>
      </c>
      <c r="T43">
        <v>10</v>
      </c>
      <c r="X43" s="5"/>
      <c r="AA43" t="s">
        <v>20</v>
      </c>
      <c r="AB43" t="s">
        <v>20</v>
      </c>
      <c r="AC43" s="5"/>
      <c r="AD43" s="5"/>
      <c r="AE43" s="7"/>
      <c r="AF43" s="7">
        <v>1</v>
      </c>
      <c r="AG43" t="s">
        <v>14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9" customHeight="1" x14ac:dyDescent="0.2">
      <c r="A44" s="9" t="s">
        <v>595</v>
      </c>
      <c r="B44" s="9">
        <v>1921</v>
      </c>
      <c r="C44" s="7">
        <v>6</v>
      </c>
      <c r="D44" s="7" t="s">
        <v>596</v>
      </c>
      <c r="G44" t="s">
        <v>2278</v>
      </c>
      <c r="H44" t="s">
        <v>2282</v>
      </c>
      <c r="I44">
        <v>29</v>
      </c>
      <c r="J44" t="s">
        <v>13</v>
      </c>
      <c r="M44">
        <v>1</v>
      </c>
      <c r="N44" t="s">
        <v>51</v>
      </c>
      <c r="Q44">
        <v>1</v>
      </c>
      <c r="T44">
        <v>3</v>
      </c>
      <c r="X44" s="5"/>
      <c r="AA44" t="s">
        <v>20</v>
      </c>
      <c r="AB44" t="s">
        <v>20</v>
      </c>
      <c r="AC44" s="5"/>
      <c r="AD44" s="5"/>
      <c r="AE44" s="7"/>
      <c r="AF44" s="7">
        <v>1</v>
      </c>
      <c r="AG44" t="s">
        <v>14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9" customHeight="1" x14ac:dyDescent="0.2">
      <c r="A45" s="9" t="s">
        <v>595</v>
      </c>
      <c r="B45" s="9">
        <v>1921</v>
      </c>
      <c r="C45" s="7">
        <v>6</v>
      </c>
      <c r="D45" s="7" t="s">
        <v>596</v>
      </c>
      <c r="G45" t="s">
        <v>2284</v>
      </c>
      <c r="H45" t="s">
        <v>2283</v>
      </c>
      <c r="I45">
        <v>30</v>
      </c>
      <c r="J45">
        <v>1</v>
      </c>
      <c r="N45" t="s">
        <v>26</v>
      </c>
      <c r="S45">
        <v>1</v>
      </c>
      <c r="T45">
        <v>24</v>
      </c>
      <c r="X45" s="5"/>
      <c r="AA45" t="s">
        <v>1808</v>
      </c>
      <c r="AB45" t="s">
        <v>29</v>
      </c>
      <c r="AC45" s="5">
        <v>1</v>
      </c>
      <c r="AD45" s="5"/>
      <c r="AE45" s="7"/>
      <c r="AF45" s="7"/>
      <c r="AG45" t="s">
        <v>2040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9" customHeight="1" x14ac:dyDescent="0.2">
      <c r="A46" s="9" t="s">
        <v>595</v>
      </c>
      <c r="B46" s="9">
        <v>1921</v>
      </c>
      <c r="C46" s="7">
        <v>6</v>
      </c>
      <c r="D46" s="7" t="s">
        <v>596</v>
      </c>
      <c r="G46" t="s">
        <v>42</v>
      </c>
      <c r="H46" t="s">
        <v>2285</v>
      </c>
      <c r="I46">
        <v>31</v>
      </c>
      <c r="J46">
        <v>1</v>
      </c>
      <c r="N46" t="s">
        <v>26</v>
      </c>
      <c r="S46">
        <v>1</v>
      </c>
      <c r="T46">
        <v>19</v>
      </c>
      <c r="X46" s="5"/>
      <c r="AA46" t="s">
        <v>344</v>
      </c>
      <c r="AB46" t="s">
        <v>29</v>
      </c>
      <c r="AC46" s="5">
        <v>1</v>
      </c>
      <c r="AD46" s="5"/>
      <c r="AE46" s="7"/>
      <c r="AF46" s="7"/>
      <c r="AG46" t="s">
        <v>368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9" customHeight="1" x14ac:dyDescent="0.2">
      <c r="A47" s="9" t="s">
        <v>595</v>
      </c>
      <c r="B47" s="9">
        <v>1921</v>
      </c>
      <c r="C47" s="7"/>
      <c r="D47" s="7" t="s">
        <v>596</v>
      </c>
      <c r="H47">
        <v>7</v>
      </c>
      <c r="X47" s="5"/>
      <c r="AC47" s="5"/>
      <c r="AD47" s="5"/>
      <c r="AE47" s="7"/>
      <c r="AF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9" customHeight="1" x14ac:dyDescent="0.2">
      <c r="A48" s="9" t="s">
        <v>595</v>
      </c>
      <c r="B48" s="9">
        <v>1921</v>
      </c>
      <c r="C48" s="7"/>
      <c r="D48" s="7" t="s">
        <v>596</v>
      </c>
      <c r="G48" t="s">
        <v>1</v>
      </c>
      <c r="H48" t="s">
        <v>0</v>
      </c>
      <c r="J48" t="s">
        <v>3</v>
      </c>
      <c r="N48" t="s">
        <v>2</v>
      </c>
      <c r="T48" t="s">
        <v>5</v>
      </c>
      <c r="X48" s="5"/>
      <c r="AA48" t="s">
        <v>7</v>
      </c>
      <c r="AB48" t="s">
        <v>8</v>
      </c>
      <c r="AC48" s="5"/>
      <c r="AD48" s="5"/>
      <c r="AE48" s="7"/>
      <c r="AF48" s="7"/>
      <c r="AG48" t="s">
        <v>6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9" customHeight="1" x14ac:dyDescent="0.2">
      <c r="A49" s="9" t="s">
        <v>595</v>
      </c>
      <c r="B49" s="9">
        <v>1921</v>
      </c>
      <c r="C49" s="7">
        <v>7</v>
      </c>
      <c r="D49" s="7" t="s">
        <v>596</v>
      </c>
      <c r="F49">
        <v>1</v>
      </c>
      <c r="G49" t="s">
        <v>1532</v>
      </c>
      <c r="H49" t="s">
        <v>2286</v>
      </c>
      <c r="I49">
        <v>32</v>
      </c>
      <c r="J49" t="s">
        <v>13</v>
      </c>
      <c r="K49">
        <v>1</v>
      </c>
      <c r="N49">
        <v>1</v>
      </c>
      <c r="T49">
        <v>56</v>
      </c>
      <c r="X49" s="5"/>
      <c r="AA49" t="s">
        <v>2288</v>
      </c>
      <c r="AB49" t="s">
        <v>2289</v>
      </c>
      <c r="AC49" s="5">
        <v>1</v>
      </c>
      <c r="AD49" s="5"/>
      <c r="AE49" s="7"/>
      <c r="AF49" s="7"/>
      <c r="AG49" t="s">
        <v>2287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9" customHeight="1" x14ac:dyDescent="0.2">
      <c r="A50" s="9" t="s">
        <v>595</v>
      </c>
      <c r="B50" s="9">
        <v>1921</v>
      </c>
      <c r="C50" s="7">
        <v>7</v>
      </c>
      <c r="D50" s="7" t="s">
        <v>596</v>
      </c>
      <c r="G50" t="s">
        <v>1532</v>
      </c>
      <c r="H50" t="s">
        <v>1239</v>
      </c>
      <c r="I50">
        <v>33</v>
      </c>
      <c r="J50">
        <v>1</v>
      </c>
      <c r="N50" t="s">
        <v>18</v>
      </c>
      <c r="O50">
        <v>1</v>
      </c>
      <c r="T50">
        <v>50</v>
      </c>
      <c r="X50" s="5"/>
      <c r="AA50" t="s">
        <v>50</v>
      </c>
      <c r="AB50" t="s">
        <v>20</v>
      </c>
      <c r="AC50" s="5"/>
      <c r="AD50" s="5"/>
      <c r="AE50" s="7"/>
      <c r="AF50" s="7"/>
      <c r="AG50" t="s">
        <v>2290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9" customHeight="1" x14ac:dyDescent="0.2">
      <c r="A51" s="9" t="s">
        <v>595</v>
      </c>
      <c r="B51" s="9">
        <v>1921</v>
      </c>
      <c r="C51" s="7">
        <v>7</v>
      </c>
      <c r="D51" s="7" t="s">
        <v>596</v>
      </c>
      <c r="G51" t="s">
        <v>1532</v>
      </c>
      <c r="H51" t="s">
        <v>2286</v>
      </c>
      <c r="I51">
        <v>34</v>
      </c>
      <c r="J51" t="s">
        <v>13</v>
      </c>
      <c r="K51">
        <v>1</v>
      </c>
      <c r="N51" t="s">
        <v>51</v>
      </c>
      <c r="Q51">
        <v>1</v>
      </c>
      <c r="T51">
        <v>23</v>
      </c>
      <c r="X51" s="5"/>
      <c r="AA51" t="s">
        <v>2291</v>
      </c>
      <c r="AB51" t="s">
        <v>2292</v>
      </c>
      <c r="AC51" s="5">
        <v>1</v>
      </c>
      <c r="AD51" s="5"/>
      <c r="AE51" s="7"/>
      <c r="AF51" s="7"/>
      <c r="AG51" t="s">
        <v>329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9" customHeight="1" x14ac:dyDescent="0.2">
      <c r="A52" s="9" t="s">
        <v>595</v>
      </c>
      <c r="B52" s="9">
        <v>1921</v>
      </c>
      <c r="C52" s="7">
        <v>7</v>
      </c>
      <c r="D52" s="7" t="s">
        <v>596</v>
      </c>
      <c r="G52" t="s">
        <v>1532</v>
      </c>
      <c r="H52" t="s">
        <v>2293</v>
      </c>
      <c r="I52">
        <v>35</v>
      </c>
      <c r="J52">
        <v>1</v>
      </c>
      <c r="N52" t="s">
        <v>22</v>
      </c>
      <c r="P52">
        <v>1</v>
      </c>
      <c r="T52">
        <v>12</v>
      </c>
      <c r="X52" s="5"/>
      <c r="AA52" t="s">
        <v>20</v>
      </c>
      <c r="AB52" t="s">
        <v>20</v>
      </c>
      <c r="AC52" s="5"/>
      <c r="AD52" s="5"/>
      <c r="AE52" s="7"/>
      <c r="AF52" s="7"/>
      <c r="AG52" t="s">
        <v>329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9" customHeight="1" x14ac:dyDescent="0.2">
      <c r="A53" s="9" t="s">
        <v>595</v>
      </c>
      <c r="B53" s="9">
        <v>1921</v>
      </c>
      <c r="C53" s="7">
        <v>7</v>
      </c>
      <c r="D53" s="7" t="s">
        <v>596</v>
      </c>
      <c r="G53" t="s">
        <v>1532</v>
      </c>
      <c r="H53" t="s">
        <v>2294</v>
      </c>
      <c r="I53">
        <v>36</v>
      </c>
      <c r="L53">
        <v>1</v>
      </c>
      <c r="N53" t="s">
        <v>22</v>
      </c>
      <c r="P53">
        <v>1</v>
      </c>
      <c r="T53">
        <v>9</v>
      </c>
      <c r="X53" s="5"/>
      <c r="AA53" t="s">
        <v>20</v>
      </c>
      <c r="AB53" t="s">
        <v>20</v>
      </c>
      <c r="AC53" s="5"/>
      <c r="AD53" s="5"/>
      <c r="AE53" s="7"/>
      <c r="AF53" s="7"/>
      <c r="AG53" t="s">
        <v>123</v>
      </c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9" customHeight="1" x14ac:dyDescent="0.2">
      <c r="A54" s="9" t="s">
        <v>595</v>
      </c>
      <c r="B54" s="9">
        <v>1921</v>
      </c>
      <c r="C54" s="7">
        <v>7</v>
      </c>
      <c r="D54" s="7" t="s">
        <v>596</v>
      </c>
      <c r="G54" t="s">
        <v>2296</v>
      </c>
      <c r="H54" t="s">
        <v>2295</v>
      </c>
      <c r="I54">
        <v>37</v>
      </c>
      <c r="J54">
        <v>1</v>
      </c>
      <c r="N54" t="s">
        <v>721</v>
      </c>
      <c r="R54">
        <v>1</v>
      </c>
      <c r="T54">
        <v>30</v>
      </c>
      <c r="X54" s="5"/>
      <c r="AA54" t="s">
        <v>2297</v>
      </c>
      <c r="AB54" t="s">
        <v>2298</v>
      </c>
      <c r="AC54" s="5">
        <v>1</v>
      </c>
      <c r="AD54" s="5"/>
      <c r="AE54" s="7"/>
      <c r="AF54" s="7"/>
      <c r="AG54" t="s">
        <v>329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9" customHeight="1" x14ac:dyDescent="0.2">
      <c r="A55" s="9" t="s">
        <v>595</v>
      </c>
      <c r="B55" s="9">
        <v>1921</v>
      </c>
      <c r="C55" s="7">
        <v>7</v>
      </c>
      <c r="D55" s="7" t="s">
        <v>596</v>
      </c>
      <c r="H55">
        <v>6</v>
      </c>
      <c r="X55" s="5"/>
      <c r="AC55" s="5"/>
      <c r="AD55" s="5"/>
      <c r="AE55" s="7"/>
      <c r="AF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9" customHeight="1" x14ac:dyDescent="0.2">
      <c r="A56" s="9" t="s">
        <v>595</v>
      </c>
      <c r="B56" s="9">
        <v>1921</v>
      </c>
      <c r="C56" s="7"/>
      <c r="D56" s="7" t="s">
        <v>596</v>
      </c>
      <c r="G56" t="s">
        <v>1</v>
      </c>
      <c r="H56" t="s">
        <v>0</v>
      </c>
      <c r="J56" t="s">
        <v>3</v>
      </c>
      <c r="N56" t="s">
        <v>2</v>
      </c>
      <c r="T56" t="s">
        <v>5</v>
      </c>
      <c r="X56" s="5"/>
      <c r="AA56" t="s">
        <v>7</v>
      </c>
      <c r="AB56" t="s">
        <v>8</v>
      </c>
      <c r="AC56" s="5"/>
      <c r="AD56" s="5"/>
      <c r="AE56" s="7"/>
      <c r="AF56" s="7"/>
      <c r="AG56" t="s">
        <v>6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9" customHeight="1" x14ac:dyDescent="0.2">
      <c r="A57" s="9" t="s">
        <v>595</v>
      </c>
      <c r="B57" s="9">
        <v>1921</v>
      </c>
      <c r="C57" s="7">
        <v>8</v>
      </c>
      <c r="D57" s="7" t="s">
        <v>596</v>
      </c>
      <c r="F57">
        <v>2</v>
      </c>
      <c r="G57" t="s">
        <v>2016</v>
      </c>
      <c r="H57" t="s">
        <v>2299</v>
      </c>
      <c r="I57">
        <v>38</v>
      </c>
      <c r="J57" t="s">
        <v>13</v>
      </c>
      <c r="K57">
        <v>1</v>
      </c>
      <c r="N57">
        <v>1</v>
      </c>
      <c r="T57">
        <v>67</v>
      </c>
      <c r="X57" s="5"/>
      <c r="AA57" t="s">
        <v>2300</v>
      </c>
      <c r="AB57" t="s">
        <v>8</v>
      </c>
      <c r="AC57" s="5">
        <v>1</v>
      </c>
      <c r="AD57" s="5">
        <v>1</v>
      </c>
      <c r="AE57" s="7"/>
      <c r="AF57" s="7">
        <v>1</v>
      </c>
      <c r="AG57" t="s">
        <v>49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9" customHeight="1" x14ac:dyDescent="0.2">
      <c r="A58" s="9" t="s">
        <v>595</v>
      </c>
      <c r="B58" s="9">
        <v>1921</v>
      </c>
      <c r="C58" s="7">
        <v>8</v>
      </c>
      <c r="D58" s="7" t="s">
        <v>596</v>
      </c>
      <c r="G58" t="s">
        <v>2016</v>
      </c>
      <c r="H58" t="s">
        <v>1981</v>
      </c>
      <c r="I58">
        <v>39</v>
      </c>
      <c r="J58">
        <v>1</v>
      </c>
      <c r="N58" t="s">
        <v>18</v>
      </c>
      <c r="O58">
        <v>1</v>
      </c>
      <c r="T58">
        <v>58</v>
      </c>
      <c r="X58" s="5"/>
      <c r="AA58" t="s">
        <v>50</v>
      </c>
      <c r="AB58" t="s">
        <v>20</v>
      </c>
      <c r="AC58" s="5"/>
      <c r="AD58" s="5"/>
      <c r="AE58" s="7"/>
      <c r="AF58" s="7">
        <v>1</v>
      </c>
      <c r="AG58" t="s">
        <v>77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9" customHeight="1" x14ac:dyDescent="0.2">
      <c r="A59" s="9" t="s">
        <v>595</v>
      </c>
      <c r="B59" s="9">
        <v>1921</v>
      </c>
      <c r="C59" s="7">
        <v>8</v>
      </c>
      <c r="D59" s="7" t="s">
        <v>596</v>
      </c>
      <c r="G59" t="s">
        <v>2301</v>
      </c>
      <c r="H59" t="s">
        <v>2091</v>
      </c>
      <c r="I59">
        <v>40</v>
      </c>
      <c r="J59">
        <v>1</v>
      </c>
      <c r="N59" t="s">
        <v>26</v>
      </c>
      <c r="S59">
        <v>1</v>
      </c>
      <c r="T59">
        <v>59</v>
      </c>
      <c r="X59" s="5"/>
      <c r="AA59" t="s">
        <v>33</v>
      </c>
      <c r="AB59" t="s">
        <v>29</v>
      </c>
      <c r="AC59" s="5">
        <v>1</v>
      </c>
      <c r="AD59" s="5"/>
      <c r="AE59" s="7"/>
      <c r="AF59" s="7"/>
      <c r="AG59" t="s">
        <v>2302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9" customHeight="1" x14ac:dyDescent="0.2">
      <c r="A60" s="9" t="s">
        <v>595</v>
      </c>
      <c r="B60" s="9">
        <v>1921</v>
      </c>
      <c r="C60" s="7">
        <v>8</v>
      </c>
      <c r="D60" s="7" t="s">
        <v>596</v>
      </c>
      <c r="G60" t="s">
        <v>2304</v>
      </c>
      <c r="H60" t="s">
        <v>2303</v>
      </c>
      <c r="I60">
        <v>41</v>
      </c>
      <c r="J60">
        <v>1</v>
      </c>
      <c r="N60" t="s">
        <v>26</v>
      </c>
      <c r="S60">
        <v>1</v>
      </c>
      <c r="T60">
        <v>22</v>
      </c>
      <c r="X60" s="5"/>
      <c r="AA60" t="s">
        <v>137</v>
      </c>
      <c r="AB60" t="s">
        <v>29</v>
      </c>
      <c r="AC60" s="5">
        <v>1</v>
      </c>
      <c r="AD60" s="5"/>
      <c r="AE60" s="7"/>
      <c r="AF60" s="7">
        <v>1</v>
      </c>
      <c r="AG60" t="s">
        <v>2305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9" customHeight="1" x14ac:dyDescent="0.2">
      <c r="A61" s="9" t="s">
        <v>595</v>
      </c>
      <c r="B61" s="9">
        <v>1921</v>
      </c>
      <c r="C61" s="7"/>
      <c r="D61" s="7" t="s">
        <v>596</v>
      </c>
      <c r="H61">
        <v>4</v>
      </c>
      <c r="X61" s="5"/>
      <c r="AC61" s="5"/>
      <c r="AD61" s="5"/>
      <c r="AE61" s="7"/>
      <c r="AF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9" customHeight="1" x14ac:dyDescent="0.2">
      <c r="A62" s="9" t="s">
        <v>595</v>
      </c>
      <c r="B62" s="9">
        <v>1921</v>
      </c>
      <c r="C62" s="7"/>
      <c r="D62" s="7" t="s">
        <v>596</v>
      </c>
      <c r="G62" t="s">
        <v>1</v>
      </c>
      <c r="H62" t="s">
        <v>0</v>
      </c>
      <c r="J62" t="s">
        <v>3</v>
      </c>
      <c r="N62" t="s">
        <v>2</v>
      </c>
      <c r="T62" t="s">
        <v>5</v>
      </c>
      <c r="X62" s="5"/>
      <c r="AA62" t="s">
        <v>7</v>
      </c>
      <c r="AB62" t="s">
        <v>8</v>
      </c>
      <c r="AC62" s="5"/>
      <c r="AD62" s="5"/>
      <c r="AE62" s="7"/>
      <c r="AF62" s="7"/>
      <c r="AG62" t="s">
        <v>6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9" customHeight="1" x14ac:dyDescent="0.2">
      <c r="A63" s="9" t="s">
        <v>595</v>
      </c>
      <c r="B63" s="9">
        <v>1921</v>
      </c>
      <c r="C63" s="7">
        <v>9</v>
      </c>
      <c r="D63" s="7" t="s">
        <v>596</v>
      </c>
      <c r="F63">
        <v>4</v>
      </c>
      <c r="G63" t="s">
        <v>2306</v>
      </c>
      <c r="H63" t="s">
        <v>751</v>
      </c>
      <c r="I63">
        <v>42</v>
      </c>
      <c r="J63" t="s">
        <v>13</v>
      </c>
      <c r="K63">
        <v>1</v>
      </c>
      <c r="N63">
        <v>1</v>
      </c>
      <c r="T63">
        <v>70</v>
      </c>
      <c r="X63" s="5"/>
      <c r="AA63" t="s">
        <v>2307</v>
      </c>
      <c r="AB63" t="s">
        <v>2308</v>
      </c>
      <c r="AC63" s="5">
        <v>1</v>
      </c>
      <c r="AD63" s="5"/>
      <c r="AE63" s="7"/>
      <c r="AF63" s="7">
        <v>1</v>
      </c>
      <c r="AG63" t="s">
        <v>49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9" customHeight="1" x14ac:dyDescent="0.2">
      <c r="A64" s="9" t="s">
        <v>595</v>
      </c>
      <c r="B64" s="9">
        <v>1921</v>
      </c>
      <c r="C64" s="7">
        <v>9</v>
      </c>
      <c r="D64" s="7" t="s">
        <v>596</v>
      </c>
      <c r="G64" t="s">
        <v>2306</v>
      </c>
      <c r="H64" t="s">
        <v>2309</v>
      </c>
      <c r="I64">
        <v>43</v>
      </c>
      <c r="J64">
        <v>1</v>
      </c>
      <c r="N64" t="s">
        <v>18</v>
      </c>
      <c r="O64">
        <v>1</v>
      </c>
      <c r="T64">
        <v>62</v>
      </c>
      <c r="X64" s="5"/>
      <c r="AA64" t="s">
        <v>50</v>
      </c>
      <c r="AB64" t="s">
        <v>20</v>
      </c>
      <c r="AC64" s="5"/>
      <c r="AD64" s="5"/>
      <c r="AE64" s="7"/>
      <c r="AF64" s="7"/>
      <c r="AG64" t="s">
        <v>329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9" customHeight="1" x14ac:dyDescent="0.2">
      <c r="A65" s="9" t="s">
        <v>595</v>
      </c>
      <c r="B65" s="9">
        <v>1921</v>
      </c>
      <c r="C65" s="7">
        <v>9</v>
      </c>
      <c r="D65" s="7" t="s">
        <v>596</v>
      </c>
      <c r="G65" t="s">
        <v>1309</v>
      </c>
      <c r="H65" t="s">
        <v>2310</v>
      </c>
      <c r="I65">
        <v>44</v>
      </c>
      <c r="J65">
        <v>1</v>
      </c>
      <c r="N65" t="s">
        <v>58</v>
      </c>
      <c r="R65">
        <v>1</v>
      </c>
      <c r="T65">
        <v>37</v>
      </c>
      <c r="X65" s="5"/>
      <c r="AA65" t="s">
        <v>50</v>
      </c>
      <c r="AB65" t="s">
        <v>20</v>
      </c>
      <c r="AC65" s="5"/>
      <c r="AD65" s="5"/>
      <c r="AE65" s="7"/>
      <c r="AF65" s="7">
        <v>1</v>
      </c>
      <c r="AG65" t="s">
        <v>49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9" customHeight="1" x14ac:dyDescent="0.2">
      <c r="A66" s="9" t="s">
        <v>595</v>
      </c>
      <c r="B66" s="9">
        <v>1921</v>
      </c>
      <c r="C66" s="7">
        <v>9</v>
      </c>
      <c r="D66" s="7" t="s">
        <v>596</v>
      </c>
      <c r="G66" t="s">
        <v>2311</v>
      </c>
      <c r="H66" t="s">
        <v>366</v>
      </c>
      <c r="I66">
        <v>45</v>
      </c>
      <c r="J66">
        <v>1</v>
      </c>
      <c r="N66" t="s">
        <v>26</v>
      </c>
      <c r="S66">
        <v>1</v>
      </c>
      <c r="T66">
        <v>60</v>
      </c>
      <c r="X66" s="5"/>
      <c r="AA66" t="s">
        <v>2312</v>
      </c>
      <c r="AB66" t="s">
        <v>16</v>
      </c>
      <c r="AC66" s="5">
        <v>1</v>
      </c>
      <c r="AD66" s="5"/>
      <c r="AE66" s="7"/>
      <c r="AF66" s="7">
        <v>1</v>
      </c>
      <c r="AG66" t="s">
        <v>718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9" customHeight="1" x14ac:dyDescent="0.2">
      <c r="A67" s="9" t="s">
        <v>595</v>
      </c>
      <c r="B67" s="9">
        <v>1921</v>
      </c>
      <c r="C67" s="7">
        <v>9</v>
      </c>
      <c r="D67" s="7" t="s">
        <v>596</v>
      </c>
      <c r="G67" t="s">
        <v>2159</v>
      </c>
      <c r="H67" t="s">
        <v>2313</v>
      </c>
      <c r="I67">
        <v>46</v>
      </c>
      <c r="J67">
        <v>1</v>
      </c>
      <c r="N67" t="s">
        <v>26</v>
      </c>
      <c r="S67">
        <v>1</v>
      </c>
      <c r="T67">
        <v>46</v>
      </c>
      <c r="X67" s="5"/>
      <c r="AA67" t="s">
        <v>56</v>
      </c>
      <c r="AB67" t="s">
        <v>29</v>
      </c>
      <c r="AC67" s="5">
        <v>1</v>
      </c>
      <c r="AD67" s="5"/>
      <c r="AE67" s="7"/>
      <c r="AF67" s="7"/>
      <c r="AG67" t="s">
        <v>2314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9" customHeight="1" x14ac:dyDescent="0.2">
      <c r="A68" s="9" t="s">
        <v>595</v>
      </c>
      <c r="B68" s="9">
        <v>1921</v>
      </c>
      <c r="C68" s="7">
        <v>9</v>
      </c>
      <c r="D68" s="7" t="s">
        <v>596</v>
      </c>
      <c r="G68" t="s">
        <v>2316</v>
      </c>
      <c r="H68" t="s">
        <v>2315</v>
      </c>
      <c r="I68">
        <v>47</v>
      </c>
      <c r="J68">
        <v>1</v>
      </c>
      <c r="N68" t="s">
        <v>26</v>
      </c>
      <c r="S68">
        <v>1</v>
      </c>
      <c r="T68">
        <v>20</v>
      </c>
      <c r="X68" s="5"/>
      <c r="AA68" t="s">
        <v>56</v>
      </c>
      <c r="AB68" t="s">
        <v>29</v>
      </c>
      <c r="AC68" s="5">
        <v>1</v>
      </c>
      <c r="AD68" s="5"/>
      <c r="AE68" s="7"/>
      <c r="AF68" s="7">
        <v>1</v>
      </c>
      <c r="AG68" t="s">
        <v>1352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9" customHeight="1" x14ac:dyDescent="0.2">
      <c r="A69" s="9" t="s">
        <v>595</v>
      </c>
      <c r="B69" s="9">
        <v>1921</v>
      </c>
      <c r="C69" s="7"/>
      <c r="D69" s="7" t="s">
        <v>596</v>
      </c>
      <c r="H69">
        <v>6</v>
      </c>
      <c r="X69" s="5"/>
      <c r="AC69" s="5"/>
      <c r="AD69" s="5"/>
      <c r="AE69" s="7"/>
      <c r="AF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9" customHeight="1" x14ac:dyDescent="0.2">
      <c r="A70" s="9" t="s">
        <v>595</v>
      </c>
      <c r="B70" s="9">
        <v>1921</v>
      </c>
      <c r="C70" s="7"/>
      <c r="D70" s="7" t="s">
        <v>596</v>
      </c>
      <c r="G70" t="s">
        <v>1</v>
      </c>
      <c r="H70" t="s">
        <v>0</v>
      </c>
      <c r="J70" t="s">
        <v>3</v>
      </c>
      <c r="N70" t="s">
        <v>2</v>
      </c>
      <c r="T70" t="s">
        <v>5</v>
      </c>
      <c r="X70" s="5"/>
      <c r="AA70" t="s">
        <v>7</v>
      </c>
      <c r="AB70" t="s">
        <v>8</v>
      </c>
      <c r="AC70" s="5"/>
      <c r="AD70" s="5"/>
      <c r="AE70" s="7"/>
      <c r="AF70" s="7"/>
      <c r="AG70" t="s">
        <v>6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9" customHeight="1" x14ac:dyDescent="0.2">
      <c r="A71" s="9" t="s">
        <v>595</v>
      </c>
      <c r="B71" s="9">
        <v>1921</v>
      </c>
      <c r="C71" s="7">
        <v>10</v>
      </c>
      <c r="D71" s="7" t="s">
        <v>596</v>
      </c>
      <c r="F71">
        <v>5</v>
      </c>
      <c r="G71" t="s">
        <v>2317</v>
      </c>
      <c r="H71" t="s">
        <v>919</v>
      </c>
      <c r="I71">
        <v>48</v>
      </c>
      <c r="J71" t="s">
        <v>13</v>
      </c>
      <c r="K71">
        <v>1</v>
      </c>
      <c r="N71">
        <v>1</v>
      </c>
      <c r="T71">
        <v>47</v>
      </c>
      <c r="X71" s="5"/>
      <c r="AA71" t="s">
        <v>2318</v>
      </c>
      <c r="AB71" t="s">
        <v>16</v>
      </c>
      <c r="AC71" s="5">
        <v>1</v>
      </c>
      <c r="AD71" s="5"/>
      <c r="AE71" s="7"/>
      <c r="AF71" s="7">
        <v>1</v>
      </c>
      <c r="AG71" t="s">
        <v>1050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9" customHeight="1" x14ac:dyDescent="0.2">
      <c r="A72" s="9" t="s">
        <v>595</v>
      </c>
      <c r="B72" s="9">
        <v>1921</v>
      </c>
      <c r="C72" s="7">
        <v>10</v>
      </c>
      <c r="D72" s="7" t="s">
        <v>596</v>
      </c>
      <c r="G72" t="s">
        <v>2317</v>
      </c>
      <c r="H72" t="s">
        <v>422</v>
      </c>
      <c r="I72">
        <v>49</v>
      </c>
      <c r="J72">
        <v>1</v>
      </c>
      <c r="N72" t="s">
        <v>18</v>
      </c>
      <c r="O72">
        <v>1</v>
      </c>
      <c r="T72">
        <v>43</v>
      </c>
      <c r="X72" s="5"/>
      <c r="AA72" t="s">
        <v>50</v>
      </c>
      <c r="AB72" t="s">
        <v>20</v>
      </c>
      <c r="AC72" s="5"/>
      <c r="AD72" s="5"/>
      <c r="AE72" s="7"/>
      <c r="AF72" s="7">
        <v>1</v>
      </c>
      <c r="AG72" t="s">
        <v>49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9" customHeight="1" x14ac:dyDescent="0.2">
      <c r="A73" s="9" t="s">
        <v>595</v>
      </c>
      <c r="B73" s="9">
        <v>1921</v>
      </c>
      <c r="C73" s="7">
        <v>10</v>
      </c>
      <c r="D73" s="7" t="s">
        <v>596</v>
      </c>
      <c r="G73" t="s">
        <v>2317</v>
      </c>
      <c r="H73" t="s">
        <v>2319</v>
      </c>
      <c r="I73">
        <v>50</v>
      </c>
      <c r="J73" t="s">
        <v>13</v>
      </c>
      <c r="K73">
        <v>1</v>
      </c>
      <c r="N73" t="s">
        <v>51</v>
      </c>
      <c r="Q73">
        <v>1</v>
      </c>
      <c r="T73">
        <v>17</v>
      </c>
      <c r="X73" s="5"/>
      <c r="AA73" t="s">
        <v>20</v>
      </c>
      <c r="AB73" t="s">
        <v>20</v>
      </c>
      <c r="AC73" s="5"/>
      <c r="AD73" s="5"/>
      <c r="AE73" s="7"/>
      <c r="AF73" s="7">
        <v>1</v>
      </c>
      <c r="AG73" t="s">
        <v>49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9" customHeight="1" x14ac:dyDescent="0.2">
      <c r="A74" s="9" t="s">
        <v>595</v>
      </c>
      <c r="B74" s="9">
        <v>1921</v>
      </c>
      <c r="C74" s="7">
        <v>10</v>
      </c>
      <c r="D74" s="7" t="s">
        <v>596</v>
      </c>
      <c r="G74" t="s">
        <v>2317</v>
      </c>
      <c r="H74" t="s">
        <v>2320</v>
      </c>
      <c r="I74">
        <v>51</v>
      </c>
      <c r="J74" t="s">
        <v>13</v>
      </c>
      <c r="K74">
        <v>1</v>
      </c>
      <c r="N74" t="s">
        <v>51</v>
      </c>
      <c r="Q74">
        <v>1</v>
      </c>
      <c r="T74">
        <v>15</v>
      </c>
      <c r="X74" s="5"/>
      <c r="AA74" t="s">
        <v>20</v>
      </c>
      <c r="AB74" t="s">
        <v>20</v>
      </c>
      <c r="AC74" s="5"/>
      <c r="AD74" s="5"/>
      <c r="AE74" s="7"/>
      <c r="AF74" s="7">
        <v>1</v>
      </c>
      <c r="AG74" t="s">
        <v>49</v>
      </c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9" customHeight="1" x14ac:dyDescent="0.2">
      <c r="A75" s="9" t="s">
        <v>595</v>
      </c>
      <c r="B75" s="9">
        <v>1921</v>
      </c>
      <c r="C75" s="7">
        <v>10</v>
      </c>
      <c r="D75" s="7" t="s">
        <v>596</v>
      </c>
      <c r="G75" t="s">
        <v>431</v>
      </c>
      <c r="H75" t="s">
        <v>2321</v>
      </c>
      <c r="I75">
        <v>52</v>
      </c>
      <c r="J75">
        <v>1</v>
      </c>
      <c r="N75" t="s">
        <v>26</v>
      </c>
      <c r="S75">
        <v>1</v>
      </c>
      <c r="T75">
        <v>22</v>
      </c>
      <c r="X75" s="5"/>
      <c r="AA75" t="s">
        <v>344</v>
      </c>
      <c r="AB75" t="s">
        <v>29</v>
      </c>
      <c r="AC75" s="5">
        <v>1</v>
      </c>
      <c r="AD75" s="5"/>
      <c r="AE75" s="7"/>
      <c r="AF75" s="7">
        <v>1</v>
      </c>
      <c r="AG75" t="s">
        <v>49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9" customHeight="1" x14ac:dyDescent="0.2">
      <c r="A76" s="9" t="s">
        <v>595</v>
      </c>
      <c r="B76" s="9">
        <v>1921</v>
      </c>
      <c r="C76" s="7">
        <v>10</v>
      </c>
      <c r="D76" s="7" t="s">
        <v>596</v>
      </c>
      <c r="G76" t="s">
        <v>2322</v>
      </c>
      <c r="H76" t="s">
        <v>84</v>
      </c>
      <c r="I76">
        <v>53</v>
      </c>
      <c r="J76">
        <v>1</v>
      </c>
      <c r="N76" t="s">
        <v>1238</v>
      </c>
      <c r="R76">
        <v>1</v>
      </c>
      <c r="T76">
        <v>62</v>
      </c>
      <c r="X76" s="5"/>
      <c r="AA76" t="s">
        <v>50</v>
      </c>
      <c r="AB76" t="s">
        <v>20</v>
      </c>
      <c r="AC76" s="5"/>
      <c r="AD76" s="5"/>
      <c r="AE76" s="7"/>
      <c r="AF76" s="7">
        <v>1</v>
      </c>
      <c r="AG76" t="s">
        <v>2323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9" customHeight="1" x14ac:dyDescent="0.2">
      <c r="A77" s="9" t="s">
        <v>595</v>
      </c>
      <c r="B77" s="9">
        <v>1921</v>
      </c>
      <c r="C77" s="7"/>
      <c r="D77" s="7" t="s">
        <v>596</v>
      </c>
      <c r="H77">
        <v>6</v>
      </c>
      <c r="X77" s="5"/>
      <c r="AC77" s="5"/>
      <c r="AD77" s="5"/>
      <c r="AE77" s="7"/>
      <c r="AF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9" customHeight="1" x14ac:dyDescent="0.2">
      <c r="A78" s="9" t="s">
        <v>595</v>
      </c>
      <c r="B78" s="9">
        <v>1921</v>
      </c>
      <c r="C78" s="7"/>
      <c r="D78" s="7" t="s">
        <v>596</v>
      </c>
      <c r="G78" t="s">
        <v>1</v>
      </c>
      <c r="H78" t="s">
        <v>0</v>
      </c>
      <c r="J78" t="s">
        <v>3</v>
      </c>
      <c r="N78" t="s">
        <v>2</v>
      </c>
      <c r="T78" t="s">
        <v>5</v>
      </c>
      <c r="X78" s="5"/>
      <c r="AA78" t="s">
        <v>7</v>
      </c>
      <c r="AB78" t="s">
        <v>8</v>
      </c>
      <c r="AC78" s="5"/>
      <c r="AD78" s="5"/>
      <c r="AE78" s="7"/>
      <c r="AF78" s="7"/>
      <c r="AG78" t="s">
        <v>6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9" customHeight="1" x14ac:dyDescent="0.2">
      <c r="A79" s="9" t="s">
        <v>595</v>
      </c>
      <c r="B79" s="9">
        <v>1921</v>
      </c>
      <c r="C79" s="7">
        <v>11</v>
      </c>
      <c r="D79" s="7" t="s">
        <v>596</v>
      </c>
      <c r="F79">
        <v>11</v>
      </c>
      <c r="G79" t="s">
        <v>2325</v>
      </c>
      <c r="H79" t="s">
        <v>2324</v>
      </c>
      <c r="I79">
        <v>54</v>
      </c>
      <c r="J79" t="s">
        <v>13</v>
      </c>
      <c r="K79">
        <v>1</v>
      </c>
      <c r="N79">
        <v>1</v>
      </c>
      <c r="T79">
        <v>53</v>
      </c>
      <c r="X79" s="5"/>
      <c r="AA79" t="s">
        <v>2326</v>
      </c>
      <c r="AB79" t="s">
        <v>8</v>
      </c>
      <c r="AC79" s="5">
        <v>1</v>
      </c>
      <c r="AD79" s="5">
        <v>1</v>
      </c>
      <c r="AE79" s="7"/>
      <c r="AF79" s="7">
        <v>1</v>
      </c>
      <c r="AG79" t="s">
        <v>49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9" customHeight="1" x14ac:dyDescent="0.2">
      <c r="A80" s="9" t="s">
        <v>595</v>
      </c>
      <c r="B80" s="9">
        <v>1921</v>
      </c>
      <c r="C80" s="7">
        <v>11</v>
      </c>
      <c r="D80" s="7" t="s">
        <v>596</v>
      </c>
      <c r="G80" t="s">
        <v>2325</v>
      </c>
      <c r="H80" t="s">
        <v>2327</v>
      </c>
      <c r="I80">
        <v>55</v>
      </c>
      <c r="J80">
        <v>1</v>
      </c>
      <c r="N80" t="s">
        <v>18</v>
      </c>
      <c r="O80">
        <v>1</v>
      </c>
      <c r="T80">
        <v>52</v>
      </c>
      <c r="X80" s="5"/>
      <c r="AA80" t="s">
        <v>50</v>
      </c>
      <c r="AB80" t="s">
        <v>20</v>
      </c>
      <c r="AC80" s="5"/>
      <c r="AD80" s="5"/>
      <c r="AE80" s="7"/>
      <c r="AF80" s="7">
        <v>1</v>
      </c>
      <c r="AG80" t="s">
        <v>49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9" customHeight="1" x14ac:dyDescent="0.2">
      <c r="A81" s="9" t="s">
        <v>595</v>
      </c>
      <c r="B81" s="9">
        <v>1921</v>
      </c>
      <c r="C81" s="7">
        <v>11</v>
      </c>
      <c r="D81" s="7" t="s">
        <v>596</v>
      </c>
      <c r="G81" t="s">
        <v>2325</v>
      </c>
      <c r="H81" t="s">
        <v>2328</v>
      </c>
      <c r="I81">
        <v>56</v>
      </c>
      <c r="L81">
        <v>1</v>
      </c>
      <c r="N81" t="s">
        <v>22</v>
      </c>
      <c r="P81">
        <v>1</v>
      </c>
      <c r="T81">
        <v>8</v>
      </c>
      <c r="X81" s="5"/>
      <c r="AA81" t="s">
        <v>20</v>
      </c>
      <c r="AB81" t="s">
        <v>20</v>
      </c>
      <c r="AC81" s="5"/>
      <c r="AD81" s="5"/>
      <c r="AE81" s="7"/>
      <c r="AF81" s="7">
        <v>1</v>
      </c>
      <c r="AG81" t="s">
        <v>49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9" customHeight="1" x14ac:dyDescent="0.2">
      <c r="A82" s="9" t="s">
        <v>595</v>
      </c>
      <c r="B82" s="9">
        <v>1921</v>
      </c>
      <c r="C82" s="7">
        <v>11</v>
      </c>
      <c r="D82" s="7" t="s">
        <v>596</v>
      </c>
      <c r="G82" t="s">
        <v>2330</v>
      </c>
      <c r="H82" t="s">
        <v>2329</v>
      </c>
      <c r="I82">
        <v>57</v>
      </c>
      <c r="J82">
        <v>1</v>
      </c>
      <c r="N82" t="s">
        <v>26</v>
      </c>
      <c r="S82">
        <v>1</v>
      </c>
      <c r="T82">
        <v>25</v>
      </c>
      <c r="X82" s="5"/>
      <c r="AA82" t="s">
        <v>344</v>
      </c>
      <c r="AB82" t="s">
        <v>29</v>
      </c>
      <c r="AC82" s="5">
        <v>1</v>
      </c>
      <c r="AD82" s="5"/>
      <c r="AE82" s="7"/>
      <c r="AF82" s="7"/>
      <c r="AG82" t="s">
        <v>432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9" customHeight="1" x14ac:dyDescent="0.2">
      <c r="A83" s="9" t="s">
        <v>595</v>
      </c>
      <c r="B83" s="9">
        <v>1921</v>
      </c>
      <c r="C83" s="7">
        <v>11</v>
      </c>
      <c r="D83" s="7" t="s">
        <v>596</v>
      </c>
      <c r="G83" t="s">
        <v>2331</v>
      </c>
      <c r="H83" t="s">
        <v>829</v>
      </c>
      <c r="I83">
        <v>58</v>
      </c>
      <c r="J83">
        <v>1</v>
      </c>
      <c r="N83" t="s">
        <v>26</v>
      </c>
      <c r="S83">
        <v>1</v>
      </c>
      <c r="T83">
        <v>18</v>
      </c>
      <c r="X83" s="5"/>
      <c r="AA83" t="s">
        <v>344</v>
      </c>
      <c r="AB83" t="s">
        <v>29</v>
      </c>
      <c r="AC83" s="5">
        <v>1</v>
      </c>
      <c r="AD83" s="5"/>
      <c r="AE83" s="7"/>
      <c r="AF83" s="7">
        <v>1</v>
      </c>
      <c r="AG83" t="s">
        <v>705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19" customHeight="1" x14ac:dyDescent="0.2">
      <c r="A84" s="9" t="s">
        <v>595</v>
      </c>
      <c r="B84" s="9">
        <v>1921</v>
      </c>
      <c r="C84" s="7"/>
      <c r="D84" s="7" t="s">
        <v>596</v>
      </c>
      <c r="H84">
        <v>5</v>
      </c>
      <c r="X84" s="5"/>
      <c r="AC84" s="5"/>
      <c r="AD84" s="5"/>
      <c r="AE84" s="7"/>
      <c r="AF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19" customHeight="1" x14ac:dyDescent="0.2">
      <c r="A85" s="9" t="s">
        <v>595</v>
      </c>
      <c r="B85" s="9">
        <v>1921</v>
      </c>
      <c r="C85" s="7"/>
      <c r="D85" s="7" t="s">
        <v>596</v>
      </c>
      <c r="G85" t="s">
        <v>1</v>
      </c>
      <c r="H85" t="s">
        <v>0</v>
      </c>
      <c r="J85" t="s">
        <v>3</v>
      </c>
      <c r="N85" t="s">
        <v>2</v>
      </c>
      <c r="T85" t="s">
        <v>5</v>
      </c>
      <c r="X85" s="5"/>
      <c r="AA85" t="s">
        <v>7</v>
      </c>
      <c r="AB85" t="s">
        <v>8</v>
      </c>
      <c r="AC85" s="5"/>
      <c r="AD85" s="5"/>
      <c r="AE85" s="7"/>
      <c r="AF85" s="7"/>
      <c r="AG85" t="s">
        <v>6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19" customHeight="1" x14ac:dyDescent="0.2">
      <c r="A86" s="9" t="s">
        <v>595</v>
      </c>
      <c r="B86" s="9">
        <v>1921</v>
      </c>
      <c r="C86" s="7">
        <v>12</v>
      </c>
      <c r="D86" s="7" t="s">
        <v>596</v>
      </c>
      <c r="F86">
        <v>17</v>
      </c>
      <c r="G86" t="s">
        <v>2333</v>
      </c>
      <c r="H86" t="s">
        <v>2332</v>
      </c>
      <c r="I86">
        <v>59</v>
      </c>
      <c r="J86" t="s">
        <v>13</v>
      </c>
      <c r="K86">
        <v>1</v>
      </c>
      <c r="N86">
        <v>1</v>
      </c>
      <c r="T86">
        <v>43</v>
      </c>
      <c r="X86" s="5"/>
      <c r="AA86" t="s">
        <v>2335</v>
      </c>
      <c r="AB86" t="s">
        <v>2336</v>
      </c>
      <c r="AC86" s="5">
        <v>1</v>
      </c>
      <c r="AD86" s="5"/>
      <c r="AE86" s="7"/>
      <c r="AF86" s="7"/>
      <c r="AG86" t="s">
        <v>2334</v>
      </c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19" customHeight="1" x14ac:dyDescent="0.2">
      <c r="A87" s="9" t="s">
        <v>595</v>
      </c>
      <c r="B87" s="9">
        <v>1921</v>
      </c>
      <c r="C87" s="7">
        <v>12</v>
      </c>
      <c r="D87" s="7" t="s">
        <v>596</v>
      </c>
      <c r="G87" t="s">
        <v>2333</v>
      </c>
      <c r="H87" t="s">
        <v>2337</v>
      </c>
      <c r="I87">
        <v>60</v>
      </c>
      <c r="J87" t="s">
        <v>13</v>
      </c>
      <c r="M87">
        <v>1</v>
      </c>
      <c r="N87" t="s">
        <v>51</v>
      </c>
      <c r="Q87">
        <v>1</v>
      </c>
      <c r="T87">
        <v>10</v>
      </c>
      <c r="X87" s="5"/>
      <c r="AA87" t="s">
        <v>20</v>
      </c>
      <c r="AB87" t="s">
        <v>20</v>
      </c>
      <c r="AC87" s="5"/>
      <c r="AD87" s="5"/>
      <c r="AE87" s="7"/>
      <c r="AF87" s="7"/>
      <c r="AG87" t="s">
        <v>2338</v>
      </c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ht="19" customHeight="1" x14ac:dyDescent="0.2">
      <c r="A88" s="9" t="s">
        <v>595</v>
      </c>
      <c r="B88" s="9">
        <v>1921</v>
      </c>
      <c r="C88" s="7">
        <v>12</v>
      </c>
      <c r="D88" s="7" t="s">
        <v>596</v>
      </c>
      <c r="G88" t="s">
        <v>2339</v>
      </c>
      <c r="H88" t="s">
        <v>138</v>
      </c>
      <c r="I88">
        <v>61</v>
      </c>
      <c r="J88">
        <v>1</v>
      </c>
      <c r="N88" t="s">
        <v>26</v>
      </c>
      <c r="S88">
        <v>1</v>
      </c>
      <c r="T88">
        <v>27</v>
      </c>
      <c r="X88" s="5"/>
      <c r="AA88" t="s">
        <v>344</v>
      </c>
      <c r="AB88" t="s">
        <v>29</v>
      </c>
      <c r="AC88" s="5">
        <v>1</v>
      </c>
      <c r="AD88" s="5"/>
      <c r="AE88" s="7"/>
      <c r="AF88" s="7"/>
      <c r="AG88" t="s">
        <v>1087</v>
      </c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ht="19" customHeight="1" x14ac:dyDescent="0.2">
      <c r="A89" s="9" t="s">
        <v>595</v>
      </c>
      <c r="B89" s="9">
        <v>1921</v>
      </c>
      <c r="C89" s="7"/>
      <c r="D89" s="7" t="s">
        <v>596</v>
      </c>
      <c r="H89">
        <v>3</v>
      </c>
      <c r="X89" s="5"/>
      <c r="AC89" s="5"/>
      <c r="AD89" s="5"/>
      <c r="AE89" s="7"/>
      <c r="AF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ht="19" customHeight="1" x14ac:dyDescent="0.2">
      <c r="A90" s="9" t="s">
        <v>595</v>
      </c>
      <c r="B90" s="9">
        <v>1921</v>
      </c>
      <c r="C90" s="7"/>
      <c r="D90" s="7" t="s">
        <v>596</v>
      </c>
      <c r="G90" t="s">
        <v>1</v>
      </c>
      <c r="H90" t="s">
        <v>0</v>
      </c>
      <c r="J90" t="s">
        <v>3</v>
      </c>
      <c r="N90" t="s">
        <v>2</v>
      </c>
      <c r="T90" t="s">
        <v>5</v>
      </c>
      <c r="X90" s="5"/>
      <c r="AA90" t="s">
        <v>7</v>
      </c>
      <c r="AB90" t="s">
        <v>8</v>
      </c>
      <c r="AC90" s="5"/>
      <c r="AD90" s="5"/>
      <c r="AE90" s="7"/>
      <c r="AF90" s="7"/>
      <c r="AG90" t="s">
        <v>6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ht="19" customHeight="1" x14ac:dyDescent="0.2">
      <c r="A91" s="9" t="s">
        <v>595</v>
      </c>
      <c r="B91" s="9">
        <v>1921</v>
      </c>
      <c r="C91" s="7">
        <v>13</v>
      </c>
      <c r="D91" s="7" t="s">
        <v>596</v>
      </c>
      <c r="F91">
        <v>19</v>
      </c>
      <c r="G91" t="s">
        <v>2340</v>
      </c>
      <c r="H91" t="s">
        <v>676</v>
      </c>
      <c r="I91">
        <v>62</v>
      </c>
      <c r="J91" t="s">
        <v>13</v>
      </c>
      <c r="K91">
        <v>1</v>
      </c>
      <c r="N91">
        <v>1</v>
      </c>
      <c r="T91">
        <v>43</v>
      </c>
      <c r="X91" s="5"/>
      <c r="AA91" t="s">
        <v>923</v>
      </c>
      <c r="AB91" t="s">
        <v>2341</v>
      </c>
      <c r="AC91" s="5">
        <v>1</v>
      </c>
      <c r="AD91" s="5"/>
      <c r="AE91" s="7"/>
      <c r="AF91" s="7">
        <v>1</v>
      </c>
      <c r="AG91" t="s">
        <v>49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19" customHeight="1" x14ac:dyDescent="0.2">
      <c r="A92" s="9" t="s">
        <v>595</v>
      </c>
      <c r="B92" s="9">
        <v>1921</v>
      </c>
      <c r="C92" s="7">
        <v>13</v>
      </c>
      <c r="D92" s="7" t="s">
        <v>596</v>
      </c>
      <c r="G92" t="s">
        <v>2340</v>
      </c>
      <c r="H92" t="s">
        <v>2342</v>
      </c>
      <c r="I92">
        <v>63</v>
      </c>
      <c r="J92">
        <v>1</v>
      </c>
      <c r="N92" t="s">
        <v>18</v>
      </c>
      <c r="O92">
        <v>1</v>
      </c>
      <c r="T92">
        <v>34</v>
      </c>
      <c r="X92" s="5"/>
      <c r="AA92" t="s">
        <v>50</v>
      </c>
      <c r="AB92" t="s">
        <v>20</v>
      </c>
      <c r="AC92" s="5"/>
      <c r="AD92" s="5"/>
      <c r="AE92" s="7"/>
      <c r="AF92" s="7">
        <v>1</v>
      </c>
      <c r="AG92" t="s">
        <v>749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19" customHeight="1" x14ac:dyDescent="0.2">
      <c r="A93" s="9" t="s">
        <v>595</v>
      </c>
      <c r="B93" s="9">
        <v>1921</v>
      </c>
      <c r="C93" s="7">
        <v>13</v>
      </c>
      <c r="D93" s="7" t="s">
        <v>596</v>
      </c>
      <c r="G93" t="s">
        <v>2344</v>
      </c>
      <c r="H93" t="s">
        <v>2343</v>
      </c>
      <c r="I93">
        <v>64</v>
      </c>
      <c r="J93">
        <v>1</v>
      </c>
      <c r="N93" t="s">
        <v>26</v>
      </c>
      <c r="S93">
        <v>1</v>
      </c>
      <c r="T93">
        <v>38</v>
      </c>
      <c r="X93" s="5"/>
      <c r="AA93" t="s">
        <v>2345</v>
      </c>
      <c r="AB93" t="s">
        <v>29</v>
      </c>
      <c r="AC93" s="5">
        <v>1</v>
      </c>
      <c r="AD93" s="5"/>
      <c r="AE93" s="7"/>
      <c r="AF93" s="7"/>
      <c r="AG93" t="s">
        <v>212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19" customHeight="1" x14ac:dyDescent="0.2">
      <c r="A94" s="9" t="s">
        <v>595</v>
      </c>
      <c r="B94" s="9">
        <v>1921</v>
      </c>
      <c r="C94" s="7">
        <v>13</v>
      </c>
      <c r="D94" s="7" t="s">
        <v>596</v>
      </c>
      <c r="G94" t="s">
        <v>2347</v>
      </c>
      <c r="H94" t="s">
        <v>2346</v>
      </c>
      <c r="I94">
        <v>65</v>
      </c>
      <c r="J94">
        <v>1</v>
      </c>
      <c r="N94" t="s">
        <v>26</v>
      </c>
      <c r="S94">
        <v>1</v>
      </c>
      <c r="T94">
        <v>18</v>
      </c>
      <c r="X94" s="5"/>
      <c r="AA94" t="s">
        <v>2349</v>
      </c>
      <c r="AB94" t="s">
        <v>29</v>
      </c>
      <c r="AC94" s="5">
        <v>1</v>
      </c>
      <c r="AD94" s="5"/>
      <c r="AE94" s="7"/>
      <c r="AF94" s="7"/>
      <c r="AG94" t="s">
        <v>2348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17.5" customHeight="1" x14ac:dyDescent="0.2">
      <c r="A95" s="9" t="s">
        <v>595</v>
      </c>
      <c r="B95" s="9">
        <v>1921</v>
      </c>
      <c r="C95" s="7"/>
      <c r="D95" s="7" t="s">
        <v>596</v>
      </c>
      <c r="H95">
        <v>4</v>
      </c>
      <c r="X95" s="7"/>
      <c r="AC95" s="7"/>
      <c r="AD95" s="7"/>
      <c r="AE95" s="7"/>
      <c r="AF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17.5" customHeight="1" x14ac:dyDescent="0.2">
      <c r="A96" s="9" t="s">
        <v>595</v>
      </c>
      <c r="B96" s="9">
        <v>1921</v>
      </c>
      <c r="C96" s="7"/>
      <c r="D96" s="7" t="s">
        <v>596</v>
      </c>
      <c r="G96" t="s">
        <v>1</v>
      </c>
      <c r="H96" t="s">
        <v>0</v>
      </c>
      <c r="J96" t="s">
        <v>3</v>
      </c>
      <c r="N96" t="s">
        <v>2</v>
      </c>
      <c r="T96" t="s">
        <v>5</v>
      </c>
      <c r="X96" s="7"/>
      <c r="AA96" t="s">
        <v>7</v>
      </c>
      <c r="AB96" t="s">
        <v>8</v>
      </c>
      <c r="AC96" s="7"/>
      <c r="AD96" s="7"/>
      <c r="AE96" s="7"/>
      <c r="AF96" s="7"/>
      <c r="AG96" t="s">
        <v>6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17.5" customHeight="1" x14ac:dyDescent="0.2">
      <c r="A97" s="9" t="s">
        <v>595</v>
      </c>
      <c r="B97" s="9">
        <v>1921</v>
      </c>
      <c r="C97" s="7">
        <v>14</v>
      </c>
      <c r="D97" s="7" t="s">
        <v>596</v>
      </c>
      <c r="F97">
        <v>23</v>
      </c>
      <c r="G97" t="s">
        <v>1751</v>
      </c>
      <c r="H97" t="s">
        <v>2350</v>
      </c>
      <c r="I97">
        <v>66</v>
      </c>
      <c r="J97" t="s">
        <v>13</v>
      </c>
      <c r="K97">
        <v>1</v>
      </c>
      <c r="N97">
        <v>1</v>
      </c>
      <c r="T97">
        <v>49</v>
      </c>
      <c r="X97" s="7"/>
      <c r="AA97" t="s">
        <v>2351</v>
      </c>
      <c r="AB97" t="s">
        <v>8</v>
      </c>
      <c r="AC97" s="7">
        <v>1</v>
      </c>
      <c r="AD97" s="7">
        <v>1</v>
      </c>
      <c r="AE97" s="7"/>
      <c r="AF97" s="7">
        <v>1</v>
      </c>
      <c r="AG97" t="s">
        <v>49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17.5" customHeight="1" x14ac:dyDescent="0.2">
      <c r="A98" s="9" t="s">
        <v>595</v>
      </c>
      <c r="B98" s="9">
        <v>1921</v>
      </c>
      <c r="C98" s="7">
        <v>14</v>
      </c>
      <c r="D98" s="7" t="s">
        <v>596</v>
      </c>
      <c r="G98" t="s">
        <v>1751</v>
      </c>
      <c r="H98" t="s">
        <v>2352</v>
      </c>
      <c r="I98">
        <v>67</v>
      </c>
      <c r="J98">
        <v>1</v>
      </c>
      <c r="N98" t="s">
        <v>18</v>
      </c>
      <c r="O98">
        <v>1</v>
      </c>
      <c r="T98">
        <v>39</v>
      </c>
      <c r="X98" s="7"/>
      <c r="AA98" t="s">
        <v>50</v>
      </c>
      <c r="AB98" t="s">
        <v>20</v>
      </c>
      <c r="AC98" s="7"/>
      <c r="AD98" s="7"/>
      <c r="AE98" s="7"/>
      <c r="AF98" s="7">
        <v>1</v>
      </c>
      <c r="AG98" t="s">
        <v>2353</v>
      </c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17.5" customHeight="1" x14ac:dyDescent="0.2">
      <c r="A99" s="9" t="s">
        <v>595</v>
      </c>
      <c r="B99" s="9">
        <v>1921</v>
      </c>
      <c r="C99" s="7">
        <v>14</v>
      </c>
      <c r="D99" s="7" t="s">
        <v>596</v>
      </c>
      <c r="G99" t="s">
        <v>1751</v>
      </c>
      <c r="H99" t="s">
        <v>2352</v>
      </c>
      <c r="I99">
        <v>68</v>
      </c>
      <c r="L99">
        <v>1</v>
      </c>
      <c r="N99" t="s">
        <v>22</v>
      </c>
      <c r="P99">
        <v>1</v>
      </c>
      <c r="T99">
        <v>10</v>
      </c>
      <c r="X99" s="7"/>
      <c r="AA99" t="s">
        <v>20</v>
      </c>
      <c r="AB99" t="s">
        <v>20</v>
      </c>
      <c r="AC99" s="7"/>
      <c r="AD99" s="7"/>
      <c r="AE99" s="7"/>
      <c r="AF99" s="7">
        <v>1</v>
      </c>
      <c r="AG99" t="s">
        <v>49</v>
      </c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17.5" customHeight="1" x14ac:dyDescent="0.2">
      <c r="A100" s="9" t="s">
        <v>595</v>
      </c>
      <c r="B100" s="9">
        <v>1921</v>
      </c>
      <c r="C100" s="7">
        <v>14</v>
      </c>
      <c r="D100" s="7" t="s">
        <v>596</v>
      </c>
      <c r="G100" t="s">
        <v>2355</v>
      </c>
      <c r="H100" t="s">
        <v>2354</v>
      </c>
      <c r="I100">
        <v>69</v>
      </c>
      <c r="J100">
        <v>1</v>
      </c>
      <c r="N100" t="s">
        <v>26</v>
      </c>
      <c r="S100">
        <v>1</v>
      </c>
      <c r="T100">
        <v>25</v>
      </c>
      <c r="X100" s="7"/>
      <c r="AA100" t="s">
        <v>344</v>
      </c>
      <c r="AB100" t="s">
        <v>29</v>
      </c>
      <c r="AC100" s="7">
        <v>1</v>
      </c>
      <c r="AD100" s="7"/>
      <c r="AE100" s="7"/>
      <c r="AF100" s="7">
        <v>1</v>
      </c>
      <c r="AG100" t="s">
        <v>2356</v>
      </c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7.5" customHeight="1" x14ac:dyDescent="0.2">
      <c r="A101" s="9" t="s">
        <v>595</v>
      </c>
      <c r="B101" s="9">
        <v>1921</v>
      </c>
      <c r="C101" s="7"/>
      <c r="D101" s="7" t="s">
        <v>596</v>
      </c>
      <c r="H101">
        <v>4</v>
      </c>
      <c r="X101" s="7"/>
      <c r="AC101" s="7"/>
      <c r="AD101" s="7"/>
      <c r="AE101" s="7"/>
      <c r="AF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17.5" customHeight="1" x14ac:dyDescent="0.2">
      <c r="A102" s="9" t="s">
        <v>595</v>
      </c>
      <c r="B102" s="9">
        <v>1921</v>
      </c>
      <c r="C102" s="7"/>
      <c r="D102" s="7" t="s">
        <v>596</v>
      </c>
      <c r="G102" t="s">
        <v>1</v>
      </c>
      <c r="H102" t="s">
        <v>0</v>
      </c>
      <c r="J102" t="s">
        <v>3</v>
      </c>
      <c r="N102" t="s">
        <v>2</v>
      </c>
      <c r="T102" t="s">
        <v>5</v>
      </c>
      <c r="X102" s="7"/>
      <c r="AA102" t="s">
        <v>7</v>
      </c>
      <c r="AB102" t="s">
        <v>8</v>
      </c>
      <c r="AC102" s="7"/>
      <c r="AD102" s="7"/>
      <c r="AE102" s="7"/>
      <c r="AF102" s="7"/>
      <c r="AG102" t="s">
        <v>6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17" customHeight="1" x14ac:dyDescent="0.2">
      <c r="A103" s="9" t="s">
        <v>595</v>
      </c>
      <c r="B103" s="9">
        <v>1921</v>
      </c>
      <c r="C103" s="7">
        <v>15</v>
      </c>
      <c r="D103" s="7" t="s">
        <v>596</v>
      </c>
      <c r="F103">
        <v>25</v>
      </c>
      <c r="G103" t="s">
        <v>2357</v>
      </c>
      <c r="H103" t="s">
        <v>386</v>
      </c>
      <c r="I103">
        <v>70</v>
      </c>
      <c r="J103" t="s">
        <v>13</v>
      </c>
      <c r="K103">
        <v>1</v>
      </c>
      <c r="N103">
        <v>1</v>
      </c>
      <c r="T103">
        <v>55</v>
      </c>
      <c r="X103" s="7">
        <f>SUM(X3:X102)</f>
        <v>0</v>
      </c>
      <c r="AA103" t="s">
        <v>2358</v>
      </c>
      <c r="AB103" t="s">
        <v>8</v>
      </c>
      <c r="AC103" s="7">
        <v>1</v>
      </c>
      <c r="AD103" s="7">
        <v>1</v>
      </c>
      <c r="AE103" s="7"/>
      <c r="AF103" s="7"/>
      <c r="AG103" t="s">
        <v>368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17.5" customHeight="1" x14ac:dyDescent="0.2">
      <c r="A104" s="9" t="s">
        <v>595</v>
      </c>
      <c r="B104" s="9">
        <v>1921</v>
      </c>
      <c r="C104" s="7">
        <v>15</v>
      </c>
      <c r="D104" s="7" t="s">
        <v>596</v>
      </c>
      <c r="G104" t="s">
        <v>2357</v>
      </c>
      <c r="H104" t="s">
        <v>2359</v>
      </c>
      <c r="I104">
        <v>71</v>
      </c>
      <c r="J104">
        <v>1</v>
      </c>
      <c r="N104" t="s">
        <v>18</v>
      </c>
      <c r="O104">
        <v>1</v>
      </c>
      <c r="T104">
        <v>54</v>
      </c>
      <c r="X104" s="7"/>
      <c r="AA104" t="s">
        <v>20</v>
      </c>
      <c r="AB104" t="s">
        <v>20</v>
      </c>
      <c r="AC104" s="7"/>
      <c r="AD104" s="7"/>
      <c r="AE104" s="7"/>
      <c r="AF104" s="7"/>
      <c r="AG104" t="s">
        <v>2360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17.5" customHeight="1" x14ac:dyDescent="0.2">
      <c r="A105" s="9" t="s">
        <v>595</v>
      </c>
      <c r="B105" s="9">
        <v>1921</v>
      </c>
      <c r="C105" s="7">
        <v>15</v>
      </c>
      <c r="D105" s="7" t="s">
        <v>596</v>
      </c>
      <c r="G105" t="s">
        <v>2362</v>
      </c>
      <c r="H105" t="s">
        <v>2361</v>
      </c>
      <c r="I105">
        <v>72</v>
      </c>
      <c r="J105">
        <v>1</v>
      </c>
      <c r="N105" t="s">
        <v>378</v>
      </c>
      <c r="S105">
        <v>1</v>
      </c>
      <c r="T105">
        <v>42</v>
      </c>
      <c r="X105" s="7"/>
      <c r="AA105" t="s">
        <v>489</v>
      </c>
      <c r="AB105" t="s">
        <v>29</v>
      </c>
      <c r="AC105" s="7">
        <v>1</v>
      </c>
      <c r="AD105" s="7"/>
      <c r="AE105" s="7"/>
      <c r="AF105" s="7"/>
      <c r="AG105" t="s">
        <v>2360</v>
      </c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17.5" customHeight="1" x14ac:dyDescent="0.2">
      <c r="A106" s="9" t="s">
        <v>595</v>
      </c>
      <c r="B106" s="9">
        <v>1921</v>
      </c>
      <c r="C106" s="7">
        <v>15</v>
      </c>
      <c r="D106" s="7" t="s">
        <v>596</v>
      </c>
      <c r="E106" s="11"/>
      <c r="F106" s="12"/>
      <c r="G106" s="12"/>
      <c r="H106" s="12">
        <v>3</v>
      </c>
      <c r="I106" s="12"/>
      <c r="J106" s="12"/>
      <c r="K106" s="13"/>
      <c r="L106" s="12"/>
      <c r="M106" s="12"/>
      <c r="N106" s="12"/>
      <c r="O106" s="12"/>
      <c r="P106" s="12"/>
      <c r="Q106" s="13"/>
      <c r="R106" s="13"/>
      <c r="S106" s="13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28" customHeight="1" x14ac:dyDescent="0.2">
      <c r="A107" s="9" t="s">
        <v>595</v>
      </c>
      <c r="B107" s="9">
        <v>1921</v>
      </c>
      <c r="C107" s="7">
        <v>15</v>
      </c>
      <c r="D107" s="7" t="s">
        <v>596</v>
      </c>
      <c r="E107" s="11"/>
      <c r="F107" s="12"/>
      <c r="G107" s="12"/>
      <c r="H107" s="12"/>
      <c r="I107" s="12">
        <v>72</v>
      </c>
      <c r="J107" s="14">
        <f>SUM(J3:J105)</f>
        <v>40</v>
      </c>
      <c r="K107" s="14">
        <f t="shared" ref="K107:AI107" si="0">SUM(K3:K105)</f>
        <v>26</v>
      </c>
      <c r="L107" s="14">
        <f t="shared" si="0"/>
        <v>4</v>
      </c>
      <c r="M107" s="14">
        <f t="shared" si="0"/>
        <v>2</v>
      </c>
      <c r="N107" s="14">
        <f t="shared" si="0"/>
        <v>16</v>
      </c>
      <c r="O107" s="14">
        <f t="shared" si="0"/>
        <v>12</v>
      </c>
      <c r="P107" s="14">
        <f t="shared" si="0"/>
        <v>5</v>
      </c>
      <c r="Q107" s="14">
        <f t="shared" si="0"/>
        <v>9</v>
      </c>
      <c r="R107" s="14">
        <f t="shared" si="0"/>
        <v>8</v>
      </c>
      <c r="S107" s="14">
        <f t="shared" si="0"/>
        <v>22</v>
      </c>
      <c r="T107" s="14">
        <f t="shared" si="0"/>
        <v>2724</v>
      </c>
      <c r="U107" s="14">
        <f t="shared" si="0"/>
        <v>0</v>
      </c>
      <c r="V107" s="14">
        <f t="shared" si="0"/>
        <v>0</v>
      </c>
      <c r="W107" s="14">
        <f t="shared" si="0"/>
        <v>0</v>
      </c>
      <c r="X107" s="14">
        <f t="shared" si="0"/>
        <v>0</v>
      </c>
      <c r="Y107" s="14">
        <f t="shared" si="0"/>
        <v>0</v>
      </c>
      <c r="Z107" s="14">
        <f t="shared" si="0"/>
        <v>0</v>
      </c>
      <c r="AA107" s="14">
        <f t="shared" si="0"/>
        <v>0</v>
      </c>
      <c r="AB107" s="14">
        <f t="shared" si="0"/>
        <v>0</v>
      </c>
      <c r="AC107" s="14">
        <f t="shared" si="0"/>
        <v>43</v>
      </c>
      <c r="AD107" s="14">
        <f t="shared" si="0"/>
        <v>6</v>
      </c>
      <c r="AE107" s="14">
        <f>AC107-AD107</f>
        <v>37</v>
      </c>
      <c r="AF107" s="14">
        <f t="shared" si="0"/>
        <v>35</v>
      </c>
      <c r="AG107" s="14">
        <f>I108-AF107</f>
        <v>37</v>
      </c>
      <c r="AH107" s="14">
        <f>AG107+AF107</f>
        <v>72</v>
      </c>
      <c r="AI107" s="14">
        <f t="shared" si="0"/>
        <v>0</v>
      </c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17.5" customHeight="1" x14ac:dyDescent="0.2">
      <c r="B108" s="7"/>
      <c r="C108" s="7"/>
      <c r="D108" s="7"/>
      <c r="E108" s="7"/>
      <c r="F108" s="7"/>
      <c r="G108" s="7"/>
      <c r="H108" s="7"/>
      <c r="I108" s="7">
        <f>SUM(J107:M107)</f>
        <v>72</v>
      </c>
      <c r="J108" s="7"/>
      <c r="K108" s="9"/>
      <c r="L108" s="7"/>
      <c r="M108" s="6"/>
      <c r="N108" s="6">
        <f>SUM(N107:S107)</f>
        <v>72</v>
      </c>
      <c r="O108" s="6"/>
      <c r="P108" s="6"/>
      <c r="Q108" s="18"/>
      <c r="R108" s="18"/>
      <c r="S108" s="18"/>
      <c r="T108" s="150">
        <f>T107/I108</f>
        <v>37.833333333333336</v>
      </c>
      <c r="U108" s="6"/>
      <c r="V108" s="6"/>
      <c r="W108" s="6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17.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6"/>
      <c r="N109" s="6"/>
      <c r="O109" s="6"/>
      <c r="P109" s="6"/>
      <c r="Q109" s="7"/>
      <c r="R109" s="6"/>
      <c r="S109" s="6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17.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6"/>
      <c r="N110" s="6"/>
      <c r="O110" s="6"/>
      <c r="P110" s="6"/>
      <c r="Q110" s="6"/>
      <c r="R110" s="6"/>
      <c r="S110" s="6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17.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6"/>
      <c r="N111" s="6"/>
      <c r="O111" s="6"/>
      <c r="P111" s="6"/>
      <c r="Q111" s="6"/>
      <c r="R111" s="6"/>
      <c r="S111" s="6"/>
      <c r="T111" s="7"/>
      <c r="U111" s="6"/>
      <c r="V111" s="6"/>
      <c r="W111" s="6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17.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6"/>
      <c r="N112" s="6"/>
      <c r="O112" s="6"/>
      <c r="P112" s="6"/>
      <c r="Q112" s="7"/>
      <c r="R112" s="6"/>
      <c r="S112" s="6"/>
      <c r="T112" s="7"/>
      <c r="U112" s="6"/>
      <c r="V112" s="6"/>
      <c r="W112" s="6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17.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6"/>
      <c r="N113" s="6"/>
      <c r="O113" s="6"/>
      <c r="P113" s="6"/>
      <c r="Q113" s="7"/>
      <c r="R113" s="6"/>
      <c r="S113" s="6"/>
      <c r="T113" s="7"/>
      <c r="U113" s="6"/>
      <c r="V113" s="6"/>
      <c r="W113" s="6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ht="17.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6"/>
      <c r="N114" s="6"/>
      <c r="O114" s="6"/>
      <c r="P114" s="6"/>
      <c r="Q114" s="7"/>
      <c r="R114" s="6"/>
      <c r="S114" s="6"/>
      <c r="T114" s="7"/>
      <c r="U114" s="6"/>
      <c r="V114" s="6"/>
      <c r="W114" s="6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ht="17.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6"/>
      <c r="N115" s="6"/>
      <c r="O115" s="6"/>
      <c r="P115" s="6"/>
      <c r="Q115" s="7"/>
      <c r="R115" s="6"/>
      <c r="S115" s="6"/>
      <c r="T115" s="7"/>
      <c r="U115" s="6"/>
      <c r="V115" s="6"/>
      <c r="W115" s="6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ht="17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ht="17.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6"/>
      <c r="N117" s="6"/>
      <c r="O117" s="6"/>
      <c r="P117" s="6"/>
      <c r="Q117" s="7"/>
      <c r="R117" s="6"/>
      <c r="S117" s="6"/>
      <c r="T117" s="19"/>
      <c r="U117" s="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ht="17.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6"/>
      <c r="N118" s="6"/>
      <c r="O118" s="6"/>
      <c r="P118" s="6"/>
      <c r="Q118" s="7"/>
      <c r="R118" s="6"/>
      <c r="S118" s="6"/>
      <c r="T118" s="7"/>
      <c r="U118" s="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ht="17.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6"/>
      <c r="N119" s="6"/>
      <c r="O119" s="6"/>
      <c r="P119" s="6"/>
      <c r="Q119" s="7"/>
      <c r="R119" s="6"/>
      <c r="S119" s="6"/>
      <c r="T119" s="7"/>
      <c r="U119" s="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ht="17.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6"/>
      <c r="N120" s="6"/>
      <c r="O120" s="6"/>
      <c r="P120" s="6"/>
      <c r="Q120" s="7"/>
      <c r="R120" s="6"/>
      <c r="S120" s="6"/>
      <c r="T120" s="19"/>
      <c r="U120" s="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ht="17.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6"/>
      <c r="N121" s="6"/>
      <c r="O121" s="6"/>
      <c r="P121" s="6"/>
      <c r="Q121" s="7"/>
      <c r="R121" s="6"/>
      <c r="S121" s="6"/>
      <c r="T121" s="7"/>
      <c r="U121" s="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ht="17.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6"/>
      <c r="N122" s="6"/>
      <c r="O122" s="6"/>
      <c r="P122" s="6"/>
      <c r="Q122" s="7"/>
      <c r="R122" s="6"/>
      <c r="S122" s="6"/>
      <c r="T122" s="7"/>
      <c r="U122" s="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ht="17.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6"/>
      <c r="N123" s="6"/>
      <c r="O123" s="6"/>
      <c r="P123" s="6"/>
      <c r="Q123" s="7"/>
      <c r="R123" s="6"/>
      <c r="S123" s="6"/>
      <c r="T123" s="7"/>
      <c r="U123" s="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ht="17.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6"/>
      <c r="N124" s="6"/>
      <c r="O124" s="6"/>
      <c r="P124" s="6"/>
      <c r="Q124" s="7"/>
      <c r="R124" s="6"/>
      <c r="S124" s="6"/>
      <c r="T124" s="7"/>
      <c r="U124" s="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ht="17.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6"/>
      <c r="N125" s="6"/>
      <c r="O125" s="6"/>
      <c r="P125" s="6"/>
      <c r="Q125" s="7"/>
      <c r="R125" s="6"/>
      <c r="S125" s="6"/>
      <c r="T125" s="7"/>
      <c r="U125" s="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ht="17.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6"/>
      <c r="N126" s="6"/>
      <c r="O126" s="6"/>
      <c r="P126" s="6"/>
      <c r="Q126" s="7"/>
      <c r="R126" s="6"/>
      <c r="S126" s="6"/>
      <c r="T126" s="7"/>
      <c r="U126" s="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ht="17.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6"/>
      <c r="N127" s="6"/>
      <c r="O127" s="6"/>
      <c r="P127" s="6"/>
      <c r="Q127" s="7"/>
      <c r="R127" s="6"/>
      <c r="S127" s="6"/>
      <c r="T127" s="7"/>
      <c r="U127" s="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ht="17.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6"/>
      <c r="N128" s="6"/>
      <c r="O128" s="6"/>
      <c r="P128" s="6"/>
      <c r="Q128" s="7"/>
      <c r="R128" s="6"/>
      <c r="S128" s="6"/>
      <c r="T128" s="7"/>
      <c r="U128" s="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ht="17.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6"/>
      <c r="N129" s="6"/>
      <c r="O129" s="6"/>
      <c r="P129" s="6"/>
      <c r="Q129" s="7"/>
      <c r="R129" s="6"/>
      <c r="S129" s="6"/>
      <c r="T129" s="7"/>
      <c r="U129" s="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ht="17.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6"/>
      <c r="N130" s="6"/>
      <c r="O130" s="6"/>
      <c r="P130" s="6"/>
      <c r="Q130" s="7"/>
      <c r="R130" s="6"/>
      <c r="S130" s="6"/>
      <c r="T130" s="7"/>
      <c r="U130" s="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ht="17" customHeight="1" x14ac:dyDescent="0.2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ht="17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20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ht="17" customHeight="1" x14ac:dyDescent="0.2">
      <c r="A133" s="7"/>
      <c r="B133" s="7"/>
      <c r="C133" s="7"/>
      <c r="D133" s="7"/>
      <c r="E133" s="7"/>
      <c r="F133" s="7"/>
      <c r="G133" s="21"/>
      <c r="H133" s="21"/>
      <c r="I133" s="21"/>
      <c r="J133" s="7"/>
      <c r="K133" s="7"/>
      <c r="L133" s="7"/>
      <c r="M133" s="7"/>
      <c r="N133" s="7"/>
      <c r="O133" s="7"/>
      <c r="P133" s="7"/>
      <c r="Q133" s="20"/>
      <c r="R133" s="21"/>
      <c r="S133" s="21"/>
      <c r="T133" s="21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ht="17.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6"/>
      <c r="S134" s="6"/>
      <c r="T134" s="19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ht="17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21"/>
      <c r="S135" s="21"/>
      <c r="T135" s="21"/>
      <c r="U135" s="7"/>
      <c r="V135" s="7"/>
      <c r="W135" s="7"/>
      <c r="X135" s="7"/>
      <c r="Y135" s="7"/>
      <c r="Z135" s="7"/>
      <c r="AA135" s="7"/>
      <c r="AB135" s="7"/>
      <c r="AC135" s="22"/>
      <c r="AD135" s="22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ht="17.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6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">
      <c r="H137" t="s">
        <v>0</v>
      </c>
      <c r="I137" t="s">
        <v>1</v>
      </c>
      <c r="J137" t="s">
        <v>2</v>
      </c>
      <c r="K137" t="s">
        <v>3</v>
      </c>
      <c r="L137" t="s">
        <v>4</v>
      </c>
      <c r="M137" t="s">
        <v>5</v>
      </c>
      <c r="N137" t="s">
        <v>6</v>
      </c>
      <c r="O137" t="s">
        <v>7</v>
      </c>
      <c r="P137" t="s">
        <v>8</v>
      </c>
    </row>
    <row r="138" spans="1:51" x14ac:dyDescent="0.2">
      <c r="E138" t="s">
        <v>2250</v>
      </c>
      <c r="H138" t="s">
        <v>107</v>
      </c>
      <c r="I138" t="s">
        <v>2243</v>
      </c>
      <c r="J138" t="s">
        <v>12</v>
      </c>
      <c r="K138" t="s">
        <v>13</v>
      </c>
      <c r="L138">
        <v>1881</v>
      </c>
      <c r="M138">
        <v>40</v>
      </c>
      <c r="N138" t="s">
        <v>2244</v>
      </c>
      <c r="O138" t="s">
        <v>2245</v>
      </c>
      <c r="P138" t="s">
        <v>2246</v>
      </c>
    </row>
    <row r="139" spans="1:51" x14ac:dyDescent="0.2">
      <c r="E139" t="s">
        <v>2250</v>
      </c>
      <c r="H139" t="s">
        <v>1981</v>
      </c>
      <c r="I139" t="s">
        <v>2243</v>
      </c>
      <c r="J139" t="s">
        <v>18</v>
      </c>
      <c r="K139" t="s">
        <v>19</v>
      </c>
      <c r="L139">
        <v>1883</v>
      </c>
      <c r="M139">
        <v>38</v>
      </c>
      <c r="N139" t="s">
        <v>2247</v>
      </c>
      <c r="O139" t="s">
        <v>20</v>
      </c>
      <c r="P139" t="s">
        <v>50</v>
      </c>
    </row>
    <row r="140" spans="1:51" x14ac:dyDescent="0.2">
      <c r="E140" t="s">
        <v>2250</v>
      </c>
      <c r="H140" t="s">
        <v>2248</v>
      </c>
      <c r="I140" t="s">
        <v>2243</v>
      </c>
      <c r="J140" t="s">
        <v>51</v>
      </c>
      <c r="K140" t="s">
        <v>13</v>
      </c>
      <c r="L140">
        <v>1908</v>
      </c>
      <c r="M140">
        <v>13</v>
      </c>
      <c r="N140" t="s">
        <v>2249</v>
      </c>
      <c r="O140" t="s">
        <v>20</v>
      </c>
      <c r="P140" t="s">
        <v>20</v>
      </c>
    </row>
    <row r="141" spans="1:51" x14ac:dyDescent="0.2">
      <c r="E141" t="s">
        <v>2250</v>
      </c>
      <c r="H141" t="s">
        <v>104</v>
      </c>
      <c r="I141" t="s">
        <v>2243</v>
      </c>
      <c r="J141" t="s">
        <v>51</v>
      </c>
      <c r="K141" t="s">
        <v>13</v>
      </c>
      <c r="L141">
        <v>1910</v>
      </c>
      <c r="M141">
        <v>11</v>
      </c>
      <c r="N141" t="s">
        <v>2249</v>
      </c>
      <c r="O141" t="s">
        <v>20</v>
      </c>
      <c r="P141" t="s">
        <v>20</v>
      </c>
    </row>
    <row r="142" spans="1:51" x14ac:dyDescent="0.2">
      <c r="E142" t="s">
        <v>2250</v>
      </c>
      <c r="H142" t="s">
        <v>738</v>
      </c>
      <c r="I142" t="s">
        <v>2243</v>
      </c>
      <c r="J142" t="s">
        <v>22</v>
      </c>
      <c r="K142" t="s">
        <v>19</v>
      </c>
      <c r="L142">
        <v>1917</v>
      </c>
      <c r="M142">
        <v>4</v>
      </c>
      <c r="N142" t="s">
        <v>778</v>
      </c>
      <c r="O142" t="s">
        <v>20</v>
      </c>
      <c r="P142" t="s">
        <v>20</v>
      </c>
    </row>
    <row r="143" spans="1:51" x14ac:dyDescent="0.2">
      <c r="E143" t="s">
        <v>2250</v>
      </c>
      <c r="H143" t="s">
        <v>905</v>
      </c>
      <c r="I143" t="s">
        <v>1049</v>
      </c>
      <c r="J143" t="s">
        <v>26</v>
      </c>
      <c r="K143" t="s">
        <v>19</v>
      </c>
      <c r="L143">
        <v>1905</v>
      </c>
      <c r="M143">
        <v>16</v>
      </c>
      <c r="N143" t="s">
        <v>415</v>
      </c>
      <c r="O143" t="s">
        <v>20</v>
      </c>
      <c r="P143" t="s">
        <v>29</v>
      </c>
    </row>
    <row r="144" spans="1:51" x14ac:dyDescent="0.2">
      <c r="E144" t="s">
        <v>2250</v>
      </c>
    </row>
    <row r="145" spans="5:16" x14ac:dyDescent="0.2">
      <c r="E145" t="s">
        <v>2250</v>
      </c>
      <c r="H145" t="s">
        <v>0</v>
      </c>
      <c r="I145" t="s">
        <v>1</v>
      </c>
      <c r="J145" t="s">
        <v>2</v>
      </c>
      <c r="K145" t="s">
        <v>3</v>
      </c>
      <c r="L145" t="s">
        <v>4</v>
      </c>
      <c r="M145" t="s">
        <v>5</v>
      </c>
      <c r="N145" t="s">
        <v>6</v>
      </c>
      <c r="O145" t="s">
        <v>7</v>
      </c>
      <c r="P145" t="s">
        <v>8</v>
      </c>
    </row>
    <row r="146" spans="5:16" x14ac:dyDescent="0.2">
      <c r="E146" t="s">
        <v>2250</v>
      </c>
      <c r="H146" t="s">
        <v>2251</v>
      </c>
      <c r="I146" t="s">
        <v>2252</v>
      </c>
      <c r="J146" t="s">
        <v>12</v>
      </c>
      <c r="K146" t="s">
        <v>13</v>
      </c>
      <c r="L146">
        <v>1893</v>
      </c>
      <c r="M146">
        <v>28</v>
      </c>
      <c r="N146" t="s">
        <v>20</v>
      </c>
      <c r="O146" t="s">
        <v>2253</v>
      </c>
      <c r="P146" t="s">
        <v>20</v>
      </c>
    </row>
    <row r="147" spans="5:16" x14ac:dyDescent="0.2">
      <c r="E147" t="s">
        <v>2250</v>
      </c>
      <c r="H147" t="s">
        <v>905</v>
      </c>
      <c r="I147" t="s">
        <v>2252</v>
      </c>
      <c r="J147" t="s">
        <v>18</v>
      </c>
      <c r="K147" t="s">
        <v>19</v>
      </c>
      <c r="L147">
        <v>1892</v>
      </c>
      <c r="M147">
        <v>28</v>
      </c>
      <c r="N147" t="s">
        <v>2254</v>
      </c>
      <c r="O147" t="s">
        <v>47</v>
      </c>
      <c r="P147" t="s">
        <v>20</v>
      </c>
    </row>
    <row r="149" spans="5:16" x14ac:dyDescent="0.2">
      <c r="H149" t="s">
        <v>0</v>
      </c>
      <c r="I149" t="s">
        <v>1</v>
      </c>
      <c r="J149" t="s">
        <v>2</v>
      </c>
      <c r="K149" t="s">
        <v>3</v>
      </c>
      <c r="L149" t="s">
        <v>4</v>
      </c>
      <c r="M149" t="s">
        <v>5</v>
      </c>
      <c r="N149" t="s">
        <v>6</v>
      </c>
      <c r="O149" t="s">
        <v>7</v>
      </c>
      <c r="P149" t="s">
        <v>8</v>
      </c>
    </row>
    <row r="150" spans="5:16" x14ac:dyDescent="0.2">
      <c r="F150">
        <v>5</v>
      </c>
      <c r="H150" t="s">
        <v>386</v>
      </c>
      <c r="I150" t="s">
        <v>2255</v>
      </c>
      <c r="J150" t="s">
        <v>12</v>
      </c>
      <c r="K150" t="s">
        <v>13</v>
      </c>
      <c r="L150">
        <v>1864</v>
      </c>
      <c r="M150">
        <v>57</v>
      </c>
      <c r="N150" t="s">
        <v>14</v>
      </c>
      <c r="O150" t="s">
        <v>2256</v>
      </c>
      <c r="P150" t="s">
        <v>8</v>
      </c>
    </row>
    <row r="151" spans="5:16" x14ac:dyDescent="0.2">
      <c r="H151" t="s">
        <v>2086</v>
      </c>
      <c r="I151" t="s">
        <v>2255</v>
      </c>
      <c r="J151" t="s">
        <v>1208</v>
      </c>
      <c r="K151" t="s">
        <v>13</v>
      </c>
      <c r="L151">
        <v>1855</v>
      </c>
      <c r="M151">
        <v>66</v>
      </c>
      <c r="N151" t="s">
        <v>14</v>
      </c>
      <c r="O151" t="s">
        <v>2256</v>
      </c>
      <c r="P151" t="s">
        <v>16</v>
      </c>
    </row>
    <row r="152" spans="5:16" x14ac:dyDescent="0.2">
      <c r="H152" t="s">
        <v>939</v>
      </c>
      <c r="I152" t="s">
        <v>2255</v>
      </c>
      <c r="J152" t="s">
        <v>1208</v>
      </c>
      <c r="K152" t="s">
        <v>13</v>
      </c>
      <c r="L152">
        <v>1873</v>
      </c>
      <c r="M152">
        <v>47</v>
      </c>
      <c r="N152" t="s">
        <v>14</v>
      </c>
      <c r="O152" t="s">
        <v>2256</v>
      </c>
      <c r="P152" t="s">
        <v>16</v>
      </c>
    </row>
    <row r="153" spans="5:16" x14ac:dyDescent="0.2">
      <c r="H153" t="s">
        <v>423</v>
      </c>
      <c r="I153" t="s">
        <v>2257</v>
      </c>
      <c r="J153" t="s">
        <v>1208</v>
      </c>
      <c r="K153" t="s">
        <v>13</v>
      </c>
      <c r="L153">
        <v>1873</v>
      </c>
      <c r="M153">
        <v>47</v>
      </c>
      <c r="N153" t="s">
        <v>841</v>
      </c>
      <c r="O153" t="s">
        <v>2258</v>
      </c>
      <c r="P153" t="s">
        <v>29</v>
      </c>
    </row>
    <row r="154" spans="5:16" x14ac:dyDescent="0.2">
      <c r="H154" t="s">
        <v>138</v>
      </c>
      <c r="I154" t="s">
        <v>2257</v>
      </c>
      <c r="J154" t="s">
        <v>52</v>
      </c>
      <c r="K154" t="s">
        <v>19</v>
      </c>
      <c r="L154">
        <v>1873</v>
      </c>
      <c r="M154">
        <v>48</v>
      </c>
      <c r="N154" t="s">
        <v>841</v>
      </c>
      <c r="O154" t="s">
        <v>407</v>
      </c>
      <c r="P154" t="s">
        <v>29</v>
      </c>
    </row>
    <row r="155" spans="5:16" x14ac:dyDescent="0.2">
      <c r="H155" t="s">
        <v>24</v>
      </c>
      <c r="I155" t="s">
        <v>738</v>
      </c>
      <c r="J155" t="s">
        <v>28</v>
      </c>
      <c r="K155" t="s">
        <v>19</v>
      </c>
      <c r="L155">
        <v>1897</v>
      </c>
      <c r="M155">
        <v>24</v>
      </c>
      <c r="N155" t="s">
        <v>841</v>
      </c>
      <c r="O155" t="s">
        <v>28</v>
      </c>
      <c r="P155" t="s">
        <v>29</v>
      </c>
    </row>
    <row r="157" spans="5:16" x14ac:dyDescent="0.2">
      <c r="H157" t="s">
        <v>0</v>
      </c>
      <c r="I157" t="s">
        <v>1</v>
      </c>
      <c r="J157" t="s">
        <v>2</v>
      </c>
      <c r="K157" t="s">
        <v>3</v>
      </c>
      <c r="L157" t="s">
        <v>4</v>
      </c>
      <c r="M157" t="s">
        <v>5</v>
      </c>
      <c r="N157" t="s">
        <v>6</v>
      </c>
      <c r="O157" t="s">
        <v>7</v>
      </c>
      <c r="P157" t="s">
        <v>8</v>
      </c>
    </row>
    <row r="158" spans="5:16" x14ac:dyDescent="0.2">
      <c r="F158">
        <v>6</v>
      </c>
      <c r="H158" t="s">
        <v>336</v>
      </c>
      <c r="I158" t="s">
        <v>2259</v>
      </c>
      <c r="J158" t="s">
        <v>12</v>
      </c>
      <c r="K158" t="s">
        <v>19</v>
      </c>
      <c r="L158">
        <v>1842</v>
      </c>
      <c r="M158">
        <v>79</v>
      </c>
      <c r="N158" t="s">
        <v>2260</v>
      </c>
      <c r="O158" t="s">
        <v>47</v>
      </c>
      <c r="P158" t="s">
        <v>20</v>
      </c>
    </row>
    <row r="159" spans="5:16" x14ac:dyDescent="0.2">
      <c r="H159" t="s">
        <v>444</v>
      </c>
      <c r="I159" t="s">
        <v>2259</v>
      </c>
      <c r="J159" t="s">
        <v>1208</v>
      </c>
      <c r="K159" t="s">
        <v>13</v>
      </c>
      <c r="L159">
        <v>1849</v>
      </c>
      <c r="M159">
        <v>71</v>
      </c>
      <c r="N159" t="s">
        <v>2260</v>
      </c>
      <c r="O159" t="s">
        <v>2261</v>
      </c>
      <c r="P159" t="s">
        <v>2262</v>
      </c>
    </row>
    <row r="160" spans="5:16" x14ac:dyDescent="0.2">
      <c r="H160" t="s">
        <v>203</v>
      </c>
      <c r="I160" t="s">
        <v>2263</v>
      </c>
      <c r="J160" t="s">
        <v>1241</v>
      </c>
      <c r="K160" t="s">
        <v>19</v>
      </c>
      <c r="L160">
        <v>1843</v>
      </c>
      <c r="M160">
        <v>78</v>
      </c>
      <c r="N160" t="s">
        <v>1180</v>
      </c>
      <c r="O160" t="s">
        <v>47</v>
      </c>
      <c r="P160" t="s">
        <v>20</v>
      </c>
    </row>
    <row r="161" spans="6:16" x14ac:dyDescent="0.2">
      <c r="H161" t="s">
        <v>2264</v>
      </c>
      <c r="I161" t="s">
        <v>1870</v>
      </c>
      <c r="J161" t="s">
        <v>26</v>
      </c>
      <c r="K161" t="s">
        <v>19</v>
      </c>
      <c r="L161">
        <v>1872</v>
      </c>
      <c r="M161">
        <v>49</v>
      </c>
      <c r="N161" t="s">
        <v>2265</v>
      </c>
      <c r="O161" t="s">
        <v>33</v>
      </c>
      <c r="P161" t="s">
        <v>29</v>
      </c>
    </row>
    <row r="162" spans="6:16" x14ac:dyDescent="0.2">
      <c r="H162" t="s">
        <v>2266</v>
      </c>
      <c r="I162" t="s">
        <v>2267</v>
      </c>
      <c r="J162" t="s">
        <v>26</v>
      </c>
      <c r="K162" t="s">
        <v>19</v>
      </c>
      <c r="L162">
        <v>1895</v>
      </c>
      <c r="M162">
        <v>25</v>
      </c>
      <c r="N162" t="s">
        <v>1670</v>
      </c>
      <c r="O162" t="s">
        <v>28</v>
      </c>
      <c r="P162" t="s">
        <v>29</v>
      </c>
    </row>
    <row r="164" spans="6:16" x14ac:dyDescent="0.2">
      <c r="H164" t="s">
        <v>0</v>
      </c>
      <c r="I164" t="s">
        <v>1</v>
      </c>
      <c r="J164" t="s">
        <v>2</v>
      </c>
      <c r="K164" t="s">
        <v>3</v>
      </c>
      <c r="L164" t="s">
        <v>4</v>
      </c>
      <c r="M164" t="s">
        <v>5</v>
      </c>
      <c r="N164" t="s">
        <v>6</v>
      </c>
      <c r="O164" t="s">
        <v>7</v>
      </c>
      <c r="P164" t="s">
        <v>8</v>
      </c>
    </row>
    <row r="165" spans="6:16" x14ac:dyDescent="0.2">
      <c r="F165">
        <v>7</v>
      </c>
      <c r="H165" t="s">
        <v>464</v>
      </c>
      <c r="I165" t="s">
        <v>2268</v>
      </c>
      <c r="J165" t="s">
        <v>12</v>
      </c>
      <c r="K165" t="s">
        <v>13</v>
      </c>
      <c r="L165">
        <v>1863</v>
      </c>
      <c r="M165">
        <v>58</v>
      </c>
      <c r="N165" t="s">
        <v>49</v>
      </c>
      <c r="O165" t="s">
        <v>2269</v>
      </c>
      <c r="P165" t="s">
        <v>8</v>
      </c>
    </row>
    <row r="166" spans="6:16" x14ac:dyDescent="0.2">
      <c r="H166" t="s">
        <v>2270</v>
      </c>
      <c r="I166" t="s">
        <v>2268</v>
      </c>
      <c r="J166" t="s">
        <v>18</v>
      </c>
      <c r="K166" t="s">
        <v>19</v>
      </c>
      <c r="L166">
        <v>1858</v>
      </c>
      <c r="M166">
        <v>62</v>
      </c>
      <c r="N166" t="s">
        <v>49</v>
      </c>
      <c r="O166" t="s">
        <v>50</v>
      </c>
      <c r="P166" t="s">
        <v>20</v>
      </c>
    </row>
    <row r="167" spans="6:16" x14ac:dyDescent="0.2">
      <c r="H167" t="s">
        <v>2271</v>
      </c>
      <c r="I167" t="s">
        <v>2272</v>
      </c>
      <c r="J167" t="s">
        <v>26</v>
      </c>
      <c r="K167" t="s">
        <v>19</v>
      </c>
      <c r="L167">
        <v>1871</v>
      </c>
      <c r="M167">
        <v>49</v>
      </c>
      <c r="N167" t="s">
        <v>368</v>
      </c>
      <c r="O167" t="s">
        <v>56</v>
      </c>
      <c r="P167" t="s">
        <v>29</v>
      </c>
    </row>
    <row r="169" spans="6:16" x14ac:dyDescent="0.2">
      <c r="H169" t="s">
        <v>0</v>
      </c>
      <c r="I169" t="s">
        <v>1</v>
      </c>
      <c r="J169" t="s">
        <v>2</v>
      </c>
      <c r="K169" t="s">
        <v>3</v>
      </c>
      <c r="L169" t="s">
        <v>4</v>
      </c>
      <c r="M169" t="s">
        <v>5</v>
      </c>
      <c r="N169" t="s">
        <v>6</v>
      </c>
      <c r="O169" t="s">
        <v>7</v>
      </c>
      <c r="P169" t="s">
        <v>8</v>
      </c>
    </row>
    <row r="170" spans="6:16" x14ac:dyDescent="0.2">
      <c r="F170">
        <v>9</v>
      </c>
      <c r="H170" t="s">
        <v>2273</v>
      </c>
      <c r="I170" t="s">
        <v>1136</v>
      </c>
      <c r="J170" t="s">
        <v>12</v>
      </c>
      <c r="K170" t="s">
        <v>13</v>
      </c>
      <c r="L170">
        <v>1859</v>
      </c>
      <c r="M170">
        <v>62</v>
      </c>
      <c r="N170" t="s">
        <v>14</v>
      </c>
      <c r="O170" t="s">
        <v>1925</v>
      </c>
      <c r="P170" t="s">
        <v>2274</v>
      </c>
    </row>
    <row r="171" spans="6:16" x14ac:dyDescent="0.2">
      <c r="H171" t="s">
        <v>177</v>
      </c>
      <c r="I171" t="s">
        <v>2275</v>
      </c>
      <c r="J171" t="s">
        <v>26</v>
      </c>
      <c r="K171" t="s">
        <v>19</v>
      </c>
      <c r="L171">
        <v>1871</v>
      </c>
      <c r="M171">
        <v>49</v>
      </c>
      <c r="N171" t="s">
        <v>14</v>
      </c>
      <c r="O171" t="s">
        <v>2276</v>
      </c>
      <c r="P171" t="s">
        <v>29</v>
      </c>
    </row>
    <row r="173" spans="6:16" x14ac:dyDescent="0.2">
      <c r="H173" t="s">
        <v>0</v>
      </c>
      <c r="I173" t="s">
        <v>1</v>
      </c>
      <c r="J173" t="s">
        <v>2</v>
      </c>
      <c r="K173" t="s">
        <v>3</v>
      </c>
      <c r="L173" t="s">
        <v>4</v>
      </c>
      <c r="M173" t="s">
        <v>5</v>
      </c>
      <c r="N173" t="s">
        <v>6</v>
      </c>
      <c r="O173" t="s">
        <v>7</v>
      </c>
      <c r="P173" t="s">
        <v>8</v>
      </c>
    </row>
    <row r="174" spans="6:16" x14ac:dyDescent="0.2">
      <c r="F174">
        <v>21</v>
      </c>
      <c r="H174" t="s">
        <v>2277</v>
      </c>
      <c r="I174" t="s">
        <v>2278</v>
      </c>
      <c r="J174" t="s">
        <v>12</v>
      </c>
      <c r="K174" t="s">
        <v>13</v>
      </c>
      <c r="L174">
        <v>1881</v>
      </c>
      <c r="M174">
        <v>40</v>
      </c>
      <c r="N174" t="s">
        <v>14</v>
      </c>
      <c r="O174" t="s">
        <v>15</v>
      </c>
      <c r="P174" t="s">
        <v>16</v>
      </c>
    </row>
    <row r="175" spans="6:16" x14ac:dyDescent="0.2">
      <c r="H175" t="s">
        <v>2279</v>
      </c>
      <c r="I175" t="s">
        <v>2278</v>
      </c>
      <c r="J175" t="s">
        <v>18</v>
      </c>
      <c r="K175" t="s">
        <v>19</v>
      </c>
      <c r="L175">
        <v>1884</v>
      </c>
      <c r="M175">
        <v>37</v>
      </c>
      <c r="N175" t="s">
        <v>14</v>
      </c>
      <c r="O175" t="s">
        <v>50</v>
      </c>
      <c r="P175" t="s">
        <v>20</v>
      </c>
    </row>
    <row r="176" spans="6:16" x14ac:dyDescent="0.2">
      <c r="H176" t="s">
        <v>2280</v>
      </c>
      <c r="I176" t="s">
        <v>2278</v>
      </c>
      <c r="J176" t="s">
        <v>51</v>
      </c>
      <c r="K176" t="s">
        <v>13</v>
      </c>
      <c r="L176">
        <v>1909</v>
      </c>
      <c r="M176">
        <v>12</v>
      </c>
      <c r="N176" t="s">
        <v>14</v>
      </c>
      <c r="O176" t="s">
        <v>20</v>
      </c>
      <c r="P176" t="s">
        <v>20</v>
      </c>
    </row>
    <row r="177" spans="6:16" x14ac:dyDescent="0.2">
      <c r="H177" t="s">
        <v>2281</v>
      </c>
      <c r="I177" t="s">
        <v>2278</v>
      </c>
      <c r="J177" t="s">
        <v>51</v>
      </c>
      <c r="K177" t="s">
        <v>13</v>
      </c>
      <c r="L177">
        <v>1911</v>
      </c>
      <c r="M177">
        <v>10</v>
      </c>
      <c r="N177" t="s">
        <v>14</v>
      </c>
      <c r="O177" t="s">
        <v>20</v>
      </c>
      <c r="P177" t="s">
        <v>20</v>
      </c>
    </row>
    <row r="178" spans="6:16" x14ac:dyDescent="0.2">
      <c r="H178" t="s">
        <v>2282</v>
      </c>
      <c r="I178" t="s">
        <v>2278</v>
      </c>
      <c r="J178" t="s">
        <v>51</v>
      </c>
      <c r="K178" t="s">
        <v>13</v>
      </c>
      <c r="L178">
        <v>1918</v>
      </c>
      <c r="M178">
        <v>3</v>
      </c>
      <c r="N178" t="s">
        <v>14</v>
      </c>
      <c r="O178" t="s">
        <v>20</v>
      </c>
      <c r="P178" t="s">
        <v>20</v>
      </c>
    </row>
    <row r="179" spans="6:16" x14ac:dyDescent="0.2">
      <c r="H179" t="s">
        <v>2283</v>
      </c>
      <c r="I179" t="s">
        <v>2284</v>
      </c>
      <c r="J179" t="s">
        <v>26</v>
      </c>
      <c r="K179" t="s">
        <v>19</v>
      </c>
      <c r="L179">
        <v>1897</v>
      </c>
      <c r="M179">
        <v>24</v>
      </c>
      <c r="N179" t="s">
        <v>2040</v>
      </c>
      <c r="O179" t="s">
        <v>1808</v>
      </c>
      <c r="P179" t="s">
        <v>29</v>
      </c>
    </row>
    <row r="180" spans="6:16" x14ac:dyDescent="0.2">
      <c r="H180" t="s">
        <v>2285</v>
      </c>
      <c r="I180" t="s">
        <v>42</v>
      </c>
      <c r="J180" t="s">
        <v>26</v>
      </c>
      <c r="K180" t="s">
        <v>19</v>
      </c>
      <c r="L180">
        <v>1901</v>
      </c>
      <c r="M180">
        <v>19</v>
      </c>
      <c r="N180" t="s">
        <v>368</v>
      </c>
      <c r="O180" t="s">
        <v>344</v>
      </c>
      <c r="P180" t="s">
        <v>29</v>
      </c>
    </row>
    <row r="182" spans="6:16" x14ac:dyDescent="0.2">
      <c r="H182" t="s">
        <v>0</v>
      </c>
      <c r="I182" t="s">
        <v>1</v>
      </c>
      <c r="J182" t="s">
        <v>2</v>
      </c>
      <c r="K182" t="s">
        <v>3</v>
      </c>
      <c r="L182" t="s">
        <v>4</v>
      </c>
      <c r="M182" t="s">
        <v>5</v>
      </c>
      <c r="N182" t="s">
        <v>6</v>
      </c>
      <c r="O182" t="s">
        <v>7</v>
      </c>
      <c r="P182" t="s">
        <v>8</v>
      </c>
    </row>
    <row r="183" spans="6:16" x14ac:dyDescent="0.2">
      <c r="F183">
        <v>1</v>
      </c>
      <c r="H183" t="s">
        <v>2286</v>
      </c>
      <c r="I183" t="s">
        <v>1532</v>
      </c>
      <c r="J183" t="s">
        <v>12</v>
      </c>
      <c r="K183" t="s">
        <v>13</v>
      </c>
      <c r="L183">
        <v>1865</v>
      </c>
      <c r="M183">
        <v>56</v>
      </c>
      <c r="N183" t="s">
        <v>2287</v>
      </c>
      <c r="O183" t="s">
        <v>2288</v>
      </c>
      <c r="P183" t="s">
        <v>2289</v>
      </c>
    </row>
    <row r="184" spans="6:16" x14ac:dyDescent="0.2">
      <c r="H184" t="s">
        <v>1239</v>
      </c>
      <c r="I184" t="s">
        <v>1532</v>
      </c>
      <c r="J184" t="s">
        <v>18</v>
      </c>
      <c r="K184" t="s">
        <v>19</v>
      </c>
      <c r="L184">
        <v>1871</v>
      </c>
      <c r="M184">
        <v>50</v>
      </c>
      <c r="N184" t="s">
        <v>2290</v>
      </c>
      <c r="O184" t="s">
        <v>50</v>
      </c>
      <c r="P184" t="s">
        <v>20</v>
      </c>
    </row>
    <row r="185" spans="6:16" x14ac:dyDescent="0.2">
      <c r="H185" t="s">
        <v>2286</v>
      </c>
      <c r="I185" t="s">
        <v>1532</v>
      </c>
      <c r="J185" t="s">
        <v>51</v>
      </c>
      <c r="K185" t="s">
        <v>13</v>
      </c>
      <c r="L185">
        <v>1898</v>
      </c>
      <c r="M185">
        <v>23</v>
      </c>
      <c r="N185" t="s">
        <v>329</v>
      </c>
      <c r="O185" t="s">
        <v>2291</v>
      </c>
      <c r="P185" t="s">
        <v>2292</v>
      </c>
    </row>
    <row r="186" spans="6:16" x14ac:dyDescent="0.2">
      <c r="H186" t="s">
        <v>2293</v>
      </c>
      <c r="I186" t="s">
        <v>1532</v>
      </c>
      <c r="J186" t="s">
        <v>22</v>
      </c>
      <c r="K186" t="s">
        <v>19</v>
      </c>
      <c r="L186">
        <v>1909</v>
      </c>
      <c r="M186">
        <v>12</v>
      </c>
      <c r="N186" t="s">
        <v>329</v>
      </c>
      <c r="O186" t="s">
        <v>20</v>
      </c>
      <c r="P186" t="s">
        <v>20</v>
      </c>
    </row>
    <row r="187" spans="6:16" x14ac:dyDescent="0.2">
      <c r="H187" t="s">
        <v>2294</v>
      </c>
      <c r="I187" t="s">
        <v>1532</v>
      </c>
      <c r="J187" t="s">
        <v>22</v>
      </c>
      <c r="K187" t="s">
        <v>19</v>
      </c>
      <c r="L187">
        <v>1912</v>
      </c>
      <c r="M187">
        <v>9</v>
      </c>
      <c r="N187" t="s">
        <v>123</v>
      </c>
      <c r="O187" t="s">
        <v>20</v>
      </c>
      <c r="P187" t="s">
        <v>20</v>
      </c>
    </row>
    <row r="188" spans="6:16" x14ac:dyDescent="0.2">
      <c r="H188" t="s">
        <v>2295</v>
      </c>
      <c r="I188" t="s">
        <v>2296</v>
      </c>
      <c r="J188" t="s">
        <v>721</v>
      </c>
      <c r="K188" t="s">
        <v>19</v>
      </c>
      <c r="L188">
        <v>1891</v>
      </c>
      <c r="M188">
        <v>30</v>
      </c>
      <c r="N188" t="s">
        <v>329</v>
      </c>
      <c r="O188" t="s">
        <v>2297</v>
      </c>
      <c r="P188" t="s">
        <v>2298</v>
      </c>
    </row>
    <row r="190" spans="6:16" x14ac:dyDescent="0.2">
      <c r="H190" t="s">
        <v>0</v>
      </c>
      <c r="I190" t="s">
        <v>1</v>
      </c>
      <c r="J190" t="s">
        <v>2</v>
      </c>
      <c r="K190" t="s">
        <v>3</v>
      </c>
      <c r="L190" t="s">
        <v>4</v>
      </c>
      <c r="M190" t="s">
        <v>5</v>
      </c>
      <c r="N190" t="s">
        <v>6</v>
      </c>
      <c r="O190" t="s">
        <v>7</v>
      </c>
      <c r="P190" t="s">
        <v>8</v>
      </c>
    </row>
    <row r="191" spans="6:16" x14ac:dyDescent="0.2">
      <c r="F191">
        <v>2</v>
      </c>
      <c r="H191" t="s">
        <v>2299</v>
      </c>
      <c r="I191" t="s">
        <v>2016</v>
      </c>
      <c r="J191" t="s">
        <v>12</v>
      </c>
      <c r="K191" t="s">
        <v>13</v>
      </c>
      <c r="L191">
        <v>1854</v>
      </c>
      <c r="M191">
        <v>67</v>
      </c>
      <c r="N191" t="s">
        <v>49</v>
      </c>
      <c r="O191" t="s">
        <v>2300</v>
      </c>
      <c r="P191" t="s">
        <v>8</v>
      </c>
    </row>
    <row r="192" spans="6:16" x14ac:dyDescent="0.2">
      <c r="H192" t="s">
        <v>1981</v>
      </c>
      <c r="I192" t="s">
        <v>2016</v>
      </c>
      <c r="J192" t="s">
        <v>18</v>
      </c>
      <c r="K192" t="s">
        <v>19</v>
      </c>
      <c r="L192">
        <v>1863</v>
      </c>
      <c r="M192">
        <v>58</v>
      </c>
      <c r="N192" t="s">
        <v>77</v>
      </c>
      <c r="O192" t="s">
        <v>50</v>
      </c>
      <c r="P192" t="s">
        <v>20</v>
      </c>
    </row>
    <row r="193" spans="6:16" x14ac:dyDescent="0.2">
      <c r="H193" t="s">
        <v>2091</v>
      </c>
      <c r="I193" t="s">
        <v>2301</v>
      </c>
      <c r="J193" t="s">
        <v>26</v>
      </c>
      <c r="K193" t="s">
        <v>19</v>
      </c>
      <c r="L193">
        <v>1861</v>
      </c>
      <c r="M193">
        <v>59</v>
      </c>
      <c r="N193" t="s">
        <v>2302</v>
      </c>
      <c r="O193" t="s">
        <v>33</v>
      </c>
      <c r="P193" t="s">
        <v>29</v>
      </c>
    </row>
    <row r="194" spans="6:16" x14ac:dyDescent="0.2">
      <c r="H194" t="s">
        <v>2303</v>
      </c>
      <c r="I194" t="s">
        <v>2304</v>
      </c>
      <c r="J194" t="s">
        <v>26</v>
      </c>
      <c r="K194" t="s">
        <v>19</v>
      </c>
      <c r="L194">
        <v>1898</v>
      </c>
      <c r="M194">
        <v>22</v>
      </c>
      <c r="N194" t="s">
        <v>2305</v>
      </c>
      <c r="O194" t="s">
        <v>137</v>
      </c>
      <c r="P194" t="s">
        <v>29</v>
      </c>
    </row>
    <row r="196" spans="6:16" x14ac:dyDescent="0.2">
      <c r="H196" t="s">
        <v>0</v>
      </c>
      <c r="I196" t="s">
        <v>1</v>
      </c>
      <c r="J196" t="s">
        <v>2</v>
      </c>
      <c r="K196" t="s">
        <v>3</v>
      </c>
      <c r="L196" t="s">
        <v>4</v>
      </c>
      <c r="M196" t="s">
        <v>5</v>
      </c>
      <c r="N196" t="s">
        <v>6</v>
      </c>
      <c r="O196" t="s">
        <v>7</v>
      </c>
      <c r="P196" t="s">
        <v>8</v>
      </c>
    </row>
    <row r="197" spans="6:16" x14ac:dyDescent="0.2">
      <c r="F197">
        <v>4</v>
      </c>
      <c r="H197" t="s">
        <v>751</v>
      </c>
      <c r="I197" t="s">
        <v>2306</v>
      </c>
      <c r="J197" t="s">
        <v>12</v>
      </c>
      <c r="K197" t="s">
        <v>13</v>
      </c>
      <c r="L197">
        <v>1851</v>
      </c>
      <c r="M197">
        <v>70</v>
      </c>
      <c r="N197" t="s">
        <v>49</v>
      </c>
      <c r="O197" t="s">
        <v>2307</v>
      </c>
      <c r="P197" t="s">
        <v>2308</v>
      </c>
    </row>
    <row r="198" spans="6:16" x14ac:dyDescent="0.2">
      <c r="H198" t="s">
        <v>2309</v>
      </c>
      <c r="I198" t="s">
        <v>2306</v>
      </c>
      <c r="J198" t="s">
        <v>18</v>
      </c>
      <c r="K198" t="s">
        <v>19</v>
      </c>
      <c r="L198">
        <v>1859</v>
      </c>
      <c r="M198">
        <v>62</v>
      </c>
      <c r="N198" t="s">
        <v>329</v>
      </c>
      <c r="O198" t="s">
        <v>50</v>
      </c>
      <c r="P198" t="s">
        <v>20</v>
      </c>
    </row>
    <row r="199" spans="6:16" x14ac:dyDescent="0.2">
      <c r="H199" t="s">
        <v>2310</v>
      </c>
      <c r="I199" t="s">
        <v>1309</v>
      </c>
      <c r="J199" t="s">
        <v>58</v>
      </c>
      <c r="K199" t="s">
        <v>19</v>
      </c>
      <c r="L199">
        <v>1883</v>
      </c>
      <c r="M199">
        <v>37</v>
      </c>
      <c r="N199" t="s">
        <v>49</v>
      </c>
      <c r="O199" t="s">
        <v>50</v>
      </c>
      <c r="P199" t="s">
        <v>20</v>
      </c>
    </row>
    <row r="200" spans="6:16" x14ac:dyDescent="0.2">
      <c r="H200" t="s">
        <v>366</v>
      </c>
      <c r="I200" t="s">
        <v>2311</v>
      </c>
      <c r="J200" t="s">
        <v>26</v>
      </c>
      <c r="K200" t="s">
        <v>19</v>
      </c>
      <c r="L200">
        <v>1860</v>
      </c>
      <c r="M200">
        <v>60</v>
      </c>
      <c r="N200" t="s">
        <v>718</v>
      </c>
      <c r="O200" t="s">
        <v>2312</v>
      </c>
      <c r="P200" t="s">
        <v>16</v>
      </c>
    </row>
    <row r="201" spans="6:16" x14ac:dyDescent="0.2">
      <c r="H201" t="s">
        <v>2313</v>
      </c>
      <c r="I201" t="s">
        <v>2159</v>
      </c>
      <c r="J201" t="s">
        <v>26</v>
      </c>
      <c r="K201" t="s">
        <v>19</v>
      </c>
      <c r="L201">
        <v>1874</v>
      </c>
      <c r="M201">
        <v>46</v>
      </c>
      <c r="N201" t="s">
        <v>2314</v>
      </c>
      <c r="O201" t="s">
        <v>56</v>
      </c>
      <c r="P201" t="s">
        <v>29</v>
      </c>
    </row>
    <row r="202" spans="6:16" x14ac:dyDescent="0.2">
      <c r="H202" t="s">
        <v>2315</v>
      </c>
      <c r="I202" t="s">
        <v>2316</v>
      </c>
      <c r="J202" t="s">
        <v>26</v>
      </c>
      <c r="K202" t="s">
        <v>19</v>
      </c>
      <c r="L202">
        <v>1900</v>
      </c>
      <c r="M202">
        <v>20</v>
      </c>
      <c r="N202" t="s">
        <v>1352</v>
      </c>
      <c r="O202" t="s">
        <v>56</v>
      </c>
      <c r="P202" t="s">
        <v>29</v>
      </c>
    </row>
    <row r="204" spans="6:16" x14ac:dyDescent="0.2">
      <c r="H204" t="s">
        <v>0</v>
      </c>
      <c r="I204" t="s">
        <v>1</v>
      </c>
      <c r="J204" t="s">
        <v>2</v>
      </c>
      <c r="K204" t="s">
        <v>3</v>
      </c>
      <c r="L204" t="s">
        <v>4</v>
      </c>
      <c r="M204" t="s">
        <v>5</v>
      </c>
      <c r="N204" t="s">
        <v>6</v>
      </c>
      <c r="O204" t="s">
        <v>7</v>
      </c>
      <c r="P204" t="s">
        <v>8</v>
      </c>
    </row>
    <row r="205" spans="6:16" x14ac:dyDescent="0.2">
      <c r="F205">
        <v>5</v>
      </c>
      <c r="H205" t="s">
        <v>919</v>
      </c>
      <c r="I205" t="s">
        <v>2317</v>
      </c>
      <c r="J205" t="s">
        <v>12</v>
      </c>
      <c r="K205" t="s">
        <v>13</v>
      </c>
      <c r="L205">
        <v>1874</v>
      </c>
      <c r="M205">
        <v>47</v>
      </c>
      <c r="N205" t="s">
        <v>1050</v>
      </c>
      <c r="O205" t="s">
        <v>2318</v>
      </c>
      <c r="P205" t="s">
        <v>16</v>
      </c>
    </row>
    <row r="206" spans="6:16" x14ac:dyDescent="0.2">
      <c r="H206" t="s">
        <v>422</v>
      </c>
      <c r="I206" t="s">
        <v>2317</v>
      </c>
      <c r="J206" t="s">
        <v>18</v>
      </c>
      <c r="K206" t="s">
        <v>19</v>
      </c>
      <c r="L206">
        <v>1878</v>
      </c>
      <c r="M206">
        <v>43</v>
      </c>
      <c r="N206" t="s">
        <v>49</v>
      </c>
      <c r="O206" t="s">
        <v>50</v>
      </c>
      <c r="P206" t="s">
        <v>20</v>
      </c>
    </row>
    <row r="207" spans="6:16" x14ac:dyDescent="0.2">
      <c r="H207" t="s">
        <v>2319</v>
      </c>
      <c r="I207" t="s">
        <v>2317</v>
      </c>
      <c r="J207" t="s">
        <v>51</v>
      </c>
      <c r="K207" t="s">
        <v>13</v>
      </c>
      <c r="L207">
        <v>1904</v>
      </c>
      <c r="M207">
        <v>17</v>
      </c>
      <c r="N207" t="s">
        <v>49</v>
      </c>
      <c r="O207" t="s">
        <v>20</v>
      </c>
      <c r="P207" t="s">
        <v>20</v>
      </c>
    </row>
    <row r="208" spans="6:16" x14ac:dyDescent="0.2">
      <c r="H208" t="s">
        <v>2320</v>
      </c>
      <c r="I208" t="s">
        <v>2317</v>
      </c>
      <c r="J208" t="s">
        <v>51</v>
      </c>
      <c r="K208" t="s">
        <v>13</v>
      </c>
      <c r="L208">
        <v>1905</v>
      </c>
      <c r="M208">
        <v>15</v>
      </c>
      <c r="N208" t="s">
        <v>49</v>
      </c>
      <c r="O208" t="s">
        <v>20</v>
      </c>
      <c r="P208" t="s">
        <v>20</v>
      </c>
    </row>
    <row r="209" spans="6:16" x14ac:dyDescent="0.2">
      <c r="H209" t="s">
        <v>2321</v>
      </c>
      <c r="I209" t="s">
        <v>431</v>
      </c>
      <c r="J209" t="s">
        <v>26</v>
      </c>
      <c r="K209" t="s">
        <v>19</v>
      </c>
      <c r="L209">
        <v>1899</v>
      </c>
      <c r="M209">
        <v>22</v>
      </c>
      <c r="N209" t="s">
        <v>49</v>
      </c>
      <c r="O209" t="s">
        <v>344</v>
      </c>
      <c r="P209" t="s">
        <v>29</v>
      </c>
    </row>
    <row r="210" spans="6:16" x14ac:dyDescent="0.2">
      <c r="H210" t="s">
        <v>84</v>
      </c>
      <c r="I210" t="s">
        <v>2322</v>
      </c>
      <c r="J210" t="s">
        <v>1238</v>
      </c>
      <c r="K210" t="s">
        <v>19</v>
      </c>
      <c r="L210">
        <v>1859</v>
      </c>
      <c r="M210">
        <v>62</v>
      </c>
      <c r="N210" t="s">
        <v>2323</v>
      </c>
      <c r="O210" t="s">
        <v>50</v>
      </c>
      <c r="P210" t="s">
        <v>20</v>
      </c>
    </row>
    <row r="212" spans="6:16" x14ac:dyDescent="0.2">
      <c r="H212" t="s">
        <v>0</v>
      </c>
      <c r="I212" t="s">
        <v>1</v>
      </c>
      <c r="J212" t="s">
        <v>2</v>
      </c>
      <c r="K212" t="s">
        <v>3</v>
      </c>
      <c r="L212" t="s">
        <v>4</v>
      </c>
      <c r="M212" t="s">
        <v>5</v>
      </c>
      <c r="N212" t="s">
        <v>6</v>
      </c>
      <c r="O212" t="s">
        <v>7</v>
      </c>
      <c r="P212" t="s">
        <v>8</v>
      </c>
    </row>
    <row r="213" spans="6:16" x14ac:dyDescent="0.2">
      <c r="F213">
        <v>11</v>
      </c>
      <c r="H213" t="s">
        <v>2324</v>
      </c>
      <c r="I213" t="s">
        <v>2325</v>
      </c>
      <c r="J213" t="s">
        <v>12</v>
      </c>
      <c r="K213" t="s">
        <v>13</v>
      </c>
      <c r="L213">
        <v>1867</v>
      </c>
      <c r="M213">
        <v>53</v>
      </c>
      <c r="N213" t="s">
        <v>49</v>
      </c>
      <c r="O213" t="s">
        <v>2326</v>
      </c>
      <c r="P213" t="s">
        <v>8</v>
      </c>
    </row>
    <row r="214" spans="6:16" x14ac:dyDescent="0.2">
      <c r="H214" t="s">
        <v>2327</v>
      </c>
      <c r="I214" t="s">
        <v>2325</v>
      </c>
      <c r="J214" t="s">
        <v>18</v>
      </c>
      <c r="K214" t="s">
        <v>19</v>
      </c>
      <c r="L214">
        <v>1869</v>
      </c>
      <c r="M214">
        <v>52</v>
      </c>
      <c r="N214" t="s">
        <v>49</v>
      </c>
      <c r="O214" t="s">
        <v>50</v>
      </c>
      <c r="P214" t="s">
        <v>20</v>
      </c>
    </row>
    <row r="215" spans="6:16" x14ac:dyDescent="0.2">
      <c r="H215" t="s">
        <v>2328</v>
      </c>
      <c r="I215" t="s">
        <v>2325</v>
      </c>
      <c r="J215" t="s">
        <v>22</v>
      </c>
      <c r="K215" t="s">
        <v>19</v>
      </c>
      <c r="L215">
        <v>1913</v>
      </c>
      <c r="M215">
        <v>8</v>
      </c>
      <c r="N215" t="s">
        <v>49</v>
      </c>
      <c r="O215" t="s">
        <v>20</v>
      </c>
      <c r="P215" t="s">
        <v>20</v>
      </c>
    </row>
    <row r="216" spans="6:16" x14ac:dyDescent="0.2">
      <c r="H216" t="s">
        <v>2329</v>
      </c>
      <c r="I216" t="s">
        <v>2330</v>
      </c>
      <c r="J216" t="s">
        <v>26</v>
      </c>
      <c r="K216" t="s">
        <v>19</v>
      </c>
      <c r="L216">
        <v>1896</v>
      </c>
      <c r="M216">
        <v>25</v>
      </c>
      <c r="N216" t="s">
        <v>432</v>
      </c>
      <c r="O216" t="s">
        <v>344</v>
      </c>
      <c r="P216" t="s">
        <v>29</v>
      </c>
    </row>
    <row r="217" spans="6:16" x14ac:dyDescent="0.2">
      <c r="H217" t="s">
        <v>829</v>
      </c>
      <c r="I217" t="s">
        <v>2331</v>
      </c>
      <c r="J217" t="s">
        <v>26</v>
      </c>
      <c r="K217" t="s">
        <v>19</v>
      </c>
      <c r="L217">
        <v>1902</v>
      </c>
      <c r="M217">
        <v>18</v>
      </c>
      <c r="N217" t="s">
        <v>705</v>
      </c>
      <c r="O217" t="s">
        <v>344</v>
      </c>
      <c r="P217" t="s">
        <v>29</v>
      </c>
    </row>
    <row r="219" spans="6:16" x14ac:dyDescent="0.2">
      <c r="H219" t="s">
        <v>0</v>
      </c>
      <c r="I219" t="s">
        <v>1</v>
      </c>
      <c r="J219" t="s">
        <v>2</v>
      </c>
      <c r="K219" t="s">
        <v>3</v>
      </c>
      <c r="L219" t="s">
        <v>4</v>
      </c>
      <c r="M219" t="s">
        <v>5</v>
      </c>
      <c r="N219" t="s">
        <v>6</v>
      </c>
      <c r="O219" t="s">
        <v>7</v>
      </c>
      <c r="P219" t="s">
        <v>8</v>
      </c>
    </row>
    <row r="220" spans="6:16" x14ac:dyDescent="0.2">
      <c r="F220">
        <v>17</v>
      </c>
      <c r="H220" t="s">
        <v>2332</v>
      </c>
      <c r="I220" t="s">
        <v>2333</v>
      </c>
      <c r="J220" t="s">
        <v>12</v>
      </c>
      <c r="K220" t="s">
        <v>13</v>
      </c>
      <c r="L220">
        <v>1877</v>
      </c>
      <c r="M220">
        <v>43</v>
      </c>
      <c r="N220" t="s">
        <v>2334</v>
      </c>
      <c r="O220" t="s">
        <v>2335</v>
      </c>
      <c r="P220" t="s">
        <v>2336</v>
      </c>
    </row>
    <row r="221" spans="6:16" x14ac:dyDescent="0.2">
      <c r="H221" t="s">
        <v>2337</v>
      </c>
      <c r="I221" t="s">
        <v>2333</v>
      </c>
      <c r="J221" t="s">
        <v>51</v>
      </c>
      <c r="K221" t="s">
        <v>13</v>
      </c>
      <c r="L221">
        <v>1911</v>
      </c>
      <c r="M221">
        <v>10</v>
      </c>
      <c r="N221" t="s">
        <v>2338</v>
      </c>
      <c r="O221" t="s">
        <v>20</v>
      </c>
      <c r="P221" t="s">
        <v>20</v>
      </c>
    </row>
    <row r="222" spans="6:16" x14ac:dyDescent="0.2">
      <c r="H222" t="s">
        <v>138</v>
      </c>
      <c r="I222" t="s">
        <v>2339</v>
      </c>
      <c r="J222" t="s">
        <v>26</v>
      </c>
      <c r="K222" t="s">
        <v>19</v>
      </c>
      <c r="L222">
        <v>1894</v>
      </c>
      <c r="M222">
        <v>27</v>
      </c>
      <c r="N222" t="s">
        <v>1087</v>
      </c>
      <c r="O222" t="s">
        <v>344</v>
      </c>
      <c r="P222" t="s">
        <v>29</v>
      </c>
    </row>
    <row r="224" spans="6:16" x14ac:dyDescent="0.2">
      <c r="H224" t="s">
        <v>0</v>
      </c>
      <c r="I224" t="s">
        <v>1</v>
      </c>
      <c r="J224" t="s">
        <v>2</v>
      </c>
      <c r="K224" t="s">
        <v>3</v>
      </c>
      <c r="L224" t="s">
        <v>4</v>
      </c>
      <c r="M224" t="s">
        <v>5</v>
      </c>
      <c r="N224" t="s">
        <v>6</v>
      </c>
      <c r="O224" t="s">
        <v>7</v>
      </c>
      <c r="P224" t="s">
        <v>8</v>
      </c>
    </row>
    <row r="225" spans="6:16" x14ac:dyDescent="0.2">
      <c r="F225">
        <v>19</v>
      </c>
      <c r="H225" t="s">
        <v>676</v>
      </c>
      <c r="I225" t="s">
        <v>2340</v>
      </c>
      <c r="J225" t="s">
        <v>12</v>
      </c>
      <c r="K225" t="s">
        <v>13</v>
      </c>
      <c r="L225">
        <v>1878</v>
      </c>
      <c r="M225">
        <v>43</v>
      </c>
      <c r="N225" t="s">
        <v>49</v>
      </c>
      <c r="O225" t="s">
        <v>923</v>
      </c>
      <c r="P225" t="s">
        <v>2341</v>
      </c>
    </row>
    <row r="226" spans="6:16" x14ac:dyDescent="0.2">
      <c r="H226" t="s">
        <v>2342</v>
      </c>
      <c r="I226" t="s">
        <v>2340</v>
      </c>
      <c r="J226" t="s">
        <v>18</v>
      </c>
      <c r="K226" t="s">
        <v>19</v>
      </c>
      <c r="L226">
        <v>1886</v>
      </c>
      <c r="M226">
        <v>34</v>
      </c>
      <c r="N226" t="s">
        <v>749</v>
      </c>
      <c r="O226" t="s">
        <v>50</v>
      </c>
      <c r="P226" t="s">
        <v>20</v>
      </c>
    </row>
    <row r="227" spans="6:16" x14ac:dyDescent="0.2">
      <c r="H227" t="s">
        <v>2343</v>
      </c>
      <c r="I227" t="s">
        <v>2344</v>
      </c>
      <c r="J227" t="s">
        <v>26</v>
      </c>
      <c r="K227" t="s">
        <v>19</v>
      </c>
      <c r="L227">
        <v>1882</v>
      </c>
      <c r="M227">
        <v>38</v>
      </c>
      <c r="N227" t="s">
        <v>212</v>
      </c>
      <c r="O227" t="s">
        <v>2345</v>
      </c>
      <c r="P227" t="s">
        <v>29</v>
      </c>
    </row>
    <row r="228" spans="6:16" x14ac:dyDescent="0.2">
      <c r="H228" t="s">
        <v>2346</v>
      </c>
      <c r="I228" t="s">
        <v>2347</v>
      </c>
      <c r="J228" t="s">
        <v>26</v>
      </c>
      <c r="K228" t="s">
        <v>19</v>
      </c>
      <c r="L228">
        <v>1903</v>
      </c>
      <c r="M228">
        <v>18</v>
      </c>
      <c r="N228" t="s">
        <v>2348</v>
      </c>
      <c r="O228" t="s">
        <v>2349</v>
      </c>
      <c r="P228" t="s">
        <v>29</v>
      </c>
    </row>
    <row r="230" spans="6:16" x14ac:dyDescent="0.2">
      <c r="H230" t="s">
        <v>0</v>
      </c>
      <c r="I230" t="s">
        <v>1</v>
      </c>
      <c r="J230" t="s">
        <v>2</v>
      </c>
      <c r="K230" t="s">
        <v>3</v>
      </c>
      <c r="L230" t="s">
        <v>4</v>
      </c>
      <c r="M230" t="s">
        <v>5</v>
      </c>
      <c r="N230" t="s">
        <v>6</v>
      </c>
      <c r="O230" t="s">
        <v>7</v>
      </c>
      <c r="P230" t="s">
        <v>8</v>
      </c>
    </row>
    <row r="231" spans="6:16" x14ac:dyDescent="0.2">
      <c r="F231">
        <v>23</v>
      </c>
      <c r="H231" t="s">
        <v>2350</v>
      </c>
      <c r="I231" t="s">
        <v>1751</v>
      </c>
      <c r="J231" t="s">
        <v>12</v>
      </c>
      <c r="K231" t="s">
        <v>13</v>
      </c>
      <c r="L231">
        <v>1871</v>
      </c>
      <c r="M231">
        <v>49</v>
      </c>
      <c r="N231" t="s">
        <v>49</v>
      </c>
      <c r="O231" t="s">
        <v>2351</v>
      </c>
      <c r="P231" t="s">
        <v>8</v>
      </c>
    </row>
    <row r="232" spans="6:16" x14ac:dyDescent="0.2">
      <c r="H232" t="s">
        <v>2352</v>
      </c>
      <c r="I232" t="s">
        <v>1751</v>
      </c>
      <c r="J232" t="s">
        <v>18</v>
      </c>
      <c r="K232" t="s">
        <v>19</v>
      </c>
      <c r="L232">
        <v>1882</v>
      </c>
      <c r="M232">
        <v>39</v>
      </c>
      <c r="N232" t="s">
        <v>2353</v>
      </c>
      <c r="O232" t="s">
        <v>50</v>
      </c>
      <c r="P232" t="s">
        <v>20</v>
      </c>
    </row>
    <row r="233" spans="6:16" x14ac:dyDescent="0.2">
      <c r="H233" t="s">
        <v>2352</v>
      </c>
      <c r="I233" t="s">
        <v>1751</v>
      </c>
      <c r="J233" t="s">
        <v>22</v>
      </c>
      <c r="K233" t="s">
        <v>19</v>
      </c>
      <c r="L233">
        <v>1911</v>
      </c>
      <c r="M233">
        <v>10</v>
      </c>
      <c r="N233" t="s">
        <v>49</v>
      </c>
      <c r="O233" t="s">
        <v>20</v>
      </c>
      <c r="P233" t="s">
        <v>20</v>
      </c>
    </row>
    <row r="234" spans="6:16" x14ac:dyDescent="0.2">
      <c r="H234" t="s">
        <v>2354</v>
      </c>
      <c r="I234" t="s">
        <v>2355</v>
      </c>
      <c r="J234" t="s">
        <v>26</v>
      </c>
      <c r="K234" t="s">
        <v>19</v>
      </c>
      <c r="L234">
        <v>1896</v>
      </c>
      <c r="M234">
        <v>25</v>
      </c>
      <c r="N234" t="s">
        <v>2356</v>
      </c>
      <c r="O234" t="s">
        <v>344</v>
      </c>
      <c r="P234" t="s">
        <v>29</v>
      </c>
    </row>
    <row r="236" spans="6:16" x14ac:dyDescent="0.2">
      <c r="H236" t="s">
        <v>0</v>
      </c>
      <c r="I236" t="s">
        <v>1</v>
      </c>
      <c r="J236" t="s">
        <v>2</v>
      </c>
      <c r="K236" t="s">
        <v>3</v>
      </c>
      <c r="L236" t="s">
        <v>4</v>
      </c>
      <c r="M236" t="s">
        <v>5</v>
      </c>
      <c r="N236" t="s">
        <v>6</v>
      </c>
      <c r="O236" t="s">
        <v>7</v>
      </c>
      <c r="P236" t="s">
        <v>8</v>
      </c>
    </row>
    <row r="237" spans="6:16" x14ac:dyDescent="0.2">
      <c r="F237">
        <v>25</v>
      </c>
      <c r="H237" t="s">
        <v>386</v>
      </c>
      <c r="I237" t="s">
        <v>2357</v>
      </c>
      <c r="J237" t="s">
        <v>12</v>
      </c>
      <c r="K237" t="s">
        <v>13</v>
      </c>
      <c r="L237">
        <v>1866</v>
      </c>
      <c r="M237">
        <v>55</v>
      </c>
      <c r="N237" t="s">
        <v>368</v>
      </c>
      <c r="O237" t="s">
        <v>2358</v>
      </c>
      <c r="P237" t="s">
        <v>8</v>
      </c>
    </row>
    <row r="238" spans="6:16" x14ac:dyDescent="0.2">
      <c r="H238" t="s">
        <v>2359</v>
      </c>
      <c r="I238" t="s">
        <v>2357</v>
      </c>
      <c r="J238" t="s">
        <v>18</v>
      </c>
      <c r="K238" t="s">
        <v>19</v>
      </c>
      <c r="L238">
        <v>1867</v>
      </c>
      <c r="M238">
        <v>54</v>
      </c>
      <c r="N238" t="s">
        <v>2360</v>
      </c>
      <c r="O238" t="s">
        <v>20</v>
      </c>
      <c r="P238" t="s">
        <v>20</v>
      </c>
    </row>
    <row r="239" spans="6:16" x14ac:dyDescent="0.2">
      <c r="H239" t="s">
        <v>2361</v>
      </c>
      <c r="I239" t="s">
        <v>2362</v>
      </c>
      <c r="J239" t="s">
        <v>378</v>
      </c>
      <c r="K239" t="s">
        <v>19</v>
      </c>
      <c r="L239">
        <v>1879</v>
      </c>
      <c r="M239">
        <v>42</v>
      </c>
      <c r="N239" t="s">
        <v>2360</v>
      </c>
      <c r="O239" t="s">
        <v>489</v>
      </c>
      <c r="P239" t="s">
        <v>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B16E-B23E-254A-9BD6-7CD138AE42B4}">
  <dimension ref="A1:BC109"/>
  <sheetViews>
    <sheetView workbookViewId="0">
      <pane ySplit="2" topLeftCell="A69" activePane="bottomLeft" state="frozen"/>
      <selection pane="bottomLeft" activeCell="J91" sqref="J91"/>
    </sheetView>
  </sheetViews>
  <sheetFormatPr baseColWidth="10" defaultColWidth="10.83203125" defaultRowHeight="16" x14ac:dyDescent="0.2"/>
  <cols>
    <col min="4" max="4" width="17.83203125" customWidth="1"/>
    <col min="5" max="5" width="16" customWidth="1"/>
    <col min="6" max="6" width="9.6640625" customWidth="1"/>
    <col min="11" max="11" width="5.6640625" customWidth="1"/>
    <col min="12" max="12" width="7.83203125" customWidth="1"/>
    <col min="13" max="13" width="10" customWidth="1"/>
    <col min="14" max="14" width="8.6640625" customWidth="1"/>
    <col min="15" max="15" width="8.33203125" customWidth="1"/>
    <col min="16" max="16" width="11.5" customWidth="1"/>
    <col min="17" max="17" width="11.6640625" customWidth="1"/>
    <col min="18" max="18" width="9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64" customFormat="1" ht="17" x14ac:dyDescent="0.2">
      <c r="A3" s="151" t="s">
        <v>597</v>
      </c>
      <c r="B3" s="152">
        <v>1921</v>
      </c>
      <c r="C3" s="152">
        <v>1</v>
      </c>
      <c r="D3" s="152" t="s">
        <v>598</v>
      </c>
      <c r="E3" s="7"/>
      <c r="F3" s="7"/>
      <c r="G3" s="7" t="s">
        <v>1</v>
      </c>
      <c r="H3" s="7" t="s">
        <v>0</v>
      </c>
      <c r="J3" s="7" t="s">
        <v>3</v>
      </c>
      <c r="N3" s="7" t="s">
        <v>2</v>
      </c>
      <c r="P3" s="7"/>
      <c r="T3" s="7" t="s">
        <v>5</v>
      </c>
      <c r="X3" s="148"/>
      <c r="Y3" s="148"/>
      <c r="Z3" s="148"/>
      <c r="AA3" s="7" t="s">
        <v>7</v>
      </c>
      <c r="AB3" s="7" t="s">
        <v>8</v>
      </c>
      <c r="AC3" s="148"/>
      <c r="AD3" s="148"/>
      <c r="AE3" s="148"/>
      <c r="AF3" s="148"/>
      <c r="AG3" s="7" t="s">
        <v>6</v>
      </c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5" s="64" customFormat="1" ht="34" x14ac:dyDescent="0.2">
      <c r="A4" s="151" t="s">
        <v>597</v>
      </c>
      <c r="B4" s="152">
        <v>1921</v>
      </c>
      <c r="C4" s="152">
        <v>1</v>
      </c>
      <c r="D4" s="152" t="s">
        <v>598</v>
      </c>
      <c r="E4" s="7" t="s">
        <v>2374</v>
      </c>
      <c r="F4" s="7"/>
      <c r="G4" s="7" t="s">
        <v>371</v>
      </c>
      <c r="H4" s="7" t="s">
        <v>2364</v>
      </c>
      <c r="I4" s="64">
        <v>1</v>
      </c>
      <c r="J4" s="7" t="s">
        <v>13</v>
      </c>
      <c r="K4" s="64">
        <v>1</v>
      </c>
      <c r="N4" s="7">
        <v>1</v>
      </c>
      <c r="P4" s="7"/>
      <c r="T4" s="6">
        <v>33</v>
      </c>
      <c r="X4" s="148"/>
      <c r="Y4" s="148"/>
      <c r="Z4" s="148"/>
      <c r="AA4" s="6" t="s">
        <v>2365</v>
      </c>
      <c r="AB4" s="6" t="s">
        <v>2366</v>
      </c>
      <c r="AC4" s="148">
        <v>1</v>
      </c>
      <c r="AD4" s="148"/>
      <c r="AE4" s="148"/>
      <c r="AF4" s="148"/>
      <c r="AG4" s="6" t="s">
        <v>62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5" s="64" customFormat="1" ht="34" x14ac:dyDescent="0.2">
      <c r="A5" s="151" t="s">
        <v>597</v>
      </c>
      <c r="B5" s="152">
        <v>1921</v>
      </c>
      <c r="C5" s="152">
        <v>1</v>
      </c>
      <c r="D5" s="152" t="s">
        <v>598</v>
      </c>
      <c r="E5" s="7"/>
      <c r="F5" s="7"/>
      <c r="G5" s="7" t="s">
        <v>371</v>
      </c>
      <c r="H5" s="7" t="s">
        <v>24</v>
      </c>
      <c r="I5" s="64">
        <v>2</v>
      </c>
      <c r="J5" s="7">
        <v>1</v>
      </c>
      <c r="N5" s="7" t="s">
        <v>18</v>
      </c>
      <c r="O5" s="64">
        <v>1</v>
      </c>
      <c r="P5" s="7"/>
      <c r="T5" s="6">
        <v>29</v>
      </c>
      <c r="X5" s="148"/>
      <c r="Y5" s="148"/>
      <c r="Z5" s="148"/>
      <c r="AA5" s="6" t="s">
        <v>50</v>
      </c>
      <c r="AB5" s="6" t="s">
        <v>20</v>
      </c>
      <c r="AC5" s="148"/>
      <c r="AD5" s="148"/>
      <c r="AE5" s="148"/>
      <c r="AF5" s="148"/>
      <c r="AG5" s="6" t="s">
        <v>2367</v>
      </c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5" s="64" customFormat="1" ht="51" x14ac:dyDescent="0.2">
      <c r="A6" s="151" t="s">
        <v>597</v>
      </c>
      <c r="B6" s="152">
        <v>1921</v>
      </c>
      <c r="C6" s="152">
        <v>1</v>
      </c>
      <c r="D6" s="152" t="s">
        <v>598</v>
      </c>
      <c r="E6" s="7"/>
      <c r="F6" s="7"/>
      <c r="G6" s="7" t="s">
        <v>371</v>
      </c>
      <c r="H6" s="7" t="s">
        <v>2368</v>
      </c>
      <c r="I6" s="64">
        <v>3</v>
      </c>
      <c r="J6" s="7"/>
      <c r="L6" s="64">
        <v>1</v>
      </c>
      <c r="N6" s="7" t="s">
        <v>22</v>
      </c>
      <c r="P6" s="7">
        <v>1</v>
      </c>
      <c r="T6" s="6">
        <v>4</v>
      </c>
      <c r="X6" s="148"/>
      <c r="Y6" s="148"/>
      <c r="Z6" s="148"/>
      <c r="AA6" s="6" t="s">
        <v>20</v>
      </c>
      <c r="AB6" s="6" t="s">
        <v>20</v>
      </c>
      <c r="AC6" s="148"/>
      <c r="AD6" s="148"/>
      <c r="AE6" s="148"/>
      <c r="AF6" s="148"/>
      <c r="AG6" s="6" t="s">
        <v>2260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5" s="64" customFormat="1" ht="51" x14ac:dyDescent="0.2">
      <c r="A7" s="151" t="s">
        <v>597</v>
      </c>
      <c r="B7" s="152">
        <v>1921</v>
      </c>
      <c r="C7" s="152">
        <v>1</v>
      </c>
      <c r="D7" s="152" t="s">
        <v>598</v>
      </c>
      <c r="E7" s="7"/>
      <c r="F7" s="7"/>
      <c r="G7" s="7" t="s">
        <v>2369</v>
      </c>
      <c r="H7" s="7" t="s">
        <v>109</v>
      </c>
      <c r="I7" s="64">
        <v>4</v>
      </c>
      <c r="J7" s="7">
        <v>1</v>
      </c>
      <c r="N7" s="7" t="s">
        <v>26</v>
      </c>
      <c r="P7" s="7"/>
      <c r="S7" s="64">
        <v>1</v>
      </c>
      <c r="T7" s="6">
        <v>20</v>
      </c>
      <c r="X7" s="148"/>
      <c r="Y7" s="148"/>
      <c r="Z7" s="148"/>
      <c r="AA7" s="6" t="s">
        <v>2371</v>
      </c>
      <c r="AB7" s="6" t="s">
        <v>29</v>
      </c>
      <c r="AC7" s="148">
        <v>1</v>
      </c>
      <c r="AD7" s="148"/>
      <c r="AE7" s="148"/>
      <c r="AF7" s="148"/>
      <c r="AG7" s="6" t="s">
        <v>2370</v>
      </c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5" s="64" customFormat="1" ht="51" x14ac:dyDescent="0.2">
      <c r="A8" s="151" t="s">
        <v>597</v>
      </c>
      <c r="B8" s="152">
        <v>1921</v>
      </c>
      <c r="C8" s="152">
        <v>1</v>
      </c>
      <c r="D8" s="152" t="s">
        <v>598</v>
      </c>
      <c r="E8" s="7"/>
      <c r="F8" s="7"/>
      <c r="G8" s="7" t="s">
        <v>2373</v>
      </c>
      <c r="H8" s="7" t="s">
        <v>2372</v>
      </c>
      <c r="I8" s="64">
        <v>5</v>
      </c>
      <c r="J8" s="7">
        <v>1</v>
      </c>
      <c r="N8" s="7" t="s">
        <v>26</v>
      </c>
      <c r="P8" s="7"/>
      <c r="S8" s="64">
        <v>1</v>
      </c>
      <c r="T8" s="6">
        <v>18</v>
      </c>
      <c r="X8" s="148"/>
      <c r="Y8" s="148"/>
      <c r="Z8" s="148"/>
      <c r="AA8" s="6" t="s">
        <v>344</v>
      </c>
      <c r="AB8" s="6" t="s">
        <v>29</v>
      </c>
      <c r="AC8" s="148">
        <v>1</v>
      </c>
      <c r="AD8" s="148"/>
      <c r="AE8" s="148"/>
      <c r="AF8" s="148"/>
      <c r="AG8" s="6" t="s">
        <v>1064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5" s="64" customFormat="1" ht="17" x14ac:dyDescent="0.2">
      <c r="A9" s="151" t="s">
        <v>597</v>
      </c>
      <c r="B9" s="152">
        <v>1921</v>
      </c>
      <c r="C9" s="152"/>
      <c r="D9" s="152" t="s">
        <v>598</v>
      </c>
      <c r="E9" s="7"/>
      <c r="F9" s="7"/>
      <c r="G9" s="7"/>
      <c r="H9" s="7">
        <v>5</v>
      </c>
      <c r="J9" s="7"/>
      <c r="N9" s="7"/>
      <c r="P9" s="7"/>
      <c r="T9" s="6"/>
      <c r="X9" s="148"/>
      <c r="Y9" s="148"/>
      <c r="Z9" s="148"/>
      <c r="AA9" s="6"/>
      <c r="AB9" s="6"/>
      <c r="AC9" s="148"/>
      <c r="AD9" s="148"/>
      <c r="AE9" s="148"/>
      <c r="AF9" s="148"/>
      <c r="AG9" s="6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5" s="64" customFormat="1" ht="17" x14ac:dyDescent="0.2">
      <c r="A10" s="151" t="s">
        <v>597</v>
      </c>
      <c r="B10" s="152">
        <v>1921</v>
      </c>
      <c r="C10" s="152"/>
      <c r="D10" s="152" t="s">
        <v>598</v>
      </c>
      <c r="E10" s="7"/>
      <c r="F10" s="7"/>
      <c r="G10" s="7" t="s">
        <v>1</v>
      </c>
      <c r="H10" s="7" t="s">
        <v>0</v>
      </c>
      <c r="J10" s="7" t="s">
        <v>3</v>
      </c>
      <c r="N10" s="7" t="s">
        <v>2</v>
      </c>
      <c r="P10" s="7"/>
      <c r="T10" s="6" t="s">
        <v>5</v>
      </c>
      <c r="X10" s="148"/>
      <c r="Y10" s="148"/>
      <c r="Z10" s="148"/>
      <c r="AA10" s="6" t="s">
        <v>7</v>
      </c>
      <c r="AB10" s="6" t="s">
        <v>8</v>
      </c>
      <c r="AC10" s="148"/>
      <c r="AD10" s="148"/>
      <c r="AE10" s="148"/>
      <c r="AF10" s="148"/>
      <c r="AG10" s="6" t="s">
        <v>6</v>
      </c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5" s="64" customFormat="1" ht="17" x14ac:dyDescent="0.2">
      <c r="A11" s="151" t="s">
        <v>597</v>
      </c>
      <c r="B11" s="152">
        <v>1921</v>
      </c>
      <c r="C11" s="152">
        <v>2</v>
      </c>
      <c r="D11" s="152" t="s">
        <v>598</v>
      </c>
      <c r="E11" s="7" t="s">
        <v>2382</v>
      </c>
      <c r="F11" s="7"/>
      <c r="G11" s="7" t="s">
        <v>2376</v>
      </c>
      <c r="H11" s="7" t="s">
        <v>2375</v>
      </c>
      <c r="I11" s="64">
        <v>6</v>
      </c>
      <c r="J11" s="7" t="s">
        <v>13</v>
      </c>
      <c r="K11" s="64">
        <v>1</v>
      </c>
      <c r="N11" s="7">
        <v>1</v>
      </c>
      <c r="P11" s="7"/>
      <c r="T11" s="7">
        <v>39</v>
      </c>
      <c r="X11" s="148"/>
      <c r="Y11" s="148"/>
      <c r="Z11" s="148"/>
      <c r="AA11" s="7" t="s">
        <v>2377</v>
      </c>
      <c r="AB11" s="7" t="s">
        <v>8</v>
      </c>
      <c r="AC11" s="148">
        <v>1</v>
      </c>
      <c r="AD11" s="148">
        <v>1</v>
      </c>
      <c r="AE11" s="148"/>
      <c r="AF11" s="148"/>
      <c r="AG11" s="7" t="s">
        <v>20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5" s="64" customFormat="1" ht="17" x14ac:dyDescent="0.2">
      <c r="A12" s="151" t="s">
        <v>597</v>
      </c>
      <c r="B12" s="152">
        <v>1921</v>
      </c>
      <c r="C12" s="152">
        <v>2</v>
      </c>
      <c r="D12" s="152" t="s">
        <v>598</v>
      </c>
      <c r="E12" s="7"/>
      <c r="F12" s="7"/>
      <c r="G12" s="7" t="s">
        <v>2379</v>
      </c>
      <c r="H12" s="7" t="s">
        <v>2378</v>
      </c>
      <c r="I12" s="64">
        <v>7</v>
      </c>
      <c r="J12" s="7">
        <v>1</v>
      </c>
      <c r="N12" s="7" t="s">
        <v>26</v>
      </c>
      <c r="P12" s="7"/>
      <c r="S12" s="64">
        <v>1</v>
      </c>
      <c r="T12" s="7">
        <v>27</v>
      </c>
      <c r="X12" s="148"/>
      <c r="Y12" s="148"/>
      <c r="Z12" s="148"/>
      <c r="AA12" s="7" t="s">
        <v>20</v>
      </c>
      <c r="AB12" s="7" t="s">
        <v>29</v>
      </c>
      <c r="AC12" s="148">
        <v>1</v>
      </c>
      <c r="AD12" s="148"/>
      <c r="AE12" s="148"/>
      <c r="AF12" s="148"/>
      <c r="AG12" s="7" t="s">
        <v>418</v>
      </c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5" s="64" customFormat="1" ht="17" x14ac:dyDescent="0.2">
      <c r="A13" s="151" t="s">
        <v>597</v>
      </c>
      <c r="B13" s="152">
        <v>1921</v>
      </c>
      <c r="C13" s="152"/>
      <c r="D13" s="152" t="s">
        <v>598</v>
      </c>
      <c r="E13" s="7"/>
      <c r="F13" s="7"/>
      <c r="G13" s="21"/>
      <c r="H13" s="21">
        <v>0.02</v>
      </c>
      <c r="J13" s="7"/>
      <c r="N13" s="7"/>
      <c r="P13" s="7"/>
      <c r="T13" s="7"/>
      <c r="X13" s="148"/>
      <c r="Y13" s="148"/>
      <c r="Z13" s="148"/>
      <c r="AA13" s="7"/>
      <c r="AB13" s="7"/>
      <c r="AC13" s="148"/>
      <c r="AD13" s="148"/>
      <c r="AE13" s="148"/>
      <c r="AF13" s="148"/>
      <c r="AG13" s="7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spans="1:55" s="64" customFormat="1" ht="17" x14ac:dyDescent="0.2">
      <c r="A14" s="151" t="s">
        <v>597</v>
      </c>
      <c r="B14" s="152">
        <v>1921</v>
      </c>
      <c r="C14" s="152"/>
      <c r="D14" s="152" t="s">
        <v>598</v>
      </c>
      <c r="E14" s="7"/>
      <c r="F14" s="7"/>
      <c r="G14" s="7" t="s">
        <v>1</v>
      </c>
      <c r="H14" s="7" t="s">
        <v>0</v>
      </c>
      <c r="J14" s="7" t="s">
        <v>3</v>
      </c>
      <c r="N14" s="7" t="s">
        <v>2</v>
      </c>
      <c r="P14" s="7"/>
      <c r="T14" s="7" t="s">
        <v>5</v>
      </c>
      <c r="X14" s="148"/>
      <c r="Y14" s="148"/>
      <c r="Z14" s="148"/>
      <c r="AA14" s="7" t="s">
        <v>7</v>
      </c>
      <c r="AB14" s="7" t="s">
        <v>8</v>
      </c>
      <c r="AC14" s="148"/>
      <c r="AD14" s="148"/>
      <c r="AE14" s="148"/>
      <c r="AF14" s="148"/>
      <c r="AG14" s="7" t="s">
        <v>6</v>
      </c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5" s="64" customFormat="1" ht="17" x14ac:dyDescent="0.2">
      <c r="A15" s="151" t="s">
        <v>597</v>
      </c>
      <c r="B15" s="152">
        <v>1921</v>
      </c>
      <c r="C15" s="152">
        <v>3</v>
      </c>
      <c r="D15" s="152" t="s">
        <v>598</v>
      </c>
      <c r="E15" s="7"/>
      <c r="F15" s="7">
        <v>15</v>
      </c>
      <c r="G15" s="7" t="s">
        <v>1536</v>
      </c>
      <c r="H15" s="7" t="s">
        <v>2383</v>
      </c>
      <c r="I15" s="64">
        <v>8</v>
      </c>
      <c r="J15" s="7" t="s">
        <v>13</v>
      </c>
      <c r="K15" s="64">
        <v>1</v>
      </c>
      <c r="N15" s="7">
        <v>1</v>
      </c>
      <c r="P15" s="7"/>
      <c r="T15" s="7">
        <v>47</v>
      </c>
      <c r="X15" s="148"/>
      <c r="Y15" s="148"/>
      <c r="Z15" s="148"/>
      <c r="AA15" s="7" t="s">
        <v>2384</v>
      </c>
      <c r="AB15" s="7" t="s">
        <v>2385</v>
      </c>
      <c r="AC15" s="148">
        <v>1</v>
      </c>
      <c r="AD15" s="148"/>
      <c r="AE15" s="148"/>
      <c r="AF15" s="148"/>
      <c r="AG15" s="7" t="s">
        <v>1896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5" s="64" customFormat="1" ht="17" x14ac:dyDescent="0.2">
      <c r="A16" s="151" t="s">
        <v>597</v>
      </c>
      <c r="B16" s="152">
        <v>1921</v>
      </c>
      <c r="C16" s="152">
        <v>3</v>
      </c>
      <c r="D16" s="152" t="s">
        <v>598</v>
      </c>
      <c r="E16" s="7"/>
      <c r="F16" s="7"/>
      <c r="G16" s="7" t="s">
        <v>1536</v>
      </c>
      <c r="H16" s="7" t="s">
        <v>2386</v>
      </c>
      <c r="I16" s="64">
        <v>9</v>
      </c>
      <c r="J16" s="7">
        <v>1</v>
      </c>
      <c r="N16" s="7" t="s">
        <v>18</v>
      </c>
      <c r="O16" s="64">
        <v>1</v>
      </c>
      <c r="P16" s="7"/>
      <c r="T16" s="7">
        <v>44</v>
      </c>
      <c r="X16" s="148"/>
      <c r="Y16" s="148"/>
      <c r="Z16" s="148"/>
      <c r="AA16" s="7" t="s">
        <v>50</v>
      </c>
      <c r="AB16" s="7" t="s">
        <v>20</v>
      </c>
      <c r="AC16" s="148"/>
      <c r="AD16" s="148"/>
      <c r="AE16" s="148"/>
      <c r="AF16" s="148">
        <v>1</v>
      </c>
      <c r="AG16" s="7" t="s">
        <v>49</v>
      </c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s="64" customFormat="1" ht="17" x14ac:dyDescent="0.2">
      <c r="A17" s="151" t="s">
        <v>597</v>
      </c>
      <c r="B17" s="152">
        <v>1921</v>
      </c>
      <c r="C17" s="152">
        <v>3</v>
      </c>
      <c r="D17" s="152" t="s">
        <v>598</v>
      </c>
      <c r="E17"/>
      <c r="F17"/>
      <c r="G17" t="s">
        <v>2388</v>
      </c>
      <c r="H17" t="s">
        <v>2387</v>
      </c>
      <c r="I17" s="64">
        <v>10</v>
      </c>
      <c r="J17">
        <v>1</v>
      </c>
      <c r="N17" t="s">
        <v>26</v>
      </c>
      <c r="P17"/>
      <c r="S17" s="64">
        <v>1</v>
      </c>
      <c r="T17">
        <v>48</v>
      </c>
      <c r="X17" s="148"/>
      <c r="Y17" s="148"/>
      <c r="Z17" s="148"/>
      <c r="AA17" t="s">
        <v>33</v>
      </c>
      <c r="AB17" t="s">
        <v>29</v>
      </c>
      <c r="AC17" s="148">
        <v>1</v>
      </c>
      <c r="AD17" s="148"/>
      <c r="AE17" s="148"/>
      <c r="AF17" s="148">
        <v>1</v>
      </c>
      <c r="AG17" t="s">
        <v>49</v>
      </c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s="64" customFormat="1" ht="17" x14ac:dyDescent="0.2">
      <c r="A18" s="151" t="s">
        <v>597</v>
      </c>
      <c r="B18" s="152">
        <v>1921</v>
      </c>
      <c r="C18" s="152">
        <v>3</v>
      </c>
      <c r="D18" s="152" t="s">
        <v>598</v>
      </c>
      <c r="E18"/>
      <c r="F18"/>
      <c r="G18" t="s">
        <v>2389</v>
      </c>
      <c r="H18" t="s">
        <v>115</v>
      </c>
      <c r="I18" s="64">
        <v>11</v>
      </c>
      <c r="J18">
        <v>1</v>
      </c>
      <c r="N18" t="s">
        <v>26</v>
      </c>
      <c r="P18"/>
      <c r="S18" s="64">
        <v>1</v>
      </c>
      <c r="T18">
        <v>28</v>
      </c>
      <c r="X18" s="148"/>
      <c r="Y18" s="148"/>
      <c r="Z18" s="148"/>
      <c r="AA18" t="s">
        <v>330</v>
      </c>
      <c r="AB18" t="s">
        <v>29</v>
      </c>
      <c r="AC18" s="148">
        <v>1</v>
      </c>
      <c r="AD18" s="148"/>
      <c r="AE18" s="148"/>
      <c r="AF18" s="148"/>
      <c r="AG18" t="s">
        <v>368</v>
      </c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s="64" customFormat="1" ht="17" x14ac:dyDescent="0.2">
      <c r="A19" s="151" t="s">
        <v>597</v>
      </c>
      <c r="B19" s="152">
        <v>1921</v>
      </c>
      <c r="C19" s="152"/>
      <c r="D19" s="152" t="s">
        <v>598</v>
      </c>
      <c r="E19"/>
      <c r="F19"/>
      <c r="G19"/>
      <c r="H19">
        <v>4</v>
      </c>
      <c r="J19"/>
      <c r="N19"/>
      <c r="P19"/>
      <c r="T19"/>
      <c r="X19" s="148"/>
      <c r="Y19" s="148"/>
      <c r="Z19" s="148"/>
      <c r="AA19"/>
      <c r="AB19"/>
      <c r="AC19" s="148"/>
      <c r="AD19" s="148"/>
      <c r="AE19" s="148"/>
      <c r="AF19" s="148"/>
      <c r="AG19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1" s="64" customFormat="1" ht="17" x14ac:dyDescent="0.2">
      <c r="A20" s="151" t="s">
        <v>597</v>
      </c>
      <c r="B20" s="152">
        <v>1921</v>
      </c>
      <c r="C20" s="152"/>
      <c r="D20" s="152" t="s">
        <v>598</v>
      </c>
      <c r="E20"/>
      <c r="F20"/>
      <c r="G20" t="s">
        <v>1</v>
      </c>
      <c r="H20" t="s">
        <v>0</v>
      </c>
      <c r="J20" t="s">
        <v>3</v>
      </c>
      <c r="N20" t="s">
        <v>2</v>
      </c>
      <c r="P20"/>
      <c r="T20" t="s">
        <v>5</v>
      </c>
      <c r="X20" s="148"/>
      <c r="Y20" s="148"/>
      <c r="Z20" s="148"/>
      <c r="AA20" t="s">
        <v>7</v>
      </c>
      <c r="AB20" t="s">
        <v>8</v>
      </c>
      <c r="AC20" s="148"/>
      <c r="AD20" s="148"/>
      <c r="AE20" s="148"/>
      <c r="AF20" s="148"/>
      <c r="AG20" t="s">
        <v>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s="64" customFormat="1" ht="17" x14ac:dyDescent="0.2">
      <c r="A21" s="151" t="s">
        <v>597</v>
      </c>
      <c r="B21" s="152">
        <v>1921</v>
      </c>
      <c r="C21" s="152">
        <v>4</v>
      </c>
      <c r="D21" s="152" t="s">
        <v>598</v>
      </c>
      <c r="E21"/>
      <c r="F21">
        <v>1</v>
      </c>
      <c r="G21" t="s">
        <v>2391</v>
      </c>
      <c r="H21" t="s">
        <v>2390</v>
      </c>
      <c r="I21" s="64">
        <v>12</v>
      </c>
      <c r="J21" t="s">
        <v>13</v>
      </c>
      <c r="K21" s="64">
        <v>1</v>
      </c>
      <c r="N21">
        <v>1</v>
      </c>
      <c r="P21"/>
      <c r="T21">
        <v>46</v>
      </c>
      <c r="X21" s="148"/>
      <c r="Y21" s="148"/>
      <c r="Z21" s="148"/>
      <c r="AA21" t="s">
        <v>2392</v>
      </c>
      <c r="AB21" t="s">
        <v>2393</v>
      </c>
      <c r="AC21" s="148">
        <v>1</v>
      </c>
      <c r="AD21" s="148"/>
      <c r="AE21" s="148"/>
      <c r="AF21" s="148"/>
      <c r="AG21" t="s">
        <v>2015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s="64" customFormat="1" ht="17" x14ac:dyDescent="0.2">
      <c r="A22" s="151" t="s">
        <v>597</v>
      </c>
      <c r="B22" s="152">
        <v>1921</v>
      </c>
      <c r="C22" s="152">
        <v>4</v>
      </c>
      <c r="D22" s="152" t="s">
        <v>598</v>
      </c>
      <c r="E22"/>
      <c r="F22"/>
      <c r="G22" t="s">
        <v>2391</v>
      </c>
      <c r="H22" t="s">
        <v>2394</v>
      </c>
      <c r="I22" s="64">
        <v>13</v>
      </c>
      <c r="J22">
        <v>1</v>
      </c>
      <c r="N22" t="s">
        <v>18</v>
      </c>
      <c r="O22" s="64">
        <v>1</v>
      </c>
      <c r="P22"/>
      <c r="T22">
        <v>47</v>
      </c>
      <c r="X22" s="148"/>
      <c r="Y22" s="148"/>
      <c r="Z22" s="148"/>
      <c r="AA22" t="s">
        <v>50</v>
      </c>
      <c r="AB22" t="s">
        <v>20</v>
      </c>
      <c r="AC22" s="148"/>
      <c r="AD22" s="148"/>
      <c r="AE22" s="148"/>
      <c r="AF22" s="148"/>
      <c r="AG22" t="s">
        <v>2015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s="64" customFormat="1" ht="17" x14ac:dyDescent="0.2">
      <c r="A23" s="151" t="s">
        <v>597</v>
      </c>
      <c r="B23" s="152">
        <v>1921</v>
      </c>
      <c r="C23" s="152">
        <v>4</v>
      </c>
      <c r="D23" s="152" t="s">
        <v>598</v>
      </c>
      <c r="E23"/>
      <c r="F23"/>
      <c r="G23" t="s">
        <v>2391</v>
      </c>
      <c r="H23" t="s">
        <v>2390</v>
      </c>
      <c r="I23" s="64">
        <v>14</v>
      </c>
      <c r="J23" t="s">
        <v>13</v>
      </c>
      <c r="M23" s="64">
        <v>1</v>
      </c>
      <c r="N23" t="s">
        <v>51</v>
      </c>
      <c r="P23"/>
      <c r="Q23" s="64">
        <v>1</v>
      </c>
      <c r="T23">
        <v>14</v>
      </c>
      <c r="X23" s="148"/>
      <c r="Y23" s="148"/>
      <c r="Z23" s="148"/>
      <c r="AA23" t="s">
        <v>20</v>
      </c>
      <c r="AB23" t="s">
        <v>20</v>
      </c>
      <c r="AC23" s="148"/>
      <c r="AD23" s="148"/>
      <c r="AE23" s="148"/>
      <c r="AF23" s="148"/>
      <c r="AG23" t="s">
        <v>1463</v>
      </c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1" s="64" customFormat="1" ht="17" x14ac:dyDescent="0.2">
      <c r="A24" s="151" t="s">
        <v>597</v>
      </c>
      <c r="B24" s="152">
        <v>1921</v>
      </c>
      <c r="C24" s="152">
        <v>4</v>
      </c>
      <c r="D24" s="152" t="s">
        <v>598</v>
      </c>
      <c r="E24"/>
      <c r="F24"/>
      <c r="G24" t="s">
        <v>2391</v>
      </c>
      <c r="H24" t="s">
        <v>1651</v>
      </c>
      <c r="I24" s="64">
        <v>15</v>
      </c>
      <c r="J24">
        <v>1</v>
      </c>
      <c r="N24" t="s">
        <v>58</v>
      </c>
      <c r="P24"/>
      <c r="R24" s="64">
        <v>1</v>
      </c>
      <c r="T24">
        <v>40</v>
      </c>
      <c r="X24" s="148"/>
      <c r="Y24" s="148"/>
      <c r="Z24" s="148"/>
      <c r="AA24" t="s">
        <v>47</v>
      </c>
      <c r="AB24" t="s">
        <v>20</v>
      </c>
      <c r="AC24" s="148"/>
      <c r="AD24" s="148"/>
      <c r="AE24" s="148"/>
      <c r="AF24" s="148"/>
      <c r="AG24" t="s">
        <v>2184</v>
      </c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 spans="1:51" s="64" customFormat="1" ht="17" x14ac:dyDescent="0.2">
      <c r="A25" s="151" t="s">
        <v>597</v>
      </c>
      <c r="B25" s="152">
        <v>1921</v>
      </c>
      <c r="C25" s="152">
        <v>4</v>
      </c>
      <c r="D25" s="152" t="s">
        <v>598</v>
      </c>
      <c r="E25"/>
      <c r="F25"/>
      <c r="G25" t="s">
        <v>2396</v>
      </c>
      <c r="H25" t="s">
        <v>2395</v>
      </c>
      <c r="I25" s="64">
        <v>16</v>
      </c>
      <c r="J25">
        <v>1</v>
      </c>
      <c r="N25" t="s">
        <v>26</v>
      </c>
      <c r="P25"/>
      <c r="S25" s="64">
        <v>1</v>
      </c>
      <c r="T25">
        <v>23</v>
      </c>
      <c r="X25" s="148"/>
      <c r="Y25" s="148"/>
      <c r="Z25" s="148"/>
      <c r="AA25" t="s">
        <v>56</v>
      </c>
      <c r="AB25" t="s">
        <v>29</v>
      </c>
      <c r="AC25" s="148">
        <v>1</v>
      </c>
      <c r="AD25" s="148"/>
      <c r="AE25" s="148"/>
      <c r="AF25" s="148"/>
      <c r="AG25" t="s">
        <v>1255</v>
      </c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 spans="1:51" s="64" customFormat="1" ht="17" x14ac:dyDescent="0.2">
      <c r="A26" s="151" t="s">
        <v>597</v>
      </c>
      <c r="B26" s="152">
        <v>1921</v>
      </c>
      <c r="C26" s="152"/>
      <c r="D26" s="152" t="s">
        <v>598</v>
      </c>
      <c r="E26"/>
      <c r="F26"/>
      <c r="G26"/>
      <c r="H26">
        <v>5</v>
      </c>
      <c r="J26"/>
      <c r="N26"/>
      <c r="P26"/>
      <c r="T26"/>
      <c r="X26" s="148"/>
      <c r="Y26" s="148"/>
      <c r="Z26" s="148"/>
      <c r="AA26"/>
      <c r="AB26"/>
      <c r="AC26" s="148"/>
      <c r="AD26" s="148"/>
      <c r="AE26" s="148"/>
      <c r="AF26" s="148"/>
      <c r="AG26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 spans="1:51" s="64" customFormat="1" ht="17" x14ac:dyDescent="0.2">
      <c r="A27" s="151" t="s">
        <v>597</v>
      </c>
      <c r="B27" s="152">
        <v>1921</v>
      </c>
      <c r="C27" s="152"/>
      <c r="D27" s="152" t="s">
        <v>598</v>
      </c>
      <c r="E27"/>
      <c r="F27"/>
      <c r="G27" t="s">
        <v>1</v>
      </c>
      <c r="H27" t="s">
        <v>0</v>
      </c>
      <c r="J27" t="s">
        <v>3</v>
      </c>
      <c r="N27" t="s">
        <v>2</v>
      </c>
      <c r="P27"/>
      <c r="T27" t="s">
        <v>5</v>
      </c>
      <c r="X27" s="148"/>
      <c r="Y27" s="148"/>
      <c r="Z27" s="148"/>
      <c r="AA27" t="s">
        <v>7</v>
      </c>
      <c r="AB27" t="s">
        <v>8</v>
      </c>
      <c r="AC27" s="148"/>
      <c r="AD27" s="148"/>
      <c r="AE27" s="148"/>
      <c r="AF27" s="148"/>
      <c r="AG27" t="s">
        <v>6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 spans="1:51" s="64" customFormat="1" ht="17" x14ac:dyDescent="0.2">
      <c r="A28" s="151" t="s">
        <v>597</v>
      </c>
      <c r="B28" s="152">
        <v>1921</v>
      </c>
      <c r="C28" s="152">
        <v>5</v>
      </c>
      <c r="D28" s="152" t="s">
        <v>598</v>
      </c>
      <c r="E28"/>
      <c r="F28">
        <v>2</v>
      </c>
      <c r="G28" t="s">
        <v>2398</v>
      </c>
      <c r="H28" t="s">
        <v>2397</v>
      </c>
      <c r="I28" s="64">
        <v>17</v>
      </c>
      <c r="J28" t="s">
        <v>13</v>
      </c>
      <c r="K28" s="64">
        <v>1</v>
      </c>
      <c r="N28">
        <v>1</v>
      </c>
      <c r="P28"/>
      <c r="T28">
        <v>45</v>
      </c>
      <c r="X28" s="148"/>
      <c r="Y28" s="148"/>
      <c r="Z28" s="148"/>
      <c r="AA28" t="s">
        <v>2399</v>
      </c>
      <c r="AB28" t="s">
        <v>16</v>
      </c>
      <c r="AC28" s="148">
        <v>1</v>
      </c>
      <c r="AD28" s="148"/>
      <c r="AE28" s="148"/>
      <c r="AF28" s="148">
        <v>1</v>
      </c>
      <c r="AG28" t="s">
        <v>14</v>
      </c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 spans="1:51" s="64" customFormat="1" ht="17" x14ac:dyDescent="0.2">
      <c r="A29" s="151" t="s">
        <v>597</v>
      </c>
      <c r="B29" s="152">
        <v>1921</v>
      </c>
      <c r="C29" s="152">
        <v>5</v>
      </c>
      <c r="D29" s="152" t="s">
        <v>598</v>
      </c>
      <c r="E29"/>
      <c r="F29"/>
      <c r="G29" t="s">
        <v>2398</v>
      </c>
      <c r="H29" t="s">
        <v>2321</v>
      </c>
      <c r="I29" s="64">
        <v>18</v>
      </c>
      <c r="J29">
        <v>1</v>
      </c>
      <c r="N29" t="s">
        <v>18</v>
      </c>
      <c r="O29" s="64">
        <v>1</v>
      </c>
      <c r="P29"/>
      <c r="T29">
        <v>45</v>
      </c>
      <c r="X29" s="148"/>
      <c r="Y29" s="148"/>
      <c r="Z29" s="148"/>
      <c r="AA29" t="s">
        <v>50</v>
      </c>
      <c r="AB29" t="s">
        <v>20</v>
      </c>
      <c r="AC29" s="148"/>
      <c r="AD29" s="148"/>
      <c r="AE29" s="148"/>
      <c r="AF29" s="148">
        <v>1</v>
      </c>
      <c r="AG29" t="s">
        <v>14</v>
      </c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 spans="1:51" s="64" customFormat="1" ht="17" x14ac:dyDescent="0.2">
      <c r="A30" s="151" t="s">
        <v>597</v>
      </c>
      <c r="B30" s="152">
        <v>1921</v>
      </c>
      <c r="C30" s="152">
        <v>5</v>
      </c>
      <c r="D30" s="152" t="s">
        <v>598</v>
      </c>
      <c r="E30"/>
      <c r="F30"/>
      <c r="G30" t="s">
        <v>2398</v>
      </c>
      <c r="H30" t="s">
        <v>109</v>
      </c>
      <c r="I30" s="64">
        <v>19</v>
      </c>
      <c r="J30">
        <v>1</v>
      </c>
      <c r="N30" t="s">
        <v>22</v>
      </c>
      <c r="P30">
        <v>1</v>
      </c>
      <c r="T30">
        <v>18</v>
      </c>
      <c r="X30" s="148"/>
      <c r="Y30" s="148"/>
      <c r="Z30" s="148"/>
      <c r="AA30" t="s">
        <v>20</v>
      </c>
      <c r="AB30" t="s">
        <v>20</v>
      </c>
      <c r="AC30" s="148"/>
      <c r="AD30" s="148"/>
      <c r="AE30" s="148"/>
      <c r="AF30" s="148"/>
      <c r="AG30" t="s">
        <v>2400</v>
      </c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 spans="1:51" s="64" customFormat="1" ht="17" x14ac:dyDescent="0.2">
      <c r="A31" s="151" t="s">
        <v>597</v>
      </c>
      <c r="B31" s="152">
        <v>1921</v>
      </c>
      <c r="C31" s="152">
        <v>5</v>
      </c>
      <c r="D31" s="152" t="s">
        <v>598</v>
      </c>
      <c r="E31"/>
      <c r="F31"/>
      <c r="G31" t="s">
        <v>2398</v>
      </c>
      <c r="H31" t="s">
        <v>2401</v>
      </c>
      <c r="I31" s="64">
        <v>20</v>
      </c>
      <c r="J31"/>
      <c r="L31" s="64">
        <v>1</v>
      </c>
      <c r="N31" t="s">
        <v>22</v>
      </c>
      <c r="P31">
        <v>1</v>
      </c>
      <c r="T31">
        <v>12</v>
      </c>
      <c r="X31" s="148"/>
      <c r="Y31" s="148"/>
      <c r="Z31" s="148"/>
      <c r="AA31" t="s">
        <v>20</v>
      </c>
      <c r="AB31" t="s">
        <v>20</v>
      </c>
      <c r="AC31" s="148"/>
      <c r="AD31" s="148"/>
      <c r="AE31" s="148"/>
      <c r="AF31" s="148"/>
      <c r="AG31" t="s">
        <v>2402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</row>
    <row r="32" spans="1:51" s="64" customFormat="1" ht="17" x14ac:dyDescent="0.2">
      <c r="A32" s="151" t="s">
        <v>597</v>
      </c>
      <c r="B32" s="152">
        <v>1921</v>
      </c>
      <c r="C32" s="152">
        <v>5</v>
      </c>
      <c r="D32" s="152" t="s">
        <v>598</v>
      </c>
      <c r="E32"/>
      <c r="F32"/>
      <c r="G32" t="s">
        <v>2398</v>
      </c>
      <c r="H32" t="s">
        <v>2403</v>
      </c>
      <c r="I32" s="64">
        <v>21</v>
      </c>
      <c r="J32" t="s">
        <v>13</v>
      </c>
      <c r="M32" s="64">
        <v>1</v>
      </c>
      <c r="N32" t="s">
        <v>51</v>
      </c>
      <c r="P32"/>
      <c r="Q32" s="64">
        <v>1</v>
      </c>
      <c r="T32">
        <v>10</v>
      </c>
      <c r="X32" s="148"/>
      <c r="Y32" s="148"/>
      <c r="Z32" s="148"/>
      <c r="AA32" t="s">
        <v>20</v>
      </c>
      <c r="AB32" t="s">
        <v>20</v>
      </c>
      <c r="AC32" s="148"/>
      <c r="AD32" s="148"/>
      <c r="AE32" s="148"/>
      <c r="AF32" s="148"/>
      <c r="AG32" t="s">
        <v>2402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</row>
    <row r="33" spans="1:51" s="64" customFormat="1" ht="17" x14ac:dyDescent="0.2">
      <c r="A33" s="151" t="s">
        <v>597</v>
      </c>
      <c r="B33" s="152">
        <v>1921</v>
      </c>
      <c r="C33" s="152">
        <v>5</v>
      </c>
      <c r="D33" s="152" t="s">
        <v>598</v>
      </c>
      <c r="E33"/>
      <c r="F33"/>
      <c r="G33" t="s">
        <v>2398</v>
      </c>
      <c r="H33" t="s">
        <v>1407</v>
      </c>
      <c r="I33" s="64">
        <v>22</v>
      </c>
      <c r="J33"/>
      <c r="L33" s="64">
        <v>1</v>
      </c>
      <c r="N33" t="s">
        <v>22</v>
      </c>
      <c r="P33">
        <v>1</v>
      </c>
      <c r="T33">
        <v>7</v>
      </c>
      <c r="X33" s="148"/>
      <c r="Y33" s="148"/>
      <c r="Z33" s="148"/>
      <c r="AA33" t="s">
        <v>20</v>
      </c>
      <c r="AB33" t="s">
        <v>20</v>
      </c>
      <c r="AC33" s="148"/>
      <c r="AD33" s="148"/>
      <c r="AE33" s="148"/>
      <c r="AF33" s="148"/>
      <c r="AG33" t="s">
        <v>2402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spans="1:51" s="64" customFormat="1" ht="17" x14ac:dyDescent="0.2">
      <c r="A34" s="151" t="s">
        <v>597</v>
      </c>
      <c r="B34" s="152">
        <v>1921</v>
      </c>
      <c r="C34" s="152">
        <v>5</v>
      </c>
      <c r="D34" s="152" t="s">
        <v>598</v>
      </c>
      <c r="E34"/>
      <c r="F34"/>
      <c r="G34" t="s">
        <v>2404</v>
      </c>
      <c r="H34" t="s">
        <v>170</v>
      </c>
      <c r="I34" s="64">
        <v>23</v>
      </c>
      <c r="J34">
        <v>1</v>
      </c>
      <c r="N34" t="s">
        <v>26</v>
      </c>
      <c r="P34"/>
      <c r="S34" s="64">
        <v>1</v>
      </c>
      <c r="T34">
        <v>47</v>
      </c>
      <c r="X34" s="148"/>
      <c r="Y34" s="148"/>
      <c r="Z34" s="148"/>
      <c r="AA34" t="s">
        <v>56</v>
      </c>
      <c r="AB34" t="s">
        <v>29</v>
      </c>
      <c r="AC34" s="148">
        <v>1</v>
      </c>
      <c r="AD34" s="148"/>
      <c r="AE34" s="148"/>
      <c r="AF34" s="148"/>
      <c r="AG34" t="s">
        <v>14</v>
      </c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 spans="1:51" s="64" customFormat="1" ht="17" x14ac:dyDescent="0.2">
      <c r="A35" s="151" t="s">
        <v>597</v>
      </c>
      <c r="B35" s="152">
        <v>1921</v>
      </c>
      <c r="C35" s="152"/>
      <c r="D35" s="152" t="s">
        <v>598</v>
      </c>
      <c r="E35"/>
      <c r="F35"/>
      <c r="G35"/>
      <c r="H35">
        <v>7</v>
      </c>
      <c r="J35"/>
      <c r="N35"/>
      <c r="P35"/>
      <c r="T35"/>
      <c r="X35" s="148"/>
      <c r="Y35" s="148"/>
      <c r="Z35" s="148"/>
      <c r="AA35"/>
      <c r="AB35"/>
      <c r="AC35" s="148"/>
      <c r="AD35" s="148"/>
      <c r="AE35" s="148"/>
      <c r="AF35" s="148"/>
      <c r="AG35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</row>
    <row r="36" spans="1:51" s="64" customFormat="1" ht="17" x14ac:dyDescent="0.2">
      <c r="A36" s="151" t="s">
        <v>597</v>
      </c>
      <c r="B36" s="152">
        <v>1921</v>
      </c>
      <c r="C36" s="152"/>
      <c r="D36" s="152" t="s">
        <v>598</v>
      </c>
      <c r="E36"/>
      <c r="F36"/>
      <c r="G36" t="s">
        <v>1</v>
      </c>
      <c r="H36" t="s">
        <v>0</v>
      </c>
      <c r="J36" t="s">
        <v>3</v>
      </c>
      <c r="N36" t="s">
        <v>2</v>
      </c>
      <c r="P36"/>
      <c r="T36" t="s">
        <v>5</v>
      </c>
      <c r="X36" s="148"/>
      <c r="Y36" s="148"/>
      <c r="Z36" s="148"/>
      <c r="AA36" t="s">
        <v>7</v>
      </c>
      <c r="AB36" t="s">
        <v>8</v>
      </c>
      <c r="AC36" s="148"/>
      <c r="AD36" s="148"/>
      <c r="AE36" s="148"/>
      <c r="AF36" s="148"/>
      <c r="AG36" t="s">
        <v>6</v>
      </c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</row>
    <row r="37" spans="1:51" s="64" customFormat="1" ht="17" x14ac:dyDescent="0.2">
      <c r="A37" s="151" t="s">
        <v>597</v>
      </c>
      <c r="B37" s="152">
        <v>1921</v>
      </c>
      <c r="C37" s="152">
        <v>6</v>
      </c>
      <c r="D37" s="152" t="s">
        <v>598</v>
      </c>
      <c r="E37"/>
      <c r="F37">
        <v>3</v>
      </c>
      <c r="G37" t="s">
        <v>2406</v>
      </c>
      <c r="H37" t="s">
        <v>2405</v>
      </c>
      <c r="I37" s="64">
        <v>24</v>
      </c>
      <c r="J37" t="s">
        <v>13</v>
      </c>
      <c r="K37" s="64">
        <v>1</v>
      </c>
      <c r="N37">
        <v>1</v>
      </c>
      <c r="P37"/>
      <c r="T37">
        <v>33</v>
      </c>
      <c r="X37" s="148"/>
      <c r="Y37" s="148"/>
      <c r="Z37" s="148"/>
      <c r="AA37" t="s">
        <v>424</v>
      </c>
      <c r="AB37" t="s">
        <v>8</v>
      </c>
      <c r="AC37" s="148">
        <v>1</v>
      </c>
      <c r="AD37" s="148">
        <v>1</v>
      </c>
      <c r="AE37" s="148"/>
      <c r="AF37" s="148">
        <v>1</v>
      </c>
      <c r="AG37" t="s">
        <v>14</v>
      </c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1:51" s="64" customFormat="1" ht="17" x14ac:dyDescent="0.2">
      <c r="A38" s="151" t="s">
        <v>597</v>
      </c>
      <c r="B38" s="152">
        <v>1921</v>
      </c>
      <c r="C38" s="152">
        <v>6</v>
      </c>
      <c r="D38" s="152" t="s">
        <v>598</v>
      </c>
      <c r="E38"/>
      <c r="F38"/>
      <c r="G38" t="s">
        <v>2406</v>
      </c>
      <c r="H38" t="s">
        <v>2407</v>
      </c>
      <c r="I38" s="64">
        <v>25</v>
      </c>
      <c r="J38">
        <v>1</v>
      </c>
      <c r="N38" t="s">
        <v>18</v>
      </c>
      <c r="O38" s="64">
        <v>1</v>
      </c>
      <c r="P38"/>
      <c r="T38">
        <v>29</v>
      </c>
      <c r="X38" s="148"/>
      <c r="Y38" s="148"/>
      <c r="Z38" s="148"/>
      <c r="AA38" t="s">
        <v>20</v>
      </c>
      <c r="AB38" t="s">
        <v>20</v>
      </c>
      <c r="AC38" s="148"/>
      <c r="AD38" s="148"/>
      <c r="AE38" s="148"/>
      <c r="AF38" s="148"/>
      <c r="AG38" t="s">
        <v>2408</v>
      </c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1:51" s="64" customFormat="1" ht="17" x14ac:dyDescent="0.2">
      <c r="A39" s="151" t="s">
        <v>597</v>
      </c>
      <c r="B39" s="152">
        <v>1921</v>
      </c>
      <c r="C39" s="152">
        <v>6</v>
      </c>
      <c r="D39" s="152" t="s">
        <v>598</v>
      </c>
      <c r="E39"/>
      <c r="F39"/>
      <c r="G39" t="s">
        <v>2410</v>
      </c>
      <c r="H39" t="s">
        <v>2409</v>
      </c>
      <c r="I39" s="64">
        <v>26</v>
      </c>
      <c r="J39">
        <v>1</v>
      </c>
      <c r="N39" t="s">
        <v>26</v>
      </c>
      <c r="P39"/>
      <c r="S39" s="64">
        <v>1</v>
      </c>
      <c r="T39">
        <v>49</v>
      </c>
      <c r="X39" s="148"/>
      <c r="Y39" s="148"/>
      <c r="Z39" s="148"/>
      <c r="AA39" t="s">
        <v>344</v>
      </c>
      <c r="AB39" t="s">
        <v>29</v>
      </c>
      <c r="AC39" s="148">
        <v>1</v>
      </c>
      <c r="AD39" s="148"/>
      <c r="AE39" s="148"/>
      <c r="AF39" s="148"/>
      <c r="AG39" t="s">
        <v>2411</v>
      </c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1:51" s="64" customFormat="1" ht="17" x14ac:dyDescent="0.2">
      <c r="A40" s="151" t="s">
        <v>597</v>
      </c>
      <c r="B40" s="152">
        <v>1921</v>
      </c>
      <c r="C40" s="152"/>
      <c r="D40" s="152" t="s">
        <v>598</v>
      </c>
      <c r="E40"/>
      <c r="F40"/>
      <c r="G40"/>
      <c r="H40">
        <v>3</v>
      </c>
      <c r="J40"/>
      <c r="N40"/>
      <c r="P40"/>
      <c r="T40"/>
      <c r="X40" s="148"/>
      <c r="Y40" s="148"/>
      <c r="Z40" s="148"/>
      <c r="AA40"/>
      <c r="AB40"/>
      <c r="AC40" s="148"/>
      <c r="AD40" s="148"/>
      <c r="AE40" s="148"/>
      <c r="AF40" s="148"/>
      <c r="AG4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1:51" s="64" customFormat="1" ht="17" x14ac:dyDescent="0.2">
      <c r="A41" s="151" t="s">
        <v>597</v>
      </c>
      <c r="B41" s="152">
        <v>1921</v>
      </c>
      <c r="C41" s="152"/>
      <c r="D41" s="152" t="s">
        <v>598</v>
      </c>
      <c r="E41"/>
      <c r="F41">
        <v>4</v>
      </c>
      <c r="G41" t="s">
        <v>1</v>
      </c>
      <c r="H41" t="s">
        <v>0</v>
      </c>
      <c r="J41" t="s">
        <v>3</v>
      </c>
      <c r="N41" t="s">
        <v>2</v>
      </c>
      <c r="P41"/>
      <c r="T41" t="s">
        <v>5</v>
      </c>
      <c r="X41" s="148"/>
      <c r="Y41" s="148"/>
      <c r="Z41" s="148"/>
      <c r="AA41" t="s">
        <v>7</v>
      </c>
      <c r="AB41" t="s">
        <v>8</v>
      </c>
      <c r="AC41" s="148"/>
      <c r="AD41" s="148"/>
      <c r="AE41" s="148"/>
      <c r="AF41" s="148"/>
      <c r="AG41" t="s">
        <v>6</v>
      </c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1:51" s="235" customFormat="1" ht="17" x14ac:dyDescent="0.2">
      <c r="A42" s="233" t="s">
        <v>597</v>
      </c>
      <c r="B42" s="234">
        <v>1921</v>
      </c>
      <c r="C42" s="234">
        <v>7</v>
      </c>
      <c r="D42" s="234" t="s">
        <v>598</v>
      </c>
      <c r="E42" s="55"/>
      <c r="F42" s="55"/>
      <c r="G42" s="55" t="s">
        <v>2413</v>
      </c>
      <c r="H42" s="55" t="s">
        <v>2412</v>
      </c>
      <c r="I42" s="235">
        <v>27</v>
      </c>
      <c r="J42" s="55">
        <v>1</v>
      </c>
      <c r="N42" s="55">
        <v>1</v>
      </c>
      <c r="P42" s="55"/>
      <c r="T42" s="55">
        <v>51</v>
      </c>
      <c r="X42" s="237"/>
      <c r="Y42" s="237"/>
      <c r="Z42" s="237"/>
      <c r="AA42" s="55" t="s">
        <v>47</v>
      </c>
      <c r="AB42" s="55" t="s">
        <v>20</v>
      </c>
      <c r="AC42" s="237"/>
      <c r="AD42" s="237"/>
      <c r="AE42" s="237"/>
      <c r="AF42" s="237">
        <v>1</v>
      </c>
      <c r="AG42" s="55" t="s">
        <v>49</v>
      </c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</row>
    <row r="43" spans="1:51" s="64" customFormat="1" ht="17" x14ac:dyDescent="0.2">
      <c r="A43" s="151" t="s">
        <v>597</v>
      </c>
      <c r="B43" s="152">
        <v>1921</v>
      </c>
      <c r="C43" s="152">
        <v>7</v>
      </c>
      <c r="D43" s="152" t="s">
        <v>598</v>
      </c>
      <c r="E43"/>
      <c r="F43"/>
      <c r="G43" t="s">
        <v>2415</v>
      </c>
      <c r="H43" t="s">
        <v>2414</v>
      </c>
      <c r="I43" s="64">
        <v>28</v>
      </c>
      <c r="J43">
        <v>1</v>
      </c>
      <c r="N43" t="s">
        <v>60</v>
      </c>
      <c r="P43"/>
      <c r="R43" s="64">
        <v>1</v>
      </c>
      <c r="T43">
        <v>23</v>
      </c>
      <c r="X43" s="148"/>
      <c r="Y43" s="148"/>
      <c r="Z43" s="148"/>
      <c r="AA43" t="s">
        <v>2416</v>
      </c>
      <c r="AB43" t="s">
        <v>2417</v>
      </c>
      <c r="AC43" s="148">
        <v>1</v>
      </c>
      <c r="AD43" s="148"/>
      <c r="AE43" s="148"/>
      <c r="AF43" s="148"/>
      <c r="AG43" t="s">
        <v>1714</v>
      </c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1:51" s="64" customFormat="1" ht="17" x14ac:dyDescent="0.2">
      <c r="A44" s="151" t="s">
        <v>597</v>
      </c>
      <c r="B44" s="152">
        <v>1921</v>
      </c>
      <c r="C44" s="152">
        <v>7</v>
      </c>
      <c r="D44" s="152" t="s">
        <v>598</v>
      </c>
      <c r="E44"/>
      <c r="F44"/>
      <c r="G44" t="s">
        <v>2419</v>
      </c>
      <c r="H44" t="s">
        <v>2418</v>
      </c>
      <c r="I44" s="64">
        <v>29</v>
      </c>
      <c r="J44">
        <v>1</v>
      </c>
      <c r="N44" t="s">
        <v>26</v>
      </c>
      <c r="P44"/>
      <c r="S44" s="64">
        <v>1</v>
      </c>
      <c r="T44">
        <v>26</v>
      </c>
      <c r="X44" s="148"/>
      <c r="Y44" s="148"/>
      <c r="Z44" s="148"/>
      <c r="AA44" t="s">
        <v>344</v>
      </c>
      <c r="AB44" t="s">
        <v>29</v>
      </c>
      <c r="AC44" s="148">
        <v>1</v>
      </c>
      <c r="AD44" s="148"/>
      <c r="AE44" s="148"/>
      <c r="AF44" s="148"/>
      <c r="AG44" t="s">
        <v>1394</v>
      </c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1:51" ht="19" customHeight="1" x14ac:dyDescent="0.2">
      <c r="A45" s="151" t="s">
        <v>597</v>
      </c>
      <c r="B45" s="152">
        <v>1921</v>
      </c>
      <c r="C45" s="152"/>
      <c r="D45" s="152" t="s">
        <v>598</v>
      </c>
      <c r="H45">
        <v>3</v>
      </c>
      <c r="X45" s="5"/>
      <c r="Y45" s="5"/>
      <c r="Z45" s="5"/>
      <c r="AC45" s="5"/>
      <c r="AD45" s="5"/>
      <c r="AE45" s="7"/>
      <c r="AF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151" t="s">
        <v>597</v>
      </c>
      <c r="B46" s="152">
        <v>1921</v>
      </c>
      <c r="C46" s="152"/>
      <c r="D46" s="152" t="s">
        <v>598</v>
      </c>
      <c r="G46" t="s">
        <v>1</v>
      </c>
      <c r="H46" t="s">
        <v>0</v>
      </c>
      <c r="J46" t="s">
        <v>3</v>
      </c>
      <c r="N46" t="s">
        <v>2</v>
      </c>
      <c r="T46" t="s">
        <v>5</v>
      </c>
      <c r="X46" s="7"/>
      <c r="Y46" s="7"/>
      <c r="Z46" s="7"/>
      <c r="AA46" t="s">
        <v>7</v>
      </c>
      <c r="AB46" t="s">
        <v>8</v>
      </c>
      <c r="AC46" s="7"/>
      <c r="AD46" s="7"/>
      <c r="AE46" s="7"/>
      <c r="AF46" s="7"/>
      <c r="AG46" t="s">
        <v>6</v>
      </c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s="55" customFormat="1" ht="17.5" customHeight="1" x14ac:dyDescent="0.2">
      <c r="A47" s="233" t="s">
        <v>597</v>
      </c>
      <c r="B47" s="234">
        <v>1921</v>
      </c>
      <c r="C47" s="234">
        <v>8</v>
      </c>
      <c r="D47" s="234" t="s">
        <v>598</v>
      </c>
      <c r="F47" s="55">
        <v>5</v>
      </c>
      <c r="G47" s="55" t="s">
        <v>743</v>
      </c>
      <c r="H47" s="55" t="s">
        <v>2420</v>
      </c>
      <c r="I47" s="235">
        <v>30</v>
      </c>
      <c r="J47" s="55">
        <v>1</v>
      </c>
      <c r="N47" s="55">
        <v>1</v>
      </c>
      <c r="T47" s="55">
        <v>76</v>
      </c>
      <c r="X47" s="227"/>
      <c r="Y47" s="227"/>
      <c r="Z47" s="227"/>
      <c r="AA47" s="55" t="s">
        <v>20</v>
      </c>
      <c r="AB47" s="55" t="s">
        <v>20</v>
      </c>
      <c r="AC47" s="227"/>
      <c r="AD47" s="227"/>
      <c r="AE47" s="227"/>
      <c r="AF47" s="227"/>
      <c r="AG47" s="55" t="s">
        <v>2421</v>
      </c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</row>
    <row r="48" spans="1:51" ht="17.5" customHeight="1" x14ac:dyDescent="0.2">
      <c r="A48" s="151" t="s">
        <v>597</v>
      </c>
      <c r="B48" s="152">
        <v>1921</v>
      </c>
      <c r="C48" s="152">
        <v>8</v>
      </c>
      <c r="D48" s="152" t="s">
        <v>598</v>
      </c>
      <c r="G48" t="s">
        <v>2422</v>
      </c>
      <c r="H48" t="s">
        <v>398</v>
      </c>
      <c r="I48" s="64">
        <v>31</v>
      </c>
      <c r="J48">
        <v>1</v>
      </c>
      <c r="N48" t="s">
        <v>26</v>
      </c>
      <c r="S48">
        <v>1</v>
      </c>
      <c r="T48">
        <v>51</v>
      </c>
      <c r="X48" s="7"/>
      <c r="Y48" s="7"/>
      <c r="Z48" s="7"/>
      <c r="AA48" t="s">
        <v>2423</v>
      </c>
      <c r="AB48" t="s">
        <v>29</v>
      </c>
      <c r="AC48" s="7">
        <v>1</v>
      </c>
      <c r="AD48" s="7"/>
      <c r="AE48" s="7"/>
      <c r="AF48" s="7">
        <v>1</v>
      </c>
      <c r="AG48" t="s">
        <v>646</v>
      </c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151" t="s">
        <v>597</v>
      </c>
      <c r="B49" s="152">
        <v>1921</v>
      </c>
      <c r="C49" s="152">
        <v>8</v>
      </c>
      <c r="D49" s="152" t="s">
        <v>598</v>
      </c>
      <c r="E49" s="7"/>
      <c r="F49" s="7"/>
      <c r="G49" s="7"/>
      <c r="H49" s="7">
        <v>2</v>
      </c>
      <c r="I49" s="7"/>
      <c r="J49" s="7"/>
      <c r="K49" s="7"/>
      <c r="L49" s="7"/>
      <c r="M49" s="6"/>
      <c r="N49" s="6"/>
      <c r="O49" s="6"/>
      <c r="P49" s="6"/>
      <c r="Q49" s="6"/>
      <c r="R49" s="6"/>
      <c r="S49" s="6"/>
      <c r="T49" s="6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151" t="s">
        <v>597</v>
      </c>
      <c r="B50" s="152">
        <v>1921</v>
      </c>
      <c r="C50" s="152">
        <v>8</v>
      </c>
      <c r="D50" s="152" t="s">
        <v>598</v>
      </c>
      <c r="E50" s="7"/>
      <c r="F50" s="7"/>
      <c r="G50" s="7"/>
      <c r="H50" s="7"/>
      <c r="I50" s="7"/>
      <c r="J50" s="7"/>
      <c r="K50" s="7"/>
      <c r="L50" s="7"/>
      <c r="M50" s="6"/>
      <c r="N50" s="6"/>
      <c r="O50" s="6"/>
      <c r="P50" s="6"/>
      <c r="Q50" s="6"/>
      <c r="R50" s="6"/>
      <c r="S50" s="6"/>
      <c r="T50" s="6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" customHeight="1" x14ac:dyDescent="0.2">
      <c r="A51" s="151" t="s">
        <v>597</v>
      </c>
      <c r="B51" s="152">
        <v>1921</v>
      </c>
      <c r="C51" s="152">
        <v>8</v>
      </c>
      <c r="D51" s="152" t="s">
        <v>598</v>
      </c>
      <c r="E51" s="7"/>
      <c r="F51" s="7"/>
      <c r="G51" s="7"/>
      <c r="H51" s="7"/>
      <c r="I51" s="7">
        <v>31</v>
      </c>
      <c r="J51" s="7">
        <f>SUM(J3:J48)</f>
        <v>20</v>
      </c>
      <c r="K51" s="7">
        <f t="shared" ref="K51:AI51" si="0">SUM(K3:K48)</f>
        <v>6</v>
      </c>
      <c r="L51" s="7">
        <f t="shared" si="0"/>
        <v>3</v>
      </c>
      <c r="M51" s="7">
        <f t="shared" si="0"/>
        <v>2</v>
      </c>
      <c r="N51" s="7">
        <f t="shared" si="0"/>
        <v>8</v>
      </c>
      <c r="O51" s="7">
        <f t="shared" si="0"/>
        <v>5</v>
      </c>
      <c r="P51" s="7">
        <f t="shared" si="0"/>
        <v>4</v>
      </c>
      <c r="Q51" s="7">
        <f t="shared" si="0"/>
        <v>2</v>
      </c>
      <c r="R51" s="7">
        <f t="shared" si="0"/>
        <v>2</v>
      </c>
      <c r="S51" s="7">
        <f t="shared" si="0"/>
        <v>10</v>
      </c>
      <c r="T51" s="7">
        <f t="shared" si="0"/>
        <v>1029</v>
      </c>
      <c r="U51" s="7">
        <f t="shared" si="0"/>
        <v>0</v>
      </c>
      <c r="V51" s="7">
        <f t="shared" si="0"/>
        <v>0</v>
      </c>
      <c r="W51" s="7">
        <f t="shared" si="0"/>
        <v>0</v>
      </c>
      <c r="X51" s="7">
        <f t="shared" si="0"/>
        <v>0</v>
      </c>
      <c r="Y51" s="7">
        <f t="shared" si="0"/>
        <v>0</v>
      </c>
      <c r="Z51" s="7">
        <f t="shared" si="0"/>
        <v>0</v>
      </c>
      <c r="AA51" s="7">
        <f t="shared" si="0"/>
        <v>0</v>
      </c>
      <c r="AB51" s="7">
        <f t="shared" si="0"/>
        <v>0</v>
      </c>
      <c r="AC51" s="7">
        <f t="shared" si="0"/>
        <v>17</v>
      </c>
      <c r="AD51" s="7">
        <f t="shared" si="0"/>
        <v>2</v>
      </c>
      <c r="AE51" s="7">
        <f>AC51-AD51</f>
        <v>15</v>
      </c>
      <c r="AF51" s="7">
        <f t="shared" si="0"/>
        <v>7</v>
      </c>
      <c r="AG51" s="7">
        <f>I52-AF51</f>
        <v>24</v>
      </c>
      <c r="AH51" s="7">
        <f>AG51+AF51</f>
        <v>31</v>
      </c>
      <c r="AI51" s="7">
        <f t="shared" si="0"/>
        <v>0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/>
      <c r="I52" s="7">
        <f>SUM(J51:M51)</f>
        <v>31</v>
      </c>
      <c r="J52" s="7"/>
      <c r="K52" s="7"/>
      <c r="L52" s="7"/>
      <c r="M52" s="6"/>
      <c r="N52" s="6">
        <f>SUM(N51:S51)</f>
        <v>31</v>
      </c>
      <c r="O52" s="6"/>
      <c r="P52" s="6"/>
      <c r="Q52" s="6"/>
      <c r="R52" s="6"/>
      <c r="S52" s="6"/>
      <c r="T52" s="150">
        <f>T51/N52</f>
        <v>33.193548387096776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6"/>
      <c r="N53" s="6"/>
      <c r="O53" s="6"/>
      <c r="P53" s="6"/>
      <c r="Q53" s="6"/>
      <c r="R53" s="6"/>
      <c r="S53" s="6"/>
      <c r="T53" s="6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11"/>
      <c r="B54" s="11"/>
      <c r="C54" s="11"/>
      <c r="D54" s="12"/>
      <c r="E54" s="11"/>
      <c r="F54" s="12"/>
      <c r="G54" s="12"/>
      <c r="H54" s="12"/>
      <c r="I54" s="12"/>
      <c r="J54" s="12"/>
      <c r="K54" s="13"/>
      <c r="L54" s="12"/>
      <c r="M54" s="12"/>
      <c r="N54" s="12"/>
      <c r="O54" s="12"/>
      <c r="P54" s="12"/>
      <c r="Q54" s="13"/>
      <c r="R54" s="13"/>
      <c r="S54" s="13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28" customHeight="1" x14ac:dyDescent="0.2">
      <c r="A55" s="11"/>
      <c r="B55" s="11"/>
      <c r="C55" s="11"/>
      <c r="D55" s="12"/>
      <c r="E55" s="11"/>
      <c r="F55" s="12"/>
      <c r="G55" s="12"/>
      <c r="H55" s="12"/>
      <c r="I55" s="12"/>
      <c r="J55" s="14"/>
      <c r="K55" s="15"/>
      <c r="L55" s="16"/>
      <c r="M55" s="12"/>
      <c r="N55" s="12"/>
      <c r="O55" s="12"/>
      <c r="P55" s="14"/>
      <c r="Q55" s="15"/>
      <c r="R55" s="15"/>
      <c r="S55" s="15"/>
      <c r="T55" s="17"/>
      <c r="U55" s="12"/>
      <c r="V55" s="12"/>
      <c r="W55" s="12"/>
      <c r="X55" s="12"/>
      <c r="Y55" s="12"/>
      <c r="Z55" s="12"/>
      <c r="AA55" s="12"/>
      <c r="AB55" s="12"/>
      <c r="AC55" s="12"/>
      <c r="AD55" s="11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B56" s="7"/>
      <c r="C56" s="7"/>
      <c r="D56" s="7"/>
      <c r="E56" s="7"/>
      <c r="F56" s="7"/>
      <c r="G56" s="7"/>
      <c r="H56" s="7"/>
      <c r="I56" s="7"/>
      <c r="J56" s="7"/>
      <c r="K56" s="9"/>
      <c r="L56" s="7"/>
      <c r="M56" s="6"/>
      <c r="N56" s="6"/>
      <c r="O56" s="6"/>
      <c r="P56" s="6"/>
      <c r="Q56" s="18"/>
      <c r="R56" s="18"/>
      <c r="S56" s="18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6"/>
      <c r="N57" s="6"/>
      <c r="O57" s="6"/>
      <c r="P57" s="6"/>
      <c r="Q57" s="7"/>
      <c r="R57" s="6"/>
      <c r="S57" s="6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6"/>
      <c r="N58" s="6"/>
      <c r="O58" s="6"/>
      <c r="P58" s="6"/>
      <c r="Q58" s="6"/>
      <c r="R58" s="6"/>
      <c r="S58" s="6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6"/>
      <c r="N59" s="6"/>
      <c r="O59" s="6"/>
      <c r="P59" s="6"/>
      <c r="Q59" s="6"/>
      <c r="R59" s="6"/>
      <c r="S59" s="6"/>
      <c r="T59" s="7"/>
      <c r="U59" s="6"/>
      <c r="V59" s="6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6"/>
      <c r="N60" s="6"/>
      <c r="O60" s="6"/>
      <c r="P60" s="6"/>
      <c r="Q60" s="7"/>
      <c r="R60" s="6"/>
      <c r="S60" s="6"/>
      <c r="T60" s="7"/>
      <c r="U60" s="6"/>
      <c r="V60" s="6"/>
      <c r="W60" s="6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6"/>
      <c r="N61" s="6"/>
      <c r="O61" s="6"/>
      <c r="P61" s="6"/>
      <c r="Q61" s="7"/>
      <c r="R61" s="6"/>
      <c r="S61" s="6"/>
      <c r="T61" s="7"/>
      <c r="U61" s="6"/>
      <c r="V61" s="6"/>
      <c r="W61" s="6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6"/>
      <c r="N62" s="6"/>
      <c r="O62" s="6"/>
      <c r="P62" s="6"/>
      <c r="Q62" s="7"/>
      <c r="R62" s="6"/>
      <c r="S62" s="6"/>
      <c r="T62" s="7"/>
      <c r="U62" s="6"/>
      <c r="V62" s="6"/>
      <c r="W62" s="6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6"/>
      <c r="N63" s="6"/>
      <c r="O63" s="6"/>
      <c r="P63" s="6"/>
      <c r="Q63" s="7"/>
      <c r="R63" s="6"/>
      <c r="S63" s="6"/>
      <c r="T63" s="7"/>
      <c r="U63" s="6"/>
      <c r="V63" s="6"/>
      <c r="W63" s="6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" customHeight="1" x14ac:dyDescent="0.2">
      <c r="A64" s="7"/>
      <c r="B64" s="7"/>
      <c r="C64" s="7"/>
      <c r="D64" s="7"/>
      <c r="E64" s="7"/>
      <c r="F64" s="7"/>
      <c r="G64" s="7"/>
      <c r="H64" s="7" t="s">
        <v>0</v>
      </c>
      <c r="I64" s="7" t="s">
        <v>1</v>
      </c>
      <c r="J64" s="7" t="s">
        <v>2</v>
      </c>
      <c r="K64" s="7" t="s">
        <v>3</v>
      </c>
      <c r="L64" s="7" t="s">
        <v>4</v>
      </c>
      <c r="M64" s="7" t="s">
        <v>5</v>
      </c>
      <c r="N64" s="7" t="s">
        <v>6</v>
      </c>
      <c r="O64" s="7" t="s">
        <v>7</v>
      </c>
      <c r="P64" s="7" t="s">
        <v>8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7"/>
      <c r="B65" s="7"/>
      <c r="C65" s="7"/>
      <c r="D65" s="7"/>
      <c r="E65" s="7" t="s">
        <v>2374</v>
      </c>
      <c r="F65" s="7"/>
      <c r="G65" s="7"/>
      <c r="H65" s="7" t="s">
        <v>2364</v>
      </c>
      <c r="I65" s="7" t="s">
        <v>371</v>
      </c>
      <c r="J65" s="7" t="s">
        <v>12</v>
      </c>
      <c r="K65" s="7" t="s">
        <v>13</v>
      </c>
      <c r="L65" s="7">
        <v>1888</v>
      </c>
      <c r="M65" s="6">
        <v>33</v>
      </c>
      <c r="N65" s="6" t="s">
        <v>62</v>
      </c>
      <c r="O65" s="6" t="s">
        <v>2365</v>
      </c>
      <c r="P65" s="6" t="s">
        <v>2366</v>
      </c>
      <c r="Q65" s="7" t="s">
        <v>2380</v>
      </c>
      <c r="R65" s="6"/>
      <c r="S65" s="6"/>
      <c r="T65" s="19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7"/>
      <c r="B66" s="7"/>
      <c r="C66" s="7"/>
      <c r="D66" s="7"/>
      <c r="E66" s="7"/>
      <c r="F66" s="7"/>
      <c r="G66" s="7"/>
      <c r="H66" s="7" t="s">
        <v>24</v>
      </c>
      <c r="I66" s="7" t="s">
        <v>371</v>
      </c>
      <c r="J66" s="7" t="s">
        <v>18</v>
      </c>
      <c r="K66" s="7" t="s">
        <v>19</v>
      </c>
      <c r="L66" s="7">
        <v>1891</v>
      </c>
      <c r="M66" s="6">
        <v>29</v>
      </c>
      <c r="N66" s="6" t="s">
        <v>2367</v>
      </c>
      <c r="O66" s="6" t="s">
        <v>50</v>
      </c>
      <c r="P66" s="6" t="s">
        <v>20</v>
      </c>
      <c r="Q66" s="7"/>
      <c r="R66" s="6"/>
      <c r="S66" s="6"/>
      <c r="T66" s="7"/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.5" customHeight="1" x14ac:dyDescent="0.2">
      <c r="A67" s="7"/>
      <c r="B67" s="7"/>
      <c r="C67" s="7"/>
      <c r="D67" s="7"/>
      <c r="E67" s="7"/>
      <c r="F67" s="7"/>
      <c r="G67" s="7"/>
      <c r="H67" s="7" t="s">
        <v>2368</v>
      </c>
      <c r="I67" s="7" t="s">
        <v>371</v>
      </c>
      <c r="J67" s="7" t="s">
        <v>22</v>
      </c>
      <c r="K67" s="7" t="s">
        <v>19</v>
      </c>
      <c r="L67" s="7">
        <v>1917</v>
      </c>
      <c r="M67" s="6">
        <v>4</v>
      </c>
      <c r="N67" s="6" t="s">
        <v>2260</v>
      </c>
      <c r="O67" s="6" t="s">
        <v>20</v>
      </c>
      <c r="P67" s="6" t="s">
        <v>20</v>
      </c>
      <c r="Q67" s="7"/>
      <c r="R67" s="6"/>
      <c r="S67" s="6"/>
      <c r="T67" s="7"/>
      <c r="U67" s="6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7"/>
      <c r="B68" s="7"/>
      <c r="C68" s="7"/>
      <c r="D68" s="7"/>
      <c r="E68" s="7"/>
      <c r="F68" s="7"/>
      <c r="G68" s="7"/>
      <c r="H68" s="7" t="s">
        <v>109</v>
      </c>
      <c r="I68" s="7" t="s">
        <v>2369</v>
      </c>
      <c r="J68" s="7" t="s">
        <v>26</v>
      </c>
      <c r="K68" s="7" t="s">
        <v>19</v>
      </c>
      <c r="L68" s="7">
        <v>1901</v>
      </c>
      <c r="M68" s="6">
        <v>20</v>
      </c>
      <c r="N68" s="6" t="s">
        <v>2370</v>
      </c>
      <c r="O68" s="6" t="s">
        <v>2371</v>
      </c>
      <c r="P68" s="6" t="s">
        <v>29</v>
      </c>
      <c r="Q68" s="7"/>
      <c r="R68" s="6"/>
      <c r="S68" s="6"/>
      <c r="T68" s="19"/>
      <c r="U68" s="6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.5" customHeight="1" x14ac:dyDescent="0.2">
      <c r="A69" s="7"/>
      <c r="B69" s="7"/>
      <c r="C69" s="7"/>
      <c r="D69" s="7"/>
      <c r="E69" s="7"/>
      <c r="F69" s="7"/>
      <c r="G69" s="7"/>
      <c r="H69" s="7" t="s">
        <v>2372</v>
      </c>
      <c r="I69" s="7" t="s">
        <v>2373</v>
      </c>
      <c r="J69" s="7" t="s">
        <v>26</v>
      </c>
      <c r="K69" s="7" t="s">
        <v>19</v>
      </c>
      <c r="L69" s="7">
        <v>1902</v>
      </c>
      <c r="M69" s="6">
        <v>18</v>
      </c>
      <c r="N69" s="6" t="s">
        <v>1064</v>
      </c>
      <c r="O69" s="6" t="s">
        <v>344</v>
      </c>
      <c r="P69" s="6" t="s">
        <v>29</v>
      </c>
      <c r="Q69" s="7"/>
      <c r="R69" s="6"/>
      <c r="S69" s="6"/>
      <c r="T69" s="7"/>
      <c r="U69" s="6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.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6"/>
      <c r="N70" s="6"/>
      <c r="O70" s="6"/>
      <c r="P70" s="6"/>
      <c r="Q70" s="7"/>
      <c r="R70" s="6"/>
      <c r="S70" s="6"/>
      <c r="T70" s="7"/>
      <c r="U70" s="6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.5" customHeight="1" x14ac:dyDescent="0.2">
      <c r="A71" s="7"/>
      <c r="B71" s="7"/>
      <c r="C71" s="7"/>
      <c r="D71" s="7"/>
      <c r="E71" s="7"/>
      <c r="F71" s="7"/>
      <c r="G71" s="7"/>
      <c r="H71" s="7" t="s">
        <v>0</v>
      </c>
      <c r="I71" s="7" t="s">
        <v>1</v>
      </c>
      <c r="J71" s="7" t="s">
        <v>2</v>
      </c>
      <c r="K71" s="7" t="s">
        <v>3</v>
      </c>
      <c r="L71" s="7" t="s">
        <v>4</v>
      </c>
      <c r="M71" s="6" t="s">
        <v>5</v>
      </c>
      <c r="N71" s="6" t="s">
        <v>6</v>
      </c>
      <c r="O71" s="6" t="s">
        <v>7</v>
      </c>
      <c r="P71" s="6" t="s">
        <v>8</v>
      </c>
      <c r="Q71" s="7"/>
      <c r="R71" s="6"/>
      <c r="S71" s="6"/>
      <c r="T71" s="7"/>
      <c r="U71" s="6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" customHeight="1" x14ac:dyDescent="0.2">
      <c r="A72" s="4" t="s">
        <v>252</v>
      </c>
      <c r="B72" s="7"/>
      <c r="C72" s="7"/>
      <c r="D72" s="7"/>
      <c r="E72" s="7" t="s">
        <v>2382</v>
      </c>
      <c r="F72" s="7"/>
      <c r="G72" s="7">
        <f>SUM(G49:G71)</f>
        <v>0</v>
      </c>
      <c r="H72" s="7" t="s">
        <v>2375</v>
      </c>
      <c r="I72" s="7" t="s">
        <v>2376</v>
      </c>
      <c r="J72" s="7" t="s">
        <v>12</v>
      </c>
      <c r="K72" s="7" t="s">
        <v>13</v>
      </c>
      <c r="L72" s="7">
        <v>1881</v>
      </c>
      <c r="M72" s="7">
        <v>39</v>
      </c>
      <c r="N72" s="7" t="s">
        <v>20</v>
      </c>
      <c r="O72" s="7" t="s">
        <v>2377</v>
      </c>
      <c r="P72" s="7" t="s">
        <v>8</v>
      </c>
      <c r="Q72" s="7" t="s">
        <v>2381</v>
      </c>
      <c r="R72" s="7">
        <f t="shared" ref="R72:W72" si="1">SUM(R49:R71)</f>
        <v>2</v>
      </c>
      <c r="S72" s="7">
        <f t="shared" si="1"/>
        <v>10</v>
      </c>
      <c r="T72" s="7">
        <f t="shared" si="1"/>
        <v>1062.1935483870968</v>
      </c>
      <c r="U72" s="7">
        <f t="shared" si="1"/>
        <v>0</v>
      </c>
      <c r="V72" s="7">
        <f t="shared" si="1"/>
        <v>0</v>
      </c>
      <c r="W72" s="7">
        <f t="shared" si="1"/>
        <v>0</v>
      </c>
      <c r="X72" s="7"/>
      <c r="Y72" s="7"/>
      <c r="Z72" s="7">
        <f>SUM(Z45:Z71)</f>
        <v>0</v>
      </c>
      <c r="AA72" s="7">
        <f>SUM(AA49:AA71)</f>
        <v>0</v>
      </c>
      <c r="AB72" s="7">
        <f>SUM(AB49:AB71)</f>
        <v>0</v>
      </c>
      <c r="AC72" s="7">
        <f>SUM(AC45:AC71)</f>
        <v>18</v>
      </c>
      <c r="AD72" s="7">
        <f>SUM(AD45:AD71)</f>
        <v>2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7" customHeight="1" x14ac:dyDescent="0.2">
      <c r="A73" s="7"/>
      <c r="B73" s="7"/>
      <c r="C73" s="7"/>
      <c r="D73" s="7"/>
      <c r="E73" s="7"/>
      <c r="F73" s="7"/>
      <c r="G73" s="7"/>
      <c r="H73" s="7" t="s">
        <v>2378</v>
      </c>
      <c r="I73" s="7" t="s">
        <v>2379</v>
      </c>
      <c r="J73" s="7" t="s">
        <v>26</v>
      </c>
      <c r="K73" s="7" t="s">
        <v>19</v>
      </c>
      <c r="L73" s="7">
        <v>1894</v>
      </c>
      <c r="M73" s="7">
        <v>27</v>
      </c>
      <c r="N73" s="7" t="s">
        <v>418</v>
      </c>
      <c r="O73" s="7" t="s">
        <v>20</v>
      </c>
      <c r="P73" s="7" t="s">
        <v>29</v>
      </c>
      <c r="Q73" s="20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" customHeight="1" x14ac:dyDescent="0.2">
      <c r="A74" s="7"/>
      <c r="B74" s="7"/>
      <c r="C74" s="7"/>
      <c r="D74" s="7"/>
      <c r="E74" s="7"/>
      <c r="F74" s="7"/>
      <c r="G74" s="21"/>
      <c r="H74" s="21"/>
      <c r="I74" s="21"/>
      <c r="J74" s="7"/>
      <c r="K74" s="7"/>
      <c r="L74" s="7"/>
      <c r="M74" s="7"/>
      <c r="N74" s="7"/>
      <c r="O74" s="7"/>
      <c r="P74" s="7"/>
      <c r="Q74" s="20"/>
      <c r="R74" s="21"/>
      <c r="S74" s="21"/>
      <c r="T74" s="21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7"/>
      <c r="B75" s="7"/>
      <c r="C75" s="7"/>
      <c r="D75" s="7"/>
      <c r="E75" s="7"/>
      <c r="F75" s="7"/>
      <c r="G75" s="7"/>
      <c r="H75" s="7" t="s">
        <v>0</v>
      </c>
      <c r="I75" s="7" t="s">
        <v>1</v>
      </c>
      <c r="J75" s="7" t="s">
        <v>2</v>
      </c>
      <c r="K75" s="7" t="s">
        <v>3</v>
      </c>
      <c r="L75" s="7" t="s">
        <v>4</v>
      </c>
      <c r="M75" s="7" t="s">
        <v>5</v>
      </c>
      <c r="N75" s="7" t="s">
        <v>6</v>
      </c>
      <c r="O75" s="7" t="s">
        <v>7</v>
      </c>
      <c r="P75" s="7" t="s">
        <v>8</v>
      </c>
      <c r="Q75" s="7"/>
      <c r="R75" s="6"/>
      <c r="S75" s="6"/>
      <c r="T75" s="19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" customHeight="1" x14ac:dyDescent="0.2">
      <c r="A76" s="7"/>
      <c r="B76" s="7"/>
      <c r="C76" s="7"/>
      <c r="D76" s="7"/>
      <c r="E76" s="7"/>
      <c r="F76" s="7">
        <v>15</v>
      </c>
      <c r="G76" s="7"/>
      <c r="H76" s="7" t="s">
        <v>2383</v>
      </c>
      <c r="I76" s="7" t="s">
        <v>1536</v>
      </c>
      <c r="J76" s="7" t="s">
        <v>12</v>
      </c>
      <c r="K76" s="7" t="s">
        <v>13</v>
      </c>
      <c r="L76" s="7">
        <v>1874</v>
      </c>
      <c r="M76" s="7">
        <v>47</v>
      </c>
      <c r="N76" s="7" t="s">
        <v>1896</v>
      </c>
      <c r="O76" s="7" t="s">
        <v>2384</v>
      </c>
      <c r="P76" s="7" t="s">
        <v>2385</v>
      </c>
      <c r="Q76" s="7"/>
      <c r="R76" s="21"/>
      <c r="S76" s="21"/>
      <c r="T76" s="21"/>
      <c r="U76" s="7"/>
      <c r="V76" s="7"/>
      <c r="W76" s="7"/>
      <c r="X76" s="7"/>
      <c r="Y76" s="7"/>
      <c r="Z76" s="7"/>
      <c r="AA76" s="7"/>
      <c r="AB76" s="7"/>
      <c r="AC76" s="22"/>
      <c r="AD76" s="22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7"/>
      <c r="B77" s="7"/>
      <c r="C77" s="7"/>
      <c r="D77" s="7"/>
      <c r="E77" s="7"/>
      <c r="F77" s="7"/>
      <c r="G77" s="7"/>
      <c r="H77" s="7" t="s">
        <v>2386</v>
      </c>
      <c r="I77" s="7" t="s">
        <v>1536</v>
      </c>
      <c r="J77" s="7" t="s">
        <v>18</v>
      </c>
      <c r="K77" s="7" t="s">
        <v>19</v>
      </c>
      <c r="L77" s="7">
        <v>1876</v>
      </c>
      <c r="M77" s="7">
        <v>44</v>
      </c>
      <c r="N77" s="7" t="s">
        <v>49</v>
      </c>
      <c r="O77" s="7" t="s">
        <v>50</v>
      </c>
      <c r="P77" s="7" t="s">
        <v>20</v>
      </c>
      <c r="Q77" s="7"/>
      <c r="R77" s="6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">
      <c r="H78" t="s">
        <v>2387</v>
      </c>
      <c r="I78" t="s">
        <v>2388</v>
      </c>
      <c r="J78" t="s">
        <v>26</v>
      </c>
      <c r="K78" t="s">
        <v>19</v>
      </c>
      <c r="L78">
        <v>1873</v>
      </c>
      <c r="M78">
        <v>48</v>
      </c>
      <c r="N78" t="s">
        <v>49</v>
      </c>
      <c r="O78" t="s">
        <v>33</v>
      </c>
      <c r="P78" t="s">
        <v>29</v>
      </c>
    </row>
    <row r="79" spans="1:51" x14ac:dyDescent="0.2">
      <c r="H79" t="s">
        <v>115</v>
      </c>
      <c r="I79" t="s">
        <v>2389</v>
      </c>
      <c r="J79" t="s">
        <v>26</v>
      </c>
      <c r="K79" t="s">
        <v>19</v>
      </c>
      <c r="L79">
        <v>1893</v>
      </c>
      <c r="M79">
        <v>28</v>
      </c>
      <c r="N79" t="s">
        <v>368</v>
      </c>
      <c r="O79" t="s">
        <v>330</v>
      </c>
      <c r="P79" t="s">
        <v>29</v>
      </c>
    </row>
    <row r="81" spans="6:16" x14ac:dyDescent="0.2">
      <c r="H81" t="s">
        <v>0</v>
      </c>
      <c r="I81" t="s">
        <v>1</v>
      </c>
      <c r="J81" t="s">
        <v>2</v>
      </c>
      <c r="K81" t="s">
        <v>3</v>
      </c>
      <c r="L81" t="s">
        <v>4</v>
      </c>
      <c r="M81" t="s">
        <v>5</v>
      </c>
      <c r="N81" t="s">
        <v>6</v>
      </c>
      <c r="O81" t="s">
        <v>7</v>
      </c>
      <c r="P81" t="s">
        <v>8</v>
      </c>
    </row>
    <row r="82" spans="6:16" x14ac:dyDescent="0.2">
      <c r="F82">
        <v>1</v>
      </c>
      <c r="H82" t="s">
        <v>2390</v>
      </c>
      <c r="I82" t="s">
        <v>2391</v>
      </c>
      <c r="J82" t="s">
        <v>12</v>
      </c>
      <c r="K82" t="s">
        <v>13</v>
      </c>
      <c r="L82">
        <v>1874</v>
      </c>
      <c r="M82">
        <v>46</v>
      </c>
      <c r="N82" t="s">
        <v>2015</v>
      </c>
      <c r="O82" t="s">
        <v>2392</v>
      </c>
      <c r="P82" t="s">
        <v>2393</v>
      </c>
    </row>
    <row r="83" spans="6:16" x14ac:dyDescent="0.2">
      <c r="H83" t="s">
        <v>2394</v>
      </c>
      <c r="I83" t="s">
        <v>2391</v>
      </c>
      <c r="J83" t="s">
        <v>18</v>
      </c>
      <c r="K83" t="s">
        <v>19</v>
      </c>
      <c r="L83">
        <v>1874</v>
      </c>
      <c r="M83">
        <v>47</v>
      </c>
      <c r="N83" t="s">
        <v>2015</v>
      </c>
      <c r="O83" t="s">
        <v>50</v>
      </c>
      <c r="P83" t="s">
        <v>20</v>
      </c>
    </row>
    <row r="84" spans="6:16" x14ac:dyDescent="0.2">
      <c r="H84" t="s">
        <v>2390</v>
      </c>
      <c r="I84" t="s">
        <v>2391</v>
      </c>
      <c r="J84" t="s">
        <v>51</v>
      </c>
      <c r="K84" t="s">
        <v>13</v>
      </c>
      <c r="L84">
        <v>1907</v>
      </c>
      <c r="M84">
        <v>14</v>
      </c>
      <c r="N84" t="s">
        <v>1463</v>
      </c>
      <c r="O84" t="s">
        <v>20</v>
      </c>
      <c r="P84" t="s">
        <v>20</v>
      </c>
    </row>
    <row r="85" spans="6:16" x14ac:dyDescent="0.2">
      <c r="H85" t="s">
        <v>1651</v>
      </c>
      <c r="I85" t="s">
        <v>2391</v>
      </c>
      <c r="J85" t="s">
        <v>58</v>
      </c>
      <c r="K85" t="s">
        <v>19</v>
      </c>
      <c r="L85">
        <v>1880</v>
      </c>
      <c r="M85">
        <v>40</v>
      </c>
      <c r="N85" t="s">
        <v>2184</v>
      </c>
      <c r="O85" t="s">
        <v>47</v>
      </c>
      <c r="P85" t="s">
        <v>20</v>
      </c>
    </row>
    <row r="86" spans="6:16" x14ac:dyDescent="0.2">
      <c r="H86" t="s">
        <v>2395</v>
      </c>
      <c r="I86" t="s">
        <v>2396</v>
      </c>
      <c r="J86" t="s">
        <v>26</v>
      </c>
      <c r="K86" t="s">
        <v>19</v>
      </c>
      <c r="L86">
        <v>1898</v>
      </c>
      <c r="M86">
        <v>23</v>
      </c>
      <c r="N86" t="s">
        <v>1255</v>
      </c>
      <c r="O86" t="s">
        <v>56</v>
      </c>
      <c r="P86" t="s">
        <v>29</v>
      </c>
    </row>
    <row r="88" spans="6:16" x14ac:dyDescent="0.2">
      <c r="H88" t="s">
        <v>0</v>
      </c>
      <c r="I88" t="s">
        <v>1</v>
      </c>
      <c r="J88" t="s">
        <v>2</v>
      </c>
      <c r="K88" t="s">
        <v>3</v>
      </c>
      <c r="L88" t="s">
        <v>4</v>
      </c>
      <c r="M88" t="s">
        <v>5</v>
      </c>
      <c r="N88" t="s">
        <v>6</v>
      </c>
      <c r="O88" t="s">
        <v>7</v>
      </c>
      <c r="P88" t="s">
        <v>8</v>
      </c>
    </row>
    <row r="89" spans="6:16" x14ac:dyDescent="0.2">
      <c r="F89">
        <v>2</v>
      </c>
      <c r="H89" t="s">
        <v>2397</v>
      </c>
      <c r="I89" t="s">
        <v>2398</v>
      </c>
      <c r="J89" t="s">
        <v>12</v>
      </c>
      <c r="K89" t="s">
        <v>13</v>
      </c>
      <c r="L89">
        <v>1876</v>
      </c>
      <c r="M89">
        <v>45</v>
      </c>
      <c r="N89" t="s">
        <v>14</v>
      </c>
      <c r="O89" t="s">
        <v>2399</v>
      </c>
      <c r="P89" t="s">
        <v>16</v>
      </c>
    </row>
    <row r="90" spans="6:16" x14ac:dyDescent="0.2">
      <c r="H90" t="s">
        <v>2321</v>
      </c>
      <c r="I90" t="s">
        <v>2398</v>
      </c>
      <c r="J90" t="s">
        <v>18</v>
      </c>
      <c r="K90" t="s">
        <v>19</v>
      </c>
      <c r="L90">
        <v>1876</v>
      </c>
      <c r="M90">
        <v>45</v>
      </c>
      <c r="N90" t="s">
        <v>14</v>
      </c>
      <c r="O90" t="s">
        <v>50</v>
      </c>
      <c r="P90" t="s">
        <v>20</v>
      </c>
    </row>
    <row r="91" spans="6:16" x14ac:dyDescent="0.2">
      <c r="H91" t="s">
        <v>109</v>
      </c>
      <c r="I91" t="s">
        <v>2398</v>
      </c>
      <c r="J91" t="s">
        <v>22</v>
      </c>
      <c r="K91" t="s">
        <v>19</v>
      </c>
      <c r="L91">
        <v>1903</v>
      </c>
      <c r="M91">
        <v>18</v>
      </c>
      <c r="N91" t="s">
        <v>2400</v>
      </c>
      <c r="O91" t="s">
        <v>20</v>
      </c>
      <c r="P91" t="s">
        <v>20</v>
      </c>
    </row>
    <row r="92" spans="6:16" x14ac:dyDescent="0.2">
      <c r="H92" t="s">
        <v>2401</v>
      </c>
      <c r="I92" t="s">
        <v>2398</v>
      </c>
      <c r="J92" t="s">
        <v>22</v>
      </c>
      <c r="K92" t="s">
        <v>19</v>
      </c>
      <c r="L92">
        <v>1909</v>
      </c>
      <c r="M92">
        <v>12</v>
      </c>
      <c r="N92" t="s">
        <v>2402</v>
      </c>
      <c r="O92" t="s">
        <v>20</v>
      </c>
      <c r="P92" t="s">
        <v>20</v>
      </c>
    </row>
    <row r="93" spans="6:16" x14ac:dyDescent="0.2">
      <c r="H93" t="s">
        <v>2403</v>
      </c>
      <c r="I93" t="s">
        <v>2398</v>
      </c>
      <c r="J93" t="s">
        <v>51</v>
      </c>
      <c r="K93" t="s">
        <v>13</v>
      </c>
      <c r="L93">
        <v>1911</v>
      </c>
      <c r="M93">
        <v>10</v>
      </c>
      <c r="N93" t="s">
        <v>2402</v>
      </c>
      <c r="O93" t="s">
        <v>20</v>
      </c>
      <c r="P93" t="s">
        <v>20</v>
      </c>
    </row>
    <row r="94" spans="6:16" x14ac:dyDescent="0.2">
      <c r="H94" t="s">
        <v>1407</v>
      </c>
      <c r="I94" t="s">
        <v>2398</v>
      </c>
      <c r="J94" t="s">
        <v>22</v>
      </c>
      <c r="K94" t="s">
        <v>19</v>
      </c>
      <c r="L94">
        <v>1914</v>
      </c>
      <c r="M94">
        <v>7</v>
      </c>
      <c r="N94" t="s">
        <v>2402</v>
      </c>
      <c r="O94" t="s">
        <v>20</v>
      </c>
      <c r="P94" t="s">
        <v>20</v>
      </c>
    </row>
    <row r="95" spans="6:16" x14ac:dyDescent="0.2">
      <c r="H95" t="s">
        <v>170</v>
      </c>
      <c r="I95" t="s">
        <v>2404</v>
      </c>
      <c r="J95" t="s">
        <v>26</v>
      </c>
      <c r="K95" t="s">
        <v>19</v>
      </c>
      <c r="L95">
        <v>1874</v>
      </c>
      <c r="M95">
        <v>47</v>
      </c>
      <c r="N95" t="s">
        <v>14</v>
      </c>
      <c r="O95" t="s">
        <v>56</v>
      </c>
      <c r="P95" t="s">
        <v>29</v>
      </c>
    </row>
    <row r="97" spans="6:16" x14ac:dyDescent="0.2">
      <c r="H97" t="s">
        <v>0</v>
      </c>
      <c r="I97" t="s">
        <v>1</v>
      </c>
      <c r="J97" t="s">
        <v>2</v>
      </c>
      <c r="K97" t="s">
        <v>3</v>
      </c>
      <c r="L97" t="s">
        <v>4</v>
      </c>
      <c r="M97" t="s">
        <v>5</v>
      </c>
      <c r="N97" t="s">
        <v>6</v>
      </c>
      <c r="O97" t="s">
        <v>7</v>
      </c>
      <c r="P97" t="s">
        <v>8</v>
      </c>
    </row>
    <row r="98" spans="6:16" x14ac:dyDescent="0.2">
      <c r="F98">
        <v>3</v>
      </c>
      <c r="H98" t="s">
        <v>2405</v>
      </c>
      <c r="I98" t="s">
        <v>2406</v>
      </c>
      <c r="J98" t="s">
        <v>12</v>
      </c>
      <c r="K98" t="s">
        <v>13</v>
      </c>
      <c r="L98">
        <v>1887</v>
      </c>
      <c r="M98">
        <v>33</v>
      </c>
      <c r="N98" t="s">
        <v>14</v>
      </c>
      <c r="O98" t="s">
        <v>424</v>
      </c>
      <c r="P98" t="s">
        <v>8</v>
      </c>
    </row>
    <row r="99" spans="6:16" x14ac:dyDescent="0.2">
      <c r="H99" t="s">
        <v>2407</v>
      </c>
      <c r="I99" t="s">
        <v>2406</v>
      </c>
      <c r="J99" t="s">
        <v>18</v>
      </c>
      <c r="K99" t="s">
        <v>19</v>
      </c>
      <c r="L99">
        <v>1891</v>
      </c>
      <c r="M99">
        <v>29</v>
      </c>
      <c r="N99" t="s">
        <v>2408</v>
      </c>
      <c r="O99" t="s">
        <v>20</v>
      </c>
      <c r="P99" t="s">
        <v>20</v>
      </c>
    </row>
    <row r="100" spans="6:16" x14ac:dyDescent="0.2">
      <c r="H100" t="s">
        <v>2409</v>
      </c>
      <c r="I100" t="s">
        <v>2410</v>
      </c>
      <c r="J100" t="s">
        <v>26</v>
      </c>
      <c r="K100" t="s">
        <v>19</v>
      </c>
      <c r="L100">
        <v>1872</v>
      </c>
      <c r="M100">
        <v>49</v>
      </c>
      <c r="N100" t="s">
        <v>2411</v>
      </c>
      <c r="O100" t="s">
        <v>344</v>
      </c>
      <c r="P100" t="s">
        <v>29</v>
      </c>
    </row>
    <row r="102" spans="6:16" x14ac:dyDescent="0.2">
      <c r="F102">
        <v>4</v>
      </c>
      <c r="H102" t="s">
        <v>0</v>
      </c>
      <c r="I102" t="s">
        <v>1</v>
      </c>
      <c r="J102" t="s">
        <v>2</v>
      </c>
      <c r="K102" t="s">
        <v>3</v>
      </c>
      <c r="L102" t="s">
        <v>4</v>
      </c>
      <c r="M102" t="s">
        <v>5</v>
      </c>
      <c r="N102" t="s">
        <v>6</v>
      </c>
      <c r="O102" t="s">
        <v>7</v>
      </c>
      <c r="P102" t="s">
        <v>8</v>
      </c>
    </row>
    <row r="103" spans="6:16" x14ac:dyDescent="0.2">
      <c r="H103" t="s">
        <v>2412</v>
      </c>
      <c r="I103" t="s">
        <v>2413</v>
      </c>
      <c r="J103" t="s">
        <v>12</v>
      </c>
      <c r="K103" t="s">
        <v>19</v>
      </c>
      <c r="L103">
        <v>1870</v>
      </c>
      <c r="M103">
        <v>51</v>
      </c>
      <c r="N103" t="s">
        <v>49</v>
      </c>
      <c r="O103" t="s">
        <v>47</v>
      </c>
      <c r="P103" t="s">
        <v>20</v>
      </c>
    </row>
    <row r="104" spans="6:16" x14ac:dyDescent="0.2">
      <c r="H104" t="s">
        <v>2414</v>
      </c>
      <c r="I104" t="s">
        <v>2415</v>
      </c>
      <c r="J104" t="s">
        <v>60</v>
      </c>
      <c r="K104" t="s">
        <v>19</v>
      </c>
      <c r="L104">
        <v>1897</v>
      </c>
      <c r="M104">
        <v>23</v>
      </c>
      <c r="N104" t="s">
        <v>1714</v>
      </c>
      <c r="O104" t="s">
        <v>2416</v>
      </c>
      <c r="P104" t="s">
        <v>2417</v>
      </c>
    </row>
    <row r="105" spans="6:16" x14ac:dyDescent="0.2">
      <c r="H105" t="s">
        <v>2418</v>
      </c>
      <c r="I105" t="s">
        <v>2419</v>
      </c>
      <c r="J105" t="s">
        <v>26</v>
      </c>
      <c r="K105" t="s">
        <v>19</v>
      </c>
      <c r="L105">
        <v>1895</v>
      </c>
      <c r="M105">
        <v>26</v>
      </c>
      <c r="N105" t="s">
        <v>1394</v>
      </c>
      <c r="O105" t="s">
        <v>344</v>
      </c>
      <c r="P105" t="s">
        <v>29</v>
      </c>
    </row>
    <row r="107" spans="6:16" x14ac:dyDescent="0.2">
      <c r="H107" t="s">
        <v>0</v>
      </c>
      <c r="I107" t="s">
        <v>1</v>
      </c>
      <c r="J107" t="s">
        <v>2</v>
      </c>
      <c r="K107" t="s">
        <v>3</v>
      </c>
      <c r="L107" t="s">
        <v>4</v>
      </c>
      <c r="M107" t="s">
        <v>5</v>
      </c>
      <c r="N107" t="s">
        <v>6</v>
      </c>
      <c r="O107" t="s">
        <v>7</v>
      </c>
      <c r="P107" t="s">
        <v>8</v>
      </c>
    </row>
    <row r="108" spans="6:16" x14ac:dyDescent="0.2">
      <c r="F108">
        <v>5</v>
      </c>
      <c r="H108" t="s">
        <v>2420</v>
      </c>
      <c r="I108" t="s">
        <v>743</v>
      </c>
      <c r="J108" t="s">
        <v>12</v>
      </c>
      <c r="K108" t="s">
        <v>19</v>
      </c>
      <c r="L108">
        <v>1845</v>
      </c>
      <c r="M108">
        <v>76</v>
      </c>
      <c r="N108" t="s">
        <v>2421</v>
      </c>
      <c r="O108" t="s">
        <v>20</v>
      </c>
      <c r="P108" t="s">
        <v>20</v>
      </c>
    </row>
    <row r="109" spans="6:16" x14ac:dyDescent="0.2">
      <c r="H109" t="s">
        <v>398</v>
      </c>
      <c r="I109" t="s">
        <v>2422</v>
      </c>
      <c r="J109" t="s">
        <v>26</v>
      </c>
      <c r="K109" t="s">
        <v>19</v>
      </c>
      <c r="L109">
        <v>1870</v>
      </c>
      <c r="M109">
        <v>51</v>
      </c>
      <c r="N109" t="s">
        <v>646</v>
      </c>
      <c r="O109" t="s">
        <v>2423</v>
      </c>
      <c r="P109" t="s">
        <v>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2412-7CE2-0A4E-8BD5-69A44B868F14}">
  <dimension ref="A1:BC38"/>
  <sheetViews>
    <sheetView workbookViewId="0">
      <selection activeCell="A17" sqref="A17:XFD17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9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599</v>
      </c>
      <c r="B3" s="9">
        <v>2021</v>
      </c>
      <c r="C3" s="7"/>
      <c r="D3" s="7" t="s">
        <v>2443</v>
      </c>
      <c r="E3" s="7"/>
      <c r="F3" s="5"/>
      <c r="G3" s="5" t="s">
        <v>1</v>
      </c>
      <c r="H3" s="5" t="s">
        <v>0</v>
      </c>
      <c r="J3" s="10" t="s">
        <v>3</v>
      </c>
      <c r="N3" s="5" t="s">
        <v>2</v>
      </c>
      <c r="P3" s="5"/>
      <c r="T3" s="5" t="s">
        <v>5</v>
      </c>
      <c r="X3" s="5"/>
      <c r="Y3" s="5"/>
      <c r="Z3" s="5"/>
      <c r="AA3" s="5" t="s">
        <v>7</v>
      </c>
      <c r="AB3" s="5" t="s">
        <v>8</v>
      </c>
      <c r="AC3" s="5"/>
      <c r="AD3" s="5"/>
      <c r="AE3" s="7"/>
      <c r="AF3" s="7"/>
      <c r="AG3" s="5" t="s">
        <v>6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599</v>
      </c>
      <c r="B4" s="9">
        <v>2021</v>
      </c>
      <c r="C4" s="7">
        <v>1</v>
      </c>
      <c r="D4" s="7" t="s">
        <v>2443</v>
      </c>
      <c r="E4" s="7"/>
      <c r="F4" s="7">
        <v>1</v>
      </c>
      <c r="G4" s="7" t="s">
        <v>2425</v>
      </c>
      <c r="H4" s="7" t="s">
        <v>2424</v>
      </c>
      <c r="I4">
        <v>1</v>
      </c>
      <c r="J4" s="7" t="s">
        <v>13</v>
      </c>
      <c r="K4">
        <v>1</v>
      </c>
      <c r="N4" s="7">
        <v>1</v>
      </c>
      <c r="P4" s="7"/>
      <c r="T4" s="6">
        <v>55</v>
      </c>
      <c r="X4" s="7"/>
      <c r="Y4" s="7"/>
      <c r="Z4" s="7"/>
      <c r="AA4" s="6" t="s">
        <v>1454</v>
      </c>
      <c r="AB4" s="6" t="s">
        <v>8</v>
      </c>
      <c r="AC4" s="7">
        <v>1</v>
      </c>
      <c r="AD4" s="7">
        <v>1</v>
      </c>
      <c r="AE4" s="7"/>
      <c r="AF4" s="7"/>
      <c r="AG4" s="6" t="s">
        <v>2426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599</v>
      </c>
      <c r="B5" s="9">
        <v>2021</v>
      </c>
      <c r="C5" s="7">
        <v>1</v>
      </c>
      <c r="D5" s="7" t="s">
        <v>2443</v>
      </c>
      <c r="E5" s="7"/>
      <c r="F5" s="7"/>
      <c r="G5" s="7" t="s">
        <v>2425</v>
      </c>
      <c r="H5" s="7" t="s">
        <v>2427</v>
      </c>
      <c r="I5">
        <v>2</v>
      </c>
      <c r="J5" s="7">
        <v>1</v>
      </c>
      <c r="N5" s="7" t="s">
        <v>18</v>
      </c>
      <c r="O5">
        <v>1</v>
      </c>
      <c r="P5" s="7"/>
      <c r="T5" s="6">
        <v>42</v>
      </c>
      <c r="X5" s="7"/>
      <c r="Y5" s="7"/>
      <c r="Z5" s="7"/>
      <c r="AA5" s="6" t="s">
        <v>50</v>
      </c>
      <c r="AB5" s="6" t="s">
        <v>20</v>
      </c>
      <c r="AC5" s="7"/>
      <c r="AD5" s="7"/>
      <c r="AE5" s="7"/>
      <c r="AF5" s="7"/>
      <c r="AG5" s="6" t="s">
        <v>49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599</v>
      </c>
      <c r="B6" s="9">
        <v>2021</v>
      </c>
      <c r="C6" s="7">
        <v>1</v>
      </c>
      <c r="D6" s="7" t="s">
        <v>2443</v>
      </c>
      <c r="E6" s="7"/>
      <c r="F6" s="7"/>
      <c r="G6" s="7" t="s">
        <v>2425</v>
      </c>
      <c r="H6" s="7" t="s">
        <v>2428</v>
      </c>
      <c r="I6">
        <v>3</v>
      </c>
      <c r="J6" s="7" t="s">
        <v>13</v>
      </c>
      <c r="M6">
        <v>1</v>
      </c>
      <c r="N6" s="7" t="s">
        <v>51</v>
      </c>
      <c r="P6" s="7"/>
      <c r="Q6">
        <v>1</v>
      </c>
      <c r="T6" s="6">
        <v>6</v>
      </c>
      <c r="X6" s="7"/>
      <c r="Y6" s="7"/>
      <c r="Z6" s="7"/>
      <c r="AA6" s="6" t="s">
        <v>20</v>
      </c>
      <c r="AB6" s="6" t="s">
        <v>20</v>
      </c>
      <c r="AC6" s="7"/>
      <c r="AD6" s="7"/>
      <c r="AE6" s="7"/>
      <c r="AF6" s="7"/>
      <c r="AG6" s="6" t="s">
        <v>49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599</v>
      </c>
      <c r="B7" s="9">
        <v>2021</v>
      </c>
      <c r="C7" s="7">
        <v>1</v>
      </c>
      <c r="D7" s="7" t="s">
        <v>2443</v>
      </c>
      <c r="E7" s="7"/>
      <c r="F7" s="7"/>
      <c r="G7" s="7" t="s">
        <v>2430</v>
      </c>
      <c r="H7" s="7" t="s">
        <v>2429</v>
      </c>
      <c r="I7">
        <v>4</v>
      </c>
      <c r="J7" s="7">
        <v>1</v>
      </c>
      <c r="N7" s="7" t="s">
        <v>58</v>
      </c>
      <c r="P7" s="7"/>
      <c r="R7">
        <v>1</v>
      </c>
      <c r="T7" s="6">
        <v>61</v>
      </c>
      <c r="X7" s="7"/>
      <c r="Y7" s="7"/>
      <c r="Z7" s="7"/>
      <c r="AA7" s="6" t="s">
        <v>50</v>
      </c>
      <c r="AB7" s="6" t="s">
        <v>20</v>
      </c>
      <c r="AC7" s="7"/>
      <c r="AD7" s="7"/>
      <c r="AE7" s="7"/>
      <c r="AF7" s="7"/>
      <c r="AG7" s="6" t="s">
        <v>2426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599</v>
      </c>
      <c r="B8" s="9">
        <v>2021</v>
      </c>
      <c r="C8" s="7">
        <v>1</v>
      </c>
      <c r="D8" s="7" t="s">
        <v>2443</v>
      </c>
      <c r="E8" s="7"/>
      <c r="F8" s="7"/>
      <c r="G8" s="7" t="s">
        <v>2432</v>
      </c>
      <c r="H8" s="7" t="s">
        <v>2431</v>
      </c>
      <c r="I8">
        <v>5</v>
      </c>
      <c r="J8" s="7">
        <v>1</v>
      </c>
      <c r="N8" s="7" t="s">
        <v>58</v>
      </c>
      <c r="P8" s="7"/>
      <c r="R8">
        <v>1</v>
      </c>
      <c r="T8" s="6">
        <v>56</v>
      </c>
      <c r="X8" s="7"/>
      <c r="Y8" s="7"/>
      <c r="Z8" s="7"/>
      <c r="AA8" s="6" t="s">
        <v>50</v>
      </c>
      <c r="AB8" s="6" t="s">
        <v>20</v>
      </c>
      <c r="AC8" s="7"/>
      <c r="AD8" s="7"/>
      <c r="AE8" s="7"/>
      <c r="AF8" s="7"/>
      <c r="AG8" s="6" t="s">
        <v>2426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599</v>
      </c>
      <c r="B9" s="9">
        <v>2021</v>
      </c>
      <c r="C9" s="7">
        <v>1</v>
      </c>
      <c r="D9" s="7" t="s">
        <v>2443</v>
      </c>
      <c r="E9" s="7"/>
      <c r="F9" s="7"/>
      <c r="G9" s="7" t="s">
        <v>914</v>
      </c>
      <c r="H9" s="7" t="s">
        <v>1809</v>
      </c>
      <c r="I9">
        <v>6</v>
      </c>
      <c r="J9" s="7">
        <v>1</v>
      </c>
      <c r="N9" s="7" t="s">
        <v>26</v>
      </c>
      <c r="P9" s="7"/>
      <c r="S9">
        <v>1</v>
      </c>
      <c r="T9" s="6">
        <v>38</v>
      </c>
      <c r="X9" s="7"/>
      <c r="Y9" s="7"/>
      <c r="Z9" s="7"/>
      <c r="AA9" s="6" t="s">
        <v>360</v>
      </c>
      <c r="AB9" s="6" t="s">
        <v>29</v>
      </c>
      <c r="AC9" s="7">
        <v>1</v>
      </c>
      <c r="AD9" s="7"/>
      <c r="AE9" s="7"/>
      <c r="AF9" s="7">
        <v>1</v>
      </c>
      <c r="AG9" s="6" t="s">
        <v>1199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599</v>
      </c>
      <c r="B10" s="9">
        <v>2021</v>
      </c>
      <c r="C10" s="7">
        <v>1</v>
      </c>
      <c r="D10" s="7" t="s">
        <v>2443</v>
      </c>
      <c r="E10" s="7"/>
      <c r="F10" s="7"/>
      <c r="G10" s="7" t="s">
        <v>2434</v>
      </c>
      <c r="H10" s="7" t="s">
        <v>2433</v>
      </c>
      <c r="I10">
        <v>7</v>
      </c>
      <c r="J10" s="7">
        <v>1</v>
      </c>
      <c r="N10" s="7" t="s">
        <v>26</v>
      </c>
      <c r="P10" s="7"/>
      <c r="S10">
        <v>1</v>
      </c>
      <c r="T10" s="6">
        <v>33</v>
      </c>
      <c r="X10" s="7"/>
      <c r="Y10" s="7"/>
      <c r="Z10" s="7"/>
      <c r="AA10" s="6" t="s">
        <v>934</v>
      </c>
      <c r="AB10" s="6" t="s">
        <v>29</v>
      </c>
      <c r="AC10" s="7">
        <v>1</v>
      </c>
      <c r="AD10" s="7"/>
      <c r="AE10" s="7"/>
      <c r="AF10" s="7"/>
      <c r="AG10" s="6" t="s">
        <v>2435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599</v>
      </c>
      <c r="B11" s="9">
        <v>2021</v>
      </c>
      <c r="C11" s="7">
        <v>1</v>
      </c>
      <c r="D11" s="7" t="s">
        <v>2443</v>
      </c>
      <c r="E11" s="7"/>
      <c r="F11" s="7"/>
      <c r="G11" s="7" t="s">
        <v>2436</v>
      </c>
      <c r="H11" s="7" t="s">
        <v>655</v>
      </c>
      <c r="I11">
        <v>8</v>
      </c>
      <c r="J11" s="7">
        <v>1</v>
      </c>
      <c r="N11" s="7" t="s">
        <v>26</v>
      </c>
      <c r="P11" s="7"/>
      <c r="S11">
        <v>1</v>
      </c>
      <c r="T11" s="6">
        <v>22</v>
      </c>
      <c r="X11" s="7"/>
      <c r="Y11" s="7"/>
      <c r="Z11" s="7"/>
      <c r="AA11" s="6" t="s">
        <v>33</v>
      </c>
      <c r="AB11" s="6" t="s">
        <v>29</v>
      </c>
      <c r="AC11" s="7">
        <v>1</v>
      </c>
      <c r="AD11" s="7"/>
      <c r="AE11" s="7"/>
      <c r="AF11" s="7"/>
      <c r="AG11" s="6" t="s">
        <v>2437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599</v>
      </c>
      <c r="B12" s="9">
        <v>2021</v>
      </c>
      <c r="C12" s="7">
        <v>1</v>
      </c>
      <c r="D12" s="7" t="s">
        <v>2443</v>
      </c>
      <c r="E12" s="7"/>
      <c r="F12" s="7"/>
      <c r="G12" s="7" t="s">
        <v>2438</v>
      </c>
      <c r="H12" s="7" t="s">
        <v>46</v>
      </c>
      <c r="I12">
        <v>9</v>
      </c>
      <c r="J12" s="7">
        <v>1</v>
      </c>
      <c r="N12" s="7" t="s">
        <v>26</v>
      </c>
      <c r="P12" s="7"/>
      <c r="S12">
        <v>1</v>
      </c>
      <c r="T12" s="7">
        <v>20</v>
      </c>
      <c r="X12" s="7">
        <f t="shared" ref="X12:AD12" si="0">SUM(X3:X11)</f>
        <v>0</v>
      </c>
      <c r="Y12" s="7">
        <f t="shared" si="0"/>
        <v>0</v>
      </c>
      <c r="Z12" s="7">
        <f t="shared" si="0"/>
        <v>0</v>
      </c>
      <c r="AA12" s="7" t="s">
        <v>28</v>
      </c>
      <c r="AB12" s="7" t="s">
        <v>29</v>
      </c>
      <c r="AC12" s="7">
        <v>1</v>
      </c>
      <c r="AD12" s="7">
        <f t="shared" si="0"/>
        <v>1</v>
      </c>
      <c r="AE12" s="7"/>
      <c r="AF12" s="7"/>
      <c r="AG12" s="7" t="s">
        <v>2439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599</v>
      </c>
      <c r="B13" s="9">
        <v>2021</v>
      </c>
      <c r="C13" s="7"/>
      <c r="D13" s="7" t="s">
        <v>2443</v>
      </c>
      <c r="E13" s="7"/>
      <c r="F13" s="7"/>
      <c r="G13" s="7"/>
      <c r="H13" s="7">
        <v>9</v>
      </c>
      <c r="J13" s="7"/>
      <c r="N13" s="7"/>
      <c r="P13" s="7"/>
      <c r="T13" s="6"/>
      <c r="X13" s="7"/>
      <c r="Y13" s="7"/>
      <c r="Z13" s="7"/>
      <c r="AA13" s="6"/>
      <c r="AB13" s="6"/>
      <c r="AC13" s="7"/>
      <c r="AD13" s="7"/>
      <c r="AE13" s="7"/>
      <c r="AF13" s="7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599</v>
      </c>
      <c r="B14" s="9">
        <v>2021</v>
      </c>
      <c r="C14" s="7"/>
      <c r="D14" s="7" t="s">
        <v>2443</v>
      </c>
      <c r="E14" s="7"/>
      <c r="F14" s="7"/>
      <c r="G14" s="7" t="s">
        <v>1</v>
      </c>
      <c r="H14" s="7" t="s">
        <v>0</v>
      </c>
      <c r="J14" s="7" t="s">
        <v>3</v>
      </c>
      <c r="N14" s="7" t="s">
        <v>2</v>
      </c>
      <c r="P14" s="7"/>
      <c r="T14" s="6" t="s">
        <v>5</v>
      </c>
      <c r="X14" s="7"/>
      <c r="Y14" s="7"/>
      <c r="Z14" s="7"/>
      <c r="AA14" s="6" t="s">
        <v>7</v>
      </c>
      <c r="AB14" s="6" t="s">
        <v>8</v>
      </c>
      <c r="AC14" s="7"/>
      <c r="AD14" s="7"/>
      <c r="AE14" s="7"/>
      <c r="AF14" s="7"/>
      <c r="AG14" s="6" t="s">
        <v>6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599</v>
      </c>
      <c r="B15" s="9">
        <v>2021</v>
      </c>
      <c r="C15" s="7">
        <v>2</v>
      </c>
      <c r="D15" s="7" t="s">
        <v>2443</v>
      </c>
      <c r="E15" s="11"/>
      <c r="F15" s="12">
        <v>6</v>
      </c>
      <c r="G15" s="12" t="s">
        <v>1084</v>
      </c>
      <c r="H15" s="12" t="s">
        <v>2440</v>
      </c>
      <c r="I15">
        <v>10</v>
      </c>
      <c r="J15" s="13" t="s">
        <v>13</v>
      </c>
      <c r="K15">
        <v>1</v>
      </c>
      <c r="N15" s="12">
        <v>1</v>
      </c>
      <c r="P15" s="12"/>
      <c r="T15" s="12">
        <v>41</v>
      </c>
      <c r="X15" s="12"/>
      <c r="Y15" s="12"/>
      <c r="Z15" s="12"/>
      <c r="AA15" s="12" t="s">
        <v>2441</v>
      </c>
      <c r="AB15" s="12" t="s">
        <v>2442</v>
      </c>
      <c r="AC15" s="12">
        <v>1</v>
      </c>
      <c r="AD15" s="12"/>
      <c r="AE15" s="7"/>
      <c r="AF15" s="7">
        <v>1</v>
      </c>
      <c r="AG15" s="12" t="s">
        <v>14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 t="s">
        <v>599</v>
      </c>
      <c r="B16" s="9">
        <v>2021</v>
      </c>
      <c r="C16" s="7">
        <v>2</v>
      </c>
      <c r="D16" s="7" t="s">
        <v>2443</v>
      </c>
      <c r="E16" s="11"/>
      <c r="F16" s="12"/>
      <c r="G16" s="12" t="s">
        <v>1084</v>
      </c>
      <c r="H16" s="12" t="s">
        <v>2343</v>
      </c>
      <c r="I16">
        <v>11</v>
      </c>
      <c r="J16" s="15">
        <v>1</v>
      </c>
      <c r="N16" s="14" t="s">
        <v>910</v>
      </c>
      <c r="P16" s="16"/>
      <c r="R16">
        <v>1</v>
      </c>
      <c r="T16" s="12">
        <v>72</v>
      </c>
      <c r="X16" s="12"/>
      <c r="Y16" s="12"/>
      <c r="Z16" s="12"/>
      <c r="AA16" s="12" t="s">
        <v>50</v>
      </c>
      <c r="AB16" s="14" t="s">
        <v>20</v>
      </c>
      <c r="AC16" s="12"/>
      <c r="AD16" s="11"/>
      <c r="AE16" s="7"/>
      <c r="AF16" s="7">
        <v>1</v>
      </c>
      <c r="AG16" s="12" t="s">
        <v>14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599</v>
      </c>
      <c r="B17" s="9">
        <v>2021</v>
      </c>
      <c r="C17" s="7">
        <v>2</v>
      </c>
      <c r="D17" s="7" t="s">
        <v>2443</v>
      </c>
      <c r="E17" s="7"/>
      <c r="F17" s="7"/>
      <c r="G17" s="7"/>
      <c r="H17" s="7">
        <v>2</v>
      </c>
      <c r="I17" s="7">
        <v>11</v>
      </c>
      <c r="J17" s="7">
        <f>SUM(J3:J16)</f>
        <v>8</v>
      </c>
      <c r="K17" s="7">
        <f t="shared" ref="K17:AF17" si="1">SUM(K3:K16)</f>
        <v>2</v>
      </c>
      <c r="L17" s="7">
        <f t="shared" si="1"/>
        <v>0</v>
      </c>
      <c r="M17" s="7">
        <f t="shared" si="1"/>
        <v>1</v>
      </c>
      <c r="N17" s="7">
        <f t="shared" si="1"/>
        <v>2</v>
      </c>
      <c r="O17" s="7">
        <f t="shared" si="1"/>
        <v>1</v>
      </c>
      <c r="P17" s="7">
        <f t="shared" si="1"/>
        <v>0</v>
      </c>
      <c r="Q17" s="7">
        <f t="shared" si="1"/>
        <v>1</v>
      </c>
      <c r="R17" s="7">
        <f t="shared" si="1"/>
        <v>3</v>
      </c>
      <c r="S17" s="7">
        <f t="shared" si="1"/>
        <v>4</v>
      </c>
      <c r="T17" s="7">
        <f t="shared" si="1"/>
        <v>446</v>
      </c>
      <c r="U17" s="7">
        <f t="shared" si="1"/>
        <v>0</v>
      </c>
      <c r="V17" s="7">
        <f t="shared" si="1"/>
        <v>0</v>
      </c>
      <c r="W17" s="7">
        <f t="shared" si="1"/>
        <v>0</v>
      </c>
      <c r="X17" s="7">
        <f t="shared" si="1"/>
        <v>0</v>
      </c>
      <c r="Y17" s="7">
        <f t="shared" si="1"/>
        <v>0</v>
      </c>
      <c r="Z17" s="7">
        <f t="shared" si="1"/>
        <v>0</v>
      </c>
      <c r="AA17" s="7">
        <f t="shared" si="1"/>
        <v>0</v>
      </c>
      <c r="AB17" s="7">
        <f t="shared" si="1"/>
        <v>0</v>
      </c>
      <c r="AC17" s="7">
        <f t="shared" si="1"/>
        <v>6</v>
      </c>
      <c r="AD17" s="7">
        <f t="shared" si="1"/>
        <v>2</v>
      </c>
      <c r="AE17" s="7">
        <f>AC17-AD17</f>
        <v>4</v>
      </c>
      <c r="AF17" s="7">
        <f t="shared" si="1"/>
        <v>3</v>
      </c>
      <c r="AG17" s="7">
        <f>I17-AF17</f>
        <v>8</v>
      </c>
      <c r="AH17" s="7">
        <v>11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599</v>
      </c>
      <c r="B18" s="9">
        <v>2021</v>
      </c>
      <c r="C18" s="7">
        <v>2</v>
      </c>
      <c r="D18" s="7" t="s">
        <v>2443</v>
      </c>
      <c r="E18" s="7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7"/>
      <c r="R18" s="6"/>
      <c r="S18" s="6"/>
      <c r="T18" s="20">
        <f>T17/I17</f>
        <v>40.545454545454547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5"/>
      <c r="G21" s="5"/>
      <c r="H21" s="5" t="s">
        <v>0</v>
      </c>
      <c r="I21" s="5" t="s">
        <v>1</v>
      </c>
      <c r="J21" s="5" t="s">
        <v>2</v>
      </c>
      <c r="K21" s="10" t="s">
        <v>3</v>
      </c>
      <c r="L21" s="5" t="s">
        <v>4</v>
      </c>
      <c r="M21" s="5" t="s">
        <v>5</v>
      </c>
      <c r="N21" s="5" t="s">
        <v>6</v>
      </c>
      <c r="O21" s="5" t="s">
        <v>7</v>
      </c>
      <c r="P21" s="5" t="s">
        <v>8</v>
      </c>
      <c r="Q21" s="7"/>
      <c r="R21" s="6"/>
      <c r="S21" s="6"/>
      <c r="T21" s="7"/>
      <c r="U21" s="6"/>
      <c r="V21" s="6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/>
      <c r="B22" s="7"/>
      <c r="C22" s="7"/>
      <c r="D22" s="7"/>
      <c r="E22" s="7"/>
      <c r="F22" s="7">
        <v>1</v>
      </c>
      <c r="G22" s="7"/>
      <c r="H22" s="7" t="s">
        <v>2424</v>
      </c>
      <c r="I22" s="7" t="s">
        <v>2425</v>
      </c>
      <c r="J22" s="7" t="s">
        <v>12</v>
      </c>
      <c r="K22" s="7" t="s">
        <v>13</v>
      </c>
      <c r="L22" s="7">
        <v>1866</v>
      </c>
      <c r="M22" s="6">
        <v>55</v>
      </c>
      <c r="N22" s="6" t="s">
        <v>2426</v>
      </c>
      <c r="O22" s="6" t="s">
        <v>1454</v>
      </c>
      <c r="P22" s="6" t="s">
        <v>8</v>
      </c>
      <c r="Q22" s="7"/>
      <c r="R22" s="6"/>
      <c r="S22" s="6"/>
      <c r="T22" s="7"/>
      <c r="U22" s="6"/>
      <c r="V22" s="6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/>
      <c r="B23" s="7"/>
      <c r="C23" s="7"/>
      <c r="D23" s="7"/>
      <c r="E23" s="7"/>
      <c r="F23" s="7"/>
      <c r="G23" s="7"/>
      <c r="H23" s="7" t="s">
        <v>2427</v>
      </c>
      <c r="I23" s="7" t="s">
        <v>2425</v>
      </c>
      <c r="J23" s="7" t="s">
        <v>18</v>
      </c>
      <c r="K23" s="7" t="s">
        <v>19</v>
      </c>
      <c r="L23" s="7">
        <v>1879</v>
      </c>
      <c r="M23" s="6">
        <v>42</v>
      </c>
      <c r="N23" s="6" t="s">
        <v>49</v>
      </c>
      <c r="O23" s="6" t="s">
        <v>50</v>
      </c>
      <c r="P23" s="6" t="s">
        <v>20</v>
      </c>
      <c r="Q23" s="7"/>
      <c r="R23" s="6"/>
      <c r="S23" s="6"/>
      <c r="T23" s="7"/>
      <c r="U23" s="6"/>
      <c r="V23" s="6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/>
      <c r="B24" s="7"/>
      <c r="C24" s="7"/>
      <c r="D24" s="7"/>
      <c r="E24" s="7"/>
      <c r="F24" s="7"/>
      <c r="G24" s="7"/>
      <c r="H24" s="7" t="s">
        <v>2428</v>
      </c>
      <c r="I24" s="7" t="s">
        <v>2425</v>
      </c>
      <c r="J24" s="7" t="s">
        <v>51</v>
      </c>
      <c r="K24" s="7" t="s">
        <v>13</v>
      </c>
      <c r="L24" s="7">
        <v>1914</v>
      </c>
      <c r="M24" s="6">
        <v>6</v>
      </c>
      <c r="N24" s="6" t="s">
        <v>49</v>
      </c>
      <c r="O24" s="6" t="s">
        <v>20</v>
      </c>
      <c r="P24" s="6" t="s">
        <v>20</v>
      </c>
      <c r="Q24" s="7"/>
      <c r="R24" s="6"/>
      <c r="S24" s="6"/>
      <c r="T24" s="7"/>
      <c r="U24" s="6"/>
      <c r="V24" s="6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7"/>
      <c r="B25" s="7"/>
      <c r="C25" s="7"/>
      <c r="D25" s="7"/>
      <c r="E25" s="7"/>
      <c r="F25" s="7"/>
      <c r="G25" s="7"/>
      <c r="H25" s="7" t="s">
        <v>2429</v>
      </c>
      <c r="I25" s="7" t="s">
        <v>2430</v>
      </c>
      <c r="J25" s="7" t="s">
        <v>58</v>
      </c>
      <c r="K25" s="7" t="s">
        <v>19</v>
      </c>
      <c r="L25" s="7">
        <v>1860</v>
      </c>
      <c r="M25" s="6">
        <v>61</v>
      </c>
      <c r="N25" s="6" t="s">
        <v>2426</v>
      </c>
      <c r="O25" s="6" t="s">
        <v>50</v>
      </c>
      <c r="P25" s="6" t="s">
        <v>20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H26" s="7" t="s">
        <v>2431</v>
      </c>
      <c r="I26" s="7" t="s">
        <v>2432</v>
      </c>
      <c r="J26" s="7" t="s">
        <v>58</v>
      </c>
      <c r="K26" s="7" t="s">
        <v>19</v>
      </c>
      <c r="L26" s="7">
        <v>1864</v>
      </c>
      <c r="M26" s="6">
        <v>56</v>
      </c>
      <c r="N26" s="6" t="s">
        <v>2426</v>
      </c>
      <c r="O26" s="6" t="s">
        <v>50</v>
      </c>
      <c r="P26" s="6" t="s">
        <v>20</v>
      </c>
      <c r="Q26" s="7"/>
      <c r="R26" s="6"/>
      <c r="S26" s="6"/>
      <c r="T26" s="19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 t="s">
        <v>1809</v>
      </c>
      <c r="I27" s="7" t="s">
        <v>914</v>
      </c>
      <c r="J27" s="7" t="s">
        <v>26</v>
      </c>
      <c r="K27" s="7" t="s">
        <v>19</v>
      </c>
      <c r="L27" s="7">
        <v>1882</v>
      </c>
      <c r="M27" s="6">
        <v>38</v>
      </c>
      <c r="N27" s="6" t="s">
        <v>1199</v>
      </c>
      <c r="O27" s="6" t="s">
        <v>360</v>
      </c>
      <c r="P27" s="6" t="s">
        <v>29</v>
      </c>
      <c r="Q27" s="7"/>
      <c r="R27" s="6"/>
      <c r="S27" s="6"/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 t="s">
        <v>2433</v>
      </c>
      <c r="I28" s="7" t="s">
        <v>2434</v>
      </c>
      <c r="J28" s="7" t="s">
        <v>26</v>
      </c>
      <c r="K28" s="7" t="s">
        <v>19</v>
      </c>
      <c r="L28" s="7">
        <v>1888</v>
      </c>
      <c r="M28" s="6">
        <v>33</v>
      </c>
      <c r="N28" s="6" t="s">
        <v>2435</v>
      </c>
      <c r="O28" s="6" t="s">
        <v>934</v>
      </c>
      <c r="P28" s="6" t="s">
        <v>29</v>
      </c>
      <c r="Q28" s="7"/>
      <c r="R28" s="6"/>
      <c r="S28" s="6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 t="s">
        <v>655</v>
      </c>
      <c r="I29" s="7" t="s">
        <v>2436</v>
      </c>
      <c r="J29" s="7" t="s">
        <v>26</v>
      </c>
      <c r="K29" s="7" t="s">
        <v>19</v>
      </c>
      <c r="L29" s="7">
        <v>1898</v>
      </c>
      <c r="M29" s="6">
        <v>22</v>
      </c>
      <c r="N29" s="6" t="s">
        <v>2437</v>
      </c>
      <c r="O29" s="6" t="s">
        <v>33</v>
      </c>
      <c r="P29" s="6" t="s">
        <v>29</v>
      </c>
      <c r="Q29" s="7"/>
      <c r="R29" s="6"/>
      <c r="S29" s="6"/>
      <c r="T29" s="19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>
        <f>SUM(G21:G29)</f>
        <v>0</v>
      </c>
      <c r="H30" s="7" t="s">
        <v>46</v>
      </c>
      <c r="I30" s="7" t="s">
        <v>2438</v>
      </c>
      <c r="J30" s="7" t="s">
        <v>26</v>
      </c>
      <c r="K30" s="7" t="s">
        <v>19</v>
      </c>
      <c r="L30" s="7">
        <v>1901</v>
      </c>
      <c r="M30" s="7">
        <v>20</v>
      </c>
      <c r="N30" s="7" t="s">
        <v>2439</v>
      </c>
      <c r="O30" s="7" t="s">
        <v>28</v>
      </c>
      <c r="P30" s="7" t="s">
        <v>29</v>
      </c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 t="s">
        <v>0</v>
      </c>
      <c r="I32" s="7" t="s">
        <v>1</v>
      </c>
      <c r="J32" s="7" t="s">
        <v>2</v>
      </c>
      <c r="K32" s="7" t="s">
        <v>3</v>
      </c>
      <c r="L32" s="7" t="s">
        <v>4</v>
      </c>
      <c r="M32" s="6" t="s">
        <v>5</v>
      </c>
      <c r="N32" s="6" t="s">
        <v>6</v>
      </c>
      <c r="O32" s="6" t="s">
        <v>7</v>
      </c>
      <c r="P32" s="6" t="s">
        <v>8</v>
      </c>
      <c r="Q32" s="7"/>
      <c r="R32" s="6"/>
      <c r="S32" s="6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4" t="s">
        <v>252</v>
      </c>
      <c r="B33" s="7"/>
      <c r="C33" s="7"/>
      <c r="D33" s="7"/>
      <c r="E33" s="7"/>
      <c r="F33" s="12">
        <v>6</v>
      </c>
      <c r="G33" s="12"/>
      <c r="H33" s="12" t="s">
        <v>2440</v>
      </c>
      <c r="I33" s="12" t="s">
        <v>1084</v>
      </c>
      <c r="J33" s="12" t="s">
        <v>12</v>
      </c>
      <c r="K33" s="13" t="s">
        <v>13</v>
      </c>
      <c r="L33" s="12">
        <v>1880</v>
      </c>
      <c r="M33" s="12">
        <v>41</v>
      </c>
      <c r="N33" s="12" t="s">
        <v>14</v>
      </c>
      <c r="O33" s="12" t="s">
        <v>2441</v>
      </c>
      <c r="P33" s="12" t="s">
        <v>2442</v>
      </c>
      <c r="Q33" s="7">
        <f t="shared" ref="Q33:W33" si="2">SUM(Q3:Q32)</f>
        <v>2</v>
      </c>
      <c r="R33" s="7">
        <f t="shared" si="2"/>
        <v>6</v>
      </c>
      <c r="S33" s="7">
        <f t="shared" si="2"/>
        <v>8</v>
      </c>
      <c r="T33" s="7">
        <f t="shared" si="2"/>
        <v>932.5454545454545</v>
      </c>
      <c r="U33" s="7">
        <f t="shared" si="2"/>
        <v>0</v>
      </c>
      <c r="V33" s="7">
        <f t="shared" si="2"/>
        <v>0</v>
      </c>
      <c r="W33" s="7">
        <f t="shared" si="2"/>
        <v>0</v>
      </c>
      <c r="X33" s="7"/>
      <c r="Y33" s="7"/>
      <c r="Z33" s="7">
        <f>SUM(Z3:Z32)</f>
        <v>0</v>
      </c>
      <c r="AA33" s="7">
        <f>SUM(AA3:AA32)</f>
        <v>0</v>
      </c>
      <c r="AB33" s="7">
        <f>SUM(AB3:AB32)</f>
        <v>0</v>
      </c>
      <c r="AC33" s="7">
        <f>SUM(AC3:AC32)</f>
        <v>12</v>
      </c>
      <c r="AD33" s="7">
        <f>SUM(AD3:AD32)</f>
        <v>4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12"/>
      <c r="G34" s="12"/>
      <c r="H34" s="12" t="s">
        <v>2343</v>
      </c>
      <c r="I34" s="12" t="s">
        <v>1084</v>
      </c>
      <c r="J34" s="14" t="s">
        <v>910</v>
      </c>
      <c r="K34" s="15" t="s">
        <v>19</v>
      </c>
      <c r="L34" s="16">
        <v>1849</v>
      </c>
      <c r="M34" s="12">
        <v>72</v>
      </c>
      <c r="N34" s="12" t="s">
        <v>14</v>
      </c>
      <c r="O34" s="12" t="s">
        <v>50</v>
      </c>
      <c r="P34" s="14" t="s">
        <v>20</v>
      </c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21"/>
      <c r="H35" s="21"/>
      <c r="I35" s="21"/>
      <c r="J35" s="7"/>
      <c r="K35" s="7"/>
      <c r="L35" s="7"/>
      <c r="M35" s="7"/>
      <c r="N35" s="7"/>
      <c r="O35" s="7"/>
      <c r="P35" s="7"/>
      <c r="Q35" s="20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19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"/>
      <c r="S37" s="21"/>
      <c r="T37" s="21"/>
      <c r="U37" s="7"/>
      <c r="V37" s="7"/>
      <c r="W37" s="7"/>
      <c r="X37" s="7"/>
      <c r="Y37" s="7"/>
      <c r="Z37" s="7"/>
      <c r="AA37" s="7"/>
      <c r="AB37" s="7"/>
      <c r="AC37" s="22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6113-AFDE-624D-BF7E-EF135AA6A900}">
  <dimension ref="A1:BC38"/>
  <sheetViews>
    <sheetView workbookViewId="0">
      <selection activeCell="H15" sqref="H15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9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/>
      <c r="B3" s="9"/>
      <c r="C3" s="7"/>
      <c r="D3" s="7"/>
      <c r="E3" s="7"/>
      <c r="F3" s="5"/>
      <c r="G3" s="5"/>
      <c r="H3" s="5" t="s">
        <v>0</v>
      </c>
      <c r="I3" t="s">
        <v>1</v>
      </c>
      <c r="J3" s="10" t="s">
        <v>2</v>
      </c>
      <c r="K3" t="s">
        <v>3</v>
      </c>
      <c r="L3" t="s">
        <v>4</v>
      </c>
      <c r="M3" t="s">
        <v>5</v>
      </c>
      <c r="N3" s="5" t="s">
        <v>6</v>
      </c>
      <c r="O3" t="s">
        <v>7</v>
      </c>
      <c r="P3" s="5" t="s">
        <v>8</v>
      </c>
      <c r="T3" s="5"/>
      <c r="X3" s="5"/>
      <c r="Y3" s="5"/>
      <c r="Z3" s="5"/>
      <c r="AA3" s="5" t="s">
        <v>7</v>
      </c>
      <c r="AB3" s="5" t="s">
        <v>8</v>
      </c>
      <c r="AC3" s="5"/>
      <c r="AD3" s="5"/>
      <c r="AE3" s="7"/>
      <c r="AF3" s="7"/>
      <c r="AG3" s="5" t="s">
        <v>6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/>
      <c r="B4" s="9"/>
      <c r="C4" s="7"/>
      <c r="D4" s="7"/>
      <c r="E4" s="7"/>
      <c r="F4" s="7">
        <v>1</v>
      </c>
      <c r="G4" s="7"/>
      <c r="H4" s="7" t="s">
        <v>2444</v>
      </c>
      <c r="I4" t="s">
        <v>817</v>
      </c>
      <c r="J4" s="7" t="s">
        <v>12</v>
      </c>
      <c r="K4" t="s">
        <v>13</v>
      </c>
      <c r="L4">
        <v>1873</v>
      </c>
      <c r="M4">
        <v>47</v>
      </c>
      <c r="N4" s="7" t="s">
        <v>1491</v>
      </c>
      <c r="O4" t="s">
        <v>2445</v>
      </c>
      <c r="P4" s="7" t="s">
        <v>2446</v>
      </c>
      <c r="T4" s="6"/>
      <c r="X4" s="7"/>
      <c r="Y4" s="7"/>
      <c r="Z4" s="7"/>
      <c r="AA4" s="6" t="s">
        <v>1454</v>
      </c>
      <c r="AB4" s="6" t="s">
        <v>8</v>
      </c>
      <c r="AC4" s="7">
        <v>1</v>
      </c>
      <c r="AD4" s="7">
        <v>1</v>
      </c>
      <c r="AE4" s="7"/>
      <c r="AF4" s="7"/>
      <c r="AG4" s="6" t="s">
        <v>2426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/>
      <c r="B5" s="9"/>
      <c r="C5" s="7"/>
      <c r="D5" s="7"/>
      <c r="E5" s="7"/>
      <c r="F5" s="7"/>
      <c r="G5" s="7"/>
      <c r="H5" s="7" t="s">
        <v>1494</v>
      </c>
      <c r="I5" t="s">
        <v>817</v>
      </c>
      <c r="J5" s="7" t="s">
        <v>18</v>
      </c>
      <c r="K5" t="s">
        <v>19</v>
      </c>
      <c r="L5">
        <v>1872</v>
      </c>
      <c r="M5">
        <v>49</v>
      </c>
      <c r="N5" s="7" t="s">
        <v>368</v>
      </c>
      <c r="O5" t="s">
        <v>50</v>
      </c>
      <c r="P5" s="7" t="s">
        <v>20</v>
      </c>
      <c r="T5" s="6"/>
      <c r="X5" s="7"/>
      <c r="Y5" s="7"/>
      <c r="Z5" s="7"/>
      <c r="AA5" s="6" t="s">
        <v>50</v>
      </c>
      <c r="AB5" s="6" t="s">
        <v>20</v>
      </c>
      <c r="AC5" s="7"/>
      <c r="AD5" s="7"/>
      <c r="AE5" s="7"/>
      <c r="AF5" s="7"/>
      <c r="AG5" s="6" t="s">
        <v>49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/>
      <c r="B6" s="9"/>
      <c r="C6" s="7"/>
      <c r="D6" s="7"/>
      <c r="E6" s="7"/>
      <c r="F6" s="7"/>
      <c r="G6" s="7"/>
      <c r="H6" s="7" t="s">
        <v>104</v>
      </c>
      <c r="I6" t="s">
        <v>817</v>
      </c>
      <c r="J6" s="7" t="s">
        <v>51</v>
      </c>
      <c r="K6" t="s">
        <v>13</v>
      </c>
      <c r="L6">
        <v>1904</v>
      </c>
      <c r="M6">
        <v>17</v>
      </c>
      <c r="N6" s="7" t="s">
        <v>14</v>
      </c>
      <c r="O6" t="s">
        <v>2447</v>
      </c>
      <c r="P6" s="7" t="s">
        <v>2448</v>
      </c>
      <c r="T6" s="6"/>
      <c r="X6" s="7"/>
      <c r="Y6" s="7"/>
      <c r="Z6" s="7"/>
      <c r="AA6" s="6" t="s">
        <v>20</v>
      </c>
      <c r="AB6" s="6" t="s">
        <v>20</v>
      </c>
      <c r="AC6" s="7"/>
      <c r="AD6" s="7"/>
      <c r="AE6" s="7"/>
      <c r="AF6" s="7"/>
      <c r="AG6" s="6" t="s">
        <v>49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/>
      <c r="B7" s="9"/>
      <c r="C7" s="7"/>
      <c r="D7" s="7"/>
      <c r="E7" s="7"/>
      <c r="F7" s="7"/>
      <c r="G7" s="7"/>
      <c r="H7" s="7"/>
      <c r="J7" s="7"/>
      <c r="N7" s="7"/>
      <c r="P7" s="7"/>
      <c r="T7" s="6"/>
      <c r="X7" s="7"/>
      <c r="Y7" s="7"/>
      <c r="Z7" s="7"/>
      <c r="AA7" s="6" t="s">
        <v>50</v>
      </c>
      <c r="AB7" s="6" t="s">
        <v>20</v>
      </c>
      <c r="AC7" s="7"/>
      <c r="AD7" s="7"/>
      <c r="AE7" s="7"/>
      <c r="AF7" s="7"/>
      <c r="AG7" s="6" t="s">
        <v>2426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/>
      <c r="B8" s="9"/>
      <c r="C8" s="7"/>
      <c r="D8" s="7"/>
      <c r="E8" s="7"/>
      <c r="F8" s="7"/>
      <c r="G8" s="7"/>
      <c r="H8" s="7" t="s">
        <v>0</v>
      </c>
      <c r="I8" t="s">
        <v>1</v>
      </c>
      <c r="J8" s="7" t="s">
        <v>2</v>
      </c>
      <c r="K8" t="s">
        <v>3</v>
      </c>
      <c r="L8" t="s">
        <v>4</v>
      </c>
      <c r="M8" t="s">
        <v>5</v>
      </c>
      <c r="N8" s="7" t="s">
        <v>6</v>
      </c>
      <c r="O8" t="s">
        <v>7</v>
      </c>
      <c r="P8" s="7" t="s">
        <v>8</v>
      </c>
      <c r="T8" s="6"/>
      <c r="X8" s="7"/>
      <c r="Y8" s="7"/>
      <c r="Z8" s="7"/>
      <c r="AA8" s="6" t="s">
        <v>50</v>
      </c>
      <c r="AB8" s="6" t="s">
        <v>20</v>
      </c>
      <c r="AC8" s="7"/>
      <c r="AD8" s="7"/>
      <c r="AE8" s="7"/>
      <c r="AF8" s="7"/>
      <c r="AG8" s="6" t="s">
        <v>2426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/>
      <c r="B9" s="9"/>
      <c r="C9" s="7"/>
      <c r="D9" s="7"/>
      <c r="E9" s="7"/>
      <c r="F9" s="7">
        <v>1</v>
      </c>
      <c r="G9" s="7"/>
      <c r="H9" s="7" t="s">
        <v>423</v>
      </c>
      <c r="I9" t="s">
        <v>1543</v>
      </c>
      <c r="J9" s="7" t="s">
        <v>12</v>
      </c>
      <c r="K9" t="s">
        <v>13</v>
      </c>
      <c r="L9">
        <v>1893</v>
      </c>
      <c r="M9">
        <v>28</v>
      </c>
      <c r="N9" s="7" t="s">
        <v>49</v>
      </c>
      <c r="O9" t="s">
        <v>1363</v>
      </c>
      <c r="P9" s="7" t="s">
        <v>2449</v>
      </c>
      <c r="Q9" t="s">
        <v>2450</v>
      </c>
      <c r="T9" s="6"/>
      <c r="X9" s="7"/>
      <c r="Y9" s="7"/>
      <c r="Z9" s="7"/>
      <c r="AA9" s="6" t="s">
        <v>360</v>
      </c>
      <c r="AB9" s="6" t="s">
        <v>29</v>
      </c>
      <c r="AC9" s="7">
        <v>1</v>
      </c>
      <c r="AD9" s="7"/>
      <c r="AE9" s="7"/>
      <c r="AF9" s="7">
        <v>1</v>
      </c>
      <c r="AG9" s="6" t="s">
        <v>1199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/>
      <c r="B10" s="9"/>
      <c r="C10" s="7"/>
      <c r="D10" s="7"/>
      <c r="E10" s="7"/>
      <c r="F10" s="7"/>
      <c r="G10" s="7"/>
      <c r="H10" s="7" t="s">
        <v>422</v>
      </c>
      <c r="I10" t="s">
        <v>1543</v>
      </c>
      <c r="J10" s="7" t="s">
        <v>18</v>
      </c>
      <c r="K10" t="s">
        <v>19</v>
      </c>
      <c r="L10">
        <v>1896</v>
      </c>
      <c r="M10">
        <v>25</v>
      </c>
      <c r="N10" s="7" t="s">
        <v>49</v>
      </c>
      <c r="O10" t="s">
        <v>131</v>
      </c>
      <c r="P10" s="7" t="s">
        <v>20</v>
      </c>
      <c r="T10" s="6"/>
      <c r="X10" s="7"/>
      <c r="Y10" s="7"/>
      <c r="Z10" s="7"/>
      <c r="AA10" s="6" t="s">
        <v>934</v>
      </c>
      <c r="AB10" s="6" t="s">
        <v>29</v>
      </c>
      <c r="AC10" s="7">
        <v>1</v>
      </c>
      <c r="AD10" s="7"/>
      <c r="AE10" s="7"/>
      <c r="AF10" s="7"/>
      <c r="AG10" s="6" t="s">
        <v>2435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/>
      <c r="B11" s="9"/>
      <c r="C11" s="7"/>
      <c r="D11" s="7"/>
      <c r="E11" s="7"/>
      <c r="F11" s="7"/>
      <c r="G11" s="7"/>
      <c r="H11" s="7"/>
      <c r="J11" s="7"/>
      <c r="N11" s="7"/>
      <c r="P11" s="7"/>
      <c r="T11" s="6"/>
      <c r="X11" s="7"/>
      <c r="Y11" s="7"/>
      <c r="Z11" s="7"/>
      <c r="AA11" s="6" t="s">
        <v>33</v>
      </c>
      <c r="AB11" s="6" t="s">
        <v>29</v>
      </c>
      <c r="AC11" s="7">
        <v>1</v>
      </c>
      <c r="AD11" s="7"/>
      <c r="AE11" s="7"/>
      <c r="AF11" s="7"/>
      <c r="AG11" s="6" t="s">
        <v>2437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/>
      <c r="B12" s="9"/>
      <c r="C12" s="7"/>
      <c r="D12" s="7"/>
      <c r="E12" s="7"/>
      <c r="F12" s="7"/>
      <c r="G12" s="7"/>
      <c r="H12" s="7" t="s">
        <v>2451</v>
      </c>
      <c r="J12" s="7"/>
      <c r="N12" s="7"/>
      <c r="P12" s="7"/>
      <c r="T12" s="7"/>
      <c r="X12" s="7">
        <f t="shared" ref="X12:AD12" si="0">SUM(X3:X11)</f>
        <v>0</v>
      </c>
      <c r="Y12" s="7">
        <f t="shared" si="0"/>
        <v>0</v>
      </c>
      <c r="Z12" s="7">
        <f t="shared" si="0"/>
        <v>0</v>
      </c>
      <c r="AA12" s="7" t="s">
        <v>28</v>
      </c>
      <c r="AB12" s="7" t="s">
        <v>29</v>
      </c>
      <c r="AC12" s="7">
        <v>1</v>
      </c>
      <c r="AD12" s="7">
        <f t="shared" si="0"/>
        <v>1</v>
      </c>
      <c r="AE12" s="7"/>
      <c r="AF12" s="7"/>
      <c r="AG12" s="7" t="s">
        <v>2439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/>
      <c r="B13" s="9"/>
      <c r="C13" s="7"/>
      <c r="D13" s="7"/>
      <c r="E13" s="7"/>
      <c r="F13" s="7"/>
      <c r="G13" s="7"/>
      <c r="H13" s="7"/>
      <c r="J13" s="7"/>
      <c r="N13" s="7"/>
      <c r="P13" s="7"/>
      <c r="T13" s="6"/>
      <c r="X13" s="7"/>
      <c r="Y13" s="7"/>
      <c r="Z13" s="7"/>
      <c r="AA13" s="6"/>
      <c r="AB13" s="6"/>
      <c r="AC13" s="7"/>
      <c r="AD13" s="7"/>
      <c r="AE13" s="7"/>
      <c r="AF13" s="7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/>
      <c r="B14" s="9"/>
      <c r="C14" s="7"/>
      <c r="D14" s="7"/>
      <c r="E14" s="7"/>
      <c r="F14" s="7"/>
      <c r="G14" s="7"/>
      <c r="H14" s="7"/>
      <c r="J14" s="7"/>
      <c r="N14" s="7"/>
      <c r="P14" s="7"/>
      <c r="T14" s="6"/>
      <c r="X14" s="7"/>
      <c r="Y14" s="7"/>
      <c r="Z14" s="7"/>
      <c r="AA14" s="6" t="s">
        <v>7</v>
      </c>
      <c r="AB14" s="6" t="s">
        <v>8</v>
      </c>
      <c r="AC14" s="7"/>
      <c r="AD14" s="7"/>
      <c r="AE14" s="7"/>
      <c r="AF14" s="7"/>
      <c r="AG14" s="6" t="s">
        <v>6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/>
      <c r="B15" s="9"/>
      <c r="C15" s="7"/>
      <c r="D15" s="7"/>
      <c r="E15" s="11"/>
      <c r="F15" s="12"/>
      <c r="G15" s="12"/>
      <c r="H15" s="12"/>
      <c r="J15" s="13"/>
      <c r="N15" s="12"/>
      <c r="P15" s="12"/>
      <c r="T15" s="12"/>
      <c r="X15" s="12"/>
      <c r="Y15" s="12"/>
      <c r="Z15" s="12"/>
      <c r="AA15" s="12" t="s">
        <v>2441</v>
      </c>
      <c r="AB15" s="12" t="s">
        <v>2442</v>
      </c>
      <c r="AC15" s="12">
        <v>1</v>
      </c>
      <c r="AD15" s="12"/>
      <c r="AE15" s="7"/>
      <c r="AF15" s="7">
        <v>1</v>
      </c>
      <c r="AG15" s="12" t="s">
        <v>14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/>
      <c r="B16" s="9"/>
      <c r="C16" s="7"/>
      <c r="D16" s="7"/>
      <c r="E16" s="11"/>
      <c r="F16" s="12"/>
      <c r="G16" s="12"/>
      <c r="H16" s="12"/>
      <c r="J16" s="15"/>
      <c r="N16" s="14"/>
      <c r="P16" s="16"/>
      <c r="T16" s="12"/>
      <c r="X16" s="12"/>
      <c r="Y16" s="12"/>
      <c r="Z16" s="12"/>
      <c r="AA16" s="12" t="s">
        <v>50</v>
      </c>
      <c r="AB16" s="14" t="s">
        <v>20</v>
      </c>
      <c r="AC16" s="12"/>
      <c r="AD16" s="11"/>
      <c r="AE16" s="7"/>
      <c r="AF16" s="7">
        <v>1</v>
      </c>
      <c r="AG16" s="12" t="s">
        <v>14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/>
      <c r="B17" s="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>
        <f t="shared" ref="U17:AF17" si="1">SUM(U3:U16)</f>
        <v>0</v>
      </c>
      <c r="V17" s="7">
        <f t="shared" si="1"/>
        <v>0</v>
      </c>
      <c r="W17" s="7">
        <f t="shared" si="1"/>
        <v>0</v>
      </c>
      <c r="X17" s="7">
        <f t="shared" si="1"/>
        <v>0</v>
      </c>
      <c r="Y17" s="7">
        <f t="shared" si="1"/>
        <v>0</v>
      </c>
      <c r="Z17" s="7">
        <f t="shared" si="1"/>
        <v>0</v>
      </c>
      <c r="AA17" s="7">
        <f t="shared" si="1"/>
        <v>0</v>
      </c>
      <c r="AB17" s="7">
        <f t="shared" si="1"/>
        <v>0</v>
      </c>
      <c r="AC17" s="7">
        <f t="shared" si="1"/>
        <v>6</v>
      </c>
      <c r="AD17" s="7">
        <f t="shared" si="1"/>
        <v>2</v>
      </c>
      <c r="AE17" s="7">
        <f>AC17-AD17</f>
        <v>4</v>
      </c>
      <c r="AF17" s="7">
        <f t="shared" si="1"/>
        <v>3</v>
      </c>
      <c r="AG17" s="7">
        <f>I17-AF17</f>
        <v>-3</v>
      </c>
      <c r="AH17" s="7">
        <v>11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/>
      <c r="B18" s="9"/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7"/>
      <c r="R18" s="6"/>
      <c r="S18" s="6"/>
      <c r="T18" s="20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5"/>
      <c r="G21" s="5"/>
      <c r="H21" s="5"/>
      <c r="I21" s="5"/>
      <c r="J21" s="5"/>
      <c r="K21" s="10"/>
      <c r="L21" s="5"/>
      <c r="M21" s="5"/>
      <c r="N21" s="5"/>
      <c r="O21" s="5"/>
      <c r="P21" s="5"/>
      <c r="Q21" s="7"/>
      <c r="R21" s="6"/>
      <c r="S21" s="6"/>
      <c r="T21" s="7"/>
      <c r="U21" s="6"/>
      <c r="V21" s="6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6"/>
      <c r="N22" s="6"/>
      <c r="O22" s="6"/>
      <c r="P22" s="6"/>
      <c r="Q22" s="7"/>
      <c r="R22" s="6"/>
      <c r="S22" s="6"/>
      <c r="T22" s="7"/>
      <c r="U22" s="6"/>
      <c r="V22" s="6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7"/>
      <c r="R23" s="6"/>
      <c r="S23" s="6"/>
      <c r="T23" s="7"/>
      <c r="U23" s="6"/>
      <c r="V23" s="6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7"/>
      <c r="R24" s="6"/>
      <c r="S24" s="6"/>
      <c r="T24" s="7"/>
      <c r="U24" s="6"/>
      <c r="V24" s="6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7"/>
      <c r="R26" s="6"/>
      <c r="S26" s="6"/>
      <c r="T26" s="19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7"/>
      <c r="R27" s="6"/>
      <c r="S27" s="6"/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7"/>
      <c r="R29" s="6"/>
      <c r="S29" s="6"/>
      <c r="T29" s="19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4"/>
      <c r="B33" s="7"/>
      <c r="C33" s="7"/>
      <c r="D33" s="7"/>
      <c r="E33" s="7"/>
      <c r="F33" s="12"/>
      <c r="G33" s="12"/>
      <c r="H33" s="12"/>
      <c r="I33" s="12"/>
      <c r="J33" s="12"/>
      <c r="K33" s="13"/>
      <c r="L33" s="12"/>
      <c r="M33" s="12"/>
      <c r="N33" s="12"/>
      <c r="O33" s="12"/>
      <c r="P33" s="12"/>
      <c r="Q33" s="7"/>
      <c r="R33" s="7"/>
      <c r="S33" s="7"/>
      <c r="T33" s="7"/>
      <c r="U33" s="7">
        <f>SUM(U3:U32)</f>
        <v>0</v>
      </c>
      <c r="V33" s="7">
        <f>SUM(V3:V32)</f>
        <v>0</v>
      </c>
      <c r="W33" s="7">
        <f>SUM(W3:W32)</f>
        <v>0</v>
      </c>
      <c r="X33" s="7"/>
      <c r="Y33" s="7"/>
      <c r="Z33" s="7">
        <f>SUM(Z3:Z32)</f>
        <v>0</v>
      </c>
      <c r="AA33" s="7">
        <f>SUM(AA3:AA32)</f>
        <v>0</v>
      </c>
      <c r="AB33" s="7">
        <f>SUM(AB3:AB32)</f>
        <v>0</v>
      </c>
      <c r="AC33" s="7">
        <f>SUM(AC3:AC32)</f>
        <v>12</v>
      </c>
      <c r="AD33" s="7">
        <f>SUM(AD3:AD32)</f>
        <v>4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12"/>
      <c r="G34" s="12"/>
      <c r="H34" s="12"/>
      <c r="I34" s="12"/>
      <c r="J34" s="14"/>
      <c r="K34" s="15"/>
      <c r="L34" s="16"/>
      <c r="M34" s="12"/>
      <c r="N34" s="12"/>
      <c r="O34" s="12"/>
      <c r="P34" s="14"/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21"/>
      <c r="H35" s="21"/>
      <c r="I35" s="21"/>
      <c r="J35" s="7"/>
      <c r="K35" s="7"/>
      <c r="L35" s="7"/>
      <c r="M35" s="7"/>
      <c r="N35" s="7"/>
      <c r="O35" s="7"/>
      <c r="P35" s="7"/>
      <c r="Q35" s="20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19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"/>
      <c r="S37" s="21"/>
      <c r="T37" s="21"/>
      <c r="U37" s="7"/>
      <c r="V37" s="7"/>
      <c r="W37" s="7"/>
      <c r="X37" s="7"/>
      <c r="Y37" s="7"/>
      <c r="Z37" s="7"/>
      <c r="AA37" s="7"/>
      <c r="AB37" s="7"/>
      <c r="AC37" s="22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3531-E005-5C44-B5F4-C31142F6C601}">
  <dimension ref="A1:BC73"/>
  <sheetViews>
    <sheetView topLeftCell="A2" workbookViewId="0">
      <selection activeCell="I32" sqref="I32"/>
    </sheetView>
  </sheetViews>
  <sheetFormatPr baseColWidth="10" defaultColWidth="10.83203125" defaultRowHeight="16" x14ac:dyDescent="0.2"/>
  <cols>
    <col min="4" max="4" width="22.1640625" customWidth="1"/>
    <col min="5" max="5" width="16.83203125" customWidth="1"/>
    <col min="6" max="6" width="9.83203125" customWidth="1"/>
    <col min="7" max="7" width="12.5" customWidth="1"/>
    <col min="8" max="8" width="14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1" max="21" width="20.83203125" customWidth="1"/>
    <col min="22" max="22" width="26.1640625" customWidth="1"/>
    <col min="24" max="24" width="31" customWidth="1"/>
    <col min="25" max="25" width="19.83203125" customWidth="1"/>
    <col min="26" max="26" width="12.1640625" customWidth="1"/>
    <col min="27" max="27" width="28.6640625" customWidth="1"/>
    <col min="28" max="30" width="16.5" customWidth="1"/>
    <col min="31" max="31" width="14.6640625" customWidth="1"/>
    <col min="32" max="32" width="24.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94" t="s">
        <v>3193</v>
      </c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7.5" customHeight="1" x14ac:dyDescent="0.2">
      <c r="A3" s="9" t="s">
        <v>603</v>
      </c>
      <c r="B3" s="9">
        <v>1921</v>
      </c>
      <c r="C3" s="7">
        <v>1</v>
      </c>
      <c r="D3" s="7" t="s">
        <v>604</v>
      </c>
      <c r="E3" s="7"/>
      <c r="G3" s="7" t="s">
        <v>31</v>
      </c>
      <c r="H3" s="7" t="s">
        <v>2453</v>
      </c>
      <c r="I3">
        <v>1</v>
      </c>
      <c r="J3" t="s">
        <v>13</v>
      </c>
      <c r="K3">
        <v>1</v>
      </c>
      <c r="N3" s="7">
        <v>1</v>
      </c>
      <c r="P3" s="7"/>
      <c r="T3">
        <v>35</v>
      </c>
      <c r="X3" s="7"/>
      <c r="Y3" s="7"/>
      <c r="Z3" s="7"/>
      <c r="AA3" t="s">
        <v>2454</v>
      </c>
      <c r="AB3" s="6"/>
      <c r="AC3" s="7">
        <v>1</v>
      </c>
      <c r="AD3" s="7">
        <v>1</v>
      </c>
      <c r="AE3" s="7"/>
      <c r="AF3">
        <v>1</v>
      </c>
      <c r="AG3" s="6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603</v>
      </c>
      <c r="B4" s="9">
        <v>1921</v>
      </c>
      <c r="C4" s="7">
        <v>1</v>
      </c>
      <c r="D4" s="7" t="s">
        <v>604</v>
      </c>
      <c r="E4" s="7"/>
      <c r="G4" s="7" t="s">
        <v>31</v>
      </c>
      <c r="H4" s="7" t="s">
        <v>2455</v>
      </c>
      <c r="I4">
        <v>2</v>
      </c>
      <c r="J4">
        <v>1</v>
      </c>
      <c r="N4" s="7" t="s">
        <v>18</v>
      </c>
      <c r="O4">
        <v>1</v>
      </c>
      <c r="P4" s="7"/>
      <c r="T4">
        <v>30</v>
      </c>
      <c r="X4" s="7"/>
      <c r="Y4" s="7"/>
      <c r="Z4" s="7"/>
      <c r="AA4" t="s">
        <v>489</v>
      </c>
      <c r="AB4" s="6"/>
      <c r="AC4" s="7"/>
      <c r="AD4" s="7" t="s">
        <v>20</v>
      </c>
      <c r="AE4" s="7"/>
      <c r="AF4">
        <v>1</v>
      </c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603</v>
      </c>
      <c r="B5" s="9">
        <v>1921</v>
      </c>
      <c r="C5" s="7">
        <v>1</v>
      </c>
      <c r="D5" s="7" t="s">
        <v>604</v>
      </c>
      <c r="E5" s="7"/>
      <c r="G5" s="7" t="s">
        <v>2457</v>
      </c>
      <c r="H5" s="7" t="s">
        <v>2456</v>
      </c>
      <c r="I5">
        <v>3</v>
      </c>
      <c r="J5">
        <v>1</v>
      </c>
      <c r="N5" s="7" t="s">
        <v>26</v>
      </c>
      <c r="P5" s="7"/>
      <c r="S5">
        <v>1</v>
      </c>
      <c r="T5">
        <v>29</v>
      </c>
      <c r="X5" s="7"/>
      <c r="Y5" s="7"/>
      <c r="Z5" s="7"/>
      <c r="AA5" t="s">
        <v>33</v>
      </c>
      <c r="AB5" s="6"/>
      <c r="AC5" s="7">
        <v>1</v>
      </c>
      <c r="AD5" s="7" t="s">
        <v>29</v>
      </c>
      <c r="AE5" s="7">
        <v>1</v>
      </c>
      <c r="AF5" t="s">
        <v>2458</v>
      </c>
      <c r="AG5" s="6">
        <v>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603</v>
      </c>
      <c r="B6" s="9">
        <v>1921</v>
      </c>
      <c r="C6" s="7">
        <v>1</v>
      </c>
      <c r="D6" s="7" t="s">
        <v>604</v>
      </c>
      <c r="E6" s="7"/>
      <c r="G6" s="7" t="s">
        <v>374</v>
      </c>
      <c r="H6" s="7" t="s">
        <v>2459</v>
      </c>
      <c r="I6">
        <v>4</v>
      </c>
      <c r="J6">
        <v>1</v>
      </c>
      <c r="N6" s="7" t="s">
        <v>26</v>
      </c>
      <c r="P6" s="7"/>
      <c r="S6">
        <v>1</v>
      </c>
      <c r="T6">
        <v>20</v>
      </c>
      <c r="X6" s="7"/>
      <c r="Y6" s="7"/>
      <c r="Z6" s="7"/>
      <c r="AA6" t="s">
        <v>56</v>
      </c>
      <c r="AB6" s="6"/>
      <c r="AC6" s="7">
        <v>1</v>
      </c>
      <c r="AD6" s="7" t="s">
        <v>29</v>
      </c>
      <c r="AE6" s="7">
        <v>1</v>
      </c>
      <c r="AF6" t="s">
        <v>2460</v>
      </c>
      <c r="AG6" s="6">
        <v>1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603</v>
      </c>
      <c r="B7" s="9">
        <v>1921</v>
      </c>
      <c r="C7" s="7"/>
      <c r="D7" s="7" t="s">
        <v>604</v>
      </c>
      <c r="E7" s="7"/>
      <c r="G7" s="7"/>
      <c r="H7" s="7">
        <v>4</v>
      </c>
      <c r="N7" s="7"/>
      <c r="P7" s="7"/>
      <c r="X7" s="7"/>
      <c r="Y7" s="7"/>
      <c r="Z7" s="7"/>
      <c r="AB7" s="6"/>
      <c r="AC7" s="7"/>
      <c r="AD7" s="7"/>
      <c r="AE7" s="7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603</v>
      </c>
      <c r="B8" s="9">
        <v>1921</v>
      </c>
      <c r="C8" s="7"/>
      <c r="D8" s="7" t="s">
        <v>604</v>
      </c>
      <c r="E8" s="7"/>
      <c r="G8" s="7" t="s">
        <v>1</v>
      </c>
      <c r="H8" s="7" t="s">
        <v>0</v>
      </c>
      <c r="J8" t="s">
        <v>3</v>
      </c>
      <c r="N8" s="7" t="s">
        <v>2</v>
      </c>
      <c r="P8" s="7"/>
      <c r="T8" t="s">
        <v>5</v>
      </c>
      <c r="X8" s="7"/>
      <c r="Y8" s="7"/>
      <c r="Z8" s="7"/>
      <c r="AA8" t="s">
        <v>7</v>
      </c>
      <c r="AB8" s="6"/>
      <c r="AC8" s="7"/>
      <c r="AD8" s="7"/>
      <c r="AE8" s="7"/>
      <c r="AF8" t="s">
        <v>6</v>
      </c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603</v>
      </c>
      <c r="B9" s="9">
        <v>1921</v>
      </c>
      <c r="C9" s="7">
        <v>2</v>
      </c>
      <c r="D9" s="7" t="s">
        <v>604</v>
      </c>
      <c r="E9" s="7"/>
      <c r="G9" s="7" t="s">
        <v>1104</v>
      </c>
      <c r="H9" s="7" t="s">
        <v>2462</v>
      </c>
      <c r="I9">
        <v>5</v>
      </c>
      <c r="J9" t="s">
        <v>13</v>
      </c>
      <c r="K9">
        <v>1</v>
      </c>
      <c r="N9" s="7">
        <v>1</v>
      </c>
      <c r="P9" s="7"/>
      <c r="T9">
        <v>63</v>
      </c>
      <c r="X9" s="7"/>
      <c r="Y9" s="7"/>
      <c r="Z9" s="7"/>
      <c r="AA9" t="s">
        <v>2463</v>
      </c>
      <c r="AB9" s="6"/>
      <c r="AC9" s="7">
        <v>1</v>
      </c>
      <c r="AD9" s="7" t="s">
        <v>20</v>
      </c>
      <c r="AE9" s="7">
        <v>1</v>
      </c>
      <c r="AF9">
        <v>1</v>
      </c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603</v>
      </c>
      <c r="B10" s="9">
        <v>1921</v>
      </c>
      <c r="C10" s="7">
        <v>2</v>
      </c>
      <c r="D10" s="7" t="s">
        <v>604</v>
      </c>
      <c r="E10" s="7"/>
      <c r="G10" s="7" t="s">
        <v>1104</v>
      </c>
      <c r="H10" s="7" t="s">
        <v>2464</v>
      </c>
      <c r="I10">
        <v>6</v>
      </c>
      <c r="J10">
        <v>1</v>
      </c>
      <c r="N10" s="7" t="s">
        <v>18</v>
      </c>
      <c r="O10">
        <v>1</v>
      </c>
      <c r="P10" s="7"/>
      <c r="T10">
        <v>63</v>
      </c>
      <c r="X10" s="7"/>
      <c r="Y10" s="7"/>
      <c r="Z10" s="7"/>
      <c r="AA10" t="s">
        <v>20</v>
      </c>
      <c r="AB10" s="6"/>
      <c r="AC10" s="7"/>
      <c r="AD10" s="7" t="s">
        <v>20</v>
      </c>
      <c r="AE10" s="7"/>
      <c r="AF10">
        <v>1</v>
      </c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" customHeight="1" x14ac:dyDescent="0.2">
      <c r="A11" s="9" t="s">
        <v>603</v>
      </c>
      <c r="B11" s="9">
        <v>1921</v>
      </c>
      <c r="C11" s="7">
        <v>2</v>
      </c>
      <c r="D11" s="7" t="s">
        <v>604</v>
      </c>
      <c r="E11" s="7"/>
      <c r="G11" s="7" t="s">
        <v>2465</v>
      </c>
      <c r="H11" s="7" t="s">
        <v>756</v>
      </c>
      <c r="I11">
        <v>7</v>
      </c>
      <c r="J11">
        <v>1</v>
      </c>
      <c r="N11" s="7" t="s">
        <v>33</v>
      </c>
      <c r="P11" s="7"/>
      <c r="S11">
        <v>1</v>
      </c>
      <c r="T11">
        <v>46</v>
      </c>
      <c r="X11" s="7">
        <f>SUM(X3:X10)</f>
        <v>0</v>
      </c>
      <c r="Y11" s="7">
        <f>SUM(Y3:Y10)</f>
        <v>0</v>
      </c>
      <c r="Z11" s="7">
        <f>SUM(Z3:Z10)</f>
        <v>0</v>
      </c>
      <c r="AA11" t="s">
        <v>33</v>
      </c>
      <c r="AB11" s="7"/>
      <c r="AC11" s="7">
        <v>1</v>
      </c>
      <c r="AD11" s="7" t="s">
        <v>29</v>
      </c>
      <c r="AE11" s="7">
        <v>1</v>
      </c>
      <c r="AF11">
        <v>1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9" t="s">
        <v>603</v>
      </c>
      <c r="B12" s="9">
        <v>1921</v>
      </c>
      <c r="C12" s="7">
        <v>2</v>
      </c>
      <c r="D12" s="7" t="s">
        <v>604</v>
      </c>
      <c r="E12" s="7"/>
      <c r="G12" s="7" t="s">
        <v>2466</v>
      </c>
      <c r="H12" s="7" t="s">
        <v>1100</v>
      </c>
      <c r="I12">
        <v>8</v>
      </c>
      <c r="J12">
        <v>1</v>
      </c>
      <c r="N12" s="7" t="s">
        <v>28</v>
      </c>
      <c r="P12" s="7"/>
      <c r="S12">
        <v>1</v>
      </c>
      <c r="T12">
        <v>20</v>
      </c>
      <c r="X12" s="7"/>
      <c r="Y12" s="7"/>
      <c r="Z12" s="7"/>
      <c r="AA12" t="s">
        <v>28</v>
      </c>
      <c r="AB12" s="6"/>
      <c r="AC12" s="7">
        <v>1</v>
      </c>
      <c r="AD12" s="7" t="s">
        <v>29</v>
      </c>
      <c r="AE12" s="7">
        <v>1</v>
      </c>
      <c r="AF12">
        <v>1</v>
      </c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/>
      <c r="B13" s="9"/>
      <c r="C13" s="7"/>
      <c r="D13" s="7" t="s">
        <v>604</v>
      </c>
      <c r="E13" s="11"/>
      <c r="F13" s="12"/>
      <c r="G13" s="12"/>
      <c r="H13" s="12"/>
      <c r="J13" s="13"/>
      <c r="N13" s="12"/>
      <c r="P13" s="12"/>
      <c r="T13" s="160"/>
      <c r="X13" s="12"/>
      <c r="Y13" s="12"/>
      <c r="Z13" s="12"/>
      <c r="AA13" s="12"/>
      <c r="AB13" s="12"/>
      <c r="AC13" s="12"/>
      <c r="AD13" s="12"/>
      <c r="AE13" s="7"/>
      <c r="AF13" s="7"/>
      <c r="AG13" s="12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603</v>
      </c>
      <c r="B14" s="9">
        <v>1921</v>
      </c>
      <c r="C14" s="7">
        <v>3</v>
      </c>
      <c r="D14" s="7" t="s">
        <v>604</v>
      </c>
      <c r="E14" s="7"/>
      <c r="F14" s="7"/>
      <c r="G14" s="12" t="s">
        <v>3146</v>
      </c>
      <c r="H14" s="12" t="s">
        <v>3145</v>
      </c>
      <c r="I14">
        <v>9</v>
      </c>
      <c r="J14" s="12" t="s">
        <v>13</v>
      </c>
      <c r="K14">
        <v>1</v>
      </c>
      <c r="N14" s="12">
        <v>1</v>
      </c>
      <c r="P14" s="14"/>
      <c r="T14" s="15">
        <v>75</v>
      </c>
      <c r="Y14" s="12"/>
      <c r="Z14" s="12"/>
      <c r="AA14" s="12" t="s">
        <v>3147</v>
      </c>
      <c r="AB14" s="12" t="s">
        <v>20</v>
      </c>
      <c r="AC14" s="12"/>
      <c r="AD14" s="12"/>
      <c r="AE14" s="7"/>
      <c r="AF14" s="16" t="s">
        <v>2015</v>
      </c>
      <c r="AG14" s="12">
        <v>1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603</v>
      </c>
      <c r="B15" s="9">
        <v>1921</v>
      </c>
      <c r="C15" s="7">
        <v>3</v>
      </c>
      <c r="D15" s="7" t="s">
        <v>604</v>
      </c>
      <c r="E15" s="7"/>
      <c r="F15" s="7"/>
      <c r="G15" s="21" t="s">
        <v>3146</v>
      </c>
      <c r="H15" s="7" t="s">
        <v>1318</v>
      </c>
      <c r="I15">
        <v>10</v>
      </c>
      <c r="J15" s="7">
        <v>1</v>
      </c>
      <c r="K15">
        <v>1</v>
      </c>
      <c r="N15" s="21" t="s">
        <v>18</v>
      </c>
      <c r="O15">
        <v>1</v>
      </c>
      <c r="P15" s="7"/>
      <c r="T15" s="7">
        <v>72</v>
      </c>
      <c r="Y15" s="12"/>
      <c r="Z15" s="12"/>
      <c r="AA15" s="7" t="s">
        <v>50</v>
      </c>
      <c r="AB15" s="7" t="s">
        <v>20</v>
      </c>
      <c r="AC15" s="7"/>
      <c r="AD15" s="12"/>
      <c r="AE15" s="7"/>
      <c r="AF15" s="7">
        <v>1</v>
      </c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603</v>
      </c>
      <c r="B16" s="9">
        <v>1921</v>
      </c>
      <c r="C16" s="7">
        <v>3</v>
      </c>
      <c r="D16" s="7" t="s">
        <v>604</v>
      </c>
      <c r="E16" s="7"/>
      <c r="F16" s="7"/>
      <c r="G16" s="7" t="s">
        <v>3146</v>
      </c>
      <c r="H16" s="7" t="s">
        <v>3148</v>
      </c>
      <c r="I16">
        <v>11</v>
      </c>
      <c r="J16" s="7">
        <v>1</v>
      </c>
      <c r="N16" s="7" t="s">
        <v>22</v>
      </c>
      <c r="P16" s="7">
        <v>1</v>
      </c>
      <c r="T16" s="7">
        <v>46</v>
      </c>
      <c r="Y16" s="12"/>
      <c r="Z16" s="12"/>
      <c r="AA16" s="7" t="s">
        <v>50</v>
      </c>
      <c r="AB16" s="7" t="s">
        <v>20</v>
      </c>
      <c r="AC16" s="7"/>
      <c r="AD16" s="12"/>
      <c r="AE16" s="7"/>
      <c r="AF16" s="7">
        <v>1</v>
      </c>
      <c r="AG16" s="12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603</v>
      </c>
      <c r="B17" s="9">
        <v>1921</v>
      </c>
      <c r="C17" s="7">
        <v>3</v>
      </c>
      <c r="D17" s="7" t="s">
        <v>604</v>
      </c>
      <c r="E17" s="7"/>
      <c r="F17" s="7"/>
      <c r="G17" s="7" t="s">
        <v>3146</v>
      </c>
      <c r="H17" s="7" t="s">
        <v>3149</v>
      </c>
      <c r="I17">
        <v>12</v>
      </c>
      <c r="J17" s="7">
        <v>1</v>
      </c>
      <c r="N17" s="7" t="s">
        <v>22</v>
      </c>
      <c r="P17" s="7">
        <v>1</v>
      </c>
      <c r="T17" s="7">
        <v>40</v>
      </c>
      <c r="Y17" s="12"/>
      <c r="Z17" s="12"/>
      <c r="AA17" s="7" t="s">
        <v>50</v>
      </c>
      <c r="AB17" s="7" t="s">
        <v>20</v>
      </c>
      <c r="AC17" s="7"/>
      <c r="AD17" s="12"/>
      <c r="AE17" s="7"/>
      <c r="AF17" s="7">
        <v>1</v>
      </c>
      <c r="AG17" s="12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603</v>
      </c>
      <c r="B18" s="9">
        <v>1921</v>
      </c>
      <c r="C18" s="7">
        <v>3</v>
      </c>
      <c r="D18" s="7" t="s">
        <v>604</v>
      </c>
      <c r="E18" s="7"/>
      <c r="F18" s="7"/>
      <c r="G18" s="7" t="s">
        <v>3146</v>
      </c>
      <c r="H18" s="7" t="s">
        <v>3150</v>
      </c>
      <c r="I18">
        <v>13</v>
      </c>
      <c r="J18" s="7">
        <v>1</v>
      </c>
      <c r="N18" s="7" t="s">
        <v>58</v>
      </c>
      <c r="P18" s="7"/>
      <c r="R18">
        <v>1</v>
      </c>
      <c r="T18" s="7">
        <v>38</v>
      </c>
      <c r="Y18" s="12"/>
      <c r="Z18" s="12"/>
      <c r="AA18" s="7" t="s">
        <v>3151</v>
      </c>
      <c r="AB18" s="7" t="s">
        <v>3152</v>
      </c>
      <c r="AC18" s="7">
        <v>1</v>
      </c>
      <c r="AD18" s="12"/>
      <c r="AE18" s="7"/>
      <c r="AF18" s="7">
        <v>1</v>
      </c>
      <c r="AG18" s="12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603</v>
      </c>
      <c r="B19" s="9">
        <v>1921</v>
      </c>
      <c r="C19" s="7">
        <v>3</v>
      </c>
      <c r="D19" s="7" t="s">
        <v>604</v>
      </c>
      <c r="G19" t="s">
        <v>3146</v>
      </c>
      <c r="H19" t="s">
        <v>3153</v>
      </c>
      <c r="I19">
        <v>14</v>
      </c>
      <c r="J19" t="s">
        <v>13</v>
      </c>
      <c r="N19" t="s">
        <v>3154</v>
      </c>
      <c r="R19">
        <v>1</v>
      </c>
      <c r="T19">
        <v>11</v>
      </c>
      <c r="Y19" s="12"/>
      <c r="Z19" s="12"/>
      <c r="AA19" t="s">
        <v>20</v>
      </c>
      <c r="AB19" t="s">
        <v>20</v>
      </c>
      <c r="AD19" s="12"/>
      <c r="AE19" s="7"/>
      <c r="AF19">
        <v>1</v>
      </c>
      <c r="AG19" s="12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603</v>
      </c>
      <c r="B20" s="9">
        <v>1921</v>
      </c>
      <c r="C20" s="7"/>
      <c r="D20" s="7" t="s">
        <v>604</v>
      </c>
      <c r="H20">
        <v>5</v>
      </c>
      <c r="K20">
        <v>1</v>
      </c>
      <c r="Y20" s="12"/>
      <c r="Z20" s="12"/>
      <c r="AD20" s="12"/>
      <c r="AE20" s="7"/>
      <c r="AG20" s="12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603</v>
      </c>
      <c r="B21" s="9">
        <v>1921</v>
      </c>
      <c r="C21" s="7"/>
      <c r="D21" s="7" t="s">
        <v>604</v>
      </c>
      <c r="G21" t="s">
        <v>1</v>
      </c>
      <c r="H21" t="s">
        <v>0</v>
      </c>
      <c r="N21" t="s">
        <v>2</v>
      </c>
      <c r="T21" t="s">
        <v>5</v>
      </c>
      <c r="Y21" s="12"/>
      <c r="Z21" s="12"/>
      <c r="AA21" t="s">
        <v>7</v>
      </c>
      <c r="AB21" t="s">
        <v>8</v>
      </c>
      <c r="AD21" s="12"/>
      <c r="AE21" s="7"/>
      <c r="AF21" t="s">
        <v>6</v>
      </c>
      <c r="AG21" s="12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603</v>
      </c>
      <c r="B22" s="9">
        <v>1921</v>
      </c>
      <c r="C22" s="7">
        <v>4</v>
      </c>
      <c r="D22" s="7" t="s">
        <v>604</v>
      </c>
      <c r="E22" t="s">
        <v>3177</v>
      </c>
      <c r="G22" t="s">
        <v>3157</v>
      </c>
      <c r="H22" t="s">
        <v>3156</v>
      </c>
      <c r="I22">
        <v>15</v>
      </c>
      <c r="J22" t="s">
        <v>3</v>
      </c>
      <c r="N22">
        <v>1</v>
      </c>
      <c r="T22">
        <v>60</v>
      </c>
      <c r="Y22" s="12"/>
      <c r="Z22" s="12"/>
      <c r="AA22" t="s">
        <v>1277</v>
      </c>
      <c r="AB22" t="s">
        <v>3159</v>
      </c>
      <c r="AC22">
        <v>1</v>
      </c>
      <c r="AD22" s="12"/>
      <c r="AE22" s="7"/>
      <c r="AF22" t="s">
        <v>3158</v>
      </c>
      <c r="AG22" s="12">
        <v>1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603</v>
      </c>
      <c r="B23" s="9">
        <v>1921</v>
      </c>
      <c r="C23" s="7">
        <v>4</v>
      </c>
      <c r="D23" s="7" t="s">
        <v>604</v>
      </c>
      <c r="G23" t="s">
        <v>3157</v>
      </c>
      <c r="H23" t="s">
        <v>3160</v>
      </c>
      <c r="I23">
        <v>16</v>
      </c>
      <c r="K23">
        <v>1</v>
      </c>
      <c r="N23" t="s">
        <v>18</v>
      </c>
      <c r="O23">
        <v>1</v>
      </c>
      <c r="T23">
        <v>48</v>
      </c>
      <c r="Y23" s="12"/>
      <c r="Z23" s="12"/>
      <c r="AA23" t="s">
        <v>20</v>
      </c>
      <c r="AB23" t="s">
        <v>20</v>
      </c>
      <c r="AD23" s="12"/>
      <c r="AE23" s="7"/>
      <c r="AF23" t="s">
        <v>329</v>
      </c>
      <c r="AG23" s="12">
        <v>1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603</v>
      </c>
      <c r="B24" s="9">
        <v>1921</v>
      </c>
      <c r="C24" s="7">
        <v>4</v>
      </c>
      <c r="D24" s="7" t="s">
        <v>604</v>
      </c>
      <c r="G24" t="s">
        <v>3157</v>
      </c>
      <c r="H24" t="s">
        <v>3161</v>
      </c>
      <c r="I24">
        <v>17</v>
      </c>
      <c r="J24">
        <v>1</v>
      </c>
      <c r="N24" t="s">
        <v>22</v>
      </c>
      <c r="P24">
        <v>1</v>
      </c>
      <c r="T24">
        <v>11</v>
      </c>
      <c r="Y24" s="12"/>
      <c r="Z24" s="12"/>
      <c r="AA24" t="s">
        <v>20</v>
      </c>
      <c r="AB24" t="s">
        <v>20</v>
      </c>
      <c r="AD24" s="12"/>
      <c r="AE24" s="7"/>
      <c r="AF24">
        <v>1</v>
      </c>
      <c r="AG24" s="12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9" t="s">
        <v>603</v>
      </c>
      <c r="B25" s="9">
        <v>1921</v>
      </c>
      <c r="C25" s="7">
        <v>4</v>
      </c>
      <c r="D25" s="7" t="s">
        <v>604</v>
      </c>
      <c r="G25" t="s">
        <v>328</v>
      </c>
      <c r="H25" t="s">
        <v>3162</v>
      </c>
      <c r="I25">
        <v>18</v>
      </c>
      <c r="K25">
        <v>1</v>
      </c>
      <c r="N25" t="s">
        <v>58</v>
      </c>
      <c r="R25">
        <v>1</v>
      </c>
      <c r="T25">
        <v>54</v>
      </c>
      <c r="Y25" s="12"/>
      <c r="Z25" s="12"/>
      <c r="AA25" t="s">
        <v>3163</v>
      </c>
      <c r="AB25" t="s">
        <v>3164</v>
      </c>
      <c r="AD25" s="12"/>
      <c r="AE25" s="7"/>
      <c r="AF25" t="s">
        <v>3158</v>
      </c>
      <c r="AG25" s="12">
        <v>1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603</v>
      </c>
      <c r="B26" s="9">
        <v>1921</v>
      </c>
      <c r="C26" s="7">
        <v>4</v>
      </c>
      <c r="D26" s="7" t="s">
        <v>604</v>
      </c>
      <c r="G26" t="s">
        <v>328</v>
      </c>
      <c r="H26" t="s">
        <v>2736</v>
      </c>
      <c r="I26">
        <v>19</v>
      </c>
      <c r="J26">
        <v>1</v>
      </c>
      <c r="N26" t="s">
        <v>58</v>
      </c>
      <c r="R26">
        <v>1</v>
      </c>
      <c r="T26">
        <v>25</v>
      </c>
      <c r="Y26" s="12"/>
      <c r="Z26" s="12"/>
      <c r="AA26" t="s">
        <v>20</v>
      </c>
      <c r="AB26" t="s">
        <v>20</v>
      </c>
      <c r="AD26" s="12"/>
      <c r="AE26" s="7"/>
      <c r="AF26" t="s">
        <v>329</v>
      </c>
      <c r="AG26" s="12">
        <v>1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603</v>
      </c>
      <c r="B27" s="9">
        <v>1921</v>
      </c>
      <c r="C27" s="7">
        <v>4</v>
      </c>
      <c r="D27" s="7" t="s">
        <v>604</v>
      </c>
      <c r="G27" t="s">
        <v>3165</v>
      </c>
      <c r="H27" t="s">
        <v>2343</v>
      </c>
      <c r="I27">
        <v>20</v>
      </c>
      <c r="J27">
        <v>1</v>
      </c>
      <c r="N27" t="s">
        <v>3166</v>
      </c>
      <c r="S27">
        <v>1</v>
      </c>
      <c r="T27">
        <v>41</v>
      </c>
      <c r="Y27" s="12"/>
      <c r="Z27" s="12"/>
      <c r="AA27" t="s">
        <v>1382</v>
      </c>
      <c r="AB27" t="s">
        <v>3168</v>
      </c>
      <c r="AC27">
        <v>1</v>
      </c>
      <c r="AD27" s="12"/>
      <c r="AE27" s="7"/>
      <c r="AF27" t="s">
        <v>3167</v>
      </c>
      <c r="AG27" s="12">
        <v>1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603</v>
      </c>
      <c r="B28" s="9">
        <v>1921</v>
      </c>
      <c r="C28" s="7">
        <v>4</v>
      </c>
      <c r="D28" s="7" t="s">
        <v>604</v>
      </c>
      <c r="G28" t="s">
        <v>3170</v>
      </c>
      <c r="H28" t="s">
        <v>3169</v>
      </c>
      <c r="I28">
        <v>21</v>
      </c>
      <c r="J28">
        <v>1</v>
      </c>
      <c r="N28" t="s">
        <v>33</v>
      </c>
      <c r="S28">
        <v>1</v>
      </c>
      <c r="T28">
        <v>37</v>
      </c>
      <c r="Y28" s="12"/>
      <c r="Z28" s="12"/>
      <c r="AA28" t="s">
        <v>33</v>
      </c>
      <c r="AB28" t="s">
        <v>3168</v>
      </c>
      <c r="AC28">
        <v>1</v>
      </c>
      <c r="AD28" s="12"/>
      <c r="AE28" s="7"/>
      <c r="AF28" t="s">
        <v>3171</v>
      </c>
      <c r="AG28" s="12">
        <v>1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603</v>
      </c>
      <c r="B29" s="9">
        <v>1921</v>
      </c>
      <c r="C29" s="7">
        <v>4</v>
      </c>
      <c r="D29" s="7" t="s">
        <v>604</v>
      </c>
      <c r="G29" t="s">
        <v>3173</v>
      </c>
      <c r="H29" t="s">
        <v>3172</v>
      </c>
      <c r="I29">
        <v>22</v>
      </c>
      <c r="J29">
        <v>1</v>
      </c>
      <c r="N29" t="s">
        <v>26</v>
      </c>
      <c r="S29">
        <v>1</v>
      </c>
      <c r="T29">
        <v>25</v>
      </c>
      <c r="Y29" s="12"/>
      <c r="Z29" s="12"/>
      <c r="AA29" t="s">
        <v>360</v>
      </c>
      <c r="AB29" t="s">
        <v>3168</v>
      </c>
      <c r="AC29">
        <v>1</v>
      </c>
      <c r="AD29" s="12"/>
      <c r="AE29" s="7"/>
      <c r="AF29" t="s">
        <v>3174</v>
      </c>
      <c r="AG29" s="12">
        <v>1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603</v>
      </c>
      <c r="B30" s="9">
        <v>1921</v>
      </c>
      <c r="C30" s="7">
        <v>4</v>
      </c>
      <c r="D30" s="7" t="s">
        <v>604</v>
      </c>
      <c r="G30" t="s">
        <v>139</v>
      </c>
      <c r="H30" t="s">
        <v>3175</v>
      </c>
      <c r="I30">
        <v>23</v>
      </c>
      <c r="J30">
        <v>1</v>
      </c>
      <c r="N30" t="s">
        <v>26</v>
      </c>
      <c r="S30">
        <v>1</v>
      </c>
      <c r="T30">
        <v>23</v>
      </c>
      <c r="Y30" s="12"/>
      <c r="Z30" s="12"/>
      <c r="AA30" t="s">
        <v>28</v>
      </c>
      <c r="AB30" t="s">
        <v>3168</v>
      </c>
      <c r="AC30">
        <v>1</v>
      </c>
      <c r="AD30" s="12"/>
      <c r="AE30" s="7"/>
      <c r="AF30" t="s">
        <v>1458</v>
      </c>
      <c r="AG30" s="12">
        <v>1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603</v>
      </c>
      <c r="B31" s="9">
        <v>1921</v>
      </c>
      <c r="C31" s="7">
        <v>4</v>
      </c>
      <c r="D31" s="7" t="s">
        <v>604</v>
      </c>
      <c r="G31" t="s">
        <v>3176</v>
      </c>
      <c r="H31" t="s">
        <v>1230</v>
      </c>
      <c r="I31">
        <v>24</v>
      </c>
      <c r="J31">
        <v>1</v>
      </c>
      <c r="N31" t="s">
        <v>26</v>
      </c>
      <c r="S31">
        <v>1</v>
      </c>
      <c r="T31">
        <v>15</v>
      </c>
      <c r="Y31" s="12"/>
      <c r="Z31" s="12"/>
      <c r="AA31" t="s">
        <v>708</v>
      </c>
      <c r="AB31" t="s">
        <v>3168</v>
      </c>
      <c r="AC31">
        <v>1</v>
      </c>
      <c r="AD31" s="12"/>
      <c r="AE31" s="7"/>
      <c r="AF31" t="s">
        <v>329</v>
      </c>
      <c r="AG31" s="12">
        <v>1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9" t="s">
        <v>603</v>
      </c>
      <c r="B32" s="9">
        <v>1921</v>
      </c>
      <c r="C32" s="7">
        <v>4</v>
      </c>
      <c r="D32" s="7" t="s">
        <v>604</v>
      </c>
      <c r="E32" s="7"/>
      <c r="F32" s="7"/>
      <c r="G32" s="7"/>
      <c r="H32" s="7">
        <v>10</v>
      </c>
      <c r="I32">
        <v>24</v>
      </c>
      <c r="J32" s="64">
        <f>SUM(J1:J31)</f>
        <v>17</v>
      </c>
      <c r="K32" s="64">
        <f t="shared" ref="K32:U32" si="0">SUM(K1:K31)</f>
        <v>7</v>
      </c>
      <c r="L32" s="64">
        <f t="shared" si="0"/>
        <v>0</v>
      </c>
      <c r="M32" s="64">
        <f t="shared" si="0"/>
        <v>0</v>
      </c>
      <c r="N32" s="64">
        <f t="shared" si="0"/>
        <v>4</v>
      </c>
      <c r="O32" s="64">
        <f t="shared" si="0"/>
        <v>4</v>
      </c>
      <c r="P32" s="64">
        <f t="shared" si="0"/>
        <v>3</v>
      </c>
      <c r="Q32" s="64">
        <f t="shared" si="0"/>
        <v>0</v>
      </c>
      <c r="R32" s="64">
        <f t="shared" si="0"/>
        <v>4</v>
      </c>
      <c r="S32" s="64">
        <f t="shared" si="0"/>
        <v>9</v>
      </c>
      <c r="T32" s="64">
        <f t="shared" si="0"/>
        <v>927</v>
      </c>
      <c r="U32" s="64">
        <f t="shared" si="0"/>
        <v>0</v>
      </c>
      <c r="V32" s="64">
        <f t="shared" ref="V32:AD32" si="1">SUM(V1:V31)</f>
        <v>0</v>
      </c>
      <c r="W32" s="64">
        <f t="shared" si="1"/>
        <v>0</v>
      </c>
      <c r="X32" s="64">
        <f t="shared" si="1"/>
        <v>0</v>
      </c>
      <c r="Y32" s="64">
        <f t="shared" si="1"/>
        <v>0</v>
      </c>
      <c r="Z32" s="64">
        <f t="shared" si="1"/>
        <v>0</v>
      </c>
      <c r="AA32" s="64">
        <f t="shared" si="1"/>
        <v>0</v>
      </c>
      <c r="AB32" s="64">
        <f t="shared" si="1"/>
        <v>0</v>
      </c>
      <c r="AC32" s="64">
        <f t="shared" si="1"/>
        <v>13</v>
      </c>
      <c r="AD32" s="64">
        <f t="shared" si="1"/>
        <v>1</v>
      </c>
      <c r="AE32" s="64">
        <f>AC32-AD32</f>
        <v>12</v>
      </c>
      <c r="AF32" s="64">
        <f>SUM(AF1:AF31)</f>
        <v>12</v>
      </c>
      <c r="AG32" s="64">
        <f>SUM(AG1:AG31)</f>
        <v>12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9"/>
      <c r="B33" s="9"/>
      <c r="C33" s="7"/>
      <c r="D33" s="7"/>
      <c r="E33" s="11"/>
      <c r="F33" s="12"/>
      <c r="G33" s="12"/>
      <c r="H33" s="12"/>
      <c r="J33" s="222">
        <f>SUM(J32:M32)</f>
        <v>24</v>
      </c>
      <c r="N33" s="293">
        <f>SUM(N32:S32)</f>
        <v>24</v>
      </c>
      <c r="P33" s="16"/>
      <c r="T33" s="160">
        <f>T32/N33</f>
        <v>38.625</v>
      </c>
      <c r="X33" s="12"/>
      <c r="Y33" s="12"/>
      <c r="Z33" s="12"/>
      <c r="AA33" s="12"/>
      <c r="AB33" s="14"/>
      <c r="AC33" s="12"/>
      <c r="AD33" s="12"/>
      <c r="AE33" s="7"/>
      <c r="AF33" s="7"/>
      <c r="AG33" s="12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9"/>
      <c r="B34" s="9"/>
      <c r="C34" s="7"/>
      <c r="D34" s="7"/>
      <c r="E34" s="11"/>
      <c r="F34" s="12"/>
      <c r="G34" s="12"/>
      <c r="H34" s="12"/>
      <c r="J34" s="15"/>
      <c r="N34" s="14"/>
      <c r="P34" s="16"/>
      <c r="T34" s="160"/>
      <c r="X34" s="12"/>
      <c r="Y34" s="12"/>
      <c r="Z34" s="12"/>
      <c r="AA34" s="12"/>
      <c r="AB34" s="14"/>
      <c r="AC34" s="12"/>
      <c r="AD34" s="12"/>
      <c r="AE34" s="7"/>
      <c r="AF34" s="7"/>
      <c r="AG34" s="12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9"/>
      <c r="B35" s="9"/>
      <c r="C35" s="7"/>
      <c r="D35" s="7"/>
      <c r="E35" s="11"/>
      <c r="F35" s="12"/>
      <c r="G35" s="12"/>
      <c r="H35" s="12"/>
      <c r="J35" s="15"/>
      <c r="N35" s="14"/>
      <c r="P35" s="16"/>
      <c r="T35" s="160"/>
      <c r="X35" s="12"/>
      <c r="Y35" s="12"/>
      <c r="Z35" s="12"/>
      <c r="AA35" s="12"/>
      <c r="AB35" s="14"/>
      <c r="AC35" s="12"/>
      <c r="AD35" s="12"/>
      <c r="AE35" s="7"/>
      <c r="AF35" s="7"/>
      <c r="AG35" s="12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9"/>
      <c r="B36" s="9"/>
      <c r="C36" s="7"/>
      <c r="D36" s="7"/>
      <c r="E36" s="11"/>
      <c r="F36" s="12"/>
      <c r="G36" s="12"/>
      <c r="H36" s="12"/>
      <c r="J36" s="15"/>
      <c r="N36" s="14"/>
      <c r="P36" s="16"/>
      <c r="T36" s="160"/>
      <c r="X36" s="12"/>
      <c r="Y36" s="12"/>
      <c r="Z36" s="12"/>
      <c r="AA36" s="12"/>
      <c r="AB36" s="14"/>
      <c r="AC36" s="12"/>
      <c r="AD36" s="12"/>
      <c r="AE36" s="7"/>
      <c r="AF36" s="7"/>
      <c r="AG36" s="12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9"/>
      <c r="B37" s="9"/>
      <c r="C37" s="7"/>
      <c r="D37" s="7"/>
      <c r="E37" s="11"/>
      <c r="F37" s="12"/>
      <c r="G37" s="12"/>
      <c r="H37" s="12"/>
      <c r="J37" s="15"/>
      <c r="N37" s="14"/>
      <c r="P37" s="16"/>
      <c r="T37" s="160"/>
      <c r="X37" s="12"/>
      <c r="Y37" s="12"/>
      <c r="Z37" s="12"/>
      <c r="AA37" s="12"/>
      <c r="AB37" s="14"/>
      <c r="AC37" s="12"/>
      <c r="AD37" s="12"/>
      <c r="AE37" s="7"/>
      <c r="AF37" s="7"/>
      <c r="AG37" s="12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28" customHeight="1" x14ac:dyDescent="0.2">
      <c r="A38" s="9"/>
      <c r="B38" s="9"/>
      <c r="C38" s="7"/>
      <c r="D38" s="7"/>
      <c r="E38" s="11"/>
      <c r="F38" s="12"/>
      <c r="G38" s="12"/>
      <c r="H38" s="12"/>
      <c r="J38" s="15"/>
      <c r="N38" s="14"/>
      <c r="P38" s="16"/>
      <c r="T38" s="12"/>
      <c r="X38" s="12"/>
      <c r="Y38" s="12"/>
      <c r="Z38" s="12"/>
      <c r="AA38" s="12"/>
      <c r="AB38" s="14"/>
      <c r="AC38" s="12"/>
      <c r="AD38" s="11"/>
      <c r="AE38" s="7"/>
      <c r="AF38" s="7"/>
      <c r="AG38" s="12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9"/>
      <c r="B39" s="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9"/>
      <c r="B40" s="9"/>
      <c r="C40" s="7"/>
      <c r="D40" s="7"/>
      <c r="E40" s="7"/>
      <c r="F40" s="7"/>
      <c r="G40" s="7"/>
      <c r="H40" s="7"/>
      <c r="I40" s="7"/>
      <c r="J40" s="7"/>
      <c r="K40" s="7"/>
      <c r="L40" s="7"/>
      <c r="M40" s="6"/>
      <c r="N40" s="6"/>
      <c r="O40" s="6"/>
      <c r="P40" s="6"/>
      <c r="Q40" s="7"/>
      <c r="R40" s="6"/>
      <c r="S40" s="6"/>
      <c r="T40" s="20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6"/>
      <c r="N41" s="6"/>
      <c r="O41" s="6"/>
      <c r="P41" s="6"/>
      <c r="Q41" s="6"/>
      <c r="R41" s="6"/>
      <c r="S41" s="6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6"/>
      <c r="O42" s="6"/>
      <c r="P42" s="6"/>
      <c r="Q42" s="6"/>
      <c r="R42" s="6"/>
      <c r="S42" s="6"/>
      <c r="T42" s="7"/>
      <c r="U42" s="6"/>
      <c r="V42" s="6"/>
      <c r="W42" s="6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9" customHeight="1" x14ac:dyDescent="0.2">
      <c r="A43" s="9"/>
      <c r="B43" s="9"/>
      <c r="C43" s="7"/>
      <c r="D43" s="7"/>
      <c r="E43" s="7"/>
      <c r="F43" s="5" t="s">
        <v>0</v>
      </c>
      <c r="G43" s="5" t="s">
        <v>1</v>
      </c>
      <c r="H43" s="5" t="s">
        <v>2</v>
      </c>
      <c r="I43" t="s">
        <v>3</v>
      </c>
      <c r="J43" s="10" t="s">
        <v>4</v>
      </c>
      <c r="K43" t="s">
        <v>5</v>
      </c>
      <c r="L43" t="s">
        <v>6</v>
      </c>
      <c r="M43" t="s">
        <v>7</v>
      </c>
      <c r="N43" s="5" t="s">
        <v>8</v>
      </c>
      <c r="O43" t="s">
        <v>2461</v>
      </c>
      <c r="P43" s="5"/>
      <c r="T43" s="5"/>
      <c r="X43" s="5"/>
      <c r="Y43" s="5"/>
      <c r="Z43" s="5"/>
      <c r="AA43" s="5"/>
      <c r="AB43" s="5"/>
      <c r="AC43" s="5"/>
      <c r="AD43" s="5"/>
      <c r="AE43" s="7"/>
      <c r="AF43" s="7"/>
      <c r="AG43" s="5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9"/>
      <c r="B44" s="9"/>
      <c r="C44" s="7"/>
      <c r="D44" s="7"/>
      <c r="E44" s="7"/>
      <c r="F44" s="7" t="s">
        <v>2453</v>
      </c>
      <c r="G44" s="7" t="s">
        <v>31</v>
      </c>
      <c r="H44" s="7" t="s">
        <v>12</v>
      </c>
      <c r="I44" t="s">
        <v>13</v>
      </c>
      <c r="J44" s="7">
        <v>1886</v>
      </c>
      <c r="K44">
        <v>35</v>
      </c>
      <c r="L44" t="s">
        <v>14</v>
      </c>
      <c r="M44" t="s">
        <v>2454</v>
      </c>
      <c r="N44" s="7" t="s">
        <v>8</v>
      </c>
      <c r="P44" s="7"/>
      <c r="T44" s="6"/>
      <c r="X44" s="7"/>
      <c r="Y44" s="7"/>
      <c r="Z44" s="7"/>
      <c r="AA44" s="6"/>
      <c r="AB44" s="6"/>
      <c r="AC44" s="7"/>
      <c r="AD44" s="7"/>
      <c r="AE44" s="7"/>
      <c r="AF44" s="7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9"/>
      <c r="B45" s="9"/>
      <c r="C45" s="7"/>
      <c r="D45" s="7"/>
      <c r="E45" s="7"/>
      <c r="F45" s="7" t="s">
        <v>2455</v>
      </c>
      <c r="G45" s="7" t="s">
        <v>31</v>
      </c>
      <c r="H45" s="7" t="s">
        <v>18</v>
      </c>
      <c r="I45" t="s">
        <v>19</v>
      </c>
      <c r="J45" s="7">
        <v>1890</v>
      </c>
      <c r="K45">
        <v>30</v>
      </c>
      <c r="L45" t="s">
        <v>14</v>
      </c>
      <c r="M45" t="s">
        <v>489</v>
      </c>
      <c r="N45" s="7" t="s">
        <v>20</v>
      </c>
      <c r="P45" s="7"/>
      <c r="T45" s="6"/>
      <c r="X45" s="7"/>
      <c r="Y45" s="7"/>
      <c r="Z45" s="7"/>
      <c r="AA45" s="6"/>
      <c r="AB45" s="6"/>
      <c r="AC45" s="7"/>
      <c r="AD45" s="7"/>
      <c r="AE45" s="7"/>
      <c r="AF45" s="7"/>
      <c r="AG45" s="6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9"/>
      <c r="B46" s="9"/>
      <c r="C46" s="7"/>
      <c r="D46" s="7"/>
      <c r="E46" s="7"/>
      <c r="F46" s="7" t="s">
        <v>2456</v>
      </c>
      <c r="G46" s="7" t="s">
        <v>2457</v>
      </c>
      <c r="H46" s="7" t="s">
        <v>26</v>
      </c>
      <c r="I46" t="s">
        <v>19</v>
      </c>
      <c r="J46" s="7">
        <v>1892</v>
      </c>
      <c r="K46">
        <v>29</v>
      </c>
      <c r="L46" t="s">
        <v>2458</v>
      </c>
      <c r="M46" t="s">
        <v>33</v>
      </c>
      <c r="N46" s="7" t="s">
        <v>29</v>
      </c>
      <c r="P46" s="7"/>
      <c r="T46" s="6"/>
      <c r="X46" s="7"/>
      <c r="Y46" s="7"/>
      <c r="Z46" s="7"/>
      <c r="AA46" s="6"/>
      <c r="AB46" s="6"/>
      <c r="AC46" s="7"/>
      <c r="AD46" s="7"/>
      <c r="AE46" s="7"/>
      <c r="AF46" s="7"/>
      <c r="AG46" s="6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9"/>
      <c r="B47" s="9"/>
      <c r="C47" s="7"/>
      <c r="D47" s="7"/>
      <c r="E47" s="7"/>
      <c r="F47" s="7" t="s">
        <v>2459</v>
      </c>
      <c r="G47" s="7" t="s">
        <v>374</v>
      </c>
      <c r="H47" s="7" t="s">
        <v>26</v>
      </c>
      <c r="I47" t="s">
        <v>19</v>
      </c>
      <c r="J47" s="7">
        <v>1900</v>
      </c>
      <c r="K47">
        <v>20</v>
      </c>
      <c r="L47" t="s">
        <v>2460</v>
      </c>
      <c r="M47" t="s">
        <v>56</v>
      </c>
      <c r="N47" s="7" t="s">
        <v>29</v>
      </c>
      <c r="P47" s="7"/>
      <c r="T47" s="6"/>
      <c r="X47" s="7"/>
      <c r="Y47" s="7"/>
      <c r="Z47" s="7"/>
      <c r="AA47" s="6"/>
      <c r="AB47" s="6"/>
      <c r="AC47" s="7"/>
      <c r="AD47" s="7"/>
      <c r="AE47" s="7"/>
      <c r="AF47" s="7"/>
      <c r="AG47" s="6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9"/>
      <c r="B48" s="9"/>
      <c r="C48" s="7"/>
      <c r="D48" s="7"/>
      <c r="E48" s="7"/>
      <c r="F48" s="7"/>
      <c r="G48" s="7"/>
      <c r="H48" s="7"/>
      <c r="J48" s="7"/>
      <c r="N48" s="7"/>
      <c r="P48" s="7"/>
      <c r="T48" s="6"/>
      <c r="X48" s="7"/>
      <c r="Y48" s="7"/>
      <c r="Z48" s="7"/>
      <c r="AA48" s="6"/>
      <c r="AB48" s="6"/>
      <c r="AC48" s="7"/>
      <c r="AD48" s="7"/>
      <c r="AE48" s="7"/>
      <c r="AF48" s="7"/>
      <c r="AG48" s="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9"/>
      <c r="B49" s="9"/>
      <c r="C49" s="7"/>
      <c r="D49" s="7"/>
      <c r="E49" s="7"/>
      <c r="F49" s="7" t="s">
        <v>0</v>
      </c>
      <c r="G49" s="7" t="s">
        <v>1</v>
      </c>
      <c r="H49" s="7" t="s">
        <v>2</v>
      </c>
      <c r="I49" t="s">
        <v>3</v>
      </c>
      <c r="J49" s="7" t="s">
        <v>4</v>
      </c>
      <c r="K49" t="s">
        <v>5</v>
      </c>
      <c r="L49" t="s">
        <v>6</v>
      </c>
      <c r="M49" t="s">
        <v>7</v>
      </c>
      <c r="N49" s="7" t="s">
        <v>8</v>
      </c>
      <c r="P49" s="7"/>
      <c r="T49" s="6"/>
      <c r="X49" s="7"/>
      <c r="Y49" s="7"/>
      <c r="Z49" s="7"/>
      <c r="AA49" s="6"/>
      <c r="AB49" s="6"/>
      <c r="AC49" s="7"/>
      <c r="AD49" s="7"/>
      <c r="AE49" s="7"/>
      <c r="AF49" s="7"/>
      <c r="AG49" s="6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9"/>
      <c r="B50" s="9"/>
      <c r="C50" s="7"/>
      <c r="D50" s="7"/>
      <c r="E50" s="7"/>
      <c r="F50" s="7" t="s">
        <v>2462</v>
      </c>
      <c r="G50" s="7" t="s">
        <v>1104</v>
      </c>
      <c r="H50" s="7" t="s">
        <v>12</v>
      </c>
      <c r="I50" t="s">
        <v>13</v>
      </c>
      <c r="J50" s="7">
        <v>1858</v>
      </c>
      <c r="K50">
        <v>63</v>
      </c>
      <c r="L50" t="s">
        <v>14</v>
      </c>
      <c r="M50" t="s">
        <v>2463</v>
      </c>
      <c r="N50" s="7" t="s">
        <v>20</v>
      </c>
      <c r="P50" s="7"/>
      <c r="T50" s="6"/>
      <c r="X50" s="7"/>
      <c r="Y50" s="7"/>
      <c r="Z50" s="7"/>
      <c r="AA50" s="6"/>
      <c r="AB50" s="6"/>
      <c r="AC50" s="7"/>
      <c r="AD50" s="7"/>
      <c r="AE50" s="7"/>
      <c r="AF50" s="7"/>
      <c r="AG50" s="6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9"/>
      <c r="B51" s="9"/>
      <c r="C51" s="7"/>
      <c r="D51" s="7"/>
      <c r="E51" s="7"/>
      <c r="F51" s="7" t="s">
        <v>2464</v>
      </c>
      <c r="G51" s="7" t="s">
        <v>1104</v>
      </c>
      <c r="H51" s="7" t="s">
        <v>18</v>
      </c>
      <c r="I51" t="s">
        <v>19</v>
      </c>
      <c r="J51" s="7">
        <v>1858</v>
      </c>
      <c r="K51">
        <v>63</v>
      </c>
      <c r="L51" t="s">
        <v>72</v>
      </c>
      <c r="M51" t="s">
        <v>20</v>
      </c>
      <c r="N51" s="7" t="s">
        <v>20</v>
      </c>
      <c r="P51" s="7"/>
      <c r="T51" s="6"/>
      <c r="X51" s="7"/>
      <c r="Y51" s="7"/>
      <c r="Z51" s="7"/>
      <c r="AA51" s="6"/>
      <c r="AB51" s="6"/>
      <c r="AC51" s="7"/>
      <c r="AD51" s="7"/>
      <c r="AE51" s="7"/>
      <c r="AF51" s="7"/>
      <c r="AG51" s="6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" customHeight="1" x14ac:dyDescent="0.2">
      <c r="A52" s="9"/>
      <c r="B52" s="9"/>
      <c r="C52" s="7"/>
      <c r="D52" s="7"/>
      <c r="E52" s="7"/>
      <c r="F52" s="7" t="s">
        <v>756</v>
      </c>
      <c r="G52" s="7" t="s">
        <v>2465</v>
      </c>
      <c r="H52" s="7" t="s">
        <v>33</v>
      </c>
      <c r="I52" t="s">
        <v>19</v>
      </c>
      <c r="J52" s="7">
        <v>1875</v>
      </c>
      <c r="K52">
        <v>46</v>
      </c>
      <c r="L52" t="s">
        <v>14</v>
      </c>
      <c r="M52" t="s">
        <v>33</v>
      </c>
      <c r="N52" s="7" t="s">
        <v>29</v>
      </c>
      <c r="P52" s="7"/>
      <c r="T52" s="7"/>
      <c r="X52" s="7">
        <f>SUM(X43:X51)</f>
        <v>0</v>
      </c>
      <c r="Y52" s="7">
        <f>SUM(Y43:Y51)</f>
        <v>0</v>
      </c>
      <c r="Z52" s="7">
        <f>SUM(Z43:Z51)</f>
        <v>0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9"/>
      <c r="B53" s="9"/>
      <c r="C53" s="7"/>
      <c r="D53" s="7"/>
      <c r="E53" s="7"/>
      <c r="F53" s="7" t="s">
        <v>1100</v>
      </c>
      <c r="G53" s="7" t="s">
        <v>2466</v>
      </c>
      <c r="H53" s="7" t="s">
        <v>28</v>
      </c>
      <c r="I53" t="s">
        <v>19</v>
      </c>
      <c r="J53" s="7">
        <v>1901</v>
      </c>
      <c r="K53">
        <v>20</v>
      </c>
      <c r="L53" t="s">
        <v>14</v>
      </c>
      <c r="M53" t="s">
        <v>28</v>
      </c>
      <c r="N53" s="7" t="s">
        <v>29</v>
      </c>
      <c r="P53" s="7"/>
      <c r="T53" s="6"/>
      <c r="X53" s="7"/>
      <c r="Y53" s="7"/>
      <c r="Z53" s="7"/>
      <c r="AA53" s="6"/>
      <c r="AB53" s="6"/>
      <c r="AC53" s="7"/>
      <c r="AD53" s="7"/>
      <c r="AE53" s="7"/>
      <c r="AF53" s="7"/>
      <c r="AG53" s="6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6"/>
      <c r="N54" s="6"/>
      <c r="O54" s="6"/>
      <c r="P54" s="6"/>
      <c r="Q54" s="7"/>
      <c r="R54" s="6"/>
      <c r="S54" s="6"/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" customHeight="1" x14ac:dyDescent="0.2">
      <c r="A55" s="4"/>
      <c r="B55" s="7"/>
      <c r="C55" s="7"/>
      <c r="D55" s="7"/>
      <c r="E55" s="7"/>
      <c r="F55" s="12" t="s">
        <v>0</v>
      </c>
      <c r="G55" s="12" t="s">
        <v>1</v>
      </c>
      <c r="H55" s="12" t="s">
        <v>2</v>
      </c>
      <c r="I55" s="12" t="s">
        <v>3</v>
      </c>
      <c r="J55" s="12" t="s">
        <v>4</v>
      </c>
      <c r="K55" s="13" t="s">
        <v>5</v>
      </c>
      <c r="L55" s="12" t="s">
        <v>6</v>
      </c>
      <c r="M55" s="12" t="s">
        <v>7</v>
      </c>
      <c r="N55" s="12" t="s">
        <v>8</v>
      </c>
      <c r="O55" s="12"/>
      <c r="P55" s="12"/>
      <c r="Q55" s="7"/>
      <c r="R55" s="7"/>
      <c r="S55" s="7"/>
      <c r="T55" s="7"/>
      <c r="U55" s="7">
        <f>SUM(U3:U54)</f>
        <v>0</v>
      </c>
      <c r="V55" s="7">
        <f>SUM(V3:V54)</f>
        <v>0</v>
      </c>
      <c r="W55" s="7">
        <f>SUM(W3:W54)</f>
        <v>0</v>
      </c>
      <c r="X55" s="7"/>
      <c r="Y55" s="7"/>
      <c r="Z55" s="7">
        <f>SUM(Z3:Z54)</f>
        <v>0</v>
      </c>
      <c r="AA55" s="7">
        <f>SUM(AA3:AA54)</f>
        <v>0</v>
      </c>
      <c r="AB55" s="7">
        <f>SUM(AB3:AB54)</f>
        <v>0</v>
      </c>
      <c r="AC55" s="7">
        <f>SUM(AC3:AC54)</f>
        <v>26</v>
      </c>
      <c r="AD55" s="7">
        <f>SUM(AD3:AD54)</f>
        <v>2</v>
      </c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" customHeight="1" x14ac:dyDescent="0.2">
      <c r="A56" s="7"/>
      <c r="B56" s="7"/>
      <c r="C56" s="7"/>
      <c r="D56" s="7"/>
      <c r="E56" s="7"/>
      <c r="F56" s="12" t="s">
        <v>3145</v>
      </c>
      <c r="G56" s="12" t="s">
        <v>3146</v>
      </c>
      <c r="H56" s="12" t="s">
        <v>12</v>
      </c>
      <c r="I56" s="12" t="s">
        <v>13</v>
      </c>
      <c r="J56" s="14">
        <v>1845</v>
      </c>
      <c r="K56" s="15">
        <v>75</v>
      </c>
      <c r="L56" s="16" t="s">
        <v>2015</v>
      </c>
      <c r="M56" s="12" t="s">
        <v>3147</v>
      </c>
      <c r="N56" s="12" t="s">
        <v>20</v>
      </c>
      <c r="O56" s="12"/>
      <c r="P56" s="14"/>
      <c r="Q56" s="20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" customHeight="1" x14ac:dyDescent="0.2">
      <c r="A57" s="7"/>
      <c r="B57" s="7"/>
      <c r="C57" s="7"/>
      <c r="D57" s="7"/>
      <c r="E57" s="7"/>
      <c r="F57" s="7" t="s">
        <v>1318</v>
      </c>
      <c r="G57" s="21" t="s">
        <v>3146</v>
      </c>
      <c r="H57" s="21" t="s">
        <v>18</v>
      </c>
      <c r="I57" s="21" t="s">
        <v>19</v>
      </c>
      <c r="J57" s="7">
        <v>1848</v>
      </c>
      <c r="K57" s="7">
        <v>72</v>
      </c>
      <c r="L57" s="7" t="s">
        <v>14</v>
      </c>
      <c r="M57" s="7" t="s">
        <v>50</v>
      </c>
      <c r="N57" s="7" t="s">
        <v>20</v>
      </c>
      <c r="O57" s="7"/>
      <c r="P57" s="7"/>
      <c r="Q57" s="20"/>
      <c r="R57" s="21"/>
      <c r="S57" s="21"/>
      <c r="T57" s="2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 t="s">
        <v>3148</v>
      </c>
      <c r="G58" s="7" t="s">
        <v>3146</v>
      </c>
      <c r="H58" s="7" t="s">
        <v>22</v>
      </c>
      <c r="I58" s="7" t="s">
        <v>19</v>
      </c>
      <c r="J58" s="7">
        <v>1875</v>
      </c>
      <c r="K58" s="7">
        <v>46</v>
      </c>
      <c r="L58" s="7" t="s">
        <v>1346</v>
      </c>
      <c r="M58" s="7" t="s">
        <v>50</v>
      </c>
      <c r="N58" s="7" t="s">
        <v>20</v>
      </c>
      <c r="O58" s="7"/>
      <c r="P58" s="7"/>
      <c r="Q58" s="7"/>
      <c r="R58" s="6"/>
      <c r="S58" s="6"/>
      <c r="T58" s="19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" customHeight="1" x14ac:dyDescent="0.2">
      <c r="A59" s="7"/>
      <c r="B59" s="7"/>
      <c r="C59" s="7"/>
      <c r="D59" s="7"/>
      <c r="E59" s="7"/>
      <c r="F59" s="7" t="s">
        <v>3149</v>
      </c>
      <c r="G59" s="7" t="s">
        <v>3146</v>
      </c>
      <c r="H59" s="7" t="s">
        <v>22</v>
      </c>
      <c r="I59" s="7" t="s">
        <v>19</v>
      </c>
      <c r="J59" s="7">
        <v>1881</v>
      </c>
      <c r="K59" s="7">
        <v>40</v>
      </c>
      <c r="L59" s="7" t="s">
        <v>1346</v>
      </c>
      <c r="M59" s="7" t="s">
        <v>50</v>
      </c>
      <c r="N59" s="7" t="s">
        <v>20</v>
      </c>
      <c r="O59" s="7"/>
      <c r="P59" s="7"/>
      <c r="Q59" s="7"/>
      <c r="R59" s="21"/>
      <c r="S59" s="21"/>
      <c r="T59" s="21"/>
      <c r="U59" s="7"/>
      <c r="V59" s="7"/>
      <c r="W59" s="7"/>
      <c r="X59" s="7"/>
      <c r="Y59" s="7"/>
      <c r="Z59" s="7"/>
      <c r="AA59" s="7"/>
      <c r="AB59" s="7"/>
      <c r="AC59" s="22"/>
      <c r="AD59" s="22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 t="s">
        <v>3150</v>
      </c>
      <c r="G60" s="7" t="s">
        <v>3146</v>
      </c>
      <c r="H60" s="7" t="s">
        <v>58</v>
      </c>
      <c r="I60" s="7" t="s">
        <v>19</v>
      </c>
      <c r="J60" s="7">
        <v>1883</v>
      </c>
      <c r="K60" s="7">
        <v>38</v>
      </c>
      <c r="L60" s="7" t="s">
        <v>1346</v>
      </c>
      <c r="M60" s="7" t="s">
        <v>3151</v>
      </c>
      <c r="N60" s="7" t="s">
        <v>3152</v>
      </c>
      <c r="O60" s="7"/>
      <c r="P60" s="7"/>
      <c r="Q60" s="7"/>
      <c r="R60" s="6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">
      <c r="F61" t="s">
        <v>3153</v>
      </c>
      <c r="G61" t="s">
        <v>3146</v>
      </c>
      <c r="H61" t="s">
        <v>3154</v>
      </c>
      <c r="I61" t="s">
        <v>13</v>
      </c>
      <c r="J61">
        <v>1909</v>
      </c>
      <c r="K61">
        <v>11</v>
      </c>
      <c r="L61" t="s">
        <v>3155</v>
      </c>
      <c r="M61" t="s">
        <v>20</v>
      </c>
      <c r="N61" t="s">
        <v>20</v>
      </c>
    </row>
    <row r="63" spans="1:51" x14ac:dyDescent="0.2">
      <c r="F63" t="s">
        <v>0</v>
      </c>
      <c r="G63" t="s">
        <v>1</v>
      </c>
      <c r="H63" t="s">
        <v>2</v>
      </c>
      <c r="I63" t="s">
        <v>3</v>
      </c>
      <c r="J63" t="s">
        <v>4</v>
      </c>
      <c r="K63" t="s">
        <v>5</v>
      </c>
      <c r="L63" t="s">
        <v>6</v>
      </c>
      <c r="M63" t="s">
        <v>7</v>
      </c>
      <c r="N63" t="s">
        <v>8</v>
      </c>
    </row>
    <row r="64" spans="1:51" x14ac:dyDescent="0.2">
      <c r="D64" t="s">
        <v>3177</v>
      </c>
      <c r="F64" t="s">
        <v>3156</v>
      </c>
      <c r="G64" t="s">
        <v>3157</v>
      </c>
      <c r="H64" t="s">
        <v>12</v>
      </c>
      <c r="I64" t="s">
        <v>13</v>
      </c>
      <c r="J64">
        <v>1860</v>
      </c>
      <c r="K64">
        <v>60</v>
      </c>
      <c r="L64" t="s">
        <v>3158</v>
      </c>
      <c r="M64" t="s">
        <v>1277</v>
      </c>
      <c r="N64" t="s">
        <v>3159</v>
      </c>
    </row>
    <row r="65" spans="6:14" x14ac:dyDescent="0.2">
      <c r="F65" t="s">
        <v>3160</v>
      </c>
      <c r="G65" t="s">
        <v>3157</v>
      </c>
      <c r="H65" t="s">
        <v>18</v>
      </c>
      <c r="I65" t="s">
        <v>19</v>
      </c>
      <c r="J65">
        <v>1873</v>
      </c>
      <c r="K65">
        <v>48</v>
      </c>
      <c r="L65" t="s">
        <v>329</v>
      </c>
      <c r="M65" t="s">
        <v>20</v>
      </c>
      <c r="N65" t="s">
        <v>20</v>
      </c>
    </row>
    <row r="66" spans="6:14" x14ac:dyDescent="0.2">
      <c r="F66" t="s">
        <v>3161</v>
      </c>
      <c r="G66" t="s">
        <v>3157</v>
      </c>
      <c r="H66" t="s">
        <v>22</v>
      </c>
      <c r="I66" t="s">
        <v>19</v>
      </c>
      <c r="J66">
        <v>1910</v>
      </c>
      <c r="K66">
        <v>11</v>
      </c>
      <c r="L66" t="s">
        <v>49</v>
      </c>
      <c r="M66" t="s">
        <v>20</v>
      </c>
      <c r="N66" t="s">
        <v>20</v>
      </c>
    </row>
    <row r="67" spans="6:14" x14ac:dyDescent="0.2">
      <c r="F67" t="s">
        <v>3162</v>
      </c>
      <c r="G67" t="s">
        <v>328</v>
      </c>
      <c r="H67" t="s">
        <v>58</v>
      </c>
      <c r="I67" t="s">
        <v>13</v>
      </c>
      <c r="J67">
        <v>1867</v>
      </c>
      <c r="K67">
        <v>54</v>
      </c>
      <c r="L67" t="s">
        <v>3158</v>
      </c>
      <c r="M67" t="s">
        <v>3163</v>
      </c>
      <c r="N67" t="s">
        <v>3164</v>
      </c>
    </row>
    <row r="68" spans="6:14" x14ac:dyDescent="0.2">
      <c r="F68" t="s">
        <v>2736</v>
      </c>
      <c r="G68" t="s">
        <v>328</v>
      </c>
      <c r="H68" t="s">
        <v>58</v>
      </c>
      <c r="I68" t="s">
        <v>19</v>
      </c>
      <c r="J68">
        <v>1895</v>
      </c>
      <c r="K68">
        <v>25</v>
      </c>
      <c r="L68" t="s">
        <v>329</v>
      </c>
      <c r="M68" t="s">
        <v>20</v>
      </c>
      <c r="N68" t="s">
        <v>20</v>
      </c>
    </row>
    <row r="69" spans="6:14" x14ac:dyDescent="0.2">
      <c r="F69" t="s">
        <v>2343</v>
      </c>
      <c r="G69" t="s">
        <v>3165</v>
      </c>
      <c r="H69" t="s">
        <v>3166</v>
      </c>
      <c r="I69" t="s">
        <v>19</v>
      </c>
      <c r="J69">
        <v>1880</v>
      </c>
      <c r="K69">
        <v>41</v>
      </c>
      <c r="L69" t="s">
        <v>3167</v>
      </c>
      <c r="M69" t="s">
        <v>1382</v>
      </c>
      <c r="N69" t="s">
        <v>3168</v>
      </c>
    </row>
    <row r="70" spans="6:14" x14ac:dyDescent="0.2">
      <c r="F70" t="s">
        <v>3169</v>
      </c>
      <c r="G70" t="s">
        <v>3170</v>
      </c>
      <c r="H70" t="s">
        <v>33</v>
      </c>
      <c r="I70" t="s">
        <v>19</v>
      </c>
      <c r="J70">
        <v>1884</v>
      </c>
      <c r="K70">
        <v>37</v>
      </c>
      <c r="L70" t="s">
        <v>3171</v>
      </c>
      <c r="M70" t="s">
        <v>33</v>
      </c>
      <c r="N70" t="s">
        <v>3168</v>
      </c>
    </row>
    <row r="71" spans="6:14" x14ac:dyDescent="0.2">
      <c r="F71" t="s">
        <v>3172</v>
      </c>
      <c r="G71" t="s">
        <v>3173</v>
      </c>
      <c r="H71" t="s">
        <v>26</v>
      </c>
      <c r="I71" t="s">
        <v>19</v>
      </c>
      <c r="J71">
        <v>1896</v>
      </c>
      <c r="K71">
        <v>25</v>
      </c>
      <c r="L71" t="s">
        <v>3174</v>
      </c>
      <c r="M71" t="s">
        <v>360</v>
      </c>
      <c r="N71" t="s">
        <v>3168</v>
      </c>
    </row>
    <row r="72" spans="6:14" x14ac:dyDescent="0.2">
      <c r="F72" t="s">
        <v>3175</v>
      </c>
      <c r="G72" t="s">
        <v>139</v>
      </c>
      <c r="H72" t="s">
        <v>26</v>
      </c>
      <c r="I72" t="s">
        <v>19</v>
      </c>
      <c r="J72">
        <v>1897</v>
      </c>
      <c r="K72">
        <v>23</v>
      </c>
      <c r="L72" t="s">
        <v>1458</v>
      </c>
      <c r="M72" t="s">
        <v>28</v>
      </c>
      <c r="N72" t="s">
        <v>3168</v>
      </c>
    </row>
    <row r="73" spans="6:14" x14ac:dyDescent="0.2">
      <c r="F73" t="s">
        <v>1230</v>
      </c>
      <c r="G73" t="s">
        <v>3176</v>
      </c>
      <c r="H73" t="s">
        <v>26</v>
      </c>
      <c r="I73" t="s">
        <v>19</v>
      </c>
      <c r="J73">
        <v>1905</v>
      </c>
      <c r="K73">
        <v>15</v>
      </c>
      <c r="L73" t="s">
        <v>329</v>
      </c>
      <c r="M73" t="s">
        <v>708</v>
      </c>
      <c r="N73" t="s">
        <v>3168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807F-9C70-2141-9735-54855F7B1DDB}">
  <dimension ref="A1:BC50"/>
  <sheetViews>
    <sheetView topLeftCell="A32" workbookViewId="0">
      <selection activeCell="G55" sqref="G55"/>
    </sheetView>
  </sheetViews>
  <sheetFormatPr baseColWidth="10" defaultColWidth="10.83203125" defaultRowHeight="16" x14ac:dyDescent="0.2"/>
  <cols>
    <col min="4" max="4" width="12.6640625" customWidth="1"/>
    <col min="5" max="5" width="25.1640625" customWidth="1"/>
    <col min="6" max="6" width="9.83203125" customWidth="1"/>
    <col min="8" max="8" width="21.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0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12.83203125" customWidth="1"/>
    <col min="25" max="25" width="19.83203125" customWidth="1"/>
    <col min="26" max="26" width="12.1640625" customWidth="1"/>
    <col min="27" max="27" width="25" customWidth="1"/>
    <col min="28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s="55" customFormat="1" ht="19" customHeight="1" x14ac:dyDescent="0.2">
      <c r="A3" s="226" t="s">
        <v>605</v>
      </c>
      <c r="B3" s="226">
        <v>1921</v>
      </c>
      <c r="C3" s="227">
        <v>1</v>
      </c>
      <c r="D3" s="227" t="s">
        <v>2522</v>
      </c>
      <c r="E3" s="227" t="s">
        <v>2474</v>
      </c>
      <c r="F3" s="228"/>
      <c r="G3" s="228" t="s">
        <v>2467</v>
      </c>
      <c r="H3" s="227" t="s">
        <v>203</v>
      </c>
      <c r="I3" s="227">
        <v>1</v>
      </c>
      <c r="J3" s="227">
        <v>1</v>
      </c>
      <c r="N3" s="227">
        <v>1</v>
      </c>
      <c r="P3" s="227"/>
      <c r="T3" s="227">
        <v>53</v>
      </c>
      <c r="X3" s="228"/>
      <c r="Y3" s="228"/>
      <c r="Z3" s="228"/>
      <c r="AA3" s="227" t="s">
        <v>50</v>
      </c>
      <c r="AB3" s="229" t="s">
        <v>20</v>
      </c>
      <c r="AC3" s="228"/>
      <c r="AD3" s="228"/>
      <c r="AE3" s="227"/>
      <c r="AF3" s="227" t="s">
        <v>65</v>
      </c>
      <c r="AG3" s="228"/>
      <c r="AH3" s="227"/>
      <c r="AI3" s="227" t="s">
        <v>2468</v>
      </c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</row>
    <row r="4" spans="1:55" ht="17.5" customHeight="1" x14ac:dyDescent="0.2">
      <c r="A4" s="9" t="s">
        <v>605</v>
      </c>
      <c r="B4" s="9">
        <v>1921</v>
      </c>
      <c r="C4" s="7">
        <v>1</v>
      </c>
      <c r="D4" s="7" t="s">
        <v>2522</v>
      </c>
      <c r="E4" s="7" t="s">
        <v>2474</v>
      </c>
      <c r="F4" s="7"/>
      <c r="G4" s="5" t="s">
        <v>2467</v>
      </c>
      <c r="H4" s="7" t="s">
        <v>676</v>
      </c>
      <c r="I4" s="5">
        <v>2</v>
      </c>
      <c r="J4" s="5" t="s">
        <v>13</v>
      </c>
      <c r="K4">
        <v>1</v>
      </c>
      <c r="N4" s="5" t="s">
        <v>51</v>
      </c>
      <c r="P4" s="5"/>
      <c r="Q4">
        <v>1</v>
      </c>
      <c r="T4" s="5">
        <v>30</v>
      </c>
      <c r="X4" s="7"/>
      <c r="Y4" s="7"/>
      <c r="Z4" s="7"/>
      <c r="AA4" s="5" t="s">
        <v>2469</v>
      </c>
      <c r="AB4" s="5" t="s">
        <v>2470</v>
      </c>
      <c r="AC4" s="7">
        <v>1</v>
      </c>
      <c r="AD4" s="7"/>
      <c r="AE4" s="7"/>
      <c r="AF4" s="10">
        <v>1</v>
      </c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605</v>
      </c>
      <c r="B5" s="9">
        <v>1921</v>
      </c>
      <c r="C5" s="7">
        <v>1</v>
      </c>
      <c r="D5" s="7" t="s">
        <v>2522</v>
      </c>
      <c r="E5" s="7" t="s">
        <v>2474</v>
      </c>
      <c r="F5" s="7"/>
      <c r="G5" s="5" t="s">
        <v>2467</v>
      </c>
      <c r="H5" s="7" t="s">
        <v>422</v>
      </c>
      <c r="I5" s="7">
        <v>3</v>
      </c>
      <c r="J5" s="7">
        <v>1</v>
      </c>
      <c r="N5" s="7" t="s">
        <v>22</v>
      </c>
      <c r="P5" s="7">
        <v>1</v>
      </c>
      <c r="T5" s="7">
        <v>24</v>
      </c>
      <c r="X5" s="7"/>
      <c r="Y5" s="7"/>
      <c r="Z5" s="7"/>
      <c r="AA5" s="7" t="s">
        <v>20</v>
      </c>
      <c r="AB5" s="6" t="s">
        <v>20</v>
      </c>
      <c r="AC5" s="7"/>
      <c r="AD5" s="7"/>
      <c r="AE5" s="7"/>
      <c r="AF5" s="7">
        <v>1</v>
      </c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605</v>
      </c>
      <c r="B6" s="9">
        <v>1921</v>
      </c>
      <c r="C6" s="7">
        <v>1</v>
      </c>
      <c r="D6" s="7" t="s">
        <v>2522</v>
      </c>
      <c r="E6" s="7" t="s">
        <v>2474</v>
      </c>
      <c r="F6" s="7"/>
      <c r="G6" s="5" t="s">
        <v>2467</v>
      </c>
      <c r="H6" s="7" t="s">
        <v>2472</v>
      </c>
      <c r="I6" s="7">
        <v>4</v>
      </c>
      <c r="J6" s="7" t="s">
        <v>13</v>
      </c>
      <c r="K6">
        <v>1</v>
      </c>
      <c r="N6" s="7" t="s">
        <v>51</v>
      </c>
      <c r="P6" s="7"/>
      <c r="Q6">
        <v>1</v>
      </c>
      <c r="T6" s="7">
        <v>14</v>
      </c>
      <c r="X6" s="7"/>
      <c r="Y6" s="7"/>
      <c r="Z6" s="7"/>
      <c r="AA6" s="7" t="s">
        <v>2473</v>
      </c>
      <c r="AB6" s="6" t="s">
        <v>20</v>
      </c>
      <c r="AC6" s="7"/>
      <c r="AD6" s="7"/>
      <c r="AE6" s="7"/>
      <c r="AF6" s="7">
        <v>1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605</v>
      </c>
      <c r="B7" s="9">
        <v>1921</v>
      </c>
      <c r="C7" s="7"/>
      <c r="D7" s="7" t="s">
        <v>2522</v>
      </c>
      <c r="E7" s="7"/>
      <c r="F7" s="7"/>
      <c r="G7" s="7"/>
      <c r="H7" s="7">
        <v>4</v>
      </c>
      <c r="N7" s="7"/>
      <c r="X7" s="7"/>
      <c r="Y7" s="7"/>
      <c r="Z7" s="7"/>
      <c r="AB7" s="7"/>
      <c r="AC7" s="7"/>
      <c r="AD7" s="7"/>
      <c r="AE7" s="7"/>
      <c r="AF7" s="7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605</v>
      </c>
      <c r="B8" s="9">
        <v>1921</v>
      </c>
      <c r="C8" s="7"/>
      <c r="D8" s="7" t="s">
        <v>2522</v>
      </c>
      <c r="E8" s="7"/>
      <c r="F8" s="7"/>
      <c r="G8" s="7"/>
      <c r="H8" s="7" t="s">
        <v>0</v>
      </c>
      <c r="I8" t="s">
        <v>1</v>
      </c>
      <c r="J8" t="s">
        <v>3</v>
      </c>
      <c r="N8" s="7" t="s">
        <v>2</v>
      </c>
      <c r="T8" t="s">
        <v>5</v>
      </c>
      <c r="X8" s="7"/>
      <c r="Y8" s="7"/>
      <c r="Z8" s="7"/>
      <c r="AA8" t="s">
        <v>7</v>
      </c>
      <c r="AB8" s="7" t="s">
        <v>8</v>
      </c>
      <c r="AC8" s="7"/>
      <c r="AD8" s="7"/>
      <c r="AE8" s="7"/>
      <c r="AF8" s="7" t="s">
        <v>6</v>
      </c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605</v>
      </c>
      <c r="B9" s="9">
        <v>1921</v>
      </c>
      <c r="C9" s="7">
        <v>2</v>
      </c>
      <c r="D9" s="7" t="s">
        <v>2522</v>
      </c>
      <c r="E9" t="s">
        <v>2511</v>
      </c>
      <c r="F9" s="7"/>
      <c r="G9" t="s">
        <v>2507</v>
      </c>
      <c r="H9" s="7" t="s">
        <v>1700</v>
      </c>
      <c r="I9">
        <v>5</v>
      </c>
      <c r="J9" t="s">
        <v>13</v>
      </c>
      <c r="K9">
        <v>1</v>
      </c>
      <c r="N9" s="7">
        <v>1</v>
      </c>
      <c r="T9">
        <v>36</v>
      </c>
      <c r="X9" s="7"/>
      <c r="Y9" s="7"/>
      <c r="Z9" s="7"/>
      <c r="AA9" t="s">
        <v>2508</v>
      </c>
      <c r="AB9" s="7" t="s">
        <v>2509</v>
      </c>
      <c r="AC9" s="7">
        <v>1</v>
      </c>
      <c r="AD9" s="7"/>
      <c r="AE9" s="7"/>
      <c r="AF9" s="7" t="s">
        <v>20</v>
      </c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605</v>
      </c>
      <c r="B10" s="9">
        <v>1921</v>
      </c>
      <c r="C10" s="7">
        <v>2</v>
      </c>
      <c r="D10" s="7" t="s">
        <v>2522</v>
      </c>
      <c r="E10" t="s">
        <v>2511</v>
      </c>
      <c r="F10" s="7"/>
      <c r="G10" t="s">
        <v>2507</v>
      </c>
      <c r="H10" s="7" t="s">
        <v>1089</v>
      </c>
      <c r="I10">
        <v>6</v>
      </c>
      <c r="J10">
        <v>1</v>
      </c>
      <c r="N10" s="7" t="s">
        <v>18</v>
      </c>
      <c r="O10">
        <v>1</v>
      </c>
      <c r="T10">
        <v>32</v>
      </c>
      <c r="X10" s="7"/>
      <c r="Y10" s="7"/>
      <c r="Z10" s="7"/>
      <c r="AA10" t="s">
        <v>50</v>
      </c>
      <c r="AB10" s="7" t="s">
        <v>20</v>
      </c>
      <c r="AC10" s="7"/>
      <c r="AD10" s="7"/>
      <c r="AE10" s="7"/>
      <c r="AF10" s="7">
        <v>1</v>
      </c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605</v>
      </c>
      <c r="B11" s="9">
        <v>1921</v>
      </c>
      <c r="C11" s="7">
        <v>2</v>
      </c>
      <c r="D11" s="7" t="s">
        <v>2522</v>
      </c>
      <c r="E11" t="s">
        <v>2511</v>
      </c>
      <c r="F11" s="7"/>
      <c r="G11" t="s">
        <v>2507</v>
      </c>
      <c r="H11" s="7" t="s">
        <v>2510</v>
      </c>
      <c r="I11">
        <v>7</v>
      </c>
      <c r="J11" t="s">
        <v>13</v>
      </c>
      <c r="K11">
        <v>1</v>
      </c>
      <c r="N11" s="7" t="s">
        <v>51</v>
      </c>
      <c r="Q11">
        <v>1</v>
      </c>
      <c r="T11">
        <v>10</v>
      </c>
      <c r="X11" s="7"/>
      <c r="Y11" s="7"/>
      <c r="Z11" s="7"/>
      <c r="AA11" t="s">
        <v>20</v>
      </c>
      <c r="AB11" s="7" t="s">
        <v>20</v>
      </c>
      <c r="AC11" s="7"/>
      <c r="AD11" s="7"/>
      <c r="AE11" s="7"/>
      <c r="AF11" s="7">
        <v>1</v>
      </c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605</v>
      </c>
      <c r="B12" s="9">
        <v>1921</v>
      </c>
      <c r="C12" s="7"/>
      <c r="D12" s="7" t="s">
        <v>2522</v>
      </c>
      <c r="E12" s="7"/>
      <c r="F12" s="7"/>
      <c r="H12" s="7">
        <v>3</v>
      </c>
      <c r="N12" s="7"/>
      <c r="X12" s="7">
        <f>SUM(X3:X11)</f>
        <v>0</v>
      </c>
      <c r="Y12" s="7">
        <f>SUM(Y3:Y11)</f>
        <v>0</v>
      </c>
      <c r="Z12" s="7">
        <f>SUM(Z3:Z11)</f>
        <v>0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605</v>
      </c>
      <c r="B13" s="9">
        <v>1921</v>
      </c>
      <c r="C13" s="7">
        <v>3</v>
      </c>
      <c r="D13" s="7" t="s">
        <v>2522</v>
      </c>
      <c r="E13" s="7" t="s">
        <v>2485</v>
      </c>
      <c r="F13" s="7"/>
      <c r="G13" s="7" t="s">
        <v>2398</v>
      </c>
      <c r="H13" s="7" t="s">
        <v>2486</v>
      </c>
      <c r="I13">
        <v>8</v>
      </c>
      <c r="J13" s="7">
        <v>1</v>
      </c>
      <c r="N13" s="7">
        <v>1</v>
      </c>
      <c r="P13" s="7"/>
      <c r="T13" s="6">
        <v>72</v>
      </c>
      <c r="X13" s="7"/>
      <c r="Y13" s="7"/>
      <c r="Z13" s="7"/>
      <c r="AA13" s="6" t="s">
        <v>2487</v>
      </c>
      <c r="AB13" s="6"/>
      <c r="AC13" s="7"/>
      <c r="AD13" s="7"/>
      <c r="AE13" s="7"/>
      <c r="AF13" s="6">
        <v>1</v>
      </c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605</v>
      </c>
      <c r="B14" s="9">
        <v>1921</v>
      </c>
      <c r="C14" s="7">
        <v>3</v>
      </c>
      <c r="D14" s="7" t="s">
        <v>2522</v>
      </c>
      <c r="E14" s="7" t="s">
        <v>2485</v>
      </c>
      <c r="F14" s="7"/>
      <c r="G14" s="7" t="s">
        <v>2398</v>
      </c>
      <c r="H14" s="7" t="s">
        <v>48</v>
      </c>
      <c r="I14">
        <v>9</v>
      </c>
      <c r="J14" s="7">
        <v>1</v>
      </c>
      <c r="N14" s="7" t="s">
        <v>243</v>
      </c>
      <c r="P14" s="7">
        <v>1</v>
      </c>
      <c r="T14" s="7">
        <v>46</v>
      </c>
      <c r="X14" s="7"/>
      <c r="Y14" s="7"/>
      <c r="Z14" s="7"/>
      <c r="AA14" s="7" t="s">
        <v>2488</v>
      </c>
      <c r="AB14" s="7" t="s">
        <v>2489</v>
      </c>
      <c r="AC14" s="7">
        <v>1</v>
      </c>
      <c r="AD14" s="7"/>
      <c r="AE14" s="7"/>
      <c r="AF14" s="7">
        <v>1</v>
      </c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605</v>
      </c>
      <c r="B15" s="9">
        <v>1921</v>
      </c>
      <c r="C15" s="7"/>
      <c r="D15" s="7" t="s">
        <v>2522</v>
      </c>
      <c r="E15" s="7"/>
      <c r="F15" s="7"/>
      <c r="H15" s="7">
        <v>2</v>
      </c>
      <c r="N15" s="112"/>
      <c r="X15" s="7"/>
      <c r="Y15" s="7"/>
      <c r="Z15" s="7"/>
      <c r="AB15" s="7"/>
      <c r="AC15" s="7"/>
      <c r="AD15" s="7"/>
      <c r="AE15" s="7"/>
      <c r="AF15" s="7"/>
      <c r="AG15" s="6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605</v>
      </c>
      <c r="B16" s="9">
        <v>1921</v>
      </c>
      <c r="C16" s="7"/>
      <c r="D16" s="7" t="s">
        <v>2522</v>
      </c>
      <c r="E16" s="7"/>
      <c r="F16" s="7"/>
      <c r="G16" t="s">
        <v>1</v>
      </c>
      <c r="H16" t="s">
        <v>0</v>
      </c>
      <c r="J16" t="s">
        <v>3</v>
      </c>
      <c r="N16" t="s">
        <v>2</v>
      </c>
      <c r="T16" t="s">
        <v>5</v>
      </c>
      <c r="X16" s="7"/>
      <c r="Y16" s="7"/>
      <c r="Z16" s="7"/>
      <c r="AA16" t="s">
        <v>7</v>
      </c>
      <c r="AB16" t="s">
        <v>8</v>
      </c>
      <c r="AC16" s="7"/>
      <c r="AD16" s="7"/>
      <c r="AE16" s="7"/>
      <c r="AF16" t="s">
        <v>6</v>
      </c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605</v>
      </c>
      <c r="B17" s="9">
        <v>1921</v>
      </c>
      <c r="C17" s="7">
        <v>4</v>
      </c>
      <c r="D17" s="7" t="s">
        <v>2522</v>
      </c>
      <c r="E17" s="7"/>
      <c r="F17" s="7"/>
      <c r="G17" t="s">
        <v>945</v>
      </c>
      <c r="H17" t="s">
        <v>2513</v>
      </c>
      <c r="I17">
        <v>10</v>
      </c>
      <c r="J17" t="s">
        <v>13</v>
      </c>
      <c r="K17">
        <v>1</v>
      </c>
      <c r="N17">
        <v>1</v>
      </c>
      <c r="T17">
        <v>76</v>
      </c>
      <c r="X17" s="7"/>
      <c r="Y17" s="7"/>
      <c r="Z17" s="7"/>
      <c r="AA17" t="s">
        <v>2514</v>
      </c>
      <c r="AB17" t="s">
        <v>20</v>
      </c>
      <c r="AC17" s="7">
        <v>1</v>
      </c>
      <c r="AD17" s="7"/>
      <c r="AE17" s="7"/>
      <c r="AF17">
        <v>1</v>
      </c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605</v>
      </c>
      <c r="B18" s="9">
        <v>1921</v>
      </c>
      <c r="C18" s="7">
        <v>4</v>
      </c>
      <c r="D18" s="7" t="s">
        <v>2522</v>
      </c>
      <c r="E18" s="7"/>
      <c r="F18" s="7"/>
      <c r="G18" t="s">
        <v>945</v>
      </c>
      <c r="H18" t="s">
        <v>2515</v>
      </c>
      <c r="I18">
        <v>11</v>
      </c>
      <c r="J18" t="s">
        <v>13</v>
      </c>
      <c r="K18">
        <v>1</v>
      </c>
      <c r="N18" t="s">
        <v>51</v>
      </c>
      <c r="Q18">
        <v>1</v>
      </c>
      <c r="T18">
        <v>42</v>
      </c>
      <c r="X18" s="7"/>
      <c r="Y18" s="7"/>
      <c r="Z18" s="7"/>
      <c r="AA18" t="s">
        <v>923</v>
      </c>
      <c r="AB18" t="s">
        <v>8</v>
      </c>
      <c r="AC18" s="7">
        <v>1</v>
      </c>
      <c r="AD18" s="7">
        <v>1</v>
      </c>
      <c r="AE18" s="7"/>
      <c r="AF18">
        <v>1</v>
      </c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605</v>
      </c>
      <c r="B19" s="9">
        <v>1921</v>
      </c>
      <c r="C19" s="7">
        <v>4</v>
      </c>
      <c r="D19" s="7" t="s">
        <v>2522</v>
      </c>
      <c r="E19" s="7"/>
      <c r="F19" s="7"/>
      <c r="G19" t="s">
        <v>2517</v>
      </c>
      <c r="H19" t="s">
        <v>2516</v>
      </c>
      <c r="I19">
        <v>12</v>
      </c>
      <c r="J19">
        <v>1</v>
      </c>
      <c r="N19" t="s">
        <v>26</v>
      </c>
      <c r="S19">
        <v>1</v>
      </c>
      <c r="T19">
        <v>42</v>
      </c>
      <c r="X19" s="7"/>
      <c r="Y19" s="7"/>
      <c r="Z19" s="7"/>
      <c r="AA19" t="s">
        <v>56</v>
      </c>
      <c r="AB19" t="s">
        <v>29</v>
      </c>
      <c r="AC19" s="7">
        <v>1</v>
      </c>
      <c r="AD19" s="7"/>
      <c r="AE19" s="7"/>
      <c r="AF19" t="s">
        <v>2400</v>
      </c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605</v>
      </c>
      <c r="B20" s="9">
        <v>1921</v>
      </c>
      <c r="C20" s="7">
        <v>4</v>
      </c>
      <c r="D20" s="7" t="s">
        <v>2522</v>
      </c>
      <c r="E20" s="7"/>
      <c r="F20" s="7"/>
      <c r="G20" t="s">
        <v>460</v>
      </c>
      <c r="H20" t="s">
        <v>2518</v>
      </c>
      <c r="I20">
        <v>13</v>
      </c>
      <c r="J20">
        <v>1</v>
      </c>
      <c r="N20" t="s">
        <v>26</v>
      </c>
      <c r="S20">
        <v>1</v>
      </c>
      <c r="T20">
        <v>36</v>
      </c>
      <c r="X20" s="7"/>
      <c r="Y20" s="7"/>
      <c r="Z20" s="7"/>
      <c r="AA20" t="s">
        <v>56</v>
      </c>
      <c r="AB20" t="s">
        <v>20</v>
      </c>
      <c r="AC20" s="7">
        <v>1</v>
      </c>
      <c r="AD20" s="7"/>
      <c r="AE20" s="7"/>
      <c r="AF20" t="s">
        <v>2519</v>
      </c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605</v>
      </c>
      <c r="B21" s="9">
        <v>1921</v>
      </c>
      <c r="C21" s="7">
        <v>4</v>
      </c>
      <c r="D21" s="7" t="s">
        <v>2522</v>
      </c>
      <c r="E21" s="7"/>
      <c r="F21" s="7"/>
      <c r="G21" t="s">
        <v>2521</v>
      </c>
      <c r="H21" t="s">
        <v>2520</v>
      </c>
      <c r="I21">
        <v>14</v>
      </c>
      <c r="J21">
        <v>1</v>
      </c>
      <c r="N21" t="s">
        <v>26</v>
      </c>
      <c r="S21">
        <v>1</v>
      </c>
      <c r="T21">
        <v>23</v>
      </c>
      <c r="X21" s="7"/>
      <c r="Y21" s="7"/>
      <c r="Z21" s="7"/>
      <c r="AA21" t="s">
        <v>56</v>
      </c>
      <c r="AB21" t="s">
        <v>20</v>
      </c>
      <c r="AC21" s="7">
        <v>1</v>
      </c>
      <c r="AD21" s="7"/>
      <c r="AE21" s="7"/>
      <c r="AF21" t="s">
        <v>2400</v>
      </c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605</v>
      </c>
      <c r="B22" s="9">
        <v>1921</v>
      </c>
      <c r="C22" s="7">
        <v>4</v>
      </c>
      <c r="D22" s="7" t="s">
        <v>2522</v>
      </c>
      <c r="E22" s="7"/>
      <c r="F22" s="7"/>
      <c r="G22" s="7"/>
      <c r="H22">
        <v>5</v>
      </c>
      <c r="I22">
        <v>14</v>
      </c>
      <c r="J22">
        <f t="shared" ref="J22:T22" si="0">SUM(J3:J21)</f>
        <v>8</v>
      </c>
      <c r="K22">
        <f t="shared" si="0"/>
        <v>6</v>
      </c>
      <c r="L22">
        <f t="shared" si="0"/>
        <v>0</v>
      </c>
      <c r="M22">
        <f t="shared" si="0"/>
        <v>0</v>
      </c>
      <c r="N22">
        <f t="shared" si="0"/>
        <v>4</v>
      </c>
      <c r="O22">
        <f t="shared" si="0"/>
        <v>1</v>
      </c>
      <c r="P22">
        <f t="shared" si="0"/>
        <v>2</v>
      </c>
      <c r="Q22">
        <f t="shared" si="0"/>
        <v>4</v>
      </c>
      <c r="R22">
        <f t="shared" si="0"/>
        <v>0</v>
      </c>
      <c r="S22">
        <f t="shared" si="0"/>
        <v>3</v>
      </c>
      <c r="T22">
        <f t="shared" si="0"/>
        <v>536</v>
      </c>
      <c r="U22">
        <f>SUM(AF3:AF21)</f>
        <v>9</v>
      </c>
      <c r="V22">
        <f>SUM(AA3:AA21)</f>
        <v>0</v>
      </c>
      <c r="W22">
        <f>SUM(AB3:AB21)</f>
        <v>0</v>
      </c>
      <c r="X22">
        <f t="shared" ref="X22:AD22" si="1">SUM(X3:X21)</f>
        <v>0</v>
      </c>
      <c r="Y22">
        <f t="shared" si="1"/>
        <v>0</v>
      </c>
      <c r="Z22">
        <f t="shared" si="1"/>
        <v>0</v>
      </c>
      <c r="AA22">
        <f t="shared" si="1"/>
        <v>0</v>
      </c>
      <c r="AB22">
        <f t="shared" si="1"/>
        <v>0</v>
      </c>
      <c r="AC22">
        <f t="shared" si="1"/>
        <v>8</v>
      </c>
      <c r="AD22">
        <f t="shared" si="1"/>
        <v>1</v>
      </c>
      <c r="AE22">
        <f>AC22-AD22</f>
        <v>7</v>
      </c>
      <c r="AF22">
        <f>SUM(AF3:AF21)</f>
        <v>9</v>
      </c>
      <c r="AG22">
        <f>J23-AF22</f>
        <v>5</v>
      </c>
      <c r="AH22">
        <f>SUM(AH3:AH21)</f>
        <v>0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605</v>
      </c>
      <c r="B23" s="9">
        <v>1921</v>
      </c>
      <c r="C23" s="7"/>
      <c r="D23" s="7" t="s">
        <v>2522</v>
      </c>
      <c r="E23" s="11"/>
      <c r="F23" s="12"/>
      <c r="G23" s="12"/>
      <c r="H23" s="12"/>
      <c r="J23" s="13">
        <f>J22+K22</f>
        <v>14</v>
      </c>
      <c r="N23" s="12"/>
      <c r="P23" s="12"/>
      <c r="T23" s="257">
        <f>T22/J23</f>
        <v>38.285714285714285</v>
      </c>
      <c r="X23" s="12"/>
      <c r="Y23" s="12"/>
      <c r="Z23" s="12"/>
      <c r="AA23" s="12"/>
      <c r="AB23" s="12"/>
      <c r="AC23" s="12"/>
      <c r="AD23" s="12"/>
      <c r="AE23" s="7"/>
      <c r="AF23" s="7"/>
      <c r="AG23" s="12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28" customHeight="1" x14ac:dyDescent="0.2">
      <c r="A24" s="9"/>
      <c r="B24" s="9"/>
      <c r="C24" s="7"/>
      <c r="D24" s="7"/>
      <c r="E24" s="11"/>
      <c r="F24" s="12"/>
      <c r="G24" s="12"/>
      <c r="H24" s="12"/>
      <c r="J24" s="15"/>
      <c r="N24" s="14"/>
      <c r="P24" s="16"/>
      <c r="T24" s="12"/>
      <c r="X24" s="12"/>
      <c r="Y24" s="12"/>
      <c r="Z24" s="12"/>
      <c r="AA24" s="12"/>
      <c r="AB24" s="14"/>
      <c r="AC24" s="12"/>
      <c r="AD24" s="11"/>
      <c r="AE24" s="7"/>
      <c r="AF24" s="7"/>
      <c r="AG24" s="12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9"/>
      <c r="B25" s="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>
        <f t="shared" ref="U25:Z25" si="2">SUM(U3:U24)</f>
        <v>9</v>
      </c>
      <c r="V25" s="7">
        <f t="shared" si="2"/>
        <v>0</v>
      </c>
      <c r="W25" s="7">
        <f t="shared" si="2"/>
        <v>0</v>
      </c>
      <c r="X25" s="7">
        <f t="shared" si="2"/>
        <v>0</v>
      </c>
      <c r="Y25" s="7">
        <f t="shared" si="2"/>
        <v>0</v>
      </c>
      <c r="Z25" s="7">
        <f t="shared" si="2"/>
        <v>0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/>
      <c r="B26" s="9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7"/>
      <c r="R26" s="6"/>
      <c r="S26" s="6"/>
      <c r="T26" s="20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H27" s="7" t="s">
        <v>0</v>
      </c>
      <c r="I27" s="7" t="s">
        <v>1</v>
      </c>
      <c r="J27" s="7" t="s">
        <v>2</v>
      </c>
      <c r="K27" s="7" t="s">
        <v>3</v>
      </c>
      <c r="L27" s="7" t="s">
        <v>4</v>
      </c>
      <c r="M27" s="7" t="s">
        <v>5</v>
      </c>
      <c r="N27" s="7" t="s">
        <v>6</v>
      </c>
      <c r="O27" s="7" t="s">
        <v>7</v>
      </c>
      <c r="P27" s="6" t="s">
        <v>8</v>
      </c>
      <c r="Q27" s="6"/>
      <c r="R27" s="6"/>
      <c r="S27" s="6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 t="s">
        <v>2474</v>
      </c>
      <c r="H28" s="7" t="s">
        <v>203</v>
      </c>
      <c r="I28" s="7" t="s">
        <v>2467</v>
      </c>
      <c r="J28" s="7" t="s">
        <v>12</v>
      </c>
      <c r="K28" s="7" t="s">
        <v>19</v>
      </c>
      <c r="L28" s="7">
        <v>1868</v>
      </c>
      <c r="M28" s="7">
        <v>53</v>
      </c>
      <c r="N28" s="7" t="s">
        <v>65</v>
      </c>
      <c r="O28" s="7" t="s">
        <v>50</v>
      </c>
      <c r="P28" s="6" t="s">
        <v>20</v>
      </c>
      <c r="Q28" s="6"/>
      <c r="R28" s="6"/>
      <c r="S28" s="6"/>
      <c r="T28" s="7"/>
      <c r="U28" s="6"/>
      <c r="V28" s="6"/>
      <c r="W28" s="6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H29" s="7" t="s">
        <v>676</v>
      </c>
      <c r="I29" s="5" t="s">
        <v>2467</v>
      </c>
      <c r="J29" s="5" t="s">
        <v>51</v>
      </c>
      <c r="K29" s="5" t="s">
        <v>13</v>
      </c>
      <c r="L29" s="5">
        <v>1891</v>
      </c>
      <c r="M29" s="5">
        <v>30</v>
      </c>
      <c r="N29" s="10" t="s">
        <v>901</v>
      </c>
      <c r="O29" s="5" t="s">
        <v>2469</v>
      </c>
      <c r="P29" s="5" t="s">
        <v>2470</v>
      </c>
      <c r="Q29" s="7"/>
      <c r="R29" s="6"/>
      <c r="S29" s="6"/>
      <c r="T29" s="7"/>
      <c r="U29" s="6"/>
      <c r="V29" s="6"/>
      <c r="W29" s="6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H30" s="7" t="s">
        <v>422</v>
      </c>
      <c r="I30" s="7" t="s">
        <v>2467</v>
      </c>
      <c r="J30" s="7" t="s">
        <v>22</v>
      </c>
      <c r="K30" s="7" t="s">
        <v>19</v>
      </c>
      <c r="L30" s="7">
        <v>1896</v>
      </c>
      <c r="M30" s="7">
        <v>24</v>
      </c>
      <c r="N30" s="7" t="s">
        <v>2471</v>
      </c>
      <c r="O30" s="7" t="s">
        <v>20</v>
      </c>
      <c r="P30" s="6" t="s">
        <v>20</v>
      </c>
      <c r="Q30" s="7"/>
      <c r="R30" s="6"/>
      <c r="S30" s="6"/>
      <c r="T30" s="7"/>
      <c r="U30" s="6"/>
      <c r="V30" s="6"/>
      <c r="W30" s="6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H31" s="7" t="s">
        <v>2472</v>
      </c>
      <c r="I31" s="7" t="s">
        <v>2467</v>
      </c>
      <c r="J31" s="7" t="s">
        <v>51</v>
      </c>
      <c r="K31" s="7" t="s">
        <v>13</v>
      </c>
      <c r="L31" s="7">
        <v>1907</v>
      </c>
      <c r="M31" s="7">
        <v>14</v>
      </c>
      <c r="N31" s="7" t="s">
        <v>2471</v>
      </c>
      <c r="O31" s="7" t="s">
        <v>2473</v>
      </c>
      <c r="P31" s="6" t="s">
        <v>20</v>
      </c>
      <c r="Q31" s="7"/>
      <c r="R31" s="6"/>
      <c r="S31" s="6"/>
      <c r="T31" s="7"/>
      <c r="U31" s="6"/>
      <c r="V31" s="6"/>
      <c r="W31" s="6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H32" s="7"/>
      <c r="I32" s="7"/>
      <c r="J32" s="7"/>
      <c r="K32" s="7"/>
      <c r="L32" s="7"/>
      <c r="M32" s="7"/>
      <c r="N32" s="7"/>
      <c r="O32" s="7"/>
      <c r="P32" s="6"/>
      <c r="Q32" s="7"/>
      <c r="R32" s="6"/>
      <c r="S32" s="6"/>
      <c r="T32" s="7"/>
      <c r="U32" s="6"/>
      <c r="V32" s="6"/>
      <c r="W32" s="6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7"/>
      <c r="B33" s="7"/>
      <c r="C33" s="7"/>
      <c r="D33" s="7"/>
      <c r="E33" t="s">
        <v>2479</v>
      </c>
      <c r="H33" s="7" t="s">
        <v>2475</v>
      </c>
      <c r="I33" s="7" t="s">
        <v>2477</v>
      </c>
      <c r="J33" s="7" t="s">
        <v>2480</v>
      </c>
      <c r="K33" s="7" t="s">
        <v>2482</v>
      </c>
      <c r="L33" s="7"/>
      <c r="M33" s="7">
        <v>36</v>
      </c>
      <c r="N33" s="7" t="s">
        <v>259</v>
      </c>
      <c r="O33" s="7" t="s">
        <v>2484</v>
      </c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H34" s="7" t="s">
        <v>2476</v>
      </c>
      <c r="I34" s="7" t="s">
        <v>2477</v>
      </c>
      <c r="J34" s="7" t="s">
        <v>2481</v>
      </c>
      <c r="K34" s="7" t="s">
        <v>2483</v>
      </c>
      <c r="L34" s="7"/>
      <c r="M34" s="7">
        <v>32</v>
      </c>
      <c r="N34" s="7" t="s">
        <v>259</v>
      </c>
      <c r="O34" s="7"/>
      <c r="P34" s="6"/>
      <c r="Q34" s="7"/>
      <c r="R34" s="6"/>
      <c r="S34" s="6"/>
      <c r="T34" s="19"/>
      <c r="U34" s="6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H35" s="7" t="s">
        <v>2478</v>
      </c>
      <c r="I35" s="7" t="s">
        <v>2477</v>
      </c>
      <c r="J35" s="7" t="s">
        <v>244</v>
      </c>
      <c r="K35" s="7" t="s">
        <v>2482</v>
      </c>
      <c r="L35" s="7"/>
      <c r="M35" s="7">
        <v>10</v>
      </c>
      <c r="N35" s="7" t="s">
        <v>259</v>
      </c>
      <c r="O35" s="7"/>
      <c r="P35" s="6"/>
      <c r="Q35" s="7"/>
      <c r="R35" s="6"/>
      <c r="S35" s="6"/>
      <c r="T35" s="7"/>
      <c r="U35" s="6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6"/>
      <c r="N36" s="6"/>
      <c r="O36" s="6"/>
      <c r="P36" s="6"/>
      <c r="Q36" s="7"/>
      <c r="R36" s="6"/>
      <c r="S36" s="6"/>
      <c r="T36" s="7"/>
      <c r="U36" s="6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/>
      <c r="B37" s="7"/>
      <c r="C37" s="7"/>
      <c r="D37" s="7"/>
      <c r="E37" s="7" t="s">
        <v>2485</v>
      </c>
      <c r="F37" s="7"/>
      <c r="G37" s="7"/>
      <c r="H37" s="7" t="s">
        <v>2486</v>
      </c>
      <c r="I37" s="7" t="s">
        <v>2398</v>
      </c>
      <c r="J37" s="7" t="s">
        <v>12</v>
      </c>
      <c r="K37" s="7" t="s">
        <v>2483</v>
      </c>
      <c r="L37" s="7"/>
      <c r="M37" s="6">
        <v>72</v>
      </c>
      <c r="N37" s="6" t="s">
        <v>259</v>
      </c>
      <c r="O37" s="6" t="s">
        <v>2487</v>
      </c>
      <c r="P37" s="6"/>
      <c r="Q37" s="7"/>
      <c r="R37" s="6"/>
      <c r="S37" s="6"/>
      <c r="T37" s="19"/>
      <c r="U37" s="6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 t="s">
        <v>48</v>
      </c>
      <c r="I38" s="7" t="s">
        <v>2398</v>
      </c>
      <c r="J38" s="7" t="s">
        <v>243</v>
      </c>
      <c r="K38" s="7" t="s">
        <v>2483</v>
      </c>
      <c r="L38" s="7" t="s">
        <v>2490</v>
      </c>
      <c r="M38" s="7">
        <v>46</v>
      </c>
      <c r="N38" s="7" t="s">
        <v>259</v>
      </c>
      <c r="O38" s="7" t="s">
        <v>2488</v>
      </c>
      <c r="P38" s="7" t="s">
        <v>2489</v>
      </c>
      <c r="Q38" s="7"/>
      <c r="R38" s="6"/>
      <c r="S38" s="6" t="s">
        <v>2512</v>
      </c>
      <c r="T38" s="7"/>
      <c r="U38" s="6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6"/>
      <c r="N39" s="6"/>
      <c r="O39" s="6"/>
      <c r="P39" s="6"/>
      <c r="Q39" s="7"/>
      <c r="R39" s="6"/>
      <c r="S39" s="6"/>
      <c r="T39" s="7"/>
      <c r="U39" s="6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7"/>
      <c r="B40" s="7"/>
      <c r="C40" s="7"/>
      <c r="D40" s="7"/>
      <c r="E40" s="7"/>
      <c r="F40" s="7"/>
      <c r="G40" s="7"/>
      <c r="H40" s="7" t="s">
        <v>2492</v>
      </c>
      <c r="I40" s="7" t="s">
        <v>2491</v>
      </c>
      <c r="J40" s="7" t="s">
        <v>2480</v>
      </c>
      <c r="K40" s="7"/>
      <c r="L40" s="7" t="s">
        <v>2500</v>
      </c>
      <c r="M40" s="6">
        <v>76</v>
      </c>
      <c r="N40" s="6" t="s">
        <v>259</v>
      </c>
      <c r="O40" s="6" t="s">
        <v>2500</v>
      </c>
      <c r="P40" s="6"/>
      <c r="Q40" s="7"/>
      <c r="R40" s="6"/>
      <c r="S40" s="6"/>
      <c r="T40" s="7"/>
      <c r="U40" s="6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" customHeight="1" x14ac:dyDescent="0.2">
      <c r="A41" s="4"/>
      <c r="B41" s="7"/>
      <c r="C41" s="7"/>
      <c r="D41" s="7"/>
      <c r="E41" s="7"/>
      <c r="F41" s="12"/>
      <c r="G41" s="12"/>
      <c r="H41" s="12" t="s">
        <v>2493</v>
      </c>
      <c r="I41" s="12" t="s">
        <v>2491</v>
      </c>
      <c r="J41" s="12" t="s">
        <v>244</v>
      </c>
      <c r="K41" s="13"/>
      <c r="L41" s="12"/>
      <c r="M41" s="12">
        <v>42</v>
      </c>
      <c r="N41" s="12" t="s">
        <v>259</v>
      </c>
      <c r="O41" s="12" t="s">
        <v>2490</v>
      </c>
      <c r="P41" s="12" t="s">
        <v>2501</v>
      </c>
      <c r="Q41" s="7" t="s">
        <v>2502</v>
      </c>
      <c r="R41" s="7" t="s">
        <v>2503</v>
      </c>
      <c r="S41" s="7"/>
      <c r="T41" s="7"/>
      <c r="U41" s="7">
        <f>SUM(U3:U40)</f>
        <v>18</v>
      </c>
      <c r="V41" s="7">
        <f>SUM(V3:V40)</f>
        <v>0</v>
      </c>
      <c r="W41" s="7">
        <f>SUM(W3:W40)</f>
        <v>0</v>
      </c>
      <c r="X41" s="7"/>
      <c r="Y41" s="7"/>
      <c r="Z41" s="7">
        <f>SUM(Z3:Z40)</f>
        <v>0</v>
      </c>
      <c r="AA41" s="7">
        <f>SUM(AA3:AA40)</f>
        <v>0</v>
      </c>
      <c r="AB41" s="7">
        <f>SUM(AB3:AB40)</f>
        <v>0</v>
      </c>
      <c r="AC41" s="7">
        <f>SUM(AC3:AC40)</f>
        <v>16</v>
      </c>
      <c r="AD41" s="7">
        <f>SUM(AD3:AD40)</f>
        <v>2</v>
      </c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" customHeight="1" x14ac:dyDescent="0.2">
      <c r="A42" s="7"/>
      <c r="B42" s="7"/>
      <c r="C42" s="7"/>
      <c r="D42" s="7"/>
      <c r="E42" s="7"/>
      <c r="F42" s="12"/>
      <c r="G42" s="12"/>
      <c r="H42" s="12" t="s">
        <v>2494</v>
      </c>
      <c r="I42" s="12" t="s">
        <v>2495</v>
      </c>
      <c r="J42" s="14" t="s">
        <v>262</v>
      </c>
      <c r="K42" s="15"/>
      <c r="L42" s="16"/>
      <c r="M42" s="12">
        <v>42</v>
      </c>
      <c r="N42" s="12" t="s">
        <v>2504</v>
      </c>
      <c r="O42" s="12" t="s">
        <v>2490</v>
      </c>
      <c r="P42" s="14"/>
      <c r="Q42" s="20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" customHeight="1" x14ac:dyDescent="0.2">
      <c r="A43" s="7"/>
      <c r="B43" s="7"/>
      <c r="C43" s="7"/>
      <c r="D43" s="7"/>
      <c r="E43" s="7"/>
      <c r="F43" s="7"/>
      <c r="G43" s="21"/>
      <c r="H43" s="21" t="s">
        <v>2496</v>
      </c>
      <c r="I43" s="21" t="s">
        <v>2497</v>
      </c>
      <c r="J43" s="7" t="s">
        <v>262</v>
      </c>
      <c r="K43" s="7"/>
      <c r="L43" s="7"/>
      <c r="M43" s="7">
        <v>36</v>
      </c>
      <c r="N43" s="7" t="s">
        <v>2505</v>
      </c>
      <c r="O43" s="12" t="s">
        <v>2490</v>
      </c>
      <c r="P43" s="7"/>
      <c r="Q43" s="20"/>
      <c r="R43" s="21"/>
      <c r="S43" s="21"/>
      <c r="T43" s="21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H44" s="7" t="s">
        <v>2498</v>
      </c>
      <c r="I44" s="7" t="s">
        <v>2499</v>
      </c>
      <c r="J44" s="7" t="s">
        <v>262</v>
      </c>
      <c r="K44" s="7"/>
      <c r="L44" s="7"/>
      <c r="M44" s="7">
        <v>23</v>
      </c>
      <c r="N44" s="7" t="s">
        <v>2506</v>
      </c>
      <c r="O44" s="12" t="s">
        <v>2490</v>
      </c>
      <c r="P44" s="7"/>
      <c r="Q44" s="7"/>
      <c r="R44" s="6"/>
      <c r="S44" s="6"/>
      <c r="T44" s="19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21"/>
      <c r="S45" s="21"/>
      <c r="T45" s="21"/>
      <c r="U45" s="7"/>
      <c r="V45" s="7"/>
      <c r="W45" s="7"/>
      <c r="X45" s="7"/>
      <c r="Y45" s="7"/>
      <c r="Z45" s="7"/>
      <c r="AA45" s="7"/>
      <c r="AB45" s="7"/>
      <c r="AC45" s="22"/>
      <c r="AD45" s="22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" customHeight="1" x14ac:dyDescent="0.2">
      <c r="A46" s="7"/>
      <c r="B46" s="7"/>
      <c r="C46" s="7"/>
      <c r="D46" s="7"/>
      <c r="E46" s="7"/>
      <c r="F46" s="7"/>
      <c r="G46" s="7"/>
      <c r="H46" s="7"/>
      <c r="J46" s="7"/>
      <c r="N46" s="7"/>
      <c r="P46" s="7"/>
      <c r="Q46" s="7"/>
      <c r="R46" s="21"/>
      <c r="S46" s="21"/>
      <c r="T46" s="21"/>
      <c r="U46" s="7"/>
      <c r="V46" s="7"/>
      <c r="W46" s="7"/>
      <c r="X46" s="7"/>
      <c r="Y46" s="7"/>
      <c r="Z46" s="7"/>
      <c r="AA46" s="7"/>
      <c r="AB46" s="7"/>
      <c r="AC46" s="22"/>
      <c r="AD46" s="22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7"/>
      <c r="B47" s="7"/>
      <c r="C47" s="7"/>
      <c r="D47" s="7"/>
      <c r="E47" s="7"/>
      <c r="F47" s="7"/>
      <c r="G47" s="7"/>
      <c r="H47" s="7"/>
      <c r="J47" s="7"/>
      <c r="N47" s="7"/>
      <c r="P47" s="7"/>
      <c r="Q47" s="7"/>
      <c r="R47" s="6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">
      <c r="H48" s="7"/>
      <c r="J48" s="7"/>
      <c r="N48" s="7"/>
      <c r="P48" s="7"/>
    </row>
    <row r="49" spans="8:16" x14ac:dyDescent="0.2">
      <c r="H49" s="7"/>
      <c r="J49" s="7"/>
      <c r="N49" s="7"/>
      <c r="P49" s="7"/>
    </row>
    <row r="50" spans="8:16" x14ac:dyDescent="0.2">
      <c r="H50" s="7"/>
      <c r="J50" s="7"/>
      <c r="N50" s="7"/>
      <c r="P50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9E6-DC82-B845-B011-D0E6970F8AA4}">
  <dimension ref="A1:BC100"/>
  <sheetViews>
    <sheetView workbookViewId="0">
      <selection activeCell="A50" sqref="A50:XFD50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9.83203125" customWidth="1"/>
    <col min="8" max="8" width="16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10.83203125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42.1640625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607</v>
      </c>
      <c r="B3" s="9">
        <v>1921</v>
      </c>
      <c r="C3" s="7">
        <v>1</v>
      </c>
      <c r="D3" s="7" t="s">
        <v>2578</v>
      </c>
      <c r="E3" s="7"/>
      <c r="F3" s="5"/>
      <c r="G3" t="s">
        <v>1</v>
      </c>
      <c r="H3" s="5" t="s">
        <v>0</v>
      </c>
      <c r="J3" t="s">
        <v>3</v>
      </c>
      <c r="N3" s="10" t="s">
        <v>2</v>
      </c>
      <c r="T3" t="s">
        <v>5</v>
      </c>
      <c r="Y3" s="5"/>
      <c r="Z3" s="5"/>
      <c r="AA3" t="s">
        <v>7</v>
      </c>
      <c r="AB3" s="5" t="s">
        <v>8</v>
      </c>
      <c r="AD3" s="5"/>
      <c r="AE3" s="7"/>
      <c r="AF3" s="7"/>
      <c r="AG3" s="5" t="s">
        <v>6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s="55" customFormat="1" ht="17.5" customHeight="1" x14ac:dyDescent="0.2">
      <c r="A4" s="226" t="s">
        <v>607</v>
      </c>
      <c r="B4" s="226">
        <v>1921</v>
      </c>
      <c r="C4" s="227">
        <v>1</v>
      </c>
      <c r="D4" s="227" t="s">
        <v>2578</v>
      </c>
      <c r="E4" s="227"/>
      <c r="F4" s="227"/>
      <c r="G4" s="55" t="s">
        <v>2523</v>
      </c>
      <c r="H4" s="227" t="s">
        <v>2025</v>
      </c>
      <c r="I4" s="55">
        <v>1</v>
      </c>
      <c r="J4" s="55">
        <v>1</v>
      </c>
      <c r="N4" s="227">
        <v>1</v>
      </c>
      <c r="T4" s="55">
        <v>46</v>
      </c>
      <c r="Y4" s="227"/>
      <c r="Z4" s="227"/>
      <c r="AA4" s="55" t="s">
        <v>2524</v>
      </c>
      <c r="AB4" s="227" t="s">
        <v>20</v>
      </c>
      <c r="AD4" s="227"/>
      <c r="AE4" s="227"/>
      <c r="AF4" s="227">
        <v>1</v>
      </c>
      <c r="AG4" s="227" t="s">
        <v>49</v>
      </c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</row>
    <row r="5" spans="1:55" ht="17.5" customHeight="1" x14ac:dyDescent="0.2">
      <c r="A5" s="9" t="s">
        <v>607</v>
      </c>
      <c r="B5" s="9">
        <v>1921</v>
      </c>
      <c r="C5" s="7">
        <v>1</v>
      </c>
      <c r="D5" s="7" t="s">
        <v>2578</v>
      </c>
      <c r="E5" s="7"/>
      <c r="F5" s="7"/>
      <c r="G5" t="s">
        <v>42</v>
      </c>
      <c r="H5" s="7" t="s">
        <v>84</v>
      </c>
      <c r="I5">
        <v>2</v>
      </c>
      <c r="J5">
        <v>1</v>
      </c>
      <c r="N5" s="7" t="s">
        <v>52</v>
      </c>
      <c r="S5">
        <v>1</v>
      </c>
      <c r="T5">
        <v>57</v>
      </c>
      <c r="Y5" s="7"/>
      <c r="Z5" s="7"/>
      <c r="AA5" t="s">
        <v>2525</v>
      </c>
      <c r="AB5" s="7" t="s">
        <v>29</v>
      </c>
      <c r="AC5">
        <v>1</v>
      </c>
      <c r="AD5" s="7"/>
      <c r="AE5" s="7"/>
      <c r="AF5" s="7">
        <v>1</v>
      </c>
      <c r="AG5" s="7" t="s">
        <v>40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607</v>
      </c>
      <c r="B6" s="9">
        <v>1921</v>
      </c>
      <c r="C6" s="7">
        <v>1</v>
      </c>
      <c r="D6" s="7" t="s">
        <v>2578</v>
      </c>
      <c r="E6" s="7"/>
      <c r="F6" s="7"/>
      <c r="H6" s="7">
        <v>2</v>
      </c>
      <c r="N6" s="7"/>
      <c r="Y6" s="7"/>
      <c r="Z6" s="7"/>
      <c r="AB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607</v>
      </c>
      <c r="B7" s="9">
        <v>1921</v>
      </c>
      <c r="C7" s="7"/>
      <c r="D7" s="7" t="s">
        <v>2578</v>
      </c>
      <c r="E7" s="7"/>
      <c r="F7" s="7"/>
      <c r="G7" t="s">
        <v>1</v>
      </c>
      <c r="H7" s="7" t="s">
        <v>0</v>
      </c>
      <c r="J7" t="s">
        <v>3</v>
      </c>
      <c r="N7" s="7" t="s">
        <v>2</v>
      </c>
      <c r="T7" t="s">
        <v>5</v>
      </c>
      <c r="Y7" s="7"/>
      <c r="Z7" s="7"/>
      <c r="AA7" t="s">
        <v>7</v>
      </c>
      <c r="AB7" s="7" t="s">
        <v>8</v>
      </c>
      <c r="AD7" s="7"/>
      <c r="AE7" s="7"/>
      <c r="AF7" s="7"/>
      <c r="AG7" s="7" t="s">
        <v>6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607</v>
      </c>
      <c r="B8" s="9">
        <v>1921</v>
      </c>
      <c r="C8" s="7">
        <v>2</v>
      </c>
      <c r="D8" s="7" t="s">
        <v>2578</v>
      </c>
      <c r="E8" s="7" t="s">
        <v>2531</v>
      </c>
      <c r="F8" s="7"/>
      <c r="G8" t="s">
        <v>743</v>
      </c>
      <c r="H8" s="7" t="s">
        <v>1286</v>
      </c>
      <c r="I8">
        <v>3</v>
      </c>
      <c r="J8" t="s">
        <v>13</v>
      </c>
      <c r="K8">
        <v>1</v>
      </c>
      <c r="N8" s="7">
        <v>1</v>
      </c>
      <c r="T8">
        <v>81</v>
      </c>
      <c r="Y8" s="7"/>
      <c r="Z8" s="7"/>
      <c r="AA8" t="s">
        <v>2526</v>
      </c>
      <c r="AB8" s="7" t="s">
        <v>8</v>
      </c>
      <c r="AC8">
        <v>1</v>
      </c>
      <c r="AD8" s="7">
        <v>1</v>
      </c>
      <c r="AE8" s="7"/>
      <c r="AF8" s="7"/>
      <c r="AG8" s="7" t="s">
        <v>2421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607</v>
      </c>
      <c r="B9" s="9">
        <v>1921</v>
      </c>
      <c r="C9" s="7">
        <v>2</v>
      </c>
      <c r="D9" s="7" t="s">
        <v>2578</v>
      </c>
      <c r="E9" s="7"/>
      <c r="F9" s="7"/>
      <c r="G9" t="s">
        <v>743</v>
      </c>
      <c r="H9" s="7" t="s">
        <v>1912</v>
      </c>
      <c r="I9">
        <v>4</v>
      </c>
      <c r="J9">
        <v>1</v>
      </c>
      <c r="N9" s="7" t="s">
        <v>18</v>
      </c>
      <c r="O9">
        <v>1</v>
      </c>
      <c r="T9">
        <v>78</v>
      </c>
      <c r="Y9" s="7"/>
      <c r="Z9" s="7"/>
      <c r="AA9" t="s">
        <v>50</v>
      </c>
      <c r="AB9" s="7" t="s">
        <v>20</v>
      </c>
      <c r="AD9" s="7"/>
      <c r="AE9" s="7"/>
      <c r="AF9" s="7">
        <v>1</v>
      </c>
      <c r="AG9" s="7" t="s">
        <v>49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607</v>
      </c>
      <c r="B10" s="9">
        <v>1921</v>
      </c>
      <c r="C10" s="7">
        <v>2</v>
      </c>
      <c r="D10" s="7" t="s">
        <v>2578</v>
      </c>
      <c r="E10" s="7"/>
      <c r="F10" s="7"/>
      <c r="G10" t="s">
        <v>2528</v>
      </c>
      <c r="H10" s="7" t="s">
        <v>2527</v>
      </c>
      <c r="I10">
        <v>5</v>
      </c>
      <c r="J10">
        <v>1</v>
      </c>
      <c r="N10" s="7" t="s">
        <v>26</v>
      </c>
      <c r="S10">
        <v>1</v>
      </c>
      <c r="T10">
        <v>48</v>
      </c>
      <c r="Y10" s="7"/>
      <c r="Z10" s="7"/>
      <c r="AA10" t="s">
        <v>344</v>
      </c>
      <c r="AB10" s="7" t="s">
        <v>29</v>
      </c>
      <c r="AC10">
        <v>1</v>
      </c>
      <c r="AD10" s="7"/>
      <c r="AE10" s="7"/>
      <c r="AF10" s="7">
        <v>1</v>
      </c>
      <c r="AG10" s="7" t="s">
        <v>49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607</v>
      </c>
      <c r="B11" s="9">
        <v>1921</v>
      </c>
      <c r="C11" s="7">
        <v>2</v>
      </c>
      <c r="D11" s="7" t="s">
        <v>2578</v>
      </c>
      <c r="E11" s="7"/>
      <c r="F11" s="7"/>
      <c r="G11" t="s">
        <v>2530</v>
      </c>
      <c r="H11" s="7" t="s">
        <v>2529</v>
      </c>
      <c r="I11">
        <v>6</v>
      </c>
      <c r="J11">
        <v>1</v>
      </c>
      <c r="N11" s="7" t="s">
        <v>26</v>
      </c>
      <c r="S11">
        <v>1</v>
      </c>
      <c r="T11">
        <v>48</v>
      </c>
      <c r="Y11" s="7"/>
      <c r="Z11" s="7"/>
      <c r="AA11" t="s">
        <v>344</v>
      </c>
      <c r="AB11" s="7" t="s">
        <v>29</v>
      </c>
      <c r="AC11">
        <v>1</v>
      </c>
      <c r="AD11" s="7"/>
      <c r="AE11" s="7"/>
      <c r="AF11" s="7"/>
      <c r="AG11" s="7" t="s">
        <v>443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607</v>
      </c>
      <c r="B12" s="9">
        <v>1921</v>
      </c>
      <c r="C12" s="7"/>
      <c r="D12" s="7" t="s">
        <v>2578</v>
      </c>
      <c r="E12" s="7"/>
      <c r="F12" s="7"/>
      <c r="H12" s="7">
        <v>4</v>
      </c>
      <c r="N12" s="7"/>
      <c r="Y12" s="7">
        <f>SUM(Y3:Y11)</f>
        <v>0</v>
      </c>
      <c r="Z12" s="7">
        <f>SUM(Z3:Z11)</f>
        <v>0</v>
      </c>
      <c r="AB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607</v>
      </c>
      <c r="B13" s="9">
        <v>1921</v>
      </c>
      <c r="C13" s="7"/>
      <c r="D13" s="7" t="s">
        <v>2578</v>
      </c>
      <c r="E13" s="7"/>
      <c r="F13" s="7"/>
      <c r="G13" t="s">
        <v>1</v>
      </c>
      <c r="H13" s="7" t="s">
        <v>0</v>
      </c>
      <c r="J13" t="s">
        <v>3</v>
      </c>
      <c r="N13" s="7" t="s">
        <v>2</v>
      </c>
      <c r="T13" t="s">
        <v>5</v>
      </c>
      <c r="Y13" s="7"/>
      <c r="Z13" s="7"/>
      <c r="AA13" t="s">
        <v>7</v>
      </c>
      <c r="AB13" s="7" t="s">
        <v>8</v>
      </c>
      <c r="AD13" s="7"/>
      <c r="AE13" s="7"/>
      <c r="AF13" s="7"/>
      <c r="AG13" s="7" t="s">
        <v>6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607</v>
      </c>
      <c r="B14" s="9">
        <v>1921</v>
      </c>
      <c r="C14" s="7">
        <v>3</v>
      </c>
      <c r="D14" s="7" t="s">
        <v>2578</v>
      </c>
      <c r="E14" s="7" t="s">
        <v>2542</v>
      </c>
      <c r="F14" s="7"/>
      <c r="G14" t="s">
        <v>31</v>
      </c>
      <c r="H14" s="7" t="s">
        <v>758</v>
      </c>
      <c r="I14">
        <v>7</v>
      </c>
      <c r="J14" t="s">
        <v>13</v>
      </c>
      <c r="K14">
        <v>1</v>
      </c>
      <c r="N14" s="7">
        <v>1</v>
      </c>
      <c r="T14">
        <v>63</v>
      </c>
      <c r="Y14" s="7"/>
      <c r="Z14" s="7"/>
      <c r="AA14" t="s">
        <v>753</v>
      </c>
      <c r="AB14" s="7" t="s">
        <v>8</v>
      </c>
      <c r="AC14">
        <v>1</v>
      </c>
      <c r="AD14" s="7">
        <v>1</v>
      </c>
      <c r="AE14" s="7"/>
      <c r="AF14" s="7">
        <v>1</v>
      </c>
      <c r="AG14" s="7" t="s">
        <v>49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607</v>
      </c>
      <c r="B15" s="9">
        <v>1921</v>
      </c>
      <c r="C15" s="7">
        <v>3</v>
      </c>
      <c r="D15" s="7" t="s">
        <v>2578</v>
      </c>
      <c r="E15" s="11"/>
      <c r="F15" s="12"/>
      <c r="G15" t="s">
        <v>31</v>
      </c>
      <c r="H15" s="6" t="s">
        <v>46</v>
      </c>
      <c r="I15">
        <v>8</v>
      </c>
      <c r="J15">
        <v>1</v>
      </c>
      <c r="N15" s="200" t="s">
        <v>18</v>
      </c>
      <c r="O15">
        <v>1</v>
      </c>
      <c r="T15">
        <v>62</v>
      </c>
      <c r="Y15" s="12"/>
      <c r="Z15" s="12"/>
      <c r="AA15" t="s">
        <v>50</v>
      </c>
      <c r="AB15" s="12" t="s">
        <v>20</v>
      </c>
      <c r="AD15" s="12"/>
      <c r="AE15" s="7"/>
      <c r="AF15" s="7">
        <v>1</v>
      </c>
      <c r="AG15" s="12" t="s">
        <v>49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 t="s">
        <v>607</v>
      </c>
      <c r="B16" s="9">
        <v>1921</v>
      </c>
      <c r="C16" s="7">
        <v>3</v>
      </c>
      <c r="D16" s="7" t="s">
        <v>2578</v>
      </c>
      <c r="E16" s="11"/>
      <c r="F16" s="12"/>
      <c r="G16" t="s">
        <v>31</v>
      </c>
      <c r="H16" s="6" t="s">
        <v>2532</v>
      </c>
      <c r="I16">
        <v>9</v>
      </c>
      <c r="J16" t="s">
        <v>13</v>
      </c>
      <c r="K16">
        <v>1</v>
      </c>
      <c r="N16" s="231" t="s">
        <v>1046</v>
      </c>
      <c r="R16">
        <v>1</v>
      </c>
      <c r="T16">
        <v>8</v>
      </c>
      <c r="Y16" s="12"/>
      <c r="Z16" s="12"/>
      <c r="AA16" t="s">
        <v>20</v>
      </c>
      <c r="AB16" s="16" t="s">
        <v>20</v>
      </c>
      <c r="AD16" s="11"/>
      <c r="AE16" s="7"/>
      <c r="AF16" s="7">
        <v>1</v>
      </c>
      <c r="AG16" s="14" t="s">
        <v>49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607</v>
      </c>
      <c r="B17" s="9">
        <v>1921</v>
      </c>
      <c r="C17" s="7">
        <v>3</v>
      </c>
      <c r="D17" s="7" t="s">
        <v>2578</v>
      </c>
      <c r="E17" s="7"/>
      <c r="F17" s="7"/>
      <c r="G17" s="7" t="s">
        <v>2534</v>
      </c>
      <c r="H17" s="7" t="s">
        <v>2533</v>
      </c>
      <c r="I17">
        <v>10</v>
      </c>
      <c r="J17" s="7">
        <v>1</v>
      </c>
      <c r="N17" s="7" t="s">
        <v>58</v>
      </c>
      <c r="P17" s="7"/>
      <c r="R17">
        <v>1</v>
      </c>
      <c r="T17" s="7">
        <v>24</v>
      </c>
      <c r="Y17" s="7">
        <f>SUM(Y3:Y16)</f>
        <v>0</v>
      </c>
      <c r="Z17" s="7">
        <f>SUM(Z3:Z16)</f>
        <v>0</v>
      </c>
      <c r="AA17" s="7" t="s">
        <v>20</v>
      </c>
      <c r="AB17" s="7" t="s">
        <v>20</v>
      </c>
      <c r="AC17" s="7"/>
      <c r="AD17" s="7"/>
      <c r="AE17" s="7"/>
      <c r="AF17" s="7"/>
      <c r="AG17" s="7" t="s">
        <v>2535</v>
      </c>
      <c r="AH17" s="7">
        <v>11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607</v>
      </c>
      <c r="B18" s="9">
        <v>1921</v>
      </c>
      <c r="C18" s="7">
        <v>3</v>
      </c>
      <c r="D18" s="7" t="s">
        <v>2578</v>
      </c>
      <c r="E18" s="7"/>
      <c r="F18" s="7"/>
      <c r="G18" s="7" t="s">
        <v>2536</v>
      </c>
      <c r="H18" s="7" t="s">
        <v>336</v>
      </c>
      <c r="I18">
        <v>11</v>
      </c>
      <c r="J18" s="7">
        <v>1</v>
      </c>
      <c r="N18" s="7" t="s">
        <v>26</v>
      </c>
      <c r="P18" s="7"/>
      <c r="S18">
        <v>1</v>
      </c>
      <c r="T18" s="6">
        <v>27</v>
      </c>
      <c r="Y18" s="7"/>
      <c r="Z18" s="7"/>
      <c r="AA18" s="6" t="s">
        <v>344</v>
      </c>
      <c r="AB18" s="6" t="s">
        <v>29</v>
      </c>
      <c r="AC18" s="7">
        <v>1</v>
      </c>
      <c r="AD18" s="7"/>
      <c r="AE18" s="7"/>
      <c r="AF18" s="7">
        <v>1</v>
      </c>
      <c r="AG18" s="6" t="s">
        <v>14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607</v>
      </c>
      <c r="B19" s="9">
        <v>1921</v>
      </c>
      <c r="C19" s="7">
        <v>3</v>
      </c>
      <c r="D19" s="7" t="s">
        <v>2578</v>
      </c>
      <c r="E19" s="7"/>
      <c r="F19" s="7"/>
      <c r="G19" s="7" t="s">
        <v>2537</v>
      </c>
      <c r="H19" s="7" t="s">
        <v>24</v>
      </c>
      <c r="I19">
        <v>12</v>
      </c>
      <c r="J19" s="7">
        <v>1</v>
      </c>
      <c r="N19" s="7" t="s">
        <v>26</v>
      </c>
      <c r="P19" s="7"/>
      <c r="S19">
        <v>1</v>
      </c>
      <c r="T19" s="6">
        <v>52</v>
      </c>
      <c r="Y19" s="7"/>
      <c r="Z19" s="7"/>
      <c r="AA19" s="6" t="s">
        <v>33</v>
      </c>
      <c r="AB19" s="6" t="s">
        <v>29</v>
      </c>
      <c r="AC19" s="6">
        <v>1</v>
      </c>
      <c r="AD19" s="7"/>
      <c r="AE19" s="7"/>
      <c r="AF19" s="7"/>
      <c r="AG19" s="6" t="s">
        <v>368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607</v>
      </c>
      <c r="B20" s="9">
        <v>1921</v>
      </c>
      <c r="C20" s="7">
        <v>3</v>
      </c>
      <c r="D20" s="7" t="s">
        <v>2578</v>
      </c>
      <c r="E20" s="7"/>
      <c r="F20" s="7"/>
      <c r="G20" s="7" t="s">
        <v>2539</v>
      </c>
      <c r="H20" s="7" t="s">
        <v>2538</v>
      </c>
      <c r="I20">
        <v>13</v>
      </c>
      <c r="J20" s="7">
        <v>1</v>
      </c>
      <c r="N20" s="7" t="s">
        <v>26</v>
      </c>
      <c r="P20" s="7"/>
      <c r="S20">
        <v>1</v>
      </c>
      <c r="T20" s="6">
        <v>42</v>
      </c>
      <c r="Y20" s="7"/>
      <c r="Z20" s="7"/>
      <c r="AA20" s="6" t="s">
        <v>344</v>
      </c>
      <c r="AB20" s="6" t="s">
        <v>29</v>
      </c>
      <c r="AC20" s="6">
        <v>1</v>
      </c>
      <c r="AD20" s="7"/>
      <c r="AE20" s="7"/>
      <c r="AF20" s="7">
        <v>1</v>
      </c>
      <c r="AG20" s="6" t="s">
        <v>449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607</v>
      </c>
      <c r="B21" s="9">
        <v>1921</v>
      </c>
      <c r="C21" s="7">
        <v>3</v>
      </c>
      <c r="D21" s="7" t="s">
        <v>2578</v>
      </c>
      <c r="E21" s="7"/>
      <c r="F21" s="5"/>
      <c r="G21" s="5" t="s">
        <v>2541</v>
      </c>
      <c r="H21" s="5" t="s">
        <v>2540</v>
      </c>
      <c r="I21">
        <v>14</v>
      </c>
      <c r="J21" s="7">
        <v>1</v>
      </c>
      <c r="N21" s="5" t="s">
        <v>26</v>
      </c>
      <c r="P21" s="5"/>
      <c r="S21">
        <v>1</v>
      </c>
      <c r="T21" s="5">
        <v>19</v>
      </c>
      <c r="Y21" s="7"/>
      <c r="Z21" s="7"/>
      <c r="AA21" s="5" t="s">
        <v>344</v>
      </c>
      <c r="AB21" s="5" t="s">
        <v>29</v>
      </c>
      <c r="AC21" s="7">
        <v>1</v>
      </c>
      <c r="AD21" s="7"/>
      <c r="AE21" s="7"/>
      <c r="AF21" s="7"/>
      <c r="AG21" s="5" t="s">
        <v>2435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607</v>
      </c>
      <c r="B22" s="9">
        <v>1921</v>
      </c>
      <c r="C22" s="7">
        <v>3</v>
      </c>
      <c r="D22" s="7" t="s">
        <v>2578</v>
      </c>
      <c r="E22" s="7"/>
      <c r="F22" s="7"/>
      <c r="G22" s="7" t="s">
        <v>177</v>
      </c>
      <c r="H22" s="7" t="s">
        <v>905</v>
      </c>
      <c r="I22">
        <v>15</v>
      </c>
      <c r="J22" s="7">
        <v>1</v>
      </c>
      <c r="N22" s="7" t="s">
        <v>26</v>
      </c>
      <c r="P22" s="7"/>
      <c r="S22">
        <v>1</v>
      </c>
      <c r="T22" s="6">
        <v>20</v>
      </c>
      <c r="Y22" s="7"/>
      <c r="Z22" s="7"/>
      <c r="AA22" s="6" t="s">
        <v>344</v>
      </c>
      <c r="AB22" s="6" t="s">
        <v>29</v>
      </c>
      <c r="AC22" s="7">
        <v>1</v>
      </c>
      <c r="AD22" s="7"/>
      <c r="AE22" s="7"/>
      <c r="AF22" s="7"/>
      <c r="AG22" s="6" t="s">
        <v>20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607</v>
      </c>
      <c r="B23" s="9">
        <v>1921</v>
      </c>
      <c r="C23" s="7"/>
      <c r="D23" s="7" t="s">
        <v>2578</v>
      </c>
      <c r="E23" s="7"/>
      <c r="F23" s="7"/>
      <c r="G23" s="7"/>
      <c r="H23" s="7">
        <v>9</v>
      </c>
      <c r="J23" s="7"/>
      <c r="N23" s="7"/>
      <c r="P23" s="7"/>
      <c r="T23" s="6"/>
      <c r="Y23" s="7"/>
      <c r="Z23" s="7"/>
      <c r="AA23" s="6"/>
      <c r="AB23" s="6"/>
      <c r="AC23" s="7"/>
      <c r="AD23" s="7"/>
      <c r="AE23" s="7"/>
      <c r="AF23" s="7"/>
      <c r="AG23" s="6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607</v>
      </c>
      <c r="B24" s="9">
        <v>1921</v>
      </c>
      <c r="C24" s="7"/>
      <c r="D24" s="7" t="s">
        <v>2578</v>
      </c>
      <c r="E24" s="7"/>
      <c r="F24" s="7"/>
      <c r="G24" s="7" t="s">
        <v>1</v>
      </c>
      <c r="H24" s="7" t="s">
        <v>0</v>
      </c>
      <c r="J24" s="7" t="s">
        <v>3</v>
      </c>
      <c r="N24" s="7" t="s">
        <v>2</v>
      </c>
      <c r="P24" s="7"/>
      <c r="T24" s="6" t="s">
        <v>5</v>
      </c>
      <c r="Y24" s="7"/>
      <c r="Z24" s="7"/>
      <c r="AA24" s="6" t="s">
        <v>7</v>
      </c>
      <c r="AB24" s="6" t="s">
        <v>8</v>
      </c>
      <c r="AC24" s="7"/>
      <c r="AD24" s="7"/>
      <c r="AE24" s="7"/>
      <c r="AF24" s="7"/>
      <c r="AG24" s="6" t="s">
        <v>6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9" t="s">
        <v>607</v>
      </c>
      <c r="B25" s="9">
        <v>1921</v>
      </c>
      <c r="C25" s="7">
        <v>4</v>
      </c>
      <c r="D25" s="7" t="s">
        <v>2578</v>
      </c>
      <c r="E25" s="7"/>
      <c r="F25" s="7">
        <v>25</v>
      </c>
      <c r="G25" s="7" t="s">
        <v>31</v>
      </c>
      <c r="H25" s="7" t="s">
        <v>2252</v>
      </c>
      <c r="I25">
        <v>16</v>
      </c>
      <c r="J25" s="7" t="s">
        <v>13</v>
      </c>
      <c r="K25">
        <v>1</v>
      </c>
      <c r="N25" s="7">
        <v>1</v>
      </c>
      <c r="P25" s="7"/>
      <c r="T25" s="6">
        <v>67</v>
      </c>
      <c r="Y25" s="7"/>
      <c r="Z25" s="7"/>
      <c r="AA25" s="6" t="s">
        <v>424</v>
      </c>
      <c r="AB25" s="6" t="s">
        <v>16</v>
      </c>
      <c r="AC25" s="7">
        <v>1</v>
      </c>
      <c r="AD25" s="7"/>
      <c r="AE25" s="7"/>
      <c r="AF25" s="7"/>
      <c r="AG25" s="6" t="s">
        <v>49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607</v>
      </c>
      <c r="B26" s="9">
        <v>1921</v>
      </c>
      <c r="C26" s="7">
        <v>4</v>
      </c>
      <c r="D26" s="7" t="s">
        <v>2578</v>
      </c>
      <c r="E26" s="7"/>
      <c r="F26" s="7"/>
      <c r="G26" s="7" t="s">
        <v>31</v>
      </c>
      <c r="H26" s="7" t="s">
        <v>331</v>
      </c>
      <c r="I26">
        <v>17</v>
      </c>
      <c r="J26" s="7">
        <v>1</v>
      </c>
      <c r="N26" s="7" t="s">
        <v>22</v>
      </c>
      <c r="P26" s="7">
        <v>1</v>
      </c>
      <c r="T26" s="6">
        <v>34</v>
      </c>
      <c r="Y26" s="7"/>
      <c r="Z26" s="7"/>
      <c r="AA26" s="6" t="s">
        <v>50</v>
      </c>
      <c r="AB26" s="6" t="s">
        <v>20</v>
      </c>
      <c r="AC26" s="7"/>
      <c r="AD26" s="7"/>
      <c r="AE26" s="7"/>
      <c r="AF26" s="7">
        <v>1</v>
      </c>
      <c r="AG26" s="6" t="s">
        <v>14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607</v>
      </c>
      <c r="B27" s="9">
        <v>1921</v>
      </c>
      <c r="C27" s="7">
        <v>4</v>
      </c>
      <c r="D27" s="7" t="s">
        <v>2578</v>
      </c>
      <c r="E27" s="7"/>
      <c r="F27" s="7"/>
      <c r="G27" s="7" t="s">
        <v>2543</v>
      </c>
      <c r="H27" s="7" t="s">
        <v>336</v>
      </c>
      <c r="I27">
        <v>18</v>
      </c>
      <c r="J27" s="7">
        <v>1</v>
      </c>
      <c r="N27" s="7" t="s">
        <v>26</v>
      </c>
      <c r="P27" s="7"/>
      <c r="S27">
        <v>1</v>
      </c>
      <c r="T27" s="6">
        <v>60</v>
      </c>
      <c r="Y27" s="7"/>
      <c r="Z27" s="7"/>
      <c r="AA27" s="6" t="s">
        <v>407</v>
      </c>
      <c r="AB27" s="6" t="s">
        <v>29</v>
      </c>
      <c r="AC27" s="7">
        <v>1</v>
      </c>
      <c r="AD27" s="7"/>
      <c r="AE27" s="7"/>
      <c r="AF27" s="7"/>
      <c r="AG27" s="6" t="s">
        <v>368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607</v>
      </c>
      <c r="B28" s="9">
        <v>1921</v>
      </c>
      <c r="C28" s="7">
        <v>4</v>
      </c>
      <c r="D28" s="7" t="s">
        <v>2578</v>
      </c>
      <c r="E28" s="7"/>
      <c r="F28" s="7"/>
      <c r="G28" s="7" t="s">
        <v>2545</v>
      </c>
      <c r="H28" s="7" t="s">
        <v>2544</v>
      </c>
      <c r="I28">
        <v>19</v>
      </c>
      <c r="J28" s="7">
        <v>1</v>
      </c>
      <c r="N28" s="7" t="s">
        <v>26</v>
      </c>
      <c r="P28" s="7"/>
      <c r="S28">
        <v>1</v>
      </c>
      <c r="T28" s="6">
        <v>18</v>
      </c>
      <c r="Y28" s="7"/>
      <c r="Z28" s="7"/>
      <c r="AA28" s="6" t="s">
        <v>407</v>
      </c>
      <c r="AB28" s="6" t="s">
        <v>29</v>
      </c>
      <c r="AC28" s="7">
        <v>1</v>
      </c>
      <c r="AD28" s="7"/>
      <c r="AE28" s="7"/>
      <c r="AF28" s="7">
        <v>1</v>
      </c>
      <c r="AG28" s="6" t="s">
        <v>1976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607</v>
      </c>
      <c r="B29" s="9">
        <v>1921</v>
      </c>
      <c r="C29" s="7">
        <v>4</v>
      </c>
      <c r="D29" s="7" t="s">
        <v>2578</v>
      </c>
      <c r="E29" s="7"/>
      <c r="F29" s="7"/>
      <c r="G29" s="7" t="s">
        <v>2546</v>
      </c>
      <c r="H29" s="7" t="s">
        <v>2080</v>
      </c>
      <c r="I29">
        <v>20</v>
      </c>
      <c r="J29" s="7">
        <v>1</v>
      </c>
      <c r="N29" s="7" t="s">
        <v>26</v>
      </c>
      <c r="P29" s="7"/>
      <c r="S29">
        <v>1</v>
      </c>
      <c r="T29" s="6">
        <v>17</v>
      </c>
      <c r="Y29" s="7"/>
      <c r="Z29" s="7"/>
      <c r="AA29" s="6" t="s">
        <v>407</v>
      </c>
      <c r="AB29" s="6" t="s">
        <v>29</v>
      </c>
      <c r="AC29" s="7">
        <v>1</v>
      </c>
      <c r="AD29" s="7"/>
      <c r="AE29" s="7"/>
      <c r="AF29" s="7">
        <v>1</v>
      </c>
      <c r="AG29" s="6" t="s">
        <v>1976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607</v>
      </c>
      <c r="B30" s="9">
        <v>1921</v>
      </c>
      <c r="C30" s="7"/>
      <c r="D30" s="7" t="s">
        <v>2578</v>
      </c>
      <c r="E30" s="7"/>
      <c r="F30" s="7"/>
      <c r="G30" s="7"/>
      <c r="H30" s="7">
        <v>5</v>
      </c>
      <c r="J30" s="7"/>
      <c r="N30" s="7"/>
      <c r="P30" s="7"/>
      <c r="T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607</v>
      </c>
      <c r="B31" s="9">
        <v>1921</v>
      </c>
      <c r="C31" s="7"/>
      <c r="D31" s="7" t="s">
        <v>2578</v>
      </c>
      <c r="E31" s="7"/>
      <c r="F31" s="7"/>
      <c r="G31" s="7" t="s">
        <v>1</v>
      </c>
      <c r="H31" s="7" t="s">
        <v>0</v>
      </c>
      <c r="J31" s="7" t="s">
        <v>3</v>
      </c>
      <c r="N31" s="7" t="s">
        <v>2</v>
      </c>
      <c r="P31" s="7"/>
      <c r="T31" s="6" t="s">
        <v>5</v>
      </c>
      <c r="Y31" s="7"/>
      <c r="Z31" s="7"/>
      <c r="AA31" s="6" t="s">
        <v>7</v>
      </c>
      <c r="AB31" s="6" t="s">
        <v>8</v>
      </c>
      <c r="AC31" s="7"/>
      <c r="AD31" s="7"/>
      <c r="AE31" s="7"/>
      <c r="AF31" s="7"/>
      <c r="AG31" s="6" t="s">
        <v>6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9" t="s">
        <v>607</v>
      </c>
      <c r="B32" s="9">
        <v>1921</v>
      </c>
      <c r="C32" s="7">
        <v>5</v>
      </c>
      <c r="D32" s="7" t="s">
        <v>2578</v>
      </c>
      <c r="E32" s="7"/>
      <c r="F32" s="7">
        <v>31</v>
      </c>
      <c r="G32" s="7" t="s">
        <v>1287</v>
      </c>
      <c r="H32" s="7" t="s">
        <v>1028</v>
      </c>
      <c r="I32">
        <v>21</v>
      </c>
      <c r="J32" s="7" t="s">
        <v>13</v>
      </c>
      <c r="K32">
        <v>1</v>
      </c>
      <c r="N32" s="7">
        <v>1</v>
      </c>
      <c r="P32" s="7"/>
      <c r="T32" s="6">
        <v>78</v>
      </c>
      <c r="Y32" s="7"/>
      <c r="Z32" s="7"/>
      <c r="AA32" s="6" t="s">
        <v>2547</v>
      </c>
      <c r="AB32" s="6" t="s">
        <v>8</v>
      </c>
      <c r="AC32" s="7">
        <v>1</v>
      </c>
      <c r="AD32" s="7">
        <v>1</v>
      </c>
      <c r="AE32" s="7"/>
      <c r="AF32" s="7">
        <v>1</v>
      </c>
      <c r="AG32" s="6" t="s">
        <v>14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9" t="s">
        <v>607</v>
      </c>
      <c r="B33" s="9">
        <v>1921</v>
      </c>
      <c r="C33" s="7">
        <v>5</v>
      </c>
      <c r="D33" s="7" t="s">
        <v>2578</v>
      </c>
      <c r="E33" s="7"/>
      <c r="F33" s="12"/>
      <c r="G33" s="6" t="s">
        <v>1287</v>
      </c>
      <c r="H33" s="12" t="s">
        <v>2548</v>
      </c>
      <c r="I33">
        <v>22</v>
      </c>
      <c r="J33" s="13">
        <v>1</v>
      </c>
      <c r="N33" s="6" t="s">
        <v>18</v>
      </c>
      <c r="O33">
        <v>1</v>
      </c>
      <c r="P33" s="12"/>
      <c r="T33" s="12">
        <v>72</v>
      </c>
      <c r="Y33" s="7"/>
      <c r="Z33" s="7">
        <f>SUM(Z3:Z32)</f>
        <v>0</v>
      </c>
      <c r="AA33" s="12" t="s">
        <v>50</v>
      </c>
      <c r="AB33" s="12" t="s">
        <v>20</v>
      </c>
      <c r="AC33" s="7"/>
      <c r="AD33" s="7"/>
      <c r="AE33" s="7"/>
      <c r="AF33" s="7">
        <v>1</v>
      </c>
      <c r="AG33" s="12" t="s">
        <v>2353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9" t="s">
        <v>607</v>
      </c>
      <c r="B34" s="9">
        <v>1921</v>
      </c>
      <c r="C34" s="7">
        <v>5</v>
      </c>
      <c r="D34" s="7" t="s">
        <v>2578</v>
      </c>
      <c r="E34" s="7"/>
      <c r="F34" s="12"/>
      <c r="G34" s="6" t="s">
        <v>2549</v>
      </c>
      <c r="H34" s="12" t="s">
        <v>2271</v>
      </c>
      <c r="I34">
        <v>23</v>
      </c>
      <c r="J34" s="15">
        <v>1</v>
      </c>
      <c r="N34" s="230" t="s">
        <v>26</v>
      </c>
      <c r="P34" s="16"/>
      <c r="S34">
        <v>1</v>
      </c>
      <c r="T34" s="12">
        <v>54</v>
      </c>
      <c r="Y34" s="7"/>
      <c r="Z34" s="7"/>
      <c r="AA34" s="12" t="s">
        <v>56</v>
      </c>
      <c r="AB34" s="14" t="s">
        <v>29</v>
      </c>
      <c r="AC34" s="20">
        <v>1</v>
      </c>
      <c r="AD34" s="7"/>
      <c r="AE34" s="7"/>
      <c r="AF34" s="7"/>
      <c r="AG34" s="12" t="s">
        <v>1634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9" t="s">
        <v>607</v>
      </c>
      <c r="B35" s="9">
        <v>1921</v>
      </c>
      <c r="C35" s="7">
        <v>5</v>
      </c>
      <c r="D35" s="7" t="s">
        <v>2578</v>
      </c>
      <c r="E35" s="7"/>
      <c r="F35" s="7"/>
      <c r="G35" s="21" t="s">
        <v>2551</v>
      </c>
      <c r="H35" s="21" t="s">
        <v>2550</v>
      </c>
      <c r="I35">
        <v>24</v>
      </c>
      <c r="J35" s="7">
        <v>1</v>
      </c>
      <c r="N35" s="7" t="s">
        <v>26</v>
      </c>
      <c r="P35" s="7"/>
      <c r="S35">
        <v>1</v>
      </c>
      <c r="T35" s="7">
        <v>17</v>
      </c>
      <c r="Y35" s="7"/>
      <c r="Z35" s="7"/>
      <c r="AA35" s="7" t="s">
        <v>56</v>
      </c>
      <c r="AB35" s="7" t="s">
        <v>29</v>
      </c>
      <c r="AC35" s="20">
        <v>1</v>
      </c>
      <c r="AD35" s="7"/>
      <c r="AE35" s="7"/>
      <c r="AF35" s="7"/>
      <c r="AG35" s="7" t="s">
        <v>2552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9" t="s">
        <v>607</v>
      </c>
      <c r="B36" s="9">
        <v>1921</v>
      </c>
      <c r="C36" s="7">
        <v>5</v>
      </c>
      <c r="D36" s="7" t="s">
        <v>2578</v>
      </c>
      <c r="E36" s="7"/>
      <c r="F36" s="7"/>
      <c r="G36" s="7" t="s">
        <v>2553</v>
      </c>
      <c r="H36" s="7" t="s">
        <v>24</v>
      </c>
      <c r="I36">
        <v>25</v>
      </c>
      <c r="J36" s="7">
        <v>1</v>
      </c>
      <c r="N36" s="7" t="s">
        <v>26</v>
      </c>
      <c r="P36" s="7"/>
      <c r="S36">
        <v>1</v>
      </c>
      <c r="T36" s="7">
        <v>41</v>
      </c>
      <c r="Y36" s="7"/>
      <c r="Z36" s="7"/>
      <c r="AA36" s="7" t="s">
        <v>2525</v>
      </c>
      <c r="AB36" s="7" t="s">
        <v>29</v>
      </c>
      <c r="AC36" s="7">
        <v>1</v>
      </c>
      <c r="AD36" s="7"/>
      <c r="AE36" s="7"/>
      <c r="AF36" s="7"/>
      <c r="AG36" s="7" t="s">
        <v>2554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9" t="s">
        <v>607</v>
      </c>
      <c r="B37" s="9">
        <v>1921</v>
      </c>
      <c r="C37" s="7"/>
      <c r="D37" s="7" t="s">
        <v>2578</v>
      </c>
      <c r="E37" s="7"/>
      <c r="F37" s="7"/>
      <c r="G37" s="7"/>
      <c r="H37" s="7">
        <v>5</v>
      </c>
      <c r="N37" s="7"/>
      <c r="O37" s="7"/>
      <c r="P37" s="7"/>
      <c r="T37" s="7"/>
      <c r="Y37" s="7"/>
      <c r="Z37" s="7"/>
      <c r="AA37" s="7"/>
      <c r="AB37" s="7"/>
      <c r="AC37" s="7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9" t="s">
        <v>607</v>
      </c>
      <c r="B38" s="9">
        <v>1921</v>
      </c>
      <c r="C38" s="7">
        <v>6</v>
      </c>
      <c r="D38" s="7" t="s">
        <v>2578</v>
      </c>
      <c r="E38" s="7"/>
      <c r="F38" s="7" t="s">
        <v>2555</v>
      </c>
      <c r="G38" s="7" t="s">
        <v>2556</v>
      </c>
      <c r="H38" s="7" t="s">
        <v>2558</v>
      </c>
      <c r="I38">
        <v>26</v>
      </c>
      <c r="K38">
        <v>1</v>
      </c>
      <c r="N38" s="7">
        <v>1</v>
      </c>
      <c r="O38" s="7"/>
      <c r="P38" s="7"/>
      <c r="T38" s="7">
        <v>50</v>
      </c>
      <c r="Y38" s="7"/>
      <c r="Z38" s="7"/>
      <c r="AA38" s="7" t="s">
        <v>2566</v>
      </c>
      <c r="AB38" s="7"/>
      <c r="AC38" s="205">
        <v>1</v>
      </c>
      <c r="AE38" s="7"/>
      <c r="AF38" s="7"/>
      <c r="AG38" s="7" t="s">
        <v>2562</v>
      </c>
      <c r="AH38" s="7"/>
      <c r="AI38" s="7"/>
      <c r="AJ38" s="259" t="s">
        <v>2580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">
      <c r="A39" s="9" t="s">
        <v>607</v>
      </c>
      <c r="B39" s="9">
        <v>1921</v>
      </c>
      <c r="C39" s="7">
        <v>6</v>
      </c>
      <c r="D39" s="7" t="s">
        <v>2578</v>
      </c>
      <c r="G39" s="205" t="s">
        <v>2579</v>
      </c>
      <c r="H39" s="205" t="s">
        <v>2559</v>
      </c>
      <c r="I39">
        <v>27</v>
      </c>
      <c r="J39">
        <v>1</v>
      </c>
      <c r="N39" s="258" t="s">
        <v>262</v>
      </c>
      <c r="S39">
        <v>1</v>
      </c>
      <c r="T39" s="205">
        <v>50</v>
      </c>
      <c r="AA39" s="205" t="s">
        <v>2565</v>
      </c>
      <c r="AC39" s="205">
        <v>1</v>
      </c>
      <c r="AG39" s="205" t="s">
        <v>2563</v>
      </c>
      <c r="AJ39" s="259" t="s">
        <v>2580</v>
      </c>
    </row>
    <row r="40" spans="1:51" x14ac:dyDescent="0.2">
      <c r="A40" s="9" t="s">
        <v>607</v>
      </c>
      <c r="B40" s="9">
        <v>1921</v>
      </c>
      <c r="C40" s="7">
        <v>6</v>
      </c>
      <c r="D40" s="7" t="s">
        <v>2578</v>
      </c>
      <c r="G40" t="s">
        <v>2561</v>
      </c>
      <c r="H40" s="205" t="s">
        <v>2581</v>
      </c>
      <c r="I40">
        <v>28</v>
      </c>
      <c r="J40">
        <v>1</v>
      </c>
      <c r="N40" s="258" t="s">
        <v>58</v>
      </c>
      <c r="R40">
        <v>1</v>
      </c>
      <c r="T40" s="205">
        <v>48</v>
      </c>
      <c r="AA40" s="205" t="s">
        <v>2481</v>
      </c>
      <c r="AG40" s="205" t="s">
        <v>2564</v>
      </c>
      <c r="AJ40" s="259" t="s">
        <v>2580</v>
      </c>
    </row>
    <row r="41" spans="1:51" x14ac:dyDescent="0.2">
      <c r="A41" s="9" t="s">
        <v>607</v>
      </c>
      <c r="B41" s="9">
        <v>1921</v>
      </c>
      <c r="C41" s="7"/>
      <c r="D41" s="7" t="s">
        <v>2578</v>
      </c>
      <c r="H41">
        <v>3</v>
      </c>
      <c r="AJ41" s="7"/>
    </row>
    <row r="42" spans="1:51" x14ac:dyDescent="0.2">
      <c r="A42" s="9" t="s">
        <v>607</v>
      </c>
      <c r="B42" s="9">
        <v>1921</v>
      </c>
      <c r="C42" s="7">
        <v>7</v>
      </c>
      <c r="D42" s="7" t="s">
        <v>2578</v>
      </c>
      <c r="F42" t="s">
        <v>2568</v>
      </c>
      <c r="G42" t="s">
        <v>2567</v>
      </c>
      <c r="H42" t="s">
        <v>2569</v>
      </c>
      <c r="I42">
        <v>29</v>
      </c>
      <c r="K42">
        <v>1</v>
      </c>
      <c r="N42">
        <v>1</v>
      </c>
      <c r="T42">
        <v>47</v>
      </c>
      <c r="AA42" t="s">
        <v>2571</v>
      </c>
      <c r="AC42">
        <v>1</v>
      </c>
      <c r="AJ42" s="7" t="s">
        <v>2557</v>
      </c>
    </row>
    <row r="43" spans="1:51" x14ac:dyDescent="0.2">
      <c r="A43" s="9" t="s">
        <v>607</v>
      </c>
      <c r="B43" s="9">
        <v>1921</v>
      </c>
      <c r="C43" s="7">
        <v>7</v>
      </c>
      <c r="D43" s="7" t="s">
        <v>2578</v>
      </c>
      <c r="G43" t="s">
        <v>1136</v>
      </c>
      <c r="H43" t="s">
        <v>464</v>
      </c>
      <c r="I43">
        <v>30</v>
      </c>
      <c r="K43">
        <v>1</v>
      </c>
      <c r="N43" t="s">
        <v>26</v>
      </c>
      <c r="S43">
        <v>1</v>
      </c>
      <c r="T43">
        <v>58</v>
      </c>
      <c r="AA43" t="s">
        <v>26</v>
      </c>
      <c r="AC43">
        <v>1</v>
      </c>
      <c r="AJ43" s="7" t="s">
        <v>2557</v>
      </c>
    </row>
    <row r="44" spans="1:51" x14ac:dyDescent="0.2">
      <c r="A44" s="9" t="s">
        <v>607</v>
      </c>
      <c r="B44" s="9">
        <v>1921</v>
      </c>
      <c r="C44" s="7">
        <v>7</v>
      </c>
      <c r="D44" s="7" t="s">
        <v>2578</v>
      </c>
      <c r="G44" t="s">
        <v>1136</v>
      </c>
      <c r="H44" t="s">
        <v>2570</v>
      </c>
      <c r="J44">
        <v>1</v>
      </c>
      <c r="N44" t="s">
        <v>26</v>
      </c>
      <c r="S44">
        <v>1</v>
      </c>
      <c r="T44">
        <v>47</v>
      </c>
      <c r="AA44" t="s">
        <v>26</v>
      </c>
      <c r="AC44">
        <v>1</v>
      </c>
      <c r="AJ44" s="7" t="s">
        <v>2557</v>
      </c>
    </row>
    <row r="45" spans="1:51" x14ac:dyDescent="0.2">
      <c r="A45" s="9" t="s">
        <v>607</v>
      </c>
      <c r="B45" s="9">
        <v>1921</v>
      </c>
      <c r="C45" s="7"/>
      <c r="D45" s="7" t="s">
        <v>2578</v>
      </c>
      <c r="H45">
        <v>3</v>
      </c>
      <c r="I45">
        <v>31</v>
      </c>
      <c r="AJ45" s="7" t="s">
        <v>2557</v>
      </c>
    </row>
    <row r="46" spans="1:51" x14ac:dyDescent="0.2">
      <c r="A46" s="9" t="s">
        <v>607</v>
      </c>
      <c r="B46" s="9">
        <v>1921</v>
      </c>
      <c r="C46" s="7">
        <v>8</v>
      </c>
      <c r="D46" s="7" t="s">
        <v>2578</v>
      </c>
      <c r="F46" t="s">
        <v>2577</v>
      </c>
      <c r="G46" t="s">
        <v>2572</v>
      </c>
      <c r="H46" t="s">
        <v>2573</v>
      </c>
      <c r="I46">
        <v>32</v>
      </c>
      <c r="K46">
        <v>1</v>
      </c>
      <c r="N46">
        <v>1</v>
      </c>
      <c r="T46">
        <v>69</v>
      </c>
      <c r="AA46" t="s">
        <v>2576</v>
      </c>
      <c r="AC46">
        <v>1</v>
      </c>
      <c r="AG46" t="s">
        <v>261</v>
      </c>
      <c r="AJ46" s="7" t="s">
        <v>2557</v>
      </c>
    </row>
    <row r="47" spans="1:51" x14ac:dyDescent="0.2">
      <c r="A47" s="9" t="s">
        <v>607</v>
      </c>
      <c r="B47" s="9">
        <v>1921</v>
      </c>
      <c r="C47" s="7">
        <v>8</v>
      </c>
      <c r="D47" s="7" t="s">
        <v>2578</v>
      </c>
      <c r="G47" t="s">
        <v>2572</v>
      </c>
      <c r="H47" t="s">
        <v>2574</v>
      </c>
      <c r="I47">
        <v>33</v>
      </c>
      <c r="J47">
        <v>1</v>
      </c>
      <c r="N47" t="s">
        <v>2481</v>
      </c>
      <c r="O47">
        <v>1</v>
      </c>
      <c r="T47">
        <v>69</v>
      </c>
      <c r="AG47" t="s">
        <v>261</v>
      </c>
    </row>
    <row r="48" spans="1:51" x14ac:dyDescent="0.2">
      <c r="A48" s="9" t="s">
        <v>607</v>
      </c>
      <c r="B48" s="9">
        <v>1921</v>
      </c>
      <c r="C48" s="7">
        <v>8</v>
      </c>
      <c r="D48" s="7" t="s">
        <v>2578</v>
      </c>
      <c r="G48" t="s">
        <v>316</v>
      </c>
      <c r="H48" t="s">
        <v>174</v>
      </c>
      <c r="I48">
        <v>34</v>
      </c>
      <c r="J48">
        <v>1</v>
      </c>
      <c r="N48" t="s">
        <v>262</v>
      </c>
      <c r="S48">
        <v>1</v>
      </c>
      <c r="T48">
        <v>46</v>
      </c>
      <c r="AC48">
        <v>1</v>
      </c>
      <c r="AF48">
        <v>1</v>
      </c>
      <c r="AG48" t="s">
        <v>255</v>
      </c>
    </row>
    <row r="49" spans="1:51" x14ac:dyDescent="0.2">
      <c r="A49" s="9" t="s">
        <v>607</v>
      </c>
      <c r="B49" s="9">
        <v>1921</v>
      </c>
      <c r="C49" s="7">
        <v>8</v>
      </c>
      <c r="D49" s="7" t="s">
        <v>2578</v>
      </c>
      <c r="G49" t="s">
        <v>683</v>
      </c>
      <c r="H49" t="s">
        <v>318</v>
      </c>
      <c r="I49">
        <v>35</v>
      </c>
      <c r="J49">
        <v>1</v>
      </c>
      <c r="N49" t="s">
        <v>262</v>
      </c>
      <c r="S49">
        <v>1</v>
      </c>
      <c r="T49">
        <v>29</v>
      </c>
      <c r="AC49">
        <v>1</v>
      </c>
      <c r="AG49" t="s">
        <v>2575</v>
      </c>
    </row>
    <row r="50" spans="1:51" x14ac:dyDescent="0.2">
      <c r="A50" s="9" t="s">
        <v>607</v>
      </c>
      <c r="B50" s="9">
        <v>1921</v>
      </c>
      <c r="C50" s="7">
        <v>8</v>
      </c>
      <c r="D50" s="7" t="s">
        <v>2578</v>
      </c>
      <c r="H50">
        <v>4</v>
      </c>
      <c r="I50">
        <v>35</v>
      </c>
      <c r="J50">
        <f t="shared" ref="J50:T50" si="0">SUM(J3:J49)</f>
        <v>26</v>
      </c>
      <c r="K50">
        <f t="shared" si="0"/>
        <v>9</v>
      </c>
      <c r="L50">
        <f t="shared" si="0"/>
        <v>0</v>
      </c>
      <c r="M50">
        <f t="shared" si="0"/>
        <v>0</v>
      </c>
      <c r="N50">
        <f t="shared" si="0"/>
        <v>8</v>
      </c>
      <c r="O50">
        <f t="shared" si="0"/>
        <v>4</v>
      </c>
      <c r="P50">
        <f t="shared" si="0"/>
        <v>1</v>
      </c>
      <c r="Q50">
        <f t="shared" si="0"/>
        <v>0</v>
      </c>
      <c r="R50">
        <f t="shared" si="0"/>
        <v>3</v>
      </c>
      <c r="S50">
        <f t="shared" si="0"/>
        <v>19</v>
      </c>
      <c r="T50">
        <f t="shared" si="0"/>
        <v>1646</v>
      </c>
      <c r="U50">
        <f>SUM(AG3:AG49)</f>
        <v>0</v>
      </c>
      <c r="V50">
        <f t="shared" ref="V50:AD50" si="1">SUM(V3:V49)</f>
        <v>0</v>
      </c>
      <c r="W50">
        <f t="shared" si="1"/>
        <v>0</v>
      </c>
      <c r="X50">
        <f t="shared" si="1"/>
        <v>0</v>
      </c>
      <c r="Y50">
        <f t="shared" si="1"/>
        <v>0</v>
      </c>
      <c r="Z50">
        <f t="shared" si="1"/>
        <v>0</v>
      </c>
      <c r="AA50">
        <f t="shared" si="1"/>
        <v>0</v>
      </c>
      <c r="AB50">
        <f t="shared" si="1"/>
        <v>0</v>
      </c>
      <c r="AC50">
        <f t="shared" si="1"/>
        <v>26</v>
      </c>
      <c r="AD50">
        <f t="shared" si="1"/>
        <v>3</v>
      </c>
      <c r="AE50">
        <f>AC50-AD50</f>
        <v>23</v>
      </c>
      <c r="AF50">
        <f>SUM(AF3:AF49)</f>
        <v>15</v>
      </c>
      <c r="AG50">
        <f>J51-AF50</f>
        <v>20</v>
      </c>
    </row>
    <row r="51" spans="1:51" x14ac:dyDescent="0.2">
      <c r="A51" s="9"/>
      <c r="B51" s="9"/>
      <c r="C51" s="7"/>
      <c r="D51" s="7"/>
      <c r="J51">
        <f>SUM(J50:M50)</f>
        <v>35</v>
      </c>
      <c r="T51" s="64">
        <f>T50/J51</f>
        <v>47.028571428571432</v>
      </c>
    </row>
    <row r="54" spans="1:51" ht="19" customHeight="1" x14ac:dyDescent="0.2">
      <c r="A54" s="9"/>
      <c r="B54" s="9"/>
      <c r="C54" s="7"/>
      <c r="D54" s="7"/>
      <c r="E54" s="7"/>
      <c r="F54" s="5"/>
      <c r="G54" s="5"/>
      <c r="H54" s="5" t="s">
        <v>0</v>
      </c>
      <c r="I54" t="s">
        <v>1</v>
      </c>
      <c r="J54" s="10" t="s">
        <v>2</v>
      </c>
      <c r="K54" t="s">
        <v>3</v>
      </c>
      <c r="L54" t="s">
        <v>4</v>
      </c>
      <c r="M54" t="s">
        <v>5</v>
      </c>
      <c r="N54" s="5" t="s">
        <v>6</v>
      </c>
      <c r="O54" t="s">
        <v>7</v>
      </c>
      <c r="P54" s="5" t="s">
        <v>8</v>
      </c>
      <c r="T54" s="5"/>
      <c r="X54" s="5"/>
      <c r="Y54" s="5"/>
      <c r="Z54" s="5"/>
      <c r="AA54" s="5"/>
      <c r="AB54" s="5"/>
      <c r="AC54" s="5"/>
      <c r="AD54" s="5"/>
      <c r="AE54" s="7"/>
      <c r="AF54" s="7"/>
      <c r="AG54" s="5" t="s">
        <v>6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9"/>
      <c r="B55" s="9"/>
      <c r="C55" s="7"/>
      <c r="D55" s="7"/>
      <c r="E55" s="7"/>
      <c r="F55" s="7"/>
      <c r="G55" s="7"/>
      <c r="H55" s="7" t="s">
        <v>2025</v>
      </c>
      <c r="I55" t="s">
        <v>2523</v>
      </c>
      <c r="J55" s="7" t="s">
        <v>12</v>
      </c>
      <c r="K55" t="s">
        <v>19</v>
      </c>
      <c r="L55">
        <v>1874</v>
      </c>
      <c r="M55">
        <v>46</v>
      </c>
      <c r="N55" s="7" t="s">
        <v>49</v>
      </c>
      <c r="O55" t="s">
        <v>2524</v>
      </c>
      <c r="P55" s="7" t="s">
        <v>20</v>
      </c>
      <c r="T55" s="6"/>
      <c r="X55" s="7"/>
      <c r="Y55" s="7"/>
      <c r="Z55" s="7"/>
      <c r="AA55" s="6"/>
      <c r="AB55" s="6"/>
      <c r="AC55" s="7"/>
      <c r="AD55" s="7"/>
      <c r="AE55" s="7"/>
      <c r="AF55" s="7"/>
      <c r="AG55" s="6" t="s">
        <v>2426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9"/>
      <c r="B56" s="9"/>
      <c r="C56" s="7"/>
      <c r="D56" s="7"/>
      <c r="E56" s="7"/>
      <c r="F56" s="7"/>
      <c r="G56" s="7"/>
      <c r="H56" s="7" t="s">
        <v>84</v>
      </c>
      <c r="I56" t="s">
        <v>42</v>
      </c>
      <c r="J56" s="7" t="s">
        <v>52</v>
      </c>
      <c r="K56" t="s">
        <v>19</v>
      </c>
      <c r="L56">
        <v>1864</v>
      </c>
      <c r="M56">
        <v>57</v>
      </c>
      <c r="N56" s="7" t="s">
        <v>40</v>
      </c>
      <c r="O56" t="s">
        <v>2525</v>
      </c>
      <c r="P56" s="7" t="s">
        <v>29</v>
      </c>
      <c r="T56" s="6"/>
      <c r="X56" s="7"/>
      <c r="Y56" s="7"/>
      <c r="Z56" s="7"/>
      <c r="AA56" s="6"/>
      <c r="AB56" s="6"/>
      <c r="AC56" s="7"/>
      <c r="AD56" s="7"/>
      <c r="AE56" s="7"/>
      <c r="AF56" s="7"/>
      <c r="AG56" s="6" t="s">
        <v>49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9"/>
      <c r="B57" s="9"/>
      <c r="C57" s="7"/>
      <c r="D57" s="7"/>
      <c r="E57" s="7"/>
      <c r="F57" s="7"/>
      <c r="G57" s="7"/>
      <c r="H57" s="7"/>
      <c r="J57" s="7"/>
      <c r="N57" s="7"/>
      <c r="P57" s="7"/>
      <c r="T57" s="6"/>
      <c r="X57" s="7"/>
      <c r="Y57" s="7"/>
      <c r="Z57" s="7"/>
      <c r="AA57" s="6"/>
      <c r="AB57" s="6"/>
      <c r="AC57" s="7"/>
      <c r="AD57" s="7"/>
      <c r="AE57" s="7"/>
      <c r="AF57" s="7"/>
      <c r="AG57" s="6" t="s">
        <v>49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9"/>
      <c r="B58" s="9"/>
      <c r="C58" s="7"/>
      <c r="D58" s="7"/>
      <c r="E58" s="7"/>
      <c r="F58" s="7"/>
      <c r="G58" s="7"/>
      <c r="H58" s="7" t="s">
        <v>0</v>
      </c>
      <c r="I58" t="s">
        <v>1</v>
      </c>
      <c r="J58" s="7" t="s">
        <v>2</v>
      </c>
      <c r="K58" t="s">
        <v>3</v>
      </c>
      <c r="L58" t="s">
        <v>4</v>
      </c>
      <c r="M58" t="s">
        <v>5</v>
      </c>
      <c r="N58" s="7" t="s">
        <v>6</v>
      </c>
      <c r="O58" t="s">
        <v>7</v>
      </c>
      <c r="P58" s="7" t="s">
        <v>8</v>
      </c>
      <c r="T58" s="6"/>
      <c r="X58" s="7"/>
      <c r="Y58" s="7"/>
      <c r="Z58" s="7"/>
      <c r="AA58" s="6"/>
      <c r="AB58" s="6"/>
      <c r="AC58" s="7"/>
      <c r="AD58" s="7"/>
      <c r="AE58" s="7"/>
      <c r="AF58" s="7"/>
      <c r="AG58" s="6" t="s">
        <v>2426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9"/>
      <c r="B59" s="9"/>
      <c r="C59" s="7"/>
      <c r="D59" s="7"/>
      <c r="E59" s="7" t="s">
        <v>2531</v>
      </c>
      <c r="F59" s="7"/>
      <c r="G59" s="7"/>
      <c r="H59" s="7" t="s">
        <v>1286</v>
      </c>
      <c r="I59" t="s">
        <v>743</v>
      </c>
      <c r="J59" s="7" t="s">
        <v>12</v>
      </c>
      <c r="K59" t="s">
        <v>13</v>
      </c>
      <c r="L59">
        <v>1840</v>
      </c>
      <c r="M59">
        <v>81</v>
      </c>
      <c r="N59" s="7" t="s">
        <v>2421</v>
      </c>
      <c r="O59" t="s">
        <v>2526</v>
      </c>
      <c r="P59" s="7" t="s">
        <v>8</v>
      </c>
      <c r="T59" s="6"/>
      <c r="X59" s="7"/>
      <c r="Y59" s="7"/>
      <c r="Z59" s="7"/>
      <c r="AA59" s="6"/>
      <c r="AB59" s="6"/>
      <c r="AC59" s="7"/>
      <c r="AD59" s="7"/>
      <c r="AE59" s="7"/>
      <c r="AF59" s="7"/>
      <c r="AG59" s="6" t="s">
        <v>2426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9"/>
      <c r="B60" s="9"/>
      <c r="C60" s="7"/>
      <c r="D60" s="7"/>
      <c r="E60" s="7"/>
      <c r="F60" s="7"/>
      <c r="G60" s="7"/>
      <c r="H60" s="7" t="s">
        <v>1912</v>
      </c>
      <c r="I60" t="s">
        <v>743</v>
      </c>
      <c r="J60" s="7" t="s">
        <v>18</v>
      </c>
      <c r="K60" t="s">
        <v>19</v>
      </c>
      <c r="L60">
        <v>1842</v>
      </c>
      <c r="M60">
        <v>78</v>
      </c>
      <c r="N60" s="7" t="s">
        <v>49</v>
      </c>
      <c r="O60" t="s">
        <v>50</v>
      </c>
      <c r="P60" s="7" t="s">
        <v>20</v>
      </c>
      <c r="T60" s="6"/>
      <c r="X60" s="7"/>
      <c r="Y60" s="7"/>
      <c r="Z60" s="7"/>
      <c r="AA60" s="6"/>
      <c r="AB60" s="6"/>
      <c r="AC60" s="7"/>
      <c r="AD60" s="7"/>
      <c r="AE60" s="7"/>
      <c r="AF60" s="7">
        <v>1</v>
      </c>
      <c r="AG60" s="6" t="s">
        <v>1199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.5" customHeight="1" x14ac:dyDescent="0.2">
      <c r="A61" s="9"/>
      <c r="B61" s="9"/>
      <c r="C61" s="7"/>
      <c r="D61" s="7"/>
      <c r="E61" s="7"/>
      <c r="F61" s="7"/>
      <c r="G61" s="7"/>
      <c r="H61" s="7" t="s">
        <v>2527</v>
      </c>
      <c r="I61" t="s">
        <v>2528</v>
      </c>
      <c r="J61" s="7" t="s">
        <v>26</v>
      </c>
      <c r="K61" t="s">
        <v>19</v>
      </c>
      <c r="L61">
        <v>1872</v>
      </c>
      <c r="M61">
        <v>48</v>
      </c>
      <c r="N61" s="7" t="s">
        <v>49</v>
      </c>
      <c r="O61" t="s">
        <v>344</v>
      </c>
      <c r="P61" s="7" t="s">
        <v>29</v>
      </c>
      <c r="T61" s="6"/>
      <c r="X61" s="7"/>
      <c r="Y61" s="7"/>
      <c r="Z61" s="7"/>
      <c r="AA61" s="6"/>
      <c r="AB61" s="6"/>
      <c r="AC61" s="7"/>
      <c r="AD61" s="7"/>
      <c r="AE61" s="7"/>
      <c r="AF61" s="7"/>
      <c r="AG61" s="6" t="s">
        <v>2435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9"/>
      <c r="B62" s="9"/>
      <c r="C62" s="7"/>
      <c r="D62" s="7"/>
      <c r="E62" s="7"/>
      <c r="F62" s="7"/>
      <c r="G62" s="7"/>
      <c r="H62" s="7" t="s">
        <v>2529</v>
      </c>
      <c r="I62" t="s">
        <v>2530</v>
      </c>
      <c r="J62" s="7" t="s">
        <v>26</v>
      </c>
      <c r="K62" t="s">
        <v>19</v>
      </c>
      <c r="L62">
        <v>1873</v>
      </c>
      <c r="M62">
        <v>48</v>
      </c>
      <c r="N62" s="7" t="s">
        <v>443</v>
      </c>
      <c r="O62" t="s">
        <v>344</v>
      </c>
      <c r="P62" s="7" t="s">
        <v>29</v>
      </c>
      <c r="T62" s="6"/>
      <c r="X62" s="7"/>
      <c r="Y62" s="7"/>
      <c r="Z62" s="7"/>
      <c r="AA62" s="6"/>
      <c r="AB62" s="6"/>
      <c r="AC62" s="7"/>
      <c r="AD62" s="7"/>
      <c r="AE62" s="7"/>
      <c r="AF62" s="7"/>
      <c r="AG62" s="6" t="s">
        <v>2437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" customHeight="1" x14ac:dyDescent="0.2">
      <c r="A63" s="9"/>
      <c r="B63" s="9"/>
      <c r="C63" s="7"/>
      <c r="D63" s="7"/>
      <c r="E63" s="7"/>
      <c r="F63" s="7"/>
      <c r="G63" s="7"/>
      <c r="H63" s="7"/>
      <c r="J63" s="7"/>
      <c r="N63" s="7"/>
      <c r="P63" s="7"/>
      <c r="T63" s="7"/>
      <c r="X63" s="7">
        <f>SUM(X54:X62)</f>
        <v>0</v>
      </c>
      <c r="Y63" s="7">
        <f>SUM(Y54:Y62)</f>
        <v>0</v>
      </c>
      <c r="Z63" s="7">
        <f>SUM(Z54:Z62)</f>
        <v>0</v>
      </c>
      <c r="AA63" s="7"/>
      <c r="AB63" s="7"/>
      <c r="AC63" s="7"/>
      <c r="AD63" s="7"/>
      <c r="AE63" s="7"/>
      <c r="AF63" s="7"/>
      <c r="AG63" s="7" t="s">
        <v>2439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.5" customHeight="1" x14ac:dyDescent="0.2">
      <c r="A64" s="9"/>
      <c r="B64" s="9"/>
      <c r="C64" s="7"/>
      <c r="D64" s="7"/>
      <c r="E64" s="7"/>
      <c r="F64" s="7"/>
      <c r="G64" s="7"/>
      <c r="H64" s="7" t="s">
        <v>0</v>
      </c>
      <c r="I64" t="s">
        <v>1</v>
      </c>
      <c r="J64" s="7" t="s">
        <v>2</v>
      </c>
      <c r="K64" t="s">
        <v>3</v>
      </c>
      <c r="L64" t="s">
        <v>4</v>
      </c>
      <c r="M64" t="s">
        <v>5</v>
      </c>
      <c r="N64" s="7" t="s">
        <v>6</v>
      </c>
      <c r="O64" t="s">
        <v>7</v>
      </c>
      <c r="P64" s="7" t="s">
        <v>8</v>
      </c>
      <c r="T64" s="6"/>
      <c r="X64" s="7"/>
      <c r="Y64" s="7"/>
      <c r="Z64" s="7"/>
      <c r="AA64" s="6"/>
      <c r="AB64" s="6"/>
      <c r="AC64" s="7"/>
      <c r="AD64" s="7"/>
      <c r="AE64" s="7"/>
      <c r="AF64" s="7"/>
      <c r="AG64" s="6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9"/>
      <c r="B65" s="9"/>
      <c r="C65" s="7"/>
      <c r="D65" s="7"/>
      <c r="E65" s="7" t="s">
        <v>2542</v>
      </c>
      <c r="F65" s="7"/>
      <c r="G65" s="7"/>
      <c r="H65" s="7" t="s">
        <v>758</v>
      </c>
      <c r="I65" t="s">
        <v>31</v>
      </c>
      <c r="J65" s="7" t="s">
        <v>12</v>
      </c>
      <c r="K65" t="s">
        <v>13</v>
      </c>
      <c r="L65">
        <v>1858</v>
      </c>
      <c r="M65">
        <v>63</v>
      </c>
      <c r="N65" s="7" t="s">
        <v>49</v>
      </c>
      <c r="O65" t="s">
        <v>753</v>
      </c>
      <c r="P65" s="7" t="s">
        <v>8</v>
      </c>
      <c r="T65" s="6"/>
      <c r="X65" s="7"/>
      <c r="Y65" s="7"/>
      <c r="Z65" s="7"/>
      <c r="AA65" s="6"/>
      <c r="AB65" s="6"/>
      <c r="AC65" s="7"/>
      <c r="AD65" s="7"/>
      <c r="AE65" s="7"/>
      <c r="AF65" s="7"/>
      <c r="AG65" s="6" t="s">
        <v>6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9"/>
      <c r="B66" s="9"/>
      <c r="C66" s="7"/>
      <c r="D66" s="7"/>
      <c r="E66" s="11"/>
      <c r="F66" s="12"/>
      <c r="G66" s="12"/>
      <c r="H66" s="12" t="s">
        <v>46</v>
      </c>
      <c r="I66" t="s">
        <v>31</v>
      </c>
      <c r="J66" s="200" t="s">
        <v>18</v>
      </c>
      <c r="K66" t="s">
        <v>19</v>
      </c>
      <c r="L66">
        <v>1858</v>
      </c>
      <c r="M66">
        <v>62</v>
      </c>
      <c r="N66" s="12" t="s">
        <v>49</v>
      </c>
      <c r="O66" t="s">
        <v>50</v>
      </c>
      <c r="P66" s="12" t="s">
        <v>20</v>
      </c>
      <c r="T66" s="12"/>
      <c r="X66" s="12"/>
      <c r="Y66" s="12"/>
      <c r="Z66" s="12"/>
      <c r="AA66" s="12"/>
      <c r="AB66" s="12"/>
      <c r="AC66" s="12"/>
      <c r="AD66" s="12"/>
      <c r="AE66" s="7"/>
      <c r="AF66" s="7">
        <v>1</v>
      </c>
      <c r="AG66" s="12" t="s">
        <v>14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28" customHeight="1" x14ac:dyDescent="0.2">
      <c r="A67" s="9"/>
      <c r="B67" s="9"/>
      <c r="C67" s="7"/>
      <c r="D67" s="7"/>
      <c r="E67" s="11"/>
      <c r="F67" s="12"/>
      <c r="G67" s="12"/>
      <c r="H67" s="12" t="s">
        <v>2532</v>
      </c>
      <c r="I67" t="s">
        <v>31</v>
      </c>
      <c r="J67" s="231" t="s">
        <v>1046</v>
      </c>
      <c r="K67" t="s">
        <v>13</v>
      </c>
      <c r="L67">
        <v>1912</v>
      </c>
      <c r="M67">
        <v>8</v>
      </c>
      <c r="N67" s="14" t="s">
        <v>49</v>
      </c>
      <c r="O67" t="s">
        <v>20</v>
      </c>
      <c r="P67" s="16" t="s">
        <v>20</v>
      </c>
      <c r="T67" s="12"/>
      <c r="X67" s="12"/>
      <c r="Y67" s="12"/>
      <c r="Z67" s="12"/>
      <c r="AA67" s="12"/>
      <c r="AB67" s="14"/>
      <c r="AC67" s="12"/>
      <c r="AD67" s="11"/>
      <c r="AE67" s="7"/>
      <c r="AF67" s="7">
        <v>1</v>
      </c>
      <c r="AG67" s="12" t="s">
        <v>14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9"/>
      <c r="B68" s="9"/>
      <c r="C68" s="7"/>
      <c r="D68" s="7"/>
      <c r="E68" s="7"/>
      <c r="F68" s="7"/>
      <c r="G68" s="7"/>
      <c r="H68" s="7" t="s">
        <v>2533</v>
      </c>
      <c r="I68" s="7" t="s">
        <v>2534</v>
      </c>
      <c r="J68" s="7" t="s">
        <v>58</v>
      </c>
      <c r="K68" s="7" t="s">
        <v>19</v>
      </c>
      <c r="L68" s="7">
        <v>1897</v>
      </c>
      <c r="M68" s="7">
        <v>24</v>
      </c>
      <c r="N68" s="7" t="s">
        <v>2535</v>
      </c>
      <c r="O68" s="7" t="s">
        <v>20</v>
      </c>
      <c r="P68" s="7" t="s">
        <v>20</v>
      </c>
      <c r="Q68" s="7"/>
      <c r="R68" s="7"/>
      <c r="S68" s="7"/>
      <c r="T68" s="7"/>
      <c r="U68" s="7">
        <f t="shared" ref="U68:Z68" si="2">SUM(U54:U67)</f>
        <v>0</v>
      </c>
      <c r="V68" s="7">
        <f t="shared" si="2"/>
        <v>0</v>
      </c>
      <c r="W68" s="7">
        <f t="shared" si="2"/>
        <v>0</v>
      </c>
      <c r="X68" s="7">
        <f t="shared" si="2"/>
        <v>0</v>
      </c>
      <c r="Y68" s="7">
        <f t="shared" si="2"/>
        <v>0</v>
      </c>
      <c r="Z68" s="7">
        <f t="shared" si="2"/>
        <v>0</v>
      </c>
      <c r="AA68" s="7"/>
      <c r="AB68" s="7"/>
      <c r="AC68" s="7"/>
      <c r="AD68" s="7"/>
      <c r="AE68" s="7"/>
      <c r="AF68" s="7">
        <f>SUM(AF54:AF67)</f>
        <v>3</v>
      </c>
      <c r="AG68" s="7" t="e">
        <f>I68-AF68</f>
        <v>#VALUE!</v>
      </c>
      <c r="AH68" s="7">
        <v>11</v>
      </c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.5" customHeight="1" x14ac:dyDescent="0.2">
      <c r="A69" s="9"/>
      <c r="B69" s="9"/>
      <c r="C69" s="7"/>
      <c r="D69" s="7"/>
      <c r="E69" s="7"/>
      <c r="F69" s="7"/>
      <c r="G69" s="7"/>
      <c r="H69" s="7" t="s">
        <v>336</v>
      </c>
      <c r="I69" s="7" t="s">
        <v>2536</v>
      </c>
      <c r="J69" s="7" t="s">
        <v>26</v>
      </c>
      <c r="K69" s="7" t="s">
        <v>19</v>
      </c>
      <c r="L69" s="7">
        <v>1894</v>
      </c>
      <c r="M69" s="6">
        <v>27</v>
      </c>
      <c r="N69" s="6" t="s">
        <v>14</v>
      </c>
      <c r="O69" s="6" t="s">
        <v>344</v>
      </c>
      <c r="P69" s="6" t="s">
        <v>29</v>
      </c>
      <c r="Q69" s="7"/>
      <c r="R69" s="6"/>
      <c r="S69" s="6"/>
      <c r="T69" s="20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.5" customHeight="1" x14ac:dyDescent="0.2">
      <c r="A70" s="7"/>
      <c r="B70" s="7"/>
      <c r="C70" s="7"/>
      <c r="D70" s="7"/>
      <c r="E70" s="7"/>
      <c r="F70" s="7"/>
      <c r="G70" s="7"/>
      <c r="H70" s="7" t="s">
        <v>24</v>
      </c>
      <c r="I70" s="7" t="s">
        <v>2537</v>
      </c>
      <c r="J70" s="7" t="s">
        <v>26</v>
      </c>
      <c r="K70" s="7" t="s">
        <v>19</v>
      </c>
      <c r="L70" s="7">
        <v>1869</v>
      </c>
      <c r="M70" s="6">
        <v>52</v>
      </c>
      <c r="N70" s="6" t="s">
        <v>368</v>
      </c>
      <c r="O70" s="6" t="s">
        <v>33</v>
      </c>
      <c r="P70" s="6" t="s">
        <v>29</v>
      </c>
      <c r="Q70" s="6"/>
      <c r="R70" s="6"/>
      <c r="S70" s="6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.5" customHeight="1" x14ac:dyDescent="0.2">
      <c r="A71" s="7"/>
      <c r="B71" s="7"/>
      <c r="C71" s="7"/>
      <c r="D71" s="7"/>
      <c r="E71" s="7"/>
      <c r="F71" s="7"/>
      <c r="G71" s="7"/>
      <c r="H71" s="7" t="s">
        <v>2538</v>
      </c>
      <c r="I71" s="7" t="s">
        <v>2539</v>
      </c>
      <c r="J71" s="7" t="s">
        <v>26</v>
      </c>
      <c r="K71" s="7" t="s">
        <v>19</v>
      </c>
      <c r="L71" s="7">
        <v>1878</v>
      </c>
      <c r="M71" s="6">
        <v>42</v>
      </c>
      <c r="N71" s="6" t="s">
        <v>449</v>
      </c>
      <c r="O71" s="6" t="s">
        <v>344</v>
      </c>
      <c r="P71" s="6" t="s">
        <v>29</v>
      </c>
      <c r="Q71" s="6"/>
      <c r="R71" s="6"/>
      <c r="S71" s="6"/>
      <c r="T71" s="7"/>
      <c r="U71" s="6"/>
      <c r="V71" s="6"/>
      <c r="W71" s="6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.5" customHeight="1" x14ac:dyDescent="0.2">
      <c r="A72" s="7"/>
      <c r="B72" s="7"/>
      <c r="C72" s="7"/>
      <c r="D72" s="7"/>
      <c r="E72" s="7"/>
      <c r="F72" s="5"/>
      <c r="G72" s="5"/>
      <c r="H72" s="5" t="s">
        <v>2540</v>
      </c>
      <c r="I72" s="5" t="s">
        <v>2541</v>
      </c>
      <c r="J72" s="5" t="s">
        <v>26</v>
      </c>
      <c r="K72" s="10" t="s">
        <v>19</v>
      </c>
      <c r="L72" s="5">
        <v>1901</v>
      </c>
      <c r="M72" s="5">
        <v>19</v>
      </c>
      <c r="N72" s="5" t="s">
        <v>2435</v>
      </c>
      <c r="O72" s="5" t="s">
        <v>344</v>
      </c>
      <c r="P72" s="5" t="s">
        <v>29</v>
      </c>
      <c r="Q72" s="7"/>
      <c r="R72" s="6"/>
      <c r="S72" s="6"/>
      <c r="T72" s="7"/>
      <c r="U72" s="6"/>
      <c r="V72" s="6"/>
      <c r="W72" s="6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7.5" customHeight="1" x14ac:dyDescent="0.2">
      <c r="A73" s="7"/>
      <c r="B73" s="7"/>
      <c r="C73" s="7"/>
      <c r="D73" s="7"/>
      <c r="E73" s="7"/>
      <c r="F73" s="7"/>
      <c r="G73" s="7"/>
      <c r="H73" s="7" t="s">
        <v>905</v>
      </c>
      <c r="I73" s="7" t="s">
        <v>177</v>
      </c>
      <c r="J73" s="7" t="s">
        <v>26</v>
      </c>
      <c r="K73" s="7" t="s">
        <v>19</v>
      </c>
      <c r="L73" s="7">
        <v>1901</v>
      </c>
      <c r="M73" s="6">
        <v>20</v>
      </c>
      <c r="N73" s="6" t="s">
        <v>20</v>
      </c>
      <c r="O73" s="6" t="s">
        <v>344</v>
      </c>
      <c r="P73" s="6" t="s">
        <v>29</v>
      </c>
      <c r="Q73" s="7"/>
      <c r="R73" s="6"/>
      <c r="S73" s="6"/>
      <c r="T73" s="7"/>
      <c r="U73" s="6"/>
      <c r="V73" s="6"/>
      <c r="W73" s="6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.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6"/>
      <c r="N74" s="6"/>
      <c r="O74" s="6"/>
      <c r="P74" s="6"/>
      <c r="Q74" s="7"/>
      <c r="R74" s="6"/>
      <c r="S74" s="6"/>
      <c r="T74" s="7"/>
      <c r="U74" s="6"/>
      <c r="V74" s="6"/>
      <c r="W74" s="6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7"/>
      <c r="B75" s="7"/>
      <c r="C75" s="7"/>
      <c r="D75" s="7"/>
      <c r="E75" s="7"/>
      <c r="F75" s="7"/>
      <c r="G75" s="7"/>
      <c r="H75" s="7" t="s">
        <v>0</v>
      </c>
      <c r="I75" s="7" t="s">
        <v>1</v>
      </c>
      <c r="J75" s="7" t="s">
        <v>2</v>
      </c>
      <c r="K75" s="7" t="s">
        <v>3</v>
      </c>
      <c r="L75" s="7" t="s">
        <v>4</v>
      </c>
      <c r="M75" s="6" t="s">
        <v>5</v>
      </c>
      <c r="N75" s="6" t="s">
        <v>6</v>
      </c>
      <c r="O75" s="6" t="s">
        <v>7</v>
      </c>
      <c r="P75" s="6" t="s">
        <v>8</v>
      </c>
      <c r="Q75" s="7"/>
      <c r="R75" s="6"/>
      <c r="S75" s="6"/>
      <c r="T75" s="7"/>
      <c r="U75" s="6"/>
      <c r="V75" s="6"/>
      <c r="W75" s="6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" customHeight="1" x14ac:dyDescent="0.2">
      <c r="A76" s="7"/>
      <c r="B76" s="7"/>
      <c r="C76" s="7"/>
      <c r="D76" s="7"/>
      <c r="E76" s="7"/>
      <c r="F76" s="7">
        <v>25</v>
      </c>
      <c r="G76" s="7"/>
      <c r="H76" s="7" t="s">
        <v>2252</v>
      </c>
      <c r="I76" s="7" t="s">
        <v>31</v>
      </c>
      <c r="J76" s="7" t="s">
        <v>12</v>
      </c>
      <c r="K76" s="7" t="s">
        <v>13</v>
      </c>
      <c r="L76" s="7">
        <v>1854</v>
      </c>
      <c r="M76" s="6">
        <v>67</v>
      </c>
      <c r="N76" s="6" t="s">
        <v>49</v>
      </c>
      <c r="O76" s="6" t="s">
        <v>424</v>
      </c>
      <c r="P76" s="6" t="s">
        <v>16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7"/>
      <c r="B77" s="7"/>
      <c r="C77" s="7"/>
      <c r="D77" s="7"/>
      <c r="E77" s="7"/>
      <c r="F77" s="7"/>
      <c r="G77" s="7"/>
      <c r="H77" s="7" t="s">
        <v>331</v>
      </c>
      <c r="I77" s="7" t="s">
        <v>31</v>
      </c>
      <c r="J77" s="7" t="s">
        <v>22</v>
      </c>
      <c r="K77" s="7" t="s">
        <v>19</v>
      </c>
      <c r="L77" s="7">
        <v>1886</v>
      </c>
      <c r="M77" s="6">
        <v>34</v>
      </c>
      <c r="N77" s="6" t="s">
        <v>14</v>
      </c>
      <c r="O77" s="6" t="s">
        <v>50</v>
      </c>
      <c r="P77" s="6" t="s">
        <v>20</v>
      </c>
      <c r="Q77" s="7"/>
      <c r="R77" s="6"/>
      <c r="S77" s="6"/>
      <c r="T77" s="19"/>
      <c r="U77" s="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.5" customHeight="1" x14ac:dyDescent="0.2">
      <c r="A78" s="7"/>
      <c r="B78" s="7"/>
      <c r="C78" s="7"/>
      <c r="D78" s="7"/>
      <c r="E78" s="7"/>
      <c r="F78" s="7"/>
      <c r="G78" s="7"/>
      <c r="H78" s="7" t="s">
        <v>336</v>
      </c>
      <c r="I78" s="7" t="s">
        <v>2543</v>
      </c>
      <c r="J78" s="7" t="s">
        <v>26</v>
      </c>
      <c r="K78" s="7" t="s">
        <v>19</v>
      </c>
      <c r="L78" s="7">
        <v>1860</v>
      </c>
      <c r="M78" s="6">
        <v>60</v>
      </c>
      <c r="N78" s="6" t="s">
        <v>368</v>
      </c>
      <c r="O78" s="6" t="s">
        <v>407</v>
      </c>
      <c r="P78" s="6" t="s">
        <v>29</v>
      </c>
      <c r="Q78" s="7"/>
      <c r="R78" s="6"/>
      <c r="S78" s="6"/>
      <c r="T78" s="7"/>
      <c r="U78" s="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.5" customHeight="1" x14ac:dyDescent="0.2">
      <c r="A79" s="7"/>
      <c r="B79" s="7"/>
      <c r="C79" s="7"/>
      <c r="D79" s="7"/>
      <c r="E79" s="7"/>
      <c r="F79" s="7"/>
      <c r="G79" s="7"/>
      <c r="H79" s="7" t="s">
        <v>2544</v>
      </c>
      <c r="I79" s="7" t="s">
        <v>2545</v>
      </c>
      <c r="J79" s="7" t="s">
        <v>26</v>
      </c>
      <c r="K79" s="7" t="s">
        <v>19</v>
      </c>
      <c r="L79" s="7">
        <v>1903</v>
      </c>
      <c r="M79" s="6">
        <v>18</v>
      </c>
      <c r="N79" s="6" t="s">
        <v>1976</v>
      </c>
      <c r="O79" s="6" t="s">
        <v>407</v>
      </c>
      <c r="P79" s="6" t="s">
        <v>29</v>
      </c>
      <c r="Q79" s="7"/>
      <c r="R79" s="6"/>
      <c r="S79" s="6"/>
      <c r="T79" s="7"/>
      <c r="U79" s="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7.5" customHeight="1" x14ac:dyDescent="0.2">
      <c r="A80" s="7"/>
      <c r="B80" s="7"/>
      <c r="C80" s="7"/>
      <c r="D80" s="7"/>
      <c r="E80" s="7"/>
      <c r="F80" s="7"/>
      <c r="G80" s="7"/>
      <c r="H80" s="7" t="s">
        <v>2080</v>
      </c>
      <c r="I80" s="7" t="s">
        <v>2546</v>
      </c>
      <c r="J80" s="7" t="s">
        <v>26</v>
      </c>
      <c r="K80" s="7" t="s">
        <v>19</v>
      </c>
      <c r="L80" s="7">
        <v>1904</v>
      </c>
      <c r="M80" s="6">
        <v>17</v>
      </c>
      <c r="N80" s="6" t="s">
        <v>1976</v>
      </c>
      <c r="O80" s="6" t="s">
        <v>407</v>
      </c>
      <c r="P80" s="6" t="s">
        <v>29</v>
      </c>
      <c r="Q80" s="7"/>
      <c r="R80" s="6"/>
      <c r="S80" s="6"/>
      <c r="T80" s="19"/>
      <c r="U80" s="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.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6"/>
      <c r="S81" s="6"/>
      <c r="T81" s="7"/>
      <c r="U81" s="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7.5" customHeight="1" x14ac:dyDescent="0.2">
      <c r="A82" s="7"/>
      <c r="B82" s="7"/>
      <c r="C82" s="7"/>
      <c r="D82" s="7"/>
      <c r="E82" s="7"/>
      <c r="F82" s="7"/>
      <c r="G82" s="7"/>
      <c r="H82" s="7" t="s">
        <v>0</v>
      </c>
      <c r="I82" s="7" t="s">
        <v>1</v>
      </c>
      <c r="J82" s="7" t="s">
        <v>2</v>
      </c>
      <c r="K82" s="7" t="s">
        <v>3</v>
      </c>
      <c r="L82" s="7" t="s">
        <v>4</v>
      </c>
      <c r="M82" s="6" t="s">
        <v>5</v>
      </c>
      <c r="N82" s="6" t="s">
        <v>6</v>
      </c>
      <c r="O82" s="6" t="s">
        <v>7</v>
      </c>
      <c r="P82" s="6" t="s">
        <v>8</v>
      </c>
      <c r="Q82" s="7"/>
      <c r="R82" s="6"/>
      <c r="S82" s="6"/>
      <c r="T82" s="7"/>
      <c r="U82" s="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7.5" customHeight="1" x14ac:dyDescent="0.2">
      <c r="A83" s="7"/>
      <c r="B83" s="7"/>
      <c r="C83" s="7"/>
      <c r="D83" s="7"/>
      <c r="E83" s="7"/>
      <c r="F83" s="7">
        <v>31</v>
      </c>
      <c r="G83" s="7"/>
      <c r="H83" s="7" t="s">
        <v>1028</v>
      </c>
      <c r="I83" s="7" t="s">
        <v>1287</v>
      </c>
      <c r="J83" s="7" t="s">
        <v>12</v>
      </c>
      <c r="K83" s="7" t="s">
        <v>13</v>
      </c>
      <c r="L83" s="7">
        <v>1843</v>
      </c>
      <c r="M83" s="6">
        <v>78</v>
      </c>
      <c r="N83" s="6" t="s">
        <v>14</v>
      </c>
      <c r="O83" s="6" t="s">
        <v>2547</v>
      </c>
      <c r="P83" s="6" t="s">
        <v>8</v>
      </c>
      <c r="Q83" s="7"/>
      <c r="R83" s="6"/>
      <c r="S83" s="6"/>
      <c r="T83" s="7"/>
      <c r="U83" s="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17" customHeight="1" x14ac:dyDescent="0.2">
      <c r="A84" s="4"/>
      <c r="B84" s="7"/>
      <c r="C84" s="7"/>
      <c r="D84" s="7"/>
      <c r="E84" s="7"/>
      <c r="F84" s="12"/>
      <c r="G84" s="12"/>
      <c r="H84" s="12" t="s">
        <v>2548</v>
      </c>
      <c r="I84" s="6" t="s">
        <v>1287</v>
      </c>
      <c r="J84" s="6" t="s">
        <v>18</v>
      </c>
      <c r="K84" s="13" t="s">
        <v>19</v>
      </c>
      <c r="L84" s="12">
        <v>1849</v>
      </c>
      <c r="M84" s="12">
        <v>72</v>
      </c>
      <c r="N84" s="12" t="s">
        <v>2353</v>
      </c>
      <c r="O84" s="12" t="s">
        <v>50</v>
      </c>
      <c r="P84" s="12" t="s">
        <v>20</v>
      </c>
      <c r="Q84" s="7"/>
      <c r="R84" s="7"/>
      <c r="S84" s="7"/>
      <c r="T84" s="7"/>
      <c r="U84" s="7">
        <f>SUM(U54:U83)</f>
        <v>0</v>
      </c>
      <c r="V84" s="7">
        <f>SUM(V54:V83)</f>
        <v>0</v>
      </c>
      <c r="W84" s="7">
        <f>SUM(W54:W83)</f>
        <v>0</v>
      </c>
      <c r="X84" s="7"/>
      <c r="Y84" s="7"/>
      <c r="Z84" s="7">
        <f>SUM(Z54:Z83)</f>
        <v>0</v>
      </c>
      <c r="AA84" s="7">
        <f>SUM(AA54:AA83)</f>
        <v>0</v>
      </c>
      <c r="AB84" s="7">
        <f>SUM(AB54:AB83)</f>
        <v>0</v>
      </c>
      <c r="AC84" s="7">
        <f>SUM(AC54:AC83)</f>
        <v>0</v>
      </c>
      <c r="AD84" s="7">
        <f>SUM(AD54:AD83)</f>
        <v>0</v>
      </c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17" customHeight="1" x14ac:dyDescent="0.2">
      <c r="A85" s="7"/>
      <c r="B85" s="7"/>
      <c r="C85" s="7"/>
      <c r="D85" s="7"/>
      <c r="E85" s="7"/>
      <c r="F85" s="12"/>
      <c r="G85" s="12"/>
      <c r="H85" s="12" t="s">
        <v>2271</v>
      </c>
      <c r="I85" s="6" t="s">
        <v>2549</v>
      </c>
      <c r="J85" s="230" t="s">
        <v>26</v>
      </c>
      <c r="K85" s="15" t="s">
        <v>19</v>
      </c>
      <c r="L85" s="16">
        <v>1867</v>
      </c>
      <c r="M85" s="12">
        <v>54</v>
      </c>
      <c r="N85" s="12" t="s">
        <v>1634</v>
      </c>
      <c r="O85" s="12" t="s">
        <v>56</v>
      </c>
      <c r="P85" s="14" t="s">
        <v>29</v>
      </c>
      <c r="Q85" s="20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17" customHeight="1" x14ac:dyDescent="0.2">
      <c r="A86" s="7"/>
      <c r="B86" s="7"/>
      <c r="C86" s="7"/>
      <c r="D86" s="7"/>
      <c r="E86" s="7"/>
      <c r="F86" s="7"/>
      <c r="G86" s="21"/>
      <c r="H86" s="21" t="s">
        <v>2550</v>
      </c>
      <c r="I86" s="21" t="s">
        <v>2551</v>
      </c>
      <c r="J86" s="7" t="s">
        <v>26</v>
      </c>
      <c r="K86" s="7" t="s">
        <v>19</v>
      </c>
      <c r="L86" s="7">
        <v>1903</v>
      </c>
      <c r="M86" s="7">
        <v>17</v>
      </c>
      <c r="N86" s="7" t="s">
        <v>2552</v>
      </c>
      <c r="O86" s="7" t="s">
        <v>56</v>
      </c>
      <c r="P86" s="7" t="s">
        <v>29</v>
      </c>
      <c r="Q86" s="20"/>
      <c r="R86" s="21"/>
      <c r="S86" s="21"/>
      <c r="T86" s="21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17.5" customHeight="1" x14ac:dyDescent="0.2">
      <c r="A87" s="7"/>
      <c r="B87" s="7"/>
      <c r="C87" s="7"/>
      <c r="D87" s="7"/>
      <c r="E87" s="7"/>
      <c r="F87" s="7"/>
      <c r="G87" s="7"/>
      <c r="H87" s="7" t="s">
        <v>24</v>
      </c>
      <c r="I87" s="7" t="s">
        <v>2553</v>
      </c>
      <c r="J87" s="7" t="s">
        <v>26</v>
      </c>
      <c r="K87" s="7" t="s">
        <v>19</v>
      </c>
      <c r="L87" s="7">
        <v>1880</v>
      </c>
      <c r="M87" s="7">
        <v>41</v>
      </c>
      <c r="N87" s="7" t="s">
        <v>2554</v>
      </c>
      <c r="O87" s="7" t="s">
        <v>2525</v>
      </c>
      <c r="P87" s="7" t="s">
        <v>29</v>
      </c>
      <c r="Q87" s="7"/>
      <c r="R87" s="6"/>
      <c r="S87" s="6"/>
      <c r="T87" s="19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ht="17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21"/>
      <c r="S88" s="21"/>
      <c r="T88" s="21"/>
      <c r="U88" s="7"/>
      <c r="V88" s="7"/>
      <c r="W88" s="7"/>
      <c r="X88" s="7"/>
      <c r="Y88" s="7"/>
      <c r="Z88" s="7"/>
      <c r="AA88" s="7"/>
      <c r="AB88" s="7"/>
      <c r="AC88" s="22"/>
      <c r="AD88" s="22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ht="17.5" customHeight="1" x14ac:dyDescent="0.2">
      <c r="A89" s="7"/>
      <c r="B89" s="7"/>
      <c r="C89" s="7"/>
      <c r="D89" s="7"/>
      <c r="E89" s="7"/>
      <c r="F89" s="7" t="s">
        <v>2555</v>
      </c>
      <c r="G89" s="7"/>
      <c r="H89" s="7" t="s">
        <v>2558</v>
      </c>
      <c r="I89" s="7" t="s">
        <v>2556</v>
      </c>
      <c r="J89" s="7" t="s">
        <v>12</v>
      </c>
      <c r="K89" s="7"/>
      <c r="L89" s="7"/>
      <c r="M89" s="7">
        <v>50</v>
      </c>
      <c r="N89" s="7" t="s">
        <v>2562</v>
      </c>
      <c r="O89" s="7" t="s">
        <v>2566</v>
      </c>
      <c r="P89" s="7"/>
      <c r="Q89" s="7" t="s">
        <v>2557</v>
      </c>
      <c r="R89" s="6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">
      <c r="H90" s="205" t="s">
        <v>2559</v>
      </c>
      <c r="J90" s="258" t="s">
        <v>262</v>
      </c>
      <c r="M90" s="205">
        <v>50</v>
      </c>
      <c r="N90" s="205" t="s">
        <v>2563</v>
      </c>
      <c r="O90" s="205" t="s">
        <v>2565</v>
      </c>
      <c r="Q90" s="7" t="s">
        <v>2557</v>
      </c>
    </row>
    <row r="91" spans="1:51" x14ac:dyDescent="0.2">
      <c r="H91" s="205" t="s">
        <v>2560</v>
      </c>
      <c r="I91" t="s">
        <v>2561</v>
      </c>
      <c r="J91" s="258" t="s">
        <v>58</v>
      </c>
      <c r="M91" s="205">
        <v>48</v>
      </c>
      <c r="N91" s="205" t="s">
        <v>2564</v>
      </c>
      <c r="O91" s="205" t="s">
        <v>2481</v>
      </c>
      <c r="Q91" s="7" t="s">
        <v>2557</v>
      </c>
    </row>
    <row r="92" spans="1:51" x14ac:dyDescent="0.2">
      <c r="Q92" s="7" t="s">
        <v>2557</v>
      </c>
    </row>
    <row r="93" spans="1:51" x14ac:dyDescent="0.2">
      <c r="F93" t="s">
        <v>2568</v>
      </c>
      <c r="H93" t="s">
        <v>2569</v>
      </c>
      <c r="I93" t="s">
        <v>2567</v>
      </c>
      <c r="J93" t="s">
        <v>12</v>
      </c>
      <c r="M93">
        <v>47</v>
      </c>
      <c r="O93" t="s">
        <v>2571</v>
      </c>
      <c r="Q93" s="7" t="s">
        <v>2557</v>
      </c>
    </row>
    <row r="94" spans="1:51" x14ac:dyDescent="0.2">
      <c r="H94" t="s">
        <v>464</v>
      </c>
      <c r="I94" t="s">
        <v>1136</v>
      </c>
      <c r="J94" t="s">
        <v>26</v>
      </c>
      <c r="M94">
        <v>58</v>
      </c>
      <c r="O94" t="s">
        <v>26</v>
      </c>
      <c r="Q94" s="7" t="s">
        <v>2557</v>
      </c>
    </row>
    <row r="95" spans="1:51" x14ac:dyDescent="0.2">
      <c r="H95" t="s">
        <v>2570</v>
      </c>
      <c r="I95" t="s">
        <v>1136</v>
      </c>
      <c r="J95" t="s">
        <v>26</v>
      </c>
      <c r="M95">
        <v>47</v>
      </c>
      <c r="O95" t="s">
        <v>26</v>
      </c>
      <c r="Q95" s="7" t="s">
        <v>2557</v>
      </c>
    </row>
    <row r="96" spans="1:51" x14ac:dyDescent="0.2">
      <c r="Q96" s="7" t="s">
        <v>2557</v>
      </c>
    </row>
    <row r="97" spans="6:17" x14ac:dyDescent="0.2">
      <c r="F97" t="s">
        <v>2577</v>
      </c>
      <c r="H97" t="s">
        <v>2573</v>
      </c>
      <c r="I97" t="s">
        <v>2572</v>
      </c>
      <c r="J97" t="s">
        <v>12</v>
      </c>
      <c r="M97">
        <v>69</v>
      </c>
      <c r="N97" t="s">
        <v>261</v>
      </c>
      <c r="O97" t="s">
        <v>2576</v>
      </c>
      <c r="Q97" s="7" t="s">
        <v>2557</v>
      </c>
    </row>
    <row r="98" spans="6:17" x14ac:dyDescent="0.2">
      <c r="H98" t="s">
        <v>2574</v>
      </c>
      <c r="I98" t="s">
        <v>2572</v>
      </c>
      <c r="J98" t="s">
        <v>2481</v>
      </c>
      <c r="M98">
        <v>69</v>
      </c>
      <c r="N98" t="s">
        <v>261</v>
      </c>
    </row>
    <row r="99" spans="6:17" x14ac:dyDescent="0.2">
      <c r="H99" t="s">
        <v>174</v>
      </c>
      <c r="I99" t="s">
        <v>316</v>
      </c>
      <c r="J99" t="s">
        <v>262</v>
      </c>
      <c r="M99">
        <v>46</v>
      </c>
      <c r="N99" t="s">
        <v>255</v>
      </c>
    </row>
    <row r="100" spans="6:17" x14ac:dyDescent="0.2">
      <c r="H100" t="s">
        <v>318</v>
      </c>
      <c r="I100" t="s">
        <v>683</v>
      </c>
      <c r="J100" t="s">
        <v>262</v>
      </c>
      <c r="M100">
        <v>29</v>
      </c>
      <c r="N100" t="s">
        <v>2575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2B65-3FCF-B34B-878B-F464ED8A61FD}">
  <dimension ref="A1:BC70"/>
  <sheetViews>
    <sheetView topLeftCell="A7" workbookViewId="0">
      <selection activeCell="D31" sqref="D31"/>
    </sheetView>
  </sheetViews>
  <sheetFormatPr baseColWidth="10" defaultColWidth="10.83203125" defaultRowHeight="16" x14ac:dyDescent="0.2"/>
  <cols>
    <col min="2" max="2" width="6.5" customWidth="1"/>
    <col min="4" max="4" width="17.83203125" customWidth="1"/>
    <col min="5" max="5" width="20.1640625" customWidth="1"/>
    <col min="6" max="6" width="9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2" max="32" width="19.1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609</v>
      </c>
      <c r="B3" s="9">
        <v>1921</v>
      </c>
      <c r="C3" s="7"/>
      <c r="D3" s="7" t="s">
        <v>3141</v>
      </c>
      <c r="E3" s="7"/>
      <c r="F3" s="5"/>
      <c r="G3" t="s">
        <v>1</v>
      </c>
      <c r="H3" s="5" t="s">
        <v>0</v>
      </c>
      <c r="J3" t="s">
        <v>3</v>
      </c>
      <c r="N3" t="s">
        <v>2</v>
      </c>
      <c r="T3" t="s">
        <v>5</v>
      </c>
      <c r="X3" s="5"/>
      <c r="Y3" s="5"/>
      <c r="Z3" s="5"/>
      <c r="AA3" t="s">
        <v>7</v>
      </c>
      <c r="AB3" t="s">
        <v>8</v>
      </c>
      <c r="AC3" s="5"/>
      <c r="AD3" s="5"/>
      <c r="AE3" s="7"/>
      <c r="AF3" s="10" t="s">
        <v>6</v>
      </c>
      <c r="AG3" s="5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609</v>
      </c>
      <c r="B4" s="9">
        <v>1921</v>
      </c>
      <c r="C4" s="7">
        <v>1</v>
      </c>
      <c r="D4" s="7" t="s">
        <v>3141</v>
      </c>
      <c r="E4" s="7" t="s">
        <v>3050</v>
      </c>
      <c r="F4" s="7"/>
      <c r="G4" t="s">
        <v>3043</v>
      </c>
      <c r="H4" s="7" t="s">
        <v>423</v>
      </c>
      <c r="I4">
        <v>1</v>
      </c>
      <c r="J4" t="s">
        <v>13</v>
      </c>
      <c r="K4">
        <v>1</v>
      </c>
      <c r="N4">
        <v>1</v>
      </c>
      <c r="T4">
        <v>67</v>
      </c>
      <c r="X4" s="7"/>
      <c r="Y4" s="7"/>
      <c r="Z4" s="7"/>
      <c r="AA4" t="s">
        <v>1998</v>
      </c>
      <c r="AB4" t="s">
        <v>1584</v>
      </c>
      <c r="AC4" s="7"/>
      <c r="AD4" s="7"/>
      <c r="AE4" s="7"/>
      <c r="AF4" s="7" t="s">
        <v>49</v>
      </c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609</v>
      </c>
      <c r="B5" s="9">
        <v>1921</v>
      </c>
      <c r="C5" s="7">
        <v>1</v>
      </c>
      <c r="D5" s="7" t="s">
        <v>3141</v>
      </c>
      <c r="E5" s="7"/>
      <c r="F5" s="7"/>
      <c r="G5" t="s">
        <v>3043</v>
      </c>
      <c r="H5" s="7" t="s">
        <v>170</v>
      </c>
      <c r="I5">
        <v>2</v>
      </c>
      <c r="J5">
        <v>1</v>
      </c>
      <c r="N5" t="s">
        <v>18</v>
      </c>
      <c r="O5">
        <v>1</v>
      </c>
      <c r="T5">
        <v>60</v>
      </c>
      <c r="X5" s="7"/>
      <c r="Y5" s="7"/>
      <c r="Z5" s="7"/>
      <c r="AA5" t="s">
        <v>47</v>
      </c>
      <c r="AB5" t="s">
        <v>20</v>
      </c>
      <c r="AC5" s="7"/>
      <c r="AD5" s="7"/>
      <c r="AE5" s="7"/>
      <c r="AF5" s="7" t="s">
        <v>149</v>
      </c>
      <c r="AG5" s="6">
        <v>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609</v>
      </c>
      <c r="B6" s="9">
        <v>1921</v>
      </c>
      <c r="C6" s="7">
        <v>1</v>
      </c>
      <c r="D6" s="7" t="s">
        <v>3141</v>
      </c>
      <c r="E6" s="7"/>
      <c r="F6" s="7"/>
      <c r="G6" t="s">
        <v>3043</v>
      </c>
      <c r="H6" s="7" t="s">
        <v>3044</v>
      </c>
      <c r="I6">
        <v>3</v>
      </c>
      <c r="J6">
        <v>1</v>
      </c>
      <c r="N6" t="s">
        <v>22</v>
      </c>
      <c r="P6">
        <v>1</v>
      </c>
      <c r="T6">
        <v>30</v>
      </c>
      <c r="X6" s="7"/>
      <c r="Y6" s="7"/>
      <c r="Z6" s="7"/>
      <c r="AA6" t="s">
        <v>3045</v>
      </c>
      <c r="AB6" t="s">
        <v>20</v>
      </c>
      <c r="AC6" s="7">
        <v>1</v>
      </c>
      <c r="AD6" s="7"/>
      <c r="AE6" s="7"/>
      <c r="AF6" s="7" t="s">
        <v>49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609</v>
      </c>
      <c r="B7" s="9">
        <v>1921</v>
      </c>
      <c r="C7" s="7">
        <v>1</v>
      </c>
      <c r="D7" s="7" t="s">
        <v>3141</v>
      </c>
      <c r="E7" s="7"/>
      <c r="F7" s="7"/>
      <c r="G7" t="s">
        <v>3046</v>
      </c>
      <c r="H7" s="7" t="s">
        <v>1220</v>
      </c>
      <c r="I7">
        <v>4</v>
      </c>
      <c r="J7">
        <v>1</v>
      </c>
      <c r="N7" t="s">
        <v>26</v>
      </c>
      <c r="S7">
        <v>1</v>
      </c>
      <c r="T7">
        <v>31</v>
      </c>
      <c r="X7" s="7"/>
      <c r="Y7" s="7"/>
      <c r="Z7" s="7"/>
      <c r="AA7" t="s">
        <v>33</v>
      </c>
      <c r="AB7" t="s">
        <v>3047</v>
      </c>
      <c r="AC7" s="7">
        <v>1</v>
      </c>
      <c r="AD7" s="7"/>
      <c r="AE7" s="7"/>
      <c r="AF7" s="7" t="s">
        <v>43</v>
      </c>
      <c r="AG7" s="6">
        <v>1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609</v>
      </c>
      <c r="B8" s="9">
        <v>1921</v>
      </c>
      <c r="C8" s="7">
        <v>1</v>
      </c>
      <c r="D8" s="7" t="s">
        <v>3141</v>
      </c>
      <c r="E8" s="7"/>
      <c r="F8" s="7"/>
      <c r="G8" t="s">
        <v>3049</v>
      </c>
      <c r="H8" s="7" t="s">
        <v>3048</v>
      </c>
      <c r="I8">
        <v>5</v>
      </c>
      <c r="J8">
        <v>1</v>
      </c>
      <c r="N8" t="s">
        <v>26</v>
      </c>
      <c r="S8">
        <v>1</v>
      </c>
      <c r="T8">
        <v>21</v>
      </c>
      <c r="X8" s="7"/>
      <c r="Y8" s="7"/>
      <c r="Z8" s="7"/>
      <c r="AA8" t="s">
        <v>137</v>
      </c>
      <c r="AB8" t="s">
        <v>3047</v>
      </c>
      <c r="AC8" s="7">
        <v>1</v>
      </c>
      <c r="AD8" s="7"/>
      <c r="AE8" s="7"/>
      <c r="AF8" s="7" t="s">
        <v>1587</v>
      </c>
      <c r="AG8" s="6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609</v>
      </c>
      <c r="B9" s="9"/>
      <c r="C9" s="7"/>
      <c r="D9" s="7"/>
      <c r="E9" s="7"/>
      <c r="F9" s="7"/>
      <c r="H9" s="7">
        <v>5</v>
      </c>
      <c r="X9" s="7"/>
      <c r="Y9" s="7"/>
      <c r="Z9" s="7"/>
      <c r="AC9" s="7"/>
      <c r="AD9" s="7"/>
      <c r="AE9" s="7"/>
      <c r="AF9" s="7"/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609</v>
      </c>
      <c r="B10" s="9">
        <v>1921</v>
      </c>
      <c r="C10" s="7"/>
      <c r="D10" s="7" t="s">
        <v>3141</v>
      </c>
      <c r="F10" s="7"/>
      <c r="G10" t="s">
        <v>1</v>
      </c>
      <c r="H10" s="7" t="s">
        <v>0</v>
      </c>
      <c r="N10" t="s">
        <v>2</v>
      </c>
      <c r="T10" t="s">
        <v>5</v>
      </c>
      <c r="X10" s="7"/>
      <c r="Y10" s="7"/>
      <c r="Z10" s="7"/>
      <c r="AA10" t="s">
        <v>7</v>
      </c>
      <c r="AB10" t="s">
        <v>8</v>
      </c>
      <c r="AC10" s="7"/>
      <c r="AD10" s="7"/>
      <c r="AE10" s="7"/>
      <c r="AF10" s="7" t="s">
        <v>6</v>
      </c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" customHeight="1" x14ac:dyDescent="0.2">
      <c r="A11" s="9" t="s">
        <v>609</v>
      </c>
      <c r="B11" s="9">
        <v>1921</v>
      </c>
      <c r="C11" s="7">
        <v>2</v>
      </c>
      <c r="D11" s="7" t="s">
        <v>3141</v>
      </c>
      <c r="E11" s="7" t="s">
        <v>3059</v>
      </c>
      <c r="F11" s="7"/>
      <c r="G11" t="s">
        <v>3051</v>
      </c>
      <c r="H11" s="7" t="s">
        <v>366</v>
      </c>
      <c r="I11">
        <v>6</v>
      </c>
      <c r="J11">
        <v>1</v>
      </c>
      <c r="N11" t="s">
        <v>437</v>
      </c>
      <c r="S11">
        <v>1</v>
      </c>
      <c r="T11">
        <v>26</v>
      </c>
      <c r="X11" s="7"/>
      <c r="Y11" s="7"/>
      <c r="Z11" s="7"/>
      <c r="AA11" t="s">
        <v>3053</v>
      </c>
      <c r="AB11" t="s">
        <v>29</v>
      </c>
      <c r="AC11" s="7">
        <v>1</v>
      </c>
      <c r="AD11" s="7"/>
      <c r="AE11" s="7"/>
      <c r="AF11" s="7" t="s">
        <v>3052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9" t="s">
        <v>609</v>
      </c>
      <c r="B12" s="9">
        <v>1921</v>
      </c>
      <c r="C12" s="7">
        <v>2</v>
      </c>
      <c r="D12" s="7" t="s">
        <v>3141</v>
      </c>
      <c r="E12" s="7"/>
      <c r="F12" s="7"/>
      <c r="G12" t="s">
        <v>1870</v>
      </c>
      <c r="H12" s="7" t="s">
        <v>1529</v>
      </c>
      <c r="I12">
        <v>7</v>
      </c>
      <c r="J12">
        <v>1</v>
      </c>
      <c r="N12" t="s">
        <v>437</v>
      </c>
      <c r="S12">
        <v>1</v>
      </c>
      <c r="T12">
        <v>24</v>
      </c>
      <c r="X12" s="7"/>
      <c r="Y12" s="7"/>
      <c r="Z12" s="7"/>
      <c r="AA12" t="s">
        <v>3055</v>
      </c>
      <c r="AB12" t="s">
        <v>29</v>
      </c>
      <c r="AC12" s="7">
        <v>1</v>
      </c>
      <c r="AD12" s="7"/>
      <c r="AE12" s="7"/>
      <c r="AF12" s="7" t="s">
        <v>3054</v>
      </c>
      <c r="AG12" s="6">
        <v>1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609</v>
      </c>
      <c r="B13" s="9">
        <v>1921</v>
      </c>
      <c r="C13" s="7">
        <v>2</v>
      </c>
      <c r="D13" s="7" t="s">
        <v>3141</v>
      </c>
      <c r="E13" s="7"/>
      <c r="F13" s="7"/>
      <c r="G13" t="s">
        <v>1414</v>
      </c>
      <c r="H13" s="7" t="s">
        <v>3056</v>
      </c>
      <c r="I13">
        <v>8</v>
      </c>
      <c r="J13">
        <v>1</v>
      </c>
      <c r="N13" t="s">
        <v>437</v>
      </c>
      <c r="S13">
        <v>1</v>
      </c>
      <c r="T13">
        <v>27</v>
      </c>
      <c r="X13" s="7"/>
      <c r="Y13" s="7"/>
      <c r="Z13" s="7"/>
      <c r="AA13" t="s">
        <v>3057</v>
      </c>
      <c r="AB13" t="s">
        <v>29</v>
      </c>
      <c r="AC13" s="7">
        <v>1</v>
      </c>
      <c r="AD13" s="7"/>
      <c r="AE13" s="7"/>
      <c r="AF13" s="7" t="s">
        <v>2756</v>
      </c>
      <c r="AG13" s="6">
        <v>1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609</v>
      </c>
      <c r="B14" s="9">
        <v>1921</v>
      </c>
      <c r="C14" s="7">
        <v>2</v>
      </c>
      <c r="D14" s="7" t="s">
        <v>3141</v>
      </c>
      <c r="E14" s="11"/>
      <c r="F14" s="12"/>
      <c r="G14" t="s">
        <v>42</v>
      </c>
      <c r="H14" s="6" t="s">
        <v>639</v>
      </c>
      <c r="I14">
        <v>9</v>
      </c>
      <c r="J14">
        <v>1</v>
      </c>
      <c r="N14" t="s">
        <v>437</v>
      </c>
      <c r="S14">
        <v>1</v>
      </c>
      <c r="T14">
        <v>19</v>
      </c>
      <c r="X14" s="12"/>
      <c r="Y14" s="12"/>
      <c r="Z14" s="12"/>
      <c r="AA14" t="s">
        <v>3058</v>
      </c>
      <c r="AB14" t="s">
        <v>29</v>
      </c>
      <c r="AC14" s="12">
        <v>1</v>
      </c>
      <c r="AD14" s="12"/>
      <c r="AE14" s="7"/>
      <c r="AF14" s="13" t="s">
        <v>14</v>
      </c>
      <c r="AG14" s="12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28" customHeight="1" x14ac:dyDescent="0.2">
      <c r="A15" s="9" t="s">
        <v>609</v>
      </c>
      <c r="B15" s="9"/>
      <c r="C15" s="7"/>
      <c r="D15" s="7"/>
      <c r="E15" s="11"/>
      <c r="F15" s="12"/>
      <c r="H15" s="6">
        <v>4</v>
      </c>
      <c r="X15" s="12"/>
      <c r="Y15" s="12"/>
      <c r="Z15" s="12"/>
      <c r="AC15" s="12"/>
      <c r="AD15" s="11"/>
      <c r="AE15" s="7"/>
      <c r="AF15" s="15"/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609</v>
      </c>
      <c r="B16" s="9">
        <v>1921</v>
      </c>
      <c r="C16" s="7"/>
      <c r="D16" s="7" t="s">
        <v>3141</v>
      </c>
      <c r="E16" s="7"/>
      <c r="F16" s="7"/>
      <c r="G16" t="s">
        <v>1</v>
      </c>
      <c r="H16" s="7" t="s">
        <v>0</v>
      </c>
      <c r="N16" t="s">
        <v>2</v>
      </c>
      <c r="T16" t="s">
        <v>5</v>
      </c>
      <c r="X16" s="7"/>
      <c r="Y16" s="7"/>
      <c r="Z16" s="7"/>
      <c r="AA16" t="s">
        <v>7</v>
      </c>
      <c r="AB16" s="7" t="s">
        <v>8</v>
      </c>
      <c r="AC16" s="12"/>
      <c r="AD16" s="7"/>
      <c r="AE16" s="7"/>
      <c r="AF16" s="7" t="s">
        <v>6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609</v>
      </c>
      <c r="B17" s="9">
        <v>1921</v>
      </c>
      <c r="C17" s="7">
        <v>3</v>
      </c>
      <c r="D17" s="7" t="s">
        <v>3141</v>
      </c>
      <c r="E17" s="7" t="s">
        <v>3083</v>
      </c>
      <c r="F17" s="7"/>
      <c r="G17" t="s">
        <v>118</v>
      </c>
      <c r="H17" s="7" t="s">
        <v>336</v>
      </c>
      <c r="I17">
        <v>10</v>
      </c>
      <c r="J17">
        <v>1</v>
      </c>
      <c r="N17" t="s">
        <v>52</v>
      </c>
      <c r="S17">
        <v>1</v>
      </c>
      <c r="T17">
        <v>54</v>
      </c>
      <c r="X17" s="7"/>
      <c r="Y17" s="7"/>
      <c r="Z17" s="7"/>
      <c r="AA17" t="s">
        <v>3080</v>
      </c>
      <c r="AB17" s="7" t="s">
        <v>29</v>
      </c>
      <c r="AC17" s="12">
        <v>1</v>
      </c>
      <c r="AD17" s="7"/>
      <c r="AE17" s="7"/>
      <c r="AF17" s="7" t="s">
        <v>3079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609</v>
      </c>
      <c r="B18" s="9">
        <v>1921</v>
      </c>
      <c r="C18" s="7">
        <v>3</v>
      </c>
      <c r="D18" s="7" t="s">
        <v>3141</v>
      </c>
      <c r="E18" s="7"/>
      <c r="F18" s="7"/>
      <c r="G18" t="s">
        <v>3081</v>
      </c>
      <c r="H18" s="7" t="s">
        <v>1344</v>
      </c>
      <c r="I18">
        <v>11</v>
      </c>
      <c r="J18">
        <v>1</v>
      </c>
      <c r="N18" t="s">
        <v>26</v>
      </c>
      <c r="S18">
        <v>1</v>
      </c>
      <c r="T18">
        <v>18</v>
      </c>
      <c r="X18" s="7"/>
      <c r="Y18" s="7"/>
      <c r="Z18" s="7"/>
      <c r="AA18" t="s">
        <v>28</v>
      </c>
      <c r="AB18" s="7" t="s">
        <v>29</v>
      </c>
      <c r="AC18" s="12">
        <v>1</v>
      </c>
      <c r="AD18" s="7"/>
      <c r="AE18" s="7"/>
      <c r="AF18" s="7" t="s">
        <v>3082</v>
      </c>
      <c r="AG18" s="7">
        <v>1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609</v>
      </c>
      <c r="B19" s="9">
        <v>1921</v>
      </c>
      <c r="C19" s="7">
        <v>3</v>
      </c>
      <c r="D19" s="7" t="s">
        <v>3141</v>
      </c>
      <c r="E19" s="7"/>
      <c r="F19" s="7"/>
      <c r="H19" s="7">
        <v>2</v>
      </c>
      <c r="N19" s="7"/>
      <c r="X19" s="7"/>
      <c r="Y19" s="7"/>
      <c r="Z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609</v>
      </c>
      <c r="B20" s="9"/>
      <c r="C20" s="7"/>
      <c r="D20" s="7"/>
    </row>
    <row r="21" spans="1:51" x14ac:dyDescent="0.2">
      <c r="A21" s="9" t="s">
        <v>609</v>
      </c>
      <c r="B21" s="9">
        <v>1921</v>
      </c>
      <c r="C21" s="7"/>
      <c r="D21" s="7" t="s">
        <v>3141</v>
      </c>
      <c r="G21" t="s">
        <v>1</v>
      </c>
      <c r="H21" t="s">
        <v>0</v>
      </c>
      <c r="J21" t="s">
        <v>3</v>
      </c>
      <c r="N21" t="s">
        <v>2</v>
      </c>
      <c r="T21" t="s">
        <v>5</v>
      </c>
      <c r="AA21" t="s">
        <v>7</v>
      </c>
      <c r="AB21" t="s">
        <v>8</v>
      </c>
      <c r="AF21" t="s">
        <v>6</v>
      </c>
    </row>
    <row r="22" spans="1:51" x14ac:dyDescent="0.2">
      <c r="A22" s="9" t="s">
        <v>609</v>
      </c>
      <c r="B22" s="9">
        <v>1921</v>
      </c>
      <c r="C22" s="7">
        <v>4</v>
      </c>
      <c r="D22" s="7" t="s">
        <v>3141</v>
      </c>
      <c r="E22" t="s">
        <v>3078</v>
      </c>
      <c r="G22" t="s">
        <v>3061</v>
      </c>
      <c r="H22" t="s">
        <v>3060</v>
      </c>
      <c r="I22">
        <v>12</v>
      </c>
      <c r="J22" t="s">
        <v>13</v>
      </c>
      <c r="K22">
        <v>1</v>
      </c>
      <c r="N22">
        <v>1</v>
      </c>
      <c r="T22">
        <v>60</v>
      </c>
      <c r="AA22" t="s">
        <v>3062</v>
      </c>
      <c r="AB22" t="s">
        <v>8</v>
      </c>
      <c r="AC22">
        <v>1</v>
      </c>
      <c r="AD22">
        <v>1</v>
      </c>
      <c r="AF22" t="s">
        <v>1900</v>
      </c>
      <c r="AG22">
        <v>1</v>
      </c>
    </row>
    <row r="23" spans="1:51" x14ac:dyDescent="0.2">
      <c r="A23" s="9" t="s">
        <v>609</v>
      </c>
      <c r="B23" s="9">
        <v>1921</v>
      </c>
      <c r="C23" s="7">
        <v>4</v>
      </c>
      <c r="D23" s="7" t="s">
        <v>3141</v>
      </c>
      <c r="G23" t="s">
        <v>3061</v>
      </c>
      <c r="H23" t="s">
        <v>3063</v>
      </c>
      <c r="I23">
        <v>13</v>
      </c>
      <c r="J23">
        <v>1</v>
      </c>
      <c r="N23" t="s">
        <v>18</v>
      </c>
      <c r="O23">
        <v>1</v>
      </c>
      <c r="T23">
        <v>48</v>
      </c>
      <c r="AA23" t="s">
        <v>50</v>
      </c>
      <c r="AB23" t="s">
        <v>20</v>
      </c>
      <c r="AF23" t="s">
        <v>1654</v>
      </c>
      <c r="AG23">
        <v>1</v>
      </c>
    </row>
    <row r="24" spans="1:51" x14ac:dyDescent="0.2">
      <c r="A24" s="9" t="s">
        <v>609</v>
      </c>
      <c r="B24" s="9">
        <v>1921</v>
      </c>
      <c r="C24" s="7">
        <v>4</v>
      </c>
      <c r="D24" s="7" t="s">
        <v>3141</v>
      </c>
      <c r="G24" t="s">
        <v>3061</v>
      </c>
      <c r="H24" t="s">
        <v>3064</v>
      </c>
      <c r="I24">
        <v>14</v>
      </c>
      <c r="J24">
        <v>1</v>
      </c>
      <c r="N24" t="s">
        <v>22</v>
      </c>
      <c r="P24">
        <v>1</v>
      </c>
      <c r="T24">
        <v>26</v>
      </c>
      <c r="AA24" t="s">
        <v>3065</v>
      </c>
      <c r="AB24" t="s">
        <v>16</v>
      </c>
      <c r="AC24">
        <v>1</v>
      </c>
      <c r="AF24" t="s">
        <v>49</v>
      </c>
    </row>
    <row r="25" spans="1:51" x14ac:dyDescent="0.2">
      <c r="A25" s="9" t="s">
        <v>609</v>
      </c>
      <c r="B25" s="9">
        <v>1921</v>
      </c>
      <c r="C25" s="7">
        <v>4</v>
      </c>
      <c r="D25" s="7" t="s">
        <v>3141</v>
      </c>
      <c r="G25" t="s">
        <v>3061</v>
      </c>
      <c r="H25" t="s">
        <v>3066</v>
      </c>
      <c r="I25">
        <v>15</v>
      </c>
      <c r="J25">
        <v>1</v>
      </c>
      <c r="N25" t="s">
        <v>58</v>
      </c>
      <c r="R25">
        <v>1</v>
      </c>
      <c r="T25">
        <v>33</v>
      </c>
      <c r="AA25" t="s">
        <v>3067</v>
      </c>
      <c r="AB25" t="s">
        <v>3068</v>
      </c>
      <c r="AC25">
        <v>1</v>
      </c>
      <c r="AF25" t="s">
        <v>415</v>
      </c>
      <c r="AG25">
        <v>1</v>
      </c>
    </row>
    <row r="26" spans="1:51" ht="17.5" customHeight="1" x14ac:dyDescent="0.2">
      <c r="A26" s="9" t="s">
        <v>609</v>
      </c>
      <c r="B26" s="9">
        <v>1921</v>
      </c>
      <c r="C26" s="7">
        <v>4</v>
      </c>
      <c r="D26" s="7" t="s">
        <v>3141</v>
      </c>
      <c r="E26" s="7"/>
      <c r="F26" s="7"/>
      <c r="G26" s="7" t="s">
        <v>3070</v>
      </c>
      <c r="H26" s="7" t="s">
        <v>3069</v>
      </c>
      <c r="I26">
        <v>16</v>
      </c>
      <c r="J26">
        <v>1</v>
      </c>
      <c r="N26" s="7" t="s">
        <v>58</v>
      </c>
      <c r="P26" s="7"/>
      <c r="R26">
        <v>1</v>
      </c>
      <c r="T26" s="7">
        <v>31</v>
      </c>
      <c r="X26" s="7"/>
      <c r="Y26" s="7"/>
      <c r="Z26" s="7"/>
      <c r="AA26" s="7" t="s">
        <v>1511</v>
      </c>
      <c r="AB26" s="7" t="s">
        <v>20</v>
      </c>
      <c r="AC26" s="7"/>
      <c r="AD26" s="7"/>
      <c r="AE26" s="7"/>
      <c r="AF26" s="7" t="s">
        <v>1900</v>
      </c>
      <c r="AG26" s="7">
        <v>1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609</v>
      </c>
      <c r="B27" s="9">
        <v>1921</v>
      </c>
      <c r="C27" s="7">
        <v>4</v>
      </c>
      <c r="D27" s="7" t="s">
        <v>3141</v>
      </c>
      <c r="E27" s="7"/>
      <c r="F27" s="7"/>
      <c r="G27" s="7" t="s">
        <v>3070</v>
      </c>
      <c r="H27" s="7" t="s">
        <v>3071</v>
      </c>
      <c r="I27">
        <v>17</v>
      </c>
      <c r="J27">
        <v>1</v>
      </c>
      <c r="N27" s="7" t="s">
        <v>58</v>
      </c>
      <c r="P27" s="7"/>
      <c r="R27">
        <v>1</v>
      </c>
      <c r="T27" s="6">
        <v>9</v>
      </c>
      <c r="X27" s="7"/>
      <c r="Y27" s="7"/>
      <c r="Z27" s="7"/>
      <c r="AA27" s="6" t="s">
        <v>20</v>
      </c>
      <c r="AB27" s="6" t="s">
        <v>20</v>
      </c>
      <c r="AC27" s="7"/>
      <c r="AD27" s="7"/>
      <c r="AE27" s="7"/>
      <c r="AF27" s="6" t="s">
        <v>43</v>
      </c>
      <c r="AG27" s="7">
        <v>1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" customHeight="1" x14ac:dyDescent="0.2">
      <c r="A28" s="9" t="s">
        <v>609</v>
      </c>
      <c r="B28" s="9">
        <v>1921</v>
      </c>
      <c r="C28" s="7">
        <v>4</v>
      </c>
      <c r="D28" s="7" t="s">
        <v>3141</v>
      </c>
      <c r="E28" s="7"/>
      <c r="F28" s="12"/>
      <c r="G28" s="12" t="s">
        <v>3072</v>
      </c>
      <c r="H28" s="6" t="s">
        <v>1318</v>
      </c>
      <c r="I28">
        <v>18</v>
      </c>
      <c r="J28">
        <v>1</v>
      </c>
      <c r="N28" s="12" t="s">
        <v>26</v>
      </c>
      <c r="P28" s="12"/>
      <c r="S28">
        <v>1</v>
      </c>
      <c r="T28" s="12">
        <v>26</v>
      </c>
      <c r="X28" s="7"/>
      <c r="Y28" s="7"/>
      <c r="Z28" s="7">
        <f>SUM(Z3:Z27)</f>
        <v>0</v>
      </c>
      <c r="AA28" s="12" t="s">
        <v>33</v>
      </c>
      <c r="AB28" s="12" t="s">
        <v>3073</v>
      </c>
      <c r="AC28" s="7">
        <v>1</v>
      </c>
      <c r="AD28" s="7"/>
      <c r="AE28" s="7">
        <f>AC28-AD28</f>
        <v>1</v>
      </c>
      <c r="AF28" s="12" t="s">
        <v>49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" customHeight="1" x14ac:dyDescent="0.2">
      <c r="A29" s="9" t="s">
        <v>609</v>
      </c>
      <c r="B29" s="9">
        <v>1921</v>
      </c>
      <c r="C29" s="7">
        <v>4</v>
      </c>
      <c r="D29" s="7" t="s">
        <v>3141</v>
      </c>
      <c r="G29" t="s">
        <v>2946</v>
      </c>
      <c r="H29" t="s">
        <v>429</v>
      </c>
      <c r="I29">
        <v>19</v>
      </c>
      <c r="J29">
        <v>1</v>
      </c>
      <c r="N29" t="s">
        <v>26</v>
      </c>
      <c r="S29">
        <v>1</v>
      </c>
      <c r="T29">
        <v>21</v>
      </c>
      <c r="AA29" t="s">
        <v>3074</v>
      </c>
      <c r="AB29" t="s">
        <v>3075</v>
      </c>
      <c r="AC29">
        <v>1</v>
      </c>
      <c r="AF29" t="s">
        <v>43</v>
      </c>
      <c r="AG29">
        <v>1</v>
      </c>
    </row>
    <row r="30" spans="1:51" ht="17" customHeight="1" x14ac:dyDescent="0.2">
      <c r="A30" s="9" t="s">
        <v>609</v>
      </c>
      <c r="B30" s="9">
        <v>1921</v>
      </c>
      <c r="C30" s="7">
        <v>4</v>
      </c>
      <c r="D30" s="7" t="s">
        <v>3141</v>
      </c>
      <c r="E30" s="7"/>
      <c r="F30" s="7"/>
      <c r="G30" t="s">
        <v>3072</v>
      </c>
      <c r="H30" s="5" t="s">
        <v>3076</v>
      </c>
      <c r="I30">
        <v>20</v>
      </c>
      <c r="J30">
        <v>1</v>
      </c>
      <c r="N30" s="10" t="s">
        <v>26</v>
      </c>
      <c r="S30">
        <v>1</v>
      </c>
      <c r="T30">
        <v>17</v>
      </c>
      <c r="X30" s="7"/>
      <c r="Y30" s="7"/>
      <c r="Z30" s="7"/>
      <c r="AA30" t="s">
        <v>137</v>
      </c>
      <c r="AB30" s="5" t="s">
        <v>3075</v>
      </c>
      <c r="AC30" s="7">
        <v>1</v>
      </c>
      <c r="AD30" s="7"/>
      <c r="AE30" s="7"/>
      <c r="AF30" s="5" t="s">
        <v>3077</v>
      </c>
      <c r="AG30" s="7">
        <v>1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609</v>
      </c>
      <c r="B31" s="9">
        <v>1921</v>
      </c>
      <c r="C31" s="7">
        <v>4</v>
      </c>
      <c r="D31" s="7" t="s">
        <v>3141</v>
      </c>
      <c r="E31" s="7"/>
      <c r="F31" s="7"/>
      <c r="G31" s="7"/>
      <c r="H31" s="7"/>
      <c r="I31">
        <v>20</v>
      </c>
      <c r="J31" s="7">
        <f>SUM(J3:J30)</f>
        <v>18</v>
      </c>
      <c r="K31" s="7">
        <f t="shared" ref="K31:AD31" si="0">SUM(K3:K30)</f>
        <v>2</v>
      </c>
      <c r="L31" s="7">
        <f t="shared" si="0"/>
        <v>0</v>
      </c>
      <c r="M31" s="7">
        <f t="shared" si="0"/>
        <v>0</v>
      </c>
      <c r="N31" s="7">
        <f t="shared" si="0"/>
        <v>2</v>
      </c>
      <c r="O31" s="7">
        <f t="shared" si="0"/>
        <v>2</v>
      </c>
      <c r="P31" s="7">
        <f t="shared" si="0"/>
        <v>2</v>
      </c>
      <c r="Q31" s="7">
        <f t="shared" si="0"/>
        <v>0</v>
      </c>
      <c r="R31" s="7">
        <f t="shared" si="0"/>
        <v>3</v>
      </c>
      <c r="S31" s="7">
        <f t="shared" si="0"/>
        <v>11</v>
      </c>
      <c r="T31" s="7">
        <f t="shared" si="0"/>
        <v>648</v>
      </c>
      <c r="U31" s="7">
        <f>SUM(AF3:AF30)</f>
        <v>0</v>
      </c>
      <c r="V31" s="7">
        <f>SUM(AA3:AA30)</f>
        <v>0</v>
      </c>
      <c r="W31" s="7">
        <f>SUM(AB3:AB30)</f>
        <v>0</v>
      </c>
      <c r="X31" s="7">
        <f t="shared" si="0"/>
        <v>0</v>
      </c>
      <c r="Y31" s="7">
        <f t="shared" si="0"/>
        <v>0</v>
      </c>
      <c r="Z31" s="7">
        <f t="shared" si="0"/>
        <v>0</v>
      </c>
      <c r="AA31" s="7"/>
      <c r="AB31" s="7"/>
      <c r="AC31" s="7">
        <f t="shared" si="0"/>
        <v>15</v>
      </c>
      <c r="AD31" s="7">
        <f t="shared" si="0"/>
        <v>1</v>
      </c>
      <c r="AE31" s="7">
        <f>AC31-AD31</f>
        <v>14</v>
      </c>
      <c r="AF31" s="7">
        <f>N32-AG31</f>
        <v>7</v>
      </c>
      <c r="AG31" s="7">
        <f>SUM(AG3:AG30)</f>
        <v>13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9" t="s">
        <v>609</v>
      </c>
      <c r="B32" s="9">
        <v>1921</v>
      </c>
      <c r="C32" s="7"/>
      <c r="D32" s="7" t="s">
        <v>3141</v>
      </c>
      <c r="E32" s="7"/>
      <c r="F32" s="7"/>
      <c r="G32" s="7"/>
      <c r="H32" s="7"/>
      <c r="J32" s="7">
        <f>SUM(J31:M31)</f>
        <v>20</v>
      </c>
      <c r="N32" s="7">
        <f>SUM(N31:S31)</f>
        <v>20</v>
      </c>
      <c r="P32" s="7"/>
      <c r="Q32" s="7"/>
      <c r="R32" s="21"/>
      <c r="S32" s="21"/>
      <c r="T32" s="20">
        <f>T31/N32</f>
        <v>32.4</v>
      </c>
      <c r="U32" s="7"/>
      <c r="V32" s="7"/>
      <c r="W32" s="7"/>
      <c r="X32" s="7"/>
      <c r="Y32" s="7"/>
      <c r="Z32" s="7"/>
      <c r="AA32" s="7"/>
      <c r="AB32" s="7"/>
      <c r="AC32" s="22"/>
      <c r="AD32" s="22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/>
      <c r="J33" s="7"/>
      <c r="N33" s="7"/>
      <c r="P33" s="7"/>
      <c r="Q33" s="7"/>
      <c r="R33" s="6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">
      <c r="H34" s="7"/>
      <c r="J34" s="7"/>
      <c r="N34" s="7"/>
      <c r="P34" s="7"/>
    </row>
    <row r="35" spans="1:51" x14ac:dyDescent="0.2">
      <c r="H35" s="7"/>
      <c r="J35" s="7"/>
      <c r="N35" s="7"/>
      <c r="P35" s="7"/>
    </row>
    <row r="36" spans="1:51" x14ac:dyDescent="0.2">
      <c r="H36" s="7"/>
      <c r="J36" s="7"/>
      <c r="N36" s="7"/>
      <c r="P36" s="7"/>
    </row>
    <row r="37" spans="1:51" x14ac:dyDescent="0.2">
      <c r="H37" s="7"/>
      <c r="J37" s="7"/>
      <c r="N37" s="7"/>
      <c r="P37" s="7"/>
    </row>
    <row r="38" spans="1:51" x14ac:dyDescent="0.2">
      <c r="H38" s="7"/>
      <c r="J38" s="7"/>
      <c r="N38" s="7"/>
      <c r="P38" s="7"/>
    </row>
    <row r="39" spans="1:51" x14ac:dyDescent="0.2">
      <c r="H39" s="7"/>
      <c r="J39" s="7"/>
      <c r="N39" s="7"/>
      <c r="P39" s="7"/>
    </row>
    <row r="40" spans="1:51" x14ac:dyDescent="0.2">
      <c r="H40" s="7"/>
      <c r="J40" s="7"/>
      <c r="N40" s="7"/>
      <c r="P40" s="7"/>
    </row>
    <row r="41" spans="1:51" x14ac:dyDescent="0.2">
      <c r="H41" s="6"/>
      <c r="J41" s="13"/>
      <c r="N41" s="12"/>
      <c r="P41" s="12"/>
    </row>
    <row r="42" spans="1:51" x14ac:dyDescent="0.2">
      <c r="H42" s="6"/>
      <c r="J42" s="15"/>
      <c r="N42" s="14"/>
      <c r="P42" s="16"/>
    </row>
    <row r="43" spans="1:51" ht="19" customHeight="1" x14ac:dyDescent="0.2">
      <c r="A43" s="9"/>
      <c r="B43" s="9"/>
      <c r="C43" s="7"/>
      <c r="D43" s="7"/>
      <c r="E43" s="7"/>
      <c r="F43" s="5"/>
      <c r="H43" s="5" t="s">
        <v>0</v>
      </c>
      <c r="I43" t="s">
        <v>1</v>
      </c>
      <c r="J43" t="s">
        <v>2</v>
      </c>
      <c r="K43" t="s">
        <v>3</v>
      </c>
      <c r="L43" t="s">
        <v>4</v>
      </c>
      <c r="M43" t="s">
        <v>5</v>
      </c>
      <c r="N43" s="10" t="s">
        <v>6</v>
      </c>
      <c r="O43" t="s">
        <v>7</v>
      </c>
      <c r="P43" t="s">
        <v>8</v>
      </c>
      <c r="X43" s="5"/>
      <c r="Y43" s="5"/>
      <c r="Z43" s="5"/>
      <c r="AB43" s="5"/>
      <c r="AC43" s="5"/>
      <c r="AD43" s="5"/>
      <c r="AE43" s="7"/>
      <c r="AF43" s="5"/>
      <c r="AG43" s="5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9"/>
      <c r="B44" s="9"/>
      <c r="C44" s="7"/>
      <c r="D44" s="7"/>
      <c r="E44" s="7" t="s">
        <v>3050</v>
      </c>
      <c r="F44" s="7"/>
      <c r="H44" s="7" t="s">
        <v>423</v>
      </c>
      <c r="I44" t="s">
        <v>3043</v>
      </c>
      <c r="J44" t="s">
        <v>12</v>
      </c>
      <c r="K44" t="s">
        <v>13</v>
      </c>
      <c r="L44">
        <v>1854</v>
      </c>
      <c r="M44">
        <v>67</v>
      </c>
      <c r="N44" s="7" t="s">
        <v>49</v>
      </c>
      <c r="O44" t="s">
        <v>1998</v>
      </c>
      <c r="P44" t="s">
        <v>1584</v>
      </c>
      <c r="X44" s="7"/>
      <c r="Y44" s="7"/>
      <c r="Z44" s="7"/>
      <c r="AB44" s="7"/>
      <c r="AC44" s="7"/>
      <c r="AD44" s="7"/>
      <c r="AE44" s="7"/>
      <c r="AF44" s="7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9"/>
      <c r="B45" s="9"/>
      <c r="C45" s="7"/>
      <c r="D45" s="7"/>
      <c r="E45" s="7"/>
      <c r="F45" s="7"/>
      <c r="H45" s="7" t="s">
        <v>170</v>
      </c>
      <c r="I45" t="s">
        <v>3043</v>
      </c>
      <c r="J45" t="s">
        <v>18</v>
      </c>
      <c r="K45" t="s">
        <v>19</v>
      </c>
      <c r="L45">
        <v>1860</v>
      </c>
      <c r="M45">
        <v>60</v>
      </c>
      <c r="N45" s="7" t="s">
        <v>149</v>
      </c>
      <c r="O45" t="s">
        <v>47</v>
      </c>
      <c r="P45" t="s">
        <v>20</v>
      </c>
      <c r="X45" s="7"/>
      <c r="Y45" s="7"/>
      <c r="Z45" s="7"/>
      <c r="AB45" s="7"/>
      <c r="AC45" s="7"/>
      <c r="AD45" s="7"/>
      <c r="AE45" s="7"/>
      <c r="AF45" s="7"/>
      <c r="AG45" s="6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9"/>
      <c r="B46" s="9"/>
      <c r="C46" s="7"/>
      <c r="D46" s="7"/>
      <c r="E46" s="7"/>
      <c r="F46" s="7"/>
      <c r="H46" s="7" t="s">
        <v>3044</v>
      </c>
      <c r="I46" t="s">
        <v>3043</v>
      </c>
      <c r="J46" t="s">
        <v>22</v>
      </c>
      <c r="K46" t="s">
        <v>19</v>
      </c>
      <c r="L46">
        <v>1891</v>
      </c>
      <c r="M46">
        <v>30</v>
      </c>
      <c r="N46" s="7" t="s">
        <v>49</v>
      </c>
      <c r="O46" t="s">
        <v>3045</v>
      </c>
      <c r="P46" t="s">
        <v>20</v>
      </c>
      <c r="X46" s="7"/>
      <c r="Y46" s="7"/>
      <c r="Z46" s="7"/>
      <c r="AB46" s="7"/>
      <c r="AC46" s="7"/>
      <c r="AD46" s="7"/>
      <c r="AE46" s="7"/>
      <c r="AF46" s="7"/>
      <c r="AG46" s="6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9"/>
      <c r="B47" s="9"/>
      <c r="C47" s="7"/>
      <c r="D47" s="7"/>
      <c r="E47" s="7"/>
      <c r="F47" s="7"/>
      <c r="H47" s="7" t="s">
        <v>1220</v>
      </c>
      <c r="I47" t="s">
        <v>3046</v>
      </c>
      <c r="J47" t="s">
        <v>26</v>
      </c>
      <c r="K47" t="s">
        <v>19</v>
      </c>
      <c r="L47">
        <v>1889</v>
      </c>
      <c r="M47">
        <v>31</v>
      </c>
      <c r="N47" s="7" t="s">
        <v>43</v>
      </c>
      <c r="O47" t="s">
        <v>33</v>
      </c>
      <c r="P47" t="s">
        <v>3047</v>
      </c>
      <c r="X47" s="7"/>
      <c r="Y47" s="7"/>
      <c r="Z47" s="7"/>
      <c r="AB47" s="7"/>
      <c r="AC47" s="7"/>
      <c r="AD47" s="7"/>
      <c r="AE47" s="7"/>
      <c r="AF47" s="7"/>
      <c r="AG47" s="6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9"/>
      <c r="B48" s="9"/>
      <c r="C48" s="7"/>
      <c r="D48" s="7"/>
      <c r="E48" s="7"/>
      <c r="F48" s="7"/>
      <c r="H48" s="7" t="s">
        <v>3048</v>
      </c>
      <c r="I48" t="s">
        <v>3049</v>
      </c>
      <c r="J48" t="s">
        <v>26</v>
      </c>
      <c r="K48" t="s">
        <v>19</v>
      </c>
      <c r="L48">
        <v>1900</v>
      </c>
      <c r="M48">
        <v>21</v>
      </c>
      <c r="N48" s="7" t="s">
        <v>1587</v>
      </c>
      <c r="O48" t="s">
        <v>137</v>
      </c>
      <c r="P48" t="s">
        <v>3047</v>
      </c>
      <c r="X48" s="7"/>
      <c r="Y48" s="7"/>
      <c r="Z48" s="7"/>
      <c r="AB48" s="7"/>
      <c r="AC48" s="7"/>
      <c r="AD48" s="7"/>
      <c r="AE48" s="7"/>
      <c r="AF48" s="7"/>
      <c r="AG48" s="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9"/>
      <c r="B49" s="9"/>
      <c r="C49" s="7"/>
      <c r="D49" s="7"/>
      <c r="E49" s="7"/>
      <c r="F49" s="7"/>
      <c r="H49" s="7"/>
      <c r="N49" s="7"/>
      <c r="X49" s="7"/>
      <c r="Y49" s="7"/>
      <c r="Z49" s="7"/>
      <c r="AB49" s="7"/>
      <c r="AC49" s="7"/>
      <c r="AD49" s="7"/>
      <c r="AE49" s="7"/>
      <c r="AF49" s="7"/>
      <c r="AG49" s="6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9"/>
      <c r="B50" s="9"/>
      <c r="C50" s="7"/>
      <c r="D50" s="7"/>
      <c r="F50" s="7"/>
      <c r="H50" s="7" t="s">
        <v>0</v>
      </c>
      <c r="I50" t="s">
        <v>1</v>
      </c>
      <c r="J50" t="s">
        <v>2</v>
      </c>
      <c r="K50" t="s">
        <v>3</v>
      </c>
      <c r="L50" t="s">
        <v>4</v>
      </c>
      <c r="M50" t="s">
        <v>5</v>
      </c>
      <c r="N50" s="7" t="s">
        <v>6</v>
      </c>
      <c r="O50" t="s">
        <v>7</v>
      </c>
      <c r="P50" t="s">
        <v>8</v>
      </c>
      <c r="X50" s="7"/>
      <c r="Y50" s="7"/>
      <c r="Z50" s="7"/>
      <c r="AB50" s="7"/>
      <c r="AC50" s="7"/>
      <c r="AD50" s="7"/>
      <c r="AE50" s="7"/>
      <c r="AF50" s="7"/>
      <c r="AG50" s="6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" customHeight="1" x14ac:dyDescent="0.2">
      <c r="A51" s="9"/>
      <c r="B51" s="9"/>
      <c r="C51" s="7"/>
      <c r="D51" s="7"/>
      <c r="E51" s="7" t="s">
        <v>3059</v>
      </c>
      <c r="F51" s="7"/>
      <c r="H51" s="7" t="s">
        <v>366</v>
      </c>
      <c r="I51" t="s">
        <v>3051</v>
      </c>
      <c r="J51" t="s">
        <v>437</v>
      </c>
      <c r="K51" t="s">
        <v>19</v>
      </c>
      <c r="L51">
        <v>1894</v>
      </c>
      <c r="M51">
        <v>26</v>
      </c>
      <c r="N51" s="7" t="s">
        <v>3052</v>
      </c>
      <c r="O51" t="s">
        <v>3053</v>
      </c>
      <c r="P51" t="s">
        <v>29</v>
      </c>
      <c r="X51" s="7"/>
      <c r="Y51" s="7"/>
      <c r="Z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9"/>
      <c r="B52" s="9"/>
      <c r="C52" s="7"/>
      <c r="D52" s="7"/>
      <c r="E52" s="7"/>
      <c r="F52" s="7"/>
      <c r="H52" s="7" t="s">
        <v>1529</v>
      </c>
      <c r="I52" t="s">
        <v>1870</v>
      </c>
      <c r="J52" t="s">
        <v>437</v>
      </c>
      <c r="K52" t="s">
        <v>19</v>
      </c>
      <c r="L52">
        <v>1896</v>
      </c>
      <c r="M52">
        <v>24</v>
      </c>
      <c r="N52" s="7" t="s">
        <v>3054</v>
      </c>
      <c r="O52" t="s">
        <v>3055</v>
      </c>
      <c r="P52" t="s">
        <v>29</v>
      </c>
      <c r="X52" s="7"/>
      <c r="Y52" s="7"/>
      <c r="Z52" s="7"/>
      <c r="AB52" s="7"/>
      <c r="AC52" s="7"/>
      <c r="AD52" s="7"/>
      <c r="AE52" s="7"/>
      <c r="AF52" s="7"/>
      <c r="AG52" s="6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s="55" customFormat="1" ht="17.5" customHeight="1" x14ac:dyDescent="0.2">
      <c r="A53" s="226"/>
      <c r="B53" s="226"/>
      <c r="C53" s="227"/>
      <c r="D53" s="227"/>
      <c r="E53" s="227"/>
      <c r="F53" s="227"/>
      <c r="H53" s="227" t="s">
        <v>3056</v>
      </c>
      <c r="I53" s="55" t="s">
        <v>1414</v>
      </c>
      <c r="J53" s="55" t="s">
        <v>437</v>
      </c>
      <c r="K53" s="55" t="s">
        <v>19</v>
      </c>
      <c r="L53" s="55">
        <v>1894</v>
      </c>
      <c r="M53" s="55">
        <v>27</v>
      </c>
      <c r="N53" s="227" t="s">
        <v>2756</v>
      </c>
      <c r="O53" s="55" t="s">
        <v>3057</v>
      </c>
      <c r="P53" s="55" t="s">
        <v>29</v>
      </c>
      <c r="X53" s="227"/>
      <c r="Y53" s="227"/>
      <c r="Z53" s="227"/>
      <c r="AB53" s="227"/>
      <c r="AC53" s="227"/>
      <c r="AD53" s="227"/>
      <c r="AE53" s="227"/>
      <c r="AF53" s="227"/>
      <c r="AG53" s="229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</row>
    <row r="54" spans="1:51" ht="17.5" customHeight="1" x14ac:dyDescent="0.2">
      <c r="A54" s="9"/>
      <c r="B54" s="9"/>
      <c r="C54" s="7"/>
      <c r="D54" s="7"/>
      <c r="E54" s="11"/>
      <c r="F54" s="12"/>
      <c r="H54" s="6" t="s">
        <v>639</v>
      </c>
      <c r="I54" t="s">
        <v>42</v>
      </c>
      <c r="J54" s="55" t="s">
        <v>437</v>
      </c>
      <c r="K54" t="s">
        <v>19</v>
      </c>
      <c r="L54">
        <v>1902</v>
      </c>
      <c r="M54">
        <v>19</v>
      </c>
      <c r="N54" s="13" t="s">
        <v>14</v>
      </c>
      <c r="O54" t="s">
        <v>3058</v>
      </c>
      <c r="P54" t="s">
        <v>29</v>
      </c>
      <c r="X54" s="12"/>
      <c r="Y54" s="12"/>
      <c r="Z54" s="12"/>
      <c r="AB54" s="12"/>
      <c r="AC54" s="12"/>
      <c r="AD54" s="12"/>
      <c r="AE54" s="7"/>
      <c r="AF54" s="12"/>
      <c r="AG54" s="12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28" customHeight="1" x14ac:dyDescent="0.2">
      <c r="A55" s="9"/>
      <c r="B55" s="9"/>
      <c r="C55" s="7"/>
      <c r="D55" s="7"/>
      <c r="E55" s="11"/>
      <c r="F55" s="12"/>
      <c r="H55" s="6"/>
      <c r="J55" s="55"/>
      <c r="N55" s="15"/>
      <c r="X55" s="12"/>
      <c r="Y55" s="12"/>
      <c r="Z55" s="12"/>
      <c r="AB55" s="16"/>
      <c r="AC55" s="12"/>
      <c r="AD55" s="11"/>
      <c r="AE55" s="7"/>
      <c r="AF55" s="14"/>
      <c r="AG55" s="12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9"/>
      <c r="B56" s="9"/>
      <c r="C56" s="7"/>
      <c r="D56" s="7"/>
      <c r="E56" s="7"/>
      <c r="F56" s="7"/>
      <c r="G56" s="7"/>
      <c r="H56" s="7" t="s">
        <v>0</v>
      </c>
      <c r="I56" t="s">
        <v>1</v>
      </c>
      <c r="J56" s="55" t="s">
        <v>2</v>
      </c>
      <c r="K56" t="s">
        <v>3</v>
      </c>
      <c r="L56" t="s">
        <v>4</v>
      </c>
      <c r="M56" t="s">
        <v>5</v>
      </c>
      <c r="N56" s="7" t="s">
        <v>6</v>
      </c>
      <c r="O56" t="s">
        <v>7</v>
      </c>
      <c r="P56" s="7" t="s">
        <v>8</v>
      </c>
      <c r="T56" s="7"/>
      <c r="X56" s="7"/>
      <c r="Y56" s="7"/>
      <c r="Z56" s="7"/>
      <c r="AA56" s="7"/>
      <c r="AB56" s="7"/>
      <c r="AC56" s="12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9"/>
      <c r="B57" s="9"/>
      <c r="C57" s="7"/>
      <c r="D57" s="7"/>
      <c r="E57" s="7" t="s">
        <v>3083</v>
      </c>
      <c r="F57" s="7"/>
      <c r="G57" s="7"/>
      <c r="H57" s="7" t="s">
        <v>336</v>
      </c>
      <c r="I57" t="s">
        <v>118</v>
      </c>
      <c r="J57" s="55" t="s">
        <v>52</v>
      </c>
      <c r="K57" t="s">
        <v>19</v>
      </c>
      <c r="L57">
        <v>1867</v>
      </c>
      <c r="M57">
        <v>54</v>
      </c>
      <c r="N57" s="7" t="s">
        <v>3079</v>
      </c>
      <c r="O57" t="s">
        <v>3080</v>
      </c>
      <c r="P57" s="7" t="s">
        <v>29</v>
      </c>
      <c r="T57" s="6"/>
      <c r="X57" s="7"/>
      <c r="Y57" s="7"/>
      <c r="Z57" s="7"/>
      <c r="AA57" s="6"/>
      <c r="AB57" s="6"/>
      <c r="AC57" s="12"/>
      <c r="AD57" s="7"/>
      <c r="AE57" s="7"/>
      <c r="AF57" s="6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9"/>
      <c r="B58" s="9"/>
      <c r="C58" s="7"/>
      <c r="D58" s="7"/>
      <c r="E58" s="7"/>
      <c r="F58" s="7"/>
      <c r="G58" s="7"/>
      <c r="H58" s="7" t="s">
        <v>1344</v>
      </c>
      <c r="I58" t="s">
        <v>3081</v>
      </c>
      <c r="J58" s="55" t="s">
        <v>26</v>
      </c>
      <c r="K58" t="s">
        <v>19</v>
      </c>
      <c r="L58">
        <v>1903</v>
      </c>
      <c r="M58">
        <v>18</v>
      </c>
      <c r="N58" s="7" t="s">
        <v>3082</v>
      </c>
      <c r="O58" t="s">
        <v>28</v>
      </c>
      <c r="P58" s="7" t="s">
        <v>29</v>
      </c>
      <c r="T58" s="6"/>
      <c r="X58" s="7"/>
      <c r="Y58" s="7"/>
      <c r="Z58" s="7"/>
      <c r="AA58" s="6"/>
      <c r="AB58" s="6"/>
      <c r="AC58" s="12"/>
      <c r="AD58" s="7"/>
      <c r="AE58" s="7"/>
      <c r="AF58" s="6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9"/>
      <c r="B59" s="9"/>
      <c r="C59" s="7"/>
      <c r="D59" s="7"/>
      <c r="E59" s="7"/>
      <c r="F59" s="7"/>
      <c r="G59" s="7"/>
      <c r="H59" s="7"/>
      <c r="J59" s="7"/>
      <c r="N59" s="7"/>
      <c r="P59" s="7"/>
      <c r="T59" s="6"/>
      <c r="X59" s="7"/>
      <c r="Y59" s="7"/>
      <c r="Z59" s="7"/>
      <c r="AA59" s="6"/>
      <c r="AB59" s="6"/>
      <c r="AC59" s="7"/>
      <c r="AD59" s="7"/>
      <c r="AE59" s="7"/>
      <c r="AF59" s="6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">
      <c r="H60" t="s">
        <v>0</v>
      </c>
      <c r="I60" t="s">
        <v>1</v>
      </c>
      <c r="J60" t="s">
        <v>2</v>
      </c>
      <c r="K60" t="s">
        <v>3</v>
      </c>
      <c r="L60" t="s">
        <v>4</v>
      </c>
      <c r="M60" t="s">
        <v>5</v>
      </c>
      <c r="N60" t="s">
        <v>6</v>
      </c>
      <c r="O60" t="s">
        <v>7</v>
      </c>
      <c r="P60" t="s">
        <v>8</v>
      </c>
    </row>
    <row r="61" spans="1:51" x14ac:dyDescent="0.2">
      <c r="E61" t="s">
        <v>3078</v>
      </c>
      <c r="H61" t="s">
        <v>3060</v>
      </c>
      <c r="I61" t="s">
        <v>3061</v>
      </c>
      <c r="J61" t="s">
        <v>12</v>
      </c>
      <c r="K61" t="s">
        <v>13</v>
      </c>
      <c r="L61">
        <v>1860</v>
      </c>
      <c r="M61">
        <v>60</v>
      </c>
      <c r="N61" t="s">
        <v>1900</v>
      </c>
      <c r="O61" t="s">
        <v>3062</v>
      </c>
      <c r="P61" t="s">
        <v>8</v>
      </c>
    </row>
    <row r="62" spans="1:51" x14ac:dyDescent="0.2">
      <c r="H62" t="s">
        <v>3063</v>
      </c>
      <c r="I62" t="s">
        <v>3061</v>
      </c>
      <c r="J62" t="s">
        <v>18</v>
      </c>
      <c r="K62" t="s">
        <v>19</v>
      </c>
      <c r="L62">
        <v>1873</v>
      </c>
      <c r="M62">
        <v>48</v>
      </c>
      <c r="N62" t="s">
        <v>1654</v>
      </c>
      <c r="O62" t="s">
        <v>50</v>
      </c>
      <c r="P62" t="s">
        <v>20</v>
      </c>
    </row>
    <row r="63" spans="1:51" x14ac:dyDescent="0.2">
      <c r="H63" t="s">
        <v>3064</v>
      </c>
      <c r="I63" t="s">
        <v>3061</v>
      </c>
      <c r="J63" t="s">
        <v>22</v>
      </c>
      <c r="K63" t="s">
        <v>19</v>
      </c>
      <c r="L63">
        <v>1895</v>
      </c>
      <c r="M63">
        <v>26</v>
      </c>
      <c r="N63" t="s">
        <v>49</v>
      </c>
      <c r="O63" t="s">
        <v>3065</v>
      </c>
      <c r="P63" t="s">
        <v>16</v>
      </c>
    </row>
    <row r="64" spans="1:51" x14ac:dyDescent="0.2">
      <c r="H64" t="s">
        <v>3066</v>
      </c>
      <c r="I64" t="s">
        <v>3061</v>
      </c>
      <c r="J64" t="s">
        <v>58</v>
      </c>
      <c r="K64" t="s">
        <v>19</v>
      </c>
      <c r="L64">
        <v>1887</v>
      </c>
      <c r="M64">
        <v>33</v>
      </c>
      <c r="N64" t="s">
        <v>415</v>
      </c>
      <c r="O64" t="s">
        <v>3067</v>
      </c>
      <c r="P64" t="s">
        <v>3068</v>
      </c>
    </row>
    <row r="65" spans="1:51" ht="17.5" customHeight="1" x14ac:dyDescent="0.2">
      <c r="A65" s="9"/>
      <c r="B65" s="9"/>
      <c r="C65" s="7"/>
      <c r="D65" s="7"/>
      <c r="E65" s="7"/>
      <c r="F65" s="7"/>
      <c r="G65" s="7"/>
      <c r="H65" s="7" t="s">
        <v>3069</v>
      </c>
      <c r="I65" s="7" t="s">
        <v>3070</v>
      </c>
      <c r="J65" s="7" t="s">
        <v>58</v>
      </c>
      <c r="K65" s="7" t="s">
        <v>19</v>
      </c>
      <c r="L65" s="7">
        <v>1889</v>
      </c>
      <c r="M65" s="7">
        <v>31</v>
      </c>
      <c r="N65" s="7" t="s">
        <v>1900</v>
      </c>
      <c r="O65" s="7" t="s">
        <v>1511</v>
      </c>
      <c r="P65" s="7" t="s">
        <v>20</v>
      </c>
      <c r="Q65" s="7">
        <f>SUM(Q44:Q59)</f>
        <v>0</v>
      </c>
      <c r="R65" s="7">
        <f>SUM(R44:R59)</f>
        <v>0</v>
      </c>
      <c r="S65" s="7">
        <f>SUM(S44:S59)</f>
        <v>0</v>
      </c>
      <c r="T65" s="7">
        <f>SUM(T44:T59)</f>
        <v>0</v>
      </c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ht="17.5" customHeight="1" x14ac:dyDescent="0.2">
      <c r="A66" s="9"/>
      <c r="B66" s="9"/>
      <c r="C66" s="7"/>
      <c r="D66" s="7"/>
      <c r="E66" s="7"/>
      <c r="F66" s="7"/>
      <c r="G66" s="7"/>
      <c r="H66" s="7" t="s">
        <v>3071</v>
      </c>
      <c r="I66" s="7" t="s">
        <v>3070</v>
      </c>
      <c r="J66" s="7" t="s">
        <v>58</v>
      </c>
      <c r="K66" s="7" t="s">
        <v>19</v>
      </c>
      <c r="L66" s="7">
        <v>1912</v>
      </c>
      <c r="M66" s="6">
        <v>9</v>
      </c>
      <c r="N66" s="6" t="s">
        <v>43</v>
      </c>
      <c r="O66" s="6" t="s">
        <v>20</v>
      </c>
      <c r="P66" s="6" t="s">
        <v>20</v>
      </c>
      <c r="Q66" s="7"/>
      <c r="R66" s="6"/>
      <c r="S66" s="6"/>
      <c r="T66" s="20" t="e">
        <f>T65/I65</f>
        <v>#VALUE!</v>
      </c>
      <c r="U66" s="6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ht="17" customHeight="1" x14ac:dyDescent="0.2">
      <c r="A67" s="4"/>
      <c r="B67" s="7"/>
      <c r="C67" s="7"/>
      <c r="D67" s="7"/>
      <c r="E67" s="7"/>
      <c r="F67" s="12"/>
      <c r="G67" s="12"/>
      <c r="H67" s="6" t="s">
        <v>1318</v>
      </c>
      <c r="I67" s="12" t="s">
        <v>3072</v>
      </c>
      <c r="J67" s="12" t="s">
        <v>26</v>
      </c>
      <c r="K67" s="13" t="s">
        <v>19</v>
      </c>
      <c r="L67" s="12">
        <v>1895</v>
      </c>
      <c r="M67" s="12">
        <v>26</v>
      </c>
      <c r="N67" s="12" t="s">
        <v>49</v>
      </c>
      <c r="O67" s="12" t="s">
        <v>33</v>
      </c>
      <c r="P67" s="12" t="s">
        <v>3073</v>
      </c>
      <c r="Q67" s="7"/>
      <c r="R67" s="7"/>
      <c r="S67" s="7"/>
      <c r="T67" s="7"/>
      <c r="U67" s="7">
        <f>SUM(U43:U66)</f>
        <v>0</v>
      </c>
      <c r="V67" s="7">
        <f>SUM(V43:V66)</f>
        <v>0</v>
      </c>
      <c r="W67" s="7">
        <f>SUM(W43:W66)</f>
        <v>0</v>
      </c>
      <c r="X67" s="7"/>
      <c r="Y67" s="7"/>
      <c r="Z67" s="7">
        <f>SUM(Z43:Z66)</f>
        <v>0</v>
      </c>
      <c r="AA67" s="7">
        <f>SUM(AA43:AA66)</f>
        <v>0</v>
      </c>
      <c r="AB67" s="7">
        <f>SUM(AB43:AB66)</f>
        <v>0</v>
      </c>
      <c r="AC67" s="7">
        <f>SUM(AC43:AC66)</f>
        <v>0</v>
      </c>
      <c r="AD67" s="7">
        <f>SUM(AD43:AD66)</f>
        <v>0</v>
      </c>
      <c r="AE67" s="7">
        <f>AC67-AD67</f>
        <v>0</v>
      </c>
      <c r="AF67" s="7">
        <f>SUM(AF43:AF59)</f>
        <v>0</v>
      </c>
      <c r="AG67" s="7" t="e">
        <f>I65-AF67</f>
        <v>#VALUE!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" customHeight="1" x14ac:dyDescent="0.2">
      <c r="H68" t="s">
        <v>429</v>
      </c>
      <c r="I68" t="s">
        <v>2946</v>
      </c>
      <c r="J68" t="s">
        <v>26</v>
      </c>
      <c r="K68" t="s">
        <v>19</v>
      </c>
      <c r="L68">
        <v>1899</v>
      </c>
      <c r="M68">
        <v>21</v>
      </c>
      <c r="N68" t="s">
        <v>43</v>
      </c>
      <c r="O68" t="s">
        <v>3074</v>
      </c>
      <c r="P68" t="s">
        <v>3075</v>
      </c>
    </row>
    <row r="69" spans="1:51" ht="17" customHeight="1" x14ac:dyDescent="0.2">
      <c r="A69" s="7"/>
      <c r="B69" s="7"/>
      <c r="C69" s="7"/>
      <c r="D69" s="7"/>
      <c r="E69" s="7"/>
      <c r="F69" s="7"/>
      <c r="G69" s="21"/>
      <c r="H69" s="5" t="s">
        <v>3076</v>
      </c>
      <c r="I69" t="s">
        <v>3072</v>
      </c>
      <c r="J69" s="10" t="s">
        <v>26</v>
      </c>
      <c r="K69" t="s">
        <v>19</v>
      </c>
      <c r="L69">
        <v>1903</v>
      </c>
      <c r="M69">
        <v>17</v>
      </c>
      <c r="N69" s="5" t="s">
        <v>3077</v>
      </c>
      <c r="O69" t="s">
        <v>137</v>
      </c>
      <c r="P69" s="5" t="s">
        <v>3075</v>
      </c>
      <c r="Q69" s="20"/>
      <c r="R69" s="21"/>
      <c r="S69" s="21"/>
      <c r="T69" s="21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.5" customHeight="1" x14ac:dyDescent="0.2">
      <c r="A70" s="7"/>
      <c r="B70" s="7"/>
      <c r="C70" s="7"/>
      <c r="D70" s="7"/>
      <c r="E70" s="7"/>
      <c r="F70" s="7"/>
      <c r="G70" s="7"/>
      <c r="H70" s="7"/>
      <c r="J70" s="7"/>
      <c r="N70" s="7"/>
      <c r="P70" s="7"/>
      <c r="Q70" s="7"/>
      <c r="R70" s="6"/>
      <c r="S70" s="6"/>
      <c r="T70" s="19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26A4-DDCA-E84B-86AD-AC72F09830DF}">
  <dimension ref="A1:BC65"/>
  <sheetViews>
    <sheetView topLeftCell="G1" workbookViewId="0">
      <selection activeCell="L57" sqref="L57"/>
    </sheetView>
  </sheetViews>
  <sheetFormatPr baseColWidth="10" defaultColWidth="10.83203125" defaultRowHeight="16" x14ac:dyDescent="0.2"/>
  <cols>
    <col min="4" max="4" width="17.83203125" customWidth="1"/>
    <col min="5" max="5" width="13.33203125" customWidth="1"/>
    <col min="6" max="6" width="9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9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27" width="16.5" customWidth="1"/>
    <col min="28" max="28" width="20.33203125" customWidth="1"/>
    <col min="29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/>
      <c r="B3" s="9"/>
      <c r="C3" s="7"/>
      <c r="D3" s="7"/>
      <c r="E3" s="7"/>
      <c r="F3" s="5"/>
      <c r="G3" t="s">
        <v>1</v>
      </c>
      <c r="H3" s="5" t="s">
        <v>0</v>
      </c>
      <c r="J3" t="s">
        <v>3</v>
      </c>
      <c r="N3" s="10" t="s">
        <v>2</v>
      </c>
      <c r="T3" t="s">
        <v>5</v>
      </c>
      <c r="Y3" s="5"/>
      <c r="Z3" s="5"/>
      <c r="AA3" t="s">
        <v>7</v>
      </c>
      <c r="AB3" s="5" t="s">
        <v>8</v>
      </c>
      <c r="AC3" s="5"/>
      <c r="AD3" s="5"/>
      <c r="AE3" s="7"/>
      <c r="AF3" s="5" t="s">
        <v>6</v>
      </c>
      <c r="AG3" s="5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s="55" customFormat="1" ht="17.5" customHeight="1" x14ac:dyDescent="0.2">
      <c r="A4" s="9" t="s">
        <v>611</v>
      </c>
      <c r="B4" s="9">
        <v>1921</v>
      </c>
      <c r="C4" s="7">
        <v>1</v>
      </c>
      <c r="D4" s="7" t="s">
        <v>2636</v>
      </c>
      <c r="E4" s="227"/>
      <c r="F4" s="227"/>
      <c r="G4" s="55" t="s">
        <v>2602</v>
      </c>
      <c r="H4" s="227" t="s">
        <v>2601</v>
      </c>
      <c r="I4" s="55">
        <v>1</v>
      </c>
      <c r="J4" s="55">
        <v>1</v>
      </c>
      <c r="N4" s="227">
        <v>1</v>
      </c>
      <c r="T4" s="55">
        <v>29</v>
      </c>
      <c r="Y4" s="227"/>
      <c r="Z4" s="227"/>
      <c r="AA4" s="55" t="s">
        <v>2604</v>
      </c>
      <c r="AB4" s="227" t="s">
        <v>2605</v>
      </c>
      <c r="AC4" s="227">
        <v>1</v>
      </c>
      <c r="AD4" s="227"/>
      <c r="AE4" s="227"/>
      <c r="AF4" s="227">
        <v>1</v>
      </c>
      <c r="AG4" s="229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</row>
    <row r="5" spans="1:55" ht="17.5" customHeight="1" x14ac:dyDescent="0.2">
      <c r="A5" s="9" t="s">
        <v>611</v>
      </c>
      <c r="B5" s="9">
        <v>1921</v>
      </c>
      <c r="C5" s="7">
        <v>1</v>
      </c>
      <c r="D5" s="7" t="s">
        <v>2636</v>
      </c>
      <c r="E5" s="7"/>
      <c r="F5" s="7"/>
      <c r="G5" t="s">
        <v>2606</v>
      </c>
      <c r="H5" s="7" t="s">
        <v>170</v>
      </c>
      <c r="I5">
        <v>2</v>
      </c>
      <c r="J5">
        <v>1</v>
      </c>
      <c r="N5" s="7" t="s">
        <v>58</v>
      </c>
      <c r="R5">
        <v>1</v>
      </c>
      <c r="T5">
        <v>66</v>
      </c>
      <c r="Y5" s="7"/>
      <c r="Z5" s="7"/>
      <c r="AA5" t="s">
        <v>47</v>
      </c>
      <c r="AB5" s="7" t="s">
        <v>20</v>
      </c>
      <c r="AC5" s="7"/>
      <c r="AD5" s="7"/>
      <c r="AE5" s="7"/>
      <c r="AF5" s="7">
        <v>1</v>
      </c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611</v>
      </c>
      <c r="B6" s="9">
        <v>1921</v>
      </c>
      <c r="C6" s="7">
        <v>1</v>
      </c>
      <c r="D6" s="7" t="s">
        <v>2636</v>
      </c>
      <c r="E6" s="7"/>
      <c r="F6" s="7"/>
      <c r="G6" t="s">
        <v>1136</v>
      </c>
      <c r="H6" s="7" t="s">
        <v>1426</v>
      </c>
      <c r="I6">
        <v>3</v>
      </c>
      <c r="J6">
        <v>1</v>
      </c>
      <c r="N6" s="7" t="s">
        <v>26</v>
      </c>
      <c r="S6">
        <v>1</v>
      </c>
      <c r="T6">
        <v>60</v>
      </c>
      <c r="Y6" s="7"/>
      <c r="Z6" s="7"/>
      <c r="AA6" t="s">
        <v>33</v>
      </c>
      <c r="AB6" s="7" t="s">
        <v>2608</v>
      </c>
      <c r="AC6" s="7">
        <v>1</v>
      </c>
      <c r="AD6" s="7"/>
      <c r="AE6" s="7"/>
      <c r="AF6" s="7" t="s">
        <v>2607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611</v>
      </c>
      <c r="B7" s="9">
        <v>1921</v>
      </c>
      <c r="C7" s="7">
        <v>1</v>
      </c>
      <c r="D7" s="7" t="s">
        <v>2636</v>
      </c>
      <c r="E7" s="7"/>
      <c r="F7" s="7"/>
      <c r="G7" t="s">
        <v>2610</v>
      </c>
      <c r="H7" s="7" t="s">
        <v>2609</v>
      </c>
      <c r="I7">
        <v>4</v>
      </c>
      <c r="J7">
        <v>1</v>
      </c>
      <c r="N7" s="7" t="s">
        <v>26</v>
      </c>
      <c r="S7">
        <v>1</v>
      </c>
      <c r="T7">
        <v>21</v>
      </c>
      <c r="Y7" s="7"/>
      <c r="Z7" s="7"/>
      <c r="AA7" t="s">
        <v>28</v>
      </c>
      <c r="AB7" s="7" t="s">
        <v>2608</v>
      </c>
      <c r="AC7" s="7">
        <v>1</v>
      </c>
      <c r="AD7" s="7"/>
      <c r="AE7" s="7"/>
      <c r="AF7" s="7">
        <v>1</v>
      </c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611</v>
      </c>
      <c r="B8" s="9">
        <v>1921</v>
      </c>
      <c r="C8" s="7"/>
      <c r="D8" s="7" t="s">
        <v>2636</v>
      </c>
      <c r="E8" s="7"/>
      <c r="F8" s="7"/>
      <c r="H8" s="7">
        <v>4</v>
      </c>
      <c r="N8" s="7"/>
      <c r="Y8" s="7"/>
      <c r="Z8" s="7"/>
      <c r="AB8" s="7"/>
      <c r="AC8" s="7"/>
      <c r="AD8" s="7"/>
      <c r="AE8" s="7"/>
      <c r="AF8" s="7"/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611</v>
      </c>
      <c r="B9" s="9">
        <v>1921</v>
      </c>
      <c r="C9" s="7"/>
      <c r="D9" s="7" t="s">
        <v>2636</v>
      </c>
      <c r="E9" s="7"/>
      <c r="F9" s="7"/>
      <c r="G9" t="s">
        <v>1</v>
      </c>
      <c r="H9" s="7" t="s">
        <v>0</v>
      </c>
      <c r="J9" t="s">
        <v>3</v>
      </c>
      <c r="N9" s="7" t="s">
        <v>2</v>
      </c>
      <c r="T9" t="s">
        <v>5</v>
      </c>
      <c r="Y9" s="7"/>
      <c r="Z9" s="7"/>
      <c r="AA9" t="s">
        <v>7</v>
      </c>
      <c r="AB9" s="7" t="s">
        <v>8</v>
      </c>
      <c r="AC9" s="7"/>
      <c r="AD9" s="7"/>
      <c r="AE9" s="7"/>
      <c r="AF9" s="7" t="s">
        <v>6</v>
      </c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s="55" customFormat="1" ht="17.5" customHeight="1" x14ac:dyDescent="0.2">
      <c r="A10" s="9" t="s">
        <v>611</v>
      </c>
      <c r="B10" s="9">
        <v>1921</v>
      </c>
      <c r="C10" s="7">
        <v>2</v>
      </c>
      <c r="D10" s="7" t="s">
        <v>2636</v>
      </c>
      <c r="E10" s="227"/>
      <c r="F10" s="227"/>
      <c r="G10" s="55" t="s">
        <v>1157</v>
      </c>
      <c r="H10" s="227" t="s">
        <v>2611</v>
      </c>
      <c r="I10" s="55">
        <v>5</v>
      </c>
      <c r="J10" s="55">
        <v>1</v>
      </c>
      <c r="N10" s="227">
        <v>1</v>
      </c>
      <c r="T10" s="55">
        <v>56</v>
      </c>
      <c r="Y10" s="227"/>
      <c r="Z10" s="227"/>
      <c r="AA10" s="55" t="s">
        <v>2612</v>
      </c>
      <c r="AB10" s="227" t="s">
        <v>20</v>
      </c>
      <c r="AC10" s="227"/>
      <c r="AD10" s="227"/>
      <c r="AE10" s="227"/>
      <c r="AF10" s="227">
        <v>1</v>
      </c>
      <c r="AG10" s="229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</row>
    <row r="11" spans="1:55" ht="17.5" customHeight="1" x14ac:dyDescent="0.2">
      <c r="A11" s="9" t="s">
        <v>611</v>
      </c>
      <c r="B11" s="9">
        <v>1921</v>
      </c>
      <c r="C11" s="7">
        <v>2</v>
      </c>
      <c r="D11" s="7" t="s">
        <v>2636</v>
      </c>
      <c r="E11" s="7"/>
      <c r="F11" s="7"/>
      <c r="G11" t="s">
        <v>1157</v>
      </c>
      <c r="H11" s="7" t="s">
        <v>2613</v>
      </c>
      <c r="I11">
        <v>6</v>
      </c>
      <c r="J11">
        <v>1</v>
      </c>
      <c r="N11" s="7" t="s">
        <v>22</v>
      </c>
      <c r="P11">
        <v>1</v>
      </c>
      <c r="T11">
        <v>20</v>
      </c>
      <c r="Y11" s="7"/>
      <c r="Z11" s="7"/>
      <c r="AA11" t="s">
        <v>20</v>
      </c>
      <c r="AB11" s="7" t="s">
        <v>20</v>
      </c>
      <c r="AC11" s="7"/>
      <c r="AD11" s="7"/>
      <c r="AE11" s="7"/>
      <c r="AF11" s="7">
        <v>1</v>
      </c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611</v>
      </c>
      <c r="B12" s="9">
        <v>1921</v>
      </c>
      <c r="C12" s="7">
        <v>2</v>
      </c>
      <c r="D12" s="7" t="s">
        <v>2636</v>
      </c>
      <c r="E12" s="7"/>
      <c r="F12" s="7"/>
      <c r="G12" t="s">
        <v>139</v>
      </c>
      <c r="H12" s="7" t="s">
        <v>1805</v>
      </c>
      <c r="I12">
        <v>7</v>
      </c>
      <c r="J12">
        <v>1</v>
      </c>
      <c r="N12" s="7" t="s">
        <v>26</v>
      </c>
      <c r="S12">
        <v>1</v>
      </c>
      <c r="T12">
        <v>35</v>
      </c>
      <c r="Y12" s="7">
        <f>SUM(Y3:Y11)</f>
        <v>0</v>
      </c>
      <c r="Z12" s="7">
        <f>SUM(Z3:Z11)</f>
        <v>0</v>
      </c>
      <c r="AA12" t="s">
        <v>33</v>
      </c>
      <c r="AB12" s="7" t="s">
        <v>2615</v>
      </c>
      <c r="AC12" s="7">
        <v>1</v>
      </c>
      <c r="AD12" s="7"/>
      <c r="AE12" s="7"/>
      <c r="AF12" s="7">
        <v>1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611</v>
      </c>
      <c r="B13" s="9">
        <v>1921</v>
      </c>
      <c r="C13" s="7">
        <v>2</v>
      </c>
      <c r="D13" s="7" t="s">
        <v>2636</v>
      </c>
      <c r="E13" s="7"/>
      <c r="F13" s="7"/>
      <c r="G13" t="s">
        <v>2258</v>
      </c>
      <c r="H13" s="7" t="s">
        <v>937</v>
      </c>
      <c r="I13">
        <v>8</v>
      </c>
      <c r="J13">
        <v>1</v>
      </c>
      <c r="N13" s="7" t="s">
        <v>26</v>
      </c>
      <c r="S13">
        <v>1</v>
      </c>
      <c r="T13">
        <v>39</v>
      </c>
      <c r="Y13" s="7"/>
      <c r="Z13" s="7"/>
      <c r="AA13" t="s">
        <v>28</v>
      </c>
      <c r="AB13" s="7" t="s">
        <v>2617</v>
      </c>
      <c r="AC13" s="7">
        <v>1</v>
      </c>
      <c r="AD13" s="7"/>
      <c r="AE13" s="7"/>
      <c r="AF13" s="7">
        <v>1</v>
      </c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611</v>
      </c>
      <c r="B14" s="9">
        <v>1921</v>
      </c>
      <c r="C14" s="7"/>
      <c r="D14" s="7" t="s">
        <v>2636</v>
      </c>
      <c r="E14" s="7"/>
      <c r="F14" s="7"/>
      <c r="H14" s="7">
        <v>4</v>
      </c>
      <c r="N14" s="7"/>
      <c r="Y14" s="7"/>
      <c r="Z14" s="7"/>
      <c r="AB14" s="7"/>
      <c r="AC14" s="7"/>
      <c r="AD14" s="7"/>
      <c r="AE14" s="7"/>
      <c r="AF14" s="7"/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611</v>
      </c>
      <c r="B15" s="9">
        <v>1921</v>
      </c>
      <c r="C15" s="7"/>
      <c r="D15" s="7" t="s">
        <v>2636</v>
      </c>
      <c r="E15" s="11"/>
      <c r="F15" s="12"/>
      <c r="G15" t="s">
        <v>1</v>
      </c>
      <c r="H15" s="12" t="s">
        <v>0</v>
      </c>
      <c r="J15" t="s">
        <v>3</v>
      </c>
      <c r="N15" s="13" t="s">
        <v>2</v>
      </c>
      <c r="T15" t="s">
        <v>5</v>
      </c>
      <c r="Y15" s="12"/>
      <c r="Z15" s="12"/>
      <c r="AA15" t="s">
        <v>7</v>
      </c>
      <c r="AB15" s="6" t="s">
        <v>8</v>
      </c>
      <c r="AC15" s="12"/>
      <c r="AD15" s="12"/>
      <c r="AE15" s="7"/>
      <c r="AF15" s="12" t="s">
        <v>6</v>
      </c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 t="s">
        <v>611</v>
      </c>
      <c r="B16" s="9">
        <v>1921</v>
      </c>
      <c r="C16" s="7">
        <v>3</v>
      </c>
      <c r="D16" s="7" t="s">
        <v>2636</v>
      </c>
      <c r="E16" s="11"/>
      <c r="F16" s="12">
        <v>4</v>
      </c>
      <c r="G16" t="s">
        <v>2619</v>
      </c>
      <c r="H16" s="12" t="s">
        <v>2618</v>
      </c>
      <c r="I16">
        <v>9</v>
      </c>
      <c r="J16" t="s">
        <v>13</v>
      </c>
      <c r="K16">
        <v>1</v>
      </c>
      <c r="N16" s="15">
        <v>1</v>
      </c>
      <c r="T16">
        <v>61</v>
      </c>
      <c r="Y16" s="12"/>
      <c r="Z16" s="12"/>
      <c r="AA16" t="s">
        <v>2621</v>
      </c>
      <c r="AB16" s="232" t="s">
        <v>2622</v>
      </c>
      <c r="AC16" s="12">
        <v>1</v>
      </c>
      <c r="AD16" s="11"/>
      <c r="AE16" s="7"/>
      <c r="AF16" s="14" t="s">
        <v>2620</v>
      </c>
      <c r="AG16" s="12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611</v>
      </c>
      <c r="B17" s="9">
        <v>1921</v>
      </c>
      <c r="C17" s="7">
        <v>3</v>
      </c>
      <c r="D17" s="7" t="s">
        <v>2636</v>
      </c>
      <c r="E17" s="7"/>
      <c r="F17" s="7"/>
      <c r="G17" s="7" t="s">
        <v>2619</v>
      </c>
      <c r="H17" s="7" t="s">
        <v>2623</v>
      </c>
      <c r="I17">
        <v>10</v>
      </c>
      <c r="J17" s="7">
        <v>1</v>
      </c>
      <c r="N17" s="7" t="s">
        <v>18</v>
      </c>
      <c r="O17">
        <v>1</v>
      </c>
      <c r="P17" s="7"/>
      <c r="T17" s="7">
        <v>52</v>
      </c>
      <c r="Y17" s="7">
        <f>SUM(Y3:Y16)</f>
        <v>0</v>
      </c>
      <c r="Z17" s="7">
        <f>SUM(Z3:Z16)</f>
        <v>0</v>
      </c>
      <c r="AA17" s="7" t="s">
        <v>50</v>
      </c>
      <c r="AB17" s="7" t="s">
        <v>20</v>
      </c>
      <c r="AC17" s="7"/>
      <c r="AD17" s="7"/>
      <c r="AE17" s="7"/>
      <c r="AF17" s="7">
        <v>1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611</v>
      </c>
      <c r="B18" s="9">
        <v>1921</v>
      </c>
      <c r="C18" s="7">
        <v>3</v>
      </c>
      <c r="D18" s="7" t="s">
        <v>2636</v>
      </c>
      <c r="E18" s="7"/>
      <c r="F18" s="7"/>
      <c r="G18" s="7" t="s">
        <v>118</v>
      </c>
      <c r="H18" s="7" t="s">
        <v>2624</v>
      </c>
      <c r="I18">
        <v>11</v>
      </c>
      <c r="J18" s="7" t="s">
        <v>13</v>
      </c>
      <c r="K18">
        <v>1</v>
      </c>
      <c r="N18" s="7" t="s">
        <v>26</v>
      </c>
      <c r="P18" s="7"/>
      <c r="S18">
        <v>1</v>
      </c>
      <c r="T18" s="6">
        <v>22</v>
      </c>
      <c r="Y18" s="7"/>
      <c r="Z18" s="7"/>
      <c r="AA18" s="6" t="s">
        <v>2525</v>
      </c>
      <c r="AB18" s="6" t="s">
        <v>29</v>
      </c>
      <c r="AC18" s="7">
        <v>1</v>
      </c>
      <c r="AD18" s="7"/>
      <c r="AE18" s="7"/>
      <c r="AF18" s="6">
        <v>1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611</v>
      </c>
      <c r="B19" s="9">
        <v>1921</v>
      </c>
      <c r="C19" s="7">
        <v>3</v>
      </c>
      <c r="D19" s="7" t="s">
        <v>2636</v>
      </c>
      <c r="E19" s="7"/>
      <c r="F19" s="7"/>
      <c r="G19" s="7" t="s">
        <v>2626</v>
      </c>
      <c r="H19" s="7" t="s">
        <v>2625</v>
      </c>
      <c r="I19">
        <v>12</v>
      </c>
      <c r="J19" s="7">
        <v>1</v>
      </c>
      <c r="N19" s="7" t="s">
        <v>58</v>
      </c>
      <c r="P19" s="7"/>
      <c r="R19">
        <v>1</v>
      </c>
      <c r="T19" s="6">
        <v>23</v>
      </c>
      <c r="Y19" s="7"/>
      <c r="Z19" s="7"/>
      <c r="AA19" s="6" t="s">
        <v>2627</v>
      </c>
      <c r="AB19" s="6" t="s">
        <v>2203</v>
      </c>
      <c r="AC19" s="7">
        <v>1</v>
      </c>
      <c r="AD19" s="7"/>
      <c r="AE19" s="7"/>
      <c r="AF19" s="6" t="s">
        <v>1036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611</v>
      </c>
      <c r="B20" s="9">
        <v>1921</v>
      </c>
      <c r="C20" s="7"/>
      <c r="D20" s="7" t="s">
        <v>2636</v>
      </c>
      <c r="E20" s="7"/>
      <c r="F20" s="7"/>
      <c r="G20" s="7"/>
      <c r="H20" s="7">
        <v>4</v>
      </c>
      <c r="J20" s="7"/>
      <c r="N20" s="7"/>
      <c r="P20" s="7"/>
      <c r="T20" s="6"/>
      <c r="Y20" s="7"/>
      <c r="Z20" s="7"/>
      <c r="AA20" s="6"/>
      <c r="AB20" s="6"/>
      <c r="AC20" s="7"/>
      <c r="AD20" s="7"/>
      <c r="AE20" s="7"/>
      <c r="AF20" s="6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611</v>
      </c>
      <c r="B21" s="9">
        <v>1921</v>
      </c>
      <c r="C21" s="7"/>
      <c r="D21" s="7" t="s">
        <v>2636</v>
      </c>
      <c r="E21" s="7"/>
      <c r="F21" s="5"/>
      <c r="G21" s="5" t="s">
        <v>1</v>
      </c>
      <c r="H21" s="5" t="s">
        <v>0</v>
      </c>
      <c r="J21" s="10" t="s">
        <v>3</v>
      </c>
      <c r="N21" s="5" t="s">
        <v>2</v>
      </c>
      <c r="P21" s="5"/>
      <c r="T21" s="5" t="s">
        <v>5</v>
      </c>
      <c r="Y21" s="7"/>
      <c r="Z21" s="7"/>
      <c r="AA21" s="5" t="s">
        <v>7</v>
      </c>
      <c r="AB21" s="5" t="s">
        <v>8</v>
      </c>
      <c r="AC21" s="7"/>
      <c r="AD21" s="7"/>
      <c r="AE21" s="7"/>
      <c r="AF21" s="5" t="s">
        <v>6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611</v>
      </c>
      <c r="B22" s="9">
        <v>1921</v>
      </c>
      <c r="C22" s="7">
        <v>4</v>
      </c>
      <c r="D22" s="7" t="s">
        <v>2636</v>
      </c>
      <c r="E22" s="7"/>
      <c r="F22" s="7">
        <v>6</v>
      </c>
      <c r="G22" s="7" t="s">
        <v>107</v>
      </c>
      <c r="H22" s="7" t="s">
        <v>2628</v>
      </c>
      <c r="I22">
        <v>13</v>
      </c>
      <c r="J22" s="7" t="s">
        <v>13</v>
      </c>
      <c r="K22">
        <v>1</v>
      </c>
      <c r="N22" s="7">
        <v>1</v>
      </c>
      <c r="P22" s="7"/>
      <c r="T22" s="6">
        <v>59</v>
      </c>
      <c r="Y22" s="7"/>
      <c r="Z22" s="7"/>
      <c r="AA22" s="6" t="s">
        <v>2629</v>
      </c>
      <c r="AB22" s="6" t="s">
        <v>2630</v>
      </c>
      <c r="AC22" s="7">
        <v>1</v>
      </c>
      <c r="AD22" s="7"/>
      <c r="AE22" s="7"/>
      <c r="AF22" s="6">
        <v>1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611</v>
      </c>
      <c r="B23" s="9">
        <v>1921</v>
      </c>
      <c r="C23" s="7">
        <v>4</v>
      </c>
      <c r="D23" s="7" t="s">
        <v>2636</v>
      </c>
      <c r="E23" s="7"/>
      <c r="F23" s="7"/>
      <c r="G23" s="7" t="s">
        <v>107</v>
      </c>
      <c r="H23" s="7" t="s">
        <v>2631</v>
      </c>
      <c r="I23">
        <v>14</v>
      </c>
      <c r="J23" s="7">
        <v>1</v>
      </c>
      <c r="N23" s="7" t="s">
        <v>144</v>
      </c>
      <c r="P23" s="7"/>
      <c r="R23">
        <v>1</v>
      </c>
      <c r="T23" s="6">
        <v>64</v>
      </c>
      <c r="Y23" s="7"/>
      <c r="Z23" s="7"/>
      <c r="AA23" s="6" t="s">
        <v>50</v>
      </c>
      <c r="AB23" s="6" t="s">
        <v>20</v>
      </c>
      <c r="AC23" s="7"/>
      <c r="AD23" s="7"/>
      <c r="AE23" s="7"/>
      <c r="AF23" s="6">
        <v>1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611</v>
      </c>
      <c r="B24" s="9">
        <v>1921</v>
      </c>
      <c r="C24" s="7">
        <v>4</v>
      </c>
      <c r="D24" s="7" t="s">
        <v>2636</v>
      </c>
      <c r="E24" s="7"/>
      <c r="F24" s="7"/>
      <c r="G24" s="7" t="s">
        <v>107</v>
      </c>
      <c r="H24" s="7" t="s">
        <v>2632</v>
      </c>
      <c r="I24">
        <v>15</v>
      </c>
      <c r="J24" s="7">
        <v>1</v>
      </c>
      <c r="N24" s="7" t="s">
        <v>144</v>
      </c>
      <c r="P24" s="7"/>
      <c r="R24">
        <v>1</v>
      </c>
      <c r="T24" s="6">
        <v>56</v>
      </c>
      <c r="Y24" s="7"/>
      <c r="Z24" s="7"/>
      <c r="AA24" s="6" t="s">
        <v>50</v>
      </c>
      <c r="AB24" s="6" t="s">
        <v>20</v>
      </c>
      <c r="AC24" s="7"/>
      <c r="AD24" s="7"/>
      <c r="AE24" s="7"/>
      <c r="AF24" s="6">
        <v>1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9" t="s">
        <v>611</v>
      </c>
      <c r="B25" s="9">
        <v>1921</v>
      </c>
      <c r="C25" s="7">
        <v>4</v>
      </c>
      <c r="D25" s="7" t="s">
        <v>2636</v>
      </c>
      <c r="E25" s="7"/>
      <c r="F25" s="7"/>
      <c r="G25" s="7" t="s">
        <v>2252</v>
      </c>
      <c r="H25" s="7" t="s">
        <v>67</v>
      </c>
      <c r="I25">
        <v>16</v>
      </c>
      <c r="J25" s="7">
        <v>1</v>
      </c>
      <c r="N25" s="7" t="s">
        <v>437</v>
      </c>
      <c r="P25" s="7"/>
      <c r="S25">
        <v>1</v>
      </c>
      <c r="T25" s="6">
        <v>24</v>
      </c>
      <c r="Y25" s="7"/>
      <c r="Z25" s="7"/>
      <c r="AA25" s="6" t="s">
        <v>344</v>
      </c>
      <c r="AB25" s="6" t="s">
        <v>29</v>
      </c>
      <c r="AC25" s="7">
        <v>1</v>
      </c>
      <c r="AD25" s="7"/>
      <c r="AE25" s="7"/>
      <c r="AF25" s="6">
        <v>1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611</v>
      </c>
      <c r="B26" s="9">
        <v>1921</v>
      </c>
      <c r="C26" s="7"/>
      <c r="D26" s="7" t="s">
        <v>2636</v>
      </c>
      <c r="E26" s="7"/>
      <c r="F26" s="7"/>
      <c r="G26" s="7"/>
      <c r="H26" s="7">
        <v>4</v>
      </c>
      <c r="J26" s="7"/>
      <c r="N26" s="7"/>
      <c r="P26" s="7"/>
      <c r="T26" s="6"/>
      <c r="Y26" s="7"/>
      <c r="Z26" s="7"/>
      <c r="AA26" s="6"/>
      <c r="AB26" s="6"/>
      <c r="AC26" s="7"/>
      <c r="AD26" s="7"/>
      <c r="AE26" s="7"/>
      <c r="AF26" s="6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611</v>
      </c>
      <c r="B27" s="9">
        <v>1921</v>
      </c>
      <c r="C27" s="7"/>
      <c r="D27" s="7" t="s">
        <v>2636</v>
      </c>
      <c r="E27" s="7"/>
      <c r="F27" s="7"/>
      <c r="G27" s="7" t="s">
        <v>1</v>
      </c>
      <c r="H27" s="7" t="s">
        <v>0</v>
      </c>
      <c r="J27" s="7" t="s">
        <v>3</v>
      </c>
      <c r="N27" s="7" t="s">
        <v>2</v>
      </c>
      <c r="P27" s="7"/>
      <c r="T27" s="6" t="s">
        <v>5</v>
      </c>
      <c r="Y27" s="7"/>
      <c r="Z27" s="7"/>
      <c r="AA27" s="6" t="s">
        <v>7</v>
      </c>
      <c r="AB27" s="6" t="s">
        <v>8</v>
      </c>
      <c r="AC27" s="7"/>
      <c r="AD27" s="7"/>
      <c r="AE27" s="7"/>
      <c r="AF27" s="6" t="s">
        <v>6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611</v>
      </c>
      <c r="B28" s="9">
        <v>1921</v>
      </c>
      <c r="C28" s="7">
        <v>5</v>
      </c>
      <c r="D28" s="7" t="s">
        <v>2636</v>
      </c>
      <c r="E28" s="7"/>
      <c r="F28" s="7">
        <v>7</v>
      </c>
      <c r="G28" s="7" t="s">
        <v>1859</v>
      </c>
      <c r="H28" s="7" t="s">
        <v>911</v>
      </c>
      <c r="I28">
        <v>17</v>
      </c>
      <c r="J28" s="7" t="s">
        <v>13</v>
      </c>
      <c r="K28">
        <v>1</v>
      </c>
      <c r="N28" s="7">
        <v>1</v>
      </c>
      <c r="P28" s="7"/>
      <c r="T28" s="6">
        <v>30</v>
      </c>
      <c r="Y28" s="7"/>
      <c r="Z28" s="7"/>
      <c r="AA28" s="6" t="s">
        <v>2633</v>
      </c>
      <c r="AB28" s="6" t="s">
        <v>8</v>
      </c>
      <c r="AC28" s="7">
        <v>1</v>
      </c>
      <c r="AD28" s="7">
        <v>1</v>
      </c>
      <c r="AE28" s="7"/>
      <c r="AF28" s="6" t="s">
        <v>1410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611</v>
      </c>
      <c r="B29" s="9">
        <v>1921</v>
      </c>
      <c r="C29" s="7">
        <v>5</v>
      </c>
      <c r="D29" s="7" t="s">
        <v>2636</v>
      </c>
      <c r="E29" s="7"/>
      <c r="F29" s="7"/>
      <c r="G29" s="7" t="s">
        <v>1859</v>
      </c>
      <c r="H29" s="7" t="s">
        <v>2634</v>
      </c>
      <c r="I29">
        <v>18</v>
      </c>
      <c r="J29" s="7">
        <v>1</v>
      </c>
      <c r="N29" s="7" t="s">
        <v>18</v>
      </c>
      <c r="O29">
        <v>1</v>
      </c>
      <c r="P29" s="7"/>
      <c r="T29" s="6">
        <v>29</v>
      </c>
      <c r="Y29" s="7"/>
      <c r="Z29" s="7"/>
      <c r="AA29" s="6" t="s">
        <v>50</v>
      </c>
      <c r="AB29" s="6" t="s">
        <v>20</v>
      </c>
      <c r="AC29" s="7"/>
      <c r="AD29" s="7"/>
      <c r="AE29" s="7"/>
      <c r="AF29" s="6" t="s">
        <v>2635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611</v>
      </c>
      <c r="B30" s="9">
        <v>1921</v>
      </c>
      <c r="C30" s="7">
        <v>5</v>
      </c>
      <c r="D30" s="7" t="s">
        <v>2636</v>
      </c>
      <c r="E30" s="7"/>
      <c r="F30" s="7"/>
      <c r="G30" s="7"/>
      <c r="H30" s="7">
        <v>2</v>
      </c>
      <c r="I30" s="7">
        <v>18</v>
      </c>
      <c r="J30" s="7">
        <f t="shared" ref="J30:AD30" si="0">SUM(J3:J29)</f>
        <v>14</v>
      </c>
      <c r="K30" s="7">
        <f t="shared" si="0"/>
        <v>4</v>
      </c>
      <c r="L30" s="7">
        <f t="shared" si="0"/>
        <v>0</v>
      </c>
      <c r="M30" s="7">
        <f t="shared" si="0"/>
        <v>0</v>
      </c>
      <c r="N30" s="7">
        <f t="shared" si="0"/>
        <v>5</v>
      </c>
      <c r="O30" s="7">
        <f t="shared" si="0"/>
        <v>2</v>
      </c>
      <c r="P30" s="7">
        <f t="shared" si="0"/>
        <v>1</v>
      </c>
      <c r="Q30" s="7">
        <f t="shared" si="0"/>
        <v>0</v>
      </c>
      <c r="R30" s="7">
        <f t="shared" si="0"/>
        <v>4</v>
      </c>
      <c r="S30" s="7">
        <f t="shared" si="0"/>
        <v>6</v>
      </c>
      <c r="T30" s="7">
        <f t="shared" si="0"/>
        <v>746</v>
      </c>
      <c r="U30" s="7">
        <f t="shared" si="0"/>
        <v>0</v>
      </c>
      <c r="V30" s="7">
        <f t="shared" si="0"/>
        <v>0</v>
      </c>
      <c r="W30" s="7">
        <f t="shared" si="0"/>
        <v>0</v>
      </c>
      <c r="X30" s="7">
        <f t="shared" si="0"/>
        <v>0</v>
      </c>
      <c r="Y30" s="7">
        <f t="shared" si="0"/>
        <v>0</v>
      </c>
      <c r="Z30" s="7">
        <f t="shared" si="0"/>
        <v>0</v>
      </c>
      <c r="AA30" s="7">
        <f t="shared" si="0"/>
        <v>0</v>
      </c>
      <c r="AB30" s="7">
        <f t="shared" si="0"/>
        <v>0</v>
      </c>
      <c r="AC30" s="7">
        <f t="shared" si="0"/>
        <v>11</v>
      </c>
      <c r="AD30" s="7">
        <f t="shared" si="0"/>
        <v>1</v>
      </c>
      <c r="AE30" s="7">
        <f>AC30-AD30</f>
        <v>10</v>
      </c>
      <c r="AF30" s="7">
        <f>SUM(AF3:AF29)</f>
        <v>13</v>
      </c>
      <c r="AG30" s="7">
        <f>I30-AF30</f>
        <v>5</v>
      </c>
      <c r="AH30" s="7">
        <f>SUM(AH3:AH29)</f>
        <v>0</v>
      </c>
      <c r="AI30" s="7">
        <f>SUM(AI3:AI29)</f>
        <v>0</v>
      </c>
      <c r="AJ30" s="7">
        <f>SUM(AJ3:AJ29)</f>
        <v>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611</v>
      </c>
      <c r="B31" s="9">
        <v>1921</v>
      </c>
      <c r="C31" s="7"/>
      <c r="D31" s="7" t="s">
        <v>2636</v>
      </c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260">
        <f>T30/I30</f>
        <v>41.444444444444443</v>
      </c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4"/>
      <c r="B33" s="7"/>
      <c r="C33" s="7"/>
      <c r="D33" s="7"/>
      <c r="E33" s="7"/>
      <c r="F33" s="12"/>
      <c r="G33" s="12"/>
      <c r="H33" s="12"/>
      <c r="I33" s="12"/>
      <c r="J33" s="12"/>
      <c r="K33" s="13"/>
      <c r="L33" s="12"/>
      <c r="M33" s="12"/>
      <c r="N33" s="12"/>
      <c r="O33" s="12"/>
      <c r="P33" s="12"/>
      <c r="Q33" s="7"/>
      <c r="R33" s="7"/>
      <c r="S33" s="7"/>
      <c r="T33" s="7"/>
      <c r="U33" s="7">
        <f>SUM(U3:U32)</f>
        <v>0</v>
      </c>
      <c r="V33" s="7">
        <f>SUM(V3:V32)</f>
        <v>0</v>
      </c>
      <c r="W33" s="7">
        <f>SUM(W3:W32)</f>
        <v>0</v>
      </c>
      <c r="X33" s="7"/>
      <c r="Y33" s="7"/>
      <c r="Z33" s="7">
        <f>SUM(Z3:Z32)</f>
        <v>0</v>
      </c>
      <c r="AA33" s="7">
        <f>SUM(AA3:AA32)</f>
        <v>0</v>
      </c>
      <c r="AB33" s="7">
        <f>SUM(AB3:AB32)</f>
        <v>0</v>
      </c>
      <c r="AC33" s="7">
        <f>SUM(AC3:AC32)</f>
        <v>22</v>
      </c>
      <c r="AD33" s="7">
        <f>SUM(AD3:AD32)</f>
        <v>2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12"/>
      <c r="G34" s="12"/>
      <c r="H34" s="12"/>
      <c r="I34" s="12"/>
      <c r="J34" s="14"/>
      <c r="K34" s="15"/>
      <c r="L34" s="16"/>
      <c r="M34" s="12"/>
      <c r="N34" s="12"/>
      <c r="O34" s="12"/>
      <c r="P34" s="14"/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21"/>
      <c r="H35" s="21"/>
      <c r="I35" s="21"/>
      <c r="J35" s="7"/>
      <c r="K35" s="7"/>
      <c r="L35" s="7"/>
      <c r="M35" s="7"/>
      <c r="N35" s="7"/>
      <c r="O35" s="7"/>
      <c r="P35" s="7"/>
      <c r="Q35" s="20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19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"/>
      <c r="S37" s="21"/>
      <c r="T37" s="21"/>
      <c r="U37" s="7"/>
      <c r="V37" s="7"/>
      <c r="W37" s="7"/>
      <c r="X37" s="7"/>
      <c r="Y37" s="7"/>
      <c r="Z37" s="7"/>
      <c r="AA37" s="7"/>
      <c r="AB37" s="7"/>
      <c r="AC37" s="22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9" customHeight="1" x14ac:dyDescent="0.2">
      <c r="A39" s="9"/>
      <c r="B39" s="9"/>
      <c r="C39" s="7"/>
      <c r="D39" s="7"/>
      <c r="E39" s="7"/>
      <c r="F39" s="5"/>
      <c r="G39" s="5"/>
      <c r="H39" s="5" t="s">
        <v>0</v>
      </c>
      <c r="I39" t="s">
        <v>1</v>
      </c>
      <c r="J39" s="10" t="s">
        <v>2</v>
      </c>
      <c r="K39" t="s">
        <v>3</v>
      </c>
      <c r="L39" t="s">
        <v>4</v>
      </c>
      <c r="M39" t="s">
        <v>5</v>
      </c>
      <c r="N39" s="5" t="s">
        <v>6</v>
      </c>
      <c r="O39" t="s">
        <v>7</v>
      </c>
      <c r="P39" s="5" t="s">
        <v>8</v>
      </c>
      <c r="T39" s="5"/>
      <c r="X39" s="5"/>
      <c r="Y39" s="5"/>
      <c r="Z39" s="5"/>
      <c r="AA39" s="5"/>
      <c r="AB39" s="5"/>
      <c r="AC39" s="5"/>
      <c r="AD39" s="5"/>
      <c r="AE39" s="7"/>
      <c r="AF39" s="7"/>
      <c r="AG39" s="5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17.5" customHeight="1" x14ac:dyDescent="0.2">
      <c r="A40" s="9"/>
      <c r="B40" s="9"/>
      <c r="C40" s="7"/>
      <c r="D40" s="7"/>
      <c r="E40" s="7"/>
      <c r="F40" s="7"/>
      <c r="G40" s="7"/>
      <c r="H40" s="7" t="s">
        <v>2601</v>
      </c>
      <c r="I40" t="s">
        <v>2602</v>
      </c>
      <c r="J40" s="7" t="s">
        <v>2603</v>
      </c>
      <c r="K40" t="s">
        <v>19</v>
      </c>
      <c r="L40">
        <v>1892</v>
      </c>
      <c r="M40">
        <v>29</v>
      </c>
      <c r="N40" s="7" t="s">
        <v>49</v>
      </c>
      <c r="O40" t="s">
        <v>2604</v>
      </c>
      <c r="P40" s="7" t="s">
        <v>2605</v>
      </c>
      <c r="T40" s="6"/>
      <c r="X40" s="7"/>
      <c r="Y40" s="7"/>
      <c r="Z40" s="7"/>
      <c r="AA40" s="6"/>
      <c r="AB40" s="6"/>
      <c r="AC40" s="7"/>
      <c r="AD40" s="7"/>
      <c r="AE40" s="7"/>
      <c r="AF40" s="7"/>
      <c r="AG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A41" s="9"/>
      <c r="B41" s="9"/>
      <c r="C41" s="7"/>
      <c r="D41" s="7"/>
      <c r="E41" s="7"/>
      <c r="F41" s="7"/>
      <c r="G41" s="7"/>
      <c r="H41" s="7" t="s">
        <v>170</v>
      </c>
      <c r="I41" t="s">
        <v>2606</v>
      </c>
      <c r="J41" s="7" t="s">
        <v>58</v>
      </c>
      <c r="K41" t="s">
        <v>19</v>
      </c>
      <c r="L41">
        <v>1854</v>
      </c>
      <c r="M41">
        <v>66</v>
      </c>
      <c r="N41" s="7" t="s">
        <v>49</v>
      </c>
      <c r="O41" t="s">
        <v>47</v>
      </c>
      <c r="P41" s="7" t="s">
        <v>20</v>
      </c>
      <c r="T41" s="6"/>
      <c r="X41" s="7"/>
      <c r="Y41" s="7"/>
      <c r="Z41" s="7"/>
      <c r="AA41" s="6"/>
      <c r="AB41" s="6"/>
      <c r="AC41" s="7"/>
      <c r="AD41" s="7"/>
      <c r="AE41" s="7"/>
      <c r="AF41" s="7"/>
      <c r="AG41" s="6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9"/>
      <c r="B42" s="9"/>
      <c r="C42" s="7"/>
      <c r="D42" s="7"/>
      <c r="E42" s="7"/>
      <c r="F42" s="7"/>
      <c r="G42" s="7"/>
      <c r="H42" s="7" t="s">
        <v>1426</v>
      </c>
      <c r="I42" t="s">
        <v>1136</v>
      </c>
      <c r="J42" s="7" t="s">
        <v>26</v>
      </c>
      <c r="K42" t="s">
        <v>19</v>
      </c>
      <c r="L42">
        <v>1861</v>
      </c>
      <c r="M42">
        <v>60</v>
      </c>
      <c r="N42" s="7" t="s">
        <v>2607</v>
      </c>
      <c r="O42" t="s">
        <v>33</v>
      </c>
      <c r="P42" s="7" t="s">
        <v>2608</v>
      </c>
      <c r="T42" s="6"/>
      <c r="X42" s="7"/>
      <c r="Y42" s="7"/>
      <c r="Z42" s="7"/>
      <c r="AA42" s="6"/>
      <c r="AB42" s="6"/>
      <c r="AC42" s="7"/>
      <c r="AD42" s="7"/>
      <c r="AE42" s="7"/>
      <c r="AF42" s="7"/>
      <c r="AG42" s="6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9"/>
      <c r="B43" s="9"/>
      <c r="C43" s="7"/>
      <c r="D43" s="7"/>
      <c r="E43" s="7"/>
      <c r="F43" s="7"/>
      <c r="G43" s="7"/>
      <c r="H43" s="7" t="s">
        <v>2609</v>
      </c>
      <c r="I43" t="s">
        <v>2610</v>
      </c>
      <c r="J43" s="7" t="s">
        <v>26</v>
      </c>
      <c r="K43" t="s">
        <v>19</v>
      </c>
      <c r="L43">
        <v>1900</v>
      </c>
      <c r="M43">
        <v>21</v>
      </c>
      <c r="N43" s="7" t="s">
        <v>14</v>
      </c>
      <c r="O43" t="s">
        <v>28</v>
      </c>
      <c r="P43" s="7" t="s">
        <v>2608</v>
      </c>
      <c r="T43" s="6"/>
      <c r="X43" s="7"/>
      <c r="Y43" s="7"/>
      <c r="Z43" s="7"/>
      <c r="AA43" s="6"/>
      <c r="AB43" s="6"/>
      <c r="AC43" s="7"/>
      <c r="AD43" s="7"/>
      <c r="AE43" s="7"/>
      <c r="AF43" s="7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9"/>
      <c r="B44" s="9"/>
      <c r="C44" s="7"/>
      <c r="D44" s="7"/>
      <c r="E44" s="7"/>
      <c r="F44" s="7"/>
      <c r="G44" s="7"/>
      <c r="H44" s="7"/>
      <c r="J44" s="7"/>
      <c r="N44" s="7"/>
      <c r="P44" s="7"/>
      <c r="T44" s="6"/>
      <c r="X44" s="7"/>
      <c r="Y44" s="7"/>
      <c r="Z44" s="7"/>
      <c r="AA44" s="6"/>
      <c r="AB44" s="6"/>
      <c r="AC44" s="7"/>
      <c r="AD44" s="7"/>
      <c r="AE44" s="7"/>
      <c r="AF44" s="7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9"/>
      <c r="B45" s="9"/>
      <c r="C45" s="7"/>
      <c r="D45" s="7"/>
      <c r="E45" s="7"/>
      <c r="F45" s="7"/>
      <c r="G45" s="7"/>
      <c r="H45" s="7" t="s">
        <v>0</v>
      </c>
      <c r="I45" t="s">
        <v>1</v>
      </c>
      <c r="J45" s="7" t="s">
        <v>2</v>
      </c>
      <c r="K45" t="s">
        <v>3</v>
      </c>
      <c r="L45" t="s">
        <v>4</v>
      </c>
      <c r="M45" t="s">
        <v>5</v>
      </c>
      <c r="N45" s="7" t="s">
        <v>6</v>
      </c>
      <c r="O45" t="s">
        <v>7</v>
      </c>
      <c r="P45" s="7" t="s">
        <v>8</v>
      </c>
      <c r="T45" s="6"/>
      <c r="X45" s="7"/>
      <c r="Y45" s="7"/>
      <c r="Z45" s="7"/>
      <c r="AA45" s="6"/>
      <c r="AB45" s="6"/>
      <c r="AC45" s="7"/>
      <c r="AD45" s="7"/>
      <c r="AE45" s="7"/>
      <c r="AF45" s="7"/>
      <c r="AG45" s="6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9"/>
      <c r="B46" s="9"/>
      <c r="C46" s="7"/>
      <c r="D46" s="7"/>
      <c r="E46" s="7"/>
      <c r="F46" s="7"/>
      <c r="G46" s="7"/>
      <c r="H46" s="7" t="s">
        <v>2611</v>
      </c>
      <c r="I46" t="s">
        <v>1157</v>
      </c>
      <c r="J46" s="7" t="s">
        <v>12</v>
      </c>
      <c r="K46" t="s">
        <v>19</v>
      </c>
      <c r="L46">
        <v>1865</v>
      </c>
      <c r="M46">
        <v>56</v>
      </c>
      <c r="N46" s="7" t="s">
        <v>49</v>
      </c>
      <c r="O46" t="s">
        <v>2612</v>
      </c>
      <c r="P46" s="7" t="s">
        <v>20</v>
      </c>
      <c r="T46" s="6"/>
      <c r="X46" s="7"/>
      <c r="Y46" s="7"/>
      <c r="Z46" s="7"/>
      <c r="AA46" s="6"/>
      <c r="AB46" s="6"/>
      <c r="AC46" s="7"/>
      <c r="AD46" s="7"/>
      <c r="AE46" s="7"/>
      <c r="AF46" s="7"/>
      <c r="AG46" s="6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9"/>
      <c r="B47" s="9"/>
      <c r="C47" s="7"/>
      <c r="D47" s="7"/>
      <c r="E47" s="7"/>
      <c r="F47" s="7"/>
      <c r="G47" s="7"/>
      <c r="H47" s="7" t="s">
        <v>2613</v>
      </c>
      <c r="I47" t="s">
        <v>1157</v>
      </c>
      <c r="J47" s="7" t="s">
        <v>22</v>
      </c>
      <c r="K47" t="s">
        <v>19</v>
      </c>
      <c r="L47">
        <v>1900</v>
      </c>
      <c r="M47">
        <v>20</v>
      </c>
      <c r="N47" s="7" t="s">
        <v>49</v>
      </c>
      <c r="O47" t="s">
        <v>20</v>
      </c>
      <c r="P47" s="7" t="s">
        <v>20</v>
      </c>
      <c r="T47" s="6"/>
      <c r="X47" s="7"/>
      <c r="Y47" s="7"/>
      <c r="Z47" s="7"/>
      <c r="AA47" s="6"/>
      <c r="AB47" s="6"/>
      <c r="AC47" s="7"/>
      <c r="AD47" s="7"/>
      <c r="AE47" s="7"/>
      <c r="AF47" s="7"/>
      <c r="AG47" s="6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" customHeight="1" x14ac:dyDescent="0.2">
      <c r="A48" s="9"/>
      <c r="B48" s="9"/>
      <c r="C48" s="7"/>
      <c r="D48" s="7"/>
      <c r="E48" s="7"/>
      <c r="F48" s="7"/>
      <c r="G48" s="7"/>
      <c r="H48" s="7" t="s">
        <v>1805</v>
      </c>
      <c r="I48" t="s">
        <v>139</v>
      </c>
      <c r="J48" s="7" t="s">
        <v>26</v>
      </c>
      <c r="K48" t="s">
        <v>19</v>
      </c>
      <c r="L48">
        <v>1886</v>
      </c>
      <c r="M48">
        <v>35</v>
      </c>
      <c r="N48" s="7" t="s">
        <v>2614</v>
      </c>
      <c r="O48" t="s">
        <v>33</v>
      </c>
      <c r="P48" s="7" t="s">
        <v>2615</v>
      </c>
      <c r="T48" s="7"/>
      <c r="X48" s="7">
        <f>SUM(X39:X47)</f>
        <v>0</v>
      </c>
      <c r="Y48" s="7">
        <f>SUM(Y39:Y47)</f>
        <v>0</v>
      </c>
      <c r="Z48" s="7">
        <f>SUM(Z39:Z47)</f>
        <v>0</v>
      </c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.5" customHeight="1" x14ac:dyDescent="0.2">
      <c r="A49" s="9"/>
      <c r="B49" s="9"/>
      <c r="C49" s="7"/>
      <c r="D49" s="7"/>
      <c r="E49" s="7"/>
      <c r="F49" s="7"/>
      <c r="G49" s="7"/>
      <c r="H49" s="7" t="s">
        <v>937</v>
      </c>
      <c r="I49" t="s">
        <v>2258</v>
      </c>
      <c r="J49" s="7" t="s">
        <v>26</v>
      </c>
      <c r="K49" t="s">
        <v>19</v>
      </c>
      <c r="L49">
        <v>1882</v>
      </c>
      <c r="M49">
        <v>39</v>
      </c>
      <c r="N49" s="7" t="s">
        <v>2616</v>
      </c>
      <c r="O49" t="s">
        <v>28</v>
      </c>
      <c r="P49" s="7" t="s">
        <v>2617</v>
      </c>
      <c r="T49" s="6"/>
      <c r="X49" s="7"/>
      <c r="Y49" s="7"/>
      <c r="Z49" s="7"/>
      <c r="AA49" s="6"/>
      <c r="AB49" s="6"/>
      <c r="AC49" s="7"/>
      <c r="AD49" s="7"/>
      <c r="AE49" s="7"/>
      <c r="AF49" s="7"/>
      <c r="AG49" s="6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9"/>
      <c r="B50" s="9"/>
      <c r="C50" s="7"/>
      <c r="D50" s="7"/>
      <c r="E50" s="7"/>
      <c r="F50" s="7"/>
      <c r="G50" s="7"/>
      <c r="H50" s="7"/>
      <c r="J50" s="7"/>
      <c r="N50" s="7"/>
      <c r="P50" s="7"/>
      <c r="T50" s="6"/>
      <c r="X50" s="7"/>
      <c r="Y50" s="7"/>
      <c r="Z50" s="7"/>
      <c r="AA50" s="6"/>
      <c r="AB50" s="6"/>
      <c r="AC50" s="7"/>
      <c r="AD50" s="7"/>
      <c r="AE50" s="7"/>
      <c r="AF50" s="7"/>
      <c r="AG50" s="6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9"/>
      <c r="B51" s="9"/>
      <c r="C51" s="7"/>
      <c r="D51" s="7"/>
      <c r="E51" s="11"/>
      <c r="F51" s="12"/>
      <c r="G51" s="12"/>
      <c r="H51" s="12" t="s">
        <v>0</v>
      </c>
      <c r="I51" t="s">
        <v>1</v>
      </c>
      <c r="J51" s="13" t="s">
        <v>2</v>
      </c>
      <c r="K51" t="s">
        <v>3</v>
      </c>
      <c r="L51" t="s">
        <v>4</v>
      </c>
      <c r="M51" t="s">
        <v>5</v>
      </c>
      <c r="N51" s="12" t="s">
        <v>6</v>
      </c>
      <c r="O51" t="s">
        <v>7</v>
      </c>
      <c r="P51" s="12" t="s">
        <v>8</v>
      </c>
      <c r="T51" s="12"/>
      <c r="X51" s="12"/>
      <c r="Y51" s="12"/>
      <c r="Z51" s="12"/>
      <c r="AA51" s="12"/>
      <c r="AB51" s="6"/>
      <c r="AC51" s="12"/>
      <c r="AD51" s="12"/>
      <c r="AE51" s="7"/>
      <c r="AF51" s="7"/>
      <c r="AG51" s="12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28" customHeight="1" x14ac:dyDescent="0.2">
      <c r="A52" s="9"/>
      <c r="B52" s="9"/>
      <c r="C52" s="7"/>
      <c r="D52" s="7"/>
      <c r="E52" s="11"/>
      <c r="F52" s="12">
        <v>4</v>
      </c>
      <c r="G52" s="12"/>
      <c r="H52" s="12" t="s">
        <v>2618</v>
      </c>
      <c r="I52" t="s">
        <v>2619</v>
      </c>
      <c r="J52" s="15" t="s">
        <v>12</v>
      </c>
      <c r="K52" t="s">
        <v>13</v>
      </c>
      <c r="L52">
        <v>1860</v>
      </c>
      <c r="M52">
        <v>61</v>
      </c>
      <c r="N52" s="14" t="s">
        <v>2620</v>
      </c>
      <c r="O52" t="s">
        <v>2621</v>
      </c>
      <c r="P52" s="16" t="s">
        <v>2622</v>
      </c>
      <c r="T52" s="12"/>
      <c r="X52" s="12"/>
      <c r="Y52" s="12"/>
      <c r="Z52" s="12"/>
      <c r="AA52" s="12"/>
      <c r="AB52" s="230"/>
      <c r="AC52" s="12"/>
      <c r="AD52" s="11"/>
      <c r="AE52" s="7"/>
      <c r="AF52" s="7"/>
      <c r="AG52" s="12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9"/>
      <c r="B53" s="9"/>
      <c r="C53" s="7"/>
      <c r="D53" s="7"/>
      <c r="E53" s="7"/>
      <c r="F53" s="7"/>
      <c r="G53" s="7"/>
      <c r="H53" s="7" t="s">
        <v>2623</v>
      </c>
      <c r="I53" s="7" t="s">
        <v>2619</v>
      </c>
      <c r="J53" s="7" t="s">
        <v>18</v>
      </c>
      <c r="K53" s="7" t="s">
        <v>19</v>
      </c>
      <c r="L53" s="7">
        <v>1868</v>
      </c>
      <c r="M53" s="7">
        <v>52</v>
      </c>
      <c r="N53" s="7" t="s">
        <v>49</v>
      </c>
      <c r="O53" s="7" t="s">
        <v>50</v>
      </c>
      <c r="P53" s="7" t="s">
        <v>20</v>
      </c>
      <c r="Q53" s="7"/>
      <c r="R53" s="7"/>
      <c r="S53" s="7"/>
      <c r="T53" s="7"/>
      <c r="U53" s="7">
        <f t="shared" ref="U53:Z53" si="1">SUM(U39:U52)</f>
        <v>0</v>
      </c>
      <c r="V53" s="7">
        <f t="shared" si="1"/>
        <v>0</v>
      </c>
      <c r="W53" s="7">
        <f t="shared" si="1"/>
        <v>0</v>
      </c>
      <c r="X53" s="7">
        <f t="shared" si="1"/>
        <v>0</v>
      </c>
      <c r="Y53" s="7">
        <f t="shared" si="1"/>
        <v>0</v>
      </c>
      <c r="Z53" s="7">
        <f t="shared" si="1"/>
        <v>0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9"/>
      <c r="B54" s="9"/>
      <c r="C54" s="7"/>
      <c r="D54" s="7"/>
      <c r="E54" s="7"/>
      <c r="F54" s="7"/>
      <c r="G54" s="7"/>
      <c r="H54" s="7" t="s">
        <v>2624</v>
      </c>
      <c r="I54" s="7" t="s">
        <v>118</v>
      </c>
      <c r="J54" s="7" t="s">
        <v>26</v>
      </c>
      <c r="K54" s="7" t="s">
        <v>13</v>
      </c>
      <c r="L54" s="7">
        <v>1898</v>
      </c>
      <c r="M54" s="6">
        <v>22</v>
      </c>
      <c r="N54" s="6" t="s">
        <v>325</v>
      </c>
      <c r="O54" s="6" t="s">
        <v>2525</v>
      </c>
      <c r="P54" s="6" t="s">
        <v>29</v>
      </c>
      <c r="Q54" s="7"/>
      <c r="R54" s="6"/>
      <c r="S54" s="6"/>
      <c r="T54" s="20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 t="s">
        <v>2625</v>
      </c>
      <c r="I55" s="7" t="s">
        <v>2626</v>
      </c>
      <c r="J55" s="7" t="s">
        <v>58</v>
      </c>
      <c r="K55" s="7" t="s">
        <v>19</v>
      </c>
      <c r="L55" s="7">
        <v>1897</v>
      </c>
      <c r="M55" s="6">
        <v>23</v>
      </c>
      <c r="N55" s="6" t="s">
        <v>1036</v>
      </c>
      <c r="O55" s="6" t="s">
        <v>2627</v>
      </c>
      <c r="P55" s="6" t="s">
        <v>2203</v>
      </c>
      <c r="Q55" s="6"/>
      <c r="R55" s="6"/>
      <c r="S55" s="6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6"/>
      <c r="N56" s="6"/>
      <c r="O56" s="6"/>
      <c r="P56" s="6"/>
      <c r="Q56" s="6"/>
      <c r="R56" s="6"/>
      <c r="S56" s="6"/>
      <c r="T56" s="7"/>
      <c r="U56" s="6"/>
      <c r="V56" s="6"/>
      <c r="W56" s="6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.5" customHeight="1" x14ac:dyDescent="0.2">
      <c r="A57" s="7"/>
      <c r="B57" s="7"/>
      <c r="C57" s="7"/>
      <c r="D57" s="7"/>
      <c r="E57" s="7"/>
      <c r="F57" s="5"/>
      <c r="G57" s="5"/>
      <c r="H57" s="5" t="s">
        <v>0</v>
      </c>
      <c r="I57" s="5" t="s">
        <v>1</v>
      </c>
      <c r="J57" s="5" t="s">
        <v>2</v>
      </c>
      <c r="K57" s="10" t="s">
        <v>3</v>
      </c>
      <c r="L57" s="5" t="s">
        <v>4</v>
      </c>
      <c r="M57" s="5" t="s">
        <v>5</v>
      </c>
      <c r="N57" s="5" t="s">
        <v>6</v>
      </c>
      <c r="O57" s="5" t="s">
        <v>7</v>
      </c>
      <c r="P57" s="5" t="s">
        <v>8</v>
      </c>
      <c r="Q57" s="7"/>
      <c r="R57" s="6"/>
      <c r="S57" s="6"/>
      <c r="T57" s="7"/>
      <c r="U57" s="6"/>
      <c r="V57" s="6"/>
      <c r="W57" s="6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.5" customHeight="1" x14ac:dyDescent="0.2">
      <c r="A58" s="7"/>
      <c r="B58" s="7"/>
      <c r="C58" s="7"/>
      <c r="D58" s="7"/>
      <c r="E58" s="7"/>
      <c r="F58" s="7">
        <v>6</v>
      </c>
      <c r="G58" s="7"/>
      <c r="H58" s="7" t="s">
        <v>2628</v>
      </c>
      <c r="I58" s="7" t="s">
        <v>107</v>
      </c>
      <c r="J58" s="7" t="s">
        <v>12</v>
      </c>
      <c r="K58" s="7" t="s">
        <v>13</v>
      </c>
      <c r="L58" s="7">
        <v>1861</v>
      </c>
      <c r="M58" s="6">
        <v>59</v>
      </c>
      <c r="N58" s="6" t="s">
        <v>49</v>
      </c>
      <c r="O58" s="6" t="s">
        <v>2629</v>
      </c>
      <c r="P58" s="6" t="s">
        <v>2630</v>
      </c>
      <c r="Q58" s="7"/>
      <c r="R58" s="6"/>
      <c r="S58" s="6"/>
      <c r="T58" s="7"/>
      <c r="U58" s="6"/>
      <c r="V58" s="6"/>
      <c r="W58" s="6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.5" customHeight="1" x14ac:dyDescent="0.2">
      <c r="A59" s="7"/>
      <c r="B59" s="7"/>
      <c r="C59" s="7"/>
      <c r="D59" s="7"/>
      <c r="E59" s="7"/>
      <c r="F59" s="7"/>
      <c r="G59" s="7"/>
      <c r="H59" s="7" t="s">
        <v>2631</v>
      </c>
      <c r="I59" s="7" t="s">
        <v>107</v>
      </c>
      <c r="J59" s="7" t="s">
        <v>144</v>
      </c>
      <c r="K59" s="7" t="s">
        <v>19</v>
      </c>
      <c r="L59" s="7">
        <v>1857</v>
      </c>
      <c r="M59" s="6">
        <v>64</v>
      </c>
      <c r="N59" s="6" t="s">
        <v>49</v>
      </c>
      <c r="O59" s="6" t="s">
        <v>50</v>
      </c>
      <c r="P59" s="6" t="s">
        <v>20</v>
      </c>
      <c r="Q59" s="7"/>
      <c r="R59" s="6"/>
      <c r="S59" s="6"/>
      <c r="T59" s="7"/>
      <c r="U59" s="6"/>
      <c r="V59" s="6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 t="s">
        <v>2632</v>
      </c>
      <c r="I60" s="7" t="s">
        <v>107</v>
      </c>
      <c r="J60" s="7" t="s">
        <v>144</v>
      </c>
      <c r="K60" s="7" t="s">
        <v>19</v>
      </c>
      <c r="L60" s="7">
        <v>1865</v>
      </c>
      <c r="M60" s="6">
        <v>56</v>
      </c>
      <c r="N60" s="6" t="s">
        <v>49</v>
      </c>
      <c r="O60" s="6" t="s">
        <v>50</v>
      </c>
      <c r="P60" s="6" t="s">
        <v>20</v>
      </c>
      <c r="Q60" s="7"/>
      <c r="R60" s="6"/>
      <c r="S60" s="6"/>
      <c r="T60" s="7"/>
      <c r="U60" s="6"/>
      <c r="V60" s="6"/>
      <c r="W60" s="6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" customHeight="1" x14ac:dyDescent="0.2">
      <c r="A61" s="7"/>
      <c r="B61" s="7"/>
      <c r="C61" s="7"/>
      <c r="D61" s="7"/>
      <c r="E61" s="7"/>
      <c r="F61" s="7"/>
      <c r="G61" s="7"/>
      <c r="H61" s="7" t="s">
        <v>67</v>
      </c>
      <c r="I61" s="7" t="s">
        <v>2252</v>
      </c>
      <c r="J61" s="7" t="s">
        <v>437</v>
      </c>
      <c r="K61" s="7" t="s">
        <v>19</v>
      </c>
      <c r="L61" s="7">
        <v>1897</v>
      </c>
      <c r="M61" s="6">
        <v>24</v>
      </c>
      <c r="N61" s="6" t="s">
        <v>14</v>
      </c>
      <c r="O61" s="6" t="s">
        <v>344</v>
      </c>
      <c r="P61" s="6" t="s">
        <v>29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6"/>
      <c r="N62" s="6"/>
      <c r="O62" s="6"/>
      <c r="P62" s="6"/>
      <c r="Q62" s="7"/>
      <c r="R62" s="6"/>
      <c r="S62" s="6"/>
      <c r="T62" s="19"/>
      <c r="U62" s="6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ht="17.5" customHeight="1" x14ac:dyDescent="0.2">
      <c r="A63" s="7"/>
      <c r="B63" s="7"/>
      <c r="C63" s="7"/>
      <c r="D63" s="7"/>
      <c r="E63" s="7"/>
      <c r="F63" s="7"/>
      <c r="G63" s="7"/>
      <c r="H63" s="7" t="s">
        <v>0</v>
      </c>
      <c r="I63" s="7" t="s">
        <v>1</v>
      </c>
      <c r="J63" s="7" t="s">
        <v>2</v>
      </c>
      <c r="K63" s="7" t="s">
        <v>3</v>
      </c>
      <c r="L63" s="7" t="s">
        <v>4</v>
      </c>
      <c r="M63" s="6" t="s">
        <v>5</v>
      </c>
      <c r="N63" s="6" t="s">
        <v>6</v>
      </c>
      <c r="O63" s="6" t="s">
        <v>7</v>
      </c>
      <c r="P63" s="6" t="s">
        <v>8</v>
      </c>
      <c r="Q63" s="7"/>
      <c r="R63" s="6"/>
      <c r="S63" s="6"/>
      <c r="T63" s="7"/>
      <c r="U63" s="6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ht="17.5" customHeight="1" x14ac:dyDescent="0.2">
      <c r="A64" s="7"/>
      <c r="B64" s="7"/>
      <c r="C64" s="7"/>
      <c r="D64" s="7"/>
      <c r="E64" s="7"/>
      <c r="F64" s="7">
        <v>7</v>
      </c>
      <c r="G64" s="7"/>
      <c r="H64" s="7" t="s">
        <v>911</v>
      </c>
      <c r="I64" s="7" t="s">
        <v>1859</v>
      </c>
      <c r="J64" s="7" t="s">
        <v>12</v>
      </c>
      <c r="K64" s="7" t="s">
        <v>13</v>
      </c>
      <c r="L64" s="7">
        <v>1891</v>
      </c>
      <c r="M64" s="6">
        <v>30</v>
      </c>
      <c r="N64" s="6" t="s">
        <v>1410</v>
      </c>
      <c r="O64" s="6" t="s">
        <v>2633</v>
      </c>
      <c r="P64" s="6" t="s">
        <v>8</v>
      </c>
      <c r="Q64" s="7"/>
      <c r="R64" s="6"/>
      <c r="S64" s="6"/>
      <c r="T64" s="7"/>
      <c r="U64" s="6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ht="17.5" customHeight="1" x14ac:dyDescent="0.2">
      <c r="A65" s="7"/>
      <c r="B65" s="7"/>
      <c r="C65" s="7"/>
      <c r="D65" s="7"/>
      <c r="E65" s="7"/>
      <c r="F65" s="7"/>
      <c r="G65" s="7"/>
      <c r="H65" s="7" t="s">
        <v>2634</v>
      </c>
      <c r="I65" s="7" t="s">
        <v>1859</v>
      </c>
      <c r="J65" s="7" t="s">
        <v>18</v>
      </c>
      <c r="K65" s="7" t="s">
        <v>19</v>
      </c>
      <c r="L65" s="7">
        <v>1891</v>
      </c>
      <c r="M65" s="6">
        <v>29</v>
      </c>
      <c r="N65" s="6" t="s">
        <v>2635</v>
      </c>
      <c r="O65" s="6" t="s">
        <v>50</v>
      </c>
      <c r="P65" s="6" t="s">
        <v>20</v>
      </c>
      <c r="Q65" s="7"/>
      <c r="R65" s="6"/>
      <c r="S65" s="6"/>
      <c r="T65" s="19"/>
      <c r="U65" s="6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43E7-3A17-2346-BD6C-AEEDE603AFA8}">
  <dimension ref="A1:BC126"/>
  <sheetViews>
    <sheetView topLeftCell="A34" workbookViewId="0">
      <selection activeCell="A63" sqref="A63:XFD63"/>
    </sheetView>
  </sheetViews>
  <sheetFormatPr baseColWidth="10" defaultColWidth="10.83203125" defaultRowHeight="16" x14ac:dyDescent="0.2"/>
  <cols>
    <col min="4" max="4" width="17.83203125" customWidth="1"/>
    <col min="5" max="5" width="16.83203125" customWidth="1"/>
    <col min="6" max="6" width="9.83203125" customWidth="1"/>
    <col min="8" max="8" width="19.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0.664062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587</v>
      </c>
      <c r="B3" s="9">
        <v>1921</v>
      </c>
      <c r="C3" s="7">
        <v>1</v>
      </c>
      <c r="D3" s="7" t="s">
        <v>613</v>
      </c>
      <c r="F3" s="5"/>
      <c r="G3" t="s">
        <v>1</v>
      </c>
      <c r="H3" s="5" t="s">
        <v>0</v>
      </c>
      <c r="J3" t="s">
        <v>3</v>
      </c>
      <c r="N3" s="10" t="s">
        <v>2</v>
      </c>
      <c r="P3" t="s">
        <v>4</v>
      </c>
      <c r="T3" t="s">
        <v>5</v>
      </c>
      <c r="X3" s="5"/>
      <c r="Y3" s="5"/>
      <c r="Z3" s="5"/>
      <c r="AA3" t="s">
        <v>7</v>
      </c>
      <c r="AB3" s="5" t="s">
        <v>8</v>
      </c>
      <c r="AC3" s="5"/>
      <c r="AD3" s="5"/>
      <c r="AE3" s="7"/>
      <c r="AF3" s="5" t="s">
        <v>6</v>
      </c>
      <c r="AG3" s="5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587</v>
      </c>
      <c r="B4" s="9">
        <v>1921</v>
      </c>
      <c r="C4" s="7">
        <v>1</v>
      </c>
      <c r="D4" s="7" t="s">
        <v>613</v>
      </c>
      <c r="E4" s="7" t="s">
        <v>2643</v>
      </c>
      <c r="F4" s="7"/>
      <c r="G4" t="s">
        <v>1104</v>
      </c>
      <c r="H4" s="7" t="s">
        <v>2637</v>
      </c>
      <c r="I4">
        <v>1</v>
      </c>
      <c r="J4" t="s">
        <v>13</v>
      </c>
      <c r="K4">
        <v>1</v>
      </c>
      <c r="N4" s="7">
        <v>1</v>
      </c>
      <c r="T4">
        <v>35</v>
      </c>
      <c r="X4" s="7"/>
      <c r="Y4" s="7"/>
      <c r="Z4" s="7"/>
      <c r="AA4" t="s">
        <v>2638</v>
      </c>
      <c r="AB4" s="7" t="s">
        <v>2639</v>
      </c>
      <c r="AC4" s="7">
        <v>1</v>
      </c>
      <c r="AD4" s="7"/>
      <c r="AE4" s="7"/>
      <c r="AF4" s="7">
        <v>1</v>
      </c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587</v>
      </c>
      <c r="B5" s="9">
        <v>1921</v>
      </c>
      <c r="C5" s="7">
        <v>1</v>
      </c>
      <c r="D5" s="7" t="s">
        <v>613</v>
      </c>
      <c r="E5" s="7"/>
      <c r="F5" s="7"/>
      <c r="G5" t="s">
        <v>1104</v>
      </c>
      <c r="H5" s="7" t="s">
        <v>2640</v>
      </c>
      <c r="I5">
        <v>2</v>
      </c>
      <c r="J5">
        <v>1</v>
      </c>
      <c r="N5" s="7" t="s">
        <v>18</v>
      </c>
      <c r="O5">
        <v>1</v>
      </c>
      <c r="T5">
        <v>33</v>
      </c>
      <c r="X5" s="7"/>
      <c r="Y5" s="7"/>
      <c r="Z5" s="7"/>
      <c r="AA5" t="s">
        <v>20</v>
      </c>
      <c r="AB5" s="7" t="s">
        <v>20</v>
      </c>
      <c r="AC5" s="7"/>
      <c r="AD5" s="7"/>
      <c r="AE5" s="7"/>
      <c r="AF5" s="7" t="s">
        <v>149</v>
      </c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587</v>
      </c>
      <c r="B6" s="9">
        <v>1921</v>
      </c>
      <c r="C6" s="7">
        <v>1</v>
      </c>
      <c r="D6" s="7" t="s">
        <v>613</v>
      </c>
      <c r="E6" s="7"/>
      <c r="F6" s="7"/>
      <c r="G6" t="s">
        <v>1104</v>
      </c>
      <c r="H6" s="7" t="s">
        <v>2641</v>
      </c>
      <c r="I6">
        <v>3</v>
      </c>
      <c r="L6">
        <v>1</v>
      </c>
      <c r="N6" s="7" t="s">
        <v>22</v>
      </c>
      <c r="P6">
        <v>1</v>
      </c>
      <c r="T6">
        <v>1</v>
      </c>
      <c r="X6" s="7"/>
      <c r="Y6" s="7"/>
      <c r="Z6" s="7"/>
      <c r="AA6" t="s">
        <v>20</v>
      </c>
      <c r="AB6" s="7" t="s">
        <v>20</v>
      </c>
      <c r="AC6" s="7"/>
      <c r="AD6" s="7"/>
      <c r="AE6" s="7"/>
      <c r="AF6" s="7">
        <v>1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587</v>
      </c>
      <c r="B7" s="9">
        <v>1921</v>
      </c>
      <c r="C7" s="7">
        <v>1</v>
      </c>
      <c r="D7" s="7" t="s">
        <v>613</v>
      </c>
      <c r="E7" s="7"/>
      <c r="F7" s="7"/>
      <c r="G7" t="s">
        <v>2642</v>
      </c>
      <c r="H7" s="7" t="s">
        <v>1418</v>
      </c>
      <c r="I7">
        <v>4</v>
      </c>
      <c r="J7">
        <v>1</v>
      </c>
      <c r="N7" s="7" t="s">
        <v>26</v>
      </c>
      <c r="S7">
        <v>1</v>
      </c>
      <c r="T7">
        <v>22</v>
      </c>
      <c r="X7" s="7"/>
      <c r="Y7" s="7"/>
      <c r="Z7" s="7"/>
      <c r="AA7" t="s">
        <v>56</v>
      </c>
      <c r="AB7" s="7" t="s">
        <v>29</v>
      </c>
      <c r="AC7" s="7">
        <v>1</v>
      </c>
      <c r="AD7" s="7"/>
      <c r="AE7" s="7"/>
      <c r="AF7" s="7" t="s">
        <v>169</v>
      </c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587</v>
      </c>
      <c r="B8" s="9">
        <v>1921</v>
      </c>
      <c r="C8" s="7"/>
      <c r="D8" s="7" t="s">
        <v>613</v>
      </c>
      <c r="E8" s="7"/>
      <c r="F8" s="7"/>
      <c r="H8" s="7">
        <v>4</v>
      </c>
      <c r="N8" s="7"/>
      <c r="X8" s="7"/>
      <c r="Y8" s="7"/>
      <c r="Z8" s="7"/>
      <c r="AB8" s="7"/>
      <c r="AC8" s="7"/>
      <c r="AD8" s="7"/>
      <c r="AE8" s="7"/>
      <c r="AF8" s="7"/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587</v>
      </c>
      <c r="B9" s="9">
        <v>1921</v>
      </c>
      <c r="C9" s="7"/>
      <c r="D9" s="7" t="s">
        <v>613</v>
      </c>
      <c r="E9" s="7"/>
      <c r="F9" s="7"/>
      <c r="G9" t="s">
        <v>1</v>
      </c>
      <c r="H9" s="7" t="s">
        <v>0</v>
      </c>
      <c r="J9" t="s">
        <v>3</v>
      </c>
      <c r="N9" s="7" t="s">
        <v>2</v>
      </c>
      <c r="T9" t="s">
        <v>5</v>
      </c>
      <c r="X9" s="7"/>
      <c r="Y9" s="7"/>
      <c r="Z9" s="7"/>
      <c r="AA9" t="s">
        <v>7</v>
      </c>
      <c r="AB9" s="7" t="s">
        <v>8</v>
      </c>
      <c r="AC9" s="7"/>
      <c r="AD9" s="7"/>
      <c r="AE9" s="7"/>
      <c r="AF9" s="7" t="s">
        <v>6</v>
      </c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s="55" customFormat="1" ht="17.5" customHeight="1" x14ac:dyDescent="0.2">
      <c r="A10" s="226" t="s">
        <v>587</v>
      </c>
      <c r="B10" s="226">
        <v>1921</v>
      </c>
      <c r="C10" s="227">
        <v>2</v>
      </c>
      <c r="D10" s="227" t="s">
        <v>613</v>
      </c>
      <c r="E10" s="227" t="s">
        <v>2653</v>
      </c>
      <c r="F10" s="227"/>
      <c r="G10" s="55" t="s">
        <v>2645</v>
      </c>
      <c r="H10" s="227" t="s">
        <v>2644</v>
      </c>
      <c r="I10" s="55">
        <v>5</v>
      </c>
      <c r="J10" s="55">
        <v>1</v>
      </c>
      <c r="N10" s="227">
        <v>1</v>
      </c>
      <c r="T10" s="55">
        <v>34</v>
      </c>
      <c r="X10" s="227"/>
      <c r="Y10" s="227"/>
      <c r="Z10" s="227"/>
      <c r="AA10" s="55" t="s">
        <v>2647</v>
      </c>
      <c r="AB10" s="227" t="s">
        <v>2648</v>
      </c>
      <c r="AC10" s="227">
        <v>1</v>
      </c>
      <c r="AD10" s="227"/>
      <c r="AE10" s="227"/>
      <c r="AF10" s="227" t="s">
        <v>2646</v>
      </c>
      <c r="AG10" s="229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</row>
    <row r="11" spans="1:55" ht="17.5" customHeight="1" x14ac:dyDescent="0.2">
      <c r="A11" s="9" t="s">
        <v>587</v>
      </c>
      <c r="B11" s="9">
        <v>1921</v>
      </c>
      <c r="C11" s="7">
        <v>2</v>
      </c>
      <c r="D11" s="7" t="s">
        <v>613</v>
      </c>
      <c r="E11" s="7"/>
      <c r="F11" s="7"/>
      <c r="G11" t="s">
        <v>2236</v>
      </c>
      <c r="H11" s="7" t="s">
        <v>386</v>
      </c>
      <c r="I11">
        <v>6</v>
      </c>
      <c r="J11" t="s">
        <v>13</v>
      </c>
      <c r="K11">
        <v>1</v>
      </c>
      <c r="N11" s="7" t="s">
        <v>60</v>
      </c>
      <c r="R11">
        <v>1</v>
      </c>
      <c r="T11">
        <v>68</v>
      </c>
      <c r="X11" s="7"/>
      <c r="Y11" s="7"/>
      <c r="Z11" s="7"/>
      <c r="AA11" t="s">
        <v>942</v>
      </c>
      <c r="AB11" s="7" t="s">
        <v>2650</v>
      </c>
      <c r="AC11" s="7">
        <v>1</v>
      </c>
      <c r="AD11" s="7"/>
      <c r="AE11" s="7"/>
      <c r="AF11" s="7" t="s">
        <v>2649</v>
      </c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587</v>
      </c>
      <c r="B12" s="9">
        <v>1921</v>
      </c>
      <c r="C12" s="7">
        <v>2</v>
      </c>
      <c r="D12" s="7" t="s">
        <v>613</v>
      </c>
      <c r="E12" s="7"/>
      <c r="F12" s="7"/>
      <c r="G12" t="s">
        <v>2236</v>
      </c>
      <c r="H12" s="7" t="s">
        <v>2651</v>
      </c>
      <c r="I12">
        <v>7</v>
      </c>
      <c r="J12">
        <v>1</v>
      </c>
      <c r="N12" s="7" t="s">
        <v>26</v>
      </c>
      <c r="S12">
        <v>1</v>
      </c>
      <c r="T12">
        <v>22</v>
      </c>
      <c r="X12" s="7">
        <f>SUM(X3:X11)</f>
        <v>0</v>
      </c>
      <c r="Y12" s="7">
        <f>SUM(Y3:Y11)</f>
        <v>0</v>
      </c>
      <c r="Z12" s="7">
        <f>SUM(Z3:Z11)</f>
        <v>0</v>
      </c>
      <c r="AA12" t="s">
        <v>344</v>
      </c>
      <c r="AB12" s="7" t="s">
        <v>29</v>
      </c>
      <c r="AC12" s="7">
        <v>1</v>
      </c>
      <c r="AD12" s="7"/>
      <c r="AE12" s="7"/>
      <c r="AF12" s="7" t="s">
        <v>2652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587</v>
      </c>
      <c r="B13" s="9">
        <v>1921</v>
      </c>
      <c r="C13" s="7"/>
      <c r="D13" s="7" t="s">
        <v>613</v>
      </c>
      <c r="E13" s="7"/>
      <c r="F13" s="7"/>
      <c r="H13" s="7">
        <v>3</v>
      </c>
      <c r="N13" s="7"/>
      <c r="X13" s="7"/>
      <c r="Y13" s="7"/>
      <c r="Z13" s="7"/>
      <c r="AB13" s="7"/>
      <c r="AC13" s="7"/>
      <c r="AD13" s="7"/>
      <c r="AE13" s="7"/>
      <c r="AF13" s="7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587</v>
      </c>
      <c r="B14" s="9">
        <v>1921</v>
      </c>
      <c r="C14" s="7"/>
      <c r="D14" s="7" t="s">
        <v>613</v>
      </c>
      <c r="E14" s="7"/>
      <c r="F14" s="7"/>
      <c r="G14" t="s">
        <v>1</v>
      </c>
      <c r="H14" s="7" t="s">
        <v>0</v>
      </c>
      <c r="J14" t="s">
        <v>3</v>
      </c>
      <c r="N14" s="7" t="s">
        <v>2</v>
      </c>
      <c r="T14" t="s">
        <v>5</v>
      </c>
      <c r="X14" s="7"/>
      <c r="Y14" s="7"/>
      <c r="Z14" s="7"/>
      <c r="AA14" t="s">
        <v>7</v>
      </c>
      <c r="AB14" s="7" t="s">
        <v>8</v>
      </c>
      <c r="AC14" s="7"/>
      <c r="AD14" s="7"/>
      <c r="AE14" s="7"/>
      <c r="AF14" s="7" t="s">
        <v>6</v>
      </c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587</v>
      </c>
      <c r="B15" s="9">
        <v>1921</v>
      </c>
      <c r="C15" s="7">
        <v>3</v>
      </c>
      <c r="D15" s="7" t="s">
        <v>613</v>
      </c>
      <c r="E15" s="11" t="s">
        <v>2658</v>
      </c>
      <c r="F15" s="12"/>
      <c r="G15" t="s">
        <v>2654</v>
      </c>
      <c r="H15" s="12" t="s">
        <v>1232</v>
      </c>
      <c r="I15">
        <v>8</v>
      </c>
      <c r="J15" t="s">
        <v>13</v>
      </c>
      <c r="K15">
        <v>1</v>
      </c>
      <c r="N15" s="13">
        <v>1</v>
      </c>
      <c r="T15">
        <v>77</v>
      </c>
      <c r="X15" s="12"/>
      <c r="Y15" s="12"/>
      <c r="Z15" s="12"/>
      <c r="AA15" t="s">
        <v>2655</v>
      </c>
      <c r="AB15" s="12" t="s">
        <v>8</v>
      </c>
      <c r="AC15" s="12">
        <v>1</v>
      </c>
      <c r="AD15" s="12">
        <v>1</v>
      </c>
      <c r="AE15" s="7"/>
      <c r="AF15" s="12">
        <v>1</v>
      </c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 t="s">
        <v>587</v>
      </c>
      <c r="B16" s="9">
        <v>1921</v>
      </c>
      <c r="C16" s="7">
        <v>3</v>
      </c>
      <c r="D16" s="7" t="s">
        <v>613</v>
      </c>
      <c r="E16" s="11"/>
      <c r="F16" s="12"/>
      <c r="G16" t="s">
        <v>2654</v>
      </c>
      <c r="H16" s="12" t="s">
        <v>653</v>
      </c>
      <c r="I16">
        <v>9</v>
      </c>
      <c r="J16">
        <v>1</v>
      </c>
      <c r="N16" s="15" t="s">
        <v>18</v>
      </c>
      <c r="O16">
        <v>1</v>
      </c>
      <c r="T16">
        <v>77</v>
      </c>
      <c r="X16" s="12"/>
      <c r="Y16" s="12"/>
      <c r="Z16" s="12"/>
      <c r="AA16" t="s">
        <v>50</v>
      </c>
      <c r="AB16" s="16" t="s">
        <v>20</v>
      </c>
      <c r="AC16" s="12"/>
      <c r="AD16" s="11"/>
      <c r="AE16" s="7"/>
      <c r="AF16" s="14">
        <v>1</v>
      </c>
      <c r="AG16" s="12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587</v>
      </c>
      <c r="B17" s="9">
        <v>1921</v>
      </c>
      <c r="C17" s="7">
        <v>3</v>
      </c>
      <c r="D17" s="7" t="s">
        <v>613</v>
      </c>
      <c r="E17" s="7"/>
      <c r="F17" s="7"/>
      <c r="G17" s="7" t="s">
        <v>2654</v>
      </c>
      <c r="H17" s="7" t="s">
        <v>1186</v>
      </c>
      <c r="I17">
        <v>10</v>
      </c>
      <c r="J17" s="7">
        <v>1</v>
      </c>
      <c r="N17" s="7" t="s">
        <v>22</v>
      </c>
      <c r="P17" s="7">
        <v>1</v>
      </c>
      <c r="T17" s="7">
        <v>47</v>
      </c>
      <c r="X17" s="7">
        <f>SUM(X3:X16)</f>
        <v>0</v>
      </c>
      <c r="Y17" s="7">
        <f>SUM(Y3:Y16)</f>
        <v>0</v>
      </c>
      <c r="Z17" s="7">
        <f>SUM(Z3:Z16)</f>
        <v>0</v>
      </c>
      <c r="AA17" s="7" t="s">
        <v>20</v>
      </c>
      <c r="AB17" s="7" t="s">
        <v>20</v>
      </c>
      <c r="AC17" s="7"/>
      <c r="AD17" s="7"/>
      <c r="AE17" s="7"/>
      <c r="AF17" s="7">
        <v>1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587</v>
      </c>
      <c r="B18" s="9">
        <v>1921</v>
      </c>
      <c r="C18" s="7">
        <v>3</v>
      </c>
      <c r="D18" s="7" t="s">
        <v>613</v>
      </c>
      <c r="E18" s="7"/>
      <c r="F18" s="7"/>
      <c r="G18" s="7" t="s">
        <v>2656</v>
      </c>
      <c r="H18" s="7" t="s">
        <v>655</v>
      </c>
      <c r="I18">
        <v>11</v>
      </c>
      <c r="J18" s="7">
        <v>1</v>
      </c>
      <c r="N18" s="7" t="s">
        <v>26</v>
      </c>
      <c r="P18" s="7"/>
      <c r="S18">
        <v>1</v>
      </c>
      <c r="T18" s="6">
        <v>49</v>
      </c>
      <c r="X18" s="7"/>
      <c r="Y18" s="7"/>
      <c r="Z18" s="7"/>
      <c r="AA18" s="6" t="s">
        <v>56</v>
      </c>
      <c r="AB18" s="6" t="s">
        <v>29</v>
      </c>
      <c r="AC18" s="7"/>
      <c r="AD18" s="7"/>
      <c r="AE18" s="7"/>
      <c r="AF18" s="6" t="s">
        <v>2657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587</v>
      </c>
      <c r="B19" s="9">
        <v>1921</v>
      </c>
      <c r="C19" s="7"/>
      <c r="D19" s="7" t="s">
        <v>613</v>
      </c>
      <c r="E19" s="7"/>
      <c r="F19" s="7"/>
      <c r="G19" s="7"/>
      <c r="H19" s="7">
        <v>4</v>
      </c>
      <c r="J19" s="7"/>
      <c r="N19" s="7"/>
      <c r="P19" s="7"/>
      <c r="T19" s="6"/>
      <c r="X19" s="7"/>
      <c r="Y19" s="7"/>
      <c r="Z19" s="7"/>
      <c r="AA19" s="6"/>
      <c r="AB19" s="6"/>
      <c r="AC19" s="7"/>
      <c r="AD19" s="7"/>
      <c r="AE19" s="7"/>
      <c r="AF19" s="6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587</v>
      </c>
      <c r="B20" s="9">
        <v>1921</v>
      </c>
      <c r="C20" s="7"/>
      <c r="D20" s="7" t="s">
        <v>613</v>
      </c>
      <c r="E20" s="7"/>
      <c r="F20" s="7"/>
      <c r="G20" s="7" t="s">
        <v>1</v>
      </c>
      <c r="H20" s="7" t="s">
        <v>0</v>
      </c>
      <c r="J20" s="7" t="s">
        <v>3</v>
      </c>
      <c r="N20" s="7" t="s">
        <v>2</v>
      </c>
      <c r="P20" s="7"/>
      <c r="T20" s="6" t="s">
        <v>5</v>
      </c>
      <c r="X20" s="7"/>
      <c r="Y20" s="7"/>
      <c r="Z20" s="7"/>
      <c r="AA20" s="6" t="s">
        <v>7</v>
      </c>
      <c r="AB20" s="6" t="s">
        <v>8</v>
      </c>
      <c r="AC20" s="7"/>
      <c r="AD20" s="7"/>
      <c r="AE20" s="7"/>
      <c r="AF20" s="6" t="s">
        <v>6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587</v>
      </c>
      <c r="B21" s="9">
        <v>1921</v>
      </c>
      <c r="C21" s="7">
        <v>4</v>
      </c>
      <c r="D21" s="7" t="s">
        <v>613</v>
      </c>
      <c r="E21" s="7" t="s">
        <v>2669</v>
      </c>
      <c r="F21" s="5"/>
      <c r="G21" s="5" t="s">
        <v>1117</v>
      </c>
      <c r="H21" s="5" t="s">
        <v>2659</v>
      </c>
      <c r="I21">
        <v>12</v>
      </c>
      <c r="J21" s="10" t="s">
        <v>13</v>
      </c>
      <c r="K21">
        <v>1</v>
      </c>
      <c r="N21" s="5">
        <v>1</v>
      </c>
      <c r="P21" s="5"/>
      <c r="T21" s="5">
        <v>52</v>
      </c>
      <c r="X21" s="7"/>
      <c r="Y21" s="7"/>
      <c r="Z21" s="7"/>
      <c r="AA21" s="5" t="s">
        <v>2661</v>
      </c>
      <c r="AB21" s="5" t="s">
        <v>8</v>
      </c>
      <c r="AC21" s="7">
        <v>1</v>
      </c>
      <c r="AD21" s="7">
        <v>1</v>
      </c>
      <c r="AE21" s="7"/>
      <c r="AF21" s="5" t="s">
        <v>2660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587</v>
      </c>
      <c r="B22" s="9">
        <v>1921</v>
      </c>
      <c r="C22" s="7">
        <v>4</v>
      </c>
      <c r="D22" s="7" t="s">
        <v>613</v>
      </c>
      <c r="E22" s="7"/>
      <c r="F22" s="7"/>
      <c r="G22" s="7" t="s">
        <v>1117</v>
      </c>
      <c r="H22" s="7" t="s">
        <v>2662</v>
      </c>
      <c r="I22">
        <v>13</v>
      </c>
      <c r="J22" s="7">
        <v>1</v>
      </c>
      <c r="N22" s="7" t="s">
        <v>18</v>
      </c>
      <c r="O22">
        <v>1</v>
      </c>
      <c r="P22" s="7"/>
      <c r="T22" s="6">
        <v>44</v>
      </c>
      <c r="X22" s="7"/>
      <c r="Y22" s="7"/>
      <c r="Z22" s="7"/>
      <c r="AA22" s="6" t="s">
        <v>50</v>
      </c>
      <c r="AB22" s="6" t="s">
        <v>20</v>
      </c>
      <c r="AC22" s="7"/>
      <c r="AD22" s="7"/>
      <c r="AE22" s="7"/>
      <c r="AF22" s="6" t="s">
        <v>388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587</v>
      </c>
      <c r="B23" s="9">
        <v>1921</v>
      </c>
      <c r="C23" s="7">
        <v>4</v>
      </c>
      <c r="D23" s="7" t="s">
        <v>613</v>
      </c>
      <c r="E23" s="7"/>
      <c r="F23" s="7"/>
      <c r="G23" s="7" t="s">
        <v>1117</v>
      </c>
      <c r="H23" s="7" t="s">
        <v>2663</v>
      </c>
      <c r="I23">
        <v>14</v>
      </c>
      <c r="J23" s="7"/>
      <c r="L23">
        <v>1</v>
      </c>
      <c r="N23" s="7" t="s">
        <v>22</v>
      </c>
      <c r="P23" s="7">
        <v>1</v>
      </c>
      <c r="T23" s="6">
        <v>12</v>
      </c>
      <c r="X23" s="7"/>
      <c r="Y23" s="7"/>
      <c r="Z23" s="7"/>
      <c r="AA23" s="6" t="s">
        <v>20</v>
      </c>
      <c r="AB23" s="6" t="s">
        <v>20</v>
      </c>
      <c r="AC23" s="7"/>
      <c r="AD23" s="7"/>
      <c r="AE23" s="7"/>
      <c r="AF23" s="6" t="s">
        <v>2664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587</v>
      </c>
      <c r="B24" s="9">
        <v>1921</v>
      </c>
      <c r="C24" s="7">
        <v>4</v>
      </c>
      <c r="D24" s="7" t="s">
        <v>613</v>
      </c>
      <c r="E24" s="7"/>
      <c r="F24" s="7"/>
      <c r="G24" s="7" t="s">
        <v>1117</v>
      </c>
      <c r="H24" s="7" t="s">
        <v>2665</v>
      </c>
      <c r="I24">
        <v>15</v>
      </c>
      <c r="J24" s="7" t="s">
        <v>13</v>
      </c>
      <c r="M24">
        <v>1</v>
      </c>
      <c r="N24" s="7" t="s">
        <v>51</v>
      </c>
      <c r="P24" s="7"/>
      <c r="Q24">
        <v>1</v>
      </c>
      <c r="T24" s="6">
        <v>10</v>
      </c>
      <c r="X24" s="7"/>
      <c r="Y24" s="7"/>
      <c r="Z24" s="7"/>
      <c r="AA24" s="6" t="s">
        <v>20</v>
      </c>
      <c r="AB24" s="6" t="s">
        <v>20</v>
      </c>
      <c r="AC24" s="7"/>
      <c r="AD24" s="7"/>
      <c r="AE24" s="7"/>
      <c r="AF24" s="6" t="s">
        <v>2664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9" t="s">
        <v>587</v>
      </c>
      <c r="B25" s="9">
        <v>1921</v>
      </c>
      <c r="C25" s="7">
        <v>4</v>
      </c>
      <c r="D25" s="7" t="s">
        <v>613</v>
      </c>
      <c r="E25" s="7"/>
      <c r="F25" s="7"/>
      <c r="G25" s="7" t="s">
        <v>1117</v>
      </c>
      <c r="H25" s="7" t="s">
        <v>2666</v>
      </c>
      <c r="I25">
        <v>16</v>
      </c>
      <c r="J25" s="7"/>
      <c r="L25">
        <v>1</v>
      </c>
      <c r="N25" s="7" t="s">
        <v>22</v>
      </c>
      <c r="P25" s="7">
        <v>1</v>
      </c>
      <c r="T25" s="6">
        <v>9</v>
      </c>
      <c r="X25" s="7"/>
      <c r="Y25" s="7"/>
      <c r="Z25" s="7"/>
      <c r="AA25" s="6" t="s">
        <v>20</v>
      </c>
      <c r="AB25" s="6" t="s">
        <v>20</v>
      </c>
      <c r="AC25" s="7"/>
      <c r="AD25" s="7"/>
      <c r="AE25" s="7"/>
      <c r="AF25" s="6">
        <v>1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587</v>
      </c>
      <c r="B26" s="9">
        <v>1921</v>
      </c>
      <c r="C26" s="7">
        <v>4</v>
      </c>
      <c r="D26" s="7" t="s">
        <v>613</v>
      </c>
      <c r="E26" s="7"/>
      <c r="F26" s="7"/>
      <c r="G26" s="7" t="s">
        <v>1021</v>
      </c>
      <c r="H26" s="7" t="s">
        <v>2667</v>
      </c>
      <c r="I26">
        <v>17</v>
      </c>
      <c r="J26" s="7">
        <v>1</v>
      </c>
      <c r="N26" s="7" t="s">
        <v>26</v>
      </c>
      <c r="P26" s="7"/>
      <c r="S26">
        <v>1</v>
      </c>
      <c r="T26" s="6">
        <v>18</v>
      </c>
      <c r="X26" s="7"/>
      <c r="Y26" s="7"/>
      <c r="Z26" s="7"/>
      <c r="AA26" s="6" t="s">
        <v>344</v>
      </c>
      <c r="AB26" s="6" t="s">
        <v>2668</v>
      </c>
      <c r="AC26" s="7">
        <v>1</v>
      </c>
      <c r="AD26" s="7"/>
      <c r="AE26" s="7"/>
      <c r="AF26" s="6" t="s">
        <v>1374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587</v>
      </c>
      <c r="B27" s="9">
        <v>1921</v>
      </c>
      <c r="C27" s="7"/>
      <c r="D27" s="7" t="s">
        <v>613</v>
      </c>
      <c r="E27" s="7"/>
      <c r="F27" s="7"/>
      <c r="G27" s="7"/>
      <c r="H27" s="7">
        <v>6</v>
      </c>
      <c r="J27" s="7"/>
      <c r="N27" s="7"/>
      <c r="P27" s="7"/>
      <c r="T27" s="6"/>
      <c r="X27" s="7"/>
      <c r="Y27" s="7"/>
      <c r="Z27" s="7"/>
      <c r="AA27" s="6"/>
      <c r="AB27" s="6"/>
      <c r="AC27" s="7"/>
      <c r="AD27" s="7"/>
      <c r="AE27" s="7"/>
      <c r="AF27" s="6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587</v>
      </c>
      <c r="B28" s="9">
        <v>1921</v>
      </c>
      <c r="C28" s="7"/>
      <c r="D28" s="7" t="s">
        <v>613</v>
      </c>
      <c r="E28" s="7"/>
      <c r="F28" s="7"/>
      <c r="G28" s="7" t="s">
        <v>1</v>
      </c>
      <c r="H28" s="7" t="s">
        <v>0</v>
      </c>
      <c r="J28" s="7" t="s">
        <v>3</v>
      </c>
      <c r="N28" s="7" t="s">
        <v>2</v>
      </c>
      <c r="P28" s="7"/>
      <c r="T28" s="6" t="s">
        <v>5</v>
      </c>
      <c r="X28" s="7"/>
      <c r="Y28" s="7"/>
      <c r="Z28" s="7"/>
      <c r="AA28" s="6" t="s">
        <v>7</v>
      </c>
      <c r="AB28" s="6" t="s">
        <v>8</v>
      </c>
      <c r="AC28" s="7"/>
      <c r="AD28" s="7"/>
      <c r="AE28" s="7"/>
      <c r="AF28" s="6" t="s">
        <v>6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587</v>
      </c>
      <c r="B29" s="9">
        <v>1921</v>
      </c>
      <c r="C29" s="7">
        <v>5</v>
      </c>
      <c r="D29" s="7" t="s">
        <v>613</v>
      </c>
      <c r="E29" s="7" t="s">
        <v>2670</v>
      </c>
      <c r="F29" s="7"/>
      <c r="G29" s="7" t="s">
        <v>1117</v>
      </c>
      <c r="H29" s="7" t="s">
        <v>2659</v>
      </c>
      <c r="I29">
        <v>18</v>
      </c>
      <c r="J29" s="7" t="s">
        <v>13</v>
      </c>
      <c r="K29">
        <v>1</v>
      </c>
      <c r="N29" s="7">
        <v>1</v>
      </c>
      <c r="P29" s="7"/>
      <c r="T29" s="6">
        <v>52</v>
      </c>
      <c r="X29" s="7"/>
      <c r="Y29" s="7"/>
      <c r="Z29" s="7"/>
      <c r="AA29" s="6" t="s">
        <v>2661</v>
      </c>
      <c r="AB29" s="6" t="s">
        <v>8</v>
      </c>
      <c r="AC29" s="7">
        <v>1</v>
      </c>
      <c r="AD29" s="7">
        <v>1</v>
      </c>
      <c r="AE29" s="7"/>
      <c r="AF29" s="6" t="s">
        <v>2660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587</v>
      </c>
      <c r="B30" s="9">
        <v>1921</v>
      </c>
      <c r="C30" s="7">
        <v>5</v>
      </c>
      <c r="D30" s="7" t="s">
        <v>613</v>
      </c>
      <c r="E30" s="7"/>
      <c r="F30" s="7"/>
      <c r="G30" s="7" t="s">
        <v>1117</v>
      </c>
      <c r="H30" s="7" t="s">
        <v>2662</v>
      </c>
      <c r="I30">
        <v>19</v>
      </c>
      <c r="J30" s="7">
        <v>1</v>
      </c>
      <c r="N30" s="7" t="s">
        <v>18</v>
      </c>
      <c r="O30">
        <v>1</v>
      </c>
      <c r="P30" s="7"/>
      <c r="T30" s="7">
        <v>44</v>
      </c>
      <c r="X30" s="7"/>
      <c r="Y30" s="7"/>
      <c r="Z30" s="7"/>
      <c r="AA30" s="7" t="s">
        <v>50</v>
      </c>
      <c r="AB30" s="7" t="s">
        <v>20</v>
      </c>
      <c r="AC30" s="7"/>
      <c r="AD30" s="7"/>
      <c r="AE30" s="7"/>
      <c r="AF30" s="7" t="s">
        <v>388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587</v>
      </c>
      <c r="B31" s="9">
        <v>1921</v>
      </c>
      <c r="C31" s="7">
        <v>5</v>
      </c>
      <c r="D31" s="7" t="s">
        <v>613</v>
      </c>
      <c r="E31" s="7"/>
      <c r="F31" s="7"/>
      <c r="G31" s="7" t="s">
        <v>1117</v>
      </c>
      <c r="H31" s="7" t="s">
        <v>2663</v>
      </c>
      <c r="I31">
        <v>20</v>
      </c>
      <c r="J31" s="7">
        <v>1</v>
      </c>
      <c r="N31" s="7" t="s">
        <v>22</v>
      </c>
      <c r="P31" s="7">
        <v>1</v>
      </c>
      <c r="T31" s="6">
        <v>12</v>
      </c>
      <c r="X31" s="7"/>
      <c r="Y31" s="7"/>
      <c r="Z31" s="7"/>
      <c r="AA31" s="6" t="s">
        <v>20</v>
      </c>
      <c r="AB31" s="6" t="s">
        <v>20</v>
      </c>
      <c r="AC31" s="7"/>
      <c r="AD31" s="7"/>
      <c r="AE31" s="7"/>
      <c r="AF31" s="6" t="s">
        <v>2664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9" t="s">
        <v>587</v>
      </c>
      <c r="B32" s="9">
        <v>1921</v>
      </c>
      <c r="C32" s="7">
        <v>5</v>
      </c>
      <c r="D32" s="7" t="s">
        <v>613</v>
      </c>
      <c r="E32" s="7"/>
      <c r="F32" s="7"/>
      <c r="G32" s="7" t="s">
        <v>1117</v>
      </c>
      <c r="H32" s="7" t="s">
        <v>2665</v>
      </c>
      <c r="I32">
        <v>21</v>
      </c>
      <c r="J32" s="7" t="s">
        <v>13</v>
      </c>
      <c r="K32">
        <v>1</v>
      </c>
      <c r="N32" s="7" t="s">
        <v>51</v>
      </c>
      <c r="P32" s="7"/>
      <c r="Q32">
        <v>1</v>
      </c>
      <c r="T32" s="6">
        <v>10</v>
      </c>
      <c r="X32" s="7"/>
      <c r="Y32" s="7"/>
      <c r="Z32" s="7"/>
      <c r="AA32" s="6" t="s">
        <v>20</v>
      </c>
      <c r="AB32" s="6" t="s">
        <v>20</v>
      </c>
      <c r="AC32" s="7"/>
      <c r="AD32" s="7"/>
      <c r="AE32" s="7"/>
      <c r="AF32" s="6" t="s">
        <v>2664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9" t="s">
        <v>587</v>
      </c>
      <c r="B33" s="9">
        <v>1921</v>
      </c>
      <c r="C33" s="7">
        <v>5</v>
      </c>
      <c r="D33" s="7" t="s">
        <v>613</v>
      </c>
      <c r="E33" s="7"/>
      <c r="F33" s="12"/>
      <c r="G33" s="12" t="s">
        <v>1117</v>
      </c>
      <c r="H33" s="12" t="s">
        <v>2666</v>
      </c>
      <c r="I33">
        <v>22</v>
      </c>
      <c r="J33" s="13">
        <v>1</v>
      </c>
      <c r="N33" s="12" t="s">
        <v>22</v>
      </c>
      <c r="P33" s="12">
        <v>1</v>
      </c>
      <c r="T33" s="12">
        <v>9</v>
      </c>
      <c r="X33" s="7"/>
      <c r="Y33" s="7"/>
      <c r="Z33" s="7">
        <f>SUM(Z3:Z32)</f>
        <v>0</v>
      </c>
      <c r="AA33" s="12" t="s">
        <v>20</v>
      </c>
      <c r="AB33" s="12" t="s">
        <v>20</v>
      </c>
      <c r="AC33" s="7"/>
      <c r="AD33" s="7"/>
      <c r="AE33" s="7"/>
      <c r="AF33" s="12">
        <v>1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9" t="s">
        <v>587</v>
      </c>
      <c r="B34" s="9">
        <v>1921</v>
      </c>
      <c r="C34" s="7">
        <v>5</v>
      </c>
      <c r="D34" s="7" t="s">
        <v>613</v>
      </c>
      <c r="E34" s="7"/>
      <c r="F34" s="12"/>
      <c r="G34" s="12" t="s">
        <v>1021</v>
      </c>
      <c r="H34" s="12" t="s">
        <v>2667</v>
      </c>
      <c r="I34">
        <v>23</v>
      </c>
      <c r="J34" s="15">
        <v>1</v>
      </c>
      <c r="N34" s="14" t="s">
        <v>26</v>
      </c>
      <c r="P34" s="16"/>
      <c r="S34">
        <v>1</v>
      </c>
      <c r="T34" s="12">
        <v>18</v>
      </c>
      <c r="X34" s="7"/>
      <c r="Y34" s="7"/>
      <c r="Z34" s="7"/>
      <c r="AA34" s="12" t="s">
        <v>344</v>
      </c>
      <c r="AB34" s="14" t="s">
        <v>2668</v>
      </c>
      <c r="AC34" s="7">
        <v>1</v>
      </c>
      <c r="AD34" s="7"/>
      <c r="AE34" s="7"/>
      <c r="AF34" s="12" t="s">
        <v>1374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9" t="s">
        <v>587</v>
      </c>
      <c r="B35" s="9">
        <v>1921</v>
      </c>
      <c r="C35" s="7"/>
      <c r="D35" s="7" t="s">
        <v>613</v>
      </c>
      <c r="E35" s="7"/>
      <c r="F35" s="7"/>
      <c r="G35" s="21"/>
      <c r="H35" s="7">
        <v>6</v>
      </c>
      <c r="J35" s="7"/>
      <c r="N35" s="7"/>
      <c r="P35" s="7"/>
      <c r="T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9" t="s">
        <v>587</v>
      </c>
      <c r="B36" s="9">
        <v>1921</v>
      </c>
      <c r="C36" s="7"/>
      <c r="D36" s="7" t="s">
        <v>613</v>
      </c>
      <c r="E36" s="7"/>
      <c r="F36" s="7"/>
      <c r="G36" s="7" t="s">
        <v>1</v>
      </c>
      <c r="H36" s="7" t="s">
        <v>0</v>
      </c>
      <c r="J36" s="7" t="s">
        <v>3</v>
      </c>
      <c r="N36" s="7" t="s">
        <v>2</v>
      </c>
      <c r="P36" s="7"/>
      <c r="T36" s="7" t="s">
        <v>5</v>
      </c>
      <c r="X36" s="7"/>
      <c r="Y36" s="7"/>
      <c r="Z36" s="7"/>
      <c r="AA36" s="7" t="s">
        <v>7</v>
      </c>
      <c r="AB36" s="7" t="s">
        <v>8</v>
      </c>
      <c r="AC36" s="7"/>
      <c r="AD36" s="7"/>
      <c r="AE36" s="7"/>
      <c r="AF36" s="7" t="s">
        <v>6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9" t="s">
        <v>587</v>
      </c>
      <c r="B37" s="9">
        <v>1921</v>
      </c>
      <c r="C37" s="7">
        <v>6</v>
      </c>
      <c r="D37" s="7" t="s">
        <v>613</v>
      </c>
      <c r="E37" s="7" t="s">
        <v>2677</v>
      </c>
      <c r="F37" s="7"/>
      <c r="G37" s="7" t="s">
        <v>2672</v>
      </c>
      <c r="H37" s="7" t="s">
        <v>2671</v>
      </c>
      <c r="I37">
        <v>24</v>
      </c>
      <c r="J37" s="7" t="s">
        <v>13</v>
      </c>
      <c r="K37">
        <v>1</v>
      </c>
      <c r="N37" s="7">
        <v>1</v>
      </c>
      <c r="P37" s="7"/>
      <c r="T37" s="7">
        <v>42</v>
      </c>
      <c r="X37" s="7"/>
      <c r="Y37" s="7"/>
      <c r="Z37" s="7"/>
      <c r="AA37" s="7" t="s">
        <v>942</v>
      </c>
      <c r="AB37" s="7" t="s">
        <v>2674</v>
      </c>
      <c r="AC37" s="22">
        <v>1</v>
      </c>
      <c r="AD37" s="22"/>
      <c r="AE37" s="7"/>
      <c r="AF37" s="7" t="s">
        <v>2673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9" t="s">
        <v>587</v>
      </c>
      <c r="B38" s="9">
        <v>1921</v>
      </c>
      <c r="C38" s="7">
        <v>6</v>
      </c>
      <c r="D38" s="7" t="s">
        <v>613</v>
      </c>
      <c r="E38" s="7"/>
      <c r="F38" s="7"/>
      <c r="G38" s="7" t="s">
        <v>2672</v>
      </c>
      <c r="H38" s="7" t="s">
        <v>2675</v>
      </c>
      <c r="I38">
        <v>25</v>
      </c>
      <c r="J38" s="7">
        <v>1</v>
      </c>
      <c r="N38" s="7" t="s">
        <v>18</v>
      </c>
      <c r="O38">
        <v>1</v>
      </c>
      <c r="P38" s="7"/>
      <c r="T38" s="7">
        <v>42</v>
      </c>
      <c r="X38" s="7"/>
      <c r="Y38" s="7"/>
      <c r="Z38" s="7"/>
      <c r="AA38" s="7" t="s">
        <v>20</v>
      </c>
      <c r="AB38" s="7" t="s">
        <v>50</v>
      </c>
      <c r="AC38" s="7"/>
      <c r="AD38" s="7"/>
      <c r="AE38" s="7"/>
      <c r="AF38" s="7" t="s">
        <v>2676</v>
      </c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">
      <c r="A39" s="9" t="s">
        <v>587</v>
      </c>
      <c r="B39" s="9">
        <v>1921</v>
      </c>
      <c r="C39" s="7"/>
      <c r="D39" s="7" t="s">
        <v>613</v>
      </c>
      <c r="H39">
        <v>2</v>
      </c>
    </row>
    <row r="40" spans="1:51" x14ac:dyDescent="0.2">
      <c r="A40" s="9" t="s">
        <v>587</v>
      </c>
      <c r="B40" s="9">
        <v>1921</v>
      </c>
      <c r="C40" s="7"/>
      <c r="D40" s="7" t="s">
        <v>613</v>
      </c>
      <c r="G40" t="s">
        <v>1</v>
      </c>
      <c r="H40" t="s">
        <v>0</v>
      </c>
      <c r="J40" t="s">
        <v>3</v>
      </c>
      <c r="N40" t="s">
        <v>2</v>
      </c>
      <c r="T40" t="s">
        <v>5</v>
      </c>
      <c r="AA40" t="s">
        <v>7</v>
      </c>
      <c r="AB40" t="s">
        <v>8</v>
      </c>
      <c r="AF40" t="s">
        <v>6</v>
      </c>
    </row>
    <row r="41" spans="1:51" x14ac:dyDescent="0.2">
      <c r="A41" s="9" t="s">
        <v>587</v>
      </c>
      <c r="B41" s="9">
        <v>1921</v>
      </c>
      <c r="C41" s="7">
        <v>7</v>
      </c>
      <c r="D41" s="7" t="s">
        <v>613</v>
      </c>
      <c r="E41">
        <v>1</v>
      </c>
      <c r="F41">
        <v>1</v>
      </c>
      <c r="G41" t="s">
        <v>2597</v>
      </c>
      <c r="H41" t="s">
        <v>2678</v>
      </c>
      <c r="I41">
        <v>26</v>
      </c>
      <c r="J41" t="s">
        <v>13</v>
      </c>
      <c r="K41">
        <v>1</v>
      </c>
      <c r="N41">
        <v>1</v>
      </c>
      <c r="T41">
        <v>67</v>
      </c>
      <c r="AA41" t="s">
        <v>385</v>
      </c>
      <c r="AB41" t="s">
        <v>8</v>
      </c>
      <c r="AC41">
        <v>1</v>
      </c>
      <c r="AD41">
        <v>1</v>
      </c>
      <c r="AF41" t="s">
        <v>2679</v>
      </c>
    </row>
    <row r="42" spans="1:51" x14ac:dyDescent="0.2">
      <c r="A42" s="9" t="s">
        <v>587</v>
      </c>
      <c r="B42" s="9">
        <v>1921</v>
      </c>
      <c r="C42" s="7">
        <v>7</v>
      </c>
      <c r="D42" s="7" t="s">
        <v>613</v>
      </c>
      <c r="G42" t="s">
        <v>2597</v>
      </c>
      <c r="H42" t="s">
        <v>2680</v>
      </c>
      <c r="I42">
        <v>27</v>
      </c>
      <c r="J42">
        <v>1</v>
      </c>
      <c r="N42" t="s">
        <v>18</v>
      </c>
      <c r="O42">
        <v>1</v>
      </c>
      <c r="T42">
        <v>60</v>
      </c>
      <c r="AA42" t="s">
        <v>18</v>
      </c>
      <c r="AB42" t="s">
        <v>20</v>
      </c>
      <c r="AF42">
        <v>1</v>
      </c>
    </row>
    <row r="43" spans="1:51" x14ac:dyDescent="0.2">
      <c r="A43" s="9" t="s">
        <v>587</v>
      </c>
      <c r="B43" s="9">
        <v>1921</v>
      </c>
      <c r="C43" s="7">
        <v>7</v>
      </c>
      <c r="D43" s="7" t="s">
        <v>613</v>
      </c>
      <c r="G43" t="s">
        <v>2681</v>
      </c>
      <c r="H43" t="s">
        <v>323</v>
      </c>
      <c r="I43">
        <v>28</v>
      </c>
      <c r="J43">
        <v>1</v>
      </c>
      <c r="N43" t="s">
        <v>22</v>
      </c>
      <c r="P43">
        <v>1</v>
      </c>
      <c r="T43">
        <v>35</v>
      </c>
      <c r="AA43" t="s">
        <v>20</v>
      </c>
      <c r="AB43" t="s">
        <v>20</v>
      </c>
      <c r="AF43">
        <v>1</v>
      </c>
    </row>
    <row r="44" spans="1:51" x14ac:dyDescent="0.2">
      <c r="A44" s="9" t="s">
        <v>587</v>
      </c>
      <c r="B44" s="9">
        <v>1921</v>
      </c>
      <c r="C44" s="7">
        <v>7</v>
      </c>
      <c r="D44" s="7" t="s">
        <v>613</v>
      </c>
      <c r="G44" t="s">
        <v>2683</v>
      </c>
      <c r="H44" t="s">
        <v>2682</v>
      </c>
      <c r="I44">
        <v>29</v>
      </c>
      <c r="J44">
        <v>1</v>
      </c>
      <c r="N44" t="s">
        <v>26</v>
      </c>
      <c r="S44">
        <v>1</v>
      </c>
      <c r="T44">
        <v>21</v>
      </c>
      <c r="AA44" t="s">
        <v>56</v>
      </c>
      <c r="AB44" t="s">
        <v>29</v>
      </c>
      <c r="AC44">
        <v>1</v>
      </c>
      <c r="AF44" t="s">
        <v>368</v>
      </c>
    </row>
    <row r="45" spans="1:51" x14ac:dyDescent="0.2">
      <c r="A45" s="9" t="s">
        <v>587</v>
      </c>
      <c r="B45" s="9">
        <v>1921</v>
      </c>
      <c r="C45" s="7">
        <v>7</v>
      </c>
      <c r="D45" s="7" t="s">
        <v>613</v>
      </c>
      <c r="G45" t="s">
        <v>2685</v>
      </c>
      <c r="H45" t="s">
        <v>2684</v>
      </c>
      <c r="I45">
        <v>30</v>
      </c>
      <c r="J45">
        <v>1</v>
      </c>
      <c r="N45" t="s">
        <v>26</v>
      </c>
      <c r="S45">
        <v>1</v>
      </c>
      <c r="T45">
        <v>16</v>
      </c>
      <c r="AA45" t="s">
        <v>56</v>
      </c>
      <c r="AB45" t="s">
        <v>29</v>
      </c>
      <c r="AC45">
        <v>1</v>
      </c>
      <c r="AF45">
        <v>1</v>
      </c>
    </row>
    <row r="46" spans="1:51" x14ac:dyDescent="0.2">
      <c r="A46" s="9" t="s">
        <v>587</v>
      </c>
      <c r="B46" s="9">
        <v>1921</v>
      </c>
      <c r="C46" s="7"/>
      <c r="D46" s="7" t="s">
        <v>613</v>
      </c>
      <c r="H46">
        <v>5</v>
      </c>
    </row>
    <row r="47" spans="1:51" x14ac:dyDescent="0.2">
      <c r="A47" s="9" t="s">
        <v>587</v>
      </c>
      <c r="B47" s="9">
        <v>1921</v>
      </c>
      <c r="C47" s="7"/>
      <c r="D47" s="7" t="s">
        <v>613</v>
      </c>
      <c r="G47" t="s">
        <v>1</v>
      </c>
      <c r="H47" t="s">
        <v>0</v>
      </c>
      <c r="J47" t="s">
        <v>3</v>
      </c>
      <c r="N47" t="s">
        <v>2</v>
      </c>
      <c r="T47" t="s">
        <v>5</v>
      </c>
      <c r="AA47" t="s">
        <v>7</v>
      </c>
      <c r="AB47" t="s">
        <v>8</v>
      </c>
      <c r="AF47" t="s">
        <v>6</v>
      </c>
    </row>
    <row r="48" spans="1:51" x14ac:dyDescent="0.2">
      <c r="A48" s="9" t="s">
        <v>587</v>
      </c>
      <c r="B48" s="9">
        <v>1921</v>
      </c>
      <c r="C48" s="7">
        <v>8</v>
      </c>
      <c r="D48" s="7" t="s">
        <v>613</v>
      </c>
      <c r="E48">
        <v>2</v>
      </c>
      <c r="F48">
        <v>1</v>
      </c>
      <c r="G48" t="s">
        <v>1536</v>
      </c>
      <c r="H48" t="s">
        <v>2686</v>
      </c>
      <c r="I48">
        <v>31</v>
      </c>
      <c r="J48">
        <v>1</v>
      </c>
      <c r="N48">
        <v>1</v>
      </c>
      <c r="T48">
        <v>35</v>
      </c>
      <c r="AA48" t="s">
        <v>50</v>
      </c>
      <c r="AB48" t="s">
        <v>20</v>
      </c>
      <c r="AF48">
        <v>1</v>
      </c>
    </row>
    <row r="49" spans="1:36" x14ac:dyDescent="0.2">
      <c r="A49" s="9" t="s">
        <v>587</v>
      </c>
      <c r="B49" s="9">
        <v>1921</v>
      </c>
      <c r="C49" s="7">
        <v>8</v>
      </c>
      <c r="D49" s="7" t="s">
        <v>613</v>
      </c>
      <c r="G49" t="s">
        <v>1536</v>
      </c>
      <c r="H49" t="s">
        <v>2687</v>
      </c>
      <c r="I49">
        <v>32</v>
      </c>
      <c r="J49" t="s">
        <v>13</v>
      </c>
      <c r="M49">
        <v>1</v>
      </c>
      <c r="N49" t="s">
        <v>51</v>
      </c>
      <c r="Q49">
        <v>1</v>
      </c>
      <c r="T49">
        <v>8</v>
      </c>
      <c r="AA49" t="s">
        <v>20</v>
      </c>
      <c r="AB49" t="s">
        <v>20</v>
      </c>
      <c r="AF49">
        <v>1</v>
      </c>
    </row>
    <row r="50" spans="1:36" x14ac:dyDescent="0.2">
      <c r="A50" s="9" t="s">
        <v>587</v>
      </c>
      <c r="B50" s="9">
        <v>1921</v>
      </c>
      <c r="C50" s="7">
        <v>8</v>
      </c>
      <c r="D50" s="7" t="s">
        <v>613</v>
      </c>
      <c r="G50" t="s">
        <v>2688</v>
      </c>
      <c r="H50" t="s">
        <v>422</v>
      </c>
      <c r="I50">
        <v>33</v>
      </c>
      <c r="L50">
        <v>1</v>
      </c>
      <c r="N50" t="s">
        <v>22</v>
      </c>
      <c r="P50">
        <v>1</v>
      </c>
      <c r="T50">
        <v>5</v>
      </c>
      <c r="AA50" t="s">
        <v>20</v>
      </c>
      <c r="AB50" t="s">
        <v>20</v>
      </c>
      <c r="AF50">
        <v>1</v>
      </c>
    </row>
    <row r="51" spans="1:36" x14ac:dyDescent="0.2">
      <c r="A51" s="9" t="s">
        <v>587</v>
      </c>
      <c r="B51" s="9">
        <v>1921</v>
      </c>
      <c r="C51" s="7">
        <v>8</v>
      </c>
      <c r="D51" s="7" t="s">
        <v>613</v>
      </c>
      <c r="G51" t="s">
        <v>1536</v>
      </c>
      <c r="H51" t="s">
        <v>170</v>
      </c>
      <c r="I51">
        <v>34</v>
      </c>
      <c r="L51">
        <v>1</v>
      </c>
      <c r="N51" t="s">
        <v>22</v>
      </c>
      <c r="P51">
        <v>1</v>
      </c>
      <c r="T51">
        <v>2</v>
      </c>
      <c r="AA51" t="s">
        <v>20</v>
      </c>
      <c r="AB51" t="s">
        <v>20</v>
      </c>
      <c r="AF51">
        <v>1</v>
      </c>
    </row>
    <row r="52" spans="1:36" x14ac:dyDescent="0.2">
      <c r="A52" s="9" t="s">
        <v>587</v>
      </c>
      <c r="B52" s="9">
        <v>1921</v>
      </c>
      <c r="C52" s="7">
        <v>8</v>
      </c>
      <c r="D52" s="7" t="s">
        <v>613</v>
      </c>
      <c r="G52" t="s">
        <v>2689</v>
      </c>
      <c r="H52" t="s">
        <v>170</v>
      </c>
      <c r="I52">
        <v>35</v>
      </c>
      <c r="J52">
        <v>1</v>
      </c>
      <c r="N52" t="s">
        <v>26</v>
      </c>
      <c r="S52">
        <v>1</v>
      </c>
      <c r="T52">
        <v>35</v>
      </c>
      <c r="AA52" t="s">
        <v>2690</v>
      </c>
      <c r="AB52" t="s">
        <v>29</v>
      </c>
      <c r="AC52">
        <v>1</v>
      </c>
      <c r="AF52">
        <v>1</v>
      </c>
    </row>
    <row r="53" spans="1:36" x14ac:dyDescent="0.2">
      <c r="A53" s="9" t="s">
        <v>587</v>
      </c>
      <c r="B53" s="9">
        <v>1921</v>
      </c>
      <c r="C53" s="7">
        <v>8</v>
      </c>
      <c r="D53" s="7" t="s">
        <v>613</v>
      </c>
      <c r="G53" t="s">
        <v>2691</v>
      </c>
      <c r="H53" t="s">
        <v>1220</v>
      </c>
      <c r="I53">
        <v>36</v>
      </c>
      <c r="J53">
        <v>1</v>
      </c>
      <c r="N53" t="s">
        <v>26</v>
      </c>
      <c r="S53">
        <v>1</v>
      </c>
      <c r="T53">
        <v>17</v>
      </c>
      <c r="AA53" t="s">
        <v>137</v>
      </c>
      <c r="AB53" t="s">
        <v>29</v>
      </c>
      <c r="AC53">
        <v>1</v>
      </c>
      <c r="AF53" t="s">
        <v>2692</v>
      </c>
    </row>
    <row r="54" spans="1:36" x14ac:dyDescent="0.2">
      <c r="A54" s="9" t="s">
        <v>587</v>
      </c>
      <c r="B54" s="9">
        <v>1921</v>
      </c>
      <c r="C54" s="7">
        <v>8</v>
      </c>
      <c r="D54" s="7" t="s">
        <v>613</v>
      </c>
      <c r="G54" t="s">
        <v>2694</v>
      </c>
      <c r="H54" t="s">
        <v>2693</v>
      </c>
      <c r="I54">
        <v>37</v>
      </c>
      <c r="J54">
        <v>1</v>
      </c>
      <c r="N54" t="s">
        <v>26</v>
      </c>
      <c r="S54">
        <v>1</v>
      </c>
      <c r="T54">
        <v>21</v>
      </c>
      <c r="AA54" t="s">
        <v>33</v>
      </c>
      <c r="AB54" t="s">
        <v>29</v>
      </c>
      <c r="AC54">
        <v>1</v>
      </c>
      <c r="AF54">
        <v>1</v>
      </c>
    </row>
    <row r="55" spans="1:36" x14ac:dyDescent="0.2">
      <c r="A55" s="9" t="s">
        <v>587</v>
      </c>
      <c r="B55" s="9">
        <v>1921</v>
      </c>
      <c r="C55" s="7"/>
      <c r="D55" s="7" t="s">
        <v>613</v>
      </c>
      <c r="H55">
        <v>7</v>
      </c>
    </row>
    <row r="56" spans="1:36" x14ac:dyDescent="0.2">
      <c r="A56" s="9" t="s">
        <v>587</v>
      </c>
      <c r="B56" s="9">
        <v>1921</v>
      </c>
      <c r="C56" s="7"/>
      <c r="D56" s="7" t="s">
        <v>613</v>
      </c>
      <c r="G56" t="s">
        <v>1</v>
      </c>
      <c r="H56" t="s">
        <v>0</v>
      </c>
      <c r="J56" t="s">
        <v>3</v>
      </c>
      <c r="N56" t="s">
        <v>2</v>
      </c>
      <c r="T56" t="s">
        <v>5</v>
      </c>
      <c r="AA56" t="s">
        <v>7</v>
      </c>
      <c r="AB56" t="s">
        <v>8</v>
      </c>
      <c r="AF56" t="s">
        <v>6</v>
      </c>
    </row>
    <row r="57" spans="1:36" x14ac:dyDescent="0.2">
      <c r="A57" s="9" t="s">
        <v>587</v>
      </c>
      <c r="B57" s="9">
        <v>1921</v>
      </c>
      <c r="C57" s="7">
        <v>9</v>
      </c>
      <c r="D57" s="7" t="s">
        <v>613</v>
      </c>
      <c r="E57">
        <v>3</v>
      </c>
      <c r="F57">
        <v>3</v>
      </c>
      <c r="G57" t="s">
        <v>2695</v>
      </c>
      <c r="H57" t="s">
        <v>2128</v>
      </c>
      <c r="I57">
        <v>38</v>
      </c>
      <c r="J57">
        <v>1</v>
      </c>
      <c r="N57" t="s">
        <v>18</v>
      </c>
      <c r="O57">
        <v>1</v>
      </c>
      <c r="T57">
        <v>51</v>
      </c>
      <c r="AA57" t="s">
        <v>50</v>
      </c>
      <c r="AB57" t="s">
        <v>20</v>
      </c>
      <c r="AF57" t="s">
        <v>1083</v>
      </c>
    </row>
    <row r="58" spans="1:36" x14ac:dyDescent="0.2">
      <c r="A58" s="9" t="s">
        <v>587</v>
      </c>
      <c r="B58" s="9">
        <v>1921</v>
      </c>
      <c r="C58" s="7">
        <v>9</v>
      </c>
      <c r="D58" s="7" t="s">
        <v>613</v>
      </c>
      <c r="G58" t="s">
        <v>2697</v>
      </c>
      <c r="H58" t="s">
        <v>2696</v>
      </c>
      <c r="I58">
        <v>39</v>
      </c>
      <c r="J58">
        <v>1</v>
      </c>
      <c r="N58" t="s">
        <v>60</v>
      </c>
      <c r="R58">
        <v>1</v>
      </c>
      <c r="T58">
        <v>20</v>
      </c>
      <c r="V58" t="s">
        <v>20</v>
      </c>
      <c r="W58" t="s">
        <v>20</v>
      </c>
      <c r="AF58" t="s">
        <v>2698</v>
      </c>
    </row>
    <row r="59" spans="1:36" x14ac:dyDescent="0.2">
      <c r="A59" s="9" t="s">
        <v>587</v>
      </c>
      <c r="B59" s="9">
        <v>1921</v>
      </c>
      <c r="C59" s="7">
        <v>9</v>
      </c>
      <c r="D59" s="7" t="s">
        <v>613</v>
      </c>
      <c r="G59" t="s">
        <v>2700</v>
      </c>
      <c r="H59" t="s">
        <v>2699</v>
      </c>
      <c r="I59">
        <v>40</v>
      </c>
      <c r="J59">
        <v>1</v>
      </c>
      <c r="N59" t="s">
        <v>60</v>
      </c>
      <c r="R59">
        <v>1</v>
      </c>
      <c r="T59">
        <v>20</v>
      </c>
      <c r="V59" t="s">
        <v>20</v>
      </c>
      <c r="W59" t="s">
        <v>20</v>
      </c>
      <c r="AF59" t="s">
        <v>2698</v>
      </c>
    </row>
    <row r="60" spans="1:36" x14ac:dyDescent="0.2">
      <c r="A60" s="9" t="s">
        <v>587</v>
      </c>
      <c r="B60" s="9">
        <v>1921</v>
      </c>
      <c r="C60" s="7">
        <v>9</v>
      </c>
      <c r="D60" s="7" t="s">
        <v>613</v>
      </c>
      <c r="G60" t="s">
        <v>2695</v>
      </c>
      <c r="H60" t="s">
        <v>2701</v>
      </c>
      <c r="I60">
        <v>41</v>
      </c>
      <c r="J60">
        <v>1</v>
      </c>
      <c r="N60" t="s">
        <v>22</v>
      </c>
      <c r="P60">
        <v>1</v>
      </c>
      <c r="T60">
        <v>15</v>
      </c>
      <c r="V60" t="s">
        <v>20</v>
      </c>
      <c r="W60" t="s">
        <v>20</v>
      </c>
      <c r="AF60" t="s">
        <v>1284</v>
      </c>
    </row>
    <row r="61" spans="1:36" x14ac:dyDescent="0.2">
      <c r="A61" s="9" t="s">
        <v>587</v>
      </c>
      <c r="B61" s="9">
        <v>1921</v>
      </c>
      <c r="C61" s="7">
        <v>9</v>
      </c>
      <c r="D61" s="7" t="s">
        <v>613</v>
      </c>
      <c r="G61" t="s">
        <v>2695</v>
      </c>
      <c r="H61" t="s">
        <v>2702</v>
      </c>
      <c r="I61">
        <v>42</v>
      </c>
      <c r="J61">
        <v>1</v>
      </c>
      <c r="N61" t="s">
        <v>22</v>
      </c>
      <c r="P61">
        <v>1</v>
      </c>
      <c r="T61">
        <v>13</v>
      </c>
      <c r="V61" t="s">
        <v>20</v>
      </c>
      <c r="W61" t="s">
        <v>20</v>
      </c>
      <c r="AF61" t="s">
        <v>2703</v>
      </c>
    </row>
    <row r="62" spans="1:36" x14ac:dyDescent="0.2">
      <c r="A62" s="9" t="s">
        <v>587</v>
      </c>
      <c r="B62" s="9">
        <v>1921</v>
      </c>
      <c r="C62" s="7">
        <v>9</v>
      </c>
      <c r="D62" s="7" t="s">
        <v>613</v>
      </c>
      <c r="G62" t="s">
        <v>2695</v>
      </c>
      <c r="H62" t="s">
        <v>756</v>
      </c>
      <c r="I62">
        <v>43</v>
      </c>
      <c r="L62">
        <v>1</v>
      </c>
      <c r="N62" t="s">
        <v>22</v>
      </c>
      <c r="P62">
        <v>1</v>
      </c>
      <c r="T62">
        <v>8</v>
      </c>
      <c r="V62" t="s">
        <v>20</v>
      </c>
      <c r="W62" t="s">
        <v>20</v>
      </c>
      <c r="AF62">
        <v>1</v>
      </c>
    </row>
    <row r="63" spans="1:36" x14ac:dyDescent="0.2">
      <c r="A63" s="9" t="s">
        <v>587</v>
      </c>
      <c r="B63" s="9">
        <v>1921</v>
      </c>
      <c r="C63" s="7">
        <v>9</v>
      </c>
      <c r="D63" s="7" t="s">
        <v>613</v>
      </c>
      <c r="H63">
        <v>6</v>
      </c>
      <c r="I63">
        <v>43</v>
      </c>
      <c r="J63">
        <f>SUM(J3:J62)</f>
        <v>27</v>
      </c>
      <c r="K63">
        <f>SUM(K3:K62)</f>
        <v>8</v>
      </c>
      <c r="L63">
        <f t="shared" ref="L63:AJ63" si="0">SUM(L3:L62)</f>
        <v>6</v>
      </c>
      <c r="M63">
        <f t="shared" si="0"/>
        <v>2</v>
      </c>
      <c r="N63">
        <f t="shared" si="0"/>
        <v>8</v>
      </c>
      <c r="O63">
        <f t="shared" si="0"/>
        <v>7</v>
      </c>
      <c r="P63">
        <f t="shared" si="0"/>
        <v>12</v>
      </c>
      <c r="Q63">
        <f t="shared" si="0"/>
        <v>3</v>
      </c>
      <c r="R63">
        <f t="shared" si="0"/>
        <v>3</v>
      </c>
      <c r="S63">
        <f t="shared" si="0"/>
        <v>10</v>
      </c>
      <c r="T63">
        <f t="shared" si="0"/>
        <v>1288</v>
      </c>
      <c r="U63">
        <f t="shared" si="0"/>
        <v>0</v>
      </c>
      <c r="V63">
        <f t="shared" si="0"/>
        <v>0</v>
      </c>
      <c r="W63">
        <f t="shared" si="0"/>
        <v>0</v>
      </c>
      <c r="X63">
        <f t="shared" si="0"/>
        <v>0</v>
      </c>
      <c r="Y63">
        <f t="shared" si="0"/>
        <v>0</v>
      </c>
      <c r="Z63">
        <f t="shared" si="0"/>
        <v>0</v>
      </c>
      <c r="AA63">
        <f t="shared" si="0"/>
        <v>0</v>
      </c>
      <c r="AB63">
        <f t="shared" si="0"/>
        <v>0</v>
      </c>
      <c r="AC63">
        <f t="shared" si="0"/>
        <v>17</v>
      </c>
      <c r="AD63">
        <f t="shared" si="0"/>
        <v>4</v>
      </c>
      <c r="AE63">
        <f>AC63-AD63</f>
        <v>13</v>
      </c>
      <c r="AF63">
        <f t="shared" si="0"/>
        <v>17</v>
      </c>
      <c r="AG63">
        <f>J64-AF63</f>
        <v>26</v>
      </c>
      <c r="AH63">
        <f t="shared" si="0"/>
        <v>0</v>
      </c>
      <c r="AI63">
        <f t="shared" si="0"/>
        <v>0</v>
      </c>
      <c r="AJ63">
        <f t="shared" si="0"/>
        <v>0</v>
      </c>
    </row>
    <row r="64" spans="1:36" x14ac:dyDescent="0.2">
      <c r="A64" s="9" t="s">
        <v>587</v>
      </c>
      <c r="B64" s="9">
        <v>1921</v>
      </c>
      <c r="C64" s="7">
        <v>1</v>
      </c>
      <c r="D64" s="7" t="s">
        <v>613</v>
      </c>
      <c r="J64">
        <f>SUM(J63:M63)</f>
        <v>43</v>
      </c>
      <c r="N64">
        <f>SUM(N63:S63)</f>
        <v>43</v>
      </c>
      <c r="T64" s="64">
        <f>T63/N64</f>
        <v>29.953488372093023</v>
      </c>
    </row>
    <row r="67" spans="1:51" ht="19" customHeight="1" x14ac:dyDescent="0.2">
      <c r="A67" s="9"/>
      <c r="B67" s="9"/>
      <c r="C67" s="7"/>
      <c r="D67" s="7"/>
      <c r="F67" s="5"/>
      <c r="G67" s="5"/>
      <c r="H67" s="5" t="s">
        <v>0</v>
      </c>
      <c r="I67" t="s">
        <v>1</v>
      </c>
      <c r="J67" s="10" t="s">
        <v>2</v>
      </c>
      <c r="K67" t="s">
        <v>3</v>
      </c>
      <c r="L67" t="s">
        <v>4</v>
      </c>
      <c r="M67" t="s">
        <v>5</v>
      </c>
      <c r="N67" s="5" t="s">
        <v>6</v>
      </c>
      <c r="O67" t="s">
        <v>7</v>
      </c>
      <c r="P67" s="5" t="s">
        <v>8</v>
      </c>
      <c r="T67" s="5"/>
      <c r="X67" s="5"/>
      <c r="Y67" s="5"/>
      <c r="Z67" s="5"/>
      <c r="AA67" s="5"/>
      <c r="AB67" s="5"/>
      <c r="AC67" s="5"/>
      <c r="AD67" s="5"/>
      <c r="AE67" s="7"/>
      <c r="AF67" s="7"/>
      <c r="AG67" s="5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ht="17.5" customHeight="1" x14ac:dyDescent="0.2">
      <c r="A68" s="9"/>
      <c r="B68" s="9"/>
      <c r="C68" s="7"/>
      <c r="D68" s="7"/>
      <c r="E68" s="7" t="s">
        <v>2643</v>
      </c>
      <c r="F68" s="7"/>
      <c r="G68" s="7"/>
      <c r="H68" s="7" t="s">
        <v>2637</v>
      </c>
      <c r="I68" t="s">
        <v>1104</v>
      </c>
      <c r="J68" s="7" t="s">
        <v>12</v>
      </c>
      <c r="K68" t="s">
        <v>13</v>
      </c>
      <c r="L68">
        <v>1886</v>
      </c>
      <c r="M68">
        <v>35</v>
      </c>
      <c r="N68" s="7" t="s">
        <v>40</v>
      </c>
      <c r="O68" t="s">
        <v>2638</v>
      </c>
      <c r="P68" s="7" t="s">
        <v>2639</v>
      </c>
      <c r="T68" s="6"/>
      <c r="X68" s="7"/>
      <c r="Y68" s="7"/>
      <c r="Z68" s="7"/>
      <c r="AA68" s="6"/>
      <c r="AB68" s="6"/>
      <c r="AC68" s="7"/>
      <c r="AD68" s="7"/>
      <c r="AE68" s="7"/>
      <c r="AF68" s="7"/>
      <c r="AG68" s="6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ht="17.5" customHeight="1" x14ac:dyDescent="0.2">
      <c r="A69" s="9"/>
      <c r="B69" s="9"/>
      <c r="C69" s="7"/>
      <c r="D69" s="7"/>
      <c r="E69" s="7"/>
      <c r="F69" s="7"/>
      <c r="G69" s="7"/>
      <c r="H69" s="7" t="s">
        <v>2640</v>
      </c>
      <c r="I69" t="s">
        <v>1104</v>
      </c>
      <c r="J69" s="7" t="s">
        <v>18</v>
      </c>
      <c r="K69" t="s">
        <v>19</v>
      </c>
      <c r="L69">
        <v>1887</v>
      </c>
      <c r="M69">
        <v>33</v>
      </c>
      <c r="N69" s="7" t="s">
        <v>149</v>
      </c>
      <c r="O69" t="s">
        <v>20</v>
      </c>
      <c r="P69" s="7" t="s">
        <v>20</v>
      </c>
      <c r="T69" s="6"/>
      <c r="X69" s="7"/>
      <c r="Y69" s="7"/>
      <c r="Z69" s="7"/>
      <c r="AA69" s="6"/>
      <c r="AB69" s="6"/>
      <c r="AC69" s="7"/>
      <c r="AD69" s="7"/>
      <c r="AE69" s="7"/>
      <c r="AF69" s="7"/>
      <c r="AG69" s="6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ht="17.5" customHeight="1" x14ac:dyDescent="0.2">
      <c r="A70" s="9"/>
      <c r="B70" s="9"/>
      <c r="C70" s="7"/>
      <c r="D70" s="7"/>
      <c r="E70" s="7"/>
      <c r="F70" s="7"/>
      <c r="G70" s="7"/>
      <c r="H70" s="7" t="s">
        <v>2641</v>
      </c>
      <c r="I70" t="s">
        <v>1104</v>
      </c>
      <c r="J70" s="7" t="s">
        <v>22</v>
      </c>
      <c r="K70" t="s">
        <v>19</v>
      </c>
      <c r="L70">
        <v>1919</v>
      </c>
      <c r="M70">
        <v>1</v>
      </c>
      <c r="N70" s="7" t="s">
        <v>49</v>
      </c>
      <c r="O70" t="s">
        <v>20</v>
      </c>
      <c r="P70" s="7" t="s">
        <v>20</v>
      </c>
      <c r="T70" s="6"/>
      <c r="X70" s="7"/>
      <c r="Y70" s="7"/>
      <c r="Z70" s="7"/>
      <c r="AA70" s="6"/>
      <c r="AB70" s="6"/>
      <c r="AC70" s="7"/>
      <c r="AD70" s="7"/>
      <c r="AE70" s="7"/>
      <c r="AF70" s="7"/>
      <c r="AG70" s="6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ht="17.5" customHeight="1" x14ac:dyDescent="0.2">
      <c r="A71" s="9"/>
      <c r="B71" s="9"/>
      <c r="C71" s="7"/>
      <c r="D71" s="7"/>
      <c r="E71" s="7"/>
      <c r="F71" s="7"/>
      <c r="G71" s="7"/>
      <c r="H71" s="7" t="s">
        <v>1418</v>
      </c>
      <c r="I71" t="s">
        <v>2642</v>
      </c>
      <c r="J71" s="7" t="s">
        <v>26</v>
      </c>
      <c r="K71" t="s">
        <v>19</v>
      </c>
      <c r="L71">
        <v>1899</v>
      </c>
      <c r="M71">
        <v>22</v>
      </c>
      <c r="N71" s="7" t="s">
        <v>169</v>
      </c>
      <c r="O71" t="s">
        <v>56</v>
      </c>
      <c r="P71" s="7" t="s">
        <v>29</v>
      </c>
      <c r="T71" s="6"/>
      <c r="X71" s="7"/>
      <c r="Y71" s="7"/>
      <c r="Z71" s="7"/>
      <c r="AA71" s="6"/>
      <c r="AB71" s="6"/>
      <c r="AC71" s="7"/>
      <c r="AD71" s="7"/>
      <c r="AE71" s="7"/>
      <c r="AF71" s="7"/>
      <c r="AG71" s="6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ht="17.5" customHeight="1" x14ac:dyDescent="0.2">
      <c r="A72" s="9"/>
      <c r="B72" s="9"/>
      <c r="C72" s="7"/>
      <c r="D72" s="7"/>
      <c r="E72" s="7"/>
      <c r="F72" s="7"/>
      <c r="G72" s="7"/>
      <c r="H72" s="7"/>
      <c r="J72" s="7"/>
      <c r="N72" s="7"/>
      <c r="P72" s="7"/>
      <c r="T72" s="6"/>
      <c r="X72" s="7"/>
      <c r="Y72" s="7"/>
      <c r="Z72" s="7"/>
      <c r="AA72" s="6"/>
      <c r="AB72" s="6"/>
      <c r="AC72" s="7"/>
      <c r="AD72" s="7"/>
      <c r="AE72" s="7"/>
      <c r="AF72" s="7"/>
      <c r="AG72" s="6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ht="17.5" customHeight="1" x14ac:dyDescent="0.2">
      <c r="A73" s="9"/>
      <c r="B73" s="9"/>
      <c r="C73" s="7"/>
      <c r="D73" s="7"/>
      <c r="E73" s="7"/>
      <c r="F73" s="7"/>
      <c r="G73" s="7"/>
      <c r="H73" s="7" t="s">
        <v>0</v>
      </c>
      <c r="I73" t="s">
        <v>1</v>
      </c>
      <c r="J73" s="7" t="s">
        <v>2</v>
      </c>
      <c r="K73" t="s">
        <v>3</v>
      </c>
      <c r="L73" t="s">
        <v>4</v>
      </c>
      <c r="M73" t="s">
        <v>5</v>
      </c>
      <c r="N73" s="7" t="s">
        <v>6</v>
      </c>
      <c r="O73" t="s">
        <v>7</v>
      </c>
      <c r="P73" s="7" t="s">
        <v>8</v>
      </c>
      <c r="T73" s="6"/>
      <c r="X73" s="7"/>
      <c r="Y73" s="7"/>
      <c r="Z73" s="7"/>
      <c r="AA73" s="6"/>
      <c r="AB73" s="6"/>
      <c r="AC73" s="7"/>
      <c r="AD73" s="7"/>
      <c r="AE73" s="7"/>
      <c r="AF73" s="7"/>
      <c r="AG73" s="6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ht="17.5" customHeight="1" x14ac:dyDescent="0.2">
      <c r="A74" s="9"/>
      <c r="B74" s="9"/>
      <c r="C74" s="7"/>
      <c r="D74" s="7"/>
      <c r="E74" s="7" t="s">
        <v>2653</v>
      </c>
      <c r="F74" s="7"/>
      <c r="G74" s="7"/>
      <c r="H74" s="7" t="s">
        <v>2644</v>
      </c>
      <c r="I74" t="s">
        <v>2645</v>
      </c>
      <c r="J74" s="7" t="s">
        <v>12</v>
      </c>
      <c r="K74" t="s">
        <v>19</v>
      </c>
      <c r="L74">
        <v>1887</v>
      </c>
      <c r="M74">
        <v>34</v>
      </c>
      <c r="N74" s="7" t="s">
        <v>2646</v>
      </c>
      <c r="O74" t="s">
        <v>2647</v>
      </c>
      <c r="P74" s="7" t="s">
        <v>2648</v>
      </c>
      <c r="T74" s="6"/>
      <c r="X74" s="7"/>
      <c r="Y74" s="7"/>
      <c r="Z74" s="7"/>
      <c r="AA74" s="6"/>
      <c r="AB74" s="6"/>
      <c r="AC74" s="7"/>
      <c r="AD74" s="7"/>
      <c r="AE74" s="7"/>
      <c r="AF74" s="7"/>
      <c r="AG74" s="6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ht="17.5" customHeight="1" x14ac:dyDescent="0.2">
      <c r="A75" s="9"/>
      <c r="B75" s="9"/>
      <c r="C75" s="7"/>
      <c r="D75" s="7"/>
      <c r="E75" s="7"/>
      <c r="F75" s="7"/>
      <c r="G75" s="7"/>
      <c r="H75" s="7" t="s">
        <v>386</v>
      </c>
      <c r="I75" t="s">
        <v>2236</v>
      </c>
      <c r="J75" s="7" t="s">
        <v>60</v>
      </c>
      <c r="K75" t="s">
        <v>13</v>
      </c>
      <c r="L75">
        <v>1852</v>
      </c>
      <c r="M75">
        <v>68</v>
      </c>
      <c r="N75" s="7" t="s">
        <v>2649</v>
      </c>
      <c r="O75" t="s">
        <v>942</v>
      </c>
      <c r="P75" s="7" t="s">
        <v>2650</v>
      </c>
      <c r="T75" s="6"/>
      <c r="X75" s="7"/>
      <c r="Y75" s="7"/>
      <c r="Z75" s="7"/>
      <c r="AA75" s="6"/>
      <c r="AB75" s="6"/>
      <c r="AC75" s="7"/>
      <c r="AD75" s="7"/>
      <c r="AE75" s="7"/>
      <c r="AF75" s="7"/>
      <c r="AG75" s="6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ht="17" customHeight="1" x14ac:dyDescent="0.2">
      <c r="A76" s="9"/>
      <c r="B76" s="9"/>
      <c r="C76" s="7"/>
      <c r="D76" s="7"/>
      <c r="E76" s="7"/>
      <c r="F76" s="7"/>
      <c r="G76" s="7"/>
      <c r="H76" s="7" t="s">
        <v>2651</v>
      </c>
      <c r="I76" t="s">
        <v>2236</v>
      </c>
      <c r="J76" s="7" t="s">
        <v>26</v>
      </c>
      <c r="K76" t="s">
        <v>19</v>
      </c>
      <c r="L76">
        <v>1899</v>
      </c>
      <c r="M76">
        <v>22</v>
      </c>
      <c r="N76" s="7" t="s">
        <v>2652</v>
      </c>
      <c r="O76" t="s">
        <v>344</v>
      </c>
      <c r="P76" s="7" t="s">
        <v>29</v>
      </c>
      <c r="T76" s="7"/>
      <c r="X76" s="7">
        <f>SUM(X67:X75)</f>
        <v>0</v>
      </c>
      <c r="Y76" s="7">
        <f>SUM(Y67:Y75)</f>
        <v>0</v>
      </c>
      <c r="Z76" s="7">
        <f>SUM(Z67:Z75)</f>
        <v>0</v>
      </c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9"/>
      <c r="B77" s="9"/>
      <c r="C77" s="7"/>
      <c r="D77" s="7"/>
      <c r="E77" s="7"/>
      <c r="F77" s="7"/>
      <c r="G77" s="7"/>
      <c r="H77" s="7"/>
      <c r="J77" s="7"/>
      <c r="N77" s="7"/>
      <c r="P77" s="7"/>
      <c r="T77" s="6"/>
      <c r="X77" s="7"/>
      <c r="Y77" s="7"/>
      <c r="Z77" s="7"/>
      <c r="AA77" s="6"/>
      <c r="AB77" s="6"/>
      <c r="AC77" s="7"/>
      <c r="AD77" s="7"/>
      <c r="AE77" s="7"/>
      <c r="AF77" s="7"/>
      <c r="AG77" s="6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.5" customHeight="1" x14ac:dyDescent="0.2">
      <c r="A78" s="9"/>
      <c r="B78" s="9"/>
      <c r="C78" s="7"/>
      <c r="D78" s="7"/>
      <c r="E78" s="7"/>
      <c r="F78" s="7"/>
      <c r="G78" s="7"/>
      <c r="H78" s="7" t="s">
        <v>0</v>
      </c>
      <c r="I78" t="s">
        <v>1</v>
      </c>
      <c r="J78" s="7" t="s">
        <v>2</v>
      </c>
      <c r="K78" t="s">
        <v>3</v>
      </c>
      <c r="L78" t="s">
        <v>4</v>
      </c>
      <c r="M78" t="s">
        <v>5</v>
      </c>
      <c r="N78" s="7" t="s">
        <v>6</v>
      </c>
      <c r="O78" t="s">
        <v>7</v>
      </c>
      <c r="P78" s="7" t="s">
        <v>8</v>
      </c>
      <c r="T78" s="6"/>
      <c r="X78" s="7"/>
      <c r="Y78" s="7"/>
      <c r="Z78" s="7"/>
      <c r="AA78" s="6"/>
      <c r="AB78" s="6"/>
      <c r="AC78" s="7"/>
      <c r="AD78" s="7"/>
      <c r="AE78" s="7"/>
      <c r="AF78" s="7"/>
      <c r="AG78" s="6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.5" customHeight="1" x14ac:dyDescent="0.2">
      <c r="A79" s="9"/>
      <c r="B79" s="9"/>
      <c r="C79" s="7"/>
      <c r="D79" s="7"/>
      <c r="E79" s="11" t="s">
        <v>2658</v>
      </c>
      <c r="F79" s="12"/>
      <c r="G79" s="12"/>
      <c r="H79" s="12" t="s">
        <v>1232</v>
      </c>
      <c r="I79" t="s">
        <v>2654</v>
      </c>
      <c r="J79" s="13" t="s">
        <v>12</v>
      </c>
      <c r="K79" t="s">
        <v>13</v>
      </c>
      <c r="L79">
        <v>1844</v>
      </c>
      <c r="M79">
        <v>77</v>
      </c>
      <c r="N79" s="12" t="s">
        <v>733</v>
      </c>
      <c r="O79" t="s">
        <v>2655</v>
      </c>
      <c r="P79" s="12" t="s">
        <v>8</v>
      </c>
      <c r="T79" s="12"/>
      <c r="X79" s="12"/>
      <c r="Y79" s="12"/>
      <c r="Z79" s="12"/>
      <c r="AA79" s="12"/>
      <c r="AB79" s="12"/>
      <c r="AC79" s="12"/>
      <c r="AD79" s="12"/>
      <c r="AE79" s="7"/>
      <c r="AF79" s="7"/>
      <c r="AG79" s="12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28" customHeight="1" x14ac:dyDescent="0.2">
      <c r="A80" s="9"/>
      <c r="B80" s="9"/>
      <c r="C80" s="7"/>
      <c r="D80" s="7"/>
      <c r="E80" s="11"/>
      <c r="F80" s="12"/>
      <c r="G80" s="12"/>
      <c r="H80" s="12" t="s">
        <v>653</v>
      </c>
      <c r="I80" t="s">
        <v>2654</v>
      </c>
      <c r="J80" s="15" t="s">
        <v>18</v>
      </c>
      <c r="K80" t="s">
        <v>19</v>
      </c>
      <c r="L80">
        <v>1844</v>
      </c>
      <c r="M80">
        <v>77</v>
      </c>
      <c r="N80" s="14" t="s">
        <v>733</v>
      </c>
      <c r="O80" t="s">
        <v>50</v>
      </c>
      <c r="P80" s="16" t="s">
        <v>20</v>
      </c>
      <c r="T80" s="12"/>
      <c r="X80" s="12"/>
      <c r="Y80" s="12"/>
      <c r="Z80" s="12"/>
      <c r="AA80" s="12"/>
      <c r="AB80" s="14"/>
      <c r="AC80" s="12"/>
      <c r="AD80" s="11"/>
      <c r="AE80" s="7"/>
      <c r="AF80" s="7"/>
      <c r="AG80" s="12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.5" customHeight="1" x14ac:dyDescent="0.2">
      <c r="A81" s="9"/>
      <c r="B81" s="9"/>
      <c r="C81" s="7"/>
      <c r="D81" s="7"/>
      <c r="E81" s="7"/>
      <c r="F81" s="7"/>
      <c r="G81" s="7"/>
      <c r="H81" s="7" t="s">
        <v>1186</v>
      </c>
      <c r="I81" s="7" t="s">
        <v>2654</v>
      </c>
      <c r="J81" s="7" t="s">
        <v>22</v>
      </c>
      <c r="K81" s="7" t="s">
        <v>19</v>
      </c>
      <c r="L81" s="7">
        <v>1874</v>
      </c>
      <c r="M81" s="7">
        <v>47</v>
      </c>
      <c r="N81" s="7" t="s">
        <v>14</v>
      </c>
      <c r="O81" s="7" t="s">
        <v>20</v>
      </c>
      <c r="P81" s="7" t="s">
        <v>20</v>
      </c>
      <c r="Q81" s="7"/>
      <c r="R81" s="7"/>
      <c r="S81" s="7"/>
      <c r="T81" s="7"/>
      <c r="U81" s="7">
        <f t="shared" ref="U81:Z81" si="1">SUM(U67:U80)</f>
        <v>0</v>
      </c>
      <c r="V81" s="7">
        <f t="shared" si="1"/>
        <v>0</v>
      </c>
      <c r="W81" s="7">
        <f t="shared" si="1"/>
        <v>0</v>
      </c>
      <c r="X81" s="7">
        <f t="shared" si="1"/>
        <v>0</v>
      </c>
      <c r="Y81" s="7">
        <f t="shared" si="1"/>
        <v>0</v>
      </c>
      <c r="Z81" s="7">
        <f t="shared" si="1"/>
        <v>0</v>
      </c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ht="17.5" customHeight="1" x14ac:dyDescent="0.2">
      <c r="A82" s="9"/>
      <c r="B82" s="9"/>
      <c r="C82" s="7"/>
      <c r="D82" s="7"/>
      <c r="E82" s="7"/>
      <c r="F82" s="7"/>
      <c r="G82" s="7"/>
      <c r="H82" s="7" t="s">
        <v>655</v>
      </c>
      <c r="I82" s="7" t="s">
        <v>2656</v>
      </c>
      <c r="J82" s="7" t="s">
        <v>26</v>
      </c>
      <c r="K82" s="7" t="s">
        <v>19</v>
      </c>
      <c r="L82" s="7">
        <v>1872</v>
      </c>
      <c r="M82" s="6">
        <v>49</v>
      </c>
      <c r="N82" s="6" t="s">
        <v>2657</v>
      </c>
      <c r="O82" s="6" t="s">
        <v>56</v>
      </c>
      <c r="P82" s="6" t="s">
        <v>29</v>
      </c>
      <c r="Q82" s="7"/>
      <c r="R82" s="6"/>
      <c r="S82" s="6"/>
      <c r="T82" s="20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ht="17.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6"/>
      <c r="N83" s="6"/>
      <c r="O83" s="6"/>
      <c r="P83" s="6"/>
      <c r="Q83" s="6"/>
      <c r="R83" s="6"/>
      <c r="S83" s="6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ht="17.5" customHeight="1" x14ac:dyDescent="0.2">
      <c r="A84" s="7"/>
      <c r="B84" s="7"/>
      <c r="C84" s="7"/>
      <c r="D84" s="7"/>
      <c r="E84" s="7"/>
      <c r="F84" s="7"/>
      <c r="G84" s="7"/>
      <c r="H84" s="7" t="s">
        <v>0</v>
      </c>
      <c r="I84" s="7" t="s">
        <v>1</v>
      </c>
      <c r="J84" s="7" t="s">
        <v>2</v>
      </c>
      <c r="K84" s="7" t="s">
        <v>3</v>
      </c>
      <c r="L84" s="7" t="s">
        <v>4</v>
      </c>
      <c r="M84" s="6" t="s">
        <v>5</v>
      </c>
      <c r="N84" s="6" t="s">
        <v>6</v>
      </c>
      <c r="O84" s="6" t="s">
        <v>7</v>
      </c>
      <c r="P84" s="6" t="s">
        <v>8</v>
      </c>
      <c r="Q84" s="6"/>
      <c r="R84" s="6"/>
      <c r="S84" s="6"/>
      <c r="T84" s="7"/>
      <c r="U84" s="6"/>
      <c r="V84" s="6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ht="17.5" customHeight="1" x14ac:dyDescent="0.2">
      <c r="A85" s="7"/>
      <c r="B85" s="7"/>
      <c r="C85" s="7"/>
      <c r="D85" s="7"/>
      <c r="E85" s="7" t="s">
        <v>2669</v>
      </c>
      <c r="F85" s="5"/>
      <c r="G85" s="5"/>
      <c r="H85" s="5" t="s">
        <v>2659</v>
      </c>
      <c r="I85" s="5" t="s">
        <v>1117</v>
      </c>
      <c r="J85" s="5" t="s">
        <v>12</v>
      </c>
      <c r="K85" s="10" t="s">
        <v>13</v>
      </c>
      <c r="L85" s="5">
        <v>1868</v>
      </c>
      <c r="M85" s="5">
        <v>52</v>
      </c>
      <c r="N85" s="5" t="s">
        <v>2660</v>
      </c>
      <c r="O85" s="5" t="s">
        <v>2661</v>
      </c>
      <c r="P85" s="5" t="s">
        <v>8</v>
      </c>
      <c r="Q85" s="7"/>
      <c r="R85" s="6"/>
      <c r="S85" s="6"/>
      <c r="T85" s="7"/>
      <c r="U85" s="6"/>
      <c r="V85" s="6"/>
      <c r="W85" s="6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ht="17.5" customHeight="1" x14ac:dyDescent="0.2">
      <c r="A86" s="7"/>
      <c r="B86" s="7"/>
      <c r="C86" s="7"/>
      <c r="D86" s="7"/>
      <c r="E86" s="7"/>
      <c r="F86" s="7"/>
      <c r="G86" s="7"/>
      <c r="H86" s="7" t="s">
        <v>2662</v>
      </c>
      <c r="I86" s="7" t="s">
        <v>1117</v>
      </c>
      <c r="J86" s="7" t="s">
        <v>18</v>
      </c>
      <c r="K86" s="7" t="s">
        <v>19</v>
      </c>
      <c r="L86" s="7">
        <v>1876</v>
      </c>
      <c r="M86" s="6">
        <v>44</v>
      </c>
      <c r="N86" s="6" t="s">
        <v>388</v>
      </c>
      <c r="O86" s="6" t="s">
        <v>50</v>
      </c>
      <c r="P86" s="6" t="s">
        <v>20</v>
      </c>
      <c r="Q86" s="7"/>
      <c r="R86" s="6"/>
      <c r="S86" s="6"/>
      <c r="T86" s="7"/>
      <c r="U86" s="6"/>
      <c r="V86" s="6"/>
      <c r="W86" s="6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ht="17.5" customHeight="1" x14ac:dyDescent="0.2">
      <c r="A87" s="7"/>
      <c r="B87" s="7"/>
      <c r="C87" s="7"/>
      <c r="D87" s="7"/>
      <c r="E87" s="7"/>
      <c r="F87" s="7"/>
      <c r="G87" s="7"/>
      <c r="H87" s="7" t="s">
        <v>2663</v>
      </c>
      <c r="I87" s="7" t="s">
        <v>1117</v>
      </c>
      <c r="J87" s="7" t="s">
        <v>22</v>
      </c>
      <c r="K87" s="7" t="s">
        <v>19</v>
      </c>
      <c r="L87" s="7">
        <v>1908</v>
      </c>
      <c r="M87" s="6">
        <v>12</v>
      </c>
      <c r="N87" s="6" t="s">
        <v>2664</v>
      </c>
      <c r="O87" s="6" t="s">
        <v>20</v>
      </c>
      <c r="P87" s="6" t="s">
        <v>20</v>
      </c>
      <c r="Q87" s="7"/>
      <c r="R87" s="6"/>
      <c r="S87" s="6"/>
      <c r="T87" s="7"/>
      <c r="U87" s="6"/>
      <c r="V87" s="6"/>
      <c r="W87" s="6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ht="17.5" customHeight="1" x14ac:dyDescent="0.2">
      <c r="A88" s="7"/>
      <c r="B88" s="7"/>
      <c r="C88" s="7"/>
      <c r="D88" s="7"/>
      <c r="E88" s="7"/>
      <c r="F88" s="7"/>
      <c r="G88" s="7"/>
      <c r="H88" s="7" t="s">
        <v>2665</v>
      </c>
      <c r="I88" s="7" t="s">
        <v>1117</v>
      </c>
      <c r="J88" s="7" t="s">
        <v>51</v>
      </c>
      <c r="K88" s="7" t="s">
        <v>13</v>
      </c>
      <c r="L88" s="7">
        <v>1910</v>
      </c>
      <c r="M88" s="6">
        <v>10</v>
      </c>
      <c r="N88" s="6" t="s">
        <v>2664</v>
      </c>
      <c r="O88" s="6" t="s">
        <v>20</v>
      </c>
      <c r="P88" s="6" t="s">
        <v>20</v>
      </c>
      <c r="Q88" s="7"/>
      <c r="R88" s="6"/>
      <c r="S88" s="6"/>
      <c r="T88" s="7"/>
      <c r="U88" s="6"/>
      <c r="V88" s="6"/>
      <c r="W88" s="6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ht="17" customHeight="1" x14ac:dyDescent="0.2">
      <c r="A89" s="7"/>
      <c r="B89" s="7"/>
      <c r="C89" s="7"/>
      <c r="D89" s="7"/>
      <c r="E89" s="7"/>
      <c r="F89" s="7"/>
      <c r="G89" s="7"/>
      <c r="H89" s="7" t="s">
        <v>2666</v>
      </c>
      <c r="I89" s="7" t="s">
        <v>1117</v>
      </c>
      <c r="J89" s="7" t="s">
        <v>22</v>
      </c>
      <c r="K89" s="7" t="s">
        <v>19</v>
      </c>
      <c r="L89" s="7">
        <v>1911</v>
      </c>
      <c r="M89" s="6">
        <v>9</v>
      </c>
      <c r="N89" s="6" t="s">
        <v>49</v>
      </c>
      <c r="O89" s="6" t="s">
        <v>20</v>
      </c>
      <c r="P89" s="6" t="s">
        <v>20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ht="17.5" customHeight="1" x14ac:dyDescent="0.2">
      <c r="A90" s="7"/>
      <c r="B90" s="7"/>
      <c r="C90" s="7"/>
      <c r="D90" s="7"/>
      <c r="E90" s="7"/>
      <c r="F90" s="7"/>
      <c r="G90" s="7"/>
      <c r="H90" s="7" t="s">
        <v>2667</v>
      </c>
      <c r="I90" s="7" t="s">
        <v>1021</v>
      </c>
      <c r="J90" s="7" t="s">
        <v>26</v>
      </c>
      <c r="K90" s="7" t="s">
        <v>19</v>
      </c>
      <c r="L90" s="7">
        <v>1902</v>
      </c>
      <c r="M90" s="6">
        <v>18</v>
      </c>
      <c r="N90" s="6" t="s">
        <v>1374</v>
      </c>
      <c r="O90" s="6" t="s">
        <v>344</v>
      </c>
      <c r="P90" s="6" t="s">
        <v>2668</v>
      </c>
      <c r="Q90" s="7"/>
      <c r="R90" s="6"/>
      <c r="S90" s="6"/>
      <c r="T90" s="19"/>
      <c r="U90" s="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ht="17.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6"/>
      <c r="N91" s="6"/>
      <c r="O91" s="6"/>
      <c r="P91" s="6"/>
      <c r="Q91" s="7"/>
      <c r="R91" s="6"/>
      <c r="S91" s="6"/>
      <c r="T91" s="7"/>
      <c r="U91" s="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17.5" customHeight="1" x14ac:dyDescent="0.2">
      <c r="A92" s="7"/>
      <c r="B92" s="7"/>
      <c r="C92" s="7"/>
      <c r="D92" s="7"/>
      <c r="E92" s="7"/>
      <c r="F92" s="7"/>
      <c r="G92" s="7"/>
      <c r="H92" s="7" t="s">
        <v>0</v>
      </c>
      <c r="I92" s="7" t="s">
        <v>1</v>
      </c>
      <c r="J92" s="7" t="s">
        <v>2</v>
      </c>
      <c r="K92" s="7" t="s">
        <v>3</v>
      </c>
      <c r="L92" s="7" t="s">
        <v>4</v>
      </c>
      <c r="M92" s="6" t="s">
        <v>5</v>
      </c>
      <c r="N92" s="6" t="s">
        <v>6</v>
      </c>
      <c r="O92" s="6" t="s">
        <v>7</v>
      </c>
      <c r="P92" s="6" t="s">
        <v>8</v>
      </c>
      <c r="Q92" s="7"/>
      <c r="R92" s="6"/>
      <c r="S92" s="6"/>
      <c r="T92" s="7"/>
      <c r="U92" s="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17.5" customHeight="1" x14ac:dyDescent="0.2">
      <c r="A93" s="7"/>
      <c r="B93" s="7"/>
      <c r="C93" s="7"/>
      <c r="D93" s="7"/>
      <c r="E93" s="7" t="s">
        <v>2670</v>
      </c>
      <c r="F93" s="7"/>
      <c r="G93" s="7"/>
      <c r="H93" s="7" t="s">
        <v>2659</v>
      </c>
      <c r="I93" s="7" t="s">
        <v>1117</v>
      </c>
      <c r="J93" s="7" t="s">
        <v>12</v>
      </c>
      <c r="K93" s="7" t="s">
        <v>13</v>
      </c>
      <c r="L93" s="7">
        <v>1868</v>
      </c>
      <c r="M93" s="6">
        <v>52</v>
      </c>
      <c r="N93" s="6" t="s">
        <v>2660</v>
      </c>
      <c r="O93" s="6" t="s">
        <v>2661</v>
      </c>
      <c r="P93" s="6" t="s">
        <v>8</v>
      </c>
      <c r="Q93" s="7"/>
      <c r="R93" s="6"/>
      <c r="S93" s="6"/>
      <c r="T93" s="19"/>
      <c r="U93" s="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17.5" customHeight="1" x14ac:dyDescent="0.2">
      <c r="A94" s="7"/>
      <c r="B94" s="7"/>
      <c r="C94" s="7"/>
      <c r="D94" s="7"/>
      <c r="E94" s="7"/>
      <c r="F94" s="7"/>
      <c r="G94" s="7"/>
      <c r="H94" s="7" t="s">
        <v>2662</v>
      </c>
      <c r="I94" s="7" t="s">
        <v>1117</v>
      </c>
      <c r="J94" s="7" t="s">
        <v>18</v>
      </c>
      <c r="K94" s="7" t="s">
        <v>19</v>
      </c>
      <c r="L94" s="7">
        <v>1876</v>
      </c>
      <c r="M94" s="7">
        <v>44</v>
      </c>
      <c r="N94" s="7" t="s">
        <v>388</v>
      </c>
      <c r="O94" s="7" t="s">
        <v>50</v>
      </c>
      <c r="P94" s="7" t="s">
        <v>20</v>
      </c>
      <c r="Q94" s="7"/>
      <c r="R94" s="6"/>
      <c r="S94" s="6"/>
      <c r="T94" s="7"/>
      <c r="U94" s="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17.5" customHeight="1" x14ac:dyDescent="0.2">
      <c r="A95" s="7"/>
      <c r="B95" s="7"/>
      <c r="C95" s="7"/>
      <c r="D95" s="7"/>
      <c r="E95" s="7"/>
      <c r="F95" s="7"/>
      <c r="G95" s="7"/>
      <c r="H95" s="7" t="s">
        <v>2663</v>
      </c>
      <c r="I95" s="7" t="s">
        <v>1117</v>
      </c>
      <c r="J95" s="7" t="s">
        <v>22</v>
      </c>
      <c r="K95" s="7" t="s">
        <v>19</v>
      </c>
      <c r="L95" s="7">
        <v>1908</v>
      </c>
      <c r="M95" s="6">
        <v>12</v>
      </c>
      <c r="N95" s="6" t="s">
        <v>2664</v>
      </c>
      <c r="O95" s="6" t="s">
        <v>20</v>
      </c>
      <c r="P95" s="6" t="s">
        <v>20</v>
      </c>
      <c r="Q95" s="7"/>
      <c r="R95" s="6"/>
      <c r="S95" s="6"/>
      <c r="T95" s="7"/>
      <c r="U95" s="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17.5" customHeight="1" x14ac:dyDescent="0.2">
      <c r="A96" s="7"/>
      <c r="B96" s="7"/>
      <c r="C96" s="7"/>
      <c r="D96" s="7"/>
      <c r="E96" s="7"/>
      <c r="F96" s="7"/>
      <c r="G96" s="7"/>
      <c r="H96" s="7" t="s">
        <v>2665</v>
      </c>
      <c r="I96" s="7" t="s">
        <v>1117</v>
      </c>
      <c r="J96" s="7" t="s">
        <v>51</v>
      </c>
      <c r="K96" s="7" t="s">
        <v>13</v>
      </c>
      <c r="L96" s="7">
        <v>1910</v>
      </c>
      <c r="M96" s="6">
        <v>10</v>
      </c>
      <c r="N96" s="6" t="s">
        <v>2664</v>
      </c>
      <c r="O96" s="6" t="s">
        <v>20</v>
      </c>
      <c r="P96" s="6" t="s">
        <v>20</v>
      </c>
      <c r="Q96" s="7"/>
      <c r="R96" s="6"/>
      <c r="S96" s="6"/>
      <c r="T96" s="7"/>
      <c r="U96" s="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17" customHeight="1" x14ac:dyDescent="0.2">
      <c r="A97" s="4"/>
      <c r="B97" s="7"/>
      <c r="C97" s="7"/>
      <c r="D97" s="7"/>
      <c r="E97" s="7"/>
      <c r="F97" s="12"/>
      <c r="G97" s="12"/>
      <c r="H97" s="12" t="s">
        <v>2666</v>
      </c>
      <c r="I97" s="12" t="s">
        <v>1117</v>
      </c>
      <c r="J97" s="12" t="s">
        <v>22</v>
      </c>
      <c r="K97" s="13" t="s">
        <v>19</v>
      </c>
      <c r="L97" s="12">
        <v>1911</v>
      </c>
      <c r="M97" s="12">
        <v>9</v>
      </c>
      <c r="N97" s="12" t="s">
        <v>49</v>
      </c>
      <c r="O97" s="12" t="s">
        <v>20</v>
      </c>
      <c r="P97" s="12" t="s">
        <v>20</v>
      </c>
      <c r="Q97" s="7"/>
      <c r="R97" s="7"/>
      <c r="S97" s="7"/>
      <c r="T97" s="7"/>
      <c r="U97" s="7">
        <f>SUM(U67:U96)</f>
        <v>0</v>
      </c>
      <c r="V97" s="7">
        <f>SUM(V67:V96)</f>
        <v>0</v>
      </c>
      <c r="W97" s="7">
        <f>SUM(W67:W96)</f>
        <v>0</v>
      </c>
      <c r="X97" s="7"/>
      <c r="Y97" s="7"/>
      <c r="Z97" s="7">
        <f>SUM(Z67:Z96)</f>
        <v>0</v>
      </c>
      <c r="AA97" s="7">
        <f>SUM(AA67:AA96)</f>
        <v>0</v>
      </c>
      <c r="AB97" s="7">
        <f>SUM(AB67:AB96)</f>
        <v>0</v>
      </c>
      <c r="AC97" s="7">
        <f>SUM(AC67:AC96)</f>
        <v>0</v>
      </c>
      <c r="AD97" s="7">
        <f>SUM(AD67:AD96)</f>
        <v>0</v>
      </c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17" customHeight="1" x14ac:dyDescent="0.2">
      <c r="A98" s="7"/>
      <c r="B98" s="7"/>
      <c r="C98" s="7"/>
      <c r="D98" s="7"/>
      <c r="E98" s="7"/>
      <c r="F98" s="12"/>
      <c r="G98" s="12"/>
      <c r="H98" s="12" t="s">
        <v>2667</v>
      </c>
      <c r="I98" s="12" t="s">
        <v>1021</v>
      </c>
      <c r="J98" s="14" t="s">
        <v>26</v>
      </c>
      <c r="K98" s="15" t="s">
        <v>19</v>
      </c>
      <c r="L98" s="16">
        <v>1902</v>
      </c>
      <c r="M98" s="12">
        <v>18</v>
      </c>
      <c r="N98" s="12" t="s">
        <v>1374</v>
      </c>
      <c r="O98" s="12" t="s">
        <v>344</v>
      </c>
      <c r="P98" s="14" t="s">
        <v>2668</v>
      </c>
      <c r="Q98" s="20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17" customHeight="1" x14ac:dyDescent="0.2">
      <c r="A99" s="7"/>
      <c r="B99" s="7"/>
      <c r="C99" s="7"/>
      <c r="D99" s="7"/>
      <c r="E99" s="7"/>
      <c r="F99" s="7"/>
      <c r="G99" s="21"/>
      <c r="H99" s="21"/>
      <c r="I99" s="21"/>
      <c r="J99" s="7"/>
      <c r="K99" s="7"/>
      <c r="L99" s="7"/>
      <c r="M99" s="7"/>
      <c r="N99" s="7"/>
      <c r="O99" s="7"/>
      <c r="P99" s="7"/>
      <c r="Q99" s="20"/>
      <c r="R99" s="21"/>
      <c r="S99" s="21"/>
      <c r="T99" s="21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17.5" customHeight="1" x14ac:dyDescent="0.2">
      <c r="A100" s="7"/>
      <c r="B100" s="7"/>
      <c r="C100" s="7"/>
      <c r="D100" s="7"/>
      <c r="E100" s="7"/>
      <c r="F100" s="7"/>
      <c r="G100" s="7"/>
      <c r="H100" s="7" t="s">
        <v>0</v>
      </c>
      <c r="I100" s="7" t="s">
        <v>1</v>
      </c>
      <c r="J100" s="7" t="s">
        <v>2</v>
      </c>
      <c r="K100" s="7" t="s">
        <v>3</v>
      </c>
      <c r="L100" s="7" t="s">
        <v>4</v>
      </c>
      <c r="M100" s="7" t="s">
        <v>5</v>
      </c>
      <c r="N100" s="7" t="s">
        <v>6</v>
      </c>
      <c r="O100" s="7" t="s">
        <v>7</v>
      </c>
      <c r="P100" s="7" t="s">
        <v>8</v>
      </c>
      <c r="Q100" s="7"/>
      <c r="R100" s="6"/>
      <c r="S100" s="6"/>
      <c r="T100" s="19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7" customHeight="1" x14ac:dyDescent="0.2">
      <c r="A101" s="7"/>
      <c r="B101" s="7"/>
      <c r="C101" s="7"/>
      <c r="D101" s="7"/>
      <c r="E101" s="7" t="s">
        <v>2677</v>
      </c>
      <c r="F101" s="7"/>
      <c r="G101" s="7"/>
      <c r="H101" s="7" t="s">
        <v>2671</v>
      </c>
      <c r="I101" s="7" t="s">
        <v>2672</v>
      </c>
      <c r="J101" s="7" t="s">
        <v>12</v>
      </c>
      <c r="K101" s="7" t="s">
        <v>13</v>
      </c>
      <c r="L101" s="7">
        <v>1879</v>
      </c>
      <c r="M101" s="7">
        <v>42</v>
      </c>
      <c r="N101" s="7" t="s">
        <v>2673</v>
      </c>
      <c r="O101" s="7" t="s">
        <v>942</v>
      </c>
      <c r="P101" s="7" t="s">
        <v>2674</v>
      </c>
      <c r="Q101" s="7"/>
      <c r="R101" s="21"/>
      <c r="S101" s="21"/>
      <c r="T101" s="21"/>
      <c r="U101" s="7"/>
      <c r="V101" s="7"/>
      <c r="W101" s="7"/>
      <c r="X101" s="7"/>
      <c r="Y101" s="7"/>
      <c r="Z101" s="7"/>
      <c r="AA101" s="7"/>
      <c r="AB101" s="7"/>
      <c r="AC101" s="22"/>
      <c r="AD101" s="22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17.5" customHeight="1" x14ac:dyDescent="0.2">
      <c r="A102" s="7"/>
      <c r="B102" s="7"/>
      <c r="C102" s="7"/>
      <c r="D102" s="7"/>
      <c r="E102" s="7"/>
      <c r="F102" s="7"/>
      <c r="G102" s="7"/>
      <c r="H102" s="7" t="s">
        <v>2675</v>
      </c>
      <c r="I102" s="7" t="s">
        <v>2672</v>
      </c>
      <c r="J102" s="7" t="s">
        <v>18</v>
      </c>
      <c r="K102" s="7" t="s">
        <v>19</v>
      </c>
      <c r="L102" s="7">
        <v>1879</v>
      </c>
      <c r="M102" s="7">
        <v>42</v>
      </c>
      <c r="N102" s="7" t="s">
        <v>2676</v>
      </c>
      <c r="O102" s="7" t="s">
        <v>20</v>
      </c>
      <c r="P102" s="7" t="s">
        <v>50</v>
      </c>
      <c r="Q102" s="7"/>
      <c r="R102" s="6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4" spans="1:51" x14ac:dyDescent="0.2">
      <c r="H104" t="s">
        <v>0</v>
      </c>
      <c r="I104" t="s">
        <v>1</v>
      </c>
      <c r="J104" t="s">
        <v>2</v>
      </c>
      <c r="K104" t="s">
        <v>3</v>
      </c>
      <c r="L104" t="s">
        <v>4</v>
      </c>
      <c r="M104" t="s">
        <v>5</v>
      </c>
      <c r="N104" t="s">
        <v>6</v>
      </c>
      <c r="O104" t="s">
        <v>7</v>
      </c>
      <c r="P104" t="s">
        <v>8</v>
      </c>
    </row>
    <row r="105" spans="1:51" x14ac:dyDescent="0.2">
      <c r="E105">
        <v>1</v>
      </c>
      <c r="F105">
        <v>1</v>
      </c>
      <c r="H105" t="s">
        <v>2678</v>
      </c>
      <c r="I105" t="s">
        <v>2597</v>
      </c>
      <c r="J105" t="s">
        <v>12</v>
      </c>
      <c r="K105" t="s">
        <v>13</v>
      </c>
      <c r="L105">
        <v>1853</v>
      </c>
      <c r="M105">
        <v>67</v>
      </c>
      <c r="N105" t="s">
        <v>2679</v>
      </c>
      <c r="O105" t="s">
        <v>385</v>
      </c>
      <c r="P105" t="s">
        <v>8</v>
      </c>
    </row>
    <row r="106" spans="1:51" x14ac:dyDescent="0.2">
      <c r="H106" t="s">
        <v>2680</v>
      </c>
      <c r="I106" t="s">
        <v>2597</v>
      </c>
      <c r="J106" t="s">
        <v>18</v>
      </c>
      <c r="K106" t="s">
        <v>19</v>
      </c>
      <c r="L106">
        <v>1861</v>
      </c>
      <c r="M106">
        <v>60</v>
      </c>
      <c r="N106" t="s">
        <v>49</v>
      </c>
      <c r="O106" t="s">
        <v>18</v>
      </c>
      <c r="P106" t="s">
        <v>20</v>
      </c>
    </row>
    <row r="107" spans="1:51" x14ac:dyDescent="0.2">
      <c r="H107" t="s">
        <v>323</v>
      </c>
      <c r="I107" t="s">
        <v>2681</v>
      </c>
      <c r="J107" t="s">
        <v>22</v>
      </c>
      <c r="K107" t="s">
        <v>19</v>
      </c>
      <c r="L107">
        <v>1886</v>
      </c>
      <c r="M107">
        <v>35</v>
      </c>
      <c r="N107" t="s">
        <v>49</v>
      </c>
      <c r="O107" t="s">
        <v>20</v>
      </c>
      <c r="P107" t="s">
        <v>20</v>
      </c>
    </row>
    <row r="108" spans="1:51" x14ac:dyDescent="0.2">
      <c r="H108" t="s">
        <v>2682</v>
      </c>
      <c r="I108" t="s">
        <v>2683</v>
      </c>
      <c r="J108" t="s">
        <v>26</v>
      </c>
      <c r="K108" t="s">
        <v>19</v>
      </c>
      <c r="L108">
        <v>1900</v>
      </c>
      <c r="M108">
        <v>21</v>
      </c>
      <c r="N108" t="s">
        <v>368</v>
      </c>
      <c r="O108" t="s">
        <v>56</v>
      </c>
      <c r="P108" t="s">
        <v>29</v>
      </c>
    </row>
    <row r="109" spans="1:51" x14ac:dyDescent="0.2">
      <c r="H109" t="s">
        <v>2684</v>
      </c>
      <c r="I109" t="s">
        <v>2685</v>
      </c>
      <c r="J109" t="s">
        <v>26</v>
      </c>
      <c r="K109" t="s">
        <v>19</v>
      </c>
      <c r="L109">
        <v>1905</v>
      </c>
      <c r="M109">
        <v>16</v>
      </c>
      <c r="N109" t="s">
        <v>705</v>
      </c>
      <c r="O109" t="s">
        <v>56</v>
      </c>
      <c r="P109" t="s">
        <v>29</v>
      </c>
    </row>
    <row r="111" spans="1:51" x14ac:dyDescent="0.2">
      <c r="H111" t="s">
        <v>0</v>
      </c>
      <c r="I111" t="s">
        <v>1</v>
      </c>
      <c r="J111" t="s">
        <v>2</v>
      </c>
      <c r="K111" t="s">
        <v>3</v>
      </c>
      <c r="L111" t="s">
        <v>4</v>
      </c>
      <c r="M111" t="s">
        <v>5</v>
      </c>
      <c r="N111" t="s">
        <v>6</v>
      </c>
      <c r="O111" t="s">
        <v>7</v>
      </c>
      <c r="P111" t="s">
        <v>8</v>
      </c>
    </row>
    <row r="112" spans="1:51" x14ac:dyDescent="0.2">
      <c r="E112">
        <v>2</v>
      </c>
      <c r="F112">
        <v>1</v>
      </c>
      <c r="H112" t="s">
        <v>2686</v>
      </c>
      <c r="I112" t="s">
        <v>1536</v>
      </c>
      <c r="J112" t="s">
        <v>12</v>
      </c>
      <c r="K112" t="s">
        <v>19</v>
      </c>
      <c r="L112">
        <v>1886</v>
      </c>
      <c r="M112">
        <v>35</v>
      </c>
      <c r="N112" t="s">
        <v>14</v>
      </c>
      <c r="O112" t="s">
        <v>50</v>
      </c>
      <c r="P112" t="s">
        <v>20</v>
      </c>
    </row>
    <row r="113" spans="5:16" x14ac:dyDescent="0.2">
      <c r="H113" t="s">
        <v>2687</v>
      </c>
      <c r="I113" t="s">
        <v>1536</v>
      </c>
      <c r="J113" t="s">
        <v>51</v>
      </c>
      <c r="K113" t="s">
        <v>13</v>
      </c>
      <c r="L113">
        <v>1913</v>
      </c>
      <c r="M113">
        <v>8</v>
      </c>
      <c r="N113" t="s">
        <v>49</v>
      </c>
      <c r="O113" t="s">
        <v>20</v>
      </c>
      <c r="P113" t="s">
        <v>20</v>
      </c>
    </row>
    <row r="114" spans="5:16" x14ac:dyDescent="0.2">
      <c r="H114" t="s">
        <v>422</v>
      </c>
      <c r="I114" t="s">
        <v>2688</v>
      </c>
      <c r="J114" t="s">
        <v>22</v>
      </c>
      <c r="K114" t="s">
        <v>19</v>
      </c>
      <c r="L114">
        <v>1915</v>
      </c>
      <c r="M114">
        <v>5</v>
      </c>
      <c r="N114" t="s">
        <v>49</v>
      </c>
      <c r="O114" t="s">
        <v>20</v>
      </c>
      <c r="P114" t="s">
        <v>20</v>
      </c>
    </row>
    <row r="115" spans="5:16" x14ac:dyDescent="0.2">
      <c r="H115" t="s">
        <v>170</v>
      </c>
      <c r="I115" t="s">
        <v>1536</v>
      </c>
      <c r="J115" t="s">
        <v>22</v>
      </c>
      <c r="K115" t="s">
        <v>19</v>
      </c>
      <c r="L115">
        <v>1919</v>
      </c>
      <c r="M115">
        <v>2</v>
      </c>
      <c r="N115" t="s">
        <v>49</v>
      </c>
      <c r="O115" t="s">
        <v>20</v>
      </c>
      <c r="P115" t="s">
        <v>20</v>
      </c>
    </row>
    <row r="116" spans="5:16" x14ac:dyDescent="0.2">
      <c r="H116" t="s">
        <v>170</v>
      </c>
      <c r="I116" t="s">
        <v>2689</v>
      </c>
      <c r="J116" t="s">
        <v>26</v>
      </c>
      <c r="K116" t="s">
        <v>19</v>
      </c>
      <c r="L116">
        <v>1886</v>
      </c>
      <c r="M116">
        <v>35</v>
      </c>
      <c r="N116" t="s">
        <v>325</v>
      </c>
      <c r="O116" t="s">
        <v>2690</v>
      </c>
      <c r="P116" t="s">
        <v>29</v>
      </c>
    </row>
    <row r="117" spans="5:16" x14ac:dyDescent="0.2">
      <c r="H117" t="s">
        <v>1220</v>
      </c>
      <c r="I117" t="s">
        <v>2691</v>
      </c>
      <c r="J117" t="s">
        <v>26</v>
      </c>
      <c r="K117" t="s">
        <v>19</v>
      </c>
      <c r="L117">
        <v>1904</v>
      </c>
      <c r="M117">
        <v>17</v>
      </c>
      <c r="N117" t="s">
        <v>2692</v>
      </c>
      <c r="O117" t="s">
        <v>137</v>
      </c>
      <c r="P117" t="s">
        <v>29</v>
      </c>
    </row>
    <row r="118" spans="5:16" x14ac:dyDescent="0.2">
      <c r="H118" t="s">
        <v>2693</v>
      </c>
      <c r="I118" t="s">
        <v>2694</v>
      </c>
      <c r="J118" t="s">
        <v>26</v>
      </c>
      <c r="K118" t="s">
        <v>19</v>
      </c>
      <c r="L118">
        <v>1900</v>
      </c>
      <c r="M118">
        <v>21</v>
      </c>
      <c r="N118" t="s">
        <v>49</v>
      </c>
      <c r="O118" t="s">
        <v>33</v>
      </c>
      <c r="P118" t="s">
        <v>29</v>
      </c>
    </row>
    <row r="120" spans="5:16" x14ac:dyDescent="0.2">
      <c r="H120" t="s">
        <v>0</v>
      </c>
      <c r="I120" t="s">
        <v>1</v>
      </c>
      <c r="J120" t="s">
        <v>2</v>
      </c>
      <c r="K120" t="s">
        <v>3</v>
      </c>
      <c r="L120" t="s">
        <v>4</v>
      </c>
      <c r="M120" t="s">
        <v>5</v>
      </c>
      <c r="N120" t="s">
        <v>6</v>
      </c>
      <c r="O120" t="s">
        <v>7</v>
      </c>
      <c r="P120" t="s">
        <v>8</v>
      </c>
    </row>
    <row r="121" spans="5:16" x14ac:dyDescent="0.2">
      <c r="E121">
        <v>3</v>
      </c>
      <c r="F121">
        <v>3</v>
      </c>
      <c r="H121" t="s">
        <v>2128</v>
      </c>
      <c r="I121" t="s">
        <v>2695</v>
      </c>
      <c r="J121" t="s">
        <v>18</v>
      </c>
      <c r="K121" t="s">
        <v>19</v>
      </c>
      <c r="L121">
        <v>1870</v>
      </c>
      <c r="M121">
        <v>51</v>
      </c>
      <c r="N121" t="s">
        <v>1083</v>
      </c>
      <c r="O121" t="s">
        <v>50</v>
      </c>
      <c r="P121" t="s">
        <v>20</v>
      </c>
    </row>
    <row r="122" spans="5:16" x14ac:dyDescent="0.2">
      <c r="H122" t="s">
        <v>2696</v>
      </c>
      <c r="I122" t="s">
        <v>2697</v>
      </c>
      <c r="J122" t="s">
        <v>60</v>
      </c>
      <c r="K122" t="s">
        <v>19</v>
      </c>
      <c r="L122">
        <v>1901</v>
      </c>
      <c r="M122">
        <v>20</v>
      </c>
      <c r="N122" t="s">
        <v>2698</v>
      </c>
      <c r="O122" t="s">
        <v>20</v>
      </c>
      <c r="P122" t="s">
        <v>20</v>
      </c>
    </row>
    <row r="123" spans="5:16" x14ac:dyDescent="0.2">
      <c r="H123" t="s">
        <v>2699</v>
      </c>
      <c r="I123" t="s">
        <v>2700</v>
      </c>
      <c r="J123" t="s">
        <v>60</v>
      </c>
      <c r="K123" t="s">
        <v>19</v>
      </c>
      <c r="L123">
        <v>1901</v>
      </c>
      <c r="M123">
        <v>20</v>
      </c>
      <c r="N123" t="s">
        <v>2698</v>
      </c>
      <c r="O123" t="s">
        <v>20</v>
      </c>
      <c r="P123" t="s">
        <v>20</v>
      </c>
    </row>
    <row r="124" spans="5:16" x14ac:dyDescent="0.2">
      <c r="H124" t="s">
        <v>2701</v>
      </c>
      <c r="I124" t="s">
        <v>2695</v>
      </c>
      <c r="J124" t="s">
        <v>22</v>
      </c>
      <c r="K124" t="s">
        <v>19</v>
      </c>
      <c r="L124">
        <v>1905</v>
      </c>
      <c r="M124">
        <v>15</v>
      </c>
      <c r="N124" t="s">
        <v>1284</v>
      </c>
      <c r="O124" t="s">
        <v>20</v>
      </c>
      <c r="P124" t="s">
        <v>20</v>
      </c>
    </row>
    <row r="125" spans="5:16" x14ac:dyDescent="0.2">
      <c r="H125" t="s">
        <v>2702</v>
      </c>
      <c r="I125" t="s">
        <v>2695</v>
      </c>
      <c r="J125" t="s">
        <v>22</v>
      </c>
      <c r="K125" t="s">
        <v>19</v>
      </c>
      <c r="L125">
        <v>1908</v>
      </c>
      <c r="M125">
        <v>13</v>
      </c>
      <c r="N125" t="s">
        <v>2703</v>
      </c>
      <c r="O125" t="s">
        <v>20</v>
      </c>
      <c r="P125" t="s">
        <v>20</v>
      </c>
    </row>
    <row r="126" spans="5:16" x14ac:dyDescent="0.2">
      <c r="H126" t="s">
        <v>756</v>
      </c>
      <c r="I126" t="s">
        <v>2695</v>
      </c>
      <c r="J126" t="s">
        <v>22</v>
      </c>
      <c r="K126" t="s">
        <v>19</v>
      </c>
      <c r="L126">
        <v>1913</v>
      </c>
      <c r="M126">
        <v>8</v>
      </c>
      <c r="N126" t="s">
        <v>14</v>
      </c>
      <c r="O126" t="s">
        <v>20</v>
      </c>
      <c r="P126" t="s">
        <v>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04F-94CC-BA41-B5A0-D0C8D274DBDD}">
  <dimension ref="A1:BC376"/>
  <sheetViews>
    <sheetView zoomScale="109" zoomScaleNormal="109" workbookViewId="0">
      <pane ySplit="2" topLeftCell="A155" activePane="bottomLeft" state="frozen"/>
      <selection pane="bottomLeft" activeCell="A171" sqref="A171:XFD171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9.83203125" customWidth="1"/>
    <col min="8" max="8" width="18.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614</v>
      </c>
      <c r="B3" s="9">
        <v>1921</v>
      </c>
      <c r="C3" s="7">
        <v>1</v>
      </c>
      <c r="D3" s="7" t="s">
        <v>2855</v>
      </c>
      <c r="E3" s="7"/>
      <c r="F3" s="5"/>
      <c r="G3" t="s">
        <v>1</v>
      </c>
      <c r="H3" s="5" t="s">
        <v>0</v>
      </c>
      <c r="J3" t="s">
        <v>3</v>
      </c>
      <c r="N3" s="10" t="s">
        <v>2</v>
      </c>
      <c r="T3" t="s">
        <v>5</v>
      </c>
      <c r="X3" s="5"/>
      <c r="Y3" s="5"/>
      <c r="Z3" s="5"/>
      <c r="AA3" t="s">
        <v>7</v>
      </c>
      <c r="AB3" s="5" t="s">
        <v>8</v>
      </c>
      <c r="AC3" s="5"/>
      <c r="AD3" s="5"/>
      <c r="AE3" s="7"/>
      <c r="AF3" s="5" t="s">
        <v>6</v>
      </c>
      <c r="AG3" s="5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614</v>
      </c>
      <c r="B4" s="9">
        <v>1921</v>
      </c>
      <c r="C4" s="7">
        <v>1</v>
      </c>
      <c r="D4" s="7" t="s">
        <v>2855</v>
      </c>
      <c r="E4" s="7"/>
      <c r="F4" s="7">
        <v>9</v>
      </c>
      <c r="G4" t="s">
        <v>118</v>
      </c>
      <c r="H4" s="7" t="s">
        <v>2704</v>
      </c>
      <c r="I4">
        <v>1</v>
      </c>
      <c r="J4" t="s">
        <v>13</v>
      </c>
      <c r="K4">
        <v>1</v>
      </c>
      <c r="N4" s="7">
        <v>1</v>
      </c>
      <c r="T4">
        <v>73</v>
      </c>
      <c r="X4" s="7"/>
      <c r="Y4" s="7"/>
      <c r="Z4" s="7"/>
      <c r="AA4" t="s">
        <v>15</v>
      </c>
      <c r="AB4" s="7" t="s">
        <v>8</v>
      </c>
      <c r="AC4" s="7">
        <v>1</v>
      </c>
      <c r="AD4" s="7">
        <v>1</v>
      </c>
      <c r="AE4" s="7"/>
      <c r="AF4" s="7" t="s">
        <v>149</v>
      </c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614</v>
      </c>
      <c r="B5" s="9">
        <v>1921</v>
      </c>
      <c r="C5" s="7">
        <v>1</v>
      </c>
      <c r="D5" s="7" t="s">
        <v>2855</v>
      </c>
      <c r="E5" s="7"/>
      <c r="F5" s="7"/>
      <c r="G5" t="s">
        <v>118</v>
      </c>
      <c r="H5" s="7" t="s">
        <v>2705</v>
      </c>
      <c r="I5">
        <v>2</v>
      </c>
      <c r="J5">
        <v>1</v>
      </c>
      <c r="N5" s="7" t="s">
        <v>18</v>
      </c>
      <c r="O5">
        <v>1</v>
      </c>
      <c r="T5">
        <v>69</v>
      </c>
      <c r="X5" s="7"/>
      <c r="Y5" s="7"/>
      <c r="Z5" s="7"/>
      <c r="AA5" t="s">
        <v>50</v>
      </c>
      <c r="AB5" s="7" t="s">
        <v>20</v>
      </c>
      <c r="AC5" s="7"/>
      <c r="AD5" s="7"/>
      <c r="AE5" s="7"/>
      <c r="AF5" s="7" t="s">
        <v>20</v>
      </c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614</v>
      </c>
      <c r="B6" s="9">
        <v>1921</v>
      </c>
      <c r="C6" s="7">
        <v>1</v>
      </c>
      <c r="D6" s="7" t="s">
        <v>2855</v>
      </c>
      <c r="E6" s="7"/>
      <c r="F6" s="7"/>
      <c r="G6" t="s">
        <v>118</v>
      </c>
      <c r="H6" s="7" t="s">
        <v>2706</v>
      </c>
      <c r="I6">
        <v>3</v>
      </c>
      <c r="J6">
        <v>1</v>
      </c>
      <c r="N6" s="7" t="s">
        <v>22</v>
      </c>
      <c r="P6">
        <v>1</v>
      </c>
      <c r="T6">
        <v>37</v>
      </c>
      <c r="X6" s="7"/>
      <c r="Y6" s="7"/>
      <c r="Z6" s="7"/>
      <c r="AA6" t="s">
        <v>50</v>
      </c>
      <c r="AB6" s="7" t="s">
        <v>20</v>
      </c>
      <c r="AC6" s="7"/>
      <c r="AD6" s="7"/>
      <c r="AE6" s="7"/>
      <c r="AF6" s="7">
        <v>1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614</v>
      </c>
      <c r="B7" s="9">
        <v>1921</v>
      </c>
      <c r="C7" s="7">
        <v>1</v>
      </c>
      <c r="D7" s="7" t="s">
        <v>2855</v>
      </c>
      <c r="E7" s="7"/>
      <c r="F7" s="7"/>
      <c r="G7" t="s">
        <v>118</v>
      </c>
      <c r="H7" s="7" t="s">
        <v>2707</v>
      </c>
      <c r="I7">
        <v>4</v>
      </c>
      <c r="J7">
        <v>1</v>
      </c>
      <c r="N7" s="7" t="s">
        <v>22</v>
      </c>
      <c r="P7">
        <v>1</v>
      </c>
      <c r="T7">
        <v>30</v>
      </c>
      <c r="X7" s="7"/>
      <c r="Y7" s="7"/>
      <c r="Z7" s="7"/>
      <c r="AA7" t="s">
        <v>2708</v>
      </c>
      <c r="AB7" s="7" t="s">
        <v>16</v>
      </c>
      <c r="AC7" s="7">
        <v>1</v>
      </c>
      <c r="AD7" s="7"/>
      <c r="AE7" s="7"/>
      <c r="AF7" s="7">
        <v>1</v>
      </c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614</v>
      </c>
      <c r="B8" s="9">
        <v>1921</v>
      </c>
      <c r="C8" s="7">
        <v>1</v>
      </c>
      <c r="D8" s="7" t="s">
        <v>2855</v>
      </c>
      <c r="E8" s="7"/>
      <c r="F8" s="7"/>
      <c r="G8" t="s">
        <v>2709</v>
      </c>
      <c r="H8" s="7" t="s">
        <v>1499</v>
      </c>
      <c r="I8">
        <v>5</v>
      </c>
      <c r="J8">
        <v>1</v>
      </c>
      <c r="N8" s="7" t="s">
        <v>26</v>
      </c>
      <c r="S8">
        <v>1</v>
      </c>
      <c r="T8">
        <v>54</v>
      </c>
      <c r="X8" s="7"/>
      <c r="Y8" s="7"/>
      <c r="Z8" s="7"/>
      <c r="AA8" t="s">
        <v>33</v>
      </c>
      <c r="AB8" s="7" t="s">
        <v>29</v>
      </c>
      <c r="AC8" s="7">
        <v>1</v>
      </c>
      <c r="AD8" s="7"/>
      <c r="AE8" s="7"/>
      <c r="AF8" s="7" t="s">
        <v>1337</v>
      </c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614</v>
      </c>
      <c r="B9" s="9">
        <v>1921</v>
      </c>
      <c r="C9" s="7"/>
      <c r="D9" s="7" t="s">
        <v>2855</v>
      </c>
      <c r="E9" s="7"/>
      <c r="F9" s="7"/>
      <c r="H9" s="7">
        <v>5</v>
      </c>
      <c r="N9" s="7"/>
      <c r="X9" s="7"/>
      <c r="Y9" s="7"/>
      <c r="Z9" s="7"/>
      <c r="AB9" s="7"/>
      <c r="AC9" s="7"/>
      <c r="AD9" s="7"/>
      <c r="AE9" s="7"/>
      <c r="AF9" s="7"/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614</v>
      </c>
      <c r="B10" s="9">
        <v>1921</v>
      </c>
      <c r="C10" s="7"/>
      <c r="D10" s="7" t="s">
        <v>2855</v>
      </c>
      <c r="E10" s="7"/>
      <c r="F10" s="7"/>
      <c r="G10" t="s">
        <v>1</v>
      </c>
      <c r="H10" s="7" t="s">
        <v>0</v>
      </c>
      <c r="J10" t="s">
        <v>3</v>
      </c>
      <c r="N10" s="7" t="s">
        <v>2</v>
      </c>
      <c r="T10" t="s">
        <v>5</v>
      </c>
      <c r="X10" s="7"/>
      <c r="Y10" s="7"/>
      <c r="Z10" s="7"/>
      <c r="AA10" t="s">
        <v>7</v>
      </c>
      <c r="AB10" s="7" t="s">
        <v>8</v>
      </c>
      <c r="AC10" s="7"/>
      <c r="AD10" s="7"/>
      <c r="AE10" s="7"/>
      <c r="AF10" s="7" t="s">
        <v>6</v>
      </c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614</v>
      </c>
      <c r="B11" s="9">
        <v>1921</v>
      </c>
      <c r="C11" s="7">
        <v>2</v>
      </c>
      <c r="D11" s="7" t="s">
        <v>2855</v>
      </c>
      <c r="E11" s="7"/>
      <c r="F11" s="7">
        <v>1</v>
      </c>
      <c r="G11" t="s">
        <v>2710</v>
      </c>
      <c r="H11" s="7" t="s">
        <v>96</v>
      </c>
      <c r="I11">
        <v>6</v>
      </c>
      <c r="J11" t="s">
        <v>13</v>
      </c>
      <c r="K11">
        <v>1</v>
      </c>
      <c r="N11" s="7">
        <v>1</v>
      </c>
      <c r="T11">
        <v>58</v>
      </c>
      <c r="X11" s="7"/>
      <c r="Y11" s="7"/>
      <c r="Z11" s="7"/>
      <c r="AA11" t="s">
        <v>2712</v>
      </c>
      <c r="AB11" s="7" t="s">
        <v>2713</v>
      </c>
      <c r="AC11" s="7">
        <v>1</v>
      </c>
      <c r="AD11" s="7"/>
      <c r="AE11" s="7"/>
      <c r="AF11" s="7" t="s">
        <v>2711</v>
      </c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614</v>
      </c>
      <c r="B12" s="9">
        <v>1921</v>
      </c>
      <c r="C12" s="7">
        <v>2</v>
      </c>
      <c r="D12" s="7" t="s">
        <v>2855</v>
      </c>
      <c r="E12" s="7"/>
      <c r="F12" s="7"/>
      <c r="G12" t="s">
        <v>2710</v>
      </c>
      <c r="H12" s="7" t="s">
        <v>2714</v>
      </c>
      <c r="I12">
        <v>7</v>
      </c>
      <c r="J12">
        <v>1</v>
      </c>
      <c r="N12" s="7" t="s">
        <v>18</v>
      </c>
      <c r="O12">
        <v>1</v>
      </c>
      <c r="T12">
        <v>42</v>
      </c>
      <c r="X12" s="7">
        <f>SUM(X3:X11)</f>
        <v>0</v>
      </c>
      <c r="Y12" s="7">
        <f>SUM(Y3:Y11)</f>
        <v>0</v>
      </c>
      <c r="Z12" s="7">
        <f>SUM(Z3:Z11)</f>
        <v>0</v>
      </c>
      <c r="AA12" t="s">
        <v>50</v>
      </c>
      <c r="AB12" s="7" t="s">
        <v>20</v>
      </c>
      <c r="AC12" s="7"/>
      <c r="AD12" s="7"/>
      <c r="AE12" s="7"/>
      <c r="AF12" s="7" t="s">
        <v>778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614</v>
      </c>
      <c r="B13" s="9">
        <v>1921</v>
      </c>
      <c r="C13" s="7">
        <v>2</v>
      </c>
      <c r="D13" s="7" t="s">
        <v>2855</v>
      </c>
      <c r="E13" s="7"/>
      <c r="F13" s="7"/>
      <c r="G13" t="s">
        <v>2100</v>
      </c>
      <c r="H13" s="7" t="s">
        <v>336</v>
      </c>
      <c r="I13">
        <v>8</v>
      </c>
      <c r="J13">
        <v>1</v>
      </c>
      <c r="N13" s="7" t="s">
        <v>58</v>
      </c>
      <c r="R13">
        <v>1</v>
      </c>
      <c r="T13">
        <v>64</v>
      </c>
      <c r="X13" s="7"/>
      <c r="Y13" s="7"/>
      <c r="Z13" s="7"/>
      <c r="AA13" t="s">
        <v>20</v>
      </c>
      <c r="AB13" s="7" t="s">
        <v>20</v>
      </c>
      <c r="AC13" s="7"/>
      <c r="AD13" s="7"/>
      <c r="AE13" s="7"/>
      <c r="AF13" s="7" t="s">
        <v>2715</v>
      </c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614</v>
      </c>
      <c r="B14" s="9">
        <v>1921</v>
      </c>
      <c r="C14" s="7">
        <v>2</v>
      </c>
      <c r="D14" s="7" t="s">
        <v>2855</v>
      </c>
      <c r="E14" s="7"/>
      <c r="F14" s="7"/>
      <c r="G14" t="s">
        <v>1000</v>
      </c>
      <c r="H14" s="7" t="s">
        <v>339</v>
      </c>
      <c r="I14">
        <v>9</v>
      </c>
      <c r="J14">
        <v>1</v>
      </c>
      <c r="N14" s="7" t="s">
        <v>26</v>
      </c>
      <c r="S14">
        <v>1</v>
      </c>
      <c r="T14">
        <v>26</v>
      </c>
      <c r="X14" s="7"/>
      <c r="Y14" s="7"/>
      <c r="Z14" s="7"/>
      <c r="AA14" t="s">
        <v>344</v>
      </c>
      <c r="AB14" s="7" t="s">
        <v>29</v>
      </c>
      <c r="AC14" s="7">
        <v>1</v>
      </c>
      <c r="AD14" s="7"/>
      <c r="AE14" s="7"/>
      <c r="AF14" s="7" t="s">
        <v>452</v>
      </c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614</v>
      </c>
      <c r="B15" s="9">
        <v>1921</v>
      </c>
      <c r="C15" s="7">
        <v>2</v>
      </c>
      <c r="D15" s="7" t="s">
        <v>2855</v>
      </c>
      <c r="E15" s="11"/>
      <c r="F15" s="12"/>
      <c r="G15" t="s">
        <v>2716</v>
      </c>
      <c r="H15" s="12" t="s">
        <v>153</v>
      </c>
      <c r="I15">
        <v>10</v>
      </c>
      <c r="J15">
        <v>1</v>
      </c>
      <c r="N15" s="13" t="s">
        <v>26</v>
      </c>
      <c r="S15">
        <v>1</v>
      </c>
      <c r="T15">
        <v>39</v>
      </c>
      <c r="X15" s="12"/>
      <c r="Y15" s="12"/>
      <c r="Z15" s="12"/>
      <c r="AA15" t="s">
        <v>344</v>
      </c>
      <c r="AB15" s="12" t="s">
        <v>29</v>
      </c>
      <c r="AC15" s="12">
        <v>1</v>
      </c>
      <c r="AD15" s="12"/>
      <c r="AE15" s="7"/>
      <c r="AF15" s="12" t="s">
        <v>212</v>
      </c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 t="s">
        <v>614</v>
      </c>
      <c r="B16" s="9">
        <v>1921</v>
      </c>
      <c r="C16" s="7"/>
      <c r="D16" s="7" t="s">
        <v>2855</v>
      </c>
      <c r="E16" s="11"/>
      <c r="F16" s="12"/>
      <c r="H16" s="12">
        <v>5</v>
      </c>
      <c r="N16" s="15"/>
      <c r="X16" s="12"/>
      <c r="Y16" s="12"/>
      <c r="Z16" s="12"/>
      <c r="AB16" s="16"/>
      <c r="AC16" s="12"/>
      <c r="AD16" s="11"/>
      <c r="AE16" s="7"/>
      <c r="AF16" s="14"/>
      <c r="AG16" s="12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614</v>
      </c>
      <c r="B17" s="9">
        <v>1921</v>
      </c>
      <c r="C17" s="7"/>
      <c r="D17" s="7" t="s">
        <v>2855</v>
      </c>
      <c r="E17" s="7"/>
      <c r="F17" s="7"/>
      <c r="G17" s="7" t="s">
        <v>1</v>
      </c>
      <c r="H17" s="7" t="s">
        <v>0</v>
      </c>
      <c r="J17" s="7" t="s">
        <v>3</v>
      </c>
      <c r="N17" s="7" t="s">
        <v>2</v>
      </c>
      <c r="P17" s="7"/>
      <c r="T17" s="7" t="s">
        <v>5</v>
      </c>
      <c r="X17" s="7">
        <f>SUM(X3:X16)</f>
        <v>0</v>
      </c>
      <c r="Y17" s="7">
        <f>SUM(Y3:Y16)</f>
        <v>0</v>
      </c>
      <c r="Z17" s="7">
        <f>SUM(Z3:Z16)</f>
        <v>0</v>
      </c>
      <c r="AA17" s="7" t="s">
        <v>7</v>
      </c>
      <c r="AB17" s="7" t="s">
        <v>8</v>
      </c>
      <c r="AC17" s="7"/>
      <c r="AD17" s="7"/>
      <c r="AE17" s="7"/>
      <c r="AF17" s="7" t="s">
        <v>6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614</v>
      </c>
      <c r="B18" s="9">
        <v>1921</v>
      </c>
      <c r="C18" s="7">
        <v>3</v>
      </c>
      <c r="D18" s="7" t="s">
        <v>2855</v>
      </c>
      <c r="E18" s="7"/>
      <c r="F18" s="7">
        <v>3</v>
      </c>
      <c r="G18" s="7" t="s">
        <v>1424</v>
      </c>
      <c r="H18" s="7" t="s">
        <v>469</v>
      </c>
      <c r="I18">
        <v>11</v>
      </c>
      <c r="J18" s="7" t="s">
        <v>13</v>
      </c>
      <c r="K18">
        <v>1</v>
      </c>
      <c r="N18" s="7">
        <v>1</v>
      </c>
      <c r="P18" s="7"/>
      <c r="T18" s="6">
        <v>53</v>
      </c>
      <c r="X18" s="7"/>
      <c r="Y18" s="7"/>
      <c r="Z18" s="7"/>
      <c r="AA18" s="6" t="s">
        <v>2717</v>
      </c>
      <c r="AB18" s="6" t="s">
        <v>2718</v>
      </c>
      <c r="AC18" s="7">
        <v>1</v>
      </c>
      <c r="AD18" s="7"/>
      <c r="AE18" s="7"/>
      <c r="AF18" s="6">
        <v>1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614</v>
      </c>
      <c r="B19" s="9">
        <v>1921</v>
      </c>
      <c r="C19" s="7">
        <v>3</v>
      </c>
      <c r="D19" s="7" t="s">
        <v>2855</v>
      </c>
      <c r="E19" s="7"/>
      <c r="F19" s="7"/>
      <c r="G19" s="7" t="s">
        <v>1424</v>
      </c>
      <c r="H19" s="7" t="s">
        <v>2510</v>
      </c>
      <c r="I19">
        <v>12</v>
      </c>
      <c r="J19" s="7" t="s">
        <v>13</v>
      </c>
      <c r="K19">
        <v>1</v>
      </c>
      <c r="N19" s="7" t="s">
        <v>51</v>
      </c>
      <c r="P19" s="7"/>
      <c r="Q19">
        <v>1</v>
      </c>
      <c r="T19" s="6">
        <v>30</v>
      </c>
      <c r="X19" s="7"/>
      <c r="Y19" s="7"/>
      <c r="Z19" s="7"/>
      <c r="AA19" s="6" t="s">
        <v>2719</v>
      </c>
      <c r="AB19" s="6" t="s">
        <v>2720</v>
      </c>
      <c r="AC19" s="7">
        <v>1</v>
      </c>
      <c r="AD19" s="7"/>
      <c r="AE19" s="7"/>
      <c r="AF19" s="6">
        <v>1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614</v>
      </c>
      <c r="B20" s="9">
        <v>1921</v>
      </c>
      <c r="C20" s="7">
        <v>3</v>
      </c>
      <c r="D20" s="7" t="s">
        <v>2855</v>
      </c>
      <c r="E20" s="7"/>
      <c r="F20" s="7"/>
      <c r="G20" s="7" t="s">
        <v>1424</v>
      </c>
      <c r="H20" s="7" t="s">
        <v>2721</v>
      </c>
      <c r="I20">
        <v>13</v>
      </c>
      <c r="J20" s="7">
        <v>1</v>
      </c>
      <c r="N20" s="7" t="s">
        <v>22</v>
      </c>
      <c r="P20" s="7"/>
      <c r="R20">
        <v>1</v>
      </c>
      <c r="T20" s="6">
        <v>18</v>
      </c>
      <c r="X20" s="7"/>
      <c r="Y20" s="7"/>
      <c r="Z20" s="7"/>
      <c r="AA20" s="6" t="s">
        <v>20</v>
      </c>
      <c r="AB20" s="6" t="s">
        <v>20</v>
      </c>
      <c r="AC20" s="7"/>
      <c r="AD20" s="7"/>
      <c r="AE20" s="7"/>
      <c r="AF20" s="6">
        <v>1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614</v>
      </c>
      <c r="B21" s="9">
        <v>1921</v>
      </c>
      <c r="C21" s="7">
        <v>3</v>
      </c>
      <c r="D21" s="7" t="s">
        <v>2855</v>
      </c>
      <c r="E21" s="7"/>
      <c r="F21" s="5"/>
      <c r="G21" s="5" t="s">
        <v>2722</v>
      </c>
      <c r="H21" s="5" t="s">
        <v>366</v>
      </c>
      <c r="I21">
        <v>14</v>
      </c>
      <c r="J21" s="10">
        <v>1</v>
      </c>
      <c r="N21" s="5" t="s">
        <v>52</v>
      </c>
      <c r="P21" s="5"/>
      <c r="S21">
        <v>1</v>
      </c>
      <c r="T21" s="5">
        <v>40</v>
      </c>
      <c r="X21" s="7"/>
      <c r="Y21" s="7"/>
      <c r="Z21" s="7"/>
      <c r="AA21" s="5" t="s">
        <v>52</v>
      </c>
      <c r="AB21" s="5" t="s">
        <v>29</v>
      </c>
      <c r="AC21" s="7">
        <v>1</v>
      </c>
      <c r="AD21" s="7"/>
      <c r="AE21" s="7"/>
      <c r="AF21" s="5" t="s">
        <v>1280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614</v>
      </c>
      <c r="B22" s="9">
        <v>1921</v>
      </c>
      <c r="C22" s="7"/>
      <c r="D22" s="7" t="s">
        <v>2855</v>
      </c>
      <c r="E22" s="7"/>
      <c r="F22" s="7"/>
      <c r="G22" s="7"/>
      <c r="H22" s="7">
        <v>4</v>
      </c>
      <c r="J22" s="7"/>
      <c r="N22" s="7"/>
      <c r="P22" s="7"/>
      <c r="T22" s="6"/>
      <c r="X22" s="7"/>
      <c r="Y22" s="7"/>
      <c r="Z22" s="7"/>
      <c r="AA22" s="6"/>
      <c r="AB22" s="6"/>
      <c r="AC22" s="7"/>
      <c r="AD22" s="7"/>
      <c r="AE22" s="7"/>
      <c r="AF22" s="6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s="55" customFormat="1" ht="17.5" customHeight="1" x14ac:dyDescent="0.2">
      <c r="A23" s="226" t="s">
        <v>614</v>
      </c>
      <c r="B23" s="226">
        <v>1921</v>
      </c>
      <c r="C23" s="227">
        <v>4</v>
      </c>
      <c r="D23" s="227" t="s">
        <v>2855</v>
      </c>
      <c r="E23" s="227"/>
      <c r="F23" s="227">
        <v>3</v>
      </c>
      <c r="G23" s="227" t="s">
        <v>2723</v>
      </c>
      <c r="H23" s="227" t="s">
        <v>1987</v>
      </c>
      <c r="I23" s="55">
        <v>15</v>
      </c>
      <c r="J23" s="227">
        <v>1</v>
      </c>
      <c r="N23" s="227">
        <v>1</v>
      </c>
      <c r="P23" s="227"/>
      <c r="T23" s="229">
        <v>47</v>
      </c>
      <c r="X23" s="227"/>
      <c r="Y23" s="227"/>
      <c r="Z23" s="227"/>
      <c r="AA23" s="229" t="s">
        <v>256</v>
      </c>
      <c r="AB23" s="229"/>
      <c r="AC23" s="227"/>
      <c r="AD23" s="227"/>
      <c r="AE23" s="227"/>
      <c r="AF23" s="229" t="s">
        <v>261</v>
      </c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</row>
    <row r="24" spans="1:51" ht="17" customHeight="1" x14ac:dyDescent="0.2">
      <c r="A24" s="9" t="s">
        <v>614</v>
      </c>
      <c r="B24" s="9">
        <v>1921</v>
      </c>
      <c r="C24" s="7"/>
      <c r="D24" s="7" t="s">
        <v>2855</v>
      </c>
      <c r="E24" s="7"/>
      <c r="F24" s="7"/>
      <c r="G24" s="7"/>
      <c r="H24" s="7">
        <v>1</v>
      </c>
      <c r="J24" s="7"/>
      <c r="N24" s="7"/>
      <c r="P24" s="7"/>
      <c r="T24" s="6"/>
      <c r="X24" s="7"/>
      <c r="Y24" s="7"/>
      <c r="Z24" s="7"/>
      <c r="AA24" s="6"/>
      <c r="AB24" s="6"/>
      <c r="AC24" s="7"/>
      <c r="AD24" s="7"/>
      <c r="AE24" s="7"/>
      <c r="AF24" s="6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9" t="s">
        <v>614</v>
      </c>
      <c r="B25" s="9">
        <v>1921</v>
      </c>
      <c r="C25" s="7"/>
      <c r="D25" s="7" t="s">
        <v>2855</v>
      </c>
      <c r="E25" s="7"/>
      <c r="F25" s="7"/>
      <c r="G25" s="7" t="s">
        <v>1</v>
      </c>
      <c r="H25" s="7" t="s">
        <v>0</v>
      </c>
      <c r="J25" s="7" t="s">
        <v>3</v>
      </c>
      <c r="N25" s="7" t="s">
        <v>2</v>
      </c>
      <c r="P25" s="7"/>
      <c r="T25" s="6" t="s">
        <v>5</v>
      </c>
      <c r="X25" s="7"/>
      <c r="Y25" s="7"/>
      <c r="Z25" s="7"/>
      <c r="AA25" s="6" t="s">
        <v>7</v>
      </c>
      <c r="AB25" s="6" t="s">
        <v>8</v>
      </c>
      <c r="AC25" s="7"/>
      <c r="AD25" s="7"/>
      <c r="AE25" s="7"/>
      <c r="AF25" s="6" t="s">
        <v>6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614</v>
      </c>
      <c r="B26" s="9">
        <v>1921</v>
      </c>
      <c r="C26" s="7">
        <v>5</v>
      </c>
      <c r="D26" s="7" t="s">
        <v>2855</v>
      </c>
      <c r="E26" s="7"/>
      <c r="F26" s="7">
        <v>5</v>
      </c>
      <c r="G26" s="7" t="s">
        <v>2724</v>
      </c>
      <c r="H26" s="7" t="s">
        <v>444</v>
      </c>
      <c r="I26">
        <v>16</v>
      </c>
      <c r="J26" s="7" t="s">
        <v>13</v>
      </c>
      <c r="K26">
        <v>1</v>
      </c>
      <c r="N26" s="7">
        <v>1</v>
      </c>
      <c r="P26" s="7"/>
      <c r="T26" s="6">
        <v>78</v>
      </c>
      <c r="X26" s="7"/>
      <c r="Y26" s="7"/>
      <c r="Z26" s="7"/>
      <c r="AA26" s="6" t="s">
        <v>2725</v>
      </c>
      <c r="AB26" s="6" t="s">
        <v>20</v>
      </c>
      <c r="AC26" s="7"/>
      <c r="AD26" s="7"/>
      <c r="AE26" s="7"/>
      <c r="AF26" s="6">
        <v>1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614</v>
      </c>
      <c r="B27" s="9">
        <v>1921</v>
      </c>
      <c r="C27" s="7">
        <v>5</v>
      </c>
      <c r="D27" s="7" t="s">
        <v>2855</v>
      </c>
      <c r="E27" s="7"/>
      <c r="F27" s="7"/>
      <c r="G27" s="7" t="s">
        <v>2724</v>
      </c>
      <c r="H27" s="7" t="s">
        <v>1912</v>
      </c>
      <c r="I27">
        <v>17</v>
      </c>
      <c r="J27" s="7">
        <v>1</v>
      </c>
      <c r="N27" s="7" t="s">
        <v>18</v>
      </c>
      <c r="O27">
        <v>1</v>
      </c>
      <c r="P27" s="7"/>
      <c r="T27" s="6">
        <v>72</v>
      </c>
      <c r="X27" s="7"/>
      <c r="Y27" s="7"/>
      <c r="Z27" s="7"/>
      <c r="AA27" s="6" t="s">
        <v>50</v>
      </c>
      <c r="AB27" s="6" t="s">
        <v>20</v>
      </c>
      <c r="AC27" s="7"/>
      <c r="AD27" s="7"/>
      <c r="AE27" s="7"/>
      <c r="AF27" s="6">
        <v>1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614</v>
      </c>
      <c r="B28" s="9">
        <v>1921</v>
      </c>
      <c r="C28" s="7">
        <v>5</v>
      </c>
      <c r="D28" s="7" t="s">
        <v>2855</v>
      </c>
      <c r="E28" s="7"/>
      <c r="F28" s="7"/>
      <c r="G28" s="7" t="s">
        <v>2727</v>
      </c>
      <c r="H28" s="7" t="s">
        <v>2726</v>
      </c>
      <c r="I28">
        <v>18</v>
      </c>
      <c r="J28" s="7">
        <v>1</v>
      </c>
      <c r="N28" s="7" t="s">
        <v>22</v>
      </c>
      <c r="P28" s="7">
        <v>1</v>
      </c>
      <c r="T28" s="6">
        <v>48</v>
      </c>
      <c r="X28" s="7"/>
      <c r="Y28" s="7"/>
      <c r="Z28" s="7"/>
      <c r="AA28" s="6" t="s">
        <v>20</v>
      </c>
      <c r="AB28" s="6" t="s">
        <v>20</v>
      </c>
      <c r="AC28" s="7"/>
      <c r="AD28" s="7"/>
      <c r="AE28" s="7"/>
      <c r="AF28" s="6">
        <v>1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614</v>
      </c>
      <c r="B29" s="9">
        <v>1921</v>
      </c>
      <c r="C29" s="7">
        <v>5</v>
      </c>
      <c r="D29" s="7" t="s">
        <v>2855</v>
      </c>
      <c r="E29" s="7"/>
      <c r="F29" s="7"/>
      <c r="G29" s="7" t="s">
        <v>2727</v>
      </c>
      <c r="H29" s="7" t="s">
        <v>2728</v>
      </c>
      <c r="I29">
        <v>19</v>
      </c>
      <c r="J29" s="7" t="s">
        <v>13</v>
      </c>
      <c r="K29">
        <v>1</v>
      </c>
      <c r="N29" s="7" t="s">
        <v>1046</v>
      </c>
      <c r="P29" s="7"/>
      <c r="R29">
        <v>1</v>
      </c>
      <c r="T29" s="7">
        <v>19</v>
      </c>
      <c r="X29" s="7"/>
      <c r="Y29" s="7"/>
      <c r="Z29" s="7"/>
      <c r="AA29" s="7" t="s">
        <v>2729</v>
      </c>
      <c r="AB29" s="7" t="s">
        <v>2730</v>
      </c>
      <c r="AC29" s="7">
        <v>1</v>
      </c>
      <c r="AD29" s="7"/>
      <c r="AE29" s="7"/>
      <c r="AF29" s="7" t="s">
        <v>176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614</v>
      </c>
      <c r="B30" s="9">
        <v>1921</v>
      </c>
      <c r="C30" s="7">
        <v>5</v>
      </c>
      <c r="D30" s="7" t="s">
        <v>2855</v>
      </c>
      <c r="E30" s="7"/>
      <c r="F30" s="7"/>
      <c r="G30" s="7" t="s">
        <v>2727</v>
      </c>
      <c r="H30" s="7" t="s">
        <v>2378</v>
      </c>
      <c r="I30">
        <v>20</v>
      </c>
      <c r="J30" s="7">
        <v>1</v>
      </c>
      <c r="N30" s="7" t="s">
        <v>26</v>
      </c>
      <c r="P30" s="7"/>
      <c r="S30">
        <v>1</v>
      </c>
      <c r="T30" s="6">
        <v>43</v>
      </c>
      <c r="X30" s="7"/>
      <c r="Y30" s="7"/>
      <c r="Z30" s="7"/>
      <c r="AA30" s="6" t="s">
        <v>26</v>
      </c>
      <c r="AB30" s="6" t="s">
        <v>29</v>
      </c>
      <c r="AC30" s="7">
        <v>1</v>
      </c>
      <c r="AD30" s="7"/>
      <c r="AE30" s="7"/>
      <c r="AF30" s="6" t="s">
        <v>2731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614</v>
      </c>
      <c r="B31" s="9">
        <v>1921</v>
      </c>
      <c r="C31" s="7">
        <v>5</v>
      </c>
      <c r="D31" s="7" t="s">
        <v>2855</v>
      </c>
      <c r="E31" s="7"/>
      <c r="F31" s="7"/>
      <c r="G31" s="7" t="s">
        <v>1984</v>
      </c>
      <c r="H31" s="7" t="s">
        <v>2732</v>
      </c>
      <c r="I31">
        <v>21</v>
      </c>
      <c r="J31" s="7">
        <v>1</v>
      </c>
      <c r="N31" s="7" t="s">
        <v>26</v>
      </c>
      <c r="P31" s="7"/>
      <c r="S31">
        <v>1</v>
      </c>
      <c r="T31" s="6">
        <v>24</v>
      </c>
      <c r="X31" s="7"/>
      <c r="Y31" s="7"/>
      <c r="Z31" s="7"/>
      <c r="AA31" s="6" t="s">
        <v>26</v>
      </c>
      <c r="AB31" s="6" t="s">
        <v>29</v>
      </c>
      <c r="AC31" s="7">
        <v>1</v>
      </c>
      <c r="AD31" s="7"/>
      <c r="AE31" s="7"/>
      <c r="AF31" s="6" t="s">
        <v>2733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9" t="s">
        <v>614</v>
      </c>
      <c r="B32" s="9">
        <v>1921</v>
      </c>
      <c r="C32" s="7">
        <v>5</v>
      </c>
      <c r="D32" s="7" t="s">
        <v>2855</v>
      </c>
      <c r="E32" s="7"/>
      <c r="F32" s="12"/>
      <c r="G32" s="12" t="s">
        <v>2734</v>
      </c>
      <c r="H32" s="12" t="s">
        <v>345</v>
      </c>
      <c r="I32">
        <v>22</v>
      </c>
      <c r="J32" s="13">
        <v>1</v>
      </c>
      <c r="N32" s="12" t="s">
        <v>26</v>
      </c>
      <c r="P32" s="12"/>
      <c r="S32">
        <v>1</v>
      </c>
      <c r="T32" s="12">
        <v>17</v>
      </c>
      <c r="X32" s="7"/>
      <c r="Y32" s="7"/>
      <c r="Z32" s="7"/>
      <c r="AA32" s="12" t="s">
        <v>26</v>
      </c>
      <c r="AB32" s="12" t="s">
        <v>29</v>
      </c>
      <c r="AC32" s="7">
        <v>1</v>
      </c>
      <c r="AD32" s="7"/>
      <c r="AE32" s="7"/>
      <c r="AF32" s="12" t="s">
        <v>212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9" t="s">
        <v>614</v>
      </c>
      <c r="B33" s="9">
        <v>1921</v>
      </c>
      <c r="C33" s="7">
        <v>5</v>
      </c>
      <c r="D33" s="7" t="s">
        <v>2855</v>
      </c>
      <c r="E33" s="7"/>
      <c r="F33" s="12"/>
      <c r="G33" s="12" t="s">
        <v>328</v>
      </c>
      <c r="H33" s="12" t="s">
        <v>336</v>
      </c>
      <c r="I33">
        <v>23</v>
      </c>
      <c r="J33" s="15">
        <v>1</v>
      </c>
      <c r="N33" s="14" t="s">
        <v>26</v>
      </c>
      <c r="P33" s="16"/>
      <c r="S33">
        <v>1</v>
      </c>
      <c r="T33" s="12">
        <v>15</v>
      </c>
      <c r="X33" s="7"/>
      <c r="Y33" s="7"/>
      <c r="Z33" s="7"/>
      <c r="AA33" s="12" t="s">
        <v>26</v>
      </c>
      <c r="AB33" s="14" t="s">
        <v>29</v>
      </c>
      <c r="AC33" s="7">
        <v>1</v>
      </c>
      <c r="AD33" s="7"/>
      <c r="AE33" s="7"/>
      <c r="AF33" s="12">
        <v>1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9" t="s">
        <v>614</v>
      </c>
      <c r="B34" s="9">
        <v>1921</v>
      </c>
      <c r="C34" s="7"/>
      <c r="D34" s="7" t="s">
        <v>2855</v>
      </c>
      <c r="E34" s="7"/>
      <c r="F34" s="7"/>
      <c r="G34" s="21"/>
      <c r="H34" s="7">
        <v>8</v>
      </c>
      <c r="J34" s="7"/>
      <c r="N34" s="7"/>
      <c r="P34" s="7"/>
      <c r="T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9" t="s">
        <v>614</v>
      </c>
      <c r="B35" s="9">
        <v>1921</v>
      </c>
      <c r="C35" s="7"/>
      <c r="D35" s="7" t="s">
        <v>2855</v>
      </c>
      <c r="E35" s="7"/>
      <c r="F35" s="7"/>
      <c r="G35" s="7" t="s">
        <v>1</v>
      </c>
      <c r="H35" s="7" t="s">
        <v>0</v>
      </c>
      <c r="J35" s="7" t="s">
        <v>3</v>
      </c>
      <c r="N35" s="7" t="s">
        <v>2</v>
      </c>
      <c r="P35" s="7"/>
      <c r="T35" s="7" t="s">
        <v>5</v>
      </c>
      <c r="X35" s="7"/>
      <c r="Y35" s="7"/>
      <c r="Z35" s="7"/>
      <c r="AA35" s="7" t="s">
        <v>7</v>
      </c>
      <c r="AB35" s="7" t="s">
        <v>8</v>
      </c>
      <c r="AC35" s="7"/>
      <c r="AD35" s="7"/>
      <c r="AE35" s="7"/>
      <c r="AF35" s="7" t="s">
        <v>6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9" t="s">
        <v>614</v>
      </c>
      <c r="B36" s="9">
        <v>1921</v>
      </c>
      <c r="C36" s="7">
        <v>6</v>
      </c>
      <c r="D36" s="7" t="s">
        <v>2855</v>
      </c>
      <c r="E36" s="7"/>
      <c r="F36" s="7">
        <v>7</v>
      </c>
      <c r="G36" s="7" t="s">
        <v>11</v>
      </c>
      <c r="H36" s="7" t="s">
        <v>902</v>
      </c>
      <c r="I36">
        <v>24</v>
      </c>
      <c r="J36" s="7" t="s">
        <v>13</v>
      </c>
      <c r="K36">
        <v>1</v>
      </c>
      <c r="N36" s="7">
        <v>1</v>
      </c>
      <c r="P36" s="7"/>
      <c r="T36" s="7">
        <v>70</v>
      </c>
      <c r="X36" s="7"/>
      <c r="Y36" s="7"/>
      <c r="Z36" s="7"/>
      <c r="AA36" s="7" t="s">
        <v>15</v>
      </c>
      <c r="AB36" s="7" t="s">
        <v>16</v>
      </c>
      <c r="AC36" s="22">
        <v>1</v>
      </c>
      <c r="AD36" s="22"/>
      <c r="AE36" s="7"/>
      <c r="AF36" s="7" t="s">
        <v>972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9" t="s">
        <v>614</v>
      </c>
      <c r="B37" s="9">
        <v>1921</v>
      </c>
      <c r="C37" s="7">
        <v>6</v>
      </c>
      <c r="D37" s="7" t="s">
        <v>2855</v>
      </c>
      <c r="E37" s="7"/>
      <c r="F37" s="7"/>
      <c r="G37" s="7" t="s">
        <v>11</v>
      </c>
      <c r="H37" s="7" t="s">
        <v>2735</v>
      </c>
      <c r="I37">
        <v>25</v>
      </c>
      <c r="J37" s="7">
        <v>1</v>
      </c>
      <c r="N37" s="7" t="s">
        <v>22</v>
      </c>
      <c r="P37" s="7">
        <v>1</v>
      </c>
      <c r="T37" s="7">
        <v>45</v>
      </c>
      <c r="X37" s="7"/>
      <c r="Y37" s="7"/>
      <c r="Z37" s="7"/>
      <c r="AA37" s="7" t="s">
        <v>50</v>
      </c>
      <c r="AB37" s="7" t="s">
        <v>20</v>
      </c>
      <c r="AC37" s="7"/>
      <c r="AD37" s="7"/>
      <c r="AE37" s="7"/>
      <c r="AF37" s="7">
        <v>1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">
      <c r="A38" s="9" t="s">
        <v>614</v>
      </c>
      <c r="B38" s="9">
        <v>1921</v>
      </c>
      <c r="C38" s="7">
        <v>6</v>
      </c>
      <c r="D38" s="7" t="s">
        <v>2855</v>
      </c>
      <c r="G38" t="s">
        <v>11</v>
      </c>
      <c r="H38" t="s">
        <v>2736</v>
      </c>
      <c r="I38">
        <v>26</v>
      </c>
      <c r="J38">
        <v>1</v>
      </c>
      <c r="N38" t="s">
        <v>22</v>
      </c>
      <c r="P38">
        <v>1</v>
      </c>
      <c r="T38">
        <v>35</v>
      </c>
      <c r="AA38" t="s">
        <v>2604</v>
      </c>
      <c r="AB38" t="s">
        <v>29</v>
      </c>
      <c r="AC38">
        <v>1</v>
      </c>
      <c r="AF38">
        <v>1</v>
      </c>
    </row>
    <row r="39" spans="1:51" x14ac:dyDescent="0.2">
      <c r="A39" s="9" t="s">
        <v>614</v>
      </c>
      <c r="B39" s="9">
        <v>1921</v>
      </c>
      <c r="C39" s="7">
        <v>6</v>
      </c>
      <c r="D39" s="7" t="s">
        <v>2855</v>
      </c>
      <c r="G39" t="s">
        <v>11</v>
      </c>
      <c r="H39" t="s">
        <v>2737</v>
      </c>
      <c r="I39">
        <v>27</v>
      </c>
      <c r="J39" t="s">
        <v>13</v>
      </c>
      <c r="K39">
        <v>1</v>
      </c>
      <c r="N39" t="s">
        <v>58</v>
      </c>
      <c r="R39">
        <v>1</v>
      </c>
      <c r="T39">
        <v>40</v>
      </c>
      <c r="AA39" t="s">
        <v>2738</v>
      </c>
      <c r="AB39" t="s">
        <v>2739</v>
      </c>
      <c r="AC39">
        <v>1</v>
      </c>
      <c r="AF39">
        <v>1</v>
      </c>
    </row>
    <row r="40" spans="1:51" x14ac:dyDescent="0.2">
      <c r="A40" s="9" t="s">
        <v>614</v>
      </c>
      <c r="B40" s="9">
        <v>1921</v>
      </c>
      <c r="C40" s="7">
        <v>6</v>
      </c>
      <c r="D40" s="7" t="s">
        <v>2855</v>
      </c>
      <c r="G40" t="s">
        <v>11</v>
      </c>
      <c r="H40" t="s">
        <v>109</v>
      </c>
      <c r="I40">
        <v>28</v>
      </c>
      <c r="J40">
        <v>1</v>
      </c>
      <c r="N40" t="s">
        <v>58</v>
      </c>
      <c r="R40">
        <v>1</v>
      </c>
      <c r="T40">
        <v>37</v>
      </c>
      <c r="AA40" t="s">
        <v>20</v>
      </c>
      <c r="AB40" t="s">
        <v>20</v>
      </c>
      <c r="AF40" t="s">
        <v>20</v>
      </c>
    </row>
    <row r="41" spans="1:51" x14ac:dyDescent="0.2">
      <c r="A41" s="9" t="s">
        <v>614</v>
      </c>
      <c r="B41" s="9">
        <v>1921</v>
      </c>
      <c r="C41" s="7">
        <v>6</v>
      </c>
      <c r="D41" s="7" t="s">
        <v>2855</v>
      </c>
      <c r="G41" t="s">
        <v>11</v>
      </c>
      <c r="H41" t="s">
        <v>2740</v>
      </c>
      <c r="I41">
        <v>29</v>
      </c>
      <c r="M41">
        <v>1</v>
      </c>
      <c r="N41" t="s">
        <v>58</v>
      </c>
      <c r="R41">
        <v>1</v>
      </c>
      <c r="T41">
        <v>9</v>
      </c>
      <c r="AA41" t="s">
        <v>20</v>
      </c>
      <c r="AB41" t="s">
        <v>20</v>
      </c>
      <c r="AF41" t="s">
        <v>2741</v>
      </c>
    </row>
    <row r="42" spans="1:51" x14ac:dyDescent="0.2">
      <c r="A42" s="9" t="s">
        <v>614</v>
      </c>
      <c r="B42" s="9">
        <v>1921</v>
      </c>
      <c r="C42" s="7">
        <v>6</v>
      </c>
      <c r="D42" s="7" t="s">
        <v>2855</v>
      </c>
      <c r="G42" t="s">
        <v>11</v>
      </c>
      <c r="H42" t="s">
        <v>2742</v>
      </c>
      <c r="I42">
        <v>30</v>
      </c>
      <c r="L42">
        <v>1</v>
      </c>
      <c r="N42" t="s">
        <v>58</v>
      </c>
      <c r="R42">
        <v>1</v>
      </c>
      <c r="T42">
        <v>11</v>
      </c>
      <c r="AA42" t="s">
        <v>20</v>
      </c>
      <c r="AB42" t="s">
        <v>20</v>
      </c>
      <c r="AF42" t="s">
        <v>2741</v>
      </c>
    </row>
    <row r="43" spans="1:51" x14ac:dyDescent="0.2">
      <c r="A43" s="9" t="s">
        <v>614</v>
      </c>
      <c r="B43" s="9">
        <v>1921</v>
      </c>
      <c r="C43" s="7">
        <v>6</v>
      </c>
      <c r="D43" s="7" t="s">
        <v>2855</v>
      </c>
      <c r="G43" t="s">
        <v>11</v>
      </c>
      <c r="H43" t="s">
        <v>2743</v>
      </c>
      <c r="I43">
        <v>31</v>
      </c>
      <c r="L43">
        <v>1</v>
      </c>
      <c r="N43" t="s">
        <v>58</v>
      </c>
      <c r="R43">
        <v>1</v>
      </c>
      <c r="T43">
        <v>1</v>
      </c>
      <c r="AA43" t="s">
        <v>20</v>
      </c>
      <c r="AB43" t="s">
        <v>20</v>
      </c>
      <c r="AF43" t="s">
        <v>2741</v>
      </c>
    </row>
    <row r="44" spans="1:51" x14ac:dyDescent="0.2">
      <c r="A44" s="9" t="s">
        <v>614</v>
      </c>
      <c r="B44" s="9">
        <v>1921</v>
      </c>
      <c r="C44" s="7">
        <v>6</v>
      </c>
      <c r="D44" s="7" t="s">
        <v>2855</v>
      </c>
      <c r="G44" t="s">
        <v>2744</v>
      </c>
      <c r="H44" t="s">
        <v>2390</v>
      </c>
      <c r="I44">
        <v>32</v>
      </c>
      <c r="J44" t="s">
        <v>13</v>
      </c>
      <c r="K44">
        <v>1</v>
      </c>
      <c r="N44" t="s">
        <v>26</v>
      </c>
      <c r="S44">
        <v>1</v>
      </c>
      <c r="T44">
        <v>66</v>
      </c>
      <c r="AA44" t="s">
        <v>2745</v>
      </c>
      <c r="AB44" t="s">
        <v>29</v>
      </c>
      <c r="AC44">
        <v>1</v>
      </c>
      <c r="AF44" t="s">
        <v>778</v>
      </c>
    </row>
    <row r="45" spans="1:51" x14ac:dyDescent="0.2">
      <c r="A45" s="9" t="s">
        <v>614</v>
      </c>
      <c r="B45" s="9">
        <v>1921</v>
      </c>
      <c r="C45" s="7">
        <v>6</v>
      </c>
      <c r="D45" s="7" t="s">
        <v>2855</v>
      </c>
      <c r="G45" t="s">
        <v>2746</v>
      </c>
      <c r="H45" t="s">
        <v>70</v>
      </c>
      <c r="I45">
        <v>33</v>
      </c>
      <c r="J45">
        <v>1</v>
      </c>
      <c r="N45" t="s">
        <v>26</v>
      </c>
      <c r="S45">
        <v>1</v>
      </c>
      <c r="T45">
        <v>25</v>
      </c>
      <c r="AA45" t="s">
        <v>2747</v>
      </c>
      <c r="AB45" t="s">
        <v>29</v>
      </c>
      <c r="AC45">
        <v>1</v>
      </c>
      <c r="AF45">
        <v>1</v>
      </c>
    </row>
    <row r="46" spans="1:51" x14ac:dyDescent="0.2">
      <c r="A46" s="9" t="s">
        <v>614</v>
      </c>
      <c r="B46" s="9">
        <v>1921</v>
      </c>
      <c r="C46" s="7">
        <v>6</v>
      </c>
      <c r="D46" s="7" t="s">
        <v>2855</v>
      </c>
      <c r="G46" t="s">
        <v>2748</v>
      </c>
      <c r="H46" t="s">
        <v>704</v>
      </c>
      <c r="I46">
        <v>34</v>
      </c>
      <c r="J46">
        <v>1</v>
      </c>
      <c r="N46" t="s">
        <v>26</v>
      </c>
      <c r="S46">
        <v>1</v>
      </c>
      <c r="T46">
        <v>33</v>
      </c>
      <c r="AA46" t="s">
        <v>33</v>
      </c>
      <c r="AB46" t="s">
        <v>29</v>
      </c>
      <c r="AC46">
        <v>1</v>
      </c>
      <c r="AF46" t="s">
        <v>212</v>
      </c>
    </row>
    <row r="47" spans="1:51" x14ac:dyDescent="0.2">
      <c r="A47" s="9" t="s">
        <v>614</v>
      </c>
      <c r="B47" s="9">
        <v>1921</v>
      </c>
      <c r="C47" s="7">
        <v>6</v>
      </c>
      <c r="D47" s="7" t="s">
        <v>2855</v>
      </c>
      <c r="G47" t="s">
        <v>2750</v>
      </c>
      <c r="H47" t="s">
        <v>2749</v>
      </c>
      <c r="I47">
        <v>35</v>
      </c>
      <c r="J47">
        <v>1</v>
      </c>
      <c r="N47" t="s">
        <v>26</v>
      </c>
      <c r="S47">
        <v>1</v>
      </c>
      <c r="T47">
        <v>24</v>
      </c>
      <c r="AA47" t="s">
        <v>28</v>
      </c>
      <c r="AB47" t="s">
        <v>29</v>
      </c>
      <c r="AC47">
        <v>1</v>
      </c>
      <c r="AF47" t="s">
        <v>2015</v>
      </c>
    </row>
    <row r="48" spans="1:51" x14ac:dyDescent="0.2">
      <c r="A48" s="9" t="s">
        <v>614</v>
      </c>
      <c r="B48" s="9">
        <v>1921</v>
      </c>
      <c r="C48" s="7">
        <v>6</v>
      </c>
      <c r="D48" s="7" t="s">
        <v>2855</v>
      </c>
      <c r="G48" t="s">
        <v>2750</v>
      </c>
      <c r="H48" t="s">
        <v>1344</v>
      </c>
      <c r="I48">
        <v>36</v>
      </c>
      <c r="J48">
        <v>1</v>
      </c>
      <c r="N48" t="s">
        <v>26</v>
      </c>
      <c r="S48">
        <v>1</v>
      </c>
      <c r="T48">
        <v>18</v>
      </c>
      <c r="AA48" t="s">
        <v>93</v>
      </c>
      <c r="AB48" t="s">
        <v>29</v>
      </c>
      <c r="AC48">
        <v>1</v>
      </c>
      <c r="AF48" t="s">
        <v>368</v>
      </c>
    </row>
    <row r="49" spans="1:32" x14ac:dyDescent="0.2">
      <c r="A49" s="9" t="s">
        <v>614</v>
      </c>
      <c r="B49" s="9">
        <v>1921</v>
      </c>
      <c r="C49" s="7"/>
      <c r="D49" s="7" t="s">
        <v>2855</v>
      </c>
      <c r="H49">
        <v>13</v>
      </c>
    </row>
    <row r="50" spans="1:32" x14ac:dyDescent="0.2">
      <c r="A50" s="9" t="s">
        <v>614</v>
      </c>
      <c r="B50" s="9">
        <v>1921</v>
      </c>
      <c r="C50" s="7"/>
      <c r="D50" s="7" t="s">
        <v>2855</v>
      </c>
      <c r="G50" t="s">
        <v>1</v>
      </c>
      <c r="H50" t="s">
        <v>0</v>
      </c>
      <c r="J50" t="s">
        <v>3</v>
      </c>
      <c r="N50" t="s">
        <v>2</v>
      </c>
      <c r="T50" t="s">
        <v>5</v>
      </c>
      <c r="AA50" t="s">
        <v>7</v>
      </c>
      <c r="AB50" t="s">
        <v>8</v>
      </c>
      <c r="AF50" t="s">
        <v>6</v>
      </c>
    </row>
    <row r="51" spans="1:32" x14ac:dyDescent="0.2">
      <c r="A51" s="9" t="s">
        <v>614</v>
      </c>
      <c r="B51" s="9">
        <v>1921</v>
      </c>
      <c r="C51" s="7">
        <v>7</v>
      </c>
      <c r="D51" s="7" t="s">
        <v>2855</v>
      </c>
      <c r="F51">
        <v>11</v>
      </c>
      <c r="G51" t="s">
        <v>1378</v>
      </c>
      <c r="H51" t="s">
        <v>2751</v>
      </c>
      <c r="I51">
        <v>37</v>
      </c>
      <c r="J51" t="s">
        <v>13</v>
      </c>
      <c r="K51">
        <v>1</v>
      </c>
      <c r="N51">
        <v>1</v>
      </c>
      <c r="T51">
        <v>53</v>
      </c>
      <c r="AA51" t="s">
        <v>2752</v>
      </c>
      <c r="AB51" t="s">
        <v>8</v>
      </c>
      <c r="AC51">
        <v>1</v>
      </c>
      <c r="AD51">
        <v>1</v>
      </c>
      <c r="AF51">
        <v>1</v>
      </c>
    </row>
    <row r="52" spans="1:32" x14ac:dyDescent="0.2">
      <c r="A52" s="9" t="s">
        <v>614</v>
      </c>
      <c r="B52" s="9">
        <v>1921</v>
      </c>
      <c r="C52" s="7">
        <v>7</v>
      </c>
      <c r="D52" s="7" t="s">
        <v>2855</v>
      </c>
      <c r="G52" t="s">
        <v>2753</v>
      </c>
      <c r="H52" t="s">
        <v>1510</v>
      </c>
      <c r="I52">
        <v>38</v>
      </c>
      <c r="J52">
        <v>1</v>
      </c>
      <c r="N52" t="s">
        <v>52</v>
      </c>
      <c r="S52">
        <v>1</v>
      </c>
      <c r="T52">
        <v>60</v>
      </c>
      <c r="AA52" t="s">
        <v>407</v>
      </c>
      <c r="AB52" t="s">
        <v>29</v>
      </c>
      <c r="AC52">
        <v>1</v>
      </c>
      <c r="AF52" t="s">
        <v>368</v>
      </c>
    </row>
    <row r="53" spans="1:32" x14ac:dyDescent="0.2">
      <c r="A53" s="9" t="s">
        <v>614</v>
      </c>
      <c r="B53" s="9">
        <v>1921</v>
      </c>
      <c r="C53" s="7">
        <v>7</v>
      </c>
      <c r="D53" s="7" t="s">
        <v>2855</v>
      </c>
      <c r="G53" t="s">
        <v>2755</v>
      </c>
      <c r="H53" t="s">
        <v>2754</v>
      </c>
      <c r="I53">
        <v>39</v>
      </c>
      <c r="J53">
        <v>1</v>
      </c>
      <c r="N53" t="s">
        <v>28</v>
      </c>
      <c r="S53">
        <v>1</v>
      </c>
      <c r="T53">
        <v>32</v>
      </c>
      <c r="AA53" t="s">
        <v>137</v>
      </c>
      <c r="AB53" t="s">
        <v>29</v>
      </c>
      <c r="AC53">
        <v>1</v>
      </c>
      <c r="AF53" t="s">
        <v>2756</v>
      </c>
    </row>
    <row r="54" spans="1:32" x14ac:dyDescent="0.2">
      <c r="A54" s="9" t="s">
        <v>614</v>
      </c>
      <c r="B54" s="9">
        <v>1921</v>
      </c>
      <c r="C54" s="7"/>
      <c r="D54" s="7" t="s">
        <v>2855</v>
      </c>
      <c r="H54">
        <v>3</v>
      </c>
    </row>
    <row r="55" spans="1:32" x14ac:dyDescent="0.2">
      <c r="A55" s="9" t="s">
        <v>614</v>
      </c>
      <c r="B55" s="9">
        <v>1921</v>
      </c>
      <c r="C55" s="7"/>
      <c r="D55" s="7" t="s">
        <v>2855</v>
      </c>
      <c r="G55" t="s">
        <v>1</v>
      </c>
      <c r="H55" t="s">
        <v>0</v>
      </c>
      <c r="J55" t="s">
        <v>3</v>
      </c>
      <c r="N55" t="s">
        <v>2</v>
      </c>
      <c r="T55" t="s">
        <v>5</v>
      </c>
      <c r="AA55" t="s">
        <v>7</v>
      </c>
      <c r="AB55" t="s">
        <v>8</v>
      </c>
      <c r="AF55" t="s">
        <v>6</v>
      </c>
    </row>
    <row r="56" spans="1:32" s="55" customFormat="1" x14ac:dyDescent="0.2">
      <c r="A56" s="226" t="s">
        <v>614</v>
      </c>
      <c r="B56" s="226">
        <v>1921</v>
      </c>
      <c r="C56" s="227">
        <v>8</v>
      </c>
      <c r="D56" s="227" t="s">
        <v>2855</v>
      </c>
      <c r="F56" s="55">
        <v>13</v>
      </c>
      <c r="G56" s="55" t="s">
        <v>2757</v>
      </c>
      <c r="H56" s="55" t="s">
        <v>318</v>
      </c>
      <c r="I56" s="55">
        <v>40</v>
      </c>
      <c r="J56" s="55">
        <v>1</v>
      </c>
      <c r="N56" s="55">
        <v>1</v>
      </c>
      <c r="T56" s="55">
        <v>59</v>
      </c>
      <c r="AA56" s="55" t="s">
        <v>50</v>
      </c>
      <c r="AB56" s="55" t="s">
        <v>20</v>
      </c>
      <c r="AF56" s="55" t="s">
        <v>2758</v>
      </c>
    </row>
    <row r="57" spans="1:32" x14ac:dyDescent="0.2">
      <c r="A57" s="9" t="s">
        <v>614</v>
      </c>
      <c r="B57" s="9">
        <v>1921</v>
      </c>
      <c r="C57" s="7">
        <v>8</v>
      </c>
      <c r="D57" s="7" t="s">
        <v>2855</v>
      </c>
      <c r="G57" t="s">
        <v>2760</v>
      </c>
      <c r="H57" t="s">
        <v>2759</v>
      </c>
      <c r="I57">
        <v>41</v>
      </c>
      <c r="J57">
        <v>1</v>
      </c>
      <c r="N57" t="s">
        <v>58</v>
      </c>
      <c r="R57">
        <v>1</v>
      </c>
      <c r="T57">
        <v>29</v>
      </c>
      <c r="AA57" t="s">
        <v>20</v>
      </c>
      <c r="AB57" t="s">
        <v>20</v>
      </c>
      <c r="AF57" t="s">
        <v>20</v>
      </c>
    </row>
    <row r="58" spans="1:32" x14ac:dyDescent="0.2">
      <c r="A58" s="9" t="s">
        <v>614</v>
      </c>
      <c r="B58" s="9">
        <v>1921</v>
      </c>
      <c r="C58" s="7">
        <v>8</v>
      </c>
      <c r="D58" s="7" t="s">
        <v>2855</v>
      </c>
      <c r="G58" t="s">
        <v>2761</v>
      </c>
      <c r="H58" t="s">
        <v>398</v>
      </c>
      <c r="I58">
        <v>42</v>
      </c>
      <c r="J58">
        <v>1</v>
      </c>
      <c r="N58" t="s">
        <v>265</v>
      </c>
      <c r="S58">
        <v>1</v>
      </c>
      <c r="T58">
        <v>27</v>
      </c>
      <c r="AA58" t="s">
        <v>56</v>
      </c>
      <c r="AB58" t="s">
        <v>29</v>
      </c>
      <c r="AC58">
        <v>1</v>
      </c>
      <c r="AF58">
        <v>1</v>
      </c>
    </row>
    <row r="59" spans="1:32" x14ac:dyDescent="0.2">
      <c r="A59" s="9" t="s">
        <v>614</v>
      </c>
      <c r="B59" s="9">
        <v>1921</v>
      </c>
      <c r="C59" s="7">
        <v>8</v>
      </c>
      <c r="D59" s="7" t="s">
        <v>2855</v>
      </c>
      <c r="G59" t="s">
        <v>2594</v>
      </c>
      <c r="H59" t="s">
        <v>2762</v>
      </c>
      <c r="I59">
        <v>43</v>
      </c>
      <c r="J59">
        <v>1</v>
      </c>
      <c r="N59" t="s">
        <v>265</v>
      </c>
      <c r="S59">
        <v>1</v>
      </c>
      <c r="T59">
        <v>23</v>
      </c>
      <c r="AA59" t="s">
        <v>56</v>
      </c>
      <c r="AB59" t="s">
        <v>29</v>
      </c>
      <c r="AC59">
        <v>1</v>
      </c>
      <c r="AF59" t="s">
        <v>2763</v>
      </c>
    </row>
    <row r="60" spans="1:32" x14ac:dyDescent="0.2">
      <c r="A60" s="9" t="s">
        <v>614</v>
      </c>
      <c r="B60" s="9">
        <v>1921</v>
      </c>
      <c r="C60" s="7">
        <v>8</v>
      </c>
      <c r="D60" s="7" t="s">
        <v>2855</v>
      </c>
      <c r="G60" t="s">
        <v>460</v>
      </c>
      <c r="H60" t="s">
        <v>2764</v>
      </c>
      <c r="I60">
        <v>44</v>
      </c>
      <c r="J60">
        <v>1</v>
      </c>
      <c r="N60" t="s">
        <v>437</v>
      </c>
      <c r="R60">
        <v>1</v>
      </c>
      <c r="T60">
        <v>28</v>
      </c>
      <c r="AA60" t="s">
        <v>437</v>
      </c>
      <c r="AB60" t="s">
        <v>29</v>
      </c>
      <c r="AC60">
        <v>1</v>
      </c>
      <c r="AF60" t="s">
        <v>2765</v>
      </c>
    </row>
    <row r="61" spans="1:32" x14ac:dyDescent="0.2">
      <c r="A61" s="9" t="s">
        <v>614</v>
      </c>
      <c r="B61" s="9">
        <v>1921</v>
      </c>
      <c r="C61" s="7">
        <v>8</v>
      </c>
      <c r="D61" s="7" t="s">
        <v>2855</v>
      </c>
      <c r="G61" t="s">
        <v>1104</v>
      </c>
      <c r="H61" t="s">
        <v>90</v>
      </c>
      <c r="I61">
        <v>45</v>
      </c>
      <c r="J61">
        <v>1</v>
      </c>
      <c r="N61" t="s">
        <v>265</v>
      </c>
      <c r="S61">
        <v>1</v>
      </c>
      <c r="T61">
        <v>20</v>
      </c>
      <c r="AA61" t="s">
        <v>56</v>
      </c>
      <c r="AB61" t="s">
        <v>29</v>
      </c>
      <c r="AC61">
        <v>1</v>
      </c>
      <c r="AF61" t="s">
        <v>368</v>
      </c>
    </row>
    <row r="62" spans="1:32" x14ac:dyDescent="0.2">
      <c r="A62" s="9" t="s">
        <v>614</v>
      </c>
      <c r="B62" s="9">
        <v>1921</v>
      </c>
      <c r="C62" s="7"/>
      <c r="D62" s="7" t="s">
        <v>2855</v>
      </c>
      <c r="H62">
        <v>6</v>
      </c>
    </row>
    <row r="63" spans="1:32" x14ac:dyDescent="0.2">
      <c r="A63" s="9" t="s">
        <v>614</v>
      </c>
      <c r="B63" s="9">
        <v>1921</v>
      </c>
      <c r="C63" s="7"/>
      <c r="D63" s="7" t="s">
        <v>2855</v>
      </c>
      <c r="G63" t="s">
        <v>1</v>
      </c>
      <c r="H63" t="s">
        <v>0</v>
      </c>
      <c r="J63" t="s">
        <v>3</v>
      </c>
      <c r="N63" t="s">
        <v>2</v>
      </c>
      <c r="T63" t="s">
        <v>5</v>
      </c>
      <c r="AA63" t="s">
        <v>7</v>
      </c>
      <c r="AB63" t="s">
        <v>8</v>
      </c>
      <c r="AF63" t="s">
        <v>6</v>
      </c>
    </row>
    <row r="64" spans="1:32" s="55" customFormat="1" x14ac:dyDescent="0.2">
      <c r="A64" s="226" t="s">
        <v>614</v>
      </c>
      <c r="B64" s="226">
        <v>1921</v>
      </c>
      <c r="C64" s="227">
        <v>9</v>
      </c>
      <c r="D64" s="227" t="s">
        <v>2855</v>
      </c>
      <c r="F64" s="55">
        <v>15</v>
      </c>
      <c r="G64" s="55" t="s">
        <v>362</v>
      </c>
      <c r="H64" s="55" t="s">
        <v>653</v>
      </c>
      <c r="I64" s="55">
        <v>46</v>
      </c>
      <c r="J64" s="55">
        <v>1</v>
      </c>
      <c r="N64" s="55" t="s">
        <v>26</v>
      </c>
      <c r="S64" s="55">
        <v>1</v>
      </c>
      <c r="T64" s="55">
        <v>36</v>
      </c>
      <c r="AA64" s="55" t="s">
        <v>28</v>
      </c>
      <c r="AB64" s="55" t="s">
        <v>29</v>
      </c>
      <c r="AC64" s="55">
        <v>1</v>
      </c>
      <c r="AF64" s="55">
        <v>1</v>
      </c>
    </row>
    <row r="65" spans="1:32" x14ac:dyDescent="0.2">
      <c r="A65" s="9" t="s">
        <v>614</v>
      </c>
      <c r="B65" s="9">
        <v>1921</v>
      </c>
      <c r="C65" s="7">
        <v>9</v>
      </c>
      <c r="D65" s="7" t="s">
        <v>2855</v>
      </c>
      <c r="G65" t="s">
        <v>642</v>
      </c>
      <c r="H65" t="s">
        <v>135</v>
      </c>
      <c r="I65">
        <v>47</v>
      </c>
      <c r="J65">
        <v>1</v>
      </c>
      <c r="N65" t="s">
        <v>26</v>
      </c>
      <c r="S65">
        <v>1</v>
      </c>
      <c r="T65">
        <v>58</v>
      </c>
      <c r="AA65" t="s">
        <v>2768</v>
      </c>
      <c r="AB65" t="s">
        <v>29</v>
      </c>
      <c r="AC65">
        <v>1</v>
      </c>
      <c r="AF65">
        <v>1</v>
      </c>
    </row>
    <row r="66" spans="1:32" x14ac:dyDescent="0.2">
      <c r="A66" s="9" t="s">
        <v>614</v>
      </c>
      <c r="B66" s="9">
        <v>1921</v>
      </c>
      <c r="C66" s="7"/>
      <c r="D66" s="7" t="s">
        <v>2855</v>
      </c>
      <c r="H66">
        <v>2</v>
      </c>
    </row>
    <row r="67" spans="1:32" x14ac:dyDescent="0.2">
      <c r="A67" s="9" t="s">
        <v>614</v>
      </c>
      <c r="B67" s="9">
        <v>1921</v>
      </c>
      <c r="C67" s="7"/>
      <c r="D67" s="7" t="s">
        <v>2855</v>
      </c>
      <c r="G67" t="s">
        <v>1</v>
      </c>
      <c r="H67" t="s">
        <v>0</v>
      </c>
      <c r="J67" t="s">
        <v>3</v>
      </c>
      <c r="N67" t="s">
        <v>2</v>
      </c>
      <c r="T67" t="s">
        <v>5</v>
      </c>
      <c r="AA67" t="s">
        <v>7</v>
      </c>
      <c r="AB67" t="s">
        <v>8</v>
      </c>
      <c r="AF67" t="s">
        <v>6</v>
      </c>
    </row>
    <row r="68" spans="1:32" x14ac:dyDescent="0.2">
      <c r="A68" s="9" t="s">
        <v>614</v>
      </c>
      <c r="B68" s="9">
        <v>1921</v>
      </c>
      <c r="C68" s="7">
        <v>10</v>
      </c>
      <c r="D68" s="7" t="s">
        <v>2855</v>
      </c>
      <c r="F68">
        <v>17</v>
      </c>
      <c r="G68" t="s">
        <v>204</v>
      </c>
      <c r="H68" t="s">
        <v>2769</v>
      </c>
      <c r="I68">
        <v>48</v>
      </c>
      <c r="J68" t="s">
        <v>13</v>
      </c>
      <c r="K68">
        <v>1</v>
      </c>
      <c r="N68">
        <v>1</v>
      </c>
      <c r="T68">
        <v>51</v>
      </c>
      <c r="AA68" t="s">
        <v>2771</v>
      </c>
      <c r="AB68" t="s">
        <v>2772</v>
      </c>
      <c r="AC68">
        <v>1</v>
      </c>
      <c r="AF68" t="s">
        <v>2770</v>
      </c>
    </row>
    <row r="69" spans="1:32" x14ac:dyDescent="0.2">
      <c r="A69" s="9" t="s">
        <v>614</v>
      </c>
      <c r="B69" s="9">
        <v>1921</v>
      </c>
      <c r="C69" s="7">
        <v>10</v>
      </c>
      <c r="D69" s="7" t="s">
        <v>2855</v>
      </c>
      <c r="G69" t="s">
        <v>204</v>
      </c>
      <c r="H69" t="s">
        <v>2773</v>
      </c>
      <c r="I69">
        <v>49</v>
      </c>
      <c r="J69">
        <v>1</v>
      </c>
      <c r="N69" t="s">
        <v>18</v>
      </c>
      <c r="O69">
        <v>1</v>
      </c>
      <c r="T69">
        <v>47</v>
      </c>
      <c r="AA69" t="s">
        <v>50</v>
      </c>
      <c r="AB69" t="s">
        <v>20</v>
      </c>
      <c r="AF69" t="s">
        <v>2222</v>
      </c>
    </row>
    <row r="70" spans="1:32" x14ac:dyDescent="0.2">
      <c r="A70" s="9" t="s">
        <v>614</v>
      </c>
      <c r="B70" s="9">
        <v>1921</v>
      </c>
      <c r="C70" s="7">
        <v>10</v>
      </c>
      <c r="D70" s="7" t="s">
        <v>2855</v>
      </c>
      <c r="G70" t="s">
        <v>204</v>
      </c>
      <c r="H70" t="s">
        <v>2774</v>
      </c>
      <c r="I70">
        <v>50</v>
      </c>
      <c r="J70">
        <v>1</v>
      </c>
      <c r="N70" t="s">
        <v>22</v>
      </c>
      <c r="P70">
        <v>1</v>
      </c>
      <c r="T70">
        <v>22</v>
      </c>
      <c r="AA70" t="s">
        <v>50</v>
      </c>
      <c r="AB70" t="s">
        <v>20</v>
      </c>
      <c r="AF70">
        <v>1</v>
      </c>
    </row>
    <row r="71" spans="1:32" x14ac:dyDescent="0.2">
      <c r="A71" s="9" t="s">
        <v>614</v>
      </c>
      <c r="B71" s="9">
        <v>1921</v>
      </c>
      <c r="C71" s="7">
        <v>10</v>
      </c>
      <c r="D71" s="7" t="s">
        <v>2855</v>
      </c>
      <c r="G71" t="s">
        <v>2776</v>
      </c>
      <c r="H71" t="s">
        <v>2775</v>
      </c>
      <c r="I71">
        <v>51</v>
      </c>
      <c r="J71">
        <v>1</v>
      </c>
      <c r="N71" t="s">
        <v>58</v>
      </c>
      <c r="R71">
        <v>1</v>
      </c>
      <c r="T71">
        <v>24</v>
      </c>
      <c r="AA71" t="s">
        <v>47</v>
      </c>
      <c r="AB71" t="s">
        <v>20</v>
      </c>
      <c r="AF71" t="s">
        <v>2777</v>
      </c>
    </row>
    <row r="72" spans="1:32" x14ac:dyDescent="0.2">
      <c r="A72" s="9" t="s">
        <v>614</v>
      </c>
      <c r="B72" s="9">
        <v>1921</v>
      </c>
      <c r="C72" s="7">
        <v>10</v>
      </c>
      <c r="D72" s="7" t="s">
        <v>2855</v>
      </c>
      <c r="G72" t="s">
        <v>1104</v>
      </c>
      <c r="H72" t="s">
        <v>170</v>
      </c>
      <c r="I72">
        <v>52</v>
      </c>
      <c r="J72">
        <v>1</v>
      </c>
      <c r="N72" t="s">
        <v>26</v>
      </c>
      <c r="S72">
        <v>1</v>
      </c>
      <c r="T72">
        <v>38</v>
      </c>
      <c r="AA72" t="s">
        <v>33</v>
      </c>
      <c r="AB72" t="s">
        <v>29</v>
      </c>
      <c r="AC72">
        <v>1</v>
      </c>
      <c r="AF72" t="s">
        <v>739</v>
      </c>
    </row>
    <row r="73" spans="1:32" x14ac:dyDescent="0.2">
      <c r="A73" s="9" t="s">
        <v>614</v>
      </c>
      <c r="B73" s="9">
        <v>1921</v>
      </c>
      <c r="C73" s="7">
        <v>10</v>
      </c>
      <c r="D73" s="7" t="s">
        <v>2855</v>
      </c>
      <c r="G73" t="s">
        <v>2778</v>
      </c>
      <c r="H73" t="s">
        <v>1809</v>
      </c>
      <c r="I73">
        <v>53</v>
      </c>
      <c r="J73">
        <v>1</v>
      </c>
      <c r="N73" t="s">
        <v>26</v>
      </c>
      <c r="S73">
        <v>1</v>
      </c>
      <c r="T73">
        <v>25</v>
      </c>
      <c r="AA73" t="s">
        <v>360</v>
      </c>
      <c r="AB73" t="s">
        <v>29</v>
      </c>
      <c r="AC73">
        <v>1</v>
      </c>
      <c r="AF73" t="s">
        <v>2779</v>
      </c>
    </row>
    <row r="74" spans="1:32" x14ac:dyDescent="0.2">
      <c r="A74" s="9" t="s">
        <v>614</v>
      </c>
      <c r="B74" s="9">
        <v>1921</v>
      </c>
      <c r="C74" s="7">
        <v>10</v>
      </c>
      <c r="D74" s="7" t="s">
        <v>2855</v>
      </c>
      <c r="G74" t="s">
        <v>328</v>
      </c>
      <c r="H74" t="s">
        <v>331</v>
      </c>
      <c r="I74">
        <v>54</v>
      </c>
      <c r="J74">
        <v>1</v>
      </c>
      <c r="N74" t="s">
        <v>26</v>
      </c>
      <c r="S74">
        <v>1</v>
      </c>
      <c r="T74">
        <v>18</v>
      </c>
      <c r="AA74" t="s">
        <v>28</v>
      </c>
      <c r="AB74" t="s">
        <v>29</v>
      </c>
      <c r="AC74">
        <v>1</v>
      </c>
      <c r="AF74" t="s">
        <v>2780</v>
      </c>
    </row>
    <row r="75" spans="1:32" x14ac:dyDescent="0.2">
      <c r="A75" s="9" t="s">
        <v>614</v>
      </c>
      <c r="B75" s="9">
        <v>1921</v>
      </c>
      <c r="C75" s="7"/>
      <c r="D75" s="7" t="s">
        <v>2855</v>
      </c>
      <c r="H75">
        <v>7</v>
      </c>
    </row>
    <row r="76" spans="1:32" x14ac:dyDescent="0.2">
      <c r="A76" s="9" t="s">
        <v>614</v>
      </c>
      <c r="B76" s="9">
        <v>1921</v>
      </c>
      <c r="C76" s="7"/>
      <c r="D76" s="7" t="s">
        <v>2855</v>
      </c>
      <c r="G76" t="s">
        <v>1</v>
      </c>
      <c r="H76" t="s">
        <v>0</v>
      </c>
      <c r="J76" t="s">
        <v>3</v>
      </c>
      <c r="N76" t="s">
        <v>2</v>
      </c>
      <c r="T76" t="s">
        <v>5</v>
      </c>
      <c r="AA76" t="s">
        <v>7</v>
      </c>
      <c r="AB76" t="s">
        <v>8</v>
      </c>
      <c r="AF76" t="s">
        <v>6</v>
      </c>
    </row>
    <row r="77" spans="1:32" x14ac:dyDescent="0.2">
      <c r="A77" s="9" t="s">
        <v>614</v>
      </c>
      <c r="B77" s="9">
        <v>1921</v>
      </c>
      <c r="C77" s="7">
        <v>11</v>
      </c>
      <c r="D77" s="7" t="s">
        <v>2855</v>
      </c>
      <c r="F77">
        <v>19</v>
      </c>
      <c r="G77" t="s">
        <v>2782</v>
      </c>
      <c r="H77" t="s">
        <v>2781</v>
      </c>
      <c r="I77">
        <v>55</v>
      </c>
      <c r="J77">
        <v>1</v>
      </c>
      <c r="N77" t="s">
        <v>18</v>
      </c>
      <c r="O77">
        <v>1</v>
      </c>
      <c r="T77">
        <v>34</v>
      </c>
      <c r="AA77" t="s">
        <v>20</v>
      </c>
      <c r="AB77" t="s">
        <v>20</v>
      </c>
      <c r="AF77">
        <v>1</v>
      </c>
    </row>
    <row r="78" spans="1:32" x14ac:dyDescent="0.2">
      <c r="A78" s="9" t="s">
        <v>614</v>
      </c>
      <c r="B78" s="9">
        <v>1921</v>
      </c>
      <c r="C78" s="7">
        <v>11</v>
      </c>
      <c r="D78" s="7" t="s">
        <v>2855</v>
      </c>
      <c r="G78" t="s">
        <v>2783</v>
      </c>
      <c r="H78" t="s">
        <v>2163</v>
      </c>
      <c r="I78">
        <v>56</v>
      </c>
      <c r="J78" t="s">
        <v>13</v>
      </c>
      <c r="K78">
        <v>1</v>
      </c>
      <c r="N78" t="s">
        <v>26</v>
      </c>
      <c r="S78">
        <v>1</v>
      </c>
      <c r="T78">
        <v>23</v>
      </c>
      <c r="AA78" t="s">
        <v>2784</v>
      </c>
      <c r="AB78" t="s">
        <v>2785</v>
      </c>
      <c r="AC78">
        <v>1</v>
      </c>
      <c r="AF78" t="s">
        <v>1976</v>
      </c>
    </row>
    <row r="79" spans="1:32" x14ac:dyDescent="0.2">
      <c r="A79" s="9" t="s">
        <v>614</v>
      </c>
      <c r="B79" s="9">
        <v>1921</v>
      </c>
      <c r="C79" s="7">
        <v>11</v>
      </c>
      <c r="D79" s="7" t="s">
        <v>2855</v>
      </c>
      <c r="G79" t="s">
        <v>2787</v>
      </c>
      <c r="H79" t="s">
        <v>2786</v>
      </c>
      <c r="I79">
        <v>57</v>
      </c>
      <c r="J79">
        <v>1</v>
      </c>
      <c r="N79" t="s">
        <v>26</v>
      </c>
      <c r="S79">
        <v>1</v>
      </c>
      <c r="T79">
        <v>19</v>
      </c>
      <c r="AA79" t="s">
        <v>33</v>
      </c>
      <c r="AB79" t="s">
        <v>20</v>
      </c>
      <c r="AF79" t="s">
        <v>356</v>
      </c>
    </row>
    <row r="80" spans="1:32" x14ac:dyDescent="0.2">
      <c r="A80" s="9" t="s">
        <v>614</v>
      </c>
      <c r="B80" s="9">
        <v>1921</v>
      </c>
      <c r="C80" s="7">
        <v>11</v>
      </c>
      <c r="D80" s="7" t="s">
        <v>2855</v>
      </c>
      <c r="G80" t="s">
        <v>2788</v>
      </c>
      <c r="H80" t="s">
        <v>1230</v>
      </c>
      <c r="I80">
        <v>58</v>
      </c>
      <c r="J80">
        <v>1</v>
      </c>
      <c r="N80" t="s">
        <v>26</v>
      </c>
      <c r="S80">
        <v>1</v>
      </c>
      <c r="T80">
        <v>18</v>
      </c>
      <c r="AA80" t="s">
        <v>28</v>
      </c>
      <c r="AB80" t="s">
        <v>20</v>
      </c>
      <c r="AF80">
        <v>1</v>
      </c>
    </row>
    <row r="81" spans="1:32" x14ac:dyDescent="0.2">
      <c r="A81" s="9" t="s">
        <v>614</v>
      </c>
      <c r="B81" s="9">
        <v>1921</v>
      </c>
      <c r="C81" s="7"/>
      <c r="D81" s="7" t="s">
        <v>2855</v>
      </c>
      <c r="H81">
        <v>4</v>
      </c>
    </row>
    <row r="82" spans="1:32" x14ac:dyDescent="0.2">
      <c r="A82" s="9" t="s">
        <v>614</v>
      </c>
      <c r="B82" s="9">
        <v>1921</v>
      </c>
      <c r="C82" s="7"/>
      <c r="D82" s="7" t="s">
        <v>2855</v>
      </c>
      <c r="G82" t="s">
        <v>1</v>
      </c>
      <c r="H82" t="s">
        <v>0</v>
      </c>
      <c r="J82" t="s">
        <v>3</v>
      </c>
      <c r="N82" t="s">
        <v>2</v>
      </c>
      <c r="T82" t="s">
        <v>5</v>
      </c>
      <c r="AA82" t="s">
        <v>7</v>
      </c>
      <c r="AB82" t="s">
        <v>8</v>
      </c>
      <c r="AF82" t="s">
        <v>6</v>
      </c>
    </row>
    <row r="83" spans="1:32" x14ac:dyDescent="0.2">
      <c r="A83" s="9" t="s">
        <v>614</v>
      </c>
      <c r="B83" s="9">
        <v>1921</v>
      </c>
      <c r="C83" s="7">
        <v>12</v>
      </c>
      <c r="D83" s="7" t="s">
        <v>2855</v>
      </c>
      <c r="F83">
        <v>21</v>
      </c>
      <c r="G83" t="s">
        <v>2016</v>
      </c>
      <c r="H83" t="s">
        <v>2789</v>
      </c>
      <c r="I83">
        <v>59</v>
      </c>
      <c r="J83" t="s">
        <v>13</v>
      </c>
      <c r="K83">
        <v>1</v>
      </c>
      <c r="N83">
        <v>1</v>
      </c>
      <c r="T83">
        <v>27</v>
      </c>
      <c r="AA83" t="s">
        <v>2790</v>
      </c>
      <c r="AB83" t="s">
        <v>20</v>
      </c>
      <c r="AC83">
        <v>1</v>
      </c>
      <c r="AF83">
        <v>1</v>
      </c>
    </row>
    <row r="84" spans="1:32" x14ac:dyDescent="0.2">
      <c r="A84" s="9" t="s">
        <v>614</v>
      </c>
      <c r="B84" s="9">
        <v>1921</v>
      </c>
      <c r="C84" s="7">
        <v>12</v>
      </c>
      <c r="D84" s="7" t="s">
        <v>2855</v>
      </c>
      <c r="G84" t="s">
        <v>2016</v>
      </c>
      <c r="H84" t="s">
        <v>2791</v>
      </c>
      <c r="I84">
        <v>60</v>
      </c>
      <c r="J84">
        <v>1</v>
      </c>
      <c r="N84" t="s">
        <v>18</v>
      </c>
      <c r="O84">
        <v>1</v>
      </c>
      <c r="T84">
        <v>28</v>
      </c>
      <c r="AA84" t="s">
        <v>20</v>
      </c>
      <c r="AB84" t="s">
        <v>20</v>
      </c>
      <c r="AF84">
        <v>1</v>
      </c>
    </row>
    <row r="85" spans="1:32" x14ac:dyDescent="0.2">
      <c r="A85" s="9" t="s">
        <v>614</v>
      </c>
      <c r="B85" s="9">
        <v>1921</v>
      </c>
      <c r="C85" s="7">
        <v>12</v>
      </c>
      <c r="D85" s="7" t="s">
        <v>2855</v>
      </c>
      <c r="G85" t="s">
        <v>2793</v>
      </c>
      <c r="H85" t="s">
        <v>2792</v>
      </c>
      <c r="I85">
        <v>61</v>
      </c>
      <c r="J85">
        <v>1</v>
      </c>
      <c r="N85" t="s">
        <v>26</v>
      </c>
      <c r="S85">
        <v>1</v>
      </c>
      <c r="T85">
        <v>24</v>
      </c>
      <c r="AA85" t="s">
        <v>56</v>
      </c>
      <c r="AB85" t="s">
        <v>29</v>
      </c>
      <c r="AC85">
        <v>1</v>
      </c>
      <c r="AF85" t="s">
        <v>212</v>
      </c>
    </row>
    <row r="86" spans="1:32" x14ac:dyDescent="0.2">
      <c r="A86" s="9" t="s">
        <v>614</v>
      </c>
      <c r="B86" s="9">
        <v>1921</v>
      </c>
      <c r="C86" s="7">
        <v>12</v>
      </c>
      <c r="D86" s="7" t="s">
        <v>2855</v>
      </c>
      <c r="G86" t="s">
        <v>2795</v>
      </c>
      <c r="H86" t="s">
        <v>2794</v>
      </c>
      <c r="I86">
        <v>62</v>
      </c>
      <c r="J86">
        <v>1</v>
      </c>
      <c r="N86" t="s">
        <v>26</v>
      </c>
      <c r="S86">
        <v>1</v>
      </c>
      <c r="T86">
        <v>20</v>
      </c>
      <c r="AA86" t="s">
        <v>56</v>
      </c>
      <c r="AB86" t="s">
        <v>29</v>
      </c>
      <c r="AC86">
        <v>1</v>
      </c>
      <c r="AF86" t="s">
        <v>2796</v>
      </c>
    </row>
    <row r="87" spans="1:32" x14ac:dyDescent="0.2">
      <c r="A87" s="9" t="s">
        <v>614</v>
      </c>
      <c r="B87" s="9">
        <v>1921</v>
      </c>
      <c r="C87" s="7"/>
      <c r="D87" s="7" t="s">
        <v>2855</v>
      </c>
      <c r="H87">
        <v>4</v>
      </c>
    </row>
    <row r="88" spans="1:32" x14ac:dyDescent="0.2">
      <c r="A88" s="9" t="s">
        <v>614</v>
      </c>
      <c r="B88" s="9">
        <v>1921</v>
      </c>
      <c r="C88" s="7"/>
      <c r="D88" s="7" t="s">
        <v>2855</v>
      </c>
      <c r="G88" t="s">
        <v>1</v>
      </c>
      <c r="H88" t="s">
        <v>0</v>
      </c>
      <c r="J88" t="s">
        <v>3</v>
      </c>
      <c r="N88" t="s">
        <v>2</v>
      </c>
      <c r="T88" t="s">
        <v>5</v>
      </c>
      <c r="AA88" t="s">
        <v>7</v>
      </c>
      <c r="AB88" t="s">
        <v>8</v>
      </c>
      <c r="AF88" t="s">
        <v>6</v>
      </c>
    </row>
    <row r="89" spans="1:32" x14ac:dyDescent="0.2">
      <c r="A89" s="9" t="s">
        <v>614</v>
      </c>
      <c r="B89" s="9">
        <v>1921</v>
      </c>
      <c r="C89" s="7">
        <v>13</v>
      </c>
      <c r="D89" s="7" t="s">
        <v>2855</v>
      </c>
      <c r="F89">
        <v>23</v>
      </c>
      <c r="G89" t="s">
        <v>2797</v>
      </c>
      <c r="H89" t="s">
        <v>444</v>
      </c>
      <c r="I89">
        <v>63</v>
      </c>
      <c r="J89" t="s">
        <v>13</v>
      </c>
      <c r="K89">
        <v>1</v>
      </c>
      <c r="N89">
        <v>1</v>
      </c>
      <c r="T89">
        <v>79</v>
      </c>
      <c r="AA89" t="s">
        <v>2798</v>
      </c>
      <c r="AB89" t="s">
        <v>20</v>
      </c>
      <c r="AC89">
        <v>1</v>
      </c>
      <c r="AF89">
        <v>1</v>
      </c>
    </row>
    <row r="90" spans="1:32" x14ac:dyDescent="0.2">
      <c r="A90" s="9" t="s">
        <v>614</v>
      </c>
      <c r="B90" s="9">
        <v>1921</v>
      </c>
      <c r="C90" s="7">
        <v>13</v>
      </c>
      <c r="D90" s="7" t="s">
        <v>2855</v>
      </c>
      <c r="G90" t="s">
        <v>2800</v>
      </c>
      <c r="H90" t="s">
        <v>2799</v>
      </c>
      <c r="I90">
        <v>64</v>
      </c>
      <c r="J90">
        <v>1</v>
      </c>
      <c r="N90" t="s">
        <v>2801</v>
      </c>
      <c r="R90">
        <v>1</v>
      </c>
      <c r="T90">
        <v>40</v>
      </c>
      <c r="AA90" t="s">
        <v>1832</v>
      </c>
      <c r="AB90" t="s">
        <v>20</v>
      </c>
      <c r="AF90" t="s">
        <v>2802</v>
      </c>
    </row>
    <row r="91" spans="1:32" x14ac:dyDescent="0.2">
      <c r="A91" s="9" t="s">
        <v>614</v>
      </c>
      <c r="B91" s="9">
        <v>1921</v>
      </c>
      <c r="C91" s="7">
        <v>13</v>
      </c>
      <c r="D91" s="7" t="s">
        <v>2855</v>
      </c>
      <c r="G91" t="s">
        <v>115</v>
      </c>
      <c r="H91" t="s">
        <v>937</v>
      </c>
      <c r="I91">
        <v>65</v>
      </c>
      <c r="J91">
        <v>1</v>
      </c>
      <c r="N91" t="s">
        <v>26</v>
      </c>
      <c r="S91">
        <v>1</v>
      </c>
      <c r="T91">
        <v>52</v>
      </c>
      <c r="AA91" t="s">
        <v>33</v>
      </c>
      <c r="AB91" t="s">
        <v>29</v>
      </c>
      <c r="AC91">
        <v>1</v>
      </c>
      <c r="AF91" t="s">
        <v>1337</v>
      </c>
    </row>
    <row r="92" spans="1:32" x14ac:dyDescent="0.2">
      <c r="A92" s="9" t="s">
        <v>614</v>
      </c>
      <c r="B92" s="9">
        <v>1921</v>
      </c>
      <c r="C92" s="7">
        <v>13</v>
      </c>
      <c r="D92" s="7" t="s">
        <v>2855</v>
      </c>
      <c r="G92" t="s">
        <v>2803</v>
      </c>
      <c r="H92" t="s">
        <v>345</v>
      </c>
      <c r="I92">
        <v>66</v>
      </c>
      <c r="J92">
        <v>1</v>
      </c>
      <c r="N92" t="s">
        <v>26</v>
      </c>
      <c r="S92">
        <v>1</v>
      </c>
      <c r="T92">
        <v>25</v>
      </c>
      <c r="AA92" t="s">
        <v>330</v>
      </c>
      <c r="AB92" t="s">
        <v>29</v>
      </c>
      <c r="AC92">
        <v>1</v>
      </c>
      <c r="AF92" t="s">
        <v>2804</v>
      </c>
    </row>
    <row r="93" spans="1:32" x14ac:dyDescent="0.2">
      <c r="A93" s="9" t="s">
        <v>614</v>
      </c>
      <c r="B93" s="9">
        <v>1921</v>
      </c>
      <c r="C93" s="7"/>
      <c r="D93" s="7" t="s">
        <v>2855</v>
      </c>
      <c r="H93">
        <v>4</v>
      </c>
    </row>
    <row r="94" spans="1:32" x14ac:dyDescent="0.2">
      <c r="A94" s="9" t="s">
        <v>614</v>
      </c>
      <c r="B94" s="9">
        <v>1921</v>
      </c>
      <c r="C94" s="7"/>
      <c r="D94" s="7" t="s">
        <v>2855</v>
      </c>
      <c r="G94" t="s">
        <v>1</v>
      </c>
      <c r="H94" t="s">
        <v>0</v>
      </c>
      <c r="J94" t="s">
        <v>3</v>
      </c>
      <c r="N94" t="s">
        <v>2</v>
      </c>
      <c r="T94" t="s">
        <v>5</v>
      </c>
      <c r="AA94" t="s">
        <v>7</v>
      </c>
      <c r="AB94" t="s">
        <v>8</v>
      </c>
      <c r="AF94" t="s">
        <v>6</v>
      </c>
    </row>
    <row r="95" spans="1:32" x14ac:dyDescent="0.2">
      <c r="A95" s="9" t="s">
        <v>614</v>
      </c>
      <c r="B95" s="9">
        <v>1921</v>
      </c>
      <c r="C95" s="7">
        <v>14</v>
      </c>
      <c r="D95" s="7" t="s">
        <v>2855</v>
      </c>
      <c r="F95">
        <v>27</v>
      </c>
      <c r="G95" t="s">
        <v>420</v>
      </c>
      <c r="H95" t="s">
        <v>423</v>
      </c>
      <c r="I95">
        <v>67</v>
      </c>
      <c r="J95" t="s">
        <v>13</v>
      </c>
      <c r="K95">
        <v>1</v>
      </c>
      <c r="N95">
        <v>1</v>
      </c>
      <c r="T95">
        <v>81</v>
      </c>
      <c r="AA95" t="s">
        <v>2805</v>
      </c>
      <c r="AB95" t="s">
        <v>8</v>
      </c>
      <c r="AC95">
        <v>1</v>
      </c>
      <c r="AD95">
        <v>1</v>
      </c>
      <c r="AF95">
        <v>1</v>
      </c>
    </row>
    <row r="96" spans="1:32" x14ac:dyDescent="0.2">
      <c r="A96" s="9" t="s">
        <v>614</v>
      </c>
      <c r="B96" s="9">
        <v>1921</v>
      </c>
      <c r="C96" s="7">
        <v>14</v>
      </c>
      <c r="D96" s="7" t="s">
        <v>2855</v>
      </c>
      <c r="G96" t="s">
        <v>420</v>
      </c>
      <c r="H96" t="s">
        <v>336</v>
      </c>
      <c r="I96">
        <v>68</v>
      </c>
      <c r="J96">
        <v>1</v>
      </c>
      <c r="N96" t="s">
        <v>18</v>
      </c>
      <c r="O96">
        <v>1</v>
      </c>
      <c r="T96">
        <v>75</v>
      </c>
      <c r="AA96" t="s">
        <v>50</v>
      </c>
      <c r="AB96" t="s">
        <v>20</v>
      </c>
      <c r="AF96">
        <v>1</v>
      </c>
    </row>
    <row r="97" spans="1:32" x14ac:dyDescent="0.2">
      <c r="A97" s="9" t="s">
        <v>614</v>
      </c>
      <c r="B97" s="9">
        <v>1921</v>
      </c>
      <c r="C97" s="7">
        <v>14</v>
      </c>
      <c r="D97" s="7" t="s">
        <v>2855</v>
      </c>
      <c r="G97" t="s">
        <v>2806</v>
      </c>
      <c r="H97" t="s">
        <v>203</v>
      </c>
      <c r="I97">
        <v>69</v>
      </c>
      <c r="J97">
        <v>1</v>
      </c>
      <c r="N97" t="s">
        <v>1241</v>
      </c>
      <c r="R97">
        <v>1</v>
      </c>
      <c r="T97">
        <v>51</v>
      </c>
      <c r="AA97" t="s">
        <v>50</v>
      </c>
      <c r="AB97" t="s">
        <v>29</v>
      </c>
      <c r="AC97">
        <v>1</v>
      </c>
      <c r="AF97" t="s">
        <v>43</v>
      </c>
    </row>
    <row r="98" spans="1:32" x14ac:dyDescent="0.2">
      <c r="A98" s="9" t="s">
        <v>614</v>
      </c>
      <c r="B98" s="9">
        <v>1921</v>
      </c>
      <c r="C98" s="7">
        <v>14</v>
      </c>
      <c r="D98" s="7" t="s">
        <v>2855</v>
      </c>
      <c r="G98" t="s">
        <v>2807</v>
      </c>
      <c r="H98" t="s">
        <v>24</v>
      </c>
      <c r="I98">
        <v>70</v>
      </c>
      <c r="J98">
        <v>1</v>
      </c>
      <c r="N98" t="s">
        <v>33</v>
      </c>
      <c r="S98">
        <v>1</v>
      </c>
      <c r="T98">
        <v>51</v>
      </c>
      <c r="AA98" t="s">
        <v>33</v>
      </c>
      <c r="AB98" t="s">
        <v>29</v>
      </c>
      <c r="AC98">
        <v>1</v>
      </c>
      <c r="AF98" t="s">
        <v>59</v>
      </c>
    </row>
    <row r="99" spans="1:32" x14ac:dyDescent="0.2">
      <c r="A99" s="9" t="s">
        <v>614</v>
      </c>
      <c r="B99" s="9">
        <v>1921</v>
      </c>
      <c r="C99" s="7">
        <v>14</v>
      </c>
      <c r="D99" s="7" t="s">
        <v>2855</v>
      </c>
      <c r="G99" t="s">
        <v>2808</v>
      </c>
      <c r="H99" t="s">
        <v>336</v>
      </c>
      <c r="I99">
        <v>71</v>
      </c>
      <c r="J99">
        <v>1</v>
      </c>
      <c r="N99" t="s">
        <v>2809</v>
      </c>
      <c r="S99">
        <v>1</v>
      </c>
      <c r="T99">
        <v>45</v>
      </c>
      <c r="AA99" t="s">
        <v>2811</v>
      </c>
      <c r="AB99" t="s">
        <v>29</v>
      </c>
      <c r="AC99">
        <v>1</v>
      </c>
      <c r="AF99">
        <v>1</v>
      </c>
    </row>
    <row r="100" spans="1:32" x14ac:dyDescent="0.2">
      <c r="A100" s="9" t="s">
        <v>614</v>
      </c>
      <c r="B100" s="9">
        <v>1921</v>
      </c>
      <c r="C100" s="7">
        <v>14</v>
      </c>
      <c r="D100" s="7" t="s">
        <v>2855</v>
      </c>
      <c r="G100" t="s">
        <v>2812</v>
      </c>
      <c r="H100" t="s">
        <v>336</v>
      </c>
      <c r="I100">
        <v>72</v>
      </c>
      <c r="J100">
        <v>1</v>
      </c>
      <c r="N100" t="s">
        <v>2813</v>
      </c>
      <c r="S100">
        <v>1</v>
      </c>
      <c r="T100">
        <v>30</v>
      </c>
      <c r="AA100" t="s">
        <v>2815</v>
      </c>
      <c r="AB100" t="s">
        <v>29</v>
      </c>
      <c r="AC100">
        <v>1</v>
      </c>
      <c r="AF100" t="s">
        <v>2814</v>
      </c>
    </row>
    <row r="101" spans="1:32" x14ac:dyDescent="0.2">
      <c r="A101" s="9" t="s">
        <v>614</v>
      </c>
      <c r="B101" s="9">
        <v>1921</v>
      </c>
      <c r="C101" s="7"/>
      <c r="D101" s="7" t="s">
        <v>2855</v>
      </c>
      <c r="H101">
        <v>6</v>
      </c>
    </row>
    <row r="102" spans="1:32" x14ac:dyDescent="0.2">
      <c r="A102" s="9" t="s">
        <v>614</v>
      </c>
      <c r="B102" s="9">
        <v>1921</v>
      </c>
      <c r="C102" s="7"/>
      <c r="D102" s="7" t="s">
        <v>2855</v>
      </c>
      <c r="G102" t="s">
        <v>1</v>
      </c>
      <c r="H102" t="s">
        <v>0</v>
      </c>
      <c r="J102" t="s">
        <v>3</v>
      </c>
      <c r="N102" t="s">
        <v>2</v>
      </c>
      <c r="T102" t="s">
        <v>5</v>
      </c>
      <c r="AA102" t="s">
        <v>7</v>
      </c>
      <c r="AB102" t="s">
        <v>8</v>
      </c>
      <c r="AF102" t="s">
        <v>6</v>
      </c>
    </row>
    <row r="103" spans="1:32" x14ac:dyDescent="0.2">
      <c r="A103" s="9" t="s">
        <v>614</v>
      </c>
      <c r="B103" s="9">
        <v>1921</v>
      </c>
      <c r="C103" s="7">
        <v>15</v>
      </c>
      <c r="D103" s="7" t="s">
        <v>2855</v>
      </c>
      <c r="F103">
        <v>29</v>
      </c>
      <c r="G103" t="s">
        <v>2816</v>
      </c>
      <c r="H103" t="s">
        <v>2510</v>
      </c>
      <c r="I103">
        <v>73</v>
      </c>
      <c r="J103" t="s">
        <v>13</v>
      </c>
      <c r="K103">
        <v>1</v>
      </c>
      <c r="N103">
        <v>1</v>
      </c>
      <c r="T103">
        <v>69</v>
      </c>
      <c r="AA103" t="s">
        <v>2817</v>
      </c>
      <c r="AB103" t="s">
        <v>8</v>
      </c>
      <c r="AC103">
        <v>1</v>
      </c>
      <c r="AD103">
        <v>1</v>
      </c>
      <c r="AF103">
        <v>1</v>
      </c>
    </row>
    <row r="104" spans="1:32" x14ac:dyDescent="0.2">
      <c r="A104" s="9" t="s">
        <v>614</v>
      </c>
      <c r="B104" s="9">
        <v>1921</v>
      </c>
      <c r="C104" s="7">
        <v>15</v>
      </c>
      <c r="D104" s="7" t="s">
        <v>2855</v>
      </c>
      <c r="G104" t="s">
        <v>2816</v>
      </c>
      <c r="H104" t="s">
        <v>2818</v>
      </c>
      <c r="I104">
        <v>74</v>
      </c>
      <c r="J104">
        <v>1</v>
      </c>
      <c r="N104" t="s">
        <v>18</v>
      </c>
      <c r="O104">
        <v>1</v>
      </c>
      <c r="T104">
        <v>66</v>
      </c>
      <c r="AA104" t="s">
        <v>2820</v>
      </c>
      <c r="AB104" t="s">
        <v>20</v>
      </c>
      <c r="AF104" t="s">
        <v>2819</v>
      </c>
    </row>
    <row r="105" spans="1:32" x14ac:dyDescent="0.2">
      <c r="A105" s="9" t="s">
        <v>614</v>
      </c>
      <c r="B105" s="9">
        <v>1921</v>
      </c>
      <c r="C105" s="7">
        <v>15</v>
      </c>
      <c r="D105" s="7" t="s">
        <v>2855</v>
      </c>
      <c r="G105" t="s">
        <v>2816</v>
      </c>
      <c r="H105" t="s">
        <v>2821</v>
      </c>
      <c r="I105">
        <v>75</v>
      </c>
      <c r="J105">
        <v>1</v>
      </c>
      <c r="N105" t="s">
        <v>22</v>
      </c>
      <c r="P105">
        <v>1</v>
      </c>
      <c r="T105">
        <v>38</v>
      </c>
      <c r="AA105" t="s">
        <v>489</v>
      </c>
      <c r="AB105" t="s">
        <v>20</v>
      </c>
      <c r="AF105" t="s">
        <v>2822</v>
      </c>
    </row>
    <row r="106" spans="1:32" x14ac:dyDescent="0.2">
      <c r="A106" s="9" t="s">
        <v>614</v>
      </c>
      <c r="B106" s="9">
        <v>1921</v>
      </c>
      <c r="C106" s="7">
        <v>15</v>
      </c>
      <c r="D106" s="7" t="s">
        <v>2855</v>
      </c>
      <c r="G106" t="s">
        <v>61</v>
      </c>
      <c r="H106" t="s">
        <v>2823</v>
      </c>
      <c r="I106">
        <v>76</v>
      </c>
      <c r="J106">
        <v>1</v>
      </c>
      <c r="N106" t="s">
        <v>208</v>
      </c>
      <c r="S106">
        <v>1</v>
      </c>
      <c r="T106">
        <v>37</v>
      </c>
      <c r="AA106" t="s">
        <v>1037</v>
      </c>
      <c r="AB106" t="s">
        <v>20</v>
      </c>
      <c r="AF106" t="s">
        <v>20</v>
      </c>
    </row>
    <row r="107" spans="1:32" x14ac:dyDescent="0.2">
      <c r="A107" s="9" t="s">
        <v>614</v>
      </c>
      <c r="B107" s="9">
        <v>1921</v>
      </c>
      <c r="C107" s="7">
        <v>15</v>
      </c>
      <c r="D107" s="7" t="s">
        <v>2855</v>
      </c>
      <c r="G107" t="s">
        <v>2824</v>
      </c>
      <c r="H107" t="s">
        <v>704</v>
      </c>
      <c r="I107">
        <v>77</v>
      </c>
      <c r="J107">
        <v>1</v>
      </c>
      <c r="N107" t="s">
        <v>26</v>
      </c>
      <c r="S107">
        <v>1</v>
      </c>
      <c r="T107">
        <v>24</v>
      </c>
      <c r="AA107" t="s">
        <v>33</v>
      </c>
      <c r="AB107" t="s">
        <v>29</v>
      </c>
      <c r="AC107">
        <v>1</v>
      </c>
      <c r="AF107">
        <v>1</v>
      </c>
    </row>
    <row r="108" spans="1:32" x14ac:dyDescent="0.2">
      <c r="A108" s="9" t="s">
        <v>614</v>
      </c>
      <c r="B108" s="9">
        <v>1921</v>
      </c>
      <c r="C108" s="7">
        <v>15</v>
      </c>
      <c r="D108" s="7" t="s">
        <v>2855</v>
      </c>
      <c r="G108" t="s">
        <v>2825</v>
      </c>
      <c r="H108" t="s">
        <v>174</v>
      </c>
      <c r="I108">
        <v>78</v>
      </c>
      <c r="J108">
        <v>1</v>
      </c>
      <c r="N108" t="s">
        <v>26</v>
      </c>
      <c r="S108">
        <v>1</v>
      </c>
      <c r="T108">
        <v>21</v>
      </c>
      <c r="AA108" t="s">
        <v>28</v>
      </c>
      <c r="AB108" t="s">
        <v>29</v>
      </c>
      <c r="AC108">
        <v>1</v>
      </c>
      <c r="AF108">
        <v>1</v>
      </c>
    </row>
    <row r="109" spans="1:32" x14ac:dyDescent="0.2">
      <c r="A109" s="9" t="s">
        <v>614</v>
      </c>
      <c r="B109" s="9">
        <v>1921</v>
      </c>
      <c r="C109" s="7"/>
      <c r="D109" s="7" t="s">
        <v>2855</v>
      </c>
      <c r="H109">
        <v>6</v>
      </c>
    </row>
    <row r="110" spans="1:32" x14ac:dyDescent="0.2">
      <c r="A110" s="9" t="s">
        <v>614</v>
      </c>
      <c r="B110" s="9">
        <v>1921</v>
      </c>
      <c r="C110" s="7"/>
      <c r="D110" s="7" t="s">
        <v>2855</v>
      </c>
      <c r="G110" t="s">
        <v>1</v>
      </c>
      <c r="H110" t="s">
        <v>0</v>
      </c>
      <c r="J110" t="s">
        <v>3</v>
      </c>
      <c r="N110" t="s">
        <v>2</v>
      </c>
      <c r="T110" t="s">
        <v>5</v>
      </c>
      <c r="AA110" t="s">
        <v>7</v>
      </c>
      <c r="AB110" t="s">
        <v>8</v>
      </c>
      <c r="AF110" t="s">
        <v>6</v>
      </c>
    </row>
    <row r="111" spans="1:32" x14ac:dyDescent="0.2">
      <c r="A111" s="9" t="s">
        <v>614</v>
      </c>
      <c r="B111" s="9">
        <v>1921</v>
      </c>
      <c r="C111" s="7">
        <v>16</v>
      </c>
      <c r="D111" s="7" t="s">
        <v>2855</v>
      </c>
      <c r="F111">
        <v>31</v>
      </c>
      <c r="G111" t="s">
        <v>2827</v>
      </c>
      <c r="H111" t="s">
        <v>2826</v>
      </c>
      <c r="I111">
        <v>79</v>
      </c>
      <c r="J111" t="s">
        <v>13</v>
      </c>
      <c r="K111">
        <v>1</v>
      </c>
      <c r="N111">
        <v>1</v>
      </c>
      <c r="T111">
        <v>41</v>
      </c>
      <c r="AA111" t="s">
        <v>1088</v>
      </c>
      <c r="AB111" t="s">
        <v>2829</v>
      </c>
      <c r="AC111">
        <v>1</v>
      </c>
      <c r="AF111" t="s">
        <v>2828</v>
      </c>
    </row>
    <row r="112" spans="1:32" x14ac:dyDescent="0.2">
      <c r="A112" s="9" t="s">
        <v>614</v>
      </c>
      <c r="B112" s="9">
        <v>1921</v>
      </c>
      <c r="C112" s="7">
        <v>16</v>
      </c>
      <c r="D112" s="7" t="s">
        <v>2855</v>
      </c>
      <c r="G112" t="s">
        <v>2827</v>
      </c>
      <c r="H112" t="s">
        <v>2830</v>
      </c>
      <c r="I112">
        <v>80</v>
      </c>
      <c r="J112">
        <v>1</v>
      </c>
      <c r="N112" t="s">
        <v>18</v>
      </c>
      <c r="O112">
        <v>1</v>
      </c>
      <c r="T112">
        <v>39</v>
      </c>
      <c r="AA112" t="s">
        <v>50</v>
      </c>
      <c r="AB112" t="s">
        <v>20</v>
      </c>
      <c r="AF112" t="s">
        <v>1561</v>
      </c>
    </row>
    <row r="113" spans="1:32" x14ac:dyDescent="0.2">
      <c r="A113" s="9" t="s">
        <v>614</v>
      </c>
      <c r="B113" s="9">
        <v>1921</v>
      </c>
      <c r="C113" s="7">
        <v>16</v>
      </c>
      <c r="D113" s="7" t="s">
        <v>2855</v>
      </c>
      <c r="G113" t="s">
        <v>2827</v>
      </c>
      <c r="H113" t="s">
        <v>2831</v>
      </c>
      <c r="I113">
        <v>81</v>
      </c>
      <c r="J113">
        <v>1</v>
      </c>
      <c r="N113" t="s">
        <v>22</v>
      </c>
      <c r="P113">
        <v>1</v>
      </c>
      <c r="T113">
        <v>13</v>
      </c>
      <c r="AA113" t="s">
        <v>20</v>
      </c>
      <c r="AB113" t="s">
        <v>20</v>
      </c>
      <c r="AF113" t="s">
        <v>2402</v>
      </c>
    </row>
    <row r="114" spans="1:32" x14ac:dyDescent="0.2">
      <c r="A114" s="9" t="s">
        <v>614</v>
      </c>
      <c r="B114" s="9">
        <v>1921</v>
      </c>
      <c r="C114" s="7">
        <v>16</v>
      </c>
      <c r="D114" s="7" t="s">
        <v>2855</v>
      </c>
      <c r="G114" t="s">
        <v>2827</v>
      </c>
      <c r="H114" t="s">
        <v>2832</v>
      </c>
      <c r="I114">
        <v>82</v>
      </c>
      <c r="L114">
        <v>1</v>
      </c>
      <c r="N114" t="s">
        <v>22</v>
      </c>
      <c r="P114">
        <v>1</v>
      </c>
      <c r="T114">
        <v>9</v>
      </c>
      <c r="AA114" t="s">
        <v>20</v>
      </c>
      <c r="AB114" t="s">
        <v>20</v>
      </c>
      <c r="AF114" t="s">
        <v>375</v>
      </c>
    </row>
    <row r="115" spans="1:32" x14ac:dyDescent="0.2">
      <c r="A115" s="9" t="s">
        <v>614</v>
      </c>
      <c r="B115" s="9">
        <v>1921</v>
      </c>
      <c r="C115" s="7">
        <v>16</v>
      </c>
      <c r="D115" s="7" t="s">
        <v>2855</v>
      </c>
      <c r="G115" t="s">
        <v>2827</v>
      </c>
      <c r="H115" t="s">
        <v>2833</v>
      </c>
      <c r="I115">
        <v>83</v>
      </c>
      <c r="L115">
        <v>1</v>
      </c>
      <c r="N115" t="s">
        <v>22</v>
      </c>
      <c r="P115">
        <v>1</v>
      </c>
      <c r="T115">
        <v>4</v>
      </c>
      <c r="AA115" t="s">
        <v>20</v>
      </c>
      <c r="AB115" t="s">
        <v>20</v>
      </c>
      <c r="AF115" t="s">
        <v>2834</v>
      </c>
    </row>
    <row r="116" spans="1:32" x14ac:dyDescent="0.2">
      <c r="A116" s="9" t="s">
        <v>614</v>
      </c>
      <c r="B116" s="9">
        <v>1921</v>
      </c>
      <c r="C116" s="7">
        <v>16</v>
      </c>
      <c r="D116" s="7" t="s">
        <v>2855</v>
      </c>
      <c r="G116" t="s">
        <v>999</v>
      </c>
      <c r="H116" t="s">
        <v>2835</v>
      </c>
      <c r="I116">
        <v>84</v>
      </c>
      <c r="J116">
        <v>1</v>
      </c>
      <c r="N116" t="s">
        <v>979</v>
      </c>
      <c r="R116">
        <v>1</v>
      </c>
      <c r="T116">
        <v>47</v>
      </c>
      <c r="AA116" t="s">
        <v>50</v>
      </c>
      <c r="AB116" t="s">
        <v>29</v>
      </c>
      <c r="AF116" t="s">
        <v>1561</v>
      </c>
    </row>
    <row r="117" spans="1:32" x14ac:dyDescent="0.2">
      <c r="A117" s="9" t="s">
        <v>614</v>
      </c>
      <c r="B117" s="9">
        <v>1921</v>
      </c>
      <c r="C117" s="7">
        <v>16</v>
      </c>
      <c r="D117" s="7" t="s">
        <v>2855</v>
      </c>
      <c r="G117" t="s">
        <v>2836</v>
      </c>
      <c r="H117" t="s">
        <v>768</v>
      </c>
      <c r="I117">
        <v>85</v>
      </c>
      <c r="J117">
        <v>1</v>
      </c>
      <c r="N117" t="s">
        <v>60</v>
      </c>
      <c r="R117">
        <v>1</v>
      </c>
      <c r="T117">
        <v>48</v>
      </c>
      <c r="AA117" t="s">
        <v>2838</v>
      </c>
      <c r="AB117" t="s">
        <v>2839</v>
      </c>
      <c r="AC117">
        <v>1</v>
      </c>
      <c r="AF117" t="s">
        <v>2837</v>
      </c>
    </row>
    <row r="118" spans="1:32" x14ac:dyDescent="0.2">
      <c r="A118" s="9" t="s">
        <v>614</v>
      </c>
      <c r="B118" s="9">
        <v>1921</v>
      </c>
      <c r="C118" s="7"/>
      <c r="D118" s="7" t="s">
        <v>2855</v>
      </c>
      <c r="H118">
        <v>7</v>
      </c>
    </row>
    <row r="119" spans="1:32" x14ac:dyDescent="0.2">
      <c r="A119" s="9" t="s">
        <v>614</v>
      </c>
      <c r="B119" s="9">
        <v>1921</v>
      </c>
      <c r="C119" s="7"/>
      <c r="D119" s="7" t="s">
        <v>2855</v>
      </c>
      <c r="G119" t="s">
        <v>1</v>
      </c>
      <c r="H119" t="s">
        <v>0</v>
      </c>
      <c r="J119" t="s">
        <v>3</v>
      </c>
      <c r="N119" t="s">
        <v>2</v>
      </c>
      <c r="T119" t="s">
        <v>5</v>
      </c>
      <c r="AA119" t="s">
        <v>7</v>
      </c>
      <c r="AB119" t="s">
        <v>8</v>
      </c>
      <c r="AF119" t="s">
        <v>6</v>
      </c>
    </row>
    <row r="120" spans="1:32" x14ac:dyDescent="0.2">
      <c r="A120" s="9" t="s">
        <v>614</v>
      </c>
      <c r="B120" s="9">
        <v>1921</v>
      </c>
      <c r="C120" s="7">
        <v>17</v>
      </c>
      <c r="D120" s="7" t="s">
        <v>2855</v>
      </c>
      <c r="F120">
        <v>31</v>
      </c>
      <c r="G120" t="s">
        <v>2284</v>
      </c>
      <c r="H120" t="s">
        <v>2840</v>
      </c>
      <c r="I120">
        <v>86</v>
      </c>
      <c r="J120" t="s">
        <v>13</v>
      </c>
      <c r="K120">
        <v>1</v>
      </c>
      <c r="N120">
        <v>1</v>
      </c>
      <c r="T120">
        <v>38</v>
      </c>
      <c r="AA120" t="s">
        <v>2841</v>
      </c>
      <c r="AB120" t="s">
        <v>2842</v>
      </c>
      <c r="AC120">
        <v>1</v>
      </c>
      <c r="AF120" t="s">
        <v>461</v>
      </c>
    </row>
    <row r="121" spans="1:32" x14ac:dyDescent="0.2">
      <c r="A121" s="9" t="s">
        <v>614</v>
      </c>
      <c r="B121" s="9">
        <v>1921</v>
      </c>
      <c r="C121" s="7">
        <v>17</v>
      </c>
      <c r="D121" s="7" t="s">
        <v>2855</v>
      </c>
      <c r="G121" t="s">
        <v>2284</v>
      </c>
      <c r="H121" t="s">
        <v>1916</v>
      </c>
      <c r="I121">
        <v>87</v>
      </c>
      <c r="J121">
        <v>1</v>
      </c>
      <c r="N121" t="s">
        <v>18</v>
      </c>
      <c r="O121">
        <v>1</v>
      </c>
      <c r="T121">
        <v>45</v>
      </c>
      <c r="AA121" t="s">
        <v>50</v>
      </c>
      <c r="AB121" t="s">
        <v>20</v>
      </c>
      <c r="AF121" t="s">
        <v>2843</v>
      </c>
    </row>
    <row r="122" spans="1:32" x14ac:dyDescent="0.2">
      <c r="A122" s="9" t="s">
        <v>614</v>
      </c>
      <c r="B122" s="9">
        <v>1921</v>
      </c>
      <c r="C122" s="7"/>
      <c r="D122" s="7" t="s">
        <v>2855</v>
      </c>
      <c r="H122">
        <v>2</v>
      </c>
    </row>
    <row r="123" spans="1:32" x14ac:dyDescent="0.2">
      <c r="A123" s="9" t="s">
        <v>614</v>
      </c>
      <c r="B123" s="9">
        <v>1921</v>
      </c>
      <c r="C123" s="7"/>
      <c r="D123" s="7" t="s">
        <v>2855</v>
      </c>
      <c r="G123" t="s">
        <v>1</v>
      </c>
      <c r="H123" t="s">
        <v>0</v>
      </c>
      <c r="J123" t="s">
        <v>3</v>
      </c>
      <c r="N123" t="s">
        <v>2</v>
      </c>
      <c r="T123" t="s">
        <v>5</v>
      </c>
      <c r="AA123" t="s">
        <v>7</v>
      </c>
      <c r="AB123" t="s">
        <v>8</v>
      </c>
      <c r="AF123" t="s">
        <v>6</v>
      </c>
    </row>
    <row r="124" spans="1:32" x14ac:dyDescent="0.2">
      <c r="A124" s="9" t="s">
        <v>614</v>
      </c>
      <c r="B124" s="9">
        <v>1921</v>
      </c>
      <c r="C124" s="7">
        <v>18</v>
      </c>
      <c r="D124" s="7" t="s">
        <v>2855</v>
      </c>
      <c r="F124">
        <v>35</v>
      </c>
      <c r="G124" t="s">
        <v>2845</v>
      </c>
      <c r="H124" t="s">
        <v>2844</v>
      </c>
      <c r="I124">
        <v>88</v>
      </c>
      <c r="J124" t="s">
        <v>13</v>
      </c>
      <c r="K124">
        <v>1</v>
      </c>
      <c r="N124">
        <v>1</v>
      </c>
      <c r="T124">
        <v>55</v>
      </c>
      <c r="AA124" t="s">
        <v>1013</v>
      </c>
      <c r="AB124" t="s">
        <v>8</v>
      </c>
      <c r="AC124">
        <v>1</v>
      </c>
      <c r="AD124">
        <v>1</v>
      </c>
      <c r="AF124">
        <v>1</v>
      </c>
    </row>
    <row r="125" spans="1:32" x14ac:dyDescent="0.2">
      <c r="A125" s="9" t="s">
        <v>614</v>
      </c>
      <c r="B125" s="9">
        <v>1921</v>
      </c>
      <c r="C125" s="7">
        <v>18</v>
      </c>
      <c r="D125" s="7" t="s">
        <v>2855</v>
      </c>
      <c r="G125" t="s">
        <v>2845</v>
      </c>
      <c r="H125" t="s">
        <v>2846</v>
      </c>
      <c r="I125">
        <v>89</v>
      </c>
      <c r="J125">
        <v>1</v>
      </c>
      <c r="N125" t="s">
        <v>18</v>
      </c>
      <c r="O125">
        <v>1</v>
      </c>
      <c r="T125">
        <v>54</v>
      </c>
      <c r="AA125" t="s">
        <v>131</v>
      </c>
      <c r="AB125" t="s">
        <v>20</v>
      </c>
      <c r="AF125">
        <v>1</v>
      </c>
    </row>
    <row r="126" spans="1:32" x14ac:dyDescent="0.2">
      <c r="A126" s="9" t="s">
        <v>614</v>
      </c>
      <c r="B126" s="9">
        <v>1921</v>
      </c>
      <c r="C126" s="7">
        <v>18</v>
      </c>
      <c r="D126" s="7" t="s">
        <v>2855</v>
      </c>
      <c r="G126" t="s">
        <v>817</v>
      </c>
      <c r="H126" t="s">
        <v>768</v>
      </c>
      <c r="I126">
        <v>90</v>
      </c>
      <c r="J126">
        <v>1</v>
      </c>
      <c r="N126" t="s">
        <v>26</v>
      </c>
      <c r="S126">
        <v>1</v>
      </c>
      <c r="T126">
        <v>49</v>
      </c>
      <c r="AA126" t="s">
        <v>33</v>
      </c>
      <c r="AB126" t="s">
        <v>29</v>
      </c>
      <c r="AC126">
        <v>1</v>
      </c>
      <c r="AF126">
        <v>1</v>
      </c>
    </row>
    <row r="127" spans="1:32" x14ac:dyDescent="0.2">
      <c r="A127" s="9" t="s">
        <v>614</v>
      </c>
      <c r="B127" s="9">
        <v>1921</v>
      </c>
      <c r="C127" s="7">
        <v>18</v>
      </c>
      <c r="D127" s="7" t="s">
        <v>2855</v>
      </c>
      <c r="G127" t="s">
        <v>1708</v>
      </c>
      <c r="H127" t="s">
        <v>702</v>
      </c>
      <c r="I127">
        <v>91</v>
      </c>
      <c r="J127">
        <v>1</v>
      </c>
      <c r="N127" t="s">
        <v>26</v>
      </c>
      <c r="S127">
        <v>1</v>
      </c>
      <c r="T127">
        <v>27</v>
      </c>
      <c r="AA127" t="s">
        <v>93</v>
      </c>
      <c r="AB127" t="s">
        <v>29</v>
      </c>
      <c r="AC127">
        <v>1</v>
      </c>
      <c r="AF127">
        <v>1</v>
      </c>
    </row>
    <row r="128" spans="1:32" x14ac:dyDescent="0.2">
      <c r="A128" s="9" t="s">
        <v>614</v>
      </c>
      <c r="B128" s="9">
        <v>1921</v>
      </c>
      <c r="C128" s="7">
        <v>18</v>
      </c>
      <c r="D128" s="7" t="s">
        <v>2855</v>
      </c>
      <c r="G128" t="s">
        <v>1525</v>
      </c>
      <c r="H128" t="s">
        <v>2847</v>
      </c>
      <c r="I128">
        <v>92</v>
      </c>
      <c r="J128">
        <v>1</v>
      </c>
      <c r="N128" t="s">
        <v>26</v>
      </c>
      <c r="S128">
        <v>1</v>
      </c>
      <c r="T128">
        <v>26</v>
      </c>
      <c r="AA128" t="s">
        <v>28</v>
      </c>
      <c r="AB128" t="s">
        <v>29</v>
      </c>
      <c r="AC128">
        <v>1</v>
      </c>
      <c r="AF128" t="s">
        <v>1255</v>
      </c>
    </row>
    <row r="129" spans="1:32" x14ac:dyDescent="0.2">
      <c r="A129" s="9" t="s">
        <v>614</v>
      </c>
      <c r="B129" s="9">
        <v>1921</v>
      </c>
      <c r="C129" s="7"/>
      <c r="D129" s="7" t="s">
        <v>2855</v>
      </c>
      <c r="H129">
        <v>5</v>
      </c>
    </row>
    <row r="130" spans="1:32" x14ac:dyDescent="0.2">
      <c r="A130" s="9" t="s">
        <v>614</v>
      </c>
      <c r="B130" s="9">
        <v>1921</v>
      </c>
      <c r="C130" s="7"/>
      <c r="D130" s="7" t="s">
        <v>2855</v>
      </c>
      <c r="G130" t="s">
        <v>1</v>
      </c>
      <c r="H130" t="s">
        <v>0</v>
      </c>
      <c r="J130" t="s">
        <v>3</v>
      </c>
      <c r="N130" t="s">
        <v>2</v>
      </c>
      <c r="T130" t="s">
        <v>5</v>
      </c>
      <c r="AA130" t="s">
        <v>7</v>
      </c>
      <c r="AB130" t="s">
        <v>8</v>
      </c>
      <c r="AF130" t="s">
        <v>6</v>
      </c>
    </row>
    <row r="131" spans="1:32" s="55" customFormat="1" x14ac:dyDescent="0.2">
      <c r="A131" s="226" t="s">
        <v>614</v>
      </c>
      <c r="B131" s="226">
        <v>1921</v>
      </c>
      <c r="C131" s="227">
        <v>19</v>
      </c>
      <c r="D131" s="227" t="s">
        <v>2855</v>
      </c>
      <c r="F131" s="55">
        <v>37</v>
      </c>
      <c r="G131" s="55" t="s">
        <v>2594</v>
      </c>
      <c r="H131" s="55" t="s">
        <v>2848</v>
      </c>
      <c r="I131" s="55">
        <v>93</v>
      </c>
      <c r="J131" s="55">
        <v>1</v>
      </c>
      <c r="N131" s="55">
        <v>1</v>
      </c>
      <c r="T131" s="55">
        <v>51</v>
      </c>
      <c r="AA131" s="55" t="s">
        <v>50</v>
      </c>
      <c r="AB131" s="55" t="s">
        <v>20</v>
      </c>
      <c r="AF131" s="55">
        <v>1</v>
      </c>
    </row>
    <row r="132" spans="1:32" x14ac:dyDescent="0.2">
      <c r="A132" s="9" t="s">
        <v>614</v>
      </c>
      <c r="B132" s="9">
        <v>1921</v>
      </c>
      <c r="C132" s="7">
        <v>19</v>
      </c>
      <c r="D132" s="7" t="s">
        <v>2855</v>
      </c>
      <c r="G132" t="s">
        <v>2849</v>
      </c>
      <c r="H132" t="s">
        <v>1318</v>
      </c>
      <c r="I132">
        <v>94</v>
      </c>
      <c r="J132">
        <v>1</v>
      </c>
      <c r="N132" t="s">
        <v>26</v>
      </c>
      <c r="S132">
        <v>1</v>
      </c>
      <c r="T132">
        <v>39</v>
      </c>
      <c r="AA132" t="s">
        <v>33</v>
      </c>
      <c r="AB132" t="s">
        <v>29</v>
      </c>
      <c r="AC132">
        <v>1</v>
      </c>
      <c r="AF132" t="s">
        <v>415</v>
      </c>
    </row>
    <row r="133" spans="1:32" x14ac:dyDescent="0.2">
      <c r="A133" s="9" t="s">
        <v>614</v>
      </c>
      <c r="B133" s="9">
        <v>1921</v>
      </c>
      <c r="C133" s="7">
        <v>19</v>
      </c>
      <c r="D133" s="7" t="s">
        <v>2855</v>
      </c>
      <c r="G133" t="s">
        <v>2850</v>
      </c>
      <c r="H133" t="s">
        <v>1220</v>
      </c>
      <c r="I133">
        <v>95</v>
      </c>
      <c r="J133">
        <v>1</v>
      </c>
      <c r="N133" t="s">
        <v>26</v>
      </c>
      <c r="S133">
        <v>1</v>
      </c>
      <c r="T133">
        <v>22</v>
      </c>
      <c r="AA133" t="s">
        <v>28</v>
      </c>
      <c r="AB133" t="s">
        <v>29</v>
      </c>
      <c r="AC133">
        <v>1</v>
      </c>
      <c r="AF133" t="s">
        <v>212</v>
      </c>
    </row>
    <row r="134" spans="1:32" x14ac:dyDescent="0.2">
      <c r="A134" s="9" t="s">
        <v>614</v>
      </c>
      <c r="B134" s="9">
        <v>1921</v>
      </c>
      <c r="C134" s="7"/>
      <c r="D134" s="7" t="s">
        <v>2855</v>
      </c>
      <c r="H134">
        <v>3</v>
      </c>
    </row>
    <row r="135" spans="1:32" x14ac:dyDescent="0.2">
      <c r="A135" s="9" t="s">
        <v>614</v>
      </c>
      <c r="B135" s="9">
        <v>1921</v>
      </c>
      <c r="C135" s="7"/>
      <c r="D135" s="7" t="s">
        <v>2855</v>
      </c>
      <c r="G135" t="s">
        <v>1</v>
      </c>
      <c r="H135" t="s">
        <v>0</v>
      </c>
      <c r="J135" t="s">
        <v>3</v>
      </c>
      <c r="N135" t="s">
        <v>2</v>
      </c>
      <c r="T135" t="s">
        <v>5</v>
      </c>
      <c r="AA135" t="s">
        <v>7</v>
      </c>
      <c r="AB135" t="s">
        <v>8</v>
      </c>
      <c r="AF135" t="s">
        <v>6</v>
      </c>
    </row>
    <row r="136" spans="1:32" x14ac:dyDescent="0.2">
      <c r="A136" s="9" t="s">
        <v>614</v>
      </c>
      <c r="B136" s="9">
        <v>1921</v>
      </c>
      <c r="C136" s="7">
        <v>20</v>
      </c>
      <c r="D136" s="7" t="s">
        <v>2855</v>
      </c>
      <c r="F136">
        <v>39</v>
      </c>
      <c r="G136" t="s">
        <v>1104</v>
      </c>
      <c r="H136" t="s">
        <v>758</v>
      </c>
      <c r="I136">
        <v>96</v>
      </c>
      <c r="J136" t="s">
        <v>13</v>
      </c>
      <c r="M136">
        <v>1</v>
      </c>
      <c r="N136" t="s">
        <v>51</v>
      </c>
      <c r="Q136">
        <v>1</v>
      </c>
      <c r="T136">
        <v>9</v>
      </c>
      <c r="AA136" t="s">
        <v>20</v>
      </c>
      <c r="AB136" t="s">
        <v>20</v>
      </c>
      <c r="AF136">
        <v>1</v>
      </c>
    </row>
    <row r="137" spans="1:32" x14ac:dyDescent="0.2">
      <c r="A137" s="9" t="s">
        <v>614</v>
      </c>
      <c r="B137" s="9">
        <v>1921</v>
      </c>
      <c r="C137" s="7">
        <v>20</v>
      </c>
      <c r="D137" s="7" t="s">
        <v>2855</v>
      </c>
      <c r="G137" t="s">
        <v>1104</v>
      </c>
      <c r="H137" t="s">
        <v>2851</v>
      </c>
      <c r="I137">
        <v>97</v>
      </c>
      <c r="J137" t="s">
        <v>13</v>
      </c>
      <c r="M137">
        <v>1</v>
      </c>
      <c r="N137" t="s">
        <v>51</v>
      </c>
      <c r="Q137">
        <v>1</v>
      </c>
      <c r="T137">
        <v>2</v>
      </c>
      <c r="AA137" t="s">
        <v>20</v>
      </c>
      <c r="AB137" t="s">
        <v>20</v>
      </c>
      <c r="AF137">
        <v>1</v>
      </c>
    </row>
    <row r="138" spans="1:32" x14ac:dyDescent="0.2">
      <c r="A138" s="9" t="s">
        <v>614</v>
      </c>
      <c r="B138" s="9">
        <v>1921</v>
      </c>
      <c r="C138" s="7">
        <v>20</v>
      </c>
      <c r="D138" s="7" t="s">
        <v>2855</v>
      </c>
      <c r="G138" t="s">
        <v>2852</v>
      </c>
      <c r="H138" t="s">
        <v>819</v>
      </c>
      <c r="I138">
        <v>98</v>
      </c>
      <c r="J138">
        <v>1</v>
      </c>
      <c r="N138" t="s">
        <v>26</v>
      </c>
      <c r="S138">
        <v>1</v>
      </c>
      <c r="T138">
        <v>20</v>
      </c>
      <c r="AA138" t="s">
        <v>934</v>
      </c>
      <c r="AB138" t="s">
        <v>29</v>
      </c>
      <c r="AC138">
        <v>1</v>
      </c>
      <c r="AF138" t="s">
        <v>212</v>
      </c>
    </row>
    <row r="139" spans="1:32" x14ac:dyDescent="0.2">
      <c r="A139" s="9" t="s">
        <v>614</v>
      </c>
      <c r="B139" s="9">
        <v>1921</v>
      </c>
      <c r="C139" s="7">
        <v>20</v>
      </c>
      <c r="D139" s="7" t="s">
        <v>2855</v>
      </c>
      <c r="G139" t="s">
        <v>2854</v>
      </c>
      <c r="H139" t="s">
        <v>2853</v>
      </c>
      <c r="I139">
        <v>99</v>
      </c>
      <c r="J139">
        <v>1</v>
      </c>
      <c r="N139" t="s">
        <v>26</v>
      </c>
      <c r="S139">
        <v>1</v>
      </c>
      <c r="T139">
        <v>35</v>
      </c>
      <c r="AA139" t="s">
        <v>33</v>
      </c>
      <c r="AB139" t="s">
        <v>29</v>
      </c>
      <c r="AC139">
        <v>1</v>
      </c>
      <c r="AF139" t="s">
        <v>212</v>
      </c>
    </row>
    <row r="140" spans="1:32" x14ac:dyDescent="0.2">
      <c r="A140" s="9"/>
      <c r="B140" s="9"/>
      <c r="C140" s="7"/>
      <c r="D140" s="7"/>
      <c r="H140">
        <v>4</v>
      </c>
    </row>
    <row r="141" spans="1:32" x14ac:dyDescent="0.2">
      <c r="A141" s="9" t="s">
        <v>614</v>
      </c>
      <c r="B141" s="9">
        <v>1921</v>
      </c>
      <c r="C141" s="7"/>
      <c r="D141" s="7" t="s">
        <v>2855</v>
      </c>
      <c r="G141" t="s">
        <v>1</v>
      </c>
      <c r="H141" t="s">
        <v>0</v>
      </c>
      <c r="J141" t="s">
        <v>3</v>
      </c>
      <c r="N141" t="s">
        <v>2</v>
      </c>
      <c r="P141" t="s">
        <v>4</v>
      </c>
      <c r="T141" t="s">
        <v>5</v>
      </c>
      <c r="AA141" t="s">
        <v>7</v>
      </c>
      <c r="AB141" t="s">
        <v>8</v>
      </c>
      <c r="AF141" t="s">
        <v>6</v>
      </c>
    </row>
    <row r="142" spans="1:32" x14ac:dyDescent="0.2">
      <c r="A142" s="9" t="s">
        <v>614</v>
      </c>
      <c r="B142" s="9">
        <v>1921</v>
      </c>
      <c r="C142" s="7">
        <v>21</v>
      </c>
      <c r="D142" s="7" t="s">
        <v>2855</v>
      </c>
      <c r="G142" t="s">
        <v>830</v>
      </c>
      <c r="H142" t="s">
        <v>957</v>
      </c>
      <c r="I142">
        <v>100</v>
      </c>
      <c r="J142" t="s">
        <v>13</v>
      </c>
      <c r="K142">
        <v>1</v>
      </c>
      <c r="N142">
        <v>1</v>
      </c>
      <c r="T142">
        <v>54</v>
      </c>
      <c r="AA142" t="s">
        <v>424</v>
      </c>
      <c r="AB142" t="s">
        <v>8</v>
      </c>
      <c r="AC142">
        <v>1</v>
      </c>
      <c r="AD142">
        <v>1</v>
      </c>
      <c r="AF142">
        <v>1</v>
      </c>
    </row>
    <row r="143" spans="1:32" x14ac:dyDescent="0.2">
      <c r="A143" s="9" t="s">
        <v>614</v>
      </c>
      <c r="B143" s="9">
        <v>1921</v>
      </c>
      <c r="C143" s="7">
        <v>21</v>
      </c>
      <c r="D143" s="7" t="s">
        <v>2855</v>
      </c>
      <c r="G143" t="s">
        <v>830</v>
      </c>
      <c r="H143" t="s">
        <v>958</v>
      </c>
      <c r="I143">
        <v>101</v>
      </c>
      <c r="J143">
        <v>1</v>
      </c>
      <c r="N143" t="s">
        <v>18</v>
      </c>
      <c r="O143">
        <v>1</v>
      </c>
      <c r="T143">
        <v>52</v>
      </c>
      <c r="AA143" t="s">
        <v>20</v>
      </c>
      <c r="AB143" t="s">
        <v>20</v>
      </c>
      <c r="AF143" t="s">
        <v>62</v>
      </c>
    </row>
    <row r="144" spans="1:32" x14ac:dyDescent="0.2">
      <c r="A144" s="9" t="s">
        <v>614</v>
      </c>
      <c r="B144" s="9">
        <v>1921</v>
      </c>
      <c r="C144" s="7">
        <v>21</v>
      </c>
      <c r="D144" s="7" t="s">
        <v>2855</v>
      </c>
      <c r="G144" t="s">
        <v>960</v>
      </c>
      <c r="H144" t="s">
        <v>959</v>
      </c>
      <c r="I144">
        <v>102</v>
      </c>
      <c r="J144">
        <v>1</v>
      </c>
      <c r="N144" t="s">
        <v>26</v>
      </c>
      <c r="S144">
        <v>1</v>
      </c>
      <c r="T144">
        <v>28</v>
      </c>
      <c r="AA144" t="s">
        <v>56</v>
      </c>
      <c r="AB144" t="s">
        <v>29</v>
      </c>
      <c r="AC144">
        <v>1</v>
      </c>
      <c r="AF144" t="s">
        <v>961</v>
      </c>
    </row>
    <row r="145" spans="1:32" x14ac:dyDescent="0.2">
      <c r="A145" s="9" t="s">
        <v>614</v>
      </c>
      <c r="B145" s="9">
        <v>1921</v>
      </c>
      <c r="C145" s="7">
        <v>21</v>
      </c>
      <c r="D145" s="7" t="s">
        <v>2855</v>
      </c>
      <c r="G145" t="s">
        <v>963</v>
      </c>
      <c r="H145" t="s">
        <v>962</v>
      </c>
      <c r="I145">
        <v>103</v>
      </c>
      <c r="J145">
        <v>1</v>
      </c>
      <c r="N145" t="s">
        <v>26</v>
      </c>
      <c r="S145">
        <v>1</v>
      </c>
      <c r="T145">
        <v>28</v>
      </c>
      <c r="AA145" t="s">
        <v>56</v>
      </c>
      <c r="AB145" t="s">
        <v>29</v>
      </c>
      <c r="AC145">
        <v>1</v>
      </c>
      <c r="AF145">
        <v>1</v>
      </c>
    </row>
    <row r="146" spans="1:32" x14ac:dyDescent="0.2">
      <c r="A146" s="9" t="s">
        <v>614</v>
      </c>
      <c r="B146" s="9">
        <v>1921</v>
      </c>
      <c r="C146" s="7">
        <v>21</v>
      </c>
      <c r="D146" s="7" t="s">
        <v>2855</v>
      </c>
      <c r="G146" t="s">
        <v>965</v>
      </c>
      <c r="H146" t="s">
        <v>964</v>
      </c>
      <c r="I146">
        <v>104</v>
      </c>
      <c r="J146">
        <v>1</v>
      </c>
      <c r="N146" t="s">
        <v>26</v>
      </c>
      <c r="S146">
        <v>1</v>
      </c>
      <c r="T146">
        <v>45</v>
      </c>
      <c r="AA146" t="s">
        <v>56</v>
      </c>
      <c r="AB146" t="s">
        <v>29</v>
      </c>
      <c r="AC146">
        <v>1</v>
      </c>
      <c r="AF146" t="s">
        <v>966</v>
      </c>
    </row>
    <row r="147" spans="1:32" x14ac:dyDescent="0.2">
      <c r="A147" s="9" t="s">
        <v>614</v>
      </c>
      <c r="B147" s="9">
        <v>1921</v>
      </c>
      <c r="C147" s="7">
        <v>21</v>
      </c>
      <c r="D147" s="7" t="s">
        <v>2855</v>
      </c>
      <c r="G147" t="s">
        <v>967</v>
      </c>
      <c r="H147" t="s">
        <v>63</v>
      </c>
      <c r="I147">
        <v>105</v>
      </c>
      <c r="J147">
        <v>1</v>
      </c>
      <c r="N147" t="s">
        <v>26</v>
      </c>
      <c r="S147">
        <v>1</v>
      </c>
      <c r="T147">
        <v>25</v>
      </c>
      <c r="AA147" t="s">
        <v>56</v>
      </c>
      <c r="AB147" t="s">
        <v>29</v>
      </c>
      <c r="AC147">
        <v>1</v>
      </c>
      <c r="AF147" t="s">
        <v>968</v>
      </c>
    </row>
    <row r="148" spans="1:32" x14ac:dyDescent="0.2">
      <c r="A148" s="9" t="s">
        <v>614</v>
      </c>
      <c r="B148" s="9">
        <v>1921</v>
      </c>
      <c r="C148" s="7">
        <v>21</v>
      </c>
      <c r="D148" s="7" t="s">
        <v>2855</v>
      </c>
      <c r="G148" t="s">
        <v>969</v>
      </c>
      <c r="H148" t="s">
        <v>64</v>
      </c>
      <c r="I148">
        <v>106</v>
      </c>
      <c r="J148">
        <v>1</v>
      </c>
      <c r="N148" t="s">
        <v>26</v>
      </c>
      <c r="S148">
        <v>1</v>
      </c>
      <c r="T148">
        <v>16</v>
      </c>
      <c r="AA148" t="s">
        <v>56</v>
      </c>
      <c r="AB148" t="s">
        <v>29</v>
      </c>
      <c r="AC148">
        <v>1</v>
      </c>
      <c r="AF148" t="s">
        <v>65</v>
      </c>
    </row>
    <row r="149" spans="1:32" x14ac:dyDescent="0.2">
      <c r="A149" s="9" t="s">
        <v>614</v>
      </c>
      <c r="B149" s="9">
        <v>1921</v>
      </c>
      <c r="C149" s="7"/>
      <c r="D149" s="7" t="s">
        <v>2855</v>
      </c>
      <c r="H149">
        <v>7</v>
      </c>
    </row>
    <row r="150" spans="1:32" x14ac:dyDescent="0.2">
      <c r="A150" s="9" t="s">
        <v>614</v>
      </c>
      <c r="B150" s="9">
        <v>1921</v>
      </c>
      <c r="C150" s="7"/>
      <c r="D150" s="7" t="s">
        <v>2855</v>
      </c>
      <c r="G150" t="s">
        <v>1</v>
      </c>
      <c r="H150" t="s">
        <v>0</v>
      </c>
      <c r="J150" t="s">
        <v>3</v>
      </c>
      <c r="N150" t="s">
        <v>2</v>
      </c>
      <c r="T150" t="s">
        <v>5</v>
      </c>
      <c r="AA150" t="s">
        <v>7</v>
      </c>
      <c r="AB150" t="s">
        <v>8</v>
      </c>
      <c r="AF150" t="s">
        <v>6</v>
      </c>
    </row>
    <row r="151" spans="1:32" x14ac:dyDescent="0.2">
      <c r="A151" s="9" t="s">
        <v>614</v>
      </c>
      <c r="B151" s="9">
        <v>1921</v>
      </c>
      <c r="C151" s="7">
        <v>22</v>
      </c>
      <c r="D151" s="7" t="s">
        <v>2855</v>
      </c>
      <c r="G151" t="s">
        <v>971</v>
      </c>
      <c r="H151" t="s">
        <v>970</v>
      </c>
      <c r="I151">
        <v>107</v>
      </c>
      <c r="J151" t="s">
        <v>13</v>
      </c>
      <c r="K151">
        <v>1</v>
      </c>
      <c r="N151">
        <v>1</v>
      </c>
      <c r="T151">
        <v>52</v>
      </c>
      <c r="AA151" t="s">
        <v>973</v>
      </c>
      <c r="AB151" t="s">
        <v>974</v>
      </c>
      <c r="AC151">
        <v>1</v>
      </c>
      <c r="AF151" t="s">
        <v>972</v>
      </c>
    </row>
    <row r="152" spans="1:32" x14ac:dyDescent="0.2">
      <c r="A152" s="9" t="s">
        <v>614</v>
      </c>
      <c r="B152" s="9">
        <v>1921</v>
      </c>
      <c r="C152" s="7">
        <v>22</v>
      </c>
      <c r="D152" s="7" t="s">
        <v>2855</v>
      </c>
      <c r="G152" t="s">
        <v>971</v>
      </c>
      <c r="H152" t="s">
        <v>975</v>
      </c>
      <c r="I152">
        <v>108</v>
      </c>
      <c r="J152">
        <v>1</v>
      </c>
      <c r="N152" t="s">
        <v>18</v>
      </c>
      <c r="O152">
        <v>1</v>
      </c>
      <c r="T152">
        <v>48</v>
      </c>
      <c r="AA152" t="s">
        <v>50</v>
      </c>
      <c r="AB152" t="s">
        <v>20</v>
      </c>
      <c r="AF152" t="s">
        <v>976</v>
      </c>
    </row>
    <row r="153" spans="1:32" x14ac:dyDescent="0.2">
      <c r="A153" s="9" t="s">
        <v>614</v>
      </c>
      <c r="B153" s="9">
        <v>1921</v>
      </c>
      <c r="C153" s="7">
        <v>22</v>
      </c>
      <c r="D153" s="7" t="s">
        <v>2855</v>
      </c>
      <c r="G153" t="s">
        <v>978</v>
      </c>
      <c r="H153" t="s">
        <v>977</v>
      </c>
      <c r="I153">
        <v>109</v>
      </c>
      <c r="J153">
        <v>1</v>
      </c>
      <c r="N153" t="s">
        <v>979</v>
      </c>
      <c r="R153">
        <v>1</v>
      </c>
      <c r="T153">
        <v>41</v>
      </c>
      <c r="AA153" t="s">
        <v>173</v>
      </c>
      <c r="AB153" t="s">
        <v>980</v>
      </c>
      <c r="AC153">
        <v>1</v>
      </c>
      <c r="AF153" t="s">
        <v>976</v>
      </c>
    </row>
    <row r="154" spans="1:32" x14ac:dyDescent="0.2">
      <c r="A154" s="9" t="s">
        <v>614</v>
      </c>
      <c r="B154" s="9">
        <v>1921</v>
      </c>
      <c r="C154" s="7">
        <v>22</v>
      </c>
      <c r="D154" s="7" t="s">
        <v>2855</v>
      </c>
      <c r="G154" t="s">
        <v>978</v>
      </c>
      <c r="H154" t="s">
        <v>981</v>
      </c>
      <c r="I154">
        <v>110</v>
      </c>
      <c r="J154" t="s">
        <v>13</v>
      </c>
      <c r="K154">
        <v>1</v>
      </c>
      <c r="N154" t="s">
        <v>982</v>
      </c>
      <c r="R154">
        <v>1</v>
      </c>
      <c r="T154">
        <v>16</v>
      </c>
      <c r="AA154" t="s">
        <v>20</v>
      </c>
      <c r="AB154" t="s">
        <v>20</v>
      </c>
      <c r="AF154" t="s">
        <v>983</v>
      </c>
    </row>
    <row r="155" spans="1:32" x14ac:dyDescent="0.2">
      <c r="A155" s="9" t="s">
        <v>614</v>
      </c>
      <c r="B155" s="9">
        <v>1921</v>
      </c>
      <c r="C155" s="7">
        <v>22</v>
      </c>
      <c r="D155" s="7" t="s">
        <v>2855</v>
      </c>
      <c r="G155" t="s">
        <v>985</v>
      </c>
      <c r="H155" t="s">
        <v>984</v>
      </c>
      <c r="I155">
        <v>111</v>
      </c>
      <c r="J155">
        <v>1</v>
      </c>
      <c r="N155" t="s">
        <v>26</v>
      </c>
      <c r="S155">
        <v>1</v>
      </c>
      <c r="T155">
        <v>24</v>
      </c>
      <c r="AA155" t="s">
        <v>33</v>
      </c>
      <c r="AB155" t="s">
        <v>987</v>
      </c>
      <c r="AC155">
        <v>1</v>
      </c>
      <c r="AF155" t="s">
        <v>986</v>
      </c>
    </row>
    <row r="156" spans="1:32" x14ac:dyDescent="0.2">
      <c r="A156" s="9" t="s">
        <v>614</v>
      </c>
      <c r="B156" s="9">
        <v>1921</v>
      </c>
      <c r="C156" s="7">
        <v>22</v>
      </c>
      <c r="D156" s="7" t="s">
        <v>2855</v>
      </c>
      <c r="G156" t="s">
        <v>988</v>
      </c>
      <c r="H156" t="s">
        <v>331</v>
      </c>
      <c r="I156">
        <v>112</v>
      </c>
      <c r="J156">
        <v>1</v>
      </c>
      <c r="N156" t="s">
        <v>26</v>
      </c>
      <c r="S156">
        <v>1</v>
      </c>
      <c r="T156">
        <v>15</v>
      </c>
      <c r="AA156" t="s">
        <v>990</v>
      </c>
      <c r="AB156" t="s">
        <v>991</v>
      </c>
      <c r="AC156">
        <v>1</v>
      </c>
      <c r="AF156" t="s">
        <v>989</v>
      </c>
    </row>
    <row r="157" spans="1:32" x14ac:dyDescent="0.2">
      <c r="A157" s="9" t="s">
        <v>614</v>
      </c>
      <c r="B157" s="9">
        <v>1921</v>
      </c>
      <c r="C157" s="7">
        <v>22</v>
      </c>
      <c r="D157" s="7" t="s">
        <v>2855</v>
      </c>
      <c r="G157" t="s">
        <v>903</v>
      </c>
      <c r="H157" t="s">
        <v>992</v>
      </c>
      <c r="I157">
        <v>113</v>
      </c>
      <c r="J157">
        <v>1</v>
      </c>
      <c r="N157" t="s">
        <v>26</v>
      </c>
      <c r="S157">
        <v>1</v>
      </c>
      <c r="T157">
        <v>16</v>
      </c>
      <c r="AA157" t="s">
        <v>28</v>
      </c>
      <c r="AB157" t="s">
        <v>994</v>
      </c>
      <c r="AC157">
        <v>1</v>
      </c>
      <c r="AF157" t="s">
        <v>993</v>
      </c>
    </row>
    <row r="158" spans="1:32" x14ac:dyDescent="0.2">
      <c r="A158" s="9" t="s">
        <v>614</v>
      </c>
      <c r="B158" s="9">
        <v>1921</v>
      </c>
      <c r="C158" s="7"/>
      <c r="D158" s="7" t="s">
        <v>2855</v>
      </c>
      <c r="H158">
        <v>7</v>
      </c>
    </row>
    <row r="159" spans="1:32" x14ac:dyDescent="0.2">
      <c r="A159" s="9" t="s">
        <v>614</v>
      </c>
      <c r="B159" s="9">
        <v>1921</v>
      </c>
      <c r="C159" s="7"/>
      <c r="D159" s="7" t="s">
        <v>2855</v>
      </c>
      <c r="G159" t="s">
        <v>1</v>
      </c>
      <c r="H159" t="s">
        <v>0</v>
      </c>
      <c r="J159" t="s">
        <v>3</v>
      </c>
      <c r="N159" t="s">
        <v>2</v>
      </c>
      <c r="T159" t="s">
        <v>5</v>
      </c>
      <c r="AA159" t="s">
        <v>7</v>
      </c>
      <c r="AB159" t="s">
        <v>8</v>
      </c>
      <c r="AF159" t="s">
        <v>6</v>
      </c>
    </row>
    <row r="160" spans="1:32" x14ac:dyDescent="0.2">
      <c r="A160" s="9" t="s">
        <v>614</v>
      </c>
      <c r="B160" s="9">
        <v>1921</v>
      </c>
      <c r="C160" s="7">
        <v>23</v>
      </c>
      <c r="D160" s="7" t="s">
        <v>2855</v>
      </c>
      <c r="G160" t="s">
        <v>743</v>
      </c>
      <c r="H160" t="s">
        <v>3178</v>
      </c>
      <c r="I160">
        <v>114</v>
      </c>
      <c r="J160" t="s">
        <v>13</v>
      </c>
      <c r="K160">
        <v>1</v>
      </c>
      <c r="N160">
        <v>1</v>
      </c>
      <c r="T160">
        <v>51</v>
      </c>
      <c r="AA160" t="s">
        <v>2196</v>
      </c>
      <c r="AB160" t="s">
        <v>16</v>
      </c>
      <c r="AC160">
        <v>1</v>
      </c>
      <c r="AF160">
        <v>1</v>
      </c>
    </row>
    <row r="161" spans="1:35" x14ac:dyDescent="0.2">
      <c r="A161" s="9" t="s">
        <v>614</v>
      </c>
      <c r="B161" s="9">
        <v>1921</v>
      </c>
      <c r="C161" s="7">
        <v>23</v>
      </c>
      <c r="D161" s="7" t="s">
        <v>2855</v>
      </c>
      <c r="G161" t="s">
        <v>743</v>
      </c>
      <c r="H161" t="s">
        <v>704</v>
      </c>
      <c r="I161">
        <v>115</v>
      </c>
      <c r="J161">
        <v>1</v>
      </c>
      <c r="N161" t="s">
        <v>18</v>
      </c>
      <c r="O161">
        <v>1</v>
      </c>
      <c r="T161">
        <v>60</v>
      </c>
      <c r="AA161" t="s">
        <v>20</v>
      </c>
      <c r="AB161" t="s">
        <v>20</v>
      </c>
      <c r="AF161">
        <v>1</v>
      </c>
    </row>
    <row r="162" spans="1:35" x14ac:dyDescent="0.2">
      <c r="A162" s="9" t="s">
        <v>614</v>
      </c>
      <c r="B162" s="9">
        <v>1921</v>
      </c>
      <c r="C162" s="7">
        <v>23</v>
      </c>
      <c r="D162" s="7" t="s">
        <v>2855</v>
      </c>
      <c r="G162" t="s">
        <v>3180</v>
      </c>
      <c r="H162" t="s">
        <v>3179</v>
      </c>
      <c r="I162">
        <v>116</v>
      </c>
      <c r="J162">
        <v>1</v>
      </c>
      <c r="N162" t="s">
        <v>58</v>
      </c>
      <c r="R162">
        <v>1</v>
      </c>
      <c r="T162">
        <v>79</v>
      </c>
      <c r="AA162" t="s">
        <v>20</v>
      </c>
      <c r="AB162" t="s">
        <v>20</v>
      </c>
      <c r="AF162" t="s">
        <v>3181</v>
      </c>
    </row>
    <row r="163" spans="1:35" x14ac:dyDescent="0.2">
      <c r="A163" s="9" t="s">
        <v>614</v>
      </c>
      <c r="B163" s="9">
        <v>1921</v>
      </c>
      <c r="C163" s="7">
        <v>23</v>
      </c>
      <c r="D163" s="7" t="s">
        <v>2855</v>
      </c>
      <c r="G163" t="s">
        <v>3182</v>
      </c>
      <c r="H163" t="s">
        <v>1414</v>
      </c>
      <c r="I163">
        <v>117</v>
      </c>
      <c r="J163">
        <v>1</v>
      </c>
      <c r="N163" t="s">
        <v>26</v>
      </c>
      <c r="S163">
        <v>1</v>
      </c>
      <c r="T163">
        <v>58</v>
      </c>
      <c r="AA163" t="s">
        <v>33</v>
      </c>
      <c r="AB163" t="s">
        <v>29</v>
      </c>
      <c r="AC163">
        <v>1</v>
      </c>
      <c r="AF163" t="s">
        <v>368</v>
      </c>
    </row>
    <row r="164" spans="1:35" x14ac:dyDescent="0.2">
      <c r="A164" s="9" t="s">
        <v>614</v>
      </c>
      <c r="B164" s="9">
        <v>1921</v>
      </c>
      <c r="C164" s="7">
        <v>23</v>
      </c>
      <c r="D164" s="7" t="s">
        <v>2855</v>
      </c>
      <c r="G164" t="s">
        <v>2689</v>
      </c>
      <c r="H164" t="s">
        <v>3183</v>
      </c>
      <c r="I164">
        <v>118</v>
      </c>
      <c r="J164">
        <v>1</v>
      </c>
      <c r="N164" t="s">
        <v>26</v>
      </c>
      <c r="S164">
        <v>1</v>
      </c>
      <c r="T164">
        <v>32</v>
      </c>
      <c r="AA164" t="s">
        <v>360</v>
      </c>
      <c r="AB164" t="s">
        <v>29</v>
      </c>
      <c r="AC164">
        <v>1</v>
      </c>
      <c r="AF164">
        <v>1</v>
      </c>
    </row>
    <row r="165" spans="1:35" x14ac:dyDescent="0.2">
      <c r="A165" s="9" t="s">
        <v>614</v>
      </c>
      <c r="B165" s="9">
        <v>1921</v>
      </c>
      <c r="C165" s="7">
        <v>23</v>
      </c>
      <c r="D165" s="7" t="s">
        <v>2855</v>
      </c>
      <c r="G165" t="s">
        <v>3185</v>
      </c>
      <c r="H165" t="s">
        <v>3184</v>
      </c>
      <c r="I165">
        <v>119</v>
      </c>
      <c r="J165">
        <v>1</v>
      </c>
      <c r="N165" t="s">
        <v>26</v>
      </c>
      <c r="S165">
        <v>1</v>
      </c>
      <c r="T165">
        <v>20</v>
      </c>
      <c r="AA165" t="s">
        <v>28</v>
      </c>
      <c r="AB165" t="s">
        <v>29</v>
      </c>
      <c r="AC165">
        <v>1</v>
      </c>
      <c r="AF165" t="s">
        <v>2015</v>
      </c>
    </row>
    <row r="166" spans="1:35" x14ac:dyDescent="0.2">
      <c r="A166" s="9" t="s">
        <v>614</v>
      </c>
      <c r="B166" s="9">
        <v>1921</v>
      </c>
      <c r="C166" s="7"/>
      <c r="D166" s="7" t="s">
        <v>2855</v>
      </c>
      <c r="H166">
        <v>6</v>
      </c>
    </row>
    <row r="167" spans="1:35" x14ac:dyDescent="0.2">
      <c r="A167" s="9" t="s">
        <v>614</v>
      </c>
      <c r="B167" s="9">
        <v>1921</v>
      </c>
      <c r="C167" s="7"/>
      <c r="D167" s="7" t="s">
        <v>2855</v>
      </c>
      <c r="G167" t="s">
        <v>1</v>
      </c>
      <c r="H167" t="s">
        <v>0</v>
      </c>
      <c r="J167" t="s">
        <v>3</v>
      </c>
      <c r="N167" t="s">
        <v>2</v>
      </c>
      <c r="T167" t="s">
        <v>5</v>
      </c>
      <c r="AA167" t="s">
        <v>7</v>
      </c>
      <c r="AB167" t="s">
        <v>8</v>
      </c>
      <c r="AF167" t="s">
        <v>6</v>
      </c>
    </row>
    <row r="168" spans="1:35" x14ac:dyDescent="0.2">
      <c r="A168" s="9" t="s">
        <v>614</v>
      </c>
      <c r="B168" s="9">
        <v>1921</v>
      </c>
      <c r="C168" s="7">
        <v>24</v>
      </c>
      <c r="D168" s="7" t="s">
        <v>2855</v>
      </c>
      <c r="G168" t="s">
        <v>1859</v>
      </c>
      <c r="H168" t="s">
        <v>2847</v>
      </c>
      <c r="I168">
        <v>120</v>
      </c>
      <c r="J168">
        <v>1</v>
      </c>
      <c r="N168" t="s">
        <v>26</v>
      </c>
      <c r="S168">
        <v>1</v>
      </c>
      <c r="T168">
        <v>53</v>
      </c>
      <c r="AA168" t="s">
        <v>33</v>
      </c>
      <c r="AB168" t="s">
        <v>29</v>
      </c>
      <c r="AC168">
        <v>1</v>
      </c>
      <c r="AF168" t="s">
        <v>3186</v>
      </c>
    </row>
    <row r="169" spans="1:35" x14ac:dyDescent="0.2">
      <c r="A169" s="9" t="s">
        <v>614</v>
      </c>
      <c r="B169" s="9">
        <v>1921</v>
      </c>
      <c r="C169" s="7">
        <v>24</v>
      </c>
      <c r="D169" s="7" t="s">
        <v>2855</v>
      </c>
      <c r="G169" t="s">
        <v>3187</v>
      </c>
      <c r="H169" t="s">
        <v>46</v>
      </c>
      <c r="I169">
        <v>121</v>
      </c>
      <c r="J169">
        <v>1</v>
      </c>
      <c r="N169" t="s">
        <v>26</v>
      </c>
      <c r="S169">
        <v>1</v>
      </c>
      <c r="T169">
        <v>29</v>
      </c>
      <c r="AA169" t="s">
        <v>344</v>
      </c>
      <c r="AB169" t="s">
        <v>29</v>
      </c>
      <c r="AC169">
        <v>1</v>
      </c>
      <c r="AF169">
        <v>1</v>
      </c>
    </row>
    <row r="170" spans="1:35" x14ac:dyDescent="0.2">
      <c r="A170" s="9" t="s">
        <v>614</v>
      </c>
      <c r="B170" s="9">
        <v>1921</v>
      </c>
      <c r="C170" s="7">
        <v>24</v>
      </c>
      <c r="D170" s="7" t="s">
        <v>2855</v>
      </c>
      <c r="G170" t="s">
        <v>3190</v>
      </c>
      <c r="H170" t="s">
        <v>3189</v>
      </c>
      <c r="I170">
        <v>122</v>
      </c>
      <c r="J170">
        <v>1</v>
      </c>
      <c r="N170" t="s">
        <v>26</v>
      </c>
      <c r="S170">
        <v>1</v>
      </c>
      <c r="T170">
        <v>18</v>
      </c>
      <c r="AA170" t="s">
        <v>344</v>
      </c>
      <c r="AB170" t="s">
        <v>29</v>
      </c>
      <c r="AC170">
        <v>1</v>
      </c>
      <c r="AF170" t="s">
        <v>3191</v>
      </c>
    </row>
    <row r="171" spans="1:35" x14ac:dyDescent="0.2">
      <c r="A171" s="9" t="s">
        <v>614</v>
      </c>
      <c r="B171" s="9">
        <v>1921</v>
      </c>
      <c r="C171" s="7">
        <v>24</v>
      </c>
      <c r="D171" s="7" t="s">
        <v>2855</v>
      </c>
      <c r="H171">
        <v>3</v>
      </c>
      <c r="I171">
        <v>122</v>
      </c>
      <c r="J171">
        <f>SUM(J3:J170)</f>
        <v>92</v>
      </c>
      <c r="K171">
        <f t="shared" ref="K171:AI171" si="0">SUM(K3:K170)</f>
        <v>23</v>
      </c>
      <c r="L171">
        <f t="shared" si="0"/>
        <v>4</v>
      </c>
      <c r="M171">
        <f t="shared" si="0"/>
        <v>3</v>
      </c>
      <c r="N171">
        <f t="shared" si="0"/>
        <v>20</v>
      </c>
      <c r="O171">
        <f t="shared" si="0"/>
        <v>14</v>
      </c>
      <c r="P171">
        <f t="shared" si="0"/>
        <v>10</v>
      </c>
      <c r="Q171">
        <f t="shared" si="0"/>
        <v>3</v>
      </c>
      <c r="R171">
        <f t="shared" si="0"/>
        <v>18</v>
      </c>
      <c r="S171">
        <f t="shared" si="0"/>
        <v>57</v>
      </c>
      <c r="T171">
        <f t="shared" si="0"/>
        <v>4570</v>
      </c>
      <c r="U171">
        <f t="shared" si="0"/>
        <v>0</v>
      </c>
      <c r="V171">
        <f t="shared" si="0"/>
        <v>0</v>
      </c>
      <c r="W171">
        <f t="shared" si="0"/>
        <v>0</v>
      </c>
      <c r="X171">
        <f t="shared" si="0"/>
        <v>0</v>
      </c>
      <c r="Y171">
        <f t="shared" si="0"/>
        <v>0</v>
      </c>
      <c r="Z171">
        <f t="shared" si="0"/>
        <v>0</v>
      </c>
      <c r="AA171">
        <f t="shared" si="0"/>
        <v>0</v>
      </c>
      <c r="AB171">
        <f t="shared" si="0"/>
        <v>0</v>
      </c>
      <c r="AC171">
        <f t="shared" si="0"/>
        <v>79</v>
      </c>
      <c r="AD171">
        <f t="shared" si="0"/>
        <v>6</v>
      </c>
      <c r="AE171">
        <f>AC171-AD171</f>
        <v>73</v>
      </c>
      <c r="AF171">
        <f t="shared" si="0"/>
        <v>42</v>
      </c>
      <c r="AG171">
        <f>N172-AF171</f>
        <v>80</v>
      </c>
      <c r="AH171">
        <f t="shared" si="0"/>
        <v>0</v>
      </c>
      <c r="AI171">
        <f t="shared" si="0"/>
        <v>0</v>
      </c>
    </row>
    <row r="172" spans="1:35" x14ac:dyDescent="0.2">
      <c r="A172" s="9" t="s">
        <v>614</v>
      </c>
      <c r="B172" s="9">
        <v>1921</v>
      </c>
      <c r="C172" s="7"/>
      <c r="D172" s="7" t="s">
        <v>2855</v>
      </c>
      <c r="J172">
        <f>SUM(J171:M171)</f>
        <v>122</v>
      </c>
      <c r="N172">
        <f>SUM(N171:S171)</f>
        <v>122</v>
      </c>
      <c r="T172" s="64">
        <f>T171/N172</f>
        <v>37.459016393442624</v>
      </c>
    </row>
    <row r="173" spans="1:35" x14ac:dyDescent="0.2">
      <c r="A173" s="9" t="s">
        <v>614</v>
      </c>
      <c r="B173" s="9">
        <v>1921</v>
      </c>
      <c r="C173" s="7"/>
      <c r="D173" s="7"/>
    </row>
    <row r="174" spans="1:35" x14ac:dyDescent="0.2">
      <c r="A174" s="9" t="s">
        <v>614</v>
      </c>
      <c r="B174" s="9"/>
      <c r="C174" s="7"/>
      <c r="D174" s="7"/>
    </row>
    <row r="175" spans="1:35" x14ac:dyDescent="0.2">
      <c r="A175" s="9" t="s">
        <v>614</v>
      </c>
      <c r="B175" s="9"/>
      <c r="C175" s="7"/>
      <c r="D175" s="7"/>
    </row>
    <row r="176" spans="1:35" x14ac:dyDescent="0.2">
      <c r="A176" s="9" t="s">
        <v>614</v>
      </c>
      <c r="B176" s="9"/>
      <c r="C176" s="7"/>
      <c r="D176" s="7"/>
    </row>
    <row r="177" spans="1:4" x14ac:dyDescent="0.2">
      <c r="A177" s="9"/>
      <c r="B177" s="9"/>
      <c r="C177" s="7"/>
      <c r="D177" s="7"/>
    </row>
    <row r="178" spans="1:4" x14ac:dyDescent="0.2">
      <c r="A178" s="9"/>
      <c r="B178" s="9"/>
      <c r="C178" s="7"/>
      <c r="D178" s="7"/>
    </row>
    <row r="179" spans="1:4" x14ac:dyDescent="0.2">
      <c r="A179" s="9"/>
      <c r="B179" s="9"/>
      <c r="C179" s="7"/>
      <c r="D179" s="7"/>
    </row>
    <row r="180" spans="1:4" x14ac:dyDescent="0.2">
      <c r="A180" s="9"/>
      <c r="B180" s="9"/>
      <c r="C180" s="7"/>
      <c r="D180" s="7"/>
    </row>
    <row r="181" spans="1:4" x14ac:dyDescent="0.2">
      <c r="A181" s="9"/>
      <c r="B181" s="9"/>
      <c r="C181" s="7"/>
      <c r="D181" s="7"/>
    </row>
    <row r="182" spans="1:4" x14ac:dyDescent="0.2">
      <c r="A182" s="9"/>
      <c r="B182" s="9"/>
      <c r="C182" s="7"/>
      <c r="D182" s="7"/>
    </row>
    <row r="183" spans="1:4" x14ac:dyDescent="0.2">
      <c r="A183" s="9"/>
      <c r="B183" s="9"/>
      <c r="C183" s="7"/>
      <c r="D183" s="7"/>
    </row>
    <row r="184" spans="1:4" x14ac:dyDescent="0.2">
      <c r="A184" s="9"/>
      <c r="B184" s="9"/>
      <c r="C184" s="7"/>
      <c r="D184" s="7"/>
    </row>
    <row r="185" spans="1:4" x14ac:dyDescent="0.2">
      <c r="A185" s="9"/>
      <c r="B185" s="9"/>
      <c r="C185" s="7"/>
      <c r="D185" s="7"/>
    </row>
    <row r="186" spans="1:4" x14ac:dyDescent="0.2">
      <c r="A186" s="9"/>
      <c r="B186" s="9"/>
      <c r="C186" s="7"/>
      <c r="D186" s="7"/>
    </row>
    <row r="187" spans="1:4" x14ac:dyDescent="0.2">
      <c r="A187" s="9"/>
      <c r="B187" s="9"/>
      <c r="C187" s="7"/>
      <c r="D187" s="7"/>
    </row>
    <row r="188" spans="1:4" x14ac:dyDescent="0.2">
      <c r="A188" s="9"/>
      <c r="B188" s="9"/>
      <c r="C188" s="7"/>
      <c r="D188" s="7"/>
    </row>
    <row r="189" spans="1:4" x14ac:dyDescent="0.2">
      <c r="A189" s="9"/>
      <c r="B189" s="9"/>
      <c r="C189" s="7"/>
      <c r="D189" s="7"/>
    </row>
    <row r="190" spans="1:4" x14ac:dyDescent="0.2">
      <c r="A190" s="9"/>
      <c r="B190" s="9"/>
      <c r="C190" s="7"/>
      <c r="D190" s="7"/>
    </row>
    <row r="191" spans="1:4" x14ac:dyDescent="0.2">
      <c r="A191" s="9"/>
      <c r="B191" s="9"/>
      <c r="C191" s="7"/>
      <c r="D191" s="7"/>
    </row>
    <row r="192" spans="1:4" x14ac:dyDescent="0.2">
      <c r="A192" s="9"/>
      <c r="B192" s="9"/>
      <c r="C192" s="7"/>
      <c r="D192" s="7"/>
    </row>
    <row r="193" spans="1:51" x14ac:dyDescent="0.2">
      <c r="A193" s="9"/>
      <c r="B193" s="9"/>
      <c r="C193" s="7"/>
      <c r="D193" s="7"/>
    </row>
    <row r="194" spans="1:51" x14ac:dyDescent="0.2">
      <c r="A194" s="9"/>
      <c r="B194" s="9"/>
      <c r="C194" s="7"/>
      <c r="D194" s="7"/>
    </row>
    <row r="195" spans="1:51" x14ac:dyDescent="0.2">
      <c r="A195" s="9"/>
      <c r="B195" s="9"/>
      <c r="C195" s="7"/>
      <c r="D195" s="7"/>
    </row>
    <row r="196" spans="1:51" x14ac:dyDescent="0.2">
      <c r="A196" s="9"/>
      <c r="B196" s="9"/>
      <c r="C196" s="7"/>
      <c r="D196" s="7"/>
    </row>
    <row r="197" spans="1:51" x14ac:dyDescent="0.2">
      <c r="A197" s="9"/>
      <c r="B197" s="9"/>
      <c r="C197" s="7"/>
      <c r="D197" s="7"/>
    </row>
    <row r="198" spans="1:51" x14ac:dyDescent="0.2">
      <c r="A198" s="9"/>
      <c r="B198" s="9"/>
      <c r="C198" s="7"/>
      <c r="D198" s="7"/>
    </row>
    <row r="199" spans="1:51" x14ac:dyDescent="0.2">
      <c r="A199" s="9"/>
      <c r="B199" s="9"/>
      <c r="C199" s="7"/>
      <c r="D199" s="7"/>
    </row>
    <row r="200" spans="1:51" x14ac:dyDescent="0.2">
      <c r="A200" s="9"/>
      <c r="B200" s="9"/>
      <c r="C200" s="7"/>
      <c r="D200" s="7"/>
    </row>
    <row r="201" spans="1:51" x14ac:dyDescent="0.2">
      <c r="A201" s="9"/>
      <c r="B201" s="9"/>
      <c r="C201" s="7"/>
      <c r="D201" s="7"/>
    </row>
    <row r="202" spans="1:51" x14ac:dyDescent="0.2">
      <c r="A202" s="9"/>
      <c r="B202" s="9"/>
      <c r="C202" s="7"/>
      <c r="D202" s="7"/>
    </row>
    <row r="203" spans="1:51" x14ac:dyDescent="0.2">
      <c r="A203" s="9"/>
      <c r="B203" s="9"/>
      <c r="C203" s="7"/>
      <c r="D203" s="7"/>
    </row>
    <row r="204" spans="1:51" x14ac:dyDescent="0.2">
      <c r="A204" s="9" t="s">
        <v>614</v>
      </c>
      <c r="B204" s="9">
        <v>1921</v>
      </c>
      <c r="C204" s="7">
        <v>20</v>
      </c>
      <c r="D204" s="7" t="s">
        <v>2855</v>
      </c>
      <c r="H204">
        <v>4</v>
      </c>
      <c r="I204">
        <v>99</v>
      </c>
      <c r="J204">
        <f t="shared" ref="J204:AD204" si="1">SUM(J3:J139)</f>
        <v>73</v>
      </c>
      <c r="K204">
        <f t="shared" si="1"/>
        <v>19</v>
      </c>
      <c r="L204">
        <f t="shared" si="1"/>
        <v>4</v>
      </c>
      <c r="M204">
        <f t="shared" si="1"/>
        <v>3</v>
      </c>
      <c r="N204">
        <f t="shared" si="1"/>
        <v>17</v>
      </c>
      <c r="O204">
        <f t="shared" si="1"/>
        <v>11</v>
      </c>
      <c r="P204">
        <f t="shared" si="1"/>
        <v>10</v>
      </c>
      <c r="Q204">
        <f t="shared" si="1"/>
        <v>3</v>
      </c>
      <c r="R204">
        <f t="shared" si="1"/>
        <v>15</v>
      </c>
      <c r="S204">
        <f t="shared" si="1"/>
        <v>43</v>
      </c>
      <c r="T204">
        <f t="shared" si="1"/>
        <v>3710</v>
      </c>
      <c r="U204">
        <f t="shared" si="1"/>
        <v>0</v>
      </c>
      <c r="V204">
        <f t="shared" si="1"/>
        <v>0</v>
      </c>
      <c r="W204">
        <f t="shared" si="1"/>
        <v>0</v>
      </c>
      <c r="X204">
        <f t="shared" si="1"/>
        <v>0</v>
      </c>
      <c r="Y204">
        <f t="shared" si="1"/>
        <v>0</v>
      </c>
      <c r="Z204">
        <f t="shared" si="1"/>
        <v>0</v>
      </c>
      <c r="AA204">
        <f t="shared" si="1"/>
        <v>0</v>
      </c>
      <c r="AB204">
        <f t="shared" si="1"/>
        <v>0</v>
      </c>
      <c r="AC204">
        <f t="shared" si="1"/>
        <v>61</v>
      </c>
      <c r="AD204">
        <f t="shared" si="1"/>
        <v>5</v>
      </c>
      <c r="AE204">
        <f>AC204-AD204</f>
        <v>56</v>
      </c>
      <c r="AF204">
        <f>SUM(AF3:AF139)</f>
        <v>36</v>
      </c>
      <c r="AG204">
        <f>N205-AF204</f>
        <v>63</v>
      </c>
      <c r="AH204">
        <f t="shared" ref="AH204:AS204" si="2">SUM(AH3:AH139)</f>
        <v>0</v>
      </c>
      <c r="AI204">
        <f t="shared" si="2"/>
        <v>0</v>
      </c>
      <c r="AJ204">
        <f t="shared" si="2"/>
        <v>0</v>
      </c>
      <c r="AK204">
        <f t="shared" si="2"/>
        <v>0</v>
      </c>
      <c r="AL204">
        <f t="shared" si="2"/>
        <v>0</v>
      </c>
      <c r="AM204">
        <f t="shared" si="2"/>
        <v>0</v>
      </c>
      <c r="AN204">
        <f t="shared" si="2"/>
        <v>0</v>
      </c>
      <c r="AO204">
        <f t="shared" si="2"/>
        <v>0</v>
      </c>
      <c r="AP204">
        <f t="shared" si="2"/>
        <v>0</v>
      </c>
      <c r="AQ204">
        <f t="shared" si="2"/>
        <v>0</v>
      </c>
      <c r="AR204">
        <f t="shared" si="2"/>
        <v>0</v>
      </c>
      <c r="AS204">
        <f t="shared" si="2"/>
        <v>0</v>
      </c>
    </row>
    <row r="205" spans="1:51" x14ac:dyDescent="0.2">
      <c r="A205" s="9" t="s">
        <v>614</v>
      </c>
      <c r="B205" s="9">
        <v>1921</v>
      </c>
      <c r="C205" s="7"/>
      <c r="D205" s="7" t="s">
        <v>2855</v>
      </c>
      <c r="J205">
        <f>SUM(J204:M204)</f>
        <v>99</v>
      </c>
      <c r="N205">
        <f>SUM(N204:S204)</f>
        <v>99</v>
      </c>
      <c r="T205" s="64">
        <f>T204/N205</f>
        <v>37.474747474747474</v>
      </c>
    </row>
    <row r="207" spans="1:51" ht="19" customHeight="1" x14ac:dyDescent="0.2">
      <c r="A207" s="9"/>
      <c r="B207" s="9"/>
      <c r="C207" s="7"/>
      <c r="D207" s="7"/>
      <c r="E207" s="7"/>
      <c r="F207" s="5"/>
      <c r="G207" s="5"/>
      <c r="H207" s="5" t="s">
        <v>0</v>
      </c>
      <c r="I207" t="s">
        <v>1</v>
      </c>
      <c r="J207" s="10" t="s">
        <v>2</v>
      </c>
      <c r="K207" t="s">
        <v>3</v>
      </c>
      <c r="L207" t="s">
        <v>4</v>
      </c>
      <c r="M207" t="s">
        <v>5</v>
      </c>
      <c r="N207" s="5" t="s">
        <v>6</v>
      </c>
      <c r="O207" t="s">
        <v>7</v>
      </c>
      <c r="P207" s="5" t="s">
        <v>8</v>
      </c>
      <c r="T207" s="5"/>
      <c r="X207" s="5"/>
      <c r="Y207" s="5"/>
      <c r="Z207" s="5"/>
      <c r="AA207" s="5"/>
      <c r="AB207" s="5"/>
      <c r="AC207" s="5"/>
      <c r="AD207" s="5"/>
      <c r="AE207" s="7"/>
      <c r="AF207" s="7"/>
      <c r="AG207" s="5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ht="17.5" customHeight="1" x14ac:dyDescent="0.2">
      <c r="A208" s="9"/>
      <c r="B208" s="9"/>
      <c r="C208" s="7"/>
      <c r="D208" s="7"/>
      <c r="E208" s="7"/>
      <c r="F208" s="7">
        <v>9</v>
      </c>
      <c r="G208" s="7"/>
      <c r="H208" s="7" t="s">
        <v>2704</v>
      </c>
      <c r="I208" t="s">
        <v>118</v>
      </c>
      <c r="J208" s="7" t="s">
        <v>12</v>
      </c>
      <c r="K208" t="s">
        <v>13</v>
      </c>
      <c r="L208">
        <v>1848</v>
      </c>
      <c r="M208">
        <v>73</v>
      </c>
      <c r="N208" s="7" t="s">
        <v>149</v>
      </c>
      <c r="O208" t="s">
        <v>15</v>
      </c>
      <c r="P208" s="7" t="s">
        <v>8</v>
      </c>
      <c r="T208" s="6"/>
      <c r="X208" s="7"/>
      <c r="Y208" s="7"/>
      <c r="Z208" s="7"/>
      <c r="AA208" s="6"/>
      <c r="AB208" s="6"/>
      <c r="AC208" s="7"/>
      <c r="AD208" s="7"/>
      <c r="AE208" s="7"/>
      <c r="AF208" s="7"/>
      <c r="AG208" s="6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ht="17.5" customHeight="1" x14ac:dyDescent="0.2">
      <c r="A209" s="9"/>
      <c r="B209" s="9"/>
      <c r="C209" s="7"/>
      <c r="D209" s="7"/>
      <c r="E209" s="7"/>
      <c r="F209" s="7"/>
      <c r="G209" s="7"/>
      <c r="H209" s="7" t="s">
        <v>2705</v>
      </c>
      <c r="I209" t="s">
        <v>118</v>
      </c>
      <c r="J209" s="7" t="s">
        <v>18</v>
      </c>
      <c r="K209" t="s">
        <v>19</v>
      </c>
      <c r="L209">
        <v>1852</v>
      </c>
      <c r="M209">
        <v>69</v>
      </c>
      <c r="N209" s="7" t="s">
        <v>20</v>
      </c>
      <c r="O209" t="s">
        <v>50</v>
      </c>
      <c r="P209" s="7" t="s">
        <v>20</v>
      </c>
      <c r="T209" s="6"/>
      <c r="X209" s="7"/>
      <c r="Y209" s="7"/>
      <c r="Z209" s="7"/>
      <c r="AA209" s="6"/>
      <c r="AB209" s="6"/>
      <c r="AC209" s="7"/>
      <c r="AD209" s="7"/>
      <c r="AE209" s="7"/>
      <c r="AF209" s="7"/>
      <c r="AG209" s="6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ht="17.5" customHeight="1" x14ac:dyDescent="0.2">
      <c r="A210" s="9"/>
      <c r="B210" s="9"/>
      <c r="C210" s="7"/>
      <c r="D210" s="7"/>
      <c r="E210" s="7"/>
      <c r="F210" s="7"/>
      <c r="G210" s="7"/>
      <c r="H210" s="7" t="s">
        <v>2706</v>
      </c>
      <c r="I210" t="s">
        <v>118</v>
      </c>
      <c r="J210" s="7" t="s">
        <v>22</v>
      </c>
      <c r="K210" t="s">
        <v>19</v>
      </c>
      <c r="L210">
        <v>1884</v>
      </c>
      <c r="M210">
        <v>37</v>
      </c>
      <c r="N210" s="7" t="s">
        <v>14</v>
      </c>
      <c r="O210" t="s">
        <v>50</v>
      </c>
      <c r="P210" s="7" t="s">
        <v>20</v>
      </c>
      <c r="T210" s="6"/>
      <c r="X210" s="7"/>
      <c r="Y210" s="7"/>
      <c r="Z210" s="7"/>
      <c r="AA210" s="6"/>
      <c r="AB210" s="6"/>
      <c r="AC210" s="7"/>
      <c r="AD210" s="7"/>
      <c r="AE210" s="7"/>
      <c r="AF210" s="7"/>
      <c r="AG210" s="6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ht="17.5" customHeight="1" x14ac:dyDescent="0.2">
      <c r="A211" s="9"/>
      <c r="B211" s="9"/>
      <c r="C211" s="7"/>
      <c r="D211" s="7"/>
      <c r="E211" s="7"/>
      <c r="F211" s="7"/>
      <c r="G211" s="7"/>
      <c r="H211" s="7" t="s">
        <v>2707</v>
      </c>
      <c r="I211" t="s">
        <v>118</v>
      </c>
      <c r="J211" s="7" t="s">
        <v>22</v>
      </c>
      <c r="K211" t="s">
        <v>19</v>
      </c>
      <c r="L211">
        <v>1890</v>
      </c>
      <c r="M211">
        <v>30</v>
      </c>
      <c r="N211" s="7" t="s">
        <v>14</v>
      </c>
      <c r="O211" t="s">
        <v>2708</v>
      </c>
      <c r="P211" s="7" t="s">
        <v>16</v>
      </c>
      <c r="T211" s="6"/>
      <c r="X211" s="7"/>
      <c r="Y211" s="7"/>
      <c r="Z211" s="7"/>
      <c r="AA211" s="6"/>
      <c r="AB211" s="6"/>
      <c r="AC211" s="7"/>
      <c r="AD211" s="7"/>
      <c r="AE211" s="7"/>
      <c r="AF211" s="7"/>
      <c r="AG211" s="6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ht="17.5" customHeight="1" x14ac:dyDescent="0.2">
      <c r="A212" s="9"/>
      <c r="B212" s="9"/>
      <c r="C212" s="7"/>
      <c r="D212" s="7"/>
      <c r="E212" s="7"/>
      <c r="F212" s="7"/>
      <c r="G212" s="7"/>
      <c r="H212" s="7" t="s">
        <v>1499</v>
      </c>
      <c r="I212" t="s">
        <v>2709</v>
      </c>
      <c r="J212" s="7" t="s">
        <v>26</v>
      </c>
      <c r="K212" t="s">
        <v>19</v>
      </c>
      <c r="L212">
        <v>1866</v>
      </c>
      <c r="M212">
        <v>54</v>
      </c>
      <c r="N212" s="7" t="s">
        <v>1337</v>
      </c>
      <c r="O212" t="s">
        <v>33</v>
      </c>
      <c r="P212" s="7" t="s">
        <v>29</v>
      </c>
      <c r="T212" s="6"/>
      <c r="X212" s="7"/>
      <c r="Y212" s="7"/>
      <c r="Z212" s="7"/>
      <c r="AA212" s="6"/>
      <c r="AB212" s="6"/>
      <c r="AC212" s="7"/>
      <c r="AD212" s="7"/>
      <c r="AE212" s="7"/>
      <c r="AF212" s="7"/>
      <c r="AG212" s="6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ht="17.5" customHeight="1" x14ac:dyDescent="0.2">
      <c r="A213" s="9"/>
      <c r="B213" s="9"/>
      <c r="C213" s="7"/>
      <c r="D213" s="7"/>
      <c r="E213" s="7"/>
      <c r="F213" s="7"/>
      <c r="G213" s="7"/>
      <c r="H213" s="7"/>
      <c r="J213" s="7"/>
      <c r="N213" s="7"/>
      <c r="P213" s="7"/>
      <c r="T213" s="6"/>
      <c r="X213" s="7"/>
      <c r="Y213" s="7"/>
      <c r="Z213" s="7"/>
      <c r="AA213" s="6"/>
      <c r="AB213" s="6"/>
      <c r="AC213" s="7"/>
      <c r="AD213" s="7"/>
      <c r="AE213" s="7"/>
      <c r="AF213" s="7"/>
      <c r="AG213" s="6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ht="17.5" customHeight="1" x14ac:dyDescent="0.2">
      <c r="A214" s="9"/>
      <c r="B214" s="9"/>
      <c r="C214" s="7"/>
      <c r="D214" s="7"/>
      <c r="E214" s="7"/>
      <c r="F214" s="7"/>
      <c r="G214" s="7"/>
      <c r="H214" s="7" t="s">
        <v>0</v>
      </c>
      <c r="I214" t="s">
        <v>1</v>
      </c>
      <c r="J214" s="7" t="s">
        <v>2</v>
      </c>
      <c r="K214" t="s">
        <v>3</v>
      </c>
      <c r="L214" t="s">
        <v>4</v>
      </c>
      <c r="M214" t="s">
        <v>5</v>
      </c>
      <c r="N214" s="7" t="s">
        <v>6</v>
      </c>
      <c r="O214" t="s">
        <v>7</v>
      </c>
      <c r="P214" s="7" t="s">
        <v>8</v>
      </c>
      <c r="T214" s="6"/>
      <c r="X214" s="7"/>
      <c r="Y214" s="7"/>
      <c r="Z214" s="7"/>
      <c r="AA214" s="6"/>
      <c r="AB214" s="6"/>
      <c r="AC214" s="7"/>
      <c r="AD214" s="7"/>
      <c r="AE214" s="7"/>
      <c r="AF214" s="7"/>
      <c r="AG214" s="6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ht="17.5" customHeight="1" x14ac:dyDescent="0.2">
      <c r="A215" s="9"/>
      <c r="B215" s="9"/>
      <c r="C215" s="7"/>
      <c r="D215" s="7"/>
      <c r="E215" s="7"/>
      <c r="F215" s="7">
        <v>1</v>
      </c>
      <c r="G215" s="7"/>
      <c r="H215" s="7" t="s">
        <v>96</v>
      </c>
      <c r="I215" t="s">
        <v>2710</v>
      </c>
      <c r="J215" s="7" t="s">
        <v>12</v>
      </c>
      <c r="K215" t="s">
        <v>13</v>
      </c>
      <c r="L215">
        <v>1863</v>
      </c>
      <c r="M215">
        <v>58</v>
      </c>
      <c r="N215" s="7" t="s">
        <v>2711</v>
      </c>
      <c r="O215" t="s">
        <v>2712</v>
      </c>
      <c r="P215" s="7" t="s">
        <v>2713</v>
      </c>
      <c r="T215" s="6"/>
      <c r="X215" s="7"/>
      <c r="Y215" s="7"/>
      <c r="Z215" s="7"/>
      <c r="AA215" s="6"/>
      <c r="AB215" s="6"/>
      <c r="AC215" s="7"/>
      <c r="AD215" s="7"/>
      <c r="AE215" s="7"/>
      <c r="AF215" s="7"/>
      <c r="AG215" s="6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ht="17" customHeight="1" x14ac:dyDescent="0.2">
      <c r="A216" s="9"/>
      <c r="B216" s="9"/>
      <c r="C216" s="7"/>
      <c r="D216" s="7"/>
      <c r="E216" s="7"/>
      <c r="F216" s="7"/>
      <c r="G216" s="7"/>
      <c r="H216" s="7" t="s">
        <v>2714</v>
      </c>
      <c r="I216" t="s">
        <v>2710</v>
      </c>
      <c r="J216" s="7" t="s">
        <v>18</v>
      </c>
      <c r="K216" t="s">
        <v>19</v>
      </c>
      <c r="L216">
        <v>1879</v>
      </c>
      <c r="M216">
        <v>42</v>
      </c>
      <c r="N216" s="7" t="s">
        <v>778</v>
      </c>
      <c r="O216" t="s">
        <v>50</v>
      </c>
      <c r="P216" s="7" t="s">
        <v>20</v>
      </c>
      <c r="T216" s="7"/>
      <c r="X216" s="7">
        <f>SUM(X207:X215)</f>
        <v>0</v>
      </c>
      <c r="Y216" s="7">
        <f>SUM(Y207:Y215)</f>
        <v>0</v>
      </c>
      <c r="Z216" s="7">
        <f>SUM(Z207:Z215)</f>
        <v>0</v>
      </c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ht="17.5" customHeight="1" x14ac:dyDescent="0.2">
      <c r="A217" s="9"/>
      <c r="B217" s="9"/>
      <c r="C217" s="7"/>
      <c r="D217" s="7"/>
      <c r="E217" s="7"/>
      <c r="F217" s="7"/>
      <c r="G217" s="7"/>
      <c r="H217" s="7" t="s">
        <v>336</v>
      </c>
      <c r="I217" t="s">
        <v>2100</v>
      </c>
      <c r="J217" s="7" t="s">
        <v>58</v>
      </c>
      <c r="K217" t="s">
        <v>19</v>
      </c>
      <c r="L217">
        <v>1857</v>
      </c>
      <c r="M217">
        <v>64</v>
      </c>
      <c r="N217" s="7" t="s">
        <v>2715</v>
      </c>
      <c r="O217" t="s">
        <v>20</v>
      </c>
      <c r="P217" s="7" t="s">
        <v>20</v>
      </c>
      <c r="T217" s="6"/>
      <c r="X217" s="7"/>
      <c r="Y217" s="7"/>
      <c r="Z217" s="7"/>
      <c r="AA217" s="6"/>
      <c r="AB217" s="6"/>
      <c r="AC217" s="7"/>
      <c r="AD217" s="7"/>
      <c r="AE217" s="7"/>
      <c r="AF217" s="7"/>
      <c r="AG217" s="6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ht="17.5" customHeight="1" x14ac:dyDescent="0.2">
      <c r="A218" s="9"/>
      <c r="B218" s="9"/>
      <c r="C218" s="7"/>
      <c r="D218" s="7"/>
      <c r="E218" s="7"/>
      <c r="F218" s="7"/>
      <c r="G218" s="7"/>
      <c r="H218" s="7" t="s">
        <v>339</v>
      </c>
      <c r="I218" t="s">
        <v>1000</v>
      </c>
      <c r="J218" s="7" t="s">
        <v>26</v>
      </c>
      <c r="K218" t="s">
        <v>19</v>
      </c>
      <c r="L218">
        <v>1895</v>
      </c>
      <c r="M218">
        <v>26</v>
      </c>
      <c r="N218" s="7" t="s">
        <v>452</v>
      </c>
      <c r="O218" t="s">
        <v>344</v>
      </c>
      <c r="P218" s="7" t="s">
        <v>29</v>
      </c>
      <c r="T218" s="6"/>
      <c r="X218" s="7"/>
      <c r="Y218" s="7"/>
      <c r="Z218" s="7"/>
      <c r="AA218" s="6"/>
      <c r="AB218" s="6"/>
      <c r="AC218" s="7"/>
      <c r="AD218" s="7"/>
      <c r="AE218" s="7"/>
      <c r="AF218" s="7"/>
      <c r="AG218" s="6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ht="17.5" customHeight="1" x14ac:dyDescent="0.2">
      <c r="A219" s="9"/>
      <c r="B219" s="9"/>
      <c r="C219" s="7"/>
      <c r="D219" s="7"/>
      <c r="E219" s="11"/>
      <c r="F219" s="12"/>
      <c r="G219" s="12"/>
      <c r="H219" s="12" t="s">
        <v>153</v>
      </c>
      <c r="I219" t="s">
        <v>2716</v>
      </c>
      <c r="J219" s="13" t="s">
        <v>26</v>
      </c>
      <c r="K219" t="s">
        <v>19</v>
      </c>
      <c r="L219">
        <v>1881</v>
      </c>
      <c r="M219">
        <v>39</v>
      </c>
      <c r="N219" s="12" t="s">
        <v>212</v>
      </c>
      <c r="O219" t="s">
        <v>344</v>
      </c>
      <c r="P219" s="12" t="s">
        <v>29</v>
      </c>
      <c r="T219" s="12"/>
      <c r="X219" s="12"/>
      <c r="Y219" s="12"/>
      <c r="Z219" s="12"/>
      <c r="AA219" s="12"/>
      <c r="AB219" s="12"/>
      <c r="AC219" s="12"/>
      <c r="AD219" s="12"/>
      <c r="AE219" s="7"/>
      <c r="AF219" s="7"/>
      <c r="AG219" s="12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ht="28" customHeight="1" x14ac:dyDescent="0.2">
      <c r="A220" s="9"/>
      <c r="B220" s="9"/>
      <c r="C220" s="7"/>
      <c r="D220" s="7"/>
      <c r="E220" s="11"/>
      <c r="F220" s="12"/>
      <c r="G220" s="12"/>
      <c r="H220" s="12"/>
      <c r="J220" s="15"/>
      <c r="N220" s="14"/>
      <c r="P220" s="16"/>
      <c r="T220" s="12"/>
      <c r="X220" s="12"/>
      <c r="Y220" s="12"/>
      <c r="Z220" s="12"/>
      <c r="AA220" s="12"/>
      <c r="AB220" s="14"/>
      <c r="AC220" s="12"/>
      <c r="AD220" s="11"/>
      <c r="AE220" s="7"/>
      <c r="AF220" s="7"/>
      <c r="AG220" s="12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ht="17.5" customHeight="1" x14ac:dyDescent="0.2">
      <c r="A221" s="9"/>
      <c r="B221" s="9"/>
      <c r="C221" s="7"/>
      <c r="D221" s="7"/>
      <c r="E221" s="7"/>
      <c r="F221" s="7"/>
      <c r="G221" s="7"/>
      <c r="H221" s="7" t="s">
        <v>0</v>
      </c>
      <c r="I221" s="7" t="s">
        <v>1</v>
      </c>
      <c r="J221" s="7" t="s">
        <v>2</v>
      </c>
      <c r="K221" s="7" t="s">
        <v>3</v>
      </c>
      <c r="L221" s="7" t="s">
        <v>4</v>
      </c>
      <c r="M221" s="7" t="s">
        <v>5</v>
      </c>
      <c r="N221" s="7" t="s">
        <v>6</v>
      </c>
      <c r="O221" s="7" t="s">
        <v>7</v>
      </c>
      <c r="P221" s="7" t="s">
        <v>8</v>
      </c>
      <c r="Q221" s="7"/>
      <c r="R221" s="7"/>
      <c r="S221" s="7"/>
      <c r="T221" s="7"/>
      <c r="U221" s="7">
        <f t="shared" ref="U221:Z221" si="3">SUM(U207:U220)</f>
        <v>0</v>
      </c>
      <c r="V221" s="7">
        <f t="shared" si="3"/>
        <v>0</v>
      </c>
      <c r="W221" s="7">
        <f t="shared" si="3"/>
        <v>0</v>
      </c>
      <c r="X221" s="7">
        <f t="shared" si="3"/>
        <v>0</v>
      </c>
      <c r="Y221" s="7">
        <f t="shared" si="3"/>
        <v>0</v>
      </c>
      <c r="Z221" s="7">
        <f t="shared" si="3"/>
        <v>0</v>
      </c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ht="17.5" customHeight="1" x14ac:dyDescent="0.2">
      <c r="A222" s="9"/>
      <c r="B222" s="9"/>
      <c r="C222" s="7"/>
      <c r="D222" s="7"/>
      <c r="E222" s="7"/>
      <c r="F222" s="7">
        <v>3</v>
      </c>
      <c r="G222" s="7"/>
      <c r="H222" s="7" t="s">
        <v>469</v>
      </c>
      <c r="I222" s="7" t="s">
        <v>1424</v>
      </c>
      <c r="J222" s="7" t="s">
        <v>12</v>
      </c>
      <c r="K222" s="7" t="s">
        <v>13</v>
      </c>
      <c r="L222" s="7">
        <v>1868</v>
      </c>
      <c r="M222" s="6">
        <v>53</v>
      </c>
      <c r="N222" s="6" t="s">
        <v>40</v>
      </c>
      <c r="O222" s="6" t="s">
        <v>2717</v>
      </c>
      <c r="P222" s="6" t="s">
        <v>2718</v>
      </c>
      <c r="Q222" s="7"/>
      <c r="R222" s="6"/>
      <c r="S222" s="6"/>
      <c r="T222" s="20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ht="17.5" customHeight="1" x14ac:dyDescent="0.2">
      <c r="A223" s="7"/>
      <c r="B223" s="7"/>
      <c r="C223" s="7"/>
      <c r="D223" s="7"/>
      <c r="E223" s="7"/>
      <c r="F223" s="7"/>
      <c r="G223" s="7"/>
      <c r="H223" s="7" t="s">
        <v>2510</v>
      </c>
      <c r="I223" s="7" t="s">
        <v>1424</v>
      </c>
      <c r="J223" s="7" t="s">
        <v>51</v>
      </c>
      <c r="K223" s="7" t="s">
        <v>13</v>
      </c>
      <c r="L223" s="7">
        <v>1891</v>
      </c>
      <c r="M223" s="6">
        <v>30</v>
      </c>
      <c r="N223" s="6" t="s">
        <v>901</v>
      </c>
      <c r="O223" s="6" t="s">
        <v>2719</v>
      </c>
      <c r="P223" s="6" t="s">
        <v>2720</v>
      </c>
      <c r="Q223" s="6"/>
      <c r="R223" s="6"/>
      <c r="S223" s="6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ht="17.5" customHeight="1" x14ac:dyDescent="0.2">
      <c r="A224" s="7"/>
      <c r="B224" s="7"/>
      <c r="C224" s="7"/>
      <c r="D224" s="7"/>
      <c r="E224" s="7"/>
      <c r="F224" s="7"/>
      <c r="G224" s="7"/>
      <c r="H224" s="7" t="s">
        <v>2721</v>
      </c>
      <c r="I224" s="7" t="s">
        <v>1424</v>
      </c>
      <c r="J224" s="7" t="s">
        <v>22</v>
      </c>
      <c r="K224" s="7" t="s">
        <v>19</v>
      </c>
      <c r="L224" s="7">
        <v>1903</v>
      </c>
      <c r="M224" s="6">
        <v>18</v>
      </c>
      <c r="N224" s="6" t="s">
        <v>1765</v>
      </c>
      <c r="O224" s="6" t="s">
        <v>20</v>
      </c>
      <c r="P224" s="6" t="s">
        <v>20</v>
      </c>
      <c r="Q224" s="6"/>
      <c r="R224" s="6"/>
      <c r="S224" s="6"/>
      <c r="T224" s="7"/>
      <c r="U224" s="6"/>
      <c r="V224" s="6"/>
      <c r="W224" s="6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ht="17.5" customHeight="1" x14ac:dyDescent="0.2">
      <c r="A225" s="7"/>
      <c r="B225" s="7"/>
      <c r="C225" s="7"/>
      <c r="D225" s="7"/>
      <c r="E225" s="7"/>
      <c r="F225" s="5"/>
      <c r="G225" s="5"/>
      <c r="H225" s="5" t="s">
        <v>366</v>
      </c>
      <c r="I225" s="5" t="s">
        <v>2722</v>
      </c>
      <c r="J225" s="5" t="s">
        <v>52</v>
      </c>
      <c r="K225" s="10" t="s">
        <v>19</v>
      </c>
      <c r="L225" s="5">
        <v>1881</v>
      </c>
      <c r="M225" s="5">
        <v>40</v>
      </c>
      <c r="N225" s="5" t="s">
        <v>1280</v>
      </c>
      <c r="O225" s="5" t="s">
        <v>52</v>
      </c>
      <c r="P225" s="5" t="s">
        <v>29</v>
      </c>
      <c r="Q225" s="7"/>
      <c r="R225" s="6"/>
      <c r="S225" s="6"/>
      <c r="T225" s="7"/>
      <c r="U225" s="6"/>
      <c r="V225" s="6"/>
      <c r="W225" s="6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ht="17.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6"/>
      <c r="N226" s="6"/>
      <c r="O226" s="6"/>
      <c r="P226" s="6"/>
      <c r="Q226" s="7"/>
      <c r="R226" s="6"/>
      <c r="S226" s="6"/>
      <c r="T226" s="7"/>
      <c r="U226" s="6"/>
      <c r="V226" s="6"/>
      <c r="W226" s="6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ht="17.5" customHeight="1" x14ac:dyDescent="0.2">
      <c r="A227" s="7"/>
      <c r="B227" s="7"/>
      <c r="C227" s="7"/>
      <c r="D227" s="7"/>
      <c r="E227" s="7"/>
      <c r="F227" s="7">
        <v>3</v>
      </c>
      <c r="G227" s="7"/>
      <c r="H227" s="7" t="s">
        <v>1987</v>
      </c>
      <c r="I227" s="7" t="s">
        <v>2723</v>
      </c>
      <c r="J227" s="7" t="s">
        <v>12</v>
      </c>
      <c r="K227" s="7"/>
      <c r="L227" s="7"/>
      <c r="M227" s="6">
        <v>47</v>
      </c>
      <c r="N227" s="6" t="s">
        <v>261</v>
      </c>
      <c r="O227" s="6" t="s">
        <v>256</v>
      </c>
      <c r="P227" s="6"/>
      <c r="Q227" s="7"/>
      <c r="R227" s="6"/>
      <c r="S227" s="6"/>
      <c r="T227" s="7"/>
      <c r="U227" s="6"/>
      <c r="V227" s="6"/>
      <c r="W227" s="6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ht="17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6"/>
      <c r="N228" s="6"/>
      <c r="O228" s="6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ht="17.5" customHeight="1" x14ac:dyDescent="0.2">
      <c r="A229" s="7"/>
      <c r="B229" s="7"/>
      <c r="C229" s="7"/>
      <c r="D229" s="7"/>
      <c r="E229" s="7"/>
      <c r="F229" s="7"/>
      <c r="G229" s="7"/>
      <c r="H229" s="7" t="s">
        <v>0</v>
      </c>
      <c r="I229" s="7" t="s">
        <v>1</v>
      </c>
      <c r="J229" s="7" t="s">
        <v>2</v>
      </c>
      <c r="K229" s="7" t="s">
        <v>3</v>
      </c>
      <c r="L229" s="7" t="s">
        <v>4</v>
      </c>
      <c r="M229" s="6" t="s">
        <v>5</v>
      </c>
      <c r="N229" s="6" t="s">
        <v>6</v>
      </c>
      <c r="O229" s="6" t="s">
        <v>7</v>
      </c>
      <c r="P229" s="6" t="s">
        <v>8</v>
      </c>
      <c r="Q229" s="7"/>
      <c r="R229" s="6"/>
      <c r="S229" s="6"/>
      <c r="T229" s="19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ht="17.5" customHeight="1" x14ac:dyDescent="0.2">
      <c r="A230" s="7"/>
      <c r="B230" s="7"/>
      <c r="C230" s="7"/>
      <c r="D230" s="7"/>
      <c r="E230" s="7"/>
      <c r="F230" s="7">
        <v>5</v>
      </c>
      <c r="G230" s="7"/>
      <c r="H230" s="7" t="s">
        <v>444</v>
      </c>
      <c r="I230" s="7" t="s">
        <v>2724</v>
      </c>
      <c r="J230" s="7" t="s">
        <v>12</v>
      </c>
      <c r="K230" s="7" t="s">
        <v>13</v>
      </c>
      <c r="L230" s="7">
        <v>1843</v>
      </c>
      <c r="M230" s="6">
        <v>78</v>
      </c>
      <c r="N230" s="6" t="s">
        <v>49</v>
      </c>
      <c r="O230" s="6" t="s">
        <v>2725</v>
      </c>
      <c r="P230" s="6" t="s">
        <v>20</v>
      </c>
      <c r="Q230" s="7"/>
      <c r="R230" s="6"/>
      <c r="S230" s="6"/>
      <c r="T230" s="7"/>
      <c r="U230" s="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ht="17.5" customHeight="1" x14ac:dyDescent="0.2">
      <c r="A231" s="7"/>
      <c r="B231" s="7"/>
      <c r="C231" s="7"/>
      <c r="D231" s="7"/>
      <c r="E231" s="7"/>
      <c r="F231" s="7"/>
      <c r="G231" s="7"/>
      <c r="H231" s="7" t="s">
        <v>1912</v>
      </c>
      <c r="I231" s="7" t="s">
        <v>2724</v>
      </c>
      <c r="J231" s="7" t="s">
        <v>18</v>
      </c>
      <c r="K231" s="7" t="s">
        <v>19</v>
      </c>
      <c r="L231" s="7">
        <v>1848</v>
      </c>
      <c r="M231" s="6">
        <v>72</v>
      </c>
      <c r="N231" s="6" t="s">
        <v>755</v>
      </c>
      <c r="O231" s="6" t="s">
        <v>50</v>
      </c>
      <c r="P231" s="6" t="s">
        <v>20</v>
      </c>
      <c r="Q231" s="7"/>
      <c r="R231" s="6"/>
      <c r="S231" s="6"/>
      <c r="T231" s="7"/>
      <c r="U231" s="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ht="17.5" customHeight="1" x14ac:dyDescent="0.2">
      <c r="A232" s="7"/>
      <c r="B232" s="7"/>
      <c r="C232" s="7"/>
      <c r="D232" s="7"/>
      <c r="E232" s="7"/>
      <c r="F232" s="7"/>
      <c r="G232" s="7"/>
      <c r="H232" s="7" t="s">
        <v>2726</v>
      </c>
      <c r="I232" s="7" t="s">
        <v>2727</v>
      </c>
      <c r="J232" s="7" t="s">
        <v>22</v>
      </c>
      <c r="K232" s="7" t="s">
        <v>19</v>
      </c>
      <c r="L232" s="7">
        <v>1873</v>
      </c>
      <c r="M232" s="6">
        <v>48</v>
      </c>
      <c r="N232" s="6" t="s">
        <v>49</v>
      </c>
      <c r="O232" s="6" t="s">
        <v>20</v>
      </c>
      <c r="P232" s="6" t="s">
        <v>20</v>
      </c>
      <c r="Q232" s="7"/>
      <c r="R232" s="6"/>
      <c r="S232" s="6"/>
      <c r="T232" s="19"/>
      <c r="U232" s="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ht="17.5" customHeight="1" x14ac:dyDescent="0.2">
      <c r="A233" s="7"/>
      <c r="B233" s="7"/>
      <c r="C233" s="7"/>
      <c r="D233" s="7"/>
      <c r="E233" s="7"/>
      <c r="F233" s="7"/>
      <c r="G233" s="7"/>
      <c r="H233" s="7" t="s">
        <v>2728</v>
      </c>
      <c r="I233" s="7" t="s">
        <v>2727</v>
      </c>
      <c r="J233" s="7" t="s">
        <v>1046</v>
      </c>
      <c r="K233" s="7" t="s">
        <v>13</v>
      </c>
      <c r="L233" s="7">
        <v>1902</v>
      </c>
      <c r="M233" s="7">
        <v>19</v>
      </c>
      <c r="N233" s="7" t="s">
        <v>176</v>
      </c>
      <c r="O233" s="7" t="s">
        <v>2729</v>
      </c>
      <c r="P233" s="7" t="s">
        <v>2730</v>
      </c>
      <c r="Q233" s="7"/>
      <c r="R233" s="6"/>
      <c r="S233" s="6"/>
      <c r="T233" s="7"/>
      <c r="U233" s="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ht="17.5" customHeight="1" x14ac:dyDescent="0.2">
      <c r="A234" s="7"/>
      <c r="B234" s="7"/>
      <c r="C234" s="7"/>
      <c r="D234" s="7"/>
      <c r="E234" s="7"/>
      <c r="F234" s="7"/>
      <c r="G234" s="7"/>
      <c r="H234" s="7" t="s">
        <v>2378</v>
      </c>
      <c r="I234" s="7" t="s">
        <v>2727</v>
      </c>
      <c r="J234" s="7" t="s">
        <v>26</v>
      </c>
      <c r="K234" s="7" t="s">
        <v>19</v>
      </c>
      <c r="L234" s="7">
        <v>1878</v>
      </c>
      <c r="M234" s="6">
        <v>43</v>
      </c>
      <c r="N234" s="6" t="s">
        <v>2731</v>
      </c>
      <c r="O234" s="6" t="s">
        <v>26</v>
      </c>
      <c r="P234" s="6" t="s">
        <v>29</v>
      </c>
      <c r="Q234" s="7"/>
      <c r="R234" s="6"/>
      <c r="S234" s="6"/>
      <c r="T234" s="7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ht="17.5" customHeight="1" x14ac:dyDescent="0.2">
      <c r="A235" s="7"/>
      <c r="B235" s="7"/>
      <c r="C235" s="7"/>
      <c r="D235" s="7"/>
      <c r="E235" s="7"/>
      <c r="F235" s="7"/>
      <c r="G235" s="7"/>
      <c r="H235" s="7" t="s">
        <v>2732</v>
      </c>
      <c r="I235" s="7" t="s">
        <v>1984</v>
      </c>
      <c r="J235" s="7" t="s">
        <v>26</v>
      </c>
      <c r="K235" s="7" t="s">
        <v>19</v>
      </c>
      <c r="L235" s="7">
        <v>1897</v>
      </c>
      <c r="M235" s="6">
        <v>24</v>
      </c>
      <c r="N235" s="6" t="s">
        <v>2733</v>
      </c>
      <c r="O235" s="6" t="s">
        <v>26</v>
      </c>
      <c r="P235" s="6" t="s">
        <v>29</v>
      </c>
      <c r="Q235" s="7"/>
      <c r="R235" s="6"/>
      <c r="S235" s="6"/>
      <c r="T235" s="7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ht="17" customHeight="1" x14ac:dyDescent="0.2">
      <c r="A236" s="4"/>
      <c r="B236" s="7"/>
      <c r="C236" s="7"/>
      <c r="D236" s="7"/>
      <c r="E236" s="7"/>
      <c r="F236" s="12"/>
      <c r="G236" s="12"/>
      <c r="H236" s="12" t="s">
        <v>345</v>
      </c>
      <c r="I236" s="12" t="s">
        <v>2734</v>
      </c>
      <c r="J236" s="12" t="s">
        <v>26</v>
      </c>
      <c r="K236" s="13" t="s">
        <v>19</v>
      </c>
      <c r="L236" s="12">
        <v>1903</v>
      </c>
      <c r="M236" s="12">
        <v>17</v>
      </c>
      <c r="N236" s="12" t="s">
        <v>212</v>
      </c>
      <c r="O236" s="12" t="s">
        <v>26</v>
      </c>
      <c r="P236" s="12" t="s">
        <v>29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ht="17" customHeight="1" x14ac:dyDescent="0.2">
      <c r="A237" s="7"/>
      <c r="B237" s="7"/>
      <c r="C237" s="7"/>
      <c r="D237" s="7"/>
      <c r="E237" s="7"/>
      <c r="F237" s="12"/>
      <c r="G237" s="12"/>
      <c r="H237" s="12" t="s">
        <v>336</v>
      </c>
      <c r="I237" s="12" t="s">
        <v>328</v>
      </c>
      <c r="J237" s="14" t="s">
        <v>26</v>
      </c>
      <c r="K237" s="15" t="s">
        <v>19</v>
      </c>
      <c r="L237" s="16">
        <v>1906</v>
      </c>
      <c r="M237" s="12">
        <v>15</v>
      </c>
      <c r="N237" s="12" t="s">
        <v>49</v>
      </c>
      <c r="O237" s="12" t="s">
        <v>26</v>
      </c>
      <c r="P237" s="14" t="s">
        <v>29</v>
      </c>
      <c r="Q237" s="20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ht="17" customHeight="1" x14ac:dyDescent="0.2">
      <c r="A238" s="7"/>
      <c r="B238" s="7"/>
      <c r="C238" s="7"/>
      <c r="D238" s="7"/>
      <c r="E238" s="7"/>
      <c r="F238" s="7"/>
      <c r="G238" s="21"/>
      <c r="H238" s="21"/>
      <c r="I238" s="21"/>
      <c r="J238" s="7"/>
      <c r="K238" s="7"/>
      <c r="L238" s="7"/>
      <c r="M238" s="7"/>
      <c r="N238" s="7"/>
      <c r="O238" s="7"/>
      <c r="P238" s="7"/>
      <c r="Q238" s="20"/>
      <c r="R238" s="21"/>
      <c r="S238" s="21"/>
      <c r="T238" s="21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ht="17.5" customHeight="1" x14ac:dyDescent="0.2">
      <c r="A239" s="7"/>
      <c r="B239" s="7"/>
      <c r="C239" s="7"/>
      <c r="D239" s="7"/>
      <c r="E239" s="7"/>
      <c r="F239" s="7"/>
      <c r="G239" s="7"/>
      <c r="H239" s="7" t="s">
        <v>0</v>
      </c>
      <c r="I239" s="7" t="s">
        <v>1</v>
      </c>
      <c r="J239" s="7" t="s">
        <v>2</v>
      </c>
      <c r="K239" s="7" t="s">
        <v>3</v>
      </c>
      <c r="L239" s="7" t="s">
        <v>4</v>
      </c>
      <c r="M239" s="7" t="s">
        <v>5</v>
      </c>
      <c r="N239" s="7" t="s">
        <v>6</v>
      </c>
      <c r="O239" s="7" t="s">
        <v>7</v>
      </c>
      <c r="P239" s="7" t="s">
        <v>8</v>
      </c>
      <c r="Q239" s="7"/>
      <c r="R239" s="6"/>
      <c r="S239" s="6"/>
      <c r="T239" s="19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ht="17" customHeight="1" x14ac:dyDescent="0.2">
      <c r="A240" s="7"/>
      <c r="B240" s="7"/>
      <c r="C240" s="7"/>
      <c r="D240" s="7"/>
      <c r="E240" s="7"/>
      <c r="F240" s="7">
        <v>7</v>
      </c>
      <c r="G240" s="7"/>
      <c r="H240" s="7" t="s">
        <v>902</v>
      </c>
      <c r="I240" s="7" t="s">
        <v>11</v>
      </c>
      <c r="J240" s="7" t="s">
        <v>12</v>
      </c>
      <c r="K240" s="7" t="s">
        <v>13</v>
      </c>
      <c r="L240" s="7">
        <v>1850</v>
      </c>
      <c r="M240" s="7">
        <v>70</v>
      </c>
      <c r="N240" s="7" t="s">
        <v>972</v>
      </c>
      <c r="O240" s="7" t="s">
        <v>15</v>
      </c>
      <c r="P240" s="7" t="s">
        <v>16</v>
      </c>
      <c r="Q240" s="7"/>
      <c r="R240" s="21"/>
      <c r="S240" s="21"/>
      <c r="T240" s="21"/>
      <c r="U240" s="7"/>
      <c r="V240" s="7"/>
      <c r="W240" s="7"/>
      <c r="X240" s="7"/>
      <c r="Y240" s="7"/>
      <c r="Z240" s="7"/>
      <c r="AA240" s="7"/>
      <c r="AB240" s="7"/>
      <c r="AC240" s="22"/>
      <c r="AD240" s="22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ht="17.5" customHeight="1" x14ac:dyDescent="0.2">
      <c r="A241" s="7"/>
      <c r="B241" s="7"/>
      <c r="C241" s="7"/>
      <c r="D241" s="7"/>
      <c r="E241" s="7"/>
      <c r="F241" s="7"/>
      <c r="G241" s="7"/>
      <c r="H241" s="7" t="s">
        <v>2735</v>
      </c>
      <c r="I241" s="7" t="s">
        <v>11</v>
      </c>
      <c r="J241" s="7" t="s">
        <v>22</v>
      </c>
      <c r="K241" s="7" t="s">
        <v>19</v>
      </c>
      <c r="L241" s="7">
        <v>1875</v>
      </c>
      <c r="M241" s="7">
        <v>45</v>
      </c>
      <c r="N241" s="7" t="s">
        <v>49</v>
      </c>
      <c r="O241" s="7" t="s">
        <v>50</v>
      </c>
      <c r="P241" s="7" t="s">
        <v>20</v>
      </c>
      <c r="Q241" s="7"/>
      <c r="R241" s="6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">
      <c r="H242" t="s">
        <v>2736</v>
      </c>
      <c r="I242" t="s">
        <v>11</v>
      </c>
      <c r="J242" t="s">
        <v>22</v>
      </c>
      <c r="K242" t="s">
        <v>19</v>
      </c>
      <c r="L242">
        <v>1885</v>
      </c>
      <c r="M242">
        <v>35</v>
      </c>
      <c r="N242" t="s">
        <v>49</v>
      </c>
      <c r="O242" t="s">
        <v>2604</v>
      </c>
      <c r="P242" t="s">
        <v>29</v>
      </c>
    </row>
    <row r="243" spans="1:51" x14ac:dyDescent="0.2">
      <c r="H243" t="s">
        <v>2737</v>
      </c>
      <c r="I243" t="s">
        <v>11</v>
      </c>
      <c r="J243" t="s">
        <v>58</v>
      </c>
      <c r="K243" t="s">
        <v>13</v>
      </c>
      <c r="L243">
        <v>1881</v>
      </c>
      <c r="M243">
        <v>40</v>
      </c>
      <c r="N243" t="s">
        <v>49</v>
      </c>
      <c r="O243" t="s">
        <v>2738</v>
      </c>
      <c r="P243" t="s">
        <v>2739</v>
      </c>
    </row>
    <row r="244" spans="1:51" x14ac:dyDescent="0.2">
      <c r="H244" t="s">
        <v>109</v>
      </c>
      <c r="I244" t="s">
        <v>11</v>
      </c>
      <c r="J244" t="s">
        <v>58</v>
      </c>
      <c r="K244" t="s">
        <v>19</v>
      </c>
      <c r="L244">
        <v>1883</v>
      </c>
      <c r="M244">
        <v>37</v>
      </c>
      <c r="N244" t="s">
        <v>20</v>
      </c>
      <c r="O244" t="s">
        <v>20</v>
      </c>
      <c r="P244" t="s">
        <v>20</v>
      </c>
    </row>
    <row r="245" spans="1:51" x14ac:dyDescent="0.2">
      <c r="H245" t="s">
        <v>2740</v>
      </c>
      <c r="I245" t="s">
        <v>11</v>
      </c>
      <c r="J245" t="s">
        <v>58</v>
      </c>
      <c r="K245" t="s">
        <v>13</v>
      </c>
      <c r="L245">
        <v>1912</v>
      </c>
      <c r="M245">
        <v>9</v>
      </c>
      <c r="N245" t="s">
        <v>2741</v>
      </c>
      <c r="O245" t="s">
        <v>20</v>
      </c>
      <c r="P245" t="s">
        <v>20</v>
      </c>
    </row>
    <row r="246" spans="1:51" x14ac:dyDescent="0.2">
      <c r="H246" t="s">
        <v>2742</v>
      </c>
      <c r="I246" t="s">
        <v>11</v>
      </c>
      <c r="J246" t="s">
        <v>58</v>
      </c>
      <c r="K246" t="s">
        <v>19</v>
      </c>
      <c r="L246">
        <v>1910</v>
      </c>
      <c r="M246">
        <v>11</v>
      </c>
      <c r="N246" t="s">
        <v>2741</v>
      </c>
      <c r="O246" t="s">
        <v>20</v>
      </c>
      <c r="P246" t="s">
        <v>20</v>
      </c>
    </row>
    <row r="247" spans="1:51" x14ac:dyDescent="0.2">
      <c r="H247" t="s">
        <v>2743</v>
      </c>
      <c r="I247" t="s">
        <v>11</v>
      </c>
      <c r="J247" t="s">
        <v>58</v>
      </c>
      <c r="K247" t="s">
        <v>13</v>
      </c>
      <c r="L247">
        <v>1920</v>
      </c>
      <c r="M247">
        <v>1</v>
      </c>
      <c r="N247" t="s">
        <v>2741</v>
      </c>
      <c r="O247" t="s">
        <v>20</v>
      </c>
      <c r="P247" t="s">
        <v>20</v>
      </c>
    </row>
    <row r="248" spans="1:51" x14ac:dyDescent="0.2">
      <c r="H248" t="s">
        <v>2390</v>
      </c>
      <c r="I248" t="s">
        <v>2744</v>
      </c>
      <c r="J248" t="s">
        <v>26</v>
      </c>
      <c r="K248" t="s">
        <v>13</v>
      </c>
      <c r="L248">
        <v>1855</v>
      </c>
      <c r="M248">
        <v>66</v>
      </c>
      <c r="N248" t="s">
        <v>778</v>
      </c>
      <c r="O248" t="s">
        <v>2745</v>
      </c>
      <c r="P248" t="s">
        <v>29</v>
      </c>
    </row>
    <row r="249" spans="1:51" x14ac:dyDescent="0.2">
      <c r="H249" t="s">
        <v>70</v>
      </c>
      <c r="I249" t="s">
        <v>2746</v>
      </c>
      <c r="J249" t="s">
        <v>26</v>
      </c>
      <c r="K249" t="s">
        <v>19</v>
      </c>
      <c r="L249">
        <v>1896</v>
      </c>
      <c r="M249">
        <v>25</v>
      </c>
      <c r="N249" t="s">
        <v>49</v>
      </c>
      <c r="O249" t="s">
        <v>2747</v>
      </c>
      <c r="P249" t="s">
        <v>29</v>
      </c>
    </row>
    <row r="250" spans="1:51" x14ac:dyDescent="0.2">
      <c r="H250" t="s">
        <v>704</v>
      </c>
      <c r="I250" t="s">
        <v>2748</v>
      </c>
      <c r="J250" t="s">
        <v>26</v>
      </c>
      <c r="K250" t="s">
        <v>19</v>
      </c>
      <c r="L250">
        <v>1887</v>
      </c>
      <c r="M250">
        <v>33</v>
      </c>
      <c r="N250" t="s">
        <v>212</v>
      </c>
      <c r="O250" t="s">
        <v>33</v>
      </c>
      <c r="P250" t="s">
        <v>29</v>
      </c>
    </row>
    <row r="251" spans="1:51" x14ac:dyDescent="0.2">
      <c r="H251" t="s">
        <v>2749</v>
      </c>
      <c r="I251" t="s">
        <v>2750</v>
      </c>
      <c r="J251" t="s">
        <v>26</v>
      </c>
      <c r="K251" t="s">
        <v>19</v>
      </c>
      <c r="L251">
        <v>1896</v>
      </c>
      <c r="M251">
        <v>24</v>
      </c>
      <c r="N251" t="s">
        <v>2015</v>
      </c>
      <c r="O251" t="s">
        <v>28</v>
      </c>
      <c r="P251" t="s">
        <v>29</v>
      </c>
    </row>
    <row r="252" spans="1:51" x14ac:dyDescent="0.2">
      <c r="H252" t="s">
        <v>1344</v>
      </c>
      <c r="I252" t="s">
        <v>2750</v>
      </c>
      <c r="J252" t="s">
        <v>26</v>
      </c>
      <c r="K252" t="s">
        <v>19</v>
      </c>
      <c r="L252">
        <v>1903</v>
      </c>
      <c r="M252">
        <v>18</v>
      </c>
      <c r="N252" t="s">
        <v>368</v>
      </c>
      <c r="O252" t="s">
        <v>93</v>
      </c>
      <c r="P252" t="s">
        <v>29</v>
      </c>
    </row>
    <row r="254" spans="1:51" x14ac:dyDescent="0.2">
      <c r="H254" t="s">
        <v>0</v>
      </c>
      <c r="I254" t="s">
        <v>1</v>
      </c>
      <c r="J254" t="s">
        <v>2</v>
      </c>
      <c r="K254" t="s">
        <v>3</v>
      </c>
      <c r="L254" t="s">
        <v>4</v>
      </c>
      <c r="M254" t="s">
        <v>5</v>
      </c>
      <c r="N254" t="s">
        <v>6</v>
      </c>
      <c r="O254" t="s">
        <v>7</v>
      </c>
      <c r="P254" t="s">
        <v>8</v>
      </c>
    </row>
    <row r="255" spans="1:51" x14ac:dyDescent="0.2">
      <c r="F255">
        <v>11</v>
      </c>
      <c r="H255" t="s">
        <v>2751</v>
      </c>
      <c r="I255" t="s">
        <v>1378</v>
      </c>
      <c r="J255" t="s">
        <v>12</v>
      </c>
      <c r="K255" t="s">
        <v>13</v>
      </c>
      <c r="L255">
        <v>1867</v>
      </c>
      <c r="M255">
        <v>53</v>
      </c>
      <c r="N255" t="s">
        <v>14</v>
      </c>
      <c r="O255" t="s">
        <v>2752</v>
      </c>
      <c r="P255" t="s">
        <v>8</v>
      </c>
    </row>
    <row r="256" spans="1:51" x14ac:dyDescent="0.2">
      <c r="H256" t="s">
        <v>1510</v>
      </c>
      <c r="I256" t="s">
        <v>2753</v>
      </c>
      <c r="J256" t="s">
        <v>52</v>
      </c>
      <c r="K256" t="s">
        <v>19</v>
      </c>
      <c r="L256">
        <v>1861</v>
      </c>
      <c r="M256">
        <v>60</v>
      </c>
      <c r="N256" t="s">
        <v>368</v>
      </c>
      <c r="O256" t="s">
        <v>407</v>
      </c>
      <c r="P256" t="s">
        <v>29</v>
      </c>
    </row>
    <row r="257" spans="6:16" x14ac:dyDescent="0.2">
      <c r="H257" t="s">
        <v>2754</v>
      </c>
      <c r="I257" t="s">
        <v>2755</v>
      </c>
      <c r="J257" t="s">
        <v>28</v>
      </c>
      <c r="K257" t="s">
        <v>19</v>
      </c>
      <c r="L257">
        <v>1889</v>
      </c>
      <c r="M257">
        <v>32</v>
      </c>
      <c r="N257" t="s">
        <v>2756</v>
      </c>
      <c r="O257" t="s">
        <v>137</v>
      </c>
      <c r="P257" t="s">
        <v>29</v>
      </c>
    </row>
    <row r="259" spans="6:16" x14ac:dyDescent="0.2">
      <c r="H259" t="s">
        <v>0</v>
      </c>
      <c r="I259" t="s">
        <v>1</v>
      </c>
      <c r="J259" t="s">
        <v>2</v>
      </c>
      <c r="K259" t="s">
        <v>3</v>
      </c>
      <c r="L259" t="s">
        <v>4</v>
      </c>
      <c r="M259" t="s">
        <v>5</v>
      </c>
      <c r="N259" t="s">
        <v>6</v>
      </c>
      <c r="O259" t="s">
        <v>7</v>
      </c>
      <c r="P259" t="s">
        <v>8</v>
      </c>
    </row>
    <row r="260" spans="6:16" x14ac:dyDescent="0.2">
      <c r="F260">
        <v>13</v>
      </c>
      <c r="H260" t="s">
        <v>318</v>
      </c>
      <c r="I260" t="s">
        <v>2757</v>
      </c>
      <c r="J260" t="s">
        <v>12</v>
      </c>
      <c r="K260" t="s">
        <v>19</v>
      </c>
      <c r="L260">
        <v>1862</v>
      </c>
      <c r="M260">
        <v>59</v>
      </c>
      <c r="N260" t="s">
        <v>2758</v>
      </c>
      <c r="O260" t="s">
        <v>50</v>
      </c>
      <c r="P260" t="s">
        <v>20</v>
      </c>
    </row>
    <row r="261" spans="6:16" x14ac:dyDescent="0.2">
      <c r="H261" t="s">
        <v>2759</v>
      </c>
      <c r="I261" t="s">
        <v>2760</v>
      </c>
      <c r="J261" t="s">
        <v>58</v>
      </c>
      <c r="K261" t="s">
        <v>19</v>
      </c>
      <c r="L261">
        <v>1892</v>
      </c>
      <c r="M261">
        <v>29</v>
      </c>
      <c r="N261" t="s">
        <v>20</v>
      </c>
      <c r="O261" t="s">
        <v>20</v>
      </c>
      <c r="P261" t="s">
        <v>20</v>
      </c>
    </row>
    <row r="262" spans="6:16" x14ac:dyDescent="0.2">
      <c r="H262" t="s">
        <v>398</v>
      </c>
      <c r="I262" t="s">
        <v>2761</v>
      </c>
      <c r="J262" t="s">
        <v>265</v>
      </c>
      <c r="K262" t="s">
        <v>19</v>
      </c>
      <c r="L262">
        <v>1893</v>
      </c>
      <c r="M262">
        <v>27</v>
      </c>
      <c r="N262" t="s">
        <v>14</v>
      </c>
      <c r="O262" t="s">
        <v>56</v>
      </c>
      <c r="P262" t="s">
        <v>29</v>
      </c>
    </row>
    <row r="263" spans="6:16" x14ac:dyDescent="0.2">
      <c r="H263" t="s">
        <v>2762</v>
      </c>
      <c r="I263" t="s">
        <v>2594</v>
      </c>
      <c r="J263" t="s">
        <v>265</v>
      </c>
      <c r="K263" t="s">
        <v>19</v>
      </c>
      <c r="L263">
        <v>1897</v>
      </c>
      <c r="M263">
        <v>23</v>
      </c>
      <c r="N263" t="s">
        <v>2763</v>
      </c>
      <c r="O263" t="s">
        <v>56</v>
      </c>
      <c r="P263" t="s">
        <v>29</v>
      </c>
    </row>
    <row r="264" spans="6:16" x14ac:dyDescent="0.2">
      <c r="H264" t="s">
        <v>2764</v>
      </c>
      <c r="I264" t="s">
        <v>460</v>
      </c>
      <c r="J264" t="s">
        <v>437</v>
      </c>
      <c r="K264" t="s">
        <v>19</v>
      </c>
      <c r="L264">
        <v>1893</v>
      </c>
      <c r="M264">
        <v>28</v>
      </c>
      <c r="N264" t="s">
        <v>2765</v>
      </c>
      <c r="O264" t="s">
        <v>437</v>
      </c>
      <c r="P264" t="s">
        <v>29</v>
      </c>
    </row>
    <row r="265" spans="6:16" x14ac:dyDescent="0.2">
      <c r="H265" t="s">
        <v>90</v>
      </c>
      <c r="I265" t="s">
        <v>1104</v>
      </c>
      <c r="J265" t="s">
        <v>265</v>
      </c>
      <c r="K265" t="s">
        <v>19</v>
      </c>
      <c r="L265">
        <v>1900</v>
      </c>
      <c r="M265">
        <v>20</v>
      </c>
      <c r="N265" t="s">
        <v>368</v>
      </c>
      <c r="O265" t="s">
        <v>56</v>
      </c>
      <c r="P265" t="s">
        <v>29</v>
      </c>
    </row>
    <row r="267" spans="6:16" x14ac:dyDescent="0.2">
      <c r="H267" t="s">
        <v>0</v>
      </c>
      <c r="I267" t="s">
        <v>1</v>
      </c>
      <c r="J267" t="s">
        <v>2</v>
      </c>
      <c r="K267" t="s">
        <v>3</v>
      </c>
      <c r="L267" t="s">
        <v>4</v>
      </c>
      <c r="M267" t="s">
        <v>5</v>
      </c>
      <c r="N267" t="s">
        <v>6</v>
      </c>
      <c r="O267" t="s">
        <v>7</v>
      </c>
      <c r="P267" t="s">
        <v>8</v>
      </c>
    </row>
    <row r="268" spans="6:16" x14ac:dyDescent="0.2">
      <c r="F268">
        <v>15</v>
      </c>
      <c r="H268" t="s">
        <v>653</v>
      </c>
      <c r="I268" t="s">
        <v>362</v>
      </c>
      <c r="J268" t="s">
        <v>26</v>
      </c>
      <c r="K268" t="s">
        <v>19</v>
      </c>
      <c r="L268">
        <v>1885</v>
      </c>
      <c r="M268">
        <v>36</v>
      </c>
      <c r="N268" t="s">
        <v>2766</v>
      </c>
      <c r="O268" t="s">
        <v>28</v>
      </c>
      <c r="P268" t="s">
        <v>29</v>
      </c>
    </row>
    <row r="269" spans="6:16" x14ac:dyDescent="0.2">
      <c r="H269" t="s">
        <v>135</v>
      </c>
      <c r="I269" t="s">
        <v>642</v>
      </c>
      <c r="J269" t="s">
        <v>26</v>
      </c>
      <c r="K269" t="s">
        <v>19</v>
      </c>
      <c r="L269">
        <v>1862</v>
      </c>
      <c r="M269">
        <v>58</v>
      </c>
      <c r="N269" t="s">
        <v>2767</v>
      </c>
      <c r="O269" t="s">
        <v>2768</v>
      </c>
      <c r="P269" t="s">
        <v>29</v>
      </c>
    </row>
    <row r="271" spans="6:16" x14ac:dyDescent="0.2">
      <c r="H271" t="s">
        <v>0</v>
      </c>
      <c r="I271" t="s">
        <v>1</v>
      </c>
      <c r="J271" t="s">
        <v>2</v>
      </c>
      <c r="K271" t="s">
        <v>3</v>
      </c>
      <c r="L271" t="s">
        <v>4</v>
      </c>
      <c r="M271" t="s">
        <v>5</v>
      </c>
      <c r="N271" t="s">
        <v>6</v>
      </c>
      <c r="O271" t="s">
        <v>7</v>
      </c>
      <c r="P271" t="s">
        <v>8</v>
      </c>
    </row>
    <row r="272" spans="6:16" x14ac:dyDescent="0.2">
      <c r="F272">
        <v>17</v>
      </c>
      <c r="H272" t="s">
        <v>2769</v>
      </c>
      <c r="I272" t="s">
        <v>204</v>
      </c>
      <c r="J272" t="s">
        <v>12</v>
      </c>
      <c r="K272" t="s">
        <v>13</v>
      </c>
      <c r="L272">
        <v>1869</v>
      </c>
      <c r="M272">
        <v>51</v>
      </c>
      <c r="N272" t="s">
        <v>2770</v>
      </c>
      <c r="O272" t="s">
        <v>2771</v>
      </c>
      <c r="P272" t="s">
        <v>2772</v>
      </c>
    </row>
    <row r="273" spans="6:16" x14ac:dyDescent="0.2">
      <c r="H273" t="s">
        <v>2773</v>
      </c>
      <c r="I273" t="s">
        <v>204</v>
      </c>
      <c r="J273" t="s">
        <v>18</v>
      </c>
      <c r="K273" t="s">
        <v>19</v>
      </c>
      <c r="L273">
        <v>1874</v>
      </c>
      <c r="M273">
        <v>47</v>
      </c>
      <c r="N273" t="s">
        <v>2222</v>
      </c>
      <c r="O273" t="s">
        <v>50</v>
      </c>
      <c r="P273" t="s">
        <v>20</v>
      </c>
    </row>
    <row r="274" spans="6:16" x14ac:dyDescent="0.2">
      <c r="H274" t="s">
        <v>2774</v>
      </c>
      <c r="I274" t="s">
        <v>204</v>
      </c>
      <c r="J274" t="s">
        <v>22</v>
      </c>
      <c r="K274" t="s">
        <v>19</v>
      </c>
      <c r="L274">
        <v>1898</v>
      </c>
      <c r="M274">
        <v>22</v>
      </c>
      <c r="N274" t="s">
        <v>49</v>
      </c>
      <c r="O274" t="s">
        <v>50</v>
      </c>
      <c r="P274" t="s">
        <v>20</v>
      </c>
    </row>
    <row r="275" spans="6:16" x14ac:dyDescent="0.2">
      <c r="H275" t="s">
        <v>2775</v>
      </c>
      <c r="I275" t="s">
        <v>2776</v>
      </c>
      <c r="J275" t="s">
        <v>58</v>
      </c>
      <c r="K275" t="s">
        <v>19</v>
      </c>
      <c r="L275">
        <v>1897</v>
      </c>
      <c r="M275">
        <v>24</v>
      </c>
      <c r="N275" t="s">
        <v>2777</v>
      </c>
      <c r="O275" t="s">
        <v>47</v>
      </c>
      <c r="P275" t="s">
        <v>20</v>
      </c>
    </row>
    <row r="276" spans="6:16" x14ac:dyDescent="0.2">
      <c r="H276" t="s">
        <v>170</v>
      </c>
      <c r="I276" t="s">
        <v>1104</v>
      </c>
      <c r="J276" t="s">
        <v>26</v>
      </c>
      <c r="K276" t="s">
        <v>19</v>
      </c>
      <c r="L276">
        <v>1883</v>
      </c>
      <c r="M276">
        <v>38</v>
      </c>
      <c r="N276" t="s">
        <v>739</v>
      </c>
      <c r="O276" t="s">
        <v>33</v>
      </c>
      <c r="P276" t="s">
        <v>29</v>
      </c>
    </row>
    <row r="277" spans="6:16" x14ac:dyDescent="0.2">
      <c r="H277" t="s">
        <v>1809</v>
      </c>
      <c r="I277" t="s">
        <v>2778</v>
      </c>
      <c r="J277" t="s">
        <v>26</v>
      </c>
      <c r="K277" t="s">
        <v>19</v>
      </c>
      <c r="L277">
        <v>1896</v>
      </c>
      <c r="M277">
        <v>25</v>
      </c>
      <c r="N277" t="s">
        <v>2779</v>
      </c>
      <c r="O277" t="s">
        <v>360</v>
      </c>
      <c r="P277" t="s">
        <v>29</v>
      </c>
    </row>
    <row r="278" spans="6:16" x14ac:dyDescent="0.2">
      <c r="H278" t="s">
        <v>331</v>
      </c>
      <c r="I278" t="s">
        <v>328</v>
      </c>
      <c r="J278" t="s">
        <v>26</v>
      </c>
      <c r="K278" t="s">
        <v>19</v>
      </c>
      <c r="L278">
        <v>1902</v>
      </c>
      <c r="M278">
        <v>18</v>
      </c>
      <c r="N278" t="s">
        <v>2780</v>
      </c>
      <c r="O278" t="s">
        <v>28</v>
      </c>
      <c r="P278" t="s">
        <v>29</v>
      </c>
    </row>
    <row r="280" spans="6:16" x14ac:dyDescent="0.2">
      <c r="H280" t="s">
        <v>0</v>
      </c>
      <c r="I280" t="s">
        <v>1</v>
      </c>
      <c r="J280" t="s">
        <v>2</v>
      </c>
      <c r="K280" t="s">
        <v>3</v>
      </c>
      <c r="L280" t="s">
        <v>4</v>
      </c>
      <c r="M280" t="s">
        <v>5</v>
      </c>
      <c r="N280" t="s">
        <v>6</v>
      </c>
      <c r="O280" t="s">
        <v>7</v>
      </c>
      <c r="P280" t="s">
        <v>8</v>
      </c>
    </row>
    <row r="281" spans="6:16" x14ac:dyDescent="0.2">
      <c r="F281">
        <v>19</v>
      </c>
      <c r="H281" t="s">
        <v>2781</v>
      </c>
      <c r="I281" t="s">
        <v>2782</v>
      </c>
      <c r="J281" t="s">
        <v>18</v>
      </c>
      <c r="K281" t="s">
        <v>19</v>
      </c>
      <c r="L281">
        <v>1887</v>
      </c>
      <c r="M281">
        <v>34</v>
      </c>
      <c r="N281" t="s">
        <v>49</v>
      </c>
      <c r="O281" t="s">
        <v>20</v>
      </c>
      <c r="P281" t="s">
        <v>20</v>
      </c>
    </row>
    <row r="282" spans="6:16" x14ac:dyDescent="0.2">
      <c r="H282" t="s">
        <v>2163</v>
      </c>
      <c r="I282" t="s">
        <v>2783</v>
      </c>
      <c r="J282" t="s">
        <v>26</v>
      </c>
      <c r="K282" t="s">
        <v>13</v>
      </c>
      <c r="L282">
        <v>1897</v>
      </c>
      <c r="M282">
        <v>23</v>
      </c>
      <c r="N282" t="s">
        <v>1976</v>
      </c>
      <c r="O282" t="s">
        <v>2784</v>
      </c>
      <c r="P282" t="s">
        <v>2785</v>
      </c>
    </row>
    <row r="283" spans="6:16" x14ac:dyDescent="0.2">
      <c r="H283" t="s">
        <v>2786</v>
      </c>
      <c r="I283" t="s">
        <v>2787</v>
      </c>
      <c r="J283" t="s">
        <v>26</v>
      </c>
      <c r="K283" t="s">
        <v>19</v>
      </c>
      <c r="L283">
        <v>1901</v>
      </c>
      <c r="M283">
        <v>19</v>
      </c>
      <c r="N283" t="s">
        <v>356</v>
      </c>
      <c r="O283" t="s">
        <v>33</v>
      </c>
      <c r="P283" t="s">
        <v>20</v>
      </c>
    </row>
    <row r="284" spans="6:16" x14ac:dyDescent="0.2">
      <c r="H284" t="s">
        <v>1230</v>
      </c>
      <c r="I284" t="s">
        <v>2788</v>
      </c>
      <c r="J284" t="s">
        <v>26</v>
      </c>
      <c r="K284" t="s">
        <v>19</v>
      </c>
      <c r="L284">
        <v>1903</v>
      </c>
      <c r="M284">
        <v>18</v>
      </c>
      <c r="N284" t="s">
        <v>14</v>
      </c>
      <c r="O284" t="s">
        <v>28</v>
      </c>
      <c r="P284" t="s">
        <v>20</v>
      </c>
    </row>
    <row r="286" spans="6:16" x14ac:dyDescent="0.2">
      <c r="H286" t="s">
        <v>0</v>
      </c>
      <c r="I286" t="s">
        <v>1</v>
      </c>
      <c r="J286" t="s">
        <v>2</v>
      </c>
      <c r="K286" t="s">
        <v>3</v>
      </c>
      <c r="L286" t="s">
        <v>4</v>
      </c>
      <c r="M286" t="s">
        <v>5</v>
      </c>
      <c r="N286" t="s">
        <v>6</v>
      </c>
      <c r="O286" t="s">
        <v>7</v>
      </c>
      <c r="P286" t="s">
        <v>8</v>
      </c>
    </row>
    <row r="287" spans="6:16" x14ac:dyDescent="0.2">
      <c r="F287">
        <v>21</v>
      </c>
      <c r="H287" t="s">
        <v>2789</v>
      </c>
      <c r="I287" t="s">
        <v>2016</v>
      </c>
      <c r="J287" t="s">
        <v>12</v>
      </c>
      <c r="K287" t="s">
        <v>13</v>
      </c>
      <c r="L287">
        <v>1893</v>
      </c>
      <c r="M287">
        <v>27</v>
      </c>
      <c r="N287" t="s">
        <v>49</v>
      </c>
      <c r="O287" t="s">
        <v>2790</v>
      </c>
      <c r="P287" t="s">
        <v>20</v>
      </c>
    </row>
    <row r="288" spans="6:16" x14ac:dyDescent="0.2">
      <c r="H288" t="s">
        <v>2791</v>
      </c>
      <c r="I288" t="s">
        <v>2016</v>
      </c>
      <c r="J288" t="s">
        <v>18</v>
      </c>
      <c r="K288" t="s">
        <v>19</v>
      </c>
      <c r="L288">
        <v>1893</v>
      </c>
      <c r="M288">
        <v>28</v>
      </c>
      <c r="N288" t="s">
        <v>49</v>
      </c>
      <c r="O288" t="s">
        <v>20</v>
      </c>
      <c r="P288" t="s">
        <v>20</v>
      </c>
    </row>
    <row r="289" spans="6:16" x14ac:dyDescent="0.2">
      <c r="H289" t="s">
        <v>2792</v>
      </c>
      <c r="I289" t="s">
        <v>2793</v>
      </c>
      <c r="J289" t="s">
        <v>26</v>
      </c>
      <c r="K289" t="s">
        <v>19</v>
      </c>
      <c r="L289">
        <v>1896</v>
      </c>
      <c r="M289">
        <v>24</v>
      </c>
      <c r="N289" t="s">
        <v>212</v>
      </c>
      <c r="O289" t="s">
        <v>56</v>
      </c>
      <c r="P289" t="s">
        <v>29</v>
      </c>
    </row>
    <row r="290" spans="6:16" x14ac:dyDescent="0.2">
      <c r="H290" t="s">
        <v>2794</v>
      </c>
      <c r="I290" t="s">
        <v>2795</v>
      </c>
      <c r="J290" t="s">
        <v>26</v>
      </c>
      <c r="K290" t="s">
        <v>19</v>
      </c>
      <c r="L290">
        <v>1900</v>
      </c>
      <c r="M290">
        <v>20</v>
      </c>
      <c r="N290" t="s">
        <v>2796</v>
      </c>
      <c r="O290" t="s">
        <v>56</v>
      </c>
      <c r="P290" t="s">
        <v>29</v>
      </c>
    </row>
    <row r="292" spans="6:16" x14ac:dyDescent="0.2">
      <c r="H292" t="s">
        <v>0</v>
      </c>
      <c r="I292" t="s">
        <v>1</v>
      </c>
      <c r="J292" t="s">
        <v>2</v>
      </c>
      <c r="K292" t="s">
        <v>3</v>
      </c>
      <c r="L292" t="s">
        <v>4</v>
      </c>
      <c r="M292" t="s">
        <v>5</v>
      </c>
      <c r="N292" t="s">
        <v>6</v>
      </c>
      <c r="O292" t="s">
        <v>7</v>
      </c>
      <c r="P292" t="s">
        <v>8</v>
      </c>
    </row>
    <row r="293" spans="6:16" x14ac:dyDescent="0.2">
      <c r="F293">
        <v>23</v>
      </c>
      <c r="H293" t="s">
        <v>444</v>
      </c>
      <c r="I293" t="s">
        <v>2797</v>
      </c>
      <c r="J293" t="s">
        <v>12</v>
      </c>
      <c r="K293" t="s">
        <v>13</v>
      </c>
      <c r="L293">
        <v>1842</v>
      </c>
      <c r="M293">
        <v>79</v>
      </c>
      <c r="N293" t="s">
        <v>49</v>
      </c>
      <c r="O293" t="s">
        <v>2798</v>
      </c>
      <c r="P293" t="s">
        <v>20</v>
      </c>
    </row>
    <row r="294" spans="6:16" x14ac:dyDescent="0.2">
      <c r="H294" t="s">
        <v>2799</v>
      </c>
      <c r="I294" t="s">
        <v>2800</v>
      </c>
      <c r="J294" t="s">
        <v>2801</v>
      </c>
      <c r="K294" t="s">
        <v>19</v>
      </c>
      <c r="L294">
        <v>1880</v>
      </c>
      <c r="M294">
        <v>40</v>
      </c>
      <c r="N294" t="s">
        <v>2802</v>
      </c>
      <c r="O294" t="s">
        <v>1832</v>
      </c>
      <c r="P294" t="s">
        <v>20</v>
      </c>
    </row>
    <row r="295" spans="6:16" x14ac:dyDescent="0.2">
      <c r="H295" t="s">
        <v>937</v>
      </c>
      <c r="I295" t="s">
        <v>115</v>
      </c>
      <c r="J295" t="s">
        <v>26</v>
      </c>
      <c r="K295" t="s">
        <v>19</v>
      </c>
      <c r="L295">
        <v>1869</v>
      </c>
      <c r="M295">
        <v>52</v>
      </c>
      <c r="N295" t="s">
        <v>1337</v>
      </c>
      <c r="O295" t="s">
        <v>33</v>
      </c>
      <c r="P295" t="s">
        <v>29</v>
      </c>
    </row>
    <row r="296" spans="6:16" x14ac:dyDescent="0.2">
      <c r="H296" t="s">
        <v>345</v>
      </c>
      <c r="I296" t="s">
        <v>2803</v>
      </c>
      <c r="J296" t="s">
        <v>26</v>
      </c>
      <c r="K296" t="s">
        <v>19</v>
      </c>
      <c r="L296">
        <v>1896</v>
      </c>
      <c r="M296">
        <v>25</v>
      </c>
      <c r="N296" t="s">
        <v>2804</v>
      </c>
      <c r="O296" t="s">
        <v>330</v>
      </c>
      <c r="P296" t="s">
        <v>29</v>
      </c>
    </row>
    <row r="298" spans="6:16" x14ac:dyDescent="0.2">
      <c r="H298" t="s">
        <v>0</v>
      </c>
      <c r="I298" t="s">
        <v>1</v>
      </c>
      <c r="J298" t="s">
        <v>2</v>
      </c>
      <c r="K298" t="s">
        <v>3</v>
      </c>
      <c r="L298" t="s">
        <v>4</v>
      </c>
      <c r="M298" t="s">
        <v>5</v>
      </c>
      <c r="N298" t="s">
        <v>6</v>
      </c>
      <c r="O298" t="s">
        <v>7</v>
      </c>
      <c r="P298" t="s">
        <v>8</v>
      </c>
    </row>
    <row r="299" spans="6:16" x14ac:dyDescent="0.2">
      <c r="F299">
        <v>27</v>
      </c>
      <c r="H299" t="s">
        <v>423</v>
      </c>
      <c r="I299" t="s">
        <v>420</v>
      </c>
      <c r="J299" t="s">
        <v>12</v>
      </c>
      <c r="K299" t="s">
        <v>13</v>
      </c>
      <c r="L299">
        <v>1840</v>
      </c>
      <c r="M299">
        <v>81</v>
      </c>
      <c r="N299" t="s">
        <v>14</v>
      </c>
      <c r="O299" t="s">
        <v>2805</v>
      </c>
      <c r="P299" t="s">
        <v>8</v>
      </c>
    </row>
    <row r="300" spans="6:16" x14ac:dyDescent="0.2">
      <c r="H300" t="s">
        <v>336</v>
      </c>
      <c r="I300" t="s">
        <v>420</v>
      </c>
      <c r="J300" t="s">
        <v>18</v>
      </c>
      <c r="K300" t="s">
        <v>19</v>
      </c>
      <c r="L300">
        <v>1845</v>
      </c>
      <c r="M300">
        <v>75</v>
      </c>
      <c r="N300" t="s">
        <v>14</v>
      </c>
      <c r="O300" t="s">
        <v>50</v>
      </c>
      <c r="P300" t="s">
        <v>20</v>
      </c>
    </row>
    <row r="301" spans="6:16" x14ac:dyDescent="0.2">
      <c r="H301" t="s">
        <v>203</v>
      </c>
      <c r="I301" t="s">
        <v>2806</v>
      </c>
      <c r="J301" t="s">
        <v>1241</v>
      </c>
      <c r="K301" t="s">
        <v>19</v>
      </c>
      <c r="L301">
        <v>1870</v>
      </c>
      <c r="M301">
        <v>51</v>
      </c>
      <c r="N301" t="s">
        <v>43</v>
      </c>
      <c r="O301" t="s">
        <v>50</v>
      </c>
      <c r="P301" t="s">
        <v>29</v>
      </c>
    </row>
    <row r="302" spans="6:16" x14ac:dyDescent="0.2">
      <c r="H302" t="s">
        <v>24</v>
      </c>
      <c r="I302" t="s">
        <v>2807</v>
      </c>
      <c r="J302" t="s">
        <v>33</v>
      </c>
      <c r="K302" t="s">
        <v>19</v>
      </c>
      <c r="L302">
        <v>1870</v>
      </c>
      <c r="M302">
        <v>51</v>
      </c>
      <c r="N302" t="s">
        <v>59</v>
      </c>
      <c r="O302" t="s">
        <v>33</v>
      </c>
      <c r="P302" t="s">
        <v>29</v>
      </c>
    </row>
    <row r="303" spans="6:16" x14ac:dyDescent="0.2">
      <c r="H303" t="s">
        <v>336</v>
      </c>
      <c r="I303" t="s">
        <v>2808</v>
      </c>
      <c r="J303" t="s">
        <v>2809</v>
      </c>
      <c r="K303" t="s">
        <v>19</v>
      </c>
      <c r="L303">
        <v>1876</v>
      </c>
      <c r="M303">
        <v>45</v>
      </c>
      <c r="N303" t="s">
        <v>2810</v>
      </c>
      <c r="O303" t="s">
        <v>2811</v>
      </c>
      <c r="P303" t="s">
        <v>29</v>
      </c>
    </row>
    <row r="304" spans="6:16" x14ac:dyDescent="0.2">
      <c r="H304" t="s">
        <v>336</v>
      </c>
      <c r="I304" t="s">
        <v>2812</v>
      </c>
      <c r="J304" t="s">
        <v>2813</v>
      </c>
      <c r="K304" t="s">
        <v>19</v>
      </c>
      <c r="L304">
        <v>1891</v>
      </c>
      <c r="M304">
        <v>30</v>
      </c>
      <c r="N304" t="s">
        <v>2814</v>
      </c>
      <c r="O304" t="s">
        <v>2815</v>
      </c>
      <c r="P304" t="s">
        <v>29</v>
      </c>
    </row>
    <row r="306" spans="6:16" x14ac:dyDescent="0.2">
      <c r="H306" t="s">
        <v>0</v>
      </c>
      <c r="I306" t="s">
        <v>1</v>
      </c>
      <c r="J306" t="s">
        <v>2</v>
      </c>
      <c r="K306" t="s">
        <v>3</v>
      </c>
      <c r="L306" t="s">
        <v>4</v>
      </c>
      <c r="M306" t="s">
        <v>5</v>
      </c>
      <c r="N306" t="s">
        <v>6</v>
      </c>
      <c r="O306" t="s">
        <v>7</v>
      </c>
      <c r="P306" t="s">
        <v>8</v>
      </c>
    </row>
    <row r="307" spans="6:16" x14ac:dyDescent="0.2">
      <c r="F307">
        <v>29</v>
      </c>
      <c r="H307" t="s">
        <v>2510</v>
      </c>
      <c r="I307" t="s">
        <v>2816</v>
      </c>
      <c r="J307" t="s">
        <v>12</v>
      </c>
      <c r="K307" t="s">
        <v>13</v>
      </c>
      <c r="L307">
        <v>1852</v>
      </c>
      <c r="M307">
        <v>69</v>
      </c>
      <c r="N307" t="s">
        <v>14</v>
      </c>
      <c r="O307" t="s">
        <v>2817</v>
      </c>
      <c r="P307" t="s">
        <v>8</v>
      </c>
    </row>
    <row r="308" spans="6:16" x14ac:dyDescent="0.2">
      <c r="H308" t="s">
        <v>2818</v>
      </c>
      <c r="I308" t="s">
        <v>2816</v>
      </c>
      <c r="J308" t="s">
        <v>18</v>
      </c>
      <c r="K308" t="s">
        <v>19</v>
      </c>
      <c r="L308">
        <v>1855</v>
      </c>
      <c r="M308">
        <v>66</v>
      </c>
      <c r="N308" t="s">
        <v>2819</v>
      </c>
      <c r="O308" t="s">
        <v>2820</v>
      </c>
      <c r="P308" t="s">
        <v>20</v>
      </c>
    </row>
    <row r="309" spans="6:16" x14ac:dyDescent="0.2">
      <c r="H309" t="s">
        <v>2821</v>
      </c>
      <c r="I309" t="s">
        <v>2816</v>
      </c>
      <c r="J309" t="s">
        <v>22</v>
      </c>
      <c r="K309" t="s">
        <v>19</v>
      </c>
      <c r="L309">
        <v>1882</v>
      </c>
      <c r="M309">
        <v>38</v>
      </c>
      <c r="N309" t="s">
        <v>2822</v>
      </c>
      <c r="O309" t="s">
        <v>489</v>
      </c>
      <c r="P309" t="s">
        <v>20</v>
      </c>
    </row>
    <row r="310" spans="6:16" x14ac:dyDescent="0.2">
      <c r="H310" t="s">
        <v>2823</v>
      </c>
      <c r="I310" t="s">
        <v>61</v>
      </c>
      <c r="J310" t="s">
        <v>208</v>
      </c>
      <c r="K310" t="s">
        <v>19</v>
      </c>
      <c r="L310">
        <v>1883</v>
      </c>
      <c r="M310">
        <v>37</v>
      </c>
      <c r="N310" t="s">
        <v>20</v>
      </c>
      <c r="O310" t="s">
        <v>1037</v>
      </c>
      <c r="P310" t="s">
        <v>20</v>
      </c>
    </row>
    <row r="311" spans="6:16" x14ac:dyDescent="0.2">
      <c r="H311" t="s">
        <v>704</v>
      </c>
      <c r="I311" t="s">
        <v>2824</v>
      </c>
      <c r="J311" t="s">
        <v>26</v>
      </c>
      <c r="K311" t="s">
        <v>19</v>
      </c>
      <c r="L311">
        <v>1897</v>
      </c>
      <c r="M311">
        <v>24</v>
      </c>
      <c r="N311" t="s">
        <v>1976</v>
      </c>
      <c r="O311" t="s">
        <v>33</v>
      </c>
      <c r="P311" t="s">
        <v>29</v>
      </c>
    </row>
    <row r="312" spans="6:16" x14ac:dyDescent="0.2">
      <c r="H312" t="s">
        <v>174</v>
      </c>
      <c r="I312" t="s">
        <v>2825</v>
      </c>
      <c r="J312" t="s">
        <v>26</v>
      </c>
      <c r="K312" t="s">
        <v>19</v>
      </c>
      <c r="L312">
        <v>1900</v>
      </c>
      <c r="M312">
        <v>21</v>
      </c>
      <c r="N312" t="s">
        <v>14</v>
      </c>
      <c r="O312" t="s">
        <v>28</v>
      </c>
      <c r="P312" t="s">
        <v>29</v>
      </c>
    </row>
    <row r="314" spans="6:16" x14ac:dyDescent="0.2">
      <c r="H314" t="s">
        <v>0</v>
      </c>
      <c r="I314" t="s">
        <v>1</v>
      </c>
      <c r="J314" t="s">
        <v>2</v>
      </c>
      <c r="K314" t="s">
        <v>3</v>
      </c>
      <c r="L314" t="s">
        <v>4</v>
      </c>
      <c r="M314" t="s">
        <v>5</v>
      </c>
      <c r="N314" t="s">
        <v>6</v>
      </c>
      <c r="O314" t="s">
        <v>7</v>
      </c>
      <c r="P314" t="s">
        <v>8</v>
      </c>
    </row>
    <row r="315" spans="6:16" x14ac:dyDescent="0.2">
      <c r="F315">
        <v>31</v>
      </c>
      <c r="H315" t="s">
        <v>2826</v>
      </c>
      <c r="I315" t="s">
        <v>2827</v>
      </c>
      <c r="J315" t="s">
        <v>12</v>
      </c>
      <c r="K315" t="s">
        <v>13</v>
      </c>
      <c r="L315">
        <v>1879</v>
      </c>
      <c r="M315">
        <v>41</v>
      </c>
      <c r="N315" t="s">
        <v>2828</v>
      </c>
      <c r="O315" t="s">
        <v>1088</v>
      </c>
      <c r="P315" t="s">
        <v>2829</v>
      </c>
    </row>
    <row r="316" spans="6:16" x14ac:dyDescent="0.2">
      <c r="H316" t="s">
        <v>2830</v>
      </c>
      <c r="I316" t="s">
        <v>2827</v>
      </c>
      <c r="J316" t="s">
        <v>18</v>
      </c>
      <c r="K316" t="s">
        <v>19</v>
      </c>
      <c r="L316">
        <v>1882</v>
      </c>
      <c r="M316">
        <v>39</v>
      </c>
      <c r="N316" t="s">
        <v>1561</v>
      </c>
      <c r="O316" t="s">
        <v>50</v>
      </c>
      <c r="P316" t="s">
        <v>20</v>
      </c>
    </row>
    <row r="317" spans="6:16" x14ac:dyDescent="0.2">
      <c r="H317" t="s">
        <v>2831</v>
      </c>
      <c r="I317" t="s">
        <v>2827</v>
      </c>
      <c r="J317" t="s">
        <v>22</v>
      </c>
      <c r="K317" t="s">
        <v>19</v>
      </c>
      <c r="L317">
        <v>1907</v>
      </c>
      <c r="M317">
        <v>13</v>
      </c>
      <c r="N317" t="s">
        <v>2402</v>
      </c>
      <c r="O317" t="s">
        <v>20</v>
      </c>
      <c r="P317" t="s">
        <v>20</v>
      </c>
    </row>
    <row r="318" spans="6:16" x14ac:dyDescent="0.2">
      <c r="H318" t="s">
        <v>2832</v>
      </c>
      <c r="I318" t="s">
        <v>2827</v>
      </c>
      <c r="J318" t="s">
        <v>22</v>
      </c>
      <c r="K318" t="s">
        <v>19</v>
      </c>
      <c r="L318">
        <v>1912</v>
      </c>
      <c r="M318">
        <v>9</v>
      </c>
      <c r="N318" t="s">
        <v>375</v>
      </c>
      <c r="O318" t="s">
        <v>20</v>
      </c>
      <c r="P318" t="s">
        <v>20</v>
      </c>
    </row>
    <row r="319" spans="6:16" x14ac:dyDescent="0.2">
      <c r="H319" t="s">
        <v>2833</v>
      </c>
      <c r="I319" t="s">
        <v>2827</v>
      </c>
      <c r="J319" t="s">
        <v>22</v>
      </c>
      <c r="K319" t="s">
        <v>19</v>
      </c>
      <c r="L319">
        <v>1917</v>
      </c>
      <c r="M319">
        <v>4</v>
      </c>
      <c r="N319" t="s">
        <v>2834</v>
      </c>
      <c r="O319" t="s">
        <v>20</v>
      </c>
      <c r="P319" t="s">
        <v>20</v>
      </c>
    </row>
    <row r="320" spans="6:16" x14ac:dyDescent="0.2">
      <c r="H320" t="s">
        <v>2835</v>
      </c>
      <c r="I320" t="s">
        <v>999</v>
      </c>
      <c r="J320" t="s">
        <v>979</v>
      </c>
      <c r="K320" t="s">
        <v>19</v>
      </c>
      <c r="L320">
        <v>1873</v>
      </c>
      <c r="M320">
        <v>47</v>
      </c>
      <c r="N320" t="s">
        <v>1561</v>
      </c>
      <c r="O320" t="s">
        <v>50</v>
      </c>
      <c r="P320" t="s">
        <v>29</v>
      </c>
    </row>
    <row r="321" spans="6:16" x14ac:dyDescent="0.2">
      <c r="H321" t="s">
        <v>768</v>
      </c>
      <c r="I321" t="s">
        <v>2836</v>
      </c>
      <c r="J321" t="s">
        <v>60</v>
      </c>
      <c r="K321" t="s">
        <v>19</v>
      </c>
      <c r="L321">
        <v>1873</v>
      </c>
      <c r="M321">
        <v>48</v>
      </c>
      <c r="N321" t="s">
        <v>2837</v>
      </c>
      <c r="O321" t="s">
        <v>2838</v>
      </c>
      <c r="P321" t="s">
        <v>2839</v>
      </c>
    </row>
    <row r="323" spans="6:16" x14ac:dyDescent="0.2">
      <c r="H323" t="s">
        <v>0</v>
      </c>
      <c r="I323" t="s">
        <v>1</v>
      </c>
      <c r="J323" t="s">
        <v>2</v>
      </c>
      <c r="K323" t="s">
        <v>3</v>
      </c>
      <c r="L323" t="s">
        <v>4</v>
      </c>
      <c r="M323" t="s">
        <v>5</v>
      </c>
      <c r="N323" t="s">
        <v>6</v>
      </c>
      <c r="O323" t="s">
        <v>7</v>
      </c>
      <c r="P323" t="s">
        <v>8</v>
      </c>
    </row>
    <row r="324" spans="6:16" x14ac:dyDescent="0.2">
      <c r="F324">
        <v>31</v>
      </c>
      <c r="H324" t="s">
        <v>2840</v>
      </c>
      <c r="I324" t="s">
        <v>2284</v>
      </c>
      <c r="J324" t="s">
        <v>12</v>
      </c>
      <c r="K324" t="s">
        <v>13</v>
      </c>
      <c r="L324">
        <v>1882</v>
      </c>
      <c r="M324">
        <v>38</v>
      </c>
      <c r="N324" t="s">
        <v>461</v>
      </c>
      <c r="O324" t="s">
        <v>2841</v>
      </c>
      <c r="P324" t="s">
        <v>2842</v>
      </c>
    </row>
    <row r="325" spans="6:16" x14ac:dyDescent="0.2">
      <c r="H325" t="s">
        <v>1916</v>
      </c>
      <c r="I325" t="s">
        <v>2284</v>
      </c>
      <c r="J325" t="s">
        <v>18</v>
      </c>
      <c r="K325" t="s">
        <v>19</v>
      </c>
      <c r="L325">
        <v>1875</v>
      </c>
      <c r="M325">
        <v>45</v>
      </c>
      <c r="N325" t="s">
        <v>2843</v>
      </c>
      <c r="O325" t="s">
        <v>50</v>
      </c>
      <c r="P325" t="s">
        <v>20</v>
      </c>
    </row>
    <row r="327" spans="6:16" x14ac:dyDescent="0.2">
      <c r="H327" t="s">
        <v>0</v>
      </c>
      <c r="I327" t="s">
        <v>1</v>
      </c>
      <c r="J327" t="s">
        <v>2</v>
      </c>
      <c r="K327" t="s">
        <v>3</v>
      </c>
      <c r="L327" t="s">
        <v>4</v>
      </c>
      <c r="M327" t="s">
        <v>5</v>
      </c>
      <c r="N327" t="s">
        <v>6</v>
      </c>
      <c r="O327" t="s">
        <v>7</v>
      </c>
      <c r="P327" t="s">
        <v>8</v>
      </c>
    </row>
    <row r="328" spans="6:16" x14ac:dyDescent="0.2">
      <c r="F328">
        <v>35</v>
      </c>
      <c r="H328" t="s">
        <v>2844</v>
      </c>
      <c r="I328" t="s">
        <v>2845</v>
      </c>
      <c r="J328" t="s">
        <v>12</v>
      </c>
      <c r="K328" t="s">
        <v>13</v>
      </c>
      <c r="L328">
        <v>1866</v>
      </c>
      <c r="M328">
        <v>55</v>
      </c>
      <c r="N328" t="s">
        <v>49</v>
      </c>
      <c r="O328" t="s">
        <v>1013</v>
      </c>
      <c r="P328" t="s">
        <v>8</v>
      </c>
    </row>
    <row r="329" spans="6:16" x14ac:dyDescent="0.2">
      <c r="H329" t="s">
        <v>2846</v>
      </c>
      <c r="I329" t="s">
        <v>2845</v>
      </c>
      <c r="J329" t="s">
        <v>18</v>
      </c>
      <c r="K329" t="s">
        <v>19</v>
      </c>
      <c r="L329">
        <v>1867</v>
      </c>
      <c r="M329">
        <v>54</v>
      </c>
      <c r="N329" t="s">
        <v>49</v>
      </c>
      <c r="O329" t="s">
        <v>131</v>
      </c>
      <c r="P329" t="s">
        <v>20</v>
      </c>
    </row>
    <row r="330" spans="6:16" x14ac:dyDescent="0.2">
      <c r="H330" t="s">
        <v>768</v>
      </c>
      <c r="I330" t="s">
        <v>817</v>
      </c>
      <c r="J330" t="s">
        <v>26</v>
      </c>
      <c r="K330" t="s">
        <v>19</v>
      </c>
      <c r="L330">
        <v>1872</v>
      </c>
      <c r="M330">
        <v>49</v>
      </c>
      <c r="N330" t="s">
        <v>77</v>
      </c>
      <c r="O330" t="s">
        <v>33</v>
      </c>
      <c r="P330" t="s">
        <v>29</v>
      </c>
    </row>
    <row r="331" spans="6:16" x14ac:dyDescent="0.2">
      <c r="H331" t="s">
        <v>702</v>
      </c>
      <c r="I331" t="s">
        <v>1708</v>
      </c>
      <c r="J331" t="s">
        <v>26</v>
      </c>
      <c r="K331" t="s">
        <v>19</v>
      </c>
      <c r="L331">
        <v>1894</v>
      </c>
      <c r="M331">
        <v>27</v>
      </c>
      <c r="N331" t="s">
        <v>14</v>
      </c>
      <c r="O331" t="s">
        <v>93</v>
      </c>
      <c r="P331" t="s">
        <v>29</v>
      </c>
    </row>
    <row r="332" spans="6:16" x14ac:dyDescent="0.2">
      <c r="H332" t="s">
        <v>2847</v>
      </c>
      <c r="I332" t="s">
        <v>1525</v>
      </c>
      <c r="J332" t="s">
        <v>26</v>
      </c>
      <c r="K332" t="s">
        <v>19</v>
      </c>
      <c r="L332">
        <v>1894</v>
      </c>
      <c r="M332">
        <v>26</v>
      </c>
      <c r="N332" t="s">
        <v>1255</v>
      </c>
      <c r="O332" t="s">
        <v>28</v>
      </c>
      <c r="P332" t="s">
        <v>29</v>
      </c>
    </row>
    <row r="335" spans="6:16" x14ac:dyDescent="0.2">
      <c r="H335" t="s">
        <v>0</v>
      </c>
      <c r="I335" t="s">
        <v>1</v>
      </c>
      <c r="J335" t="s">
        <v>2</v>
      </c>
      <c r="K335" t="s">
        <v>3</v>
      </c>
      <c r="L335" t="s">
        <v>4</v>
      </c>
      <c r="M335" t="s">
        <v>5</v>
      </c>
      <c r="N335" t="s">
        <v>6</v>
      </c>
      <c r="O335" t="s">
        <v>7</v>
      </c>
      <c r="P335" t="s">
        <v>8</v>
      </c>
    </row>
    <row r="336" spans="6:16" x14ac:dyDescent="0.2">
      <c r="F336">
        <v>37</v>
      </c>
      <c r="H336" t="s">
        <v>2848</v>
      </c>
      <c r="I336" t="s">
        <v>2594</v>
      </c>
      <c r="J336" t="s">
        <v>12</v>
      </c>
      <c r="K336" t="s">
        <v>19</v>
      </c>
      <c r="L336">
        <v>1870</v>
      </c>
      <c r="M336">
        <v>51</v>
      </c>
      <c r="N336" t="s">
        <v>49</v>
      </c>
      <c r="O336" t="s">
        <v>50</v>
      </c>
      <c r="P336" t="s">
        <v>20</v>
      </c>
    </row>
    <row r="337" spans="6:16" x14ac:dyDescent="0.2">
      <c r="H337" t="s">
        <v>1318</v>
      </c>
      <c r="I337" t="s">
        <v>2849</v>
      </c>
      <c r="J337" t="s">
        <v>26</v>
      </c>
      <c r="K337" t="s">
        <v>19</v>
      </c>
      <c r="L337">
        <v>1882</v>
      </c>
      <c r="M337">
        <v>39</v>
      </c>
      <c r="N337" t="s">
        <v>415</v>
      </c>
      <c r="O337" t="s">
        <v>33</v>
      </c>
      <c r="P337" t="s">
        <v>29</v>
      </c>
    </row>
    <row r="338" spans="6:16" x14ac:dyDescent="0.2">
      <c r="H338" t="s">
        <v>1220</v>
      </c>
      <c r="I338" t="s">
        <v>2850</v>
      </c>
      <c r="J338" t="s">
        <v>26</v>
      </c>
      <c r="K338" t="s">
        <v>19</v>
      </c>
      <c r="L338">
        <v>1899</v>
      </c>
      <c r="M338">
        <v>22</v>
      </c>
      <c r="N338" t="s">
        <v>212</v>
      </c>
      <c r="O338" t="s">
        <v>28</v>
      </c>
      <c r="P338" t="s">
        <v>29</v>
      </c>
    </row>
    <row r="340" spans="6:16" x14ac:dyDescent="0.2">
      <c r="H340" t="s">
        <v>0</v>
      </c>
      <c r="I340" t="s">
        <v>1</v>
      </c>
      <c r="J340" t="s">
        <v>2</v>
      </c>
      <c r="K340" t="s">
        <v>3</v>
      </c>
      <c r="L340" t="s">
        <v>4</v>
      </c>
      <c r="M340" t="s">
        <v>5</v>
      </c>
      <c r="N340" t="s">
        <v>6</v>
      </c>
      <c r="O340" t="s">
        <v>7</v>
      </c>
      <c r="P340" t="s">
        <v>8</v>
      </c>
    </row>
    <row r="341" spans="6:16" x14ac:dyDescent="0.2">
      <c r="F341">
        <v>39</v>
      </c>
      <c r="H341" t="s">
        <v>758</v>
      </c>
      <c r="I341" t="s">
        <v>1104</v>
      </c>
      <c r="J341" t="s">
        <v>51</v>
      </c>
      <c r="K341" t="s">
        <v>13</v>
      </c>
      <c r="L341">
        <v>1911</v>
      </c>
      <c r="M341">
        <v>9</v>
      </c>
      <c r="N341" t="s">
        <v>14</v>
      </c>
      <c r="O341" t="s">
        <v>20</v>
      </c>
      <c r="P341" t="s">
        <v>20</v>
      </c>
    </row>
    <row r="342" spans="6:16" x14ac:dyDescent="0.2">
      <c r="H342" t="s">
        <v>2851</v>
      </c>
      <c r="I342" t="s">
        <v>1104</v>
      </c>
      <c r="J342" t="s">
        <v>51</v>
      </c>
      <c r="K342" t="s">
        <v>13</v>
      </c>
      <c r="L342">
        <v>1918</v>
      </c>
      <c r="M342">
        <v>2</v>
      </c>
      <c r="N342" t="s">
        <v>14</v>
      </c>
      <c r="O342" t="s">
        <v>20</v>
      </c>
      <c r="P342" t="s">
        <v>20</v>
      </c>
    </row>
    <row r="343" spans="6:16" x14ac:dyDescent="0.2">
      <c r="H343" t="s">
        <v>819</v>
      </c>
      <c r="I343" t="s">
        <v>2852</v>
      </c>
      <c r="J343" t="s">
        <v>26</v>
      </c>
      <c r="K343" t="s">
        <v>19</v>
      </c>
      <c r="L343">
        <v>1900</v>
      </c>
      <c r="M343">
        <v>20</v>
      </c>
      <c r="N343" t="s">
        <v>212</v>
      </c>
      <c r="O343" t="s">
        <v>934</v>
      </c>
      <c r="P343" t="s">
        <v>29</v>
      </c>
    </row>
    <row r="344" spans="6:16" x14ac:dyDescent="0.2">
      <c r="H344" t="s">
        <v>2853</v>
      </c>
      <c r="I344" t="s">
        <v>2854</v>
      </c>
      <c r="J344" t="s">
        <v>26</v>
      </c>
      <c r="K344" t="s">
        <v>19</v>
      </c>
      <c r="L344">
        <v>1886</v>
      </c>
      <c r="M344">
        <v>35</v>
      </c>
      <c r="N344" t="s">
        <v>212</v>
      </c>
      <c r="O344" t="s">
        <v>33</v>
      </c>
      <c r="P344" t="s">
        <v>29</v>
      </c>
    </row>
    <row r="347" spans="6:16" x14ac:dyDescent="0.2">
      <c r="H347" t="s">
        <v>0</v>
      </c>
      <c r="I347" t="s">
        <v>1</v>
      </c>
      <c r="J347" t="s">
        <v>2</v>
      </c>
      <c r="K347" t="s">
        <v>3</v>
      </c>
      <c r="L347" t="s">
        <v>4</v>
      </c>
      <c r="M347" t="s">
        <v>5</v>
      </c>
      <c r="N347" t="s">
        <v>6</v>
      </c>
      <c r="O347" t="s">
        <v>7</v>
      </c>
      <c r="P347" t="s">
        <v>8</v>
      </c>
    </row>
    <row r="348" spans="6:16" x14ac:dyDescent="0.2">
      <c r="H348" t="s">
        <v>957</v>
      </c>
      <c r="I348" t="s">
        <v>830</v>
      </c>
      <c r="J348" t="s">
        <v>12</v>
      </c>
      <c r="K348" t="s">
        <v>13</v>
      </c>
      <c r="L348">
        <v>1866</v>
      </c>
      <c r="M348">
        <v>54</v>
      </c>
      <c r="N348" t="s">
        <v>49</v>
      </c>
      <c r="O348" t="s">
        <v>424</v>
      </c>
      <c r="P348" t="s">
        <v>8</v>
      </c>
    </row>
    <row r="349" spans="6:16" x14ac:dyDescent="0.2">
      <c r="H349" t="s">
        <v>958</v>
      </c>
      <c r="I349" t="s">
        <v>830</v>
      </c>
      <c r="J349" t="s">
        <v>18</v>
      </c>
      <c r="K349" t="s">
        <v>19</v>
      </c>
      <c r="L349">
        <v>1868</v>
      </c>
      <c r="M349">
        <v>52</v>
      </c>
      <c r="N349" t="s">
        <v>62</v>
      </c>
      <c r="O349" t="s">
        <v>20</v>
      </c>
      <c r="P349" t="s">
        <v>20</v>
      </c>
    </row>
    <row r="350" spans="6:16" x14ac:dyDescent="0.2">
      <c r="H350" t="s">
        <v>959</v>
      </c>
      <c r="I350" t="s">
        <v>960</v>
      </c>
      <c r="J350" t="s">
        <v>26</v>
      </c>
      <c r="K350" t="s">
        <v>19</v>
      </c>
      <c r="L350">
        <v>1892</v>
      </c>
      <c r="M350">
        <v>28</v>
      </c>
      <c r="N350" t="s">
        <v>961</v>
      </c>
      <c r="O350" t="s">
        <v>56</v>
      </c>
      <c r="P350" t="s">
        <v>29</v>
      </c>
    </row>
    <row r="351" spans="6:16" x14ac:dyDescent="0.2">
      <c r="H351" t="s">
        <v>962</v>
      </c>
      <c r="I351" t="s">
        <v>963</v>
      </c>
      <c r="J351" t="s">
        <v>26</v>
      </c>
      <c r="K351" t="s">
        <v>19</v>
      </c>
      <c r="L351">
        <v>1893</v>
      </c>
      <c r="M351">
        <v>28</v>
      </c>
      <c r="N351" t="s">
        <v>49</v>
      </c>
      <c r="O351" t="s">
        <v>56</v>
      </c>
      <c r="P351" t="s">
        <v>29</v>
      </c>
    </row>
    <row r="352" spans="6:16" x14ac:dyDescent="0.2">
      <c r="H352" t="s">
        <v>964</v>
      </c>
      <c r="I352" t="s">
        <v>965</v>
      </c>
      <c r="J352" t="s">
        <v>26</v>
      </c>
      <c r="K352" t="s">
        <v>19</v>
      </c>
      <c r="L352">
        <v>1875</v>
      </c>
      <c r="M352">
        <v>45</v>
      </c>
      <c r="N352" t="s">
        <v>966</v>
      </c>
      <c r="O352" t="s">
        <v>56</v>
      </c>
      <c r="P352" t="s">
        <v>29</v>
      </c>
    </row>
    <row r="353" spans="8:16" x14ac:dyDescent="0.2">
      <c r="H353" t="s">
        <v>63</v>
      </c>
      <c r="I353" t="s">
        <v>967</v>
      </c>
      <c r="J353" t="s">
        <v>26</v>
      </c>
      <c r="K353" t="s">
        <v>19</v>
      </c>
      <c r="L353">
        <v>1896</v>
      </c>
      <c r="M353">
        <v>25</v>
      </c>
      <c r="N353" t="s">
        <v>968</v>
      </c>
      <c r="O353" t="s">
        <v>56</v>
      </c>
      <c r="P353" t="s">
        <v>29</v>
      </c>
    </row>
    <row r="354" spans="8:16" x14ac:dyDescent="0.2">
      <c r="H354" t="s">
        <v>64</v>
      </c>
      <c r="I354" t="s">
        <v>969</v>
      </c>
      <c r="J354" t="s">
        <v>26</v>
      </c>
      <c r="K354" t="s">
        <v>19</v>
      </c>
      <c r="L354">
        <v>1904</v>
      </c>
      <c r="M354">
        <v>16</v>
      </c>
      <c r="N354" t="s">
        <v>65</v>
      </c>
      <c r="O354" t="s">
        <v>56</v>
      </c>
      <c r="P354" t="s">
        <v>29</v>
      </c>
    </row>
    <row r="356" spans="8:16" x14ac:dyDescent="0.2">
      <c r="H356" t="s">
        <v>0</v>
      </c>
      <c r="I356" t="s">
        <v>1</v>
      </c>
      <c r="J356" t="s">
        <v>2</v>
      </c>
      <c r="K356" t="s">
        <v>3</v>
      </c>
      <c r="L356" t="s">
        <v>4</v>
      </c>
      <c r="M356" t="s">
        <v>5</v>
      </c>
      <c r="N356" t="s">
        <v>6</v>
      </c>
      <c r="O356" t="s">
        <v>7</v>
      </c>
      <c r="P356" t="s">
        <v>8</v>
      </c>
    </row>
    <row r="357" spans="8:16" x14ac:dyDescent="0.2">
      <c r="H357" t="s">
        <v>970</v>
      </c>
      <c r="I357" t="s">
        <v>971</v>
      </c>
      <c r="J357" t="s">
        <v>12</v>
      </c>
      <c r="K357" t="s">
        <v>13</v>
      </c>
      <c r="L357">
        <v>1869</v>
      </c>
      <c r="M357">
        <v>52</v>
      </c>
      <c r="N357" t="s">
        <v>972</v>
      </c>
      <c r="O357" t="s">
        <v>973</v>
      </c>
      <c r="P357" t="s">
        <v>974</v>
      </c>
    </row>
    <row r="358" spans="8:16" x14ac:dyDescent="0.2">
      <c r="H358" t="s">
        <v>975</v>
      </c>
      <c r="I358" t="s">
        <v>971</v>
      </c>
      <c r="J358" t="s">
        <v>18</v>
      </c>
      <c r="K358" t="s">
        <v>19</v>
      </c>
      <c r="L358">
        <v>1872</v>
      </c>
      <c r="M358">
        <v>48</v>
      </c>
      <c r="N358" t="s">
        <v>976</v>
      </c>
      <c r="O358" t="s">
        <v>50</v>
      </c>
      <c r="P358" t="s">
        <v>20</v>
      </c>
    </row>
    <row r="359" spans="8:16" x14ac:dyDescent="0.2">
      <c r="H359" t="s">
        <v>977</v>
      </c>
      <c r="I359" t="s">
        <v>978</v>
      </c>
      <c r="J359" t="s">
        <v>979</v>
      </c>
      <c r="K359" t="s">
        <v>19</v>
      </c>
      <c r="L359">
        <v>1879</v>
      </c>
      <c r="M359">
        <v>41</v>
      </c>
      <c r="N359" t="s">
        <v>976</v>
      </c>
      <c r="O359" t="s">
        <v>173</v>
      </c>
      <c r="P359" t="s">
        <v>980</v>
      </c>
    </row>
    <row r="360" spans="8:16" x14ac:dyDescent="0.2">
      <c r="H360" t="s">
        <v>981</v>
      </c>
      <c r="I360" t="s">
        <v>978</v>
      </c>
      <c r="J360" t="s">
        <v>982</v>
      </c>
      <c r="K360" t="s">
        <v>13</v>
      </c>
      <c r="L360">
        <v>1905</v>
      </c>
      <c r="M360">
        <v>16</v>
      </c>
      <c r="N360" t="s">
        <v>983</v>
      </c>
      <c r="O360" t="s">
        <v>20</v>
      </c>
      <c r="P360" t="s">
        <v>20</v>
      </c>
    </row>
    <row r="361" spans="8:16" x14ac:dyDescent="0.2">
      <c r="H361" t="s">
        <v>984</v>
      </c>
      <c r="I361" t="s">
        <v>985</v>
      </c>
      <c r="J361" t="s">
        <v>26</v>
      </c>
      <c r="K361" t="s">
        <v>19</v>
      </c>
      <c r="L361">
        <v>1896</v>
      </c>
      <c r="M361">
        <v>24</v>
      </c>
      <c r="N361" t="s">
        <v>986</v>
      </c>
      <c r="O361" t="s">
        <v>33</v>
      </c>
      <c r="P361" t="s">
        <v>987</v>
      </c>
    </row>
    <row r="362" spans="8:16" x14ac:dyDescent="0.2">
      <c r="H362" t="s">
        <v>331</v>
      </c>
      <c r="I362" t="s">
        <v>988</v>
      </c>
      <c r="J362" t="s">
        <v>26</v>
      </c>
      <c r="K362" t="s">
        <v>19</v>
      </c>
      <c r="L362">
        <v>1906</v>
      </c>
      <c r="M362">
        <v>15</v>
      </c>
      <c r="N362" t="s">
        <v>989</v>
      </c>
      <c r="O362" t="s">
        <v>990</v>
      </c>
      <c r="P362" t="s">
        <v>991</v>
      </c>
    </row>
    <row r="363" spans="8:16" x14ac:dyDescent="0.2">
      <c r="H363" t="s">
        <v>992</v>
      </c>
      <c r="I363" t="s">
        <v>903</v>
      </c>
      <c r="J363" t="s">
        <v>26</v>
      </c>
      <c r="K363" t="s">
        <v>19</v>
      </c>
      <c r="L363">
        <v>1905</v>
      </c>
      <c r="M363">
        <v>16</v>
      </c>
      <c r="N363" t="s">
        <v>993</v>
      </c>
      <c r="O363" t="s">
        <v>28</v>
      </c>
      <c r="P363" t="s">
        <v>994</v>
      </c>
    </row>
    <row r="365" spans="8:16" x14ac:dyDescent="0.2">
      <c r="H365" t="s">
        <v>0</v>
      </c>
      <c r="I365" t="s">
        <v>1</v>
      </c>
      <c r="J365" t="s">
        <v>2</v>
      </c>
      <c r="K365" t="s">
        <v>3</v>
      </c>
      <c r="L365" t="s">
        <v>4</v>
      </c>
      <c r="M365" t="s">
        <v>5</v>
      </c>
      <c r="N365" t="s">
        <v>6</v>
      </c>
      <c r="O365" t="s">
        <v>7</v>
      </c>
      <c r="P365" t="s">
        <v>8</v>
      </c>
    </row>
    <row r="366" spans="8:16" x14ac:dyDescent="0.2">
      <c r="H366" t="s">
        <v>3178</v>
      </c>
      <c r="I366" t="s">
        <v>743</v>
      </c>
      <c r="J366" t="s">
        <v>12</v>
      </c>
      <c r="K366" t="s">
        <v>13</v>
      </c>
      <c r="L366">
        <v>1870</v>
      </c>
      <c r="M366">
        <v>51</v>
      </c>
      <c r="N366" t="s">
        <v>49</v>
      </c>
      <c r="O366" t="s">
        <v>2196</v>
      </c>
      <c r="P366" t="s">
        <v>16</v>
      </c>
    </row>
    <row r="367" spans="8:16" x14ac:dyDescent="0.2">
      <c r="H367" t="s">
        <v>704</v>
      </c>
      <c r="I367" t="s">
        <v>743</v>
      </c>
      <c r="J367" t="s">
        <v>18</v>
      </c>
      <c r="K367" t="s">
        <v>19</v>
      </c>
      <c r="L367">
        <v>1861</v>
      </c>
      <c r="M367">
        <v>60</v>
      </c>
      <c r="N367" t="s">
        <v>49</v>
      </c>
      <c r="O367" t="s">
        <v>20</v>
      </c>
      <c r="P367" t="s">
        <v>20</v>
      </c>
    </row>
    <row r="368" spans="8:16" x14ac:dyDescent="0.2">
      <c r="H368" t="s">
        <v>3179</v>
      </c>
      <c r="I368" t="s">
        <v>3180</v>
      </c>
      <c r="J368" t="s">
        <v>58</v>
      </c>
      <c r="K368" t="s">
        <v>19</v>
      </c>
      <c r="L368">
        <v>1841</v>
      </c>
      <c r="M368">
        <v>79</v>
      </c>
      <c r="N368" t="s">
        <v>3181</v>
      </c>
      <c r="O368" t="s">
        <v>20</v>
      </c>
      <c r="P368" t="s">
        <v>20</v>
      </c>
    </row>
    <row r="369" spans="8:17" x14ac:dyDescent="0.2">
      <c r="H369" t="s">
        <v>1414</v>
      </c>
      <c r="I369" t="s">
        <v>3182</v>
      </c>
      <c r="J369" t="s">
        <v>26</v>
      </c>
      <c r="K369" t="s">
        <v>19</v>
      </c>
      <c r="L369">
        <v>1862</v>
      </c>
      <c r="M369">
        <v>58</v>
      </c>
      <c r="N369" t="s">
        <v>368</v>
      </c>
      <c r="O369" t="s">
        <v>33</v>
      </c>
      <c r="P369" t="s">
        <v>29</v>
      </c>
    </row>
    <row r="370" spans="8:17" x14ac:dyDescent="0.2">
      <c r="H370" t="s">
        <v>3183</v>
      </c>
      <c r="I370" t="s">
        <v>2689</v>
      </c>
      <c r="J370" t="s">
        <v>26</v>
      </c>
      <c r="K370" t="s">
        <v>19</v>
      </c>
      <c r="L370">
        <v>1889</v>
      </c>
      <c r="M370">
        <v>32</v>
      </c>
      <c r="N370" t="s">
        <v>718</v>
      </c>
      <c r="O370" t="s">
        <v>360</v>
      </c>
      <c r="P370" t="s">
        <v>29</v>
      </c>
    </row>
    <row r="371" spans="8:17" x14ac:dyDescent="0.2">
      <c r="H371" t="s">
        <v>3184</v>
      </c>
      <c r="I371" t="s">
        <v>3185</v>
      </c>
      <c r="J371" t="s">
        <v>26</v>
      </c>
      <c r="K371" t="s">
        <v>19</v>
      </c>
      <c r="L371">
        <v>1901</v>
      </c>
      <c r="M371">
        <v>20</v>
      </c>
      <c r="N371" t="s">
        <v>2015</v>
      </c>
      <c r="O371" t="s">
        <v>28</v>
      </c>
      <c r="P371" t="s">
        <v>29</v>
      </c>
    </row>
    <row r="373" spans="8:17" x14ac:dyDescent="0.2">
      <c r="H373" t="s">
        <v>0</v>
      </c>
      <c r="I373" t="s">
        <v>1</v>
      </c>
      <c r="J373" t="s">
        <v>2</v>
      </c>
      <c r="K373" t="s">
        <v>3</v>
      </c>
      <c r="L373" t="s">
        <v>4</v>
      </c>
      <c r="M373" t="s">
        <v>5</v>
      </c>
      <c r="N373" t="s">
        <v>6</v>
      </c>
      <c r="O373" t="s">
        <v>7</v>
      </c>
      <c r="P373" t="s">
        <v>8</v>
      </c>
    </row>
    <row r="374" spans="8:17" x14ac:dyDescent="0.2">
      <c r="H374" t="s">
        <v>2847</v>
      </c>
      <c r="I374" t="s">
        <v>1859</v>
      </c>
      <c r="J374" t="s">
        <v>26</v>
      </c>
      <c r="K374" t="s">
        <v>19</v>
      </c>
      <c r="L374">
        <v>1867</v>
      </c>
      <c r="M374">
        <v>53</v>
      </c>
      <c r="N374" t="s">
        <v>3186</v>
      </c>
      <c r="O374" t="s">
        <v>33</v>
      </c>
      <c r="P374" t="s">
        <v>29</v>
      </c>
      <c r="Q374" t="s">
        <v>3192</v>
      </c>
    </row>
    <row r="375" spans="8:17" x14ac:dyDescent="0.2">
      <c r="H375" t="s">
        <v>46</v>
      </c>
      <c r="I375" t="s">
        <v>3187</v>
      </c>
      <c r="J375" t="s">
        <v>26</v>
      </c>
      <c r="K375" t="s">
        <v>19</v>
      </c>
      <c r="L375">
        <v>1891</v>
      </c>
      <c r="M375">
        <v>29</v>
      </c>
      <c r="N375" t="s">
        <v>3188</v>
      </c>
      <c r="O375" t="s">
        <v>344</v>
      </c>
      <c r="P375" t="s">
        <v>29</v>
      </c>
    </row>
    <row r="376" spans="8:17" x14ac:dyDescent="0.2">
      <c r="H376" t="s">
        <v>3189</v>
      </c>
      <c r="I376" t="s">
        <v>3190</v>
      </c>
      <c r="J376" t="s">
        <v>26</v>
      </c>
      <c r="K376" t="s">
        <v>19</v>
      </c>
      <c r="L376">
        <v>1902</v>
      </c>
      <c r="M376">
        <v>18</v>
      </c>
      <c r="N376" t="s">
        <v>3191</v>
      </c>
      <c r="O376" t="s">
        <v>344</v>
      </c>
      <c r="P376" t="s">
        <v>29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7F63-7070-0D4A-9510-40D1E63E8243}">
  <dimension ref="A1:BC38"/>
  <sheetViews>
    <sheetView workbookViewId="0">
      <selection activeCell="B22" sqref="B22"/>
    </sheetView>
  </sheetViews>
  <sheetFormatPr baseColWidth="10" defaultColWidth="10.83203125" defaultRowHeight="16" x14ac:dyDescent="0.2"/>
  <cols>
    <col min="4" max="4" width="17.83203125" customWidth="1"/>
    <col min="5" max="5" width="27.83203125" customWidth="1"/>
    <col min="6" max="6" width="9.83203125" customWidth="1"/>
    <col min="8" max="8" width="19.3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616</v>
      </c>
      <c r="B3" s="9">
        <v>1921</v>
      </c>
      <c r="C3" s="7"/>
      <c r="D3" s="7" t="s">
        <v>617</v>
      </c>
      <c r="G3" t="s">
        <v>1</v>
      </c>
      <c r="H3" t="s">
        <v>0</v>
      </c>
      <c r="J3" t="s">
        <v>3</v>
      </c>
      <c r="N3" t="s">
        <v>2</v>
      </c>
      <c r="T3" t="s">
        <v>5</v>
      </c>
      <c r="U3" t="s">
        <v>6</v>
      </c>
      <c r="V3" t="s">
        <v>7</v>
      </c>
      <c r="W3" t="s">
        <v>8</v>
      </c>
      <c r="X3" s="5"/>
      <c r="Y3" s="5"/>
      <c r="Z3" s="5"/>
      <c r="AA3" s="5"/>
      <c r="AB3" s="5"/>
      <c r="AC3" s="5"/>
      <c r="AD3" s="5"/>
      <c r="AE3" s="7"/>
      <c r="AG3" s="5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616</v>
      </c>
      <c r="B4" s="9">
        <v>1921</v>
      </c>
      <c r="C4" s="7">
        <v>1</v>
      </c>
      <c r="D4" s="7" t="s">
        <v>617</v>
      </c>
      <c r="E4" t="s">
        <v>2979</v>
      </c>
      <c r="G4" t="s">
        <v>2972</v>
      </c>
      <c r="H4" t="s">
        <v>2971</v>
      </c>
      <c r="I4">
        <v>1</v>
      </c>
      <c r="J4" t="s">
        <v>13</v>
      </c>
      <c r="K4">
        <v>1</v>
      </c>
      <c r="N4">
        <v>1</v>
      </c>
      <c r="T4">
        <v>47</v>
      </c>
      <c r="Y4" s="7"/>
      <c r="AA4" t="s">
        <v>2974</v>
      </c>
      <c r="AB4" t="s">
        <v>2975</v>
      </c>
      <c r="AC4" s="7">
        <v>1</v>
      </c>
      <c r="AD4" s="7"/>
      <c r="AE4" s="7"/>
      <c r="AF4" t="s">
        <v>2973</v>
      </c>
      <c r="AG4" s="6">
        <v>1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616</v>
      </c>
      <c r="B5" s="9">
        <v>1921</v>
      </c>
      <c r="C5" s="7">
        <v>1</v>
      </c>
      <c r="D5" s="7" t="s">
        <v>617</v>
      </c>
      <c r="G5" t="s">
        <v>2972</v>
      </c>
      <c r="H5" t="s">
        <v>2976</v>
      </c>
      <c r="I5">
        <v>2</v>
      </c>
      <c r="J5">
        <v>1</v>
      </c>
      <c r="N5" t="s">
        <v>18</v>
      </c>
      <c r="O5">
        <v>1</v>
      </c>
      <c r="T5">
        <v>42</v>
      </c>
      <c r="Y5" s="7"/>
      <c r="AA5" t="s">
        <v>50</v>
      </c>
      <c r="AB5" t="s">
        <v>20</v>
      </c>
      <c r="AC5" s="7"/>
      <c r="AD5" s="7"/>
      <c r="AE5" s="7"/>
      <c r="AF5" t="s">
        <v>438</v>
      </c>
      <c r="AG5" s="6">
        <v>1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616</v>
      </c>
      <c r="B6" s="9">
        <v>1921</v>
      </c>
      <c r="C6" s="7">
        <v>1</v>
      </c>
      <c r="D6" s="7" t="s">
        <v>617</v>
      </c>
      <c r="G6" t="s">
        <v>2972</v>
      </c>
      <c r="H6" t="s">
        <v>2977</v>
      </c>
      <c r="I6">
        <v>3</v>
      </c>
      <c r="L6">
        <v>1</v>
      </c>
      <c r="N6" t="s">
        <v>22</v>
      </c>
      <c r="P6">
        <v>1</v>
      </c>
      <c r="T6">
        <v>6</v>
      </c>
      <c r="Y6" s="7"/>
      <c r="AA6" t="s">
        <v>20</v>
      </c>
      <c r="AB6" t="s">
        <v>20</v>
      </c>
      <c r="AC6" s="7"/>
      <c r="AD6" s="7"/>
      <c r="AE6" s="7"/>
      <c r="AF6" t="s">
        <v>733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616</v>
      </c>
      <c r="B7" s="9">
        <v>1921</v>
      </c>
      <c r="C7" s="7">
        <v>1</v>
      </c>
      <c r="D7" s="7" t="s">
        <v>617</v>
      </c>
      <c r="G7" t="s">
        <v>355</v>
      </c>
      <c r="H7" t="s">
        <v>2978</v>
      </c>
      <c r="I7">
        <v>4</v>
      </c>
      <c r="J7">
        <v>1</v>
      </c>
      <c r="N7" t="s">
        <v>26</v>
      </c>
      <c r="S7">
        <v>1</v>
      </c>
      <c r="T7">
        <v>25</v>
      </c>
      <c r="Y7" s="7"/>
      <c r="AA7" t="s">
        <v>344</v>
      </c>
      <c r="AB7" t="s">
        <v>29</v>
      </c>
      <c r="AC7" s="7">
        <v>1</v>
      </c>
      <c r="AD7" s="7"/>
      <c r="AE7" s="7"/>
      <c r="AF7" t="s">
        <v>49</v>
      </c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616</v>
      </c>
      <c r="B8" s="9">
        <v>1921</v>
      </c>
      <c r="C8" s="7"/>
      <c r="D8" s="7" t="s">
        <v>617</v>
      </c>
      <c r="H8">
        <v>4</v>
      </c>
      <c r="Y8" s="7"/>
      <c r="AC8" s="7"/>
      <c r="AD8" s="7"/>
      <c r="AE8" s="7"/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616</v>
      </c>
      <c r="B9" s="9">
        <v>1921</v>
      </c>
      <c r="C9" s="7"/>
      <c r="D9" s="7" t="s">
        <v>617</v>
      </c>
      <c r="G9" t="s">
        <v>1</v>
      </c>
      <c r="H9" t="s">
        <v>0</v>
      </c>
      <c r="J9" t="s">
        <v>3</v>
      </c>
      <c r="N9" t="s">
        <v>2</v>
      </c>
      <c r="T9" t="s">
        <v>5</v>
      </c>
      <c r="Y9" s="7"/>
      <c r="AA9" t="s">
        <v>7</v>
      </c>
      <c r="AB9" t="s">
        <v>8</v>
      </c>
      <c r="AC9" s="7"/>
      <c r="AD9" s="7"/>
      <c r="AE9" s="7"/>
      <c r="AF9" t="s">
        <v>6</v>
      </c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616</v>
      </c>
      <c r="B10" s="9">
        <v>1921</v>
      </c>
      <c r="C10" s="7">
        <v>2</v>
      </c>
      <c r="D10" s="7" t="s">
        <v>617</v>
      </c>
      <c r="E10" t="s">
        <v>2985</v>
      </c>
      <c r="G10" t="s">
        <v>2980</v>
      </c>
      <c r="H10" t="s">
        <v>386</v>
      </c>
      <c r="I10">
        <v>5</v>
      </c>
      <c r="J10" t="s">
        <v>13</v>
      </c>
      <c r="K10">
        <v>1</v>
      </c>
      <c r="N10">
        <v>1</v>
      </c>
      <c r="T10">
        <v>66</v>
      </c>
      <c r="Y10" s="7"/>
      <c r="AA10" t="s">
        <v>2982</v>
      </c>
      <c r="AB10" t="s">
        <v>2983</v>
      </c>
      <c r="AC10" s="7">
        <v>1</v>
      </c>
      <c r="AD10" s="7"/>
      <c r="AE10" s="7"/>
      <c r="AF10" t="s">
        <v>2981</v>
      </c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616</v>
      </c>
      <c r="B11" s="9">
        <v>1921</v>
      </c>
      <c r="C11" s="7">
        <v>2</v>
      </c>
      <c r="D11" s="7" t="s">
        <v>617</v>
      </c>
      <c r="G11" t="s">
        <v>2984</v>
      </c>
      <c r="H11" t="s">
        <v>170</v>
      </c>
      <c r="I11">
        <v>6</v>
      </c>
      <c r="J11">
        <v>1</v>
      </c>
      <c r="N11" t="s">
        <v>26</v>
      </c>
      <c r="S11">
        <v>1</v>
      </c>
      <c r="T11">
        <v>54</v>
      </c>
      <c r="Y11" s="7"/>
      <c r="AA11" t="s">
        <v>407</v>
      </c>
      <c r="AB11" t="s">
        <v>29</v>
      </c>
      <c r="AC11" s="7">
        <v>1</v>
      </c>
      <c r="AD11" s="7"/>
      <c r="AE11" s="7"/>
      <c r="AF11" t="s">
        <v>368</v>
      </c>
      <c r="AG11" s="6">
        <v>1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 t="s">
        <v>616</v>
      </c>
      <c r="B12" s="9">
        <v>1921</v>
      </c>
      <c r="C12" s="7">
        <v>2</v>
      </c>
      <c r="D12" s="7" t="s">
        <v>617</v>
      </c>
      <c r="E12" s="7"/>
      <c r="F12" s="7"/>
      <c r="G12" s="7"/>
      <c r="H12" s="7">
        <v>3</v>
      </c>
      <c r="I12">
        <v>6</v>
      </c>
      <c r="J12" s="7">
        <f>SUM(J3:J11)</f>
        <v>3</v>
      </c>
      <c r="K12" s="7">
        <f t="shared" ref="K12:AG12" si="0">SUM(K3:K11)</f>
        <v>2</v>
      </c>
      <c r="L12" s="7">
        <f t="shared" si="0"/>
        <v>1</v>
      </c>
      <c r="M12" s="7">
        <f t="shared" si="0"/>
        <v>0</v>
      </c>
      <c r="N12" s="7">
        <f t="shared" si="0"/>
        <v>2</v>
      </c>
      <c r="O12" s="7">
        <f t="shared" si="0"/>
        <v>1</v>
      </c>
      <c r="P12" s="7">
        <f t="shared" si="0"/>
        <v>1</v>
      </c>
      <c r="Q12" s="7">
        <f t="shared" si="0"/>
        <v>0</v>
      </c>
      <c r="R12" s="7">
        <f t="shared" si="0"/>
        <v>0</v>
      </c>
      <c r="S12" s="7">
        <f t="shared" si="0"/>
        <v>2</v>
      </c>
      <c r="T12" s="7">
        <f t="shared" si="0"/>
        <v>240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</v>
      </c>
      <c r="AC12" s="7">
        <f>SUM(AC3:AC11)</f>
        <v>4</v>
      </c>
      <c r="AD12" s="7">
        <f t="shared" si="0"/>
        <v>0</v>
      </c>
      <c r="AE12" s="7">
        <f>AC12-AD12</f>
        <v>4</v>
      </c>
      <c r="AF12" s="7">
        <f>I12-AG12</f>
        <v>3</v>
      </c>
      <c r="AG12" s="7">
        <f t="shared" si="0"/>
        <v>3</v>
      </c>
      <c r="AH12" s="7">
        <f>AG12+AF12</f>
        <v>6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616</v>
      </c>
      <c r="B13" s="9">
        <v>1921</v>
      </c>
      <c r="C13" s="7"/>
      <c r="D13" s="7" t="s">
        <v>617</v>
      </c>
      <c r="E13" s="7"/>
      <c r="F13" s="7"/>
      <c r="G13" s="7"/>
      <c r="H13" s="7"/>
      <c r="J13" s="7"/>
      <c r="N13" s="7"/>
      <c r="P13" s="7"/>
      <c r="T13" s="6">
        <f>T12/I12</f>
        <v>40</v>
      </c>
      <c r="X13" s="7"/>
      <c r="Y13" s="7"/>
      <c r="Z13" s="7"/>
      <c r="AA13" s="6"/>
      <c r="AB13" s="6"/>
      <c r="AC13" s="7"/>
      <c r="AD13" s="7"/>
      <c r="AE13" s="7"/>
      <c r="AF13" s="7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616</v>
      </c>
      <c r="B14" s="9">
        <v>1921</v>
      </c>
      <c r="C14" s="7"/>
      <c r="D14" s="7" t="s">
        <v>617</v>
      </c>
      <c r="E14" s="7"/>
      <c r="F14" s="7"/>
      <c r="G14" s="7"/>
      <c r="H14" s="7"/>
      <c r="J14" s="7"/>
      <c r="N14" s="7"/>
      <c r="P14" s="7"/>
      <c r="T14" s="6"/>
      <c r="X14" s="7"/>
      <c r="Y14" s="7"/>
      <c r="Z14" s="7"/>
      <c r="AA14" s="6"/>
      <c r="AB14" s="6"/>
      <c r="AC14" s="7"/>
      <c r="AD14" s="7"/>
      <c r="AE14" s="7"/>
      <c r="AF14" s="7"/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616</v>
      </c>
      <c r="B15" s="9">
        <v>1921</v>
      </c>
      <c r="C15" s="7"/>
      <c r="D15" s="7" t="s">
        <v>617</v>
      </c>
      <c r="E15" s="11"/>
      <c r="F15" s="12"/>
      <c r="G15" s="12"/>
      <c r="H15" s="12"/>
      <c r="J15" s="13"/>
      <c r="N15" s="12"/>
      <c r="P15" s="12"/>
      <c r="T15" s="12"/>
      <c r="X15" s="12"/>
      <c r="Y15" s="12"/>
      <c r="Z15" s="12"/>
      <c r="AA15" s="12"/>
      <c r="AB15" s="12"/>
      <c r="AC15" s="12"/>
      <c r="AD15" s="12"/>
      <c r="AE15" s="7"/>
      <c r="AF15" s="7"/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/>
      <c r="B16" s="9"/>
      <c r="C16" s="7"/>
      <c r="D16" s="7"/>
      <c r="H16" t="s">
        <v>0</v>
      </c>
      <c r="I16" t="s">
        <v>1</v>
      </c>
      <c r="J16" t="s">
        <v>2</v>
      </c>
      <c r="K16" t="s">
        <v>3</v>
      </c>
      <c r="L16" t="s">
        <v>4</v>
      </c>
      <c r="M16" t="s">
        <v>5</v>
      </c>
      <c r="N16" t="s">
        <v>6</v>
      </c>
      <c r="O16" t="s">
        <v>7</v>
      </c>
      <c r="P16" t="s">
        <v>8</v>
      </c>
      <c r="T16" s="5"/>
      <c r="X16" s="5"/>
      <c r="Y16" s="5"/>
      <c r="Z16" s="5"/>
      <c r="AA16" s="5"/>
      <c r="AB16" s="5"/>
      <c r="AC16" s="5"/>
      <c r="AD16" s="5"/>
      <c r="AE16" s="7"/>
      <c r="AF16" s="7"/>
      <c r="AG16" s="5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/>
      <c r="B17" s="9"/>
      <c r="C17" s="7"/>
      <c r="D17" s="7"/>
      <c r="E17" t="s">
        <v>2979</v>
      </c>
      <c r="H17" t="s">
        <v>2971</v>
      </c>
      <c r="I17" t="s">
        <v>2972</v>
      </c>
      <c r="J17" t="s">
        <v>12</v>
      </c>
      <c r="K17" t="s">
        <v>13</v>
      </c>
      <c r="L17">
        <v>1874</v>
      </c>
      <c r="M17">
        <v>47</v>
      </c>
      <c r="N17" t="s">
        <v>2973</v>
      </c>
      <c r="O17" t="s">
        <v>2974</v>
      </c>
      <c r="P17" t="s">
        <v>2975</v>
      </c>
      <c r="T17" s="6"/>
      <c r="X17" s="7"/>
      <c r="Y17" s="7"/>
      <c r="Z17" s="7"/>
      <c r="AA17" s="6"/>
      <c r="AB17" s="6"/>
      <c r="AC17" s="7"/>
      <c r="AD17" s="7"/>
      <c r="AE17" s="7"/>
      <c r="AF17" s="7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/>
      <c r="B18" s="9"/>
      <c r="C18" s="7"/>
      <c r="D18" s="7"/>
      <c r="H18" t="s">
        <v>2976</v>
      </c>
      <c r="I18" t="s">
        <v>2972</v>
      </c>
      <c r="J18" t="s">
        <v>18</v>
      </c>
      <c r="K18" t="s">
        <v>19</v>
      </c>
      <c r="L18">
        <v>1879</v>
      </c>
      <c r="M18">
        <v>42</v>
      </c>
      <c r="N18" t="s">
        <v>438</v>
      </c>
      <c r="O18" t="s">
        <v>50</v>
      </c>
      <c r="P18" t="s">
        <v>20</v>
      </c>
      <c r="T18" s="6"/>
      <c r="X18" s="7"/>
      <c r="Y18" s="7"/>
      <c r="Z18" s="7"/>
      <c r="AA18" s="6"/>
      <c r="AB18" s="6"/>
      <c r="AC18" s="7"/>
      <c r="AD18" s="7"/>
      <c r="AE18" s="7"/>
      <c r="AF18" s="7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/>
      <c r="B19" s="9"/>
      <c r="C19" s="7"/>
      <c r="D19" s="7"/>
      <c r="H19" t="s">
        <v>2977</v>
      </c>
      <c r="I19" t="s">
        <v>2972</v>
      </c>
      <c r="J19" t="s">
        <v>22</v>
      </c>
      <c r="K19" t="s">
        <v>19</v>
      </c>
      <c r="L19">
        <v>1914</v>
      </c>
      <c r="M19">
        <v>6</v>
      </c>
      <c r="N19" t="s">
        <v>733</v>
      </c>
      <c r="O19" t="s">
        <v>20</v>
      </c>
      <c r="P19" t="s">
        <v>20</v>
      </c>
      <c r="T19" s="6"/>
      <c r="X19" s="7"/>
      <c r="Y19" s="7"/>
      <c r="Z19" s="7"/>
      <c r="AA19" s="6"/>
      <c r="AB19" s="6"/>
      <c r="AC19" s="7"/>
      <c r="AD19" s="7"/>
      <c r="AE19" s="7"/>
      <c r="AF19" s="7"/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/>
      <c r="B20" s="9"/>
      <c r="C20" s="7"/>
      <c r="D20" s="7"/>
      <c r="H20" t="s">
        <v>2978</v>
      </c>
      <c r="I20" t="s">
        <v>355</v>
      </c>
      <c r="J20" t="s">
        <v>26</v>
      </c>
      <c r="K20" t="s">
        <v>19</v>
      </c>
      <c r="L20">
        <v>1896</v>
      </c>
      <c r="M20">
        <v>25</v>
      </c>
      <c r="N20" t="s">
        <v>49</v>
      </c>
      <c r="O20" t="s">
        <v>344</v>
      </c>
      <c r="P20" t="s">
        <v>29</v>
      </c>
      <c r="T20" s="6"/>
      <c r="X20" s="7"/>
      <c r="Y20" s="7"/>
      <c r="Z20" s="7"/>
      <c r="AA20" s="6"/>
      <c r="AB20" s="6"/>
      <c r="AC20" s="7"/>
      <c r="AD20" s="7"/>
      <c r="AE20" s="7"/>
      <c r="AF20" s="7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/>
      <c r="B21" s="9"/>
      <c r="C21" s="7"/>
      <c r="D21" s="7"/>
      <c r="T21" s="6"/>
      <c r="X21" s="7"/>
      <c r="Y21" s="7"/>
      <c r="Z21" s="7"/>
      <c r="AA21" s="6"/>
      <c r="AB21" s="6"/>
      <c r="AC21" s="7"/>
      <c r="AD21" s="7"/>
      <c r="AE21" s="7"/>
      <c r="AF21" s="7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/>
      <c r="B22" s="9"/>
      <c r="C22" s="7"/>
      <c r="D22" s="7"/>
      <c r="H22" t="s">
        <v>0</v>
      </c>
      <c r="I22" t="s">
        <v>1</v>
      </c>
      <c r="J22" t="s">
        <v>2</v>
      </c>
      <c r="K22" t="s">
        <v>3</v>
      </c>
      <c r="L22" t="s">
        <v>4</v>
      </c>
      <c r="M22" t="s">
        <v>5</v>
      </c>
      <c r="N22" t="s">
        <v>6</v>
      </c>
      <c r="O22" t="s">
        <v>7</v>
      </c>
      <c r="P22" t="s">
        <v>8</v>
      </c>
      <c r="T22" s="6"/>
      <c r="X22" s="7"/>
      <c r="Y22" s="7"/>
      <c r="Z22" s="7"/>
      <c r="AA22" s="6"/>
      <c r="AB22" s="6"/>
      <c r="AC22" s="7"/>
      <c r="AD22" s="7"/>
      <c r="AE22" s="7"/>
      <c r="AF22" s="7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/>
      <c r="B23" s="9"/>
      <c r="C23" s="7"/>
      <c r="D23" s="7"/>
      <c r="E23" t="s">
        <v>2985</v>
      </c>
      <c r="H23" t="s">
        <v>386</v>
      </c>
      <c r="I23" t="s">
        <v>2980</v>
      </c>
      <c r="J23" t="s">
        <v>12</v>
      </c>
      <c r="K23" t="s">
        <v>13</v>
      </c>
      <c r="L23">
        <v>1854</v>
      </c>
      <c r="M23">
        <v>66</v>
      </c>
      <c r="N23" t="s">
        <v>2981</v>
      </c>
      <c r="O23" t="s">
        <v>2982</v>
      </c>
      <c r="P23" t="s">
        <v>2983</v>
      </c>
      <c r="T23" s="6"/>
      <c r="X23" s="7"/>
      <c r="Y23" s="7"/>
      <c r="Z23" s="7"/>
      <c r="AA23" s="6"/>
      <c r="AB23" s="6"/>
      <c r="AC23" s="7"/>
      <c r="AD23" s="7"/>
      <c r="AE23" s="7"/>
      <c r="AF23" s="7"/>
      <c r="AG23" s="6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/>
      <c r="B24" s="9"/>
      <c r="C24" s="7"/>
      <c r="D24" s="7"/>
      <c r="H24" t="s">
        <v>170</v>
      </c>
      <c r="I24" t="s">
        <v>2984</v>
      </c>
      <c r="J24" t="s">
        <v>26</v>
      </c>
      <c r="K24" t="s">
        <v>19</v>
      </c>
      <c r="L24">
        <v>1867</v>
      </c>
      <c r="M24">
        <v>54</v>
      </c>
      <c r="N24" t="s">
        <v>368</v>
      </c>
      <c r="O24" t="s">
        <v>407</v>
      </c>
      <c r="P24" t="s">
        <v>29</v>
      </c>
      <c r="T24" s="6"/>
      <c r="X24" s="7"/>
      <c r="Y24" s="7"/>
      <c r="Z24" s="7"/>
      <c r="AA24" s="6"/>
      <c r="AB24" s="6"/>
      <c r="AC24" s="7"/>
      <c r="AD24" s="7"/>
      <c r="AE24" s="7"/>
      <c r="AF24" s="7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7"/>
      <c r="R26" s="6"/>
      <c r="S26" s="6"/>
      <c r="T26" s="19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7"/>
      <c r="R27" s="6"/>
      <c r="S27" s="6"/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7"/>
      <c r="R29" s="6"/>
      <c r="S29" s="6"/>
      <c r="T29" s="19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4"/>
      <c r="B33" s="7"/>
      <c r="C33" s="7"/>
      <c r="D33" s="7"/>
      <c r="E33" s="7"/>
      <c r="F33" s="12"/>
      <c r="G33" s="12"/>
      <c r="H33" s="12"/>
      <c r="I33" s="12"/>
      <c r="J33" s="12"/>
      <c r="K33" s="13"/>
      <c r="L33" s="12"/>
      <c r="M33" s="12"/>
      <c r="N33" s="12"/>
      <c r="O33" s="12"/>
      <c r="P33" s="12"/>
      <c r="Q33" s="7"/>
      <c r="R33" s="7"/>
      <c r="S33" s="7"/>
      <c r="T33" s="7"/>
      <c r="U33" s="7">
        <f>SUM(U3:U32)</f>
        <v>0</v>
      </c>
      <c r="V33" s="7">
        <f>SUM(V3:V32)</f>
        <v>0</v>
      </c>
      <c r="W33" s="7">
        <f>SUM(W3:W32)</f>
        <v>0</v>
      </c>
      <c r="X33" s="7"/>
      <c r="Y33" s="7"/>
      <c r="Z33" s="7">
        <f>SUM(Z3:Z32)</f>
        <v>0</v>
      </c>
      <c r="AA33" s="7">
        <f>SUM(AA3:AA32)</f>
        <v>0</v>
      </c>
      <c r="AB33" s="7">
        <f>SUM(AB3:AB32)</f>
        <v>0</v>
      </c>
      <c r="AC33" s="7">
        <f>SUM(AC3:AC32)</f>
        <v>8</v>
      </c>
      <c r="AD33" s="7">
        <f>SUM(AD3:AD32)</f>
        <v>0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12"/>
      <c r="G34" s="12"/>
      <c r="H34" s="12"/>
      <c r="I34" s="12"/>
      <c r="J34" s="14"/>
      <c r="K34" s="15"/>
      <c r="L34" s="16"/>
      <c r="M34" s="12"/>
      <c r="N34" s="12"/>
      <c r="O34" s="12"/>
      <c r="P34" s="14"/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21"/>
      <c r="H35" s="21"/>
      <c r="I35" s="21"/>
      <c r="J35" s="7"/>
      <c r="K35" s="7"/>
      <c r="L35" s="7"/>
      <c r="M35" s="7"/>
      <c r="N35" s="7"/>
      <c r="O35" s="7"/>
      <c r="P35" s="7"/>
      <c r="Q35" s="20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19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"/>
      <c r="S37" s="21"/>
      <c r="T37" s="21"/>
      <c r="U37" s="7"/>
      <c r="V37" s="7"/>
      <c r="W37" s="7"/>
      <c r="X37" s="7"/>
      <c r="Y37" s="7"/>
      <c r="Z37" s="7"/>
      <c r="AA37" s="7"/>
      <c r="AB37" s="7"/>
      <c r="AC37" s="22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332B-C1DD-2844-B2E2-75FE5853D83D}">
  <dimension ref="A1:BC175"/>
  <sheetViews>
    <sheetView workbookViewId="0">
      <pane ySplit="2" topLeftCell="A73" activePane="bottomLeft" state="frozen"/>
      <selection activeCell="D1" sqref="D1"/>
      <selection pane="bottomLeft" activeCell="I96" sqref="I96"/>
    </sheetView>
  </sheetViews>
  <sheetFormatPr baseColWidth="10" defaultColWidth="10.83203125" defaultRowHeight="16" x14ac:dyDescent="0.2"/>
  <cols>
    <col min="4" max="4" width="15.33203125" customWidth="1"/>
    <col min="5" max="5" width="17" customWidth="1"/>
    <col min="6" max="6" width="9.83203125" customWidth="1"/>
    <col min="8" max="8" width="21" customWidth="1"/>
    <col min="11" max="11" width="8.5" customWidth="1"/>
    <col min="12" max="12" width="7.83203125" customWidth="1"/>
    <col min="13" max="13" width="10" customWidth="1"/>
    <col min="14" max="14" width="14.5" customWidth="1"/>
    <col min="15" max="15" width="10.33203125" customWidth="1"/>
    <col min="16" max="16" width="11.5" customWidth="1"/>
    <col min="17" max="17" width="11.6640625" customWidth="1"/>
    <col min="18" max="18" width="12.33203125" customWidth="1"/>
    <col min="20" max="20" width="7.6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2863</v>
      </c>
      <c r="B3" s="9">
        <v>1921</v>
      </c>
      <c r="C3" s="7">
        <v>1</v>
      </c>
      <c r="D3" s="7" t="s">
        <v>2862</v>
      </c>
      <c r="E3" s="7"/>
      <c r="F3" s="5"/>
      <c r="G3" t="s">
        <v>1</v>
      </c>
      <c r="H3" s="5" t="s">
        <v>0</v>
      </c>
      <c r="J3" t="s">
        <v>3</v>
      </c>
      <c r="N3" s="10" t="s">
        <v>2</v>
      </c>
      <c r="T3" t="s">
        <v>5</v>
      </c>
      <c r="AA3" t="s">
        <v>7</v>
      </c>
      <c r="AB3" s="5" t="s">
        <v>8</v>
      </c>
      <c r="AD3" s="5"/>
      <c r="AE3" s="7"/>
      <c r="AF3" s="5" t="s">
        <v>6</v>
      </c>
      <c r="AG3" s="5"/>
      <c r="AH3" s="7"/>
      <c r="AI3" s="225" t="s">
        <v>2864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" customHeight="1" x14ac:dyDescent="0.2">
      <c r="A4" s="9" t="s">
        <v>2863</v>
      </c>
      <c r="B4" s="9">
        <v>1921</v>
      </c>
      <c r="C4" s="7">
        <v>1</v>
      </c>
      <c r="D4" s="7" t="s">
        <v>2862</v>
      </c>
      <c r="E4" s="7"/>
      <c r="F4" s="7">
        <v>3</v>
      </c>
      <c r="G4" t="s">
        <v>107</v>
      </c>
      <c r="H4" s="7" t="s">
        <v>104</v>
      </c>
      <c r="I4">
        <v>1</v>
      </c>
      <c r="J4" t="s">
        <v>13</v>
      </c>
      <c r="K4">
        <v>1</v>
      </c>
      <c r="N4" s="7">
        <v>1</v>
      </c>
      <c r="T4">
        <v>50</v>
      </c>
      <c r="AA4" t="s">
        <v>108</v>
      </c>
      <c r="AB4" s="7" t="s">
        <v>8</v>
      </c>
      <c r="AC4">
        <v>1</v>
      </c>
      <c r="AD4" s="7">
        <v>1</v>
      </c>
      <c r="AE4" s="7"/>
      <c r="AF4" s="7">
        <v>1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2863</v>
      </c>
      <c r="B5" s="9">
        <v>1921</v>
      </c>
      <c r="C5" s="7">
        <v>1</v>
      </c>
      <c r="D5" s="7" t="s">
        <v>2862</v>
      </c>
      <c r="E5" s="7"/>
      <c r="F5" s="7"/>
      <c r="G5" t="s">
        <v>107</v>
      </c>
      <c r="H5" s="7" t="s">
        <v>64</v>
      </c>
      <c r="I5">
        <v>2</v>
      </c>
      <c r="J5">
        <v>1</v>
      </c>
      <c r="N5" s="7" t="s">
        <v>18</v>
      </c>
      <c r="O5">
        <v>1</v>
      </c>
      <c r="T5">
        <v>32</v>
      </c>
      <c r="AA5" t="s">
        <v>50</v>
      </c>
      <c r="AB5" s="7" t="s">
        <v>20</v>
      </c>
      <c r="AD5" s="7"/>
      <c r="AE5" s="7"/>
      <c r="AF5" s="7" t="s">
        <v>43</v>
      </c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2863</v>
      </c>
      <c r="B6" s="9">
        <v>1921</v>
      </c>
      <c r="C6" s="7">
        <v>1</v>
      </c>
      <c r="D6" s="7" t="s">
        <v>2862</v>
      </c>
      <c r="E6" s="7"/>
      <c r="F6" s="7"/>
      <c r="G6" t="s">
        <v>107</v>
      </c>
      <c r="H6" s="7" t="s">
        <v>109</v>
      </c>
      <c r="I6">
        <v>3</v>
      </c>
      <c r="J6">
        <v>1</v>
      </c>
      <c r="N6" s="7" t="s">
        <v>22</v>
      </c>
      <c r="P6">
        <v>1</v>
      </c>
      <c r="T6" t="s">
        <v>20</v>
      </c>
      <c r="AA6" t="s">
        <v>20</v>
      </c>
      <c r="AB6" s="7" t="s">
        <v>20</v>
      </c>
      <c r="AD6" s="7"/>
      <c r="AE6" s="7"/>
      <c r="AF6" s="7">
        <v>1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2863</v>
      </c>
      <c r="B7" s="9">
        <v>1921</v>
      </c>
      <c r="C7" s="7">
        <v>1</v>
      </c>
      <c r="D7" s="7" t="s">
        <v>2862</v>
      </c>
      <c r="E7" s="11"/>
      <c r="F7" s="12"/>
      <c r="G7" t="s">
        <v>110</v>
      </c>
      <c r="H7" s="12" t="s">
        <v>90</v>
      </c>
      <c r="I7">
        <v>4</v>
      </c>
      <c r="J7">
        <v>1</v>
      </c>
      <c r="N7" s="13" t="s">
        <v>111</v>
      </c>
      <c r="S7">
        <v>1</v>
      </c>
      <c r="T7">
        <v>39</v>
      </c>
      <c r="AA7" t="s">
        <v>113</v>
      </c>
      <c r="AB7" s="12" t="s">
        <v>29</v>
      </c>
      <c r="AC7">
        <v>1</v>
      </c>
      <c r="AD7" s="12"/>
      <c r="AE7" s="7"/>
      <c r="AF7" s="12" t="s">
        <v>112</v>
      </c>
      <c r="AG7" s="12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28" customHeight="1" x14ac:dyDescent="0.2">
      <c r="A8" s="9" t="s">
        <v>2863</v>
      </c>
      <c r="B8" s="9">
        <v>1921</v>
      </c>
      <c r="C8" s="7">
        <v>1</v>
      </c>
      <c r="D8" s="7" t="s">
        <v>2862</v>
      </c>
      <c r="E8" s="11"/>
      <c r="F8" s="12"/>
      <c r="G8" t="s">
        <v>114</v>
      </c>
      <c r="H8" s="12" t="s">
        <v>24</v>
      </c>
      <c r="I8">
        <v>5</v>
      </c>
      <c r="J8">
        <v>1</v>
      </c>
      <c r="N8" s="15" t="s">
        <v>26</v>
      </c>
      <c r="S8">
        <v>1</v>
      </c>
      <c r="T8">
        <v>42</v>
      </c>
      <c r="AA8" t="s">
        <v>33</v>
      </c>
      <c r="AB8" s="16" t="s">
        <v>29</v>
      </c>
      <c r="AC8">
        <v>1</v>
      </c>
      <c r="AD8" s="11"/>
      <c r="AE8" s="7"/>
      <c r="AF8" s="14">
        <v>1</v>
      </c>
      <c r="AG8" s="12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2863</v>
      </c>
      <c r="B9" s="9">
        <v>1921</v>
      </c>
      <c r="C9" s="7">
        <v>1</v>
      </c>
      <c r="D9" s="7" t="s">
        <v>2862</v>
      </c>
      <c r="E9" s="7"/>
      <c r="F9" s="7"/>
      <c r="G9" s="7" t="s">
        <v>115</v>
      </c>
      <c r="H9" s="7" t="s">
        <v>48</v>
      </c>
      <c r="I9">
        <v>6</v>
      </c>
      <c r="J9" s="7">
        <v>1</v>
      </c>
      <c r="N9" s="7" t="s">
        <v>26</v>
      </c>
      <c r="P9" s="7"/>
      <c r="S9">
        <v>1</v>
      </c>
      <c r="T9" s="7">
        <v>33</v>
      </c>
      <c r="Y9" s="7"/>
      <c r="Z9" s="7"/>
      <c r="AA9" s="7" t="s">
        <v>55</v>
      </c>
      <c r="AB9" s="7" t="s">
        <v>29</v>
      </c>
      <c r="AC9" s="7">
        <v>1</v>
      </c>
      <c r="AD9" s="7"/>
      <c r="AE9" s="7"/>
      <c r="AF9" s="7" t="s">
        <v>116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2863</v>
      </c>
      <c r="B10" s="9">
        <v>1921</v>
      </c>
      <c r="C10" s="7"/>
      <c r="D10" s="7" t="s">
        <v>2862</v>
      </c>
      <c r="E10" s="7"/>
      <c r="F10" s="7"/>
      <c r="G10" s="7"/>
      <c r="H10" s="7">
        <v>6</v>
      </c>
      <c r="J10" s="7"/>
      <c r="N10" s="7"/>
      <c r="P10" s="7"/>
      <c r="T10" s="6"/>
      <c r="Y10" s="6"/>
      <c r="Z10" s="6"/>
      <c r="AA10" s="6"/>
      <c r="AB10" s="6"/>
      <c r="AC10" s="7"/>
      <c r="AD10" s="7"/>
      <c r="AE10" s="7"/>
      <c r="AF10" s="6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 t="s">
        <v>2863</v>
      </c>
      <c r="B11" s="9">
        <v>1921</v>
      </c>
      <c r="C11" s="7"/>
      <c r="D11" s="7" t="s">
        <v>2862</v>
      </c>
      <c r="E11" s="7"/>
      <c r="F11" s="7"/>
      <c r="G11" s="7" t="s">
        <v>1</v>
      </c>
      <c r="H11" s="7" t="s">
        <v>0</v>
      </c>
      <c r="J11" s="7" t="s">
        <v>3</v>
      </c>
      <c r="N11" s="7" t="s">
        <v>2</v>
      </c>
      <c r="P11" s="7"/>
      <c r="T11" s="6" t="s">
        <v>5</v>
      </c>
      <c r="Y11" s="6"/>
      <c r="Z11" s="6"/>
      <c r="AA11" s="6" t="s">
        <v>7</v>
      </c>
      <c r="AB11" s="6" t="s">
        <v>8</v>
      </c>
      <c r="AC11" s="6"/>
      <c r="AD11" s="7"/>
      <c r="AE11" s="7"/>
      <c r="AF11" s="6" t="s">
        <v>6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9" t="s">
        <v>2863</v>
      </c>
      <c r="B12" s="9">
        <v>1921</v>
      </c>
      <c r="C12" s="7">
        <v>2</v>
      </c>
      <c r="D12" s="7" t="s">
        <v>2862</v>
      </c>
      <c r="E12" s="7"/>
      <c r="F12" s="7">
        <v>1</v>
      </c>
      <c r="G12" s="7" t="s">
        <v>730</v>
      </c>
      <c r="H12" s="7" t="s">
        <v>2856</v>
      </c>
      <c r="I12">
        <v>7</v>
      </c>
      <c r="J12" s="7" t="s">
        <v>13</v>
      </c>
      <c r="K12">
        <v>1</v>
      </c>
      <c r="N12" s="7">
        <v>1</v>
      </c>
      <c r="P12" s="7"/>
      <c r="T12" s="6">
        <v>49</v>
      </c>
      <c r="Y12" s="6"/>
      <c r="Z12" s="6"/>
      <c r="AA12" s="6" t="s">
        <v>2857</v>
      </c>
      <c r="AB12" s="6" t="s">
        <v>8</v>
      </c>
      <c r="AC12" s="6">
        <v>1</v>
      </c>
      <c r="AD12" s="7">
        <v>1</v>
      </c>
      <c r="AE12" s="7"/>
      <c r="AF12" s="6">
        <v>1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2863</v>
      </c>
      <c r="B13" s="9">
        <v>1921</v>
      </c>
      <c r="C13" s="7">
        <v>2</v>
      </c>
      <c r="D13" s="7" t="s">
        <v>2862</v>
      </c>
      <c r="E13" s="7"/>
      <c r="F13" s="5"/>
      <c r="G13" s="5" t="s">
        <v>2858</v>
      </c>
      <c r="H13" s="5" t="s">
        <v>829</v>
      </c>
      <c r="I13">
        <v>8</v>
      </c>
      <c r="J13" s="10">
        <v>1</v>
      </c>
      <c r="N13" s="5" t="s">
        <v>26</v>
      </c>
      <c r="P13" s="5"/>
      <c r="S13">
        <v>1</v>
      </c>
      <c r="T13" s="5">
        <v>26</v>
      </c>
      <c r="Y13" s="6"/>
      <c r="Z13" s="6"/>
      <c r="AA13" s="5" t="s">
        <v>2525</v>
      </c>
      <c r="AB13" s="5" t="s">
        <v>29</v>
      </c>
      <c r="AC13" s="7">
        <v>1</v>
      </c>
      <c r="AD13" s="7"/>
      <c r="AE13" s="7"/>
      <c r="AF13" s="5" t="s">
        <v>2859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2863</v>
      </c>
      <c r="B14" s="9">
        <v>1921</v>
      </c>
      <c r="C14" s="7"/>
      <c r="D14" s="7" t="s">
        <v>2862</v>
      </c>
      <c r="E14" s="7"/>
      <c r="F14" s="7"/>
      <c r="G14" s="7"/>
      <c r="H14" s="7">
        <v>2</v>
      </c>
      <c r="J14" s="7"/>
      <c r="N14" s="7"/>
      <c r="P14" s="7"/>
      <c r="T14" s="6"/>
      <c r="Y14" s="6"/>
      <c r="Z14" s="6"/>
      <c r="AA14" s="6"/>
      <c r="AB14" s="6"/>
      <c r="AC14" s="7"/>
      <c r="AD14" s="7"/>
      <c r="AE14" s="7"/>
      <c r="AF14" s="6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 t="s">
        <v>2863</v>
      </c>
      <c r="B15" s="9">
        <v>1921</v>
      </c>
      <c r="C15" s="7"/>
      <c r="D15" s="7" t="s">
        <v>2862</v>
      </c>
      <c r="E15" s="7"/>
      <c r="F15" s="7"/>
      <c r="G15" s="7" t="s">
        <v>1</v>
      </c>
      <c r="H15" s="7" t="s">
        <v>0</v>
      </c>
      <c r="J15" s="7" t="s">
        <v>3</v>
      </c>
      <c r="N15" s="7" t="s">
        <v>2</v>
      </c>
      <c r="P15" s="7"/>
      <c r="T15" s="6" t="s">
        <v>5</v>
      </c>
      <c r="Y15" s="6"/>
      <c r="Z15" s="6"/>
      <c r="AA15" s="6" t="s">
        <v>7</v>
      </c>
      <c r="AB15" s="6" t="s">
        <v>8</v>
      </c>
      <c r="AC15" s="7"/>
      <c r="AD15" s="7"/>
      <c r="AE15" s="7"/>
      <c r="AF15" s="6" t="s">
        <v>6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2863</v>
      </c>
      <c r="B16" s="9">
        <v>1921</v>
      </c>
      <c r="C16" s="7">
        <v>3</v>
      </c>
      <c r="D16" s="7" t="s">
        <v>2862</v>
      </c>
      <c r="E16" s="7"/>
      <c r="F16" s="7">
        <v>5</v>
      </c>
      <c r="G16" s="7" t="s">
        <v>118</v>
      </c>
      <c r="H16" s="7" t="s">
        <v>117</v>
      </c>
      <c r="I16">
        <v>9</v>
      </c>
      <c r="J16" s="7" t="s">
        <v>13</v>
      </c>
      <c r="K16">
        <v>1</v>
      </c>
      <c r="N16" s="7">
        <v>1</v>
      </c>
      <c r="P16" s="7"/>
      <c r="T16" s="6">
        <v>64</v>
      </c>
      <c r="Y16" s="6"/>
      <c r="Z16" s="6"/>
      <c r="AA16" s="6" t="s">
        <v>119</v>
      </c>
      <c r="AB16" s="6" t="s">
        <v>8</v>
      </c>
      <c r="AC16" s="7">
        <v>1</v>
      </c>
      <c r="AD16" s="7">
        <v>1</v>
      </c>
      <c r="AE16" s="7"/>
      <c r="AF16" s="6">
        <v>1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" customHeight="1" x14ac:dyDescent="0.2">
      <c r="A17" s="9" t="s">
        <v>2863</v>
      </c>
      <c r="B17" s="9">
        <v>1921</v>
      </c>
      <c r="C17" s="7">
        <v>3</v>
      </c>
      <c r="D17" s="7" t="s">
        <v>2862</v>
      </c>
      <c r="E17" s="7"/>
      <c r="F17" s="7"/>
      <c r="G17" s="7" t="s">
        <v>118</v>
      </c>
      <c r="H17" s="7" t="s">
        <v>120</v>
      </c>
      <c r="I17">
        <v>10</v>
      </c>
      <c r="J17" s="7">
        <v>1</v>
      </c>
      <c r="N17" s="7" t="s">
        <v>58</v>
      </c>
      <c r="P17" s="7"/>
      <c r="R17">
        <v>1</v>
      </c>
      <c r="T17" s="6">
        <v>51</v>
      </c>
      <c r="Y17" s="7"/>
      <c r="Z17" s="7"/>
      <c r="AA17" s="6" t="s">
        <v>47</v>
      </c>
      <c r="AB17" s="6" t="s">
        <v>20</v>
      </c>
      <c r="AC17" s="7"/>
      <c r="AD17" s="7"/>
      <c r="AE17" s="7"/>
      <c r="AF17" s="6">
        <v>1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2863</v>
      </c>
      <c r="B18" s="9">
        <v>1921</v>
      </c>
      <c r="C18" s="7">
        <v>3</v>
      </c>
      <c r="D18" s="7" t="s">
        <v>2862</v>
      </c>
      <c r="E18" s="7"/>
      <c r="F18" s="7"/>
      <c r="G18" s="7" t="s">
        <v>122</v>
      </c>
      <c r="H18" s="7" t="s">
        <v>121</v>
      </c>
      <c r="I18">
        <v>11</v>
      </c>
      <c r="J18" s="7">
        <v>1</v>
      </c>
      <c r="N18" s="7" t="s">
        <v>26</v>
      </c>
      <c r="P18" s="7"/>
      <c r="S18">
        <v>1</v>
      </c>
      <c r="T18" s="6">
        <v>21</v>
      </c>
      <c r="Y18" s="6"/>
      <c r="Z18" s="6"/>
      <c r="AA18" s="6" t="s">
        <v>56</v>
      </c>
      <c r="AB18" s="6" t="s">
        <v>29</v>
      </c>
      <c r="AC18" s="7">
        <v>1</v>
      </c>
      <c r="AD18" s="7"/>
      <c r="AE18" s="7"/>
      <c r="AF18" s="6" t="s">
        <v>123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2863</v>
      </c>
      <c r="B19" s="9">
        <v>1921</v>
      </c>
      <c r="C19" s="7"/>
      <c r="D19" s="7" t="s">
        <v>2862</v>
      </c>
      <c r="E19" s="7"/>
      <c r="F19" s="7"/>
      <c r="G19" s="7"/>
      <c r="H19" s="7">
        <v>3</v>
      </c>
      <c r="J19" s="7"/>
      <c r="N19" s="7"/>
      <c r="P19" s="7"/>
      <c r="T19" s="6"/>
      <c r="Y19" s="6"/>
      <c r="Z19" s="6"/>
      <c r="AA19" s="6"/>
      <c r="AB19" s="6"/>
      <c r="AC19" s="7"/>
      <c r="AD19" s="7"/>
      <c r="AE19" s="7"/>
      <c r="AF19" s="6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9" t="s">
        <v>2863</v>
      </c>
      <c r="B20" s="9">
        <v>1921</v>
      </c>
      <c r="C20" s="7"/>
      <c r="D20" s="7" t="s">
        <v>2862</v>
      </c>
      <c r="E20" s="7"/>
      <c r="F20" s="7"/>
      <c r="G20" s="7" t="s">
        <v>1</v>
      </c>
      <c r="H20" s="7" t="s">
        <v>0</v>
      </c>
      <c r="J20" s="7" t="s">
        <v>3</v>
      </c>
      <c r="N20" s="7" t="s">
        <v>2</v>
      </c>
      <c r="P20" s="7"/>
      <c r="T20" s="6" t="s">
        <v>5</v>
      </c>
      <c r="Y20" s="6"/>
      <c r="Z20" s="6"/>
      <c r="AA20" s="6" t="s">
        <v>7</v>
      </c>
      <c r="AB20" s="6" t="s">
        <v>8</v>
      </c>
      <c r="AC20" s="7"/>
      <c r="AD20" s="7"/>
      <c r="AE20" s="7"/>
      <c r="AF20" s="6" t="s">
        <v>6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9" t="s">
        <v>2863</v>
      </c>
      <c r="B21" s="9">
        <v>1921</v>
      </c>
      <c r="C21" s="7">
        <v>4</v>
      </c>
      <c r="D21" s="7" t="s">
        <v>2862</v>
      </c>
      <c r="E21" s="7"/>
      <c r="F21" s="7">
        <v>7</v>
      </c>
      <c r="G21" s="7" t="s">
        <v>11</v>
      </c>
      <c r="H21" s="7" t="s">
        <v>10</v>
      </c>
      <c r="I21">
        <v>12</v>
      </c>
      <c r="J21" s="7" t="s">
        <v>13</v>
      </c>
      <c r="K21">
        <v>1</v>
      </c>
      <c r="N21" s="7">
        <v>1</v>
      </c>
      <c r="P21" s="7"/>
      <c r="T21" s="6">
        <v>43</v>
      </c>
      <c r="Y21" s="6"/>
      <c r="Z21" s="6"/>
      <c r="AA21" s="6" t="s">
        <v>15</v>
      </c>
      <c r="AB21" s="6" t="s">
        <v>16</v>
      </c>
      <c r="AC21" s="7">
        <v>1</v>
      </c>
      <c r="AD21" s="7"/>
      <c r="AE21" s="7"/>
      <c r="AF21" s="6">
        <v>1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2863</v>
      </c>
      <c r="B22" s="9">
        <v>1921</v>
      </c>
      <c r="C22" s="7">
        <v>4</v>
      </c>
      <c r="D22" s="7" t="s">
        <v>2862</v>
      </c>
      <c r="E22" s="7"/>
      <c r="F22" s="7"/>
      <c r="G22" s="7" t="s">
        <v>11</v>
      </c>
      <c r="H22" s="7" t="s">
        <v>17</v>
      </c>
      <c r="I22">
        <v>13</v>
      </c>
      <c r="J22" s="7">
        <v>1</v>
      </c>
      <c r="N22" s="7" t="s">
        <v>18</v>
      </c>
      <c r="O22">
        <v>1</v>
      </c>
      <c r="P22" s="7"/>
      <c r="T22" s="7">
        <v>42</v>
      </c>
      <c r="Y22" s="6"/>
      <c r="Z22" s="6"/>
      <c r="AA22" s="7" t="s">
        <v>20</v>
      </c>
      <c r="AB22" s="7" t="s">
        <v>20</v>
      </c>
      <c r="AC22" s="7"/>
      <c r="AD22" s="7"/>
      <c r="AE22" s="7"/>
      <c r="AF22" s="7">
        <v>1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2863</v>
      </c>
      <c r="B23" s="9">
        <v>1921</v>
      </c>
      <c r="C23" s="7">
        <v>4</v>
      </c>
      <c r="D23" s="7" t="s">
        <v>2862</v>
      </c>
      <c r="E23" s="7"/>
      <c r="F23" s="7"/>
      <c r="G23" s="7" t="s">
        <v>11</v>
      </c>
      <c r="H23" s="7" t="s">
        <v>21</v>
      </c>
      <c r="I23">
        <v>14</v>
      </c>
      <c r="J23" s="7"/>
      <c r="L23">
        <v>1</v>
      </c>
      <c r="N23" s="7" t="s">
        <v>22</v>
      </c>
      <c r="P23" s="7">
        <v>1</v>
      </c>
      <c r="T23" s="6">
        <v>13</v>
      </c>
      <c r="Y23" s="6"/>
      <c r="Z23" s="6"/>
      <c r="AA23" s="6" t="s">
        <v>20</v>
      </c>
      <c r="AB23" s="6" t="s">
        <v>20</v>
      </c>
      <c r="AC23" s="7"/>
      <c r="AD23" s="7"/>
      <c r="AE23" s="7"/>
      <c r="AF23" s="6">
        <v>1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9" t="s">
        <v>2863</v>
      </c>
      <c r="B24" s="9">
        <v>1921</v>
      </c>
      <c r="C24" s="7">
        <v>4</v>
      </c>
      <c r="D24" s="7" t="s">
        <v>2862</v>
      </c>
      <c r="E24" s="7"/>
      <c r="F24" s="7"/>
      <c r="G24" s="7" t="s">
        <v>11</v>
      </c>
      <c r="H24" s="7" t="s">
        <v>23</v>
      </c>
      <c r="I24">
        <v>15</v>
      </c>
      <c r="J24" s="7"/>
      <c r="L24">
        <v>1</v>
      </c>
      <c r="N24" s="7" t="s">
        <v>22</v>
      </c>
      <c r="P24" s="7">
        <v>1</v>
      </c>
      <c r="T24" s="6">
        <v>8</v>
      </c>
      <c r="Y24" s="6"/>
      <c r="Z24" s="6"/>
      <c r="AA24" s="6" t="s">
        <v>20</v>
      </c>
      <c r="AB24" s="6" t="s">
        <v>20</v>
      </c>
      <c r="AC24" s="7"/>
      <c r="AD24" s="7"/>
      <c r="AE24" s="7"/>
      <c r="AF24" s="6">
        <v>1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9" t="s">
        <v>2863</v>
      </c>
      <c r="B25" s="9">
        <v>1921</v>
      </c>
      <c r="C25" s="7">
        <v>4</v>
      </c>
      <c r="D25" s="7" t="s">
        <v>2862</v>
      </c>
      <c r="E25" s="7"/>
      <c r="F25" s="12"/>
      <c r="G25" s="12" t="s">
        <v>25</v>
      </c>
      <c r="H25" s="12" t="s">
        <v>24</v>
      </c>
      <c r="I25">
        <v>16</v>
      </c>
      <c r="J25" s="13">
        <v>1</v>
      </c>
      <c r="N25" s="12" t="s">
        <v>26</v>
      </c>
      <c r="P25" s="12"/>
      <c r="S25">
        <v>1</v>
      </c>
      <c r="T25" s="12">
        <v>28</v>
      </c>
      <c r="Y25" s="7"/>
      <c r="Z25" s="7"/>
      <c r="AA25" s="12" t="s">
        <v>28</v>
      </c>
      <c r="AB25" s="12" t="s">
        <v>29</v>
      </c>
      <c r="AC25" s="7">
        <v>1</v>
      </c>
      <c r="AD25" s="7">
        <f>SUM(AD3:AD24)</f>
        <v>3</v>
      </c>
      <c r="AE25" s="7"/>
      <c r="AF25" s="12" t="s">
        <v>27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" customHeight="1" x14ac:dyDescent="0.2">
      <c r="A26" s="9" t="s">
        <v>2863</v>
      </c>
      <c r="B26" s="9">
        <v>1921</v>
      </c>
      <c r="C26" s="7">
        <v>4</v>
      </c>
      <c r="D26" s="7" t="s">
        <v>2862</v>
      </c>
      <c r="E26" s="7"/>
      <c r="F26" s="12"/>
      <c r="G26" s="12" t="s">
        <v>31</v>
      </c>
      <c r="H26" s="12" t="s">
        <v>30</v>
      </c>
      <c r="I26">
        <v>17</v>
      </c>
      <c r="J26" s="15">
        <v>1</v>
      </c>
      <c r="N26" s="14" t="s">
        <v>26</v>
      </c>
      <c r="P26" s="16"/>
      <c r="S26">
        <v>1</v>
      </c>
      <c r="T26" s="12" t="s">
        <v>20</v>
      </c>
      <c r="Y26" s="7"/>
      <c r="Z26" s="7"/>
      <c r="AA26" s="12" t="s">
        <v>33</v>
      </c>
      <c r="AB26" s="14" t="s">
        <v>20</v>
      </c>
      <c r="AC26" s="20"/>
      <c r="AD26" s="7"/>
      <c r="AE26" s="7"/>
      <c r="AF26" s="12">
        <v>1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2863</v>
      </c>
      <c r="B27" s="9">
        <v>1921</v>
      </c>
      <c r="C27" s="7"/>
      <c r="D27" s="7" t="s">
        <v>2862</v>
      </c>
      <c r="E27" s="7"/>
      <c r="F27" s="7"/>
      <c r="G27" s="7"/>
      <c r="H27" s="7"/>
      <c r="J27" s="7"/>
      <c r="N27" s="7"/>
      <c r="P27" s="7"/>
      <c r="T27" s="7"/>
      <c r="Y27" s="6"/>
      <c r="Z27" s="6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" customHeight="1" x14ac:dyDescent="0.2">
      <c r="A28" s="9" t="s">
        <v>2863</v>
      </c>
      <c r="B28" s="9">
        <v>1921</v>
      </c>
      <c r="C28" s="7"/>
      <c r="D28" s="7" t="s">
        <v>2862</v>
      </c>
      <c r="E28" s="7"/>
      <c r="F28" s="7"/>
      <c r="G28" s="7" t="s">
        <v>1</v>
      </c>
      <c r="H28" s="7" t="s">
        <v>0</v>
      </c>
      <c r="J28" s="7" t="s">
        <v>3</v>
      </c>
      <c r="N28" s="7" t="s">
        <v>2</v>
      </c>
      <c r="P28" s="7"/>
      <c r="T28" s="7" t="s">
        <v>5</v>
      </c>
      <c r="Y28" s="21"/>
      <c r="Z28" s="21"/>
      <c r="AA28" s="7" t="s">
        <v>7</v>
      </c>
      <c r="AB28" s="7" t="s">
        <v>8</v>
      </c>
      <c r="AC28" s="7"/>
      <c r="AD28" s="22"/>
      <c r="AE28" s="7"/>
      <c r="AF28" s="7" t="s">
        <v>6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2863</v>
      </c>
      <c r="B29" s="9">
        <v>1921</v>
      </c>
      <c r="C29" s="7">
        <v>5</v>
      </c>
      <c r="D29" s="7" t="s">
        <v>2862</v>
      </c>
      <c r="E29" s="7"/>
      <c r="F29" s="7">
        <v>9</v>
      </c>
      <c r="G29" s="7" t="s">
        <v>35</v>
      </c>
      <c r="H29" s="7" t="s">
        <v>34</v>
      </c>
      <c r="I29">
        <v>18</v>
      </c>
      <c r="J29" s="7" t="s">
        <v>13</v>
      </c>
      <c r="K29">
        <v>1</v>
      </c>
      <c r="N29" s="7">
        <v>1</v>
      </c>
      <c r="P29" s="7"/>
      <c r="T29" s="7">
        <v>38</v>
      </c>
      <c r="Y29" s="6"/>
      <c r="Z29" s="7"/>
      <c r="AA29" s="7" t="s">
        <v>36</v>
      </c>
      <c r="AB29" s="7" t="s">
        <v>37</v>
      </c>
      <c r="AC29" s="7">
        <v>1</v>
      </c>
      <c r="AD29" s="7"/>
      <c r="AE29" s="7"/>
      <c r="AF29" s="7">
        <v>1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">
      <c r="A30" s="9" t="s">
        <v>2863</v>
      </c>
      <c r="B30" s="9">
        <v>1921</v>
      </c>
      <c r="C30" s="7">
        <v>5</v>
      </c>
      <c r="D30" s="7" t="s">
        <v>2862</v>
      </c>
      <c r="G30" t="s">
        <v>35</v>
      </c>
      <c r="H30" t="s">
        <v>38</v>
      </c>
      <c r="I30">
        <v>19</v>
      </c>
      <c r="J30">
        <v>1</v>
      </c>
      <c r="N30" t="s">
        <v>18</v>
      </c>
      <c r="O30">
        <v>1</v>
      </c>
      <c r="T30">
        <v>38</v>
      </c>
      <c r="AA30" t="s">
        <v>20</v>
      </c>
      <c r="AB30" t="s">
        <v>20</v>
      </c>
      <c r="AF30">
        <v>1</v>
      </c>
    </row>
    <row r="31" spans="1:51" x14ac:dyDescent="0.2">
      <c r="A31" s="9" t="s">
        <v>2863</v>
      </c>
      <c r="B31" s="9">
        <v>1921</v>
      </c>
      <c r="C31" s="7">
        <v>5</v>
      </c>
      <c r="D31" s="7" t="s">
        <v>2862</v>
      </c>
      <c r="G31" t="s">
        <v>35</v>
      </c>
      <c r="H31" t="s">
        <v>39</v>
      </c>
      <c r="I31">
        <v>20</v>
      </c>
      <c r="J31" t="s">
        <v>19</v>
      </c>
      <c r="L31">
        <v>1</v>
      </c>
      <c r="N31" t="s">
        <v>22</v>
      </c>
      <c r="P31">
        <v>1</v>
      </c>
      <c r="T31">
        <v>4</v>
      </c>
      <c r="AA31" t="s">
        <v>20</v>
      </c>
      <c r="AB31" t="s">
        <v>20</v>
      </c>
      <c r="AF31">
        <v>1</v>
      </c>
    </row>
    <row r="32" spans="1:51" x14ac:dyDescent="0.2">
      <c r="A32" s="9" t="s">
        <v>2863</v>
      </c>
      <c r="B32" s="9">
        <v>1921</v>
      </c>
      <c r="C32" s="7">
        <v>5</v>
      </c>
      <c r="D32" s="7" t="s">
        <v>2862</v>
      </c>
      <c r="G32" t="s">
        <v>42</v>
      </c>
      <c r="H32" t="s">
        <v>41</v>
      </c>
      <c r="I32">
        <v>21</v>
      </c>
      <c r="J32">
        <v>1</v>
      </c>
      <c r="N32" t="s">
        <v>26</v>
      </c>
      <c r="S32">
        <v>1</v>
      </c>
      <c r="T32">
        <v>20</v>
      </c>
      <c r="AA32" t="s">
        <v>28</v>
      </c>
      <c r="AB32" t="s">
        <v>29</v>
      </c>
      <c r="AC32">
        <v>1</v>
      </c>
      <c r="AF32" t="s">
        <v>43</v>
      </c>
    </row>
    <row r="33" spans="1:32" x14ac:dyDescent="0.2">
      <c r="A33" s="9" t="s">
        <v>2863</v>
      </c>
      <c r="B33" s="9">
        <v>1921</v>
      </c>
      <c r="C33" s="7">
        <v>5</v>
      </c>
      <c r="D33" s="7" t="s">
        <v>2862</v>
      </c>
      <c r="G33" t="s">
        <v>20</v>
      </c>
      <c r="H33" t="s">
        <v>44</v>
      </c>
      <c r="I33">
        <v>22</v>
      </c>
      <c r="J33">
        <v>1</v>
      </c>
      <c r="N33" t="s">
        <v>26</v>
      </c>
      <c r="S33">
        <v>1</v>
      </c>
      <c r="T33">
        <v>27</v>
      </c>
      <c r="AA33" t="s">
        <v>33</v>
      </c>
      <c r="AB33" t="s">
        <v>29</v>
      </c>
      <c r="AC33">
        <v>1</v>
      </c>
      <c r="AF33" t="s">
        <v>45</v>
      </c>
    </row>
    <row r="34" spans="1:32" x14ac:dyDescent="0.2">
      <c r="A34" s="9" t="s">
        <v>2863</v>
      </c>
      <c r="B34" s="9">
        <v>1921</v>
      </c>
      <c r="C34" s="7"/>
      <c r="D34" s="7" t="s">
        <v>2862</v>
      </c>
    </row>
    <row r="35" spans="1:32" x14ac:dyDescent="0.2">
      <c r="A35" s="9" t="s">
        <v>2863</v>
      </c>
      <c r="B35" s="9">
        <v>1921</v>
      </c>
      <c r="C35" s="7"/>
      <c r="D35" s="7" t="s">
        <v>2862</v>
      </c>
      <c r="G35" t="s">
        <v>1</v>
      </c>
      <c r="H35" t="s">
        <v>0</v>
      </c>
      <c r="J35" t="s">
        <v>3</v>
      </c>
      <c r="N35" t="s">
        <v>2</v>
      </c>
      <c r="T35" t="s">
        <v>5</v>
      </c>
      <c r="AA35" t="s">
        <v>7</v>
      </c>
      <c r="AB35" t="s">
        <v>8</v>
      </c>
      <c r="AF35" t="s">
        <v>6</v>
      </c>
    </row>
    <row r="36" spans="1:32" x14ac:dyDescent="0.2">
      <c r="A36" s="9" t="s">
        <v>2863</v>
      </c>
      <c r="B36" s="9">
        <v>1921</v>
      </c>
      <c r="C36" s="7">
        <v>6</v>
      </c>
      <c r="D36" s="7" t="s">
        <v>2862</v>
      </c>
      <c r="F36">
        <v>11</v>
      </c>
      <c r="G36" t="s">
        <v>124</v>
      </c>
      <c r="H36" t="s">
        <v>90</v>
      </c>
      <c r="I36">
        <v>23</v>
      </c>
      <c r="J36">
        <v>1</v>
      </c>
      <c r="N36" t="s">
        <v>33</v>
      </c>
      <c r="S36">
        <v>1</v>
      </c>
      <c r="T36">
        <v>20</v>
      </c>
      <c r="AA36" t="s">
        <v>33</v>
      </c>
      <c r="AB36" t="s">
        <v>125</v>
      </c>
      <c r="AC36">
        <v>1</v>
      </c>
      <c r="AF36" t="s">
        <v>20</v>
      </c>
    </row>
    <row r="37" spans="1:32" x14ac:dyDescent="0.2">
      <c r="A37" s="9" t="s">
        <v>2863</v>
      </c>
      <c r="B37" s="9">
        <v>1921</v>
      </c>
      <c r="C37" s="7">
        <v>6</v>
      </c>
      <c r="D37" s="7" t="s">
        <v>2862</v>
      </c>
      <c r="G37" t="s">
        <v>61</v>
      </c>
      <c r="H37" t="s">
        <v>126</v>
      </c>
      <c r="I37">
        <v>24</v>
      </c>
      <c r="J37" t="s">
        <v>19</v>
      </c>
      <c r="L37">
        <v>1</v>
      </c>
      <c r="N37" t="s">
        <v>22</v>
      </c>
      <c r="P37">
        <v>1</v>
      </c>
      <c r="T37">
        <v>5</v>
      </c>
      <c r="AA37" t="s">
        <v>20</v>
      </c>
      <c r="AB37" t="s">
        <v>20</v>
      </c>
      <c r="AF37" t="s">
        <v>20</v>
      </c>
    </row>
    <row r="38" spans="1:32" x14ac:dyDescent="0.2">
      <c r="A38" s="9" t="s">
        <v>2863</v>
      </c>
      <c r="B38" s="9">
        <v>1921</v>
      </c>
      <c r="C38" s="7"/>
      <c r="D38" s="7" t="s">
        <v>2862</v>
      </c>
    </row>
    <row r="39" spans="1:32" x14ac:dyDescent="0.2">
      <c r="A39" s="9" t="s">
        <v>2863</v>
      </c>
      <c r="B39" s="9">
        <v>1921</v>
      </c>
      <c r="C39" s="7"/>
      <c r="D39" s="7" t="s">
        <v>2862</v>
      </c>
      <c r="G39" t="s">
        <v>1</v>
      </c>
      <c r="H39" t="s">
        <v>0</v>
      </c>
      <c r="J39" t="s">
        <v>3</v>
      </c>
      <c r="N39" t="s">
        <v>2</v>
      </c>
      <c r="T39" t="s">
        <v>5</v>
      </c>
      <c r="AA39" t="s">
        <v>7</v>
      </c>
      <c r="AB39" t="s">
        <v>8</v>
      </c>
      <c r="AF39" t="s">
        <v>6</v>
      </c>
    </row>
    <row r="40" spans="1:32" x14ac:dyDescent="0.2">
      <c r="A40" s="9" t="s">
        <v>2863</v>
      </c>
      <c r="B40" s="9">
        <v>1921</v>
      </c>
      <c r="C40" s="7">
        <v>7</v>
      </c>
      <c r="D40" s="7" t="s">
        <v>2862</v>
      </c>
      <c r="F40">
        <v>13</v>
      </c>
      <c r="G40" t="s">
        <v>128</v>
      </c>
      <c r="H40" t="s">
        <v>127</v>
      </c>
      <c r="I40">
        <v>25</v>
      </c>
      <c r="J40" t="s">
        <v>13</v>
      </c>
      <c r="K40">
        <v>1</v>
      </c>
      <c r="N40">
        <v>1</v>
      </c>
      <c r="T40">
        <v>34</v>
      </c>
      <c r="AA40" t="s">
        <v>129</v>
      </c>
      <c r="AB40" t="s">
        <v>8</v>
      </c>
      <c r="AC40">
        <v>1</v>
      </c>
      <c r="AD40">
        <v>1</v>
      </c>
      <c r="AF40">
        <v>1</v>
      </c>
    </row>
    <row r="41" spans="1:32" x14ac:dyDescent="0.2">
      <c r="A41" s="9" t="s">
        <v>2863</v>
      </c>
      <c r="B41" s="9">
        <v>1921</v>
      </c>
      <c r="C41" s="7">
        <v>7</v>
      </c>
      <c r="D41" s="7" t="s">
        <v>2862</v>
      </c>
      <c r="G41" t="s">
        <v>128</v>
      </c>
      <c r="H41" t="s">
        <v>130</v>
      </c>
      <c r="I41">
        <v>26</v>
      </c>
      <c r="J41">
        <v>1</v>
      </c>
      <c r="N41" t="s">
        <v>18</v>
      </c>
      <c r="O41">
        <v>1</v>
      </c>
      <c r="T41">
        <v>36</v>
      </c>
      <c r="AA41" t="s">
        <v>131</v>
      </c>
      <c r="AB41" t="s">
        <v>20</v>
      </c>
      <c r="AF41">
        <v>1</v>
      </c>
    </row>
    <row r="42" spans="1:32" x14ac:dyDescent="0.2">
      <c r="A42" s="9" t="s">
        <v>2863</v>
      </c>
      <c r="B42" s="9">
        <v>1921</v>
      </c>
      <c r="C42" s="7">
        <v>7</v>
      </c>
      <c r="D42" s="7" t="s">
        <v>2862</v>
      </c>
      <c r="G42" t="s">
        <v>133</v>
      </c>
      <c r="H42" t="s">
        <v>132</v>
      </c>
      <c r="I42">
        <v>27</v>
      </c>
      <c r="J42">
        <v>1</v>
      </c>
      <c r="N42" t="s">
        <v>26</v>
      </c>
      <c r="S42">
        <v>1</v>
      </c>
      <c r="T42">
        <v>23</v>
      </c>
      <c r="AA42" t="s">
        <v>33</v>
      </c>
      <c r="AB42" t="s">
        <v>29</v>
      </c>
      <c r="AC42">
        <v>1</v>
      </c>
      <c r="AF42" t="s">
        <v>134</v>
      </c>
    </row>
    <row r="43" spans="1:32" x14ac:dyDescent="0.2">
      <c r="A43" s="9" t="s">
        <v>2863</v>
      </c>
      <c r="B43" s="9">
        <v>1921</v>
      </c>
      <c r="C43" s="7">
        <v>7</v>
      </c>
      <c r="D43" s="7" t="s">
        <v>2862</v>
      </c>
      <c r="G43" t="s">
        <v>136</v>
      </c>
      <c r="H43" t="s">
        <v>135</v>
      </c>
      <c r="I43">
        <v>28</v>
      </c>
      <c r="J43">
        <v>1</v>
      </c>
      <c r="N43" t="s">
        <v>26</v>
      </c>
      <c r="S43">
        <v>1</v>
      </c>
      <c r="T43">
        <v>31</v>
      </c>
      <c r="AA43" t="s">
        <v>137</v>
      </c>
      <c r="AB43" t="s">
        <v>29</v>
      </c>
      <c r="AC43">
        <v>1</v>
      </c>
      <c r="AF43" t="s">
        <v>134</v>
      </c>
    </row>
    <row r="44" spans="1:32" x14ac:dyDescent="0.2">
      <c r="A44" s="9" t="s">
        <v>2863</v>
      </c>
      <c r="B44" s="9">
        <v>1921</v>
      </c>
      <c r="C44" s="7"/>
      <c r="D44" s="7" t="s">
        <v>2862</v>
      </c>
    </row>
    <row r="45" spans="1:32" x14ac:dyDescent="0.2">
      <c r="A45" s="9" t="s">
        <v>2863</v>
      </c>
      <c r="B45" s="9">
        <v>1921</v>
      </c>
      <c r="C45" s="7"/>
      <c r="D45" s="7" t="s">
        <v>2862</v>
      </c>
      <c r="G45" t="s">
        <v>1</v>
      </c>
      <c r="H45" t="s">
        <v>0</v>
      </c>
      <c r="J45" t="s">
        <v>3</v>
      </c>
      <c r="N45" t="s">
        <v>2</v>
      </c>
      <c r="T45" t="s">
        <v>5</v>
      </c>
      <c r="AA45" t="s">
        <v>7</v>
      </c>
      <c r="AB45" t="s">
        <v>8</v>
      </c>
      <c r="AF45" t="s">
        <v>6</v>
      </c>
    </row>
    <row r="46" spans="1:32" s="55" customFormat="1" x14ac:dyDescent="0.2">
      <c r="A46" s="226" t="s">
        <v>2863</v>
      </c>
      <c r="B46" s="226">
        <v>1921</v>
      </c>
      <c r="C46" s="227">
        <v>8</v>
      </c>
      <c r="D46" s="227" t="s">
        <v>2862</v>
      </c>
      <c r="F46" s="55">
        <v>15</v>
      </c>
      <c r="G46" s="55" t="s">
        <v>139</v>
      </c>
      <c r="H46" s="55" t="s">
        <v>138</v>
      </c>
      <c r="I46" s="55">
        <v>29</v>
      </c>
      <c r="J46" s="55">
        <v>1</v>
      </c>
      <c r="N46" s="55">
        <v>1</v>
      </c>
      <c r="T46" s="55">
        <v>84</v>
      </c>
      <c r="AA46" s="55" t="s">
        <v>141</v>
      </c>
      <c r="AB46" s="55" t="s">
        <v>20</v>
      </c>
      <c r="AF46" s="55" t="s">
        <v>140</v>
      </c>
    </row>
    <row r="47" spans="1:32" x14ac:dyDescent="0.2">
      <c r="A47" s="9" t="s">
        <v>2863</v>
      </c>
      <c r="B47" s="9">
        <v>1921</v>
      </c>
      <c r="C47" s="7">
        <v>8</v>
      </c>
      <c r="D47" s="7" t="s">
        <v>2862</v>
      </c>
      <c r="G47" t="s">
        <v>143</v>
      </c>
      <c r="H47" t="s">
        <v>142</v>
      </c>
      <c r="I47">
        <v>30</v>
      </c>
      <c r="J47" s="55">
        <v>1</v>
      </c>
      <c r="N47" t="s">
        <v>144</v>
      </c>
      <c r="R47">
        <v>1</v>
      </c>
      <c r="T47">
        <v>78</v>
      </c>
      <c r="AA47" t="s">
        <v>141</v>
      </c>
      <c r="AB47" t="s">
        <v>20</v>
      </c>
      <c r="AF47" t="s">
        <v>145</v>
      </c>
    </row>
    <row r="48" spans="1:32" x14ac:dyDescent="0.2">
      <c r="A48" s="9" t="s">
        <v>2863</v>
      </c>
      <c r="B48" s="9">
        <v>1921</v>
      </c>
      <c r="C48" s="7">
        <v>8</v>
      </c>
      <c r="D48" s="7" t="s">
        <v>2862</v>
      </c>
      <c r="G48" t="s">
        <v>147</v>
      </c>
      <c r="H48" t="s">
        <v>146</v>
      </c>
      <c r="I48">
        <v>31</v>
      </c>
      <c r="J48" s="55">
        <v>1</v>
      </c>
      <c r="N48" t="s">
        <v>148</v>
      </c>
      <c r="R48">
        <v>1</v>
      </c>
      <c r="T48">
        <v>60</v>
      </c>
      <c r="AA48" t="s">
        <v>141</v>
      </c>
      <c r="AB48" t="s">
        <v>20</v>
      </c>
      <c r="AF48" t="s">
        <v>149</v>
      </c>
    </row>
    <row r="49" spans="1:32" x14ac:dyDescent="0.2">
      <c r="A49" s="9" t="s">
        <v>2863</v>
      </c>
      <c r="B49" s="9">
        <v>1921</v>
      </c>
      <c r="C49" s="7">
        <v>8</v>
      </c>
      <c r="D49" s="7" t="s">
        <v>2862</v>
      </c>
      <c r="G49" t="s">
        <v>147</v>
      </c>
      <c r="H49" t="s">
        <v>150</v>
      </c>
      <c r="I49">
        <v>32</v>
      </c>
      <c r="J49" s="55">
        <v>1</v>
      </c>
      <c r="N49" t="s">
        <v>148</v>
      </c>
      <c r="R49">
        <v>1</v>
      </c>
      <c r="T49">
        <v>58</v>
      </c>
      <c r="AA49" t="s">
        <v>20</v>
      </c>
      <c r="AB49" t="s">
        <v>20</v>
      </c>
      <c r="AF49" t="s">
        <v>149</v>
      </c>
    </row>
    <row r="50" spans="1:32" x14ac:dyDescent="0.2">
      <c r="A50" s="9" t="s">
        <v>2863</v>
      </c>
      <c r="B50" s="9">
        <v>1921</v>
      </c>
      <c r="C50" s="7">
        <v>8</v>
      </c>
      <c r="D50" s="7" t="s">
        <v>2862</v>
      </c>
      <c r="G50" t="s">
        <v>151</v>
      </c>
      <c r="H50" t="s">
        <v>121</v>
      </c>
      <c r="I50">
        <v>33</v>
      </c>
      <c r="J50" s="55">
        <v>1</v>
      </c>
      <c r="N50" t="s">
        <v>26</v>
      </c>
      <c r="S50">
        <v>1</v>
      </c>
      <c r="T50">
        <v>42</v>
      </c>
      <c r="AA50" t="s">
        <v>69</v>
      </c>
      <c r="AB50" t="s">
        <v>29</v>
      </c>
      <c r="AC50">
        <v>1</v>
      </c>
      <c r="AF50">
        <v>1</v>
      </c>
    </row>
    <row r="51" spans="1:32" x14ac:dyDescent="0.2">
      <c r="A51" s="9" t="s">
        <v>2863</v>
      </c>
      <c r="B51" s="9">
        <v>1921</v>
      </c>
      <c r="C51" s="7">
        <v>8</v>
      </c>
      <c r="D51" s="7" t="s">
        <v>2862</v>
      </c>
      <c r="G51" t="s">
        <v>154</v>
      </c>
      <c r="H51" t="s">
        <v>153</v>
      </c>
      <c r="I51">
        <v>34</v>
      </c>
      <c r="J51" s="55">
        <v>1</v>
      </c>
      <c r="N51" t="s">
        <v>26</v>
      </c>
      <c r="S51">
        <v>1</v>
      </c>
      <c r="T51">
        <v>24</v>
      </c>
      <c r="AA51" t="s">
        <v>69</v>
      </c>
      <c r="AB51" t="s">
        <v>29</v>
      </c>
      <c r="AC51">
        <v>1</v>
      </c>
      <c r="AF51" t="s">
        <v>20</v>
      </c>
    </row>
    <row r="52" spans="1:32" x14ac:dyDescent="0.2">
      <c r="A52" s="9" t="s">
        <v>2863</v>
      </c>
      <c r="B52" s="9">
        <v>1921</v>
      </c>
      <c r="C52" s="7"/>
      <c r="D52" s="7" t="s">
        <v>2862</v>
      </c>
    </row>
    <row r="53" spans="1:32" x14ac:dyDescent="0.2">
      <c r="A53" s="9" t="s">
        <v>2863</v>
      </c>
      <c r="B53" s="9">
        <v>1921</v>
      </c>
      <c r="C53" s="7"/>
      <c r="D53" s="7" t="s">
        <v>2862</v>
      </c>
      <c r="G53" t="s">
        <v>1</v>
      </c>
      <c r="H53" t="s">
        <v>0</v>
      </c>
      <c r="J53" t="s">
        <v>3</v>
      </c>
      <c r="N53" t="s">
        <v>2</v>
      </c>
      <c r="T53" t="s">
        <v>5</v>
      </c>
      <c r="AA53" t="s">
        <v>7</v>
      </c>
      <c r="AB53" t="s">
        <v>8</v>
      </c>
      <c r="AF53" t="s">
        <v>6</v>
      </c>
    </row>
    <row r="54" spans="1:32" x14ac:dyDescent="0.2">
      <c r="A54" s="9" t="s">
        <v>2863</v>
      </c>
      <c r="B54" s="9">
        <v>1921</v>
      </c>
      <c r="C54" s="7">
        <v>9</v>
      </c>
      <c r="D54" s="7" t="s">
        <v>2862</v>
      </c>
      <c r="F54">
        <v>19</v>
      </c>
      <c r="G54" t="s">
        <v>156</v>
      </c>
      <c r="H54" t="s">
        <v>155</v>
      </c>
      <c r="I54">
        <v>35</v>
      </c>
      <c r="J54" t="s">
        <v>13</v>
      </c>
      <c r="K54">
        <v>1</v>
      </c>
      <c r="N54">
        <v>1</v>
      </c>
      <c r="T54">
        <v>72</v>
      </c>
      <c r="AA54" t="s">
        <v>158</v>
      </c>
      <c r="AB54" t="s">
        <v>8</v>
      </c>
      <c r="AC54">
        <v>1</v>
      </c>
      <c r="AD54">
        <v>1</v>
      </c>
      <c r="AF54" t="s">
        <v>157</v>
      </c>
    </row>
    <row r="55" spans="1:32" x14ac:dyDescent="0.2">
      <c r="A55" s="9" t="s">
        <v>2863</v>
      </c>
      <c r="B55" s="9">
        <v>1921</v>
      </c>
      <c r="C55" s="7">
        <v>9</v>
      </c>
      <c r="D55" s="7" t="s">
        <v>2862</v>
      </c>
      <c r="G55" t="s">
        <v>156</v>
      </c>
      <c r="H55" t="s">
        <v>159</v>
      </c>
      <c r="I55">
        <v>36</v>
      </c>
      <c r="J55" t="s">
        <v>13</v>
      </c>
      <c r="K55">
        <v>1</v>
      </c>
      <c r="N55" t="s">
        <v>51</v>
      </c>
      <c r="Q55">
        <v>1</v>
      </c>
      <c r="T55">
        <v>31</v>
      </c>
      <c r="AA55" t="s">
        <v>160</v>
      </c>
      <c r="AB55" t="s">
        <v>161</v>
      </c>
      <c r="AC55">
        <v>1</v>
      </c>
      <c r="AF55">
        <v>1</v>
      </c>
    </row>
    <row r="56" spans="1:32" x14ac:dyDescent="0.2">
      <c r="A56" s="9" t="s">
        <v>2863</v>
      </c>
      <c r="B56" s="9">
        <v>1921</v>
      </c>
      <c r="C56" s="7">
        <v>9</v>
      </c>
      <c r="D56" s="7" t="s">
        <v>2862</v>
      </c>
      <c r="G56" t="s">
        <v>163</v>
      </c>
      <c r="H56" t="s">
        <v>162</v>
      </c>
      <c r="I56">
        <v>37</v>
      </c>
      <c r="J56" t="s">
        <v>13</v>
      </c>
      <c r="K56">
        <v>1</v>
      </c>
      <c r="N56" t="s">
        <v>58</v>
      </c>
      <c r="R56">
        <v>1</v>
      </c>
      <c r="T56">
        <v>59</v>
      </c>
      <c r="AA56" t="s">
        <v>164</v>
      </c>
      <c r="AB56" t="s">
        <v>165</v>
      </c>
      <c r="AC56">
        <v>1</v>
      </c>
      <c r="AF56" t="s">
        <v>62</v>
      </c>
    </row>
    <row r="57" spans="1:32" x14ac:dyDescent="0.2">
      <c r="A57" s="9" t="s">
        <v>2863</v>
      </c>
      <c r="B57" s="9">
        <v>1921</v>
      </c>
      <c r="C57" s="7">
        <v>9</v>
      </c>
      <c r="D57" s="7" t="s">
        <v>2862</v>
      </c>
      <c r="G57" t="s">
        <v>163</v>
      </c>
      <c r="H57" t="s">
        <v>166</v>
      </c>
      <c r="I57">
        <v>38</v>
      </c>
      <c r="J57">
        <v>1</v>
      </c>
      <c r="N57" t="s">
        <v>58</v>
      </c>
      <c r="R57">
        <v>1</v>
      </c>
      <c r="T57">
        <v>46</v>
      </c>
      <c r="AA57" t="s">
        <v>50</v>
      </c>
      <c r="AB57" t="s">
        <v>20</v>
      </c>
      <c r="AF57" t="s">
        <v>167</v>
      </c>
    </row>
    <row r="58" spans="1:32" x14ac:dyDescent="0.2">
      <c r="A58" s="9" t="s">
        <v>2863</v>
      </c>
      <c r="B58" s="9">
        <v>1921</v>
      </c>
      <c r="C58" s="7">
        <v>9</v>
      </c>
      <c r="D58" s="7" t="s">
        <v>2862</v>
      </c>
      <c r="G58" t="s">
        <v>163</v>
      </c>
      <c r="H58" t="s">
        <v>168</v>
      </c>
      <c r="I58">
        <v>39</v>
      </c>
      <c r="J58">
        <v>1</v>
      </c>
      <c r="N58" t="s">
        <v>58</v>
      </c>
      <c r="R58">
        <v>1</v>
      </c>
      <c r="T58">
        <v>10</v>
      </c>
      <c r="AA58" t="s">
        <v>20</v>
      </c>
      <c r="AB58" t="s">
        <v>20</v>
      </c>
      <c r="AF58" t="s">
        <v>169</v>
      </c>
    </row>
    <row r="59" spans="1:32" x14ac:dyDescent="0.2">
      <c r="A59" s="9" t="s">
        <v>2863</v>
      </c>
      <c r="B59" s="9">
        <v>1921</v>
      </c>
      <c r="C59" s="7">
        <v>9</v>
      </c>
      <c r="D59" s="7" t="s">
        <v>2862</v>
      </c>
      <c r="G59" t="s">
        <v>171</v>
      </c>
      <c r="H59" t="s">
        <v>170</v>
      </c>
      <c r="I59">
        <v>40</v>
      </c>
      <c r="J59">
        <v>1</v>
      </c>
      <c r="N59" t="s">
        <v>26</v>
      </c>
      <c r="S59">
        <v>1</v>
      </c>
      <c r="T59">
        <v>28</v>
      </c>
      <c r="AA59" t="s">
        <v>173</v>
      </c>
      <c r="AB59" t="s">
        <v>29</v>
      </c>
      <c r="AC59">
        <v>1</v>
      </c>
      <c r="AF59" t="s">
        <v>172</v>
      </c>
    </row>
    <row r="60" spans="1:32" x14ac:dyDescent="0.2">
      <c r="A60" s="9" t="s">
        <v>2863</v>
      </c>
      <c r="B60" s="9">
        <v>1921</v>
      </c>
      <c r="C60" s="7">
        <v>9</v>
      </c>
      <c r="D60" s="7" t="s">
        <v>2862</v>
      </c>
      <c r="G60" t="s">
        <v>175</v>
      </c>
      <c r="H60" t="s">
        <v>174</v>
      </c>
      <c r="I60">
        <v>41</v>
      </c>
      <c r="J60">
        <v>1</v>
      </c>
      <c r="N60" t="s">
        <v>26</v>
      </c>
      <c r="S60">
        <v>1</v>
      </c>
      <c r="T60">
        <v>27</v>
      </c>
      <c r="AA60" t="s">
        <v>28</v>
      </c>
      <c r="AB60" t="s">
        <v>29</v>
      </c>
      <c r="AC60">
        <v>1</v>
      </c>
      <c r="AF60" t="s">
        <v>176</v>
      </c>
    </row>
    <row r="61" spans="1:32" x14ac:dyDescent="0.2">
      <c r="A61" s="9" t="s">
        <v>2863</v>
      </c>
      <c r="B61" s="9">
        <v>1921</v>
      </c>
      <c r="C61" s="7">
        <v>9</v>
      </c>
      <c r="D61" s="7" t="s">
        <v>2862</v>
      </c>
      <c r="G61" t="s">
        <v>177</v>
      </c>
      <c r="H61" t="s">
        <v>90</v>
      </c>
      <c r="I61">
        <v>42</v>
      </c>
      <c r="J61">
        <v>1</v>
      </c>
      <c r="N61" t="s">
        <v>26</v>
      </c>
      <c r="S61">
        <v>1</v>
      </c>
      <c r="T61">
        <v>21</v>
      </c>
      <c r="AA61" t="s">
        <v>93</v>
      </c>
      <c r="AB61" t="s">
        <v>29</v>
      </c>
      <c r="AC61">
        <v>1</v>
      </c>
      <c r="AF61">
        <v>1</v>
      </c>
    </row>
    <row r="62" spans="1:32" x14ac:dyDescent="0.2">
      <c r="A62" s="9" t="s">
        <v>2863</v>
      </c>
      <c r="B62" s="9">
        <v>1921</v>
      </c>
      <c r="C62" s="7"/>
      <c r="D62" s="7" t="s">
        <v>2862</v>
      </c>
    </row>
    <row r="63" spans="1:32" x14ac:dyDescent="0.2">
      <c r="A63" s="9" t="s">
        <v>2863</v>
      </c>
      <c r="B63" s="9">
        <v>1921</v>
      </c>
      <c r="C63" s="7"/>
      <c r="D63" s="7" t="s">
        <v>2862</v>
      </c>
      <c r="G63" t="s">
        <v>1</v>
      </c>
      <c r="H63" t="s">
        <v>0</v>
      </c>
      <c r="J63" t="s">
        <v>3</v>
      </c>
      <c r="N63" t="s">
        <v>2</v>
      </c>
      <c r="T63" t="s">
        <v>5</v>
      </c>
      <c r="AA63" t="s">
        <v>7</v>
      </c>
      <c r="AB63" t="s">
        <v>8</v>
      </c>
      <c r="AF63" t="s">
        <v>6</v>
      </c>
    </row>
    <row r="64" spans="1:32" x14ac:dyDescent="0.2">
      <c r="A64" s="9" t="s">
        <v>2863</v>
      </c>
      <c r="B64" s="9">
        <v>1921</v>
      </c>
      <c r="C64" s="7">
        <v>10</v>
      </c>
      <c r="D64" s="7" t="s">
        <v>2862</v>
      </c>
      <c r="F64">
        <v>19</v>
      </c>
      <c r="G64" t="s">
        <v>107</v>
      </c>
      <c r="H64" t="s">
        <v>187</v>
      </c>
      <c r="I64">
        <v>43</v>
      </c>
      <c r="J64" t="s">
        <v>13</v>
      </c>
      <c r="K64">
        <v>1</v>
      </c>
      <c r="N64">
        <v>1</v>
      </c>
      <c r="T64">
        <v>36</v>
      </c>
      <c r="AA64" t="s">
        <v>188</v>
      </c>
      <c r="AB64" t="s">
        <v>8</v>
      </c>
      <c r="AC64">
        <v>1</v>
      </c>
      <c r="AD64">
        <v>1</v>
      </c>
      <c r="AF64">
        <v>1</v>
      </c>
    </row>
    <row r="65" spans="1:51" x14ac:dyDescent="0.2">
      <c r="A65" s="9" t="s">
        <v>2863</v>
      </c>
      <c r="B65" s="9">
        <v>1921</v>
      </c>
      <c r="C65" s="7">
        <v>10</v>
      </c>
      <c r="D65" s="7" t="s">
        <v>2862</v>
      </c>
      <c r="G65" t="s">
        <v>107</v>
      </c>
      <c r="H65" t="s">
        <v>189</v>
      </c>
      <c r="I65">
        <v>44</v>
      </c>
      <c r="J65">
        <v>1</v>
      </c>
      <c r="N65" t="s">
        <v>18</v>
      </c>
      <c r="O65">
        <v>1</v>
      </c>
      <c r="T65">
        <v>30</v>
      </c>
      <c r="AA65" t="s">
        <v>50</v>
      </c>
      <c r="AB65" t="s">
        <v>20</v>
      </c>
      <c r="AF65">
        <v>1</v>
      </c>
    </row>
    <row r="66" spans="1:51" x14ac:dyDescent="0.2">
      <c r="A66" s="9" t="s">
        <v>2863</v>
      </c>
      <c r="B66" s="9">
        <v>1921</v>
      </c>
      <c r="C66" s="7">
        <v>10</v>
      </c>
      <c r="D66" s="7" t="s">
        <v>2862</v>
      </c>
      <c r="G66" t="s">
        <v>107</v>
      </c>
      <c r="H66" t="s">
        <v>190</v>
      </c>
      <c r="I66">
        <v>45</v>
      </c>
      <c r="J66" t="s">
        <v>13</v>
      </c>
      <c r="M66">
        <v>1</v>
      </c>
      <c r="N66" t="s">
        <v>51</v>
      </c>
      <c r="Q66">
        <v>1</v>
      </c>
      <c r="T66">
        <v>6</v>
      </c>
      <c r="AA66" t="s">
        <v>20</v>
      </c>
      <c r="AB66" t="s">
        <v>20</v>
      </c>
      <c r="AF66">
        <v>1</v>
      </c>
    </row>
    <row r="67" spans="1:51" x14ac:dyDescent="0.2">
      <c r="A67" s="9" t="s">
        <v>2863</v>
      </c>
      <c r="B67" s="9">
        <v>1921</v>
      </c>
      <c r="C67" s="7">
        <v>10</v>
      </c>
      <c r="D67" s="7" t="s">
        <v>2862</v>
      </c>
      <c r="G67" t="s">
        <v>107</v>
      </c>
      <c r="H67" t="s">
        <v>191</v>
      </c>
      <c r="I67">
        <v>46</v>
      </c>
      <c r="J67" t="s">
        <v>19</v>
      </c>
      <c r="L67">
        <v>1</v>
      </c>
      <c r="N67" t="s">
        <v>22</v>
      </c>
      <c r="P67">
        <v>1</v>
      </c>
      <c r="T67">
        <v>4</v>
      </c>
      <c r="AA67" t="s">
        <v>20</v>
      </c>
      <c r="AB67" t="s">
        <v>20</v>
      </c>
      <c r="AF67">
        <v>1</v>
      </c>
    </row>
    <row r="68" spans="1:51" x14ac:dyDescent="0.2">
      <c r="A68" s="9" t="s">
        <v>2863</v>
      </c>
      <c r="B68" s="9">
        <v>1921</v>
      </c>
      <c r="C68" s="7">
        <v>10</v>
      </c>
      <c r="D68" s="7" t="s">
        <v>2862</v>
      </c>
      <c r="G68" t="s">
        <v>107</v>
      </c>
      <c r="H68" t="s">
        <v>192</v>
      </c>
      <c r="I68">
        <v>47</v>
      </c>
      <c r="J68" t="s">
        <v>19</v>
      </c>
      <c r="L68">
        <v>1</v>
      </c>
      <c r="N68" t="s">
        <v>22</v>
      </c>
      <c r="P68">
        <v>1</v>
      </c>
      <c r="T68">
        <v>1</v>
      </c>
      <c r="AA68" t="s">
        <v>20</v>
      </c>
      <c r="AB68" t="s">
        <v>20</v>
      </c>
      <c r="AF68">
        <v>1</v>
      </c>
    </row>
    <row r="69" spans="1:51" x14ac:dyDescent="0.2">
      <c r="A69" s="9" t="s">
        <v>2863</v>
      </c>
      <c r="B69" s="9">
        <v>1921</v>
      </c>
      <c r="C69" s="7">
        <v>10</v>
      </c>
      <c r="D69" s="7" t="s">
        <v>2862</v>
      </c>
      <c r="G69" t="s">
        <v>194</v>
      </c>
      <c r="H69" t="s">
        <v>193</v>
      </c>
      <c r="I69">
        <v>48</v>
      </c>
      <c r="J69">
        <v>1</v>
      </c>
      <c r="N69" t="s">
        <v>26</v>
      </c>
      <c r="S69">
        <v>1</v>
      </c>
      <c r="T69">
        <v>29</v>
      </c>
      <c r="AA69" t="s">
        <v>196</v>
      </c>
      <c r="AB69" t="s">
        <v>20</v>
      </c>
      <c r="AF69">
        <v>1</v>
      </c>
    </row>
    <row r="70" spans="1:51" x14ac:dyDescent="0.2">
      <c r="A70" s="9" t="s">
        <v>2863</v>
      </c>
      <c r="B70" s="9">
        <v>1921</v>
      </c>
      <c r="C70" s="7">
        <v>10</v>
      </c>
      <c r="D70" s="7" t="s">
        <v>2862</v>
      </c>
      <c r="G70" t="s">
        <v>197</v>
      </c>
      <c r="H70" t="s">
        <v>63</v>
      </c>
      <c r="I70">
        <v>49</v>
      </c>
      <c r="J70">
        <v>1</v>
      </c>
      <c r="N70" t="s">
        <v>26</v>
      </c>
      <c r="S70">
        <v>1</v>
      </c>
      <c r="T70">
        <v>23</v>
      </c>
      <c r="AA70" t="s">
        <v>198</v>
      </c>
      <c r="AB70" t="s">
        <v>20</v>
      </c>
      <c r="AF70" t="s">
        <v>20</v>
      </c>
    </row>
    <row r="71" spans="1:51" x14ac:dyDescent="0.2">
      <c r="A71" s="9" t="s">
        <v>2863</v>
      </c>
      <c r="B71" s="9">
        <v>1921</v>
      </c>
      <c r="C71" s="7"/>
      <c r="D71" s="7" t="s">
        <v>2862</v>
      </c>
    </row>
    <row r="72" spans="1:51" x14ac:dyDescent="0.2">
      <c r="A72" s="9" t="s">
        <v>2863</v>
      </c>
      <c r="B72" s="9">
        <v>1921</v>
      </c>
      <c r="C72" s="7"/>
      <c r="D72" s="7" t="s">
        <v>2862</v>
      </c>
      <c r="G72" t="s">
        <v>1</v>
      </c>
      <c r="H72" t="s">
        <v>0</v>
      </c>
      <c r="J72" t="s">
        <v>3</v>
      </c>
      <c r="N72" t="s">
        <v>2</v>
      </c>
      <c r="T72" t="s">
        <v>5</v>
      </c>
      <c r="AA72" t="s">
        <v>7</v>
      </c>
      <c r="AB72" t="s">
        <v>8</v>
      </c>
      <c r="AF72" t="s">
        <v>6</v>
      </c>
    </row>
    <row r="73" spans="1:51" s="55" customFormat="1" x14ac:dyDescent="0.2">
      <c r="A73" s="9" t="s">
        <v>2863</v>
      </c>
      <c r="B73" s="226">
        <v>1921</v>
      </c>
      <c r="C73" s="227">
        <v>11</v>
      </c>
      <c r="D73" s="7" t="s">
        <v>2862</v>
      </c>
      <c r="F73" s="55">
        <v>10</v>
      </c>
      <c r="G73" s="55" t="s">
        <v>178</v>
      </c>
      <c r="H73" s="55" t="s">
        <v>138</v>
      </c>
      <c r="I73" s="55">
        <v>50</v>
      </c>
      <c r="J73" s="55">
        <v>1</v>
      </c>
      <c r="N73" s="55">
        <v>1</v>
      </c>
      <c r="T73" s="55">
        <v>53</v>
      </c>
      <c r="AA73" s="55" t="s">
        <v>141</v>
      </c>
      <c r="AB73" s="55" t="s">
        <v>20</v>
      </c>
      <c r="AF73" s="55">
        <v>1</v>
      </c>
    </row>
    <row r="74" spans="1:51" x14ac:dyDescent="0.2">
      <c r="A74" s="9" t="s">
        <v>2863</v>
      </c>
      <c r="B74" s="9">
        <v>1921</v>
      </c>
      <c r="C74" s="7">
        <v>11</v>
      </c>
      <c r="D74" s="7" t="s">
        <v>2862</v>
      </c>
      <c r="G74" t="s">
        <v>178</v>
      </c>
      <c r="H74" t="s">
        <v>48</v>
      </c>
      <c r="I74">
        <v>51</v>
      </c>
      <c r="J74">
        <v>1</v>
      </c>
      <c r="N74" t="s">
        <v>144</v>
      </c>
      <c r="R74">
        <v>1</v>
      </c>
      <c r="T74">
        <v>42</v>
      </c>
      <c r="AA74" t="s">
        <v>20</v>
      </c>
      <c r="AB74" t="s">
        <v>20</v>
      </c>
      <c r="AF74">
        <v>1</v>
      </c>
    </row>
    <row r="75" spans="1:51" x14ac:dyDescent="0.2">
      <c r="A75" s="9" t="s">
        <v>2863</v>
      </c>
      <c r="B75" s="9">
        <v>1921</v>
      </c>
      <c r="C75" s="7"/>
      <c r="D75" s="7" t="s">
        <v>2862</v>
      </c>
    </row>
    <row r="76" spans="1:51" ht="17.5" customHeight="1" x14ac:dyDescent="0.2">
      <c r="A76" s="9" t="s">
        <v>2863</v>
      </c>
      <c r="B76" s="9">
        <v>1921</v>
      </c>
      <c r="C76" s="7"/>
      <c r="D76" s="7" t="s">
        <v>2862</v>
      </c>
      <c r="E76" s="7"/>
      <c r="F76" s="7"/>
      <c r="G76" t="s">
        <v>200</v>
      </c>
      <c r="H76" s="7" t="s">
        <v>199</v>
      </c>
      <c r="I76">
        <v>52</v>
      </c>
      <c r="J76" t="s">
        <v>13</v>
      </c>
      <c r="K76">
        <v>1</v>
      </c>
      <c r="N76" s="7">
        <v>1</v>
      </c>
      <c r="T76">
        <v>36</v>
      </c>
      <c r="AA76" t="s">
        <v>201</v>
      </c>
      <c r="AB76" s="7" t="s">
        <v>202</v>
      </c>
      <c r="AC76">
        <v>1</v>
      </c>
      <c r="AD76" s="7"/>
      <c r="AE76" s="7"/>
      <c r="AF76" s="7">
        <v>1</v>
      </c>
      <c r="AG76" s="6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ht="17.5" customHeight="1" x14ac:dyDescent="0.2">
      <c r="A77" s="9" t="s">
        <v>2863</v>
      </c>
      <c r="B77" s="9">
        <v>1921</v>
      </c>
      <c r="C77" s="7">
        <v>12</v>
      </c>
      <c r="D77" s="7" t="s">
        <v>2862</v>
      </c>
      <c r="E77" s="7"/>
      <c r="F77" s="7">
        <v>12</v>
      </c>
      <c r="G77" t="s">
        <v>200</v>
      </c>
      <c r="H77" s="7" t="s">
        <v>130</v>
      </c>
      <c r="I77">
        <v>53</v>
      </c>
      <c r="J77">
        <v>1</v>
      </c>
      <c r="N77" s="7" t="s">
        <v>18</v>
      </c>
      <c r="O77">
        <v>1</v>
      </c>
      <c r="T77">
        <v>27</v>
      </c>
      <c r="AA77" t="s">
        <v>20</v>
      </c>
      <c r="AB77" s="7" t="s">
        <v>20</v>
      </c>
      <c r="AD77" s="7"/>
      <c r="AE77" s="7"/>
      <c r="AF77" s="7">
        <v>1</v>
      </c>
      <c r="AG77" s="6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ht="17.5" customHeight="1" x14ac:dyDescent="0.2">
      <c r="A78" s="9" t="s">
        <v>2863</v>
      </c>
      <c r="B78" s="9">
        <v>1921</v>
      </c>
      <c r="C78" s="7">
        <v>12</v>
      </c>
      <c r="D78" s="7" t="s">
        <v>2862</v>
      </c>
      <c r="E78" s="7"/>
      <c r="F78" s="7"/>
      <c r="G78" t="s">
        <v>200</v>
      </c>
      <c r="H78" s="7" t="s">
        <v>203</v>
      </c>
      <c r="I78">
        <v>54</v>
      </c>
      <c r="J78">
        <v>1</v>
      </c>
      <c r="N78" s="7" t="s">
        <v>22</v>
      </c>
      <c r="P78">
        <v>1</v>
      </c>
      <c r="T78" t="s">
        <v>20</v>
      </c>
      <c r="AA78" t="s">
        <v>20</v>
      </c>
      <c r="AB78" s="7" t="s">
        <v>20</v>
      </c>
      <c r="AD78" s="7"/>
      <c r="AE78" s="7"/>
      <c r="AF78" s="7">
        <v>1</v>
      </c>
      <c r="AG78" s="6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ht="17.5" customHeight="1" x14ac:dyDescent="0.2">
      <c r="A79" s="9" t="s">
        <v>2863</v>
      </c>
      <c r="B79" s="9">
        <v>1921</v>
      </c>
      <c r="C79" s="7">
        <v>12</v>
      </c>
      <c r="D79" s="7" t="s">
        <v>2862</v>
      </c>
      <c r="E79" s="7"/>
      <c r="F79" s="7"/>
      <c r="G79" t="s">
        <v>204</v>
      </c>
      <c r="H79" s="7" t="s">
        <v>48</v>
      </c>
      <c r="I79">
        <v>55</v>
      </c>
      <c r="J79">
        <v>1</v>
      </c>
      <c r="N79" s="7" t="s">
        <v>26</v>
      </c>
      <c r="S79">
        <v>1</v>
      </c>
      <c r="T79">
        <v>32</v>
      </c>
      <c r="AA79" t="s">
        <v>28</v>
      </c>
      <c r="AB79" s="7" t="s">
        <v>29</v>
      </c>
      <c r="AC79">
        <v>1</v>
      </c>
      <c r="AD79" s="7"/>
      <c r="AE79" s="7"/>
      <c r="AF79" s="7" t="s">
        <v>205</v>
      </c>
      <c r="AG79" s="6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ht="17.5" customHeight="1" x14ac:dyDescent="0.2">
      <c r="A80" s="9" t="s">
        <v>2863</v>
      </c>
      <c r="B80" s="9">
        <v>1921</v>
      </c>
      <c r="C80" s="7">
        <v>12</v>
      </c>
      <c r="D80" s="7" t="s">
        <v>2862</v>
      </c>
      <c r="E80" s="7"/>
      <c r="F80" s="7"/>
      <c r="G80" t="s">
        <v>207</v>
      </c>
      <c r="H80" s="7" t="s">
        <v>206</v>
      </c>
      <c r="I80">
        <v>56</v>
      </c>
      <c r="J80">
        <v>1</v>
      </c>
      <c r="N80" s="7" t="s">
        <v>208</v>
      </c>
      <c r="S80">
        <v>1</v>
      </c>
      <c r="T80">
        <v>33</v>
      </c>
      <c r="AA80" t="s">
        <v>209</v>
      </c>
      <c r="AB80" s="7" t="s">
        <v>210</v>
      </c>
      <c r="AC80">
        <v>1</v>
      </c>
      <c r="AD80" s="7"/>
      <c r="AE80" s="7"/>
      <c r="AF80" s="7" t="s">
        <v>20</v>
      </c>
      <c r="AG80" s="6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ht="17.5" customHeight="1" x14ac:dyDescent="0.2">
      <c r="A81" s="9" t="s">
        <v>2863</v>
      </c>
      <c r="B81" s="9">
        <v>1921</v>
      </c>
      <c r="C81" s="7">
        <v>12</v>
      </c>
      <c r="D81" s="7" t="s">
        <v>2862</v>
      </c>
      <c r="E81" s="7"/>
      <c r="F81" s="7"/>
      <c r="G81" t="s">
        <v>211</v>
      </c>
      <c r="H81" s="7" t="s">
        <v>46</v>
      </c>
      <c r="I81">
        <v>57</v>
      </c>
      <c r="J81">
        <v>1</v>
      </c>
      <c r="N81" s="7" t="s">
        <v>33</v>
      </c>
      <c r="S81">
        <v>1</v>
      </c>
      <c r="T81">
        <v>38</v>
      </c>
      <c r="AA81" t="s">
        <v>33</v>
      </c>
      <c r="AB81" s="7" t="s">
        <v>29</v>
      </c>
      <c r="AC81">
        <v>1</v>
      </c>
      <c r="AD81" s="7"/>
      <c r="AE81" s="7"/>
      <c r="AF81" s="7" t="s">
        <v>212</v>
      </c>
      <c r="AG81" s="6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">
      <c r="A82" s="9" t="s">
        <v>2863</v>
      </c>
      <c r="B82" s="9">
        <v>1921</v>
      </c>
      <c r="C82" s="7"/>
      <c r="D82" s="7" t="s">
        <v>2862</v>
      </c>
    </row>
    <row r="83" spans="1:51" x14ac:dyDescent="0.2">
      <c r="A83" s="9" t="s">
        <v>2863</v>
      </c>
      <c r="B83" s="9">
        <v>1921</v>
      </c>
      <c r="C83" s="7"/>
      <c r="D83" s="7" t="s">
        <v>2862</v>
      </c>
      <c r="G83" t="s">
        <v>1</v>
      </c>
      <c r="H83" t="s">
        <v>0</v>
      </c>
      <c r="J83" t="s">
        <v>3</v>
      </c>
      <c r="N83" t="s">
        <v>2</v>
      </c>
      <c r="T83" t="s">
        <v>5</v>
      </c>
      <c r="AA83" t="s">
        <v>7</v>
      </c>
      <c r="AB83" t="s">
        <v>8</v>
      </c>
      <c r="AF83" t="s">
        <v>6</v>
      </c>
    </row>
    <row r="84" spans="1:51" s="55" customFormat="1" x14ac:dyDescent="0.2">
      <c r="A84" s="226" t="s">
        <v>2863</v>
      </c>
      <c r="B84" s="226">
        <v>1921</v>
      </c>
      <c r="C84" s="227">
        <v>13</v>
      </c>
      <c r="D84" s="227" t="s">
        <v>2862</v>
      </c>
      <c r="F84" s="55">
        <v>14</v>
      </c>
      <c r="G84" s="55" t="s">
        <v>180</v>
      </c>
      <c r="H84" s="55" t="s">
        <v>179</v>
      </c>
      <c r="I84" s="55">
        <v>58</v>
      </c>
      <c r="J84" s="55">
        <v>1</v>
      </c>
      <c r="N84" s="55">
        <v>1</v>
      </c>
      <c r="T84" s="55">
        <v>47</v>
      </c>
      <c r="AA84" s="55" t="s">
        <v>20</v>
      </c>
      <c r="AB84" s="55" t="s">
        <v>20</v>
      </c>
      <c r="AF84" s="55">
        <v>1</v>
      </c>
    </row>
    <row r="85" spans="1:51" x14ac:dyDescent="0.2">
      <c r="A85" s="9" t="s">
        <v>2863</v>
      </c>
      <c r="B85" s="9">
        <v>1921</v>
      </c>
      <c r="C85" s="7">
        <v>13</v>
      </c>
      <c r="D85" s="7" t="s">
        <v>2862</v>
      </c>
      <c r="G85" t="s">
        <v>180</v>
      </c>
      <c r="H85" t="s">
        <v>181</v>
      </c>
      <c r="I85">
        <v>59</v>
      </c>
      <c r="J85" t="s">
        <v>13</v>
      </c>
      <c r="K85">
        <v>1</v>
      </c>
      <c r="N85" t="s">
        <v>51</v>
      </c>
      <c r="Q85">
        <v>1</v>
      </c>
      <c r="T85">
        <v>29</v>
      </c>
      <c r="AA85" t="s">
        <v>182</v>
      </c>
      <c r="AB85" t="s">
        <v>183</v>
      </c>
      <c r="AC85">
        <v>1</v>
      </c>
      <c r="AF85">
        <v>1</v>
      </c>
    </row>
    <row r="86" spans="1:51" x14ac:dyDescent="0.2">
      <c r="A86" s="9" t="s">
        <v>2863</v>
      </c>
      <c r="B86" s="9">
        <v>1921</v>
      </c>
      <c r="C86" s="7">
        <v>13</v>
      </c>
      <c r="D86" s="7" t="s">
        <v>2862</v>
      </c>
      <c r="G86" t="s">
        <v>185</v>
      </c>
      <c r="H86" t="s">
        <v>184</v>
      </c>
      <c r="I86">
        <v>60</v>
      </c>
      <c r="J86">
        <v>1</v>
      </c>
      <c r="N86" t="s">
        <v>52</v>
      </c>
      <c r="S86">
        <v>1</v>
      </c>
      <c r="T86">
        <v>56</v>
      </c>
      <c r="AA86" t="s">
        <v>29</v>
      </c>
      <c r="AB86" t="s">
        <v>20</v>
      </c>
      <c r="AF86" t="s">
        <v>186</v>
      </c>
    </row>
    <row r="87" spans="1:51" x14ac:dyDescent="0.2">
      <c r="A87" s="9" t="s">
        <v>2863</v>
      </c>
      <c r="B87" s="9">
        <v>1921</v>
      </c>
      <c r="C87" s="7">
        <v>13</v>
      </c>
      <c r="D87" s="7" t="s">
        <v>2862</v>
      </c>
      <c r="I87">
        <v>60</v>
      </c>
      <c r="J87">
        <f t="shared" ref="J87:AD87" si="0">SUM(J3:J86)</f>
        <v>41</v>
      </c>
      <c r="K87">
        <f t="shared" si="0"/>
        <v>12</v>
      </c>
      <c r="L87">
        <f t="shared" si="0"/>
        <v>6</v>
      </c>
      <c r="M87">
        <f t="shared" si="0"/>
        <v>1</v>
      </c>
      <c r="N87">
        <f t="shared" si="0"/>
        <v>12</v>
      </c>
      <c r="O87">
        <f t="shared" si="0"/>
        <v>6</v>
      </c>
      <c r="P87">
        <f t="shared" si="0"/>
        <v>8</v>
      </c>
      <c r="Q87">
        <f t="shared" si="0"/>
        <v>3</v>
      </c>
      <c r="R87">
        <f t="shared" si="0"/>
        <v>8</v>
      </c>
      <c r="S87">
        <f t="shared" si="0"/>
        <v>23</v>
      </c>
      <c r="T87">
        <f t="shared" si="0"/>
        <v>1979</v>
      </c>
      <c r="U87">
        <f t="shared" si="0"/>
        <v>0</v>
      </c>
      <c r="V87">
        <f t="shared" si="0"/>
        <v>0</v>
      </c>
      <c r="W87">
        <f t="shared" si="0"/>
        <v>0</v>
      </c>
      <c r="X87">
        <f t="shared" si="0"/>
        <v>0</v>
      </c>
      <c r="Y87">
        <f t="shared" si="0"/>
        <v>0</v>
      </c>
      <c r="Z87">
        <f t="shared" si="0"/>
        <v>0</v>
      </c>
      <c r="AA87">
        <f t="shared" si="0"/>
        <v>0</v>
      </c>
      <c r="AB87">
        <f t="shared" si="0"/>
        <v>0</v>
      </c>
      <c r="AC87">
        <f t="shared" si="0"/>
        <v>31</v>
      </c>
      <c r="AD87">
        <f t="shared" si="0"/>
        <v>9</v>
      </c>
      <c r="AE87">
        <f>AC87-AD87</f>
        <v>22</v>
      </c>
      <c r="AF87">
        <f>SUM(AF3:AF86)</f>
        <v>32</v>
      </c>
      <c r="AG87">
        <f>N88-AF87</f>
        <v>28</v>
      </c>
      <c r="AH87">
        <f t="shared" ref="AH87:AU87" si="1">SUM(AH3:AH86)</f>
        <v>0</v>
      </c>
      <c r="AI87">
        <f t="shared" si="1"/>
        <v>0</v>
      </c>
      <c r="AJ87">
        <f t="shared" si="1"/>
        <v>0</v>
      </c>
      <c r="AK87">
        <f t="shared" si="1"/>
        <v>0</v>
      </c>
      <c r="AL87">
        <f t="shared" si="1"/>
        <v>0</v>
      </c>
      <c r="AM87">
        <f t="shared" si="1"/>
        <v>0</v>
      </c>
      <c r="AN87">
        <f t="shared" si="1"/>
        <v>0</v>
      </c>
      <c r="AO87">
        <f t="shared" si="1"/>
        <v>0</v>
      </c>
      <c r="AP87">
        <f t="shared" si="1"/>
        <v>0</v>
      </c>
      <c r="AQ87">
        <f t="shared" si="1"/>
        <v>0</v>
      </c>
      <c r="AR87">
        <f t="shared" si="1"/>
        <v>0</v>
      </c>
      <c r="AS87">
        <f t="shared" si="1"/>
        <v>0</v>
      </c>
      <c r="AT87">
        <f t="shared" si="1"/>
        <v>0</v>
      </c>
      <c r="AU87">
        <f t="shared" si="1"/>
        <v>0</v>
      </c>
    </row>
    <row r="88" spans="1:51" x14ac:dyDescent="0.2">
      <c r="A88" s="9" t="s">
        <v>2863</v>
      </c>
      <c r="B88" s="9">
        <v>1921</v>
      </c>
      <c r="C88" s="7">
        <v>13</v>
      </c>
      <c r="D88" s="7" t="s">
        <v>2862</v>
      </c>
      <c r="J88">
        <f>SUM(J87:M87)</f>
        <v>60</v>
      </c>
      <c r="N88">
        <f>SUM(N87:S87)</f>
        <v>60</v>
      </c>
      <c r="T88" s="64">
        <f>T87/N88</f>
        <v>32.983333333333334</v>
      </c>
    </row>
    <row r="91" spans="1:51" ht="19" customHeight="1" x14ac:dyDescent="0.2">
      <c r="A91" s="9" t="s">
        <v>593</v>
      </c>
      <c r="B91" s="9">
        <v>1921</v>
      </c>
      <c r="C91" s="7">
        <v>1</v>
      </c>
      <c r="D91" s="7" t="s">
        <v>2860</v>
      </c>
      <c r="E91" s="7"/>
      <c r="F91" s="5"/>
      <c r="G91" s="5"/>
      <c r="H91" s="5" t="s">
        <v>0</v>
      </c>
      <c r="I91" t="s">
        <v>1</v>
      </c>
      <c r="J91" s="10" t="s">
        <v>2</v>
      </c>
      <c r="K91" t="s">
        <v>3</v>
      </c>
      <c r="L91" t="s">
        <v>4</v>
      </c>
      <c r="M91" t="s">
        <v>5</v>
      </c>
      <c r="N91" s="5" t="s">
        <v>6</v>
      </c>
      <c r="O91" t="s">
        <v>7</v>
      </c>
      <c r="P91" s="5" t="s">
        <v>8</v>
      </c>
      <c r="Q91" s="225" t="s">
        <v>2861</v>
      </c>
      <c r="T91" s="5"/>
      <c r="X91" s="5"/>
      <c r="Y91" s="5"/>
      <c r="Z91" s="5"/>
      <c r="AA91" s="5"/>
      <c r="AB91" s="5"/>
      <c r="AC91" s="5"/>
      <c r="AD91" s="5"/>
      <c r="AE91" s="7"/>
      <c r="AF91" s="7"/>
      <c r="AG91" s="5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ht="17" customHeight="1" x14ac:dyDescent="0.2">
      <c r="A92" s="9"/>
      <c r="B92" s="9"/>
      <c r="C92" s="7"/>
      <c r="D92" s="7"/>
      <c r="E92" s="7"/>
      <c r="F92" s="7">
        <v>3</v>
      </c>
      <c r="G92" s="7"/>
      <c r="H92" s="7" t="s">
        <v>104</v>
      </c>
      <c r="I92" t="s">
        <v>107</v>
      </c>
      <c r="J92" s="7" t="s">
        <v>12</v>
      </c>
      <c r="K92" t="s">
        <v>13</v>
      </c>
      <c r="L92">
        <v>1871</v>
      </c>
      <c r="M92">
        <v>50</v>
      </c>
      <c r="N92" s="7" t="s">
        <v>49</v>
      </c>
      <c r="O92" t="s">
        <v>108</v>
      </c>
      <c r="P92" s="7" t="s">
        <v>8</v>
      </c>
      <c r="T92" s="7"/>
      <c r="X92" s="7">
        <f>SUM(X91:X91)</f>
        <v>0</v>
      </c>
      <c r="Y92" s="7">
        <f>SUM(Y91:Y91)</f>
        <v>0</v>
      </c>
      <c r="Z92" s="7">
        <f>SUM(Z91:Z91)</f>
        <v>0</v>
      </c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ht="17.5" customHeight="1" x14ac:dyDescent="0.2">
      <c r="A93" s="9"/>
      <c r="B93" s="9"/>
      <c r="C93" s="7"/>
      <c r="D93" s="7"/>
      <c r="E93" s="7"/>
      <c r="F93" s="7"/>
      <c r="G93" s="7"/>
      <c r="H93" s="7" t="s">
        <v>64</v>
      </c>
      <c r="I93" t="s">
        <v>107</v>
      </c>
      <c r="J93" s="7" t="s">
        <v>18</v>
      </c>
      <c r="K93" t="s">
        <v>19</v>
      </c>
      <c r="L93">
        <v>1888</v>
      </c>
      <c r="M93">
        <v>32</v>
      </c>
      <c r="N93" s="7" t="s">
        <v>43</v>
      </c>
      <c r="O93" t="s">
        <v>50</v>
      </c>
      <c r="P93" s="7" t="s">
        <v>20</v>
      </c>
      <c r="T93" s="6"/>
      <c r="X93" s="7"/>
      <c r="Y93" s="7"/>
      <c r="Z93" s="7"/>
      <c r="AA93" s="6"/>
      <c r="AB93" s="6"/>
      <c r="AC93" s="7"/>
      <c r="AD93" s="7"/>
      <c r="AE93" s="7"/>
      <c r="AF93" s="7"/>
      <c r="AG93" s="6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ht="17.5" customHeight="1" x14ac:dyDescent="0.2">
      <c r="A94" s="9"/>
      <c r="B94" s="9"/>
      <c r="C94" s="7"/>
      <c r="D94" s="7"/>
      <c r="E94" s="7"/>
      <c r="F94" s="7"/>
      <c r="G94" s="7"/>
      <c r="H94" s="7" t="s">
        <v>109</v>
      </c>
      <c r="I94" t="s">
        <v>107</v>
      </c>
      <c r="J94" s="7" t="s">
        <v>22</v>
      </c>
      <c r="K94" t="s">
        <v>19</v>
      </c>
      <c r="L94">
        <v>1920</v>
      </c>
      <c r="M94" t="s">
        <v>20</v>
      </c>
      <c r="N94" s="7" t="s">
        <v>49</v>
      </c>
      <c r="O94" t="s">
        <v>20</v>
      </c>
      <c r="P94" s="7" t="s">
        <v>20</v>
      </c>
      <c r="T94" s="6"/>
      <c r="X94" s="7"/>
      <c r="Y94" s="7"/>
      <c r="Z94" s="7"/>
      <c r="AA94" s="6"/>
      <c r="AB94" s="6"/>
      <c r="AC94" s="7"/>
      <c r="AD94" s="7"/>
      <c r="AE94" s="7"/>
      <c r="AF94" s="7"/>
      <c r="AG94" s="6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ht="17.5" customHeight="1" x14ac:dyDescent="0.2">
      <c r="A95" s="9"/>
      <c r="B95" s="9"/>
      <c r="C95" s="7"/>
      <c r="D95" s="7"/>
      <c r="E95" s="11"/>
      <c r="F95" s="12"/>
      <c r="G95" s="12"/>
      <c r="H95" s="12" t="s">
        <v>90</v>
      </c>
      <c r="I95" t="s">
        <v>110</v>
      </c>
      <c r="J95" s="13" t="s">
        <v>111</v>
      </c>
      <c r="K95" t="s">
        <v>19</v>
      </c>
      <c r="L95">
        <v>1881</v>
      </c>
      <c r="M95">
        <v>39</v>
      </c>
      <c r="N95" s="12" t="s">
        <v>112</v>
      </c>
      <c r="O95" t="s">
        <v>113</v>
      </c>
      <c r="P95" s="12" t="s">
        <v>29</v>
      </c>
      <c r="T95" s="12"/>
      <c r="X95" s="12"/>
      <c r="Y95" s="12"/>
      <c r="Z95" s="12"/>
      <c r="AA95" s="12"/>
      <c r="AB95" s="12"/>
      <c r="AC95" s="12"/>
      <c r="AD95" s="12"/>
      <c r="AE95" s="7"/>
      <c r="AF95" s="7"/>
      <c r="AG95" s="12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ht="28" customHeight="1" x14ac:dyDescent="0.2">
      <c r="A96" s="9"/>
      <c r="B96" s="9"/>
      <c r="C96" s="7"/>
      <c r="D96" s="7"/>
      <c r="E96" s="11"/>
      <c r="F96" s="12"/>
      <c r="G96" s="12"/>
      <c r="H96" s="12" t="s">
        <v>24</v>
      </c>
      <c r="I96" t="s">
        <v>114</v>
      </c>
      <c r="J96" s="15" t="s">
        <v>26</v>
      </c>
      <c r="K96" t="s">
        <v>19</v>
      </c>
      <c r="L96">
        <v>1878</v>
      </c>
      <c r="M96">
        <v>42</v>
      </c>
      <c r="N96" s="14" t="s">
        <v>14</v>
      </c>
      <c r="O96" t="s">
        <v>33</v>
      </c>
      <c r="P96" s="16" t="s">
        <v>29</v>
      </c>
      <c r="T96" s="12"/>
      <c r="X96" s="12"/>
      <c r="Y96" s="12"/>
      <c r="Z96" s="12"/>
      <c r="AA96" s="12"/>
      <c r="AB96" s="14"/>
      <c r="AC96" s="12"/>
      <c r="AD96" s="11"/>
      <c r="AE96" s="7"/>
      <c r="AF96" s="7"/>
      <c r="AG96" s="12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ht="17.5" customHeight="1" x14ac:dyDescent="0.2">
      <c r="A97" s="9"/>
      <c r="B97" s="9"/>
      <c r="C97" s="7"/>
      <c r="D97" s="7"/>
      <c r="E97" s="7"/>
      <c r="F97" s="7"/>
      <c r="G97" s="7"/>
      <c r="H97" s="7" t="s">
        <v>48</v>
      </c>
      <c r="I97" s="7" t="s">
        <v>115</v>
      </c>
      <c r="J97" s="7" t="s">
        <v>26</v>
      </c>
      <c r="K97" s="7" t="s">
        <v>19</v>
      </c>
      <c r="L97" s="7">
        <v>1887</v>
      </c>
      <c r="M97" s="7">
        <v>33</v>
      </c>
      <c r="N97" s="7" t="s">
        <v>116</v>
      </c>
      <c r="O97" s="7" t="s">
        <v>55</v>
      </c>
      <c r="P97" s="7" t="s">
        <v>29</v>
      </c>
      <c r="Q97" s="7"/>
      <c r="R97" s="7"/>
      <c r="S97" s="7"/>
      <c r="T97" s="7"/>
      <c r="U97" s="7">
        <f t="shared" ref="U97:Z97" si="2">SUM(U91:U96)</f>
        <v>0</v>
      </c>
      <c r="V97" s="7">
        <f t="shared" si="2"/>
        <v>0</v>
      </c>
      <c r="W97" s="7">
        <f t="shared" si="2"/>
        <v>0</v>
      </c>
      <c r="X97" s="7">
        <f t="shared" si="2"/>
        <v>0</v>
      </c>
      <c r="Y97" s="7">
        <f t="shared" si="2"/>
        <v>0</v>
      </c>
      <c r="Z97" s="7">
        <f t="shared" si="2"/>
        <v>0</v>
      </c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ht="17.5" customHeight="1" x14ac:dyDescent="0.2">
      <c r="A98" s="9"/>
      <c r="B98" s="9"/>
      <c r="C98" s="7"/>
      <c r="D98" s="7"/>
      <c r="E98" s="7"/>
      <c r="F98" s="7"/>
      <c r="G98" s="7"/>
      <c r="H98" s="7"/>
      <c r="I98" s="7"/>
      <c r="J98" s="7"/>
      <c r="K98" s="7"/>
      <c r="L98" s="7"/>
      <c r="M98" s="6"/>
      <c r="N98" s="6"/>
      <c r="O98" s="6"/>
      <c r="P98" s="6"/>
      <c r="Q98" s="7"/>
      <c r="R98" s="6"/>
      <c r="S98" s="6"/>
      <c r="T98" s="20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ht="17.5" customHeight="1" x14ac:dyDescent="0.2">
      <c r="A99" s="7"/>
      <c r="B99" s="7"/>
      <c r="C99" s="7"/>
      <c r="D99" s="7"/>
      <c r="E99" s="7"/>
      <c r="F99" s="7"/>
      <c r="G99" s="7"/>
      <c r="H99" s="7" t="s">
        <v>0</v>
      </c>
      <c r="I99" s="7" t="s">
        <v>1</v>
      </c>
      <c r="J99" s="7" t="s">
        <v>2</v>
      </c>
      <c r="K99" s="7" t="s">
        <v>3</v>
      </c>
      <c r="L99" s="7" t="s">
        <v>4</v>
      </c>
      <c r="M99" s="6" t="s">
        <v>5</v>
      </c>
      <c r="N99" s="6" t="s">
        <v>6</v>
      </c>
      <c r="O99" s="6" t="s">
        <v>7</v>
      </c>
      <c r="P99" s="6" t="s">
        <v>8</v>
      </c>
      <c r="Q99" s="6"/>
      <c r="R99" s="6"/>
      <c r="S99" s="6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ht="17.5" customHeight="1" x14ac:dyDescent="0.2">
      <c r="A100" s="7"/>
      <c r="B100" s="7"/>
      <c r="C100" s="7"/>
      <c r="D100" s="7"/>
      <c r="E100" s="7"/>
      <c r="F100" s="7">
        <v>1</v>
      </c>
      <c r="G100" s="7"/>
      <c r="H100" s="7" t="s">
        <v>2856</v>
      </c>
      <c r="I100" s="7" t="s">
        <v>730</v>
      </c>
      <c r="J100" s="7" t="s">
        <v>12</v>
      </c>
      <c r="K100" s="7" t="s">
        <v>13</v>
      </c>
      <c r="L100" s="7">
        <v>1872</v>
      </c>
      <c r="M100" s="6">
        <v>49</v>
      </c>
      <c r="N100" s="6" t="s">
        <v>733</v>
      </c>
      <c r="O100" s="6" t="s">
        <v>2857</v>
      </c>
      <c r="P100" s="6" t="s">
        <v>8</v>
      </c>
      <c r="Q100" s="6"/>
      <c r="R100" s="6"/>
      <c r="S100" s="6"/>
      <c r="T100" s="7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ht="17.5" customHeight="1" x14ac:dyDescent="0.2">
      <c r="A101" s="7"/>
      <c r="B101" s="7"/>
      <c r="C101" s="7"/>
      <c r="D101" s="7"/>
      <c r="E101" s="7"/>
      <c r="F101" s="5"/>
      <c r="G101" s="5"/>
      <c r="H101" s="5" t="s">
        <v>829</v>
      </c>
      <c r="I101" s="5" t="s">
        <v>2858</v>
      </c>
      <c r="J101" s="5" t="s">
        <v>26</v>
      </c>
      <c r="K101" s="10" t="s">
        <v>19</v>
      </c>
      <c r="L101" s="5">
        <v>1895</v>
      </c>
      <c r="M101" s="5">
        <v>26</v>
      </c>
      <c r="N101" s="5" t="s">
        <v>2859</v>
      </c>
      <c r="O101" s="5" t="s">
        <v>2525</v>
      </c>
      <c r="P101" s="5" t="s">
        <v>29</v>
      </c>
      <c r="Q101" s="7"/>
      <c r="R101" s="6"/>
      <c r="S101" s="6"/>
      <c r="T101" s="7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ht="17.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6"/>
      <c r="N102" s="6"/>
      <c r="O102" s="6"/>
      <c r="P102" s="6"/>
      <c r="Q102" s="7"/>
      <c r="R102" s="6"/>
      <c r="S102" s="6"/>
      <c r="T102" s="7"/>
      <c r="U102" s="6"/>
      <c r="V102" s="6"/>
      <c r="W102" s="6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ht="17.5" customHeight="1" x14ac:dyDescent="0.2">
      <c r="A103" s="7"/>
      <c r="B103" s="7"/>
      <c r="C103" s="7"/>
      <c r="D103" s="7"/>
      <c r="E103" s="7"/>
      <c r="F103" s="7"/>
      <c r="G103" s="7"/>
      <c r="H103" s="7" t="s">
        <v>0</v>
      </c>
      <c r="I103" s="7" t="s">
        <v>1</v>
      </c>
      <c r="J103" s="7" t="s">
        <v>2</v>
      </c>
      <c r="K103" s="7" t="s">
        <v>3</v>
      </c>
      <c r="L103" s="7" t="s">
        <v>4</v>
      </c>
      <c r="M103" s="6" t="s">
        <v>5</v>
      </c>
      <c r="N103" s="6" t="s">
        <v>6</v>
      </c>
      <c r="O103" s="6" t="s">
        <v>7</v>
      </c>
      <c r="P103" s="6" t="s">
        <v>8</v>
      </c>
      <c r="Q103" s="7"/>
      <c r="R103" s="6"/>
      <c r="S103" s="6"/>
      <c r="T103" s="7"/>
      <c r="U103" s="6"/>
      <c r="V103" s="6"/>
      <c r="W103" s="6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ht="17.5" customHeight="1" x14ac:dyDescent="0.2">
      <c r="A104" s="7"/>
      <c r="B104" s="7"/>
      <c r="C104" s="7"/>
      <c r="D104" s="7"/>
      <c r="E104" s="7"/>
      <c r="F104" s="7">
        <v>5</v>
      </c>
      <c r="G104" s="7"/>
      <c r="H104" s="7" t="s">
        <v>117</v>
      </c>
      <c r="I104" s="7" t="s">
        <v>118</v>
      </c>
      <c r="J104" s="7" t="s">
        <v>12</v>
      </c>
      <c r="K104" s="7" t="s">
        <v>13</v>
      </c>
      <c r="L104" s="7">
        <v>1857</v>
      </c>
      <c r="M104" s="6">
        <v>64</v>
      </c>
      <c r="N104" s="6" t="s">
        <v>49</v>
      </c>
      <c r="O104" s="6" t="s">
        <v>119</v>
      </c>
      <c r="P104" s="6" t="s">
        <v>8</v>
      </c>
      <c r="Q104" s="7"/>
      <c r="R104" s="6"/>
      <c r="S104" s="6"/>
      <c r="T104" s="7"/>
      <c r="U104" s="6"/>
      <c r="V104" s="6"/>
      <c r="W104" s="6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ht="17" customHeight="1" x14ac:dyDescent="0.2">
      <c r="A105" s="7"/>
      <c r="B105" s="7"/>
      <c r="C105" s="7"/>
      <c r="D105" s="7"/>
      <c r="E105" s="7"/>
      <c r="F105" s="7"/>
      <c r="G105" s="7"/>
      <c r="H105" s="7" t="s">
        <v>120</v>
      </c>
      <c r="I105" s="7" t="s">
        <v>118</v>
      </c>
      <c r="J105" s="7" t="s">
        <v>58</v>
      </c>
      <c r="K105" s="7" t="s">
        <v>19</v>
      </c>
      <c r="L105" s="7">
        <v>1869</v>
      </c>
      <c r="M105" s="6">
        <v>51</v>
      </c>
      <c r="N105" s="6" t="s">
        <v>49</v>
      </c>
      <c r="O105" s="6" t="s">
        <v>47</v>
      </c>
      <c r="P105" s="6" t="s">
        <v>20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ht="17.5" customHeight="1" x14ac:dyDescent="0.2">
      <c r="A106" s="7"/>
      <c r="B106" s="7"/>
      <c r="C106" s="7"/>
      <c r="D106" s="7"/>
      <c r="E106" s="7"/>
      <c r="F106" s="7"/>
      <c r="G106" s="7"/>
      <c r="H106" s="7" t="s">
        <v>121</v>
      </c>
      <c r="I106" s="7" t="s">
        <v>122</v>
      </c>
      <c r="J106" s="7" t="s">
        <v>26</v>
      </c>
      <c r="K106" s="7" t="s">
        <v>19</v>
      </c>
      <c r="L106" s="7">
        <v>1899</v>
      </c>
      <c r="M106" s="6">
        <v>21</v>
      </c>
      <c r="N106" s="6" t="s">
        <v>123</v>
      </c>
      <c r="O106" s="6" t="s">
        <v>56</v>
      </c>
      <c r="P106" s="6" t="s">
        <v>29</v>
      </c>
      <c r="Q106" s="7"/>
      <c r="R106" s="6"/>
      <c r="S106" s="6"/>
      <c r="T106" s="19"/>
      <c r="U106" s="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ht="17.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6"/>
      <c r="N107" s="6"/>
      <c r="O107" s="6"/>
      <c r="P107" s="6"/>
      <c r="Q107" s="7"/>
      <c r="R107" s="6"/>
      <c r="S107" s="6"/>
      <c r="T107" s="7"/>
      <c r="U107" s="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ht="17.5" customHeight="1" x14ac:dyDescent="0.2">
      <c r="A108" s="7"/>
      <c r="B108" s="7"/>
      <c r="C108" s="7"/>
      <c r="D108" s="7"/>
      <c r="E108" s="7"/>
      <c r="F108" s="7"/>
      <c r="G108" s="7"/>
      <c r="H108" s="7" t="s">
        <v>0</v>
      </c>
      <c r="I108" s="7" t="s">
        <v>1</v>
      </c>
      <c r="J108" s="7" t="s">
        <v>2</v>
      </c>
      <c r="K108" s="7" t="s">
        <v>3</v>
      </c>
      <c r="L108" s="7" t="s">
        <v>4</v>
      </c>
      <c r="M108" s="6" t="s">
        <v>5</v>
      </c>
      <c r="N108" s="6" t="s">
        <v>6</v>
      </c>
      <c r="O108" s="6" t="s">
        <v>7</v>
      </c>
      <c r="P108" s="6" t="s">
        <v>8</v>
      </c>
      <c r="Q108" s="7"/>
      <c r="R108" s="6"/>
      <c r="S108" s="6"/>
      <c r="T108" s="7"/>
      <c r="U108" s="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ht="17.5" customHeight="1" x14ac:dyDescent="0.2">
      <c r="A109" s="7"/>
      <c r="B109" s="7"/>
      <c r="C109" s="7"/>
      <c r="D109" s="7"/>
      <c r="E109" s="7"/>
      <c r="F109" s="7">
        <v>7</v>
      </c>
      <c r="G109" s="7"/>
      <c r="H109" s="7" t="s">
        <v>10</v>
      </c>
      <c r="I109" s="7" t="s">
        <v>11</v>
      </c>
      <c r="J109" s="7" t="s">
        <v>12</v>
      </c>
      <c r="K109" s="7" t="s">
        <v>13</v>
      </c>
      <c r="L109" s="7">
        <v>1878</v>
      </c>
      <c r="M109" s="6">
        <v>43</v>
      </c>
      <c r="N109" s="6" t="s">
        <v>14</v>
      </c>
      <c r="O109" s="6" t="s">
        <v>15</v>
      </c>
      <c r="P109" s="6" t="s">
        <v>16</v>
      </c>
      <c r="Q109" s="7"/>
      <c r="R109" s="6"/>
      <c r="S109" s="6"/>
      <c r="T109" s="19"/>
      <c r="U109" s="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ht="17.5" customHeight="1" x14ac:dyDescent="0.2">
      <c r="A110" s="7"/>
      <c r="B110" s="7"/>
      <c r="C110" s="7"/>
      <c r="D110" s="7"/>
      <c r="E110" s="7"/>
      <c r="F110" s="7"/>
      <c r="G110" s="7"/>
      <c r="H110" s="7" t="s">
        <v>17</v>
      </c>
      <c r="I110" s="7" t="s">
        <v>11</v>
      </c>
      <c r="J110" s="7" t="s">
        <v>18</v>
      </c>
      <c r="K110" s="7" t="s">
        <v>19</v>
      </c>
      <c r="L110" s="7">
        <v>1879</v>
      </c>
      <c r="M110" s="7">
        <v>42</v>
      </c>
      <c r="N110" s="7" t="s">
        <v>14</v>
      </c>
      <c r="O110" s="7" t="s">
        <v>20</v>
      </c>
      <c r="P110" s="7" t="s">
        <v>20</v>
      </c>
      <c r="Q110" s="7"/>
      <c r="R110" s="6"/>
      <c r="S110" s="6"/>
      <c r="T110" s="7"/>
      <c r="U110" s="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ht="17.5" customHeight="1" x14ac:dyDescent="0.2">
      <c r="A111" s="7"/>
      <c r="B111" s="7"/>
      <c r="C111" s="7"/>
      <c r="D111" s="7"/>
      <c r="E111" s="7"/>
      <c r="F111" s="7"/>
      <c r="G111" s="7"/>
      <c r="H111" s="7" t="s">
        <v>21</v>
      </c>
      <c r="I111" s="7" t="s">
        <v>11</v>
      </c>
      <c r="J111" s="7" t="s">
        <v>22</v>
      </c>
      <c r="K111" s="7" t="s">
        <v>19</v>
      </c>
      <c r="L111" s="7">
        <v>1908</v>
      </c>
      <c r="M111" s="6">
        <v>13</v>
      </c>
      <c r="N111" s="6" t="s">
        <v>14</v>
      </c>
      <c r="O111" s="6" t="s">
        <v>20</v>
      </c>
      <c r="P111" s="6" t="s">
        <v>20</v>
      </c>
      <c r="Q111" s="7"/>
      <c r="R111" s="6"/>
      <c r="S111" s="6"/>
      <c r="T111" s="7"/>
      <c r="U111" s="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ht="17.5" customHeight="1" x14ac:dyDescent="0.2">
      <c r="A112" s="7"/>
      <c r="B112" s="7"/>
      <c r="C112" s="7"/>
      <c r="D112" s="7"/>
      <c r="E112" s="7"/>
      <c r="F112" s="7"/>
      <c r="G112" s="7"/>
      <c r="H112" s="7" t="s">
        <v>23</v>
      </c>
      <c r="I112" s="7" t="s">
        <v>11</v>
      </c>
      <c r="J112" s="7" t="s">
        <v>22</v>
      </c>
      <c r="K112" s="7" t="s">
        <v>19</v>
      </c>
      <c r="L112" s="7">
        <v>1913</v>
      </c>
      <c r="M112" s="6">
        <v>8</v>
      </c>
      <c r="N112" s="6" t="s">
        <v>14</v>
      </c>
      <c r="O112" s="6" t="s">
        <v>20</v>
      </c>
      <c r="P112" s="6" t="s">
        <v>20</v>
      </c>
      <c r="Q112" s="7"/>
      <c r="R112" s="6"/>
      <c r="S112" s="6"/>
      <c r="T112" s="7"/>
      <c r="U112" s="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ht="17" customHeight="1" x14ac:dyDescent="0.2">
      <c r="A113" s="4"/>
      <c r="B113" s="7"/>
      <c r="C113" s="7"/>
      <c r="D113" s="7"/>
      <c r="E113" s="7"/>
      <c r="F113" s="12"/>
      <c r="G113" s="12"/>
      <c r="H113" s="12" t="s">
        <v>24</v>
      </c>
      <c r="I113" s="12" t="s">
        <v>25</v>
      </c>
      <c r="J113" s="12" t="s">
        <v>26</v>
      </c>
      <c r="K113" s="13" t="s">
        <v>19</v>
      </c>
      <c r="L113" s="12">
        <v>1892</v>
      </c>
      <c r="M113" s="12">
        <v>28</v>
      </c>
      <c r="N113" s="12" t="s">
        <v>27</v>
      </c>
      <c r="O113" s="12" t="s">
        <v>28</v>
      </c>
      <c r="P113" s="12" t="s">
        <v>29</v>
      </c>
      <c r="Q113" s="7"/>
      <c r="R113" s="7"/>
      <c r="S113" s="7"/>
      <c r="T113" s="7"/>
      <c r="U113" s="7">
        <f>SUM(U91:U112)</f>
        <v>0</v>
      </c>
      <c r="V113" s="7">
        <f>SUM(V91:V112)</f>
        <v>0</v>
      </c>
      <c r="W113" s="7">
        <f>SUM(W91:W112)</f>
        <v>0</v>
      </c>
      <c r="X113" s="7"/>
      <c r="Y113" s="7"/>
      <c r="Z113" s="7">
        <f>SUM(Z91:Z112)</f>
        <v>0</v>
      </c>
      <c r="AA113" s="7">
        <f>SUM(AA91:AA112)</f>
        <v>0</v>
      </c>
      <c r="AB113" s="7">
        <f>SUM(AB91:AB112)</f>
        <v>0</v>
      </c>
      <c r="AC113" s="7">
        <f>SUM(AC91:AC112)</f>
        <v>0</v>
      </c>
      <c r="AD113" s="7">
        <f>SUM(AD91:AD112)</f>
        <v>0</v>
      </c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ht="17" customHeight="1" x14ac:dyDescent="0.2">
      <c r="A114" s="7"/>
      <c r="B114" s="7"/>
      <c r="C114" s="7"/>
      <c r="D114" s="7"/>
      <c r="E114" s="7"/>
      <c r="F114" s="12"/>
      <c r="G114" s="12"/>
      <c r="H114" s="12" t="s">
        <v>30</v>
      </c>
      <c r="I114" s="12" t="s">
        <v>31</v>
      </c>
      <c r="J114" s="14" t="s">
        <v>26</v>
      </c>
      <c r="K114" s="15" t="s">
        <v>32</v>
      </c>
      <c r="L114" s="16" t="s">
        <v>20</v>
      </c>
      <c r="M114" s="12" t="s">
        <v>20</v>
      </c>
      <c r="N114" s="12" t="s">
        <v>20</v>
      </c>
      <c r="O114" s="12" t="s">
        <v>20</v>
      </c>
      <c r="P114" s="14" t="s">
        <v>20</v>
      </c>
      <c r="Q114" s="20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ht="17" customHeight="1" x14ac:dyDescent="0.2">
      <c r="A115" s="7"/>
      <c r="B115" s="7"/>
      <c r="C115" s="7"/>
      <c r="D115" s="7"/>
      <c r="E115" s="7"/>
      <c r="F115" s="7"/>
      <c r="G115" s="21"/>
      <c r="H115" s="21" t="s">
        <v>20</v>
      </c>
      <c r="I115" s="21" t="s">
        <v>20</v>
      </c>
      <c r="J115" s="7" t="s">
        <v>20</v>
      </c>
      <c r="K115" s="7" t="s">
        <v>19</v>
      </c>
      <c r="L115" s="7">
        <v>1859</v>
      </c>
      <c r="M115" s="7">
        <v>62</v>
      </c>
      <c r="N115" s="7" t="s">
        <v>14</v>
      </c>
      <c r="O115" s="7" t="s">
        <v>33</v>
      </c>
      <c r="P115" s="7" t="s">
        <v>29</v>
      </c>
      <c r="Q115" s="20"/>
      <c r="R115" s="21"/>
      <c r="S115" s="21"/>
      <c r="T115" s="21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ht="17.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6"/>
      <c r="S116" s="6"/>
      <c r="T116" s="19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ht="17" customHeight="1" x14ac:dyDescent="0.2">
      <c r="A117" s="7"/>
      <c r="B117" s="7"/>
      <c r="C117" s="7"/>
      <c r="D117" s="7"/>
      <c r="E117" s="7"/>
      <c r="F117" s="7"/>
      <c r="G117" s="7"/>
      <c r="H117" s="7" t="s">
        <v>0</v>
      </c>
      <c r="I117" s="7" t="s">
        <v>1</v>
      </c>
      <c r="J117" s="7" t="s">
        <v>2</v>
      </c>
      <c r="K117" s="7" t="s">
        <v>3</v>
      </c>
      <c r="L117" s="7" t="s">
        <v>4</v>
      </c>
      <c r="M117" s="7" t="s">
        <v>5</v>
      </c>
      <c r="N117" s="7" t="s">
        <v>6</v>
      </c>
      <c r="O117" s="7" t="s">
        <v>7</v>
      </c>
      <c r="P117" s="7" t="s">
        <v>8</v>
      </c>
      <c r="Q117" s="7"/>
      <c r="R117" s="21"/>
      <c r="S117" s="21"/>
      <c r="T117" s="21"/>
      <c r="U117" s="7"/>
      <c r="V117" s="7"/>
      <c r="W117" s="7"/>
      <c r="X117" s="7"/>
      <c r="Y117" s="7"/>
      <c r="Z117" s="7"/>
      <c r="AA117" s="7"/>
      <c r="AB117" s="7"/>
      <c r="AC117" s="22"/>
      <c r="AD117" s="22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ht="17.5" customHeight="1" x14ac:dyDescent="0.2">
      <c r="A118" s="7"/>
      <c r="B118" s="7"/>
      <c r="C118" s="7"/>
      <c r="D118" s="7"/>
      <c r="E118" s="7"/>
      <c r="F118" s="7">
        <v>9</v>
      </c>
      <c r="G118" s="7"/>
      <c r="H118" s="7" t="s">
        <v>34</v>
      </c>
      <c r="I118" s="7" t="s">
        <v>35</v>
      </c>
      <c r="J118" s="7" t="s">
        <v>12</v>
      </c>
      <c r="K118" s="7" t="s">
        <v>13</v>
      </c>
      <c r="L118" s="7">
        <v>1883</v>
      </c>
      <c r="M118" s="7">
        <v>38</v>
      </c>
      <c r="N118" s="7" t="s">
        <v>14</v>
      </c>
      <c r="O118" s="7" t="s">
        <v>36</v>
      </c>
      <c r="P118" s="7" t="s">
        <v>37</v>
      </c>
      <c r="Q118" s="7"/>
      <c r="R118" s="6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">
      <c r="H119" t="s">
        <v>38</v>
      </c>
      <c r="I119" t="s">
        <v>35</v>
      </c>
      <c r="J119" t="s">
        <v>18</v>
      </c>
      <c r="K119" t="s">
        <v>19</v>
      </c>
      <c r="L119">
        <v>1883</v>
      </c>
      <c r="M119">
        <v>38</v>
      </c>
      <c r="N119" t="s">
        <v>14</v>
      </c>
      <c r="O119" t="s">
        <v>20</v>
      </c>
      <c r="P119" t="s">
        <v>20</v>
      </c>
    </row>
    <row r="120" spans="1:51" x14ac:dyDescent="0.2">
      <c r="H120" t="s">
        <v>39</v>
      </c>
      <c r="I120" t="s">
        <v>35</v>
      </c>
      <c r="J120" t="s">
        <v>22</v>
      </c>
      <c r="K120" t="s">
        <v>19</v>
      </c>
      <c r="L120">
        <v>1916</v>
      </c>
      <c r="M120">
        <v>4</v>
      </c>
      <c r="N120" t="s">
        <v>40</v>
      </c>
      <c r="O120" t="s">
        <v>20</v>
      </c>
      <c r="P120" t="s">
        <v>20</v>
      </c>
    </row>
    <row r="121" spans="1:51" x14ac:dyDescent="0.2">
      <c r="H121" t="s">
        <v>41</v>
      </c>
      <c r="I121" t="s">
        <v>42</v>
      </c>
      <c r="J121" t="s">
        <v>26</v>
      </c>
      <c r="K121" t="s">
        <v>19</v>
      </c>
      <c r="L121">
        <v>1900</v>
      </c>
      <c r="M121">
        <v>20</v>
      </c>
      <c r="N121" t="s">
        <v>43</v>
      </c>
      <c r="O121" t="s">
        <v>28</v>
      </c>
      <c r="P121" t="s">
        <v>29</v>
      </c>
    </row>
    <row r="122" spans="1:51" x14ac:dyDescent="0.2">
      <c r="H122" t="s">
        <v>44</v>
      </c>
      <c r="I122" t="s">
        <v>20</v>
      </c>
      <c r="J122" t="s">
        <v>26</v>
      </c>
      <c r="K122" t="s">
        <v>19</v>
      </c>
      <c r="L122">
        <v>1894</v>
      </c>
      <c r="M122">
        <v>27</v>
      </c>
      <c r="N122" t="s">
        <v>45</v>
      </c>
      <c r="O122" t="s">
        <v>33</v>
      </c>
      <c r="P122" t="s">
        <v>29</v>
      </c>
    </row>
    <row r="124" spans="1:51" x14ac:dyDescent="0.2">
      <c r="H124" t="s">
        <v>0</v>
      </c>
      <c r="I124" t="s">
        <v>1</v>
      </c>
      <c r="J124" t="s">
        <v>2</v>
      </c>
      <c r="K124" t="s">
        <v>3</v>
      </c>
      <c r="L124" t="s">
        <v>4</v>
      </c>
      <c r="M124" t="s">
        <v>5</v>
      </c>
      <c r="N124" t="s">
        <v>6</v>
      </c>
      <c r="O124" t="s">
        <v>7</v>
      </c>
      <c r="P124" t="s">
        <v>8</v>
      </c>
    </row>
    <row r="125" spans="1:51" x14ac:dyDescent="0.2">
      <c r="F125">
        <v>11</v>
      </c>
      <c r="H125" t="s">
        <v>90</v>
      </c>
      <c r="I125" t="s">
        <v>124</v>
      </c>
      <c r="J125" t="s">
        <v>33</v>
      </c>
      <c r="K125" t="s">
        <v>19</v>
      </c>
      <c r="L125">
        <v>1900</v>
      </c>
      <c r="M125">
        <v>20</v>
      </c>
      <c r="N125" t="s">
        <v>20</v>
      </c>
      <c r="O125" t="s">
        <v>33</v>
      </c>
      <c r="P125" t="s">
        <v>125</v>
      </c>
    </row>
    <row r="126" spans="1:51" x14ac:dyDescent="0.2">
      <c r="H126" t="s">
        <v>126</v>
      </c>
      <c r="I126" t="s">
        <v>61</v>
      </c>
      <c r="J126" t="s">
        <v>22</v>
      </c>
      <c r="K126" t="s">
        <v>19</v>
      </c>
      <c r="L126">
        <v>1915</v>
      </c>
      <c r="M126">
        <v>5</v>
      </c>
      <c r="N126" t="s">
        <v>20</v>
      </c>
      <c r="O126" t="s">
        <v>20</v>
      </c>
      <c r="P126" t="s">
        <v>20</v>
      </c>
    </row>
    <row r="128" spans="1:51" x14ac:dyDescent="0.2">
      <c r="H128" t="s">
        <v>0</v>
      </c>
      <c r="I128" t="s">
        <v>1</v>
      </c>
      <c r="J128" t="s">
        <v>2</v>
      </c>
      <c r="K128" t="s">
        <v>3</v>
      </c>
      <c r="L128" t="s">
        <v>4</v>
      </c>
      <c r="M128" t="s">
        <v>5</v>
      </c>
      <c r="N128" t="s">
        <v>6</v>
      </c>
      <c r="O128" t="s">
        <v>7</v>
      </c>
      <c r="P128" t="s">
        <v>8</v>
      </c>
    </row>
    <row r="129" spans="6:16" x14ac:dyDescent="0.2">
      <c r="F129">
        <v>13</v>
      </c>
      <c r="H129" t="s">
        <v>127</v>
      </c>
      <c r="I129" t="s">
        <v>128</v>
      </c>
      <c r="J129" t="s">
        <v>12</v>
      </c>
      <c r="K129" t="s">
        <v>13</v>
      </c>
      <c r="L129">
        <v>1887</v>
      </c>
      <c r="M129">
        <v>34</v>
      </c>
      <c r="N129" t="s">
        <v>49</v>
      </c>
      <c r="O129" t="s">
        <v>129</v>
      </c>
      <c r="P129" t="s">
        <v>8</v>
      </c>
    </row>
    <row r="130" spans="6:16" x14ac:dyDescent="0.2">
      <c r="H130" t="s">
        <v>130</v>
      </c>
      <c r="I130" t="s">
        <v>128</v>
      </c>
      <c r="J130" t="s">
        <v>18</v>
      </c>
      <c r="K130" t="s">
        <v>19</v>
      </c>
      <c r="L130">
        <v>1885</v>
      </c>
      <c r="M130">
        <v>36</v>
      </c>
      <c r="N130" t="s">
        <v>49</v>
      </c>
      <c r="O130" t="s">
        <v>131</v>
      </c>
      <c r="P130" t="s">
        <v>20</v>
      </c>
    </row>
    <row r="131" spans="6:16" x14ac:dyDescent="0.2">
      <c r="H131" t="s">
        <v>132</v>
      </c>
      <c r="I131" t="s">
        <v>133</v>
      </c>
      <c r="J131" t="s">
        <v>26</v>
      </c>
      <c r="K131" t="s">
        <v>19</v>
      </c>
      <c r="L131">
        <v>1897</v>
      </c>
      <c r="M131">
        <v>23</v>
      </c>
      <c r="N131" t="s">
        <v>134</v>
      </c>
      <c r="O131" t="s">
        <v>33</v>
      </c>
      <c r="P131" t="s">
        <v>29</v>
      </c>
    </row>
    <row r="132" spans="6:16" x14ac:dyDescent="0.2">
      <c r="H132" t="s">
        <v>135</v>
      </c>
      <c r="I132" t="s">
        <v>136</v>
      </c>
      <c r="J132" t="s">
        <v>26</v>
      </c>
      <c r="K132" t="s">
        <v>19</v>
      </c>
      <c r="L132">
        <v>1889</v>
      </c>
      <c r="M132">
        <v>31</v>
      </c>
      <c r="N132" t="s">
        <v>134</v>
      </c>
      <c r="O132" t="s">
        <v>137</v>
      </c>
      <c r="P132" t="s">
        <v>29</v>
      </c>
    </row>
    <row r="134" spans="6:16" x14ac:dyDescent="0.2">
      <c r="H134" t="s">
        <v>0</v>
      </c>
      <c r="I134" t="s">
        <v>1</v>
      </c>
      <c r="J134" t="s">
        <v>2</v>
      </c>
      <c r="K134" t="s">
        <v>3</v>
      </c>
      <c r="L134" t="s">
        <v>4</v>
      </c>
      <c r="M134" t="s">
        <v>5</v>
      </c>
      <c r="N134" t="s">
        <v>6</v>
      </c>
      <c r="O134" t="s">
        <v>7</v>
      </c>
      <c r="P134" t="s">
        <v>8</v>
      </c>
    </row>
    <row r="135" spans="6:16" x14ac:dyDescent="0.2">
      <c r="F135">
        <v>15</v>
      </c>
      <c r="H135" t="s">
        <v>138</v>
      </c>
      <c r="I135" t="s">
        <v>139</v>
      </c>
      <c r="J135" t="s">
        <v>12</v>
      </c>
      <c r="K135" t="s">
        <v>19</v>
      </c>
      <c r="L135">
        <v>1836</v>
      </c>
      <c r="M135">
        <v>84</v>
      </c>
      <c r="N135" t="s">
        <v>140</v>
      </c>
      <c r="O135" t="s">
        <v>141</v>
      </c>
      <c r="P135" t="s">
        <v>20</v>
      </c>
    </row>
    <row r="136" spans="6:16" x14ac:dyDescent="0.2">
      <c r="H136" t="s">
        <v>142</v>
      </c>
      <c r="I136" t="s">
        <v>143</v>
      </c>
      <c r="J136" t="s">
        <v>144</v>
      </c>
      <c r="K136" t="s">
        <v>19</v>
      </c>
      <c r="L136">
        <v>1842</v>
      </c>
      <c r="M136">
        <v>78</v>
      </c>
      <c r="N136" t="s">
        <v>145</v>
      </c>
      <c r="O136" t="s">
        <v>141</v>
      </c>
      <c r="P136" t="s">
        <v>20</v>
      </c>
    </row>
    <row r="137" spans="6:16" x14ac:dyDescent="0.2">
      <c r="H137" t="s">
        <v>146</v>
      </c>
      <c r="I137" t="s">
        <v>147</v>
      </c>
      <c r="J137" t="s">
        <v>148</v>
      </c>
      <c r="K137" t="s">
        <v>19</v>
      </c>
      <c r="L137">
        <v>1860</v>
      </c>
      <c r="M137">
        <v>60</v>
      </c>
      <c r="N137" t="s">
        <v>149</v>
      </c>
      <c r="O137" t="s">
        <v>141</v>
      </c>
      <c r="P137" t="s">
        <v>20</v>
      </c>
    </row>
    <row r="138" spans="6:16" x14ac:dyDescent="0.2">
      <c r="H138" t="s">
        <v>150</v>
      </c>
      <c r="I138" t="s">
        <v>147</v>
      </c>
      <c r="J138" t="s">
        <v>148</v>
      </c>
      <c r="K138" t="s">
        <v>19</v>
      </c>
      <c r="L138">
        <v>1862</v>
      </c>
      <c r="M138">
        <v>58</v>
      </c>
      <c r="N138" t="s">
        <v>149</v>
      </c>
      <c r="O138" t="s">
        <v>20</v>
      </c>
      <c r="P138" t="s">
        <v>20</v>
      </c>
    </row>
    <row r="139" spans="6:16" x14ac:dyDescent="0.2">
      <c r="H139" t="s">
        <v>121</v>
      </c>
      <c r="I139" t="s">
        <v>151</v>
      </c>
      <c r="J139" t="s">
        <v>26</v>
      </c>
      <c r="K139" t="s">
        <v>19</v>
      </c>
      <c r="L139">
        <v>1878</v>
      </c>
      <c r="M139">
        <v>42</v>
      </c>
      <c r="N139" t="s">
        <v>152</v>
      </c>
      <c r="O139" t="s">
        <v>69</v>
      </c>
      <c r="P139" t="s">
        <v>29</v>
      </c>
    </row>
    <row r="140" spans="6:16" x14ac:dyDescent="0.2">
      <c r="H140" t="s">
        <v>153</v>
      </c>
      <c r="I140" t="s">
        <v>154</v>
      </c>
      <c r="J140" t="s">
        <v>26</v>
      </c>
      <c r="K140" t="s">
        <v>19</v>
      </c>
      <c r="L140">
        <v>1896</v>
      </c>
      <c r="M140">
        <v>24</v>
      </c>
      <c r="N140" t="s">
        <v>20</v>
      </c>
      <c r="O140" t="s">
        <v>69</v>
      </c>
      <c r="P140" t="s">
        <v>29</v>
      </c>
    </row>
    <row r="142" spans="6:16" x14ac:dyDescent="0.2">
      <c r="H142" t="s">
        <v>0</v>
      </c>
      <c r="I142" t="s">
        <v>1</v>
      </c>
      <c r="J142" t="s">
        <v>2</v>
      </c>
      <c r="K142" t="s">
        <v>3</v>
      </c>
      <c r="L142" t="s">
        <v>4</v>
      </c>
      <c r="M142" t="s">
        <v>5</v>
      </c>
      <c r="N142" t="s">
        <v>6</v>
      </c>
      <c r="O142" t="s">
        <v>7</v>
      </c>
      <c r="P142" t="s">
        <v>8</v>
      </c>
    </row>
    <row r="143" spans="6:16" x14ac:dyDescent="0.2">
      <c r="F143">
        <v>19</v>
      </c>
      <c r="H143" t="s">
        <v>155</v>
      </c>
      <c r="I143" t="s">
        <v>156</v>
      </c>
      <c r="J143" t="s">
        <v>12</v>
      </c>
      <c r="K143" t="s">
        <v>13</v>
      </c>
      <c r="L143">
        <v>1848</v>
      </c>
      <c r="M143">
        <v>72</v>
      </c>
      <c r="N143" t="s">
        <v>157</v>
      </c>
      <c r="O143" t="s">
        <v>158</v>
      </c>
      <c r="P143" t="s">
        <v>8</v>
      </c>
    </row>
    <row r="144" spans="6:16" x14ac:dyDescent="0.2">
      <c r="H144" t="s">
        <v>159</v>
      </c>
      <c r="I144" t="s">
        <v>156</v>
      </c>
      <c r="J144" t="s">
        <v>51</v>
      </c>
      <c r="K144" t="s">
        <v>13</v>
      </c>
      <c r="L144">
        <v>1889</v>
      </c>
      <c r="M144">
        <v>31</v>
      </c>
      <c r="N144" t="s">
        <v>49</v>
      </c>
      <c r="O144" t="s">
        <v>160</v>
      </c>
      <c r="P144" t="s">
        <v>161</v>
      </c>
    </row>
    <row r="145" spans="6:16" x14ac:dyDescent="0.2">
      <c r="H145" t="s">
        <v>162</v>
      </c>
      <c r="I145" t="s">
        <v>163</v>
      </c>
      <c r="J145" t="s">
        <v>58</v>
      </c>
      <c r="K145" t="s">
        <v>13</v>
      </c>
      <c r="L145">
        <v>1861</v>
      </c>
      <c r="M145">
        <v>59</v>
      </c>
      <c r="N145" t="s">
        <v>62</v>
      </c>
      <c r="O145" t="s">
        <v>164</v>
      </c>
      <c r="P145" t="s">
        <v>165</v>
      </c>
    </row>
    <row r="146" spans="6:16" x14ac:dyDescent="0.2">
      <c r="H146" t="s">
        <v>166</v>
      </c>
      <c r="I146" t="s">
        <v>163</v>
      </c>
      <c r="J146" t="s">
        <v>58</v>
      </c>
      <c r="K146" t="s">
        <v>19</v>
      </c>
      <c r="L146">
        <v>1874</v>
      </c>
      <c r="M146">
        <v>46</v>
      </c>
      <c r="N146" t="s">
        <v>167</v>
      </c>
      <c r="O146" t="s">
        <v>50</v>
      </c>
      <c r="P146" t="s">
        <v>20</v>
      </c>
    </row>
    <row r="147" spans="6:16" x14ac:dyDescent="0.2">
      <c r="H147" t="s">
        <v>168</v>
      </c>
      <c r="I147" t="s">
        <v>163</v>
      </c>
      <c r="J147" t="s">
        <v>58</v>
      </c>
      <c r="K147" t="s">
        <v>19</v>
      </c>
      <c r="L147">
        <v>1911</v>
      </c>
      <c r="M147">
        <v>10</v>
      </c>
      <c r="N147" t="s">
        <v>169</v>
      </c>
      <c r="O147" t="s">
        <v>20</v>
      </c>
      <c r="P147" t="s">
        <v>20</v>
      </c>
    </row>
    <row r="148" spans="6:16" x14ac:dyDescent="0.2">
      <c r="H148" t="s">
        <v>170</v>
      </c>
      <c r="I148" t="s">
        <v>171</v>
      </c>
      <c r="J148" t="s">
        <v>26</v>
      </c>
      <c r="K148" t="s">
        <v>19</v>
      </c>
      <c r="L148">
        <v>1893</v>
      </c>
      <c r="M148">
        <v>28</v>
      </c>
      <c r="N148" t="s">
        <v>172</v>
      </c>
      <c r="O148" t="s">
        <v>173</v>
      </c>
      <c r="P148" t="s">
        <v>29</v>
      </c>
    </row>
    <row r="149" spans="6:16" x14ac:dyDescent="0.2">
      <c r="H149" t="s">
        <v>174</v>
      </c>
      <c r="I149" t="s">
        <v>175</v>
      </c>
      <c r="J149" t="s">
        <v>26</v>
      </c>
      <c r="K149" t="s">
        <v>19</v>
      </c>
      <c r="L149">
        <v>1894</v>
      </c>
      <c r="M149">
        <v>27</v>
      </c>
      <c r="N149" t="s">
        <v>176</v>
      </c>
      <c r="O149" t="s">
        <v>28</v>
      </c>
      <c r="P149" t="s">
        <v>29</v>
      </c>
    </row>
    <row r="150" spans="6:16" x14ac:dyDescent="0.2">
      <c r="H150" t="s">
        <v>90</v>
      </c>
      <c r="I150" t="s">
        <v>177</v>
      </c>
      <c r="J150" t="s">
        <v>26</v>
      </c>
      <c r="K150" t="s">
        <v>19</v>
      </c>
      <c r="L150">
        <v>1899</v>
      </c>
      <c r="M150">
        <v>21</v>
      </c>
      <c r="N150" t="s">
        <v>54</v>
      </c>
      <c r="O150" t="s">
        <v>93</v>
      </c>
      <c r="P150" t="s">
        <v>29</v>
      </c>
    </row>
    <row r="152" spans="6:16" x14ac:dyDescent="0.2">
      <c r="H152" t="s">
        <v>0</v>
      </c>
      <c r="I152" t="s">
        <v>1</v>
      </c>
      <c r="J152" t="s">
        <v>2</v>
      </c>
      <c r="K152" t="s">
        <v>3</v>
      </c>
      <c r="L152" t="s">
        <v>4</v>
      </c>
      <c r="M152" t="s">
        <v>5</v>
      </c>
      <c r="N152" t="s">
        <v>6</v>
      </c>
      <c r="O152" t="s">
        <v>7</v>
      </c>
      <c r="P152" t="s">
        <v>8</v>
      </c>
    </row>
    <row r="153" spans="6:16" x14ac:dyDescent="0.2">
      <c r="F153">
        <v>19</v>
      </c>
      <c r="H153" t="s">
        <v>187</v>
      </c>
      <c r="I153" t="s">
        <v>107</v>
      </c>
      <c r="J153" t="s">
        <v>12</v>
      </c>
      <c r="K153" t="s">
        <v>13</v>
      </c>
      <c r="L153">
        <v>1884</v>
      </c>
      <c r="M153">
        <v>36</v>
      </c>
      <c r="N153" t="s">
        <v>49</v>
      </c>
      <c r="O153" t="s">
        <v>188</v>
      </c>
      <c r="P153" t="s">
        <v>8</v>
      </c>
    </row>
    <row r="154" spans="6:16" x14ac:dyDescent="0.2">
      <c r="H154" t="s">
        <v>189</v>
      </c>
      <c r="I154" t="s">
        <v>107</v>
      </c>
      <c r="J154" t="s">
        <v>18</v>
      </c>
      <c r="K154" t="s">
        <v>19</v>
      </c>
      <c r="L154">
        <v>1891</v>
      </c>
      <c r="M154">
        <v>30</v>
      </c>
      <c r="N154" t="s">
        <v>49</v>
      </c>
      <c r="O154" t="s">
        <v>50</v>
      </c>
      <c r="P154" t="s">
        <v>20</v>
      </c>
    </row>
    <row r="155" spans="6:16" x14ac:dyDescent="0.2">
      <c r="H155" t="s">
        <v>190</v>
      </c>
      <c r="I155" t="s">
        <v>107</v>
      </c>
      <c r="J155" t="s">
        <v>51</v>
      </c>
      <c r="K155" t="s">
        <v>13</v>
      </c>
      <c r="L155">
        <v>1915</v>
      </c>
      <c r="M155">
        <v>6</v>
      </c>
      <c r="N155" t="s">
        <v>49</v>
      </c>
      <c r="O155" t="s">
        <v>20</v>
      </c>
      <c r="P155" t="s">
        <v>20</v>
      </c>
    </row>
    <row r="156" spans="6:16" x14ac:dyDescent="0.2">
      <c r="H156" t="s">
        <v>191</v>
      </c>
      <c r="I156" t="s">
        <v>107</v>
      </c>
      <c r="J156" t="s">
        <v>22</v>
      </c>
      <c r="K156" t="s">
        <v>19</v>
      </c>
      <c r="L156">
        <v>1916</v>
      </c>
      <c r="M156">
        <v>4</v>
      </c>
      <c r="N156" t="s">
        <v>49</v>
      </c>
      <c r="O156" t="s">
        <v>20</v>
      </c>
      <c r="P156" t="s">
        <v>20</v>
      </c>
    </row>
    <row r="157" spans="6:16" x14ac:dyDescent="0.2">
      <c r="H157" t="s">
        <v>192</v>
      </c>
      <c r="I157" t="s">
        <v>107</v>
      </c>
      <c r="J157" t="s">
        <v>22</v>
      </c>
      <c r="K157" t="s">
        <v>19</v>
      </c>
      <c r="L157">
        <v>1920</v>
      </c>
      <c r="M157">
        <v>1</v>
      </c>
      <c r="N157" t="s">
        <v>49</v>
      </c>
      <c r="O157" t="s">
        <v>20</v>
      </c>
      <c r="P157" t="s">
        <v>20</v>
      </c>
    </row>
    <row r="158" spans="6:16" x14ac:dyDescent="0.2">
      <c r="H158" t="s">
        <v>193</v>
      </c>
      <c r="I158" t="s">
        <v>194</v>
      </c>
      <c r="J158" t="s">
        <v>26</v>
      </c>
      <c r="K158" t="s">
        <v>19</v>
      </c>
      <c r="L158">
        <v>1892</v>
      </c>
      <c r="M158">
        <v>29</v>
      </c>
      <c r="N158" t="s">
        <v>195</v>
      </c>
      <c r="O158" t="s">
        <v>196</v>
      </c>
      <c r="P158" t="s">
        <v>20</v>
      </c>
    </row>
    <row r="159" spans="6:16" x14ac:dyDescent="0.2">
      <c r="H159" t="s">
        <v>63</v>
      </c>
      <c r="I159" t="s">
        <v>197</v>
      </c>
      <c r="J159" t="s">
        <v>26</v>
      </c>
      <c r="K159" t="s">
        <v>19</v>
      </c>
      <c r="L159">
        <v>1898</v>
      </c>
      <c r="M159">
        <v>23</v>
      </c>
      <c r="N159" t="s">
        <v>20</v>
      </c>
      <c r="O159" t="s">
        <v>198</v>
      </c>
      <c r="P159" t="s">
        <v>20</v>
      </c>
    </row>
    <row r="161" spans="1:51" x14ac:dyDescent="0.2">
      <c r="H161" t="s">
        <v>0</v>
      </c>
      <c r="I161" t="s">
        <v>1</v>
      </c>
      <c r="J161" t="s">
        <v>2</v>
      </c>
      <c r="K161" t="s">
        <v>3</v>
      </c>
      <c r="L161" t="s">
        <v>4</v>
      </c>
      <c r="M161" t="s">
        <v>5</v>
      </c>
      <c r="N161" t="s">
        <v>6</v>
      </c>
      <c r="O161" t="s">
        <v>7</v>
      </c>
      <c r="P161" t="s">
        <v>8</v>
      </c>
    </row>
    <row r="162" spans="1:51" x14ac:dyDescent="0.2">
      <c r="F162">
        <v>10</v>
      </c>
      <c r="H162" t="s">
        <v>138</v>
      </c>
      <c r="I162" t="s">
        <v>178</v>
      </c>
      <c r="J162" t="s">
        <v>12</v>
      </c>
      <c r="K162" t="s">
        <v>19</v>
      </c>
      <c r="L162">
        <v>1867</v>
      </c>
      <c r="M162">
        <v>53</v>
      </c>
      <c r="N162" t="s">
        <v>49</v>
      </c>
      <c r="O162" t="s">
        <v>141</v>
      </c>
      <c r="P162" t="s">
        <v>20</v>
      </c>
    </row>
    <row r="163" spans="1:51" x14ac:dyDescent="0.2">
      <c r="H163" t="s">
        <v>48</v>
      </c>
      <c r="I163" t="s">
        <v>178</v>
      </c>
      <c r="J163" t="s">
        <v>144</v>
      </c>
      <c r="K163" t="s">
        <v>19</v>
      </c>
      <c r="L163">
        <v>1878</v>
      </c>
      <c r="M163">
        <v>42</v>
      </c>
      <c r="N163" t="s">
        <v>49</v>
      </c>
      <c r="O163" t="s">
        <v>20</v>
      </c>
      <c r="P163" t="s">
        <v>20</v>
      </c>
    </row>
    <row r="165" spans="1:51" ht="17.5" customHeight="1" x14ac:dyDescent="0.2">
      <c r="A165" s="9"/>
      <c r="B165" s="9"/>
      <c r="C165" s="7"/>
      <c r="D165" s="7"/>
      <c r="E165" s="7"/>
      <c r="F165" s="7">
        <v>12</v>
      </c>
      <c r="G165" s="7"/>
      <c r="H165" s="7" t="s">
        <v>199</v>
      </c>
      <c r="I165" t="s">
        <v>200</v>
      </c>
      <c r="J165" s="7" t="s">
        <v>12</v>
      </c>
      <c r="K165" t="s">
        <v>13</v>
      </c>
      <c r="L165">
        <v>1885</v>
      </c>
      <c r="M165">
        <v>36</v>
      </c>
      <c r="N165" s="7" t="s">
        <v>49</v>
      </c>
      <c r="O165" t="s">
        <v>201</v>
      </c>
      <c r="P165" s="7" t="s">
        <v>202</v>
      </c>
      <c r="T165" s="6"/>
      <c r="X165" s="7"/>
      <c r="Y165" s="7"/>
      <c r="Z165" s="7"/>
      <c r="AA165" s="6"/>
      <c r="AB165" s="6"/>
      <c r="AC165" s="7"/>
      <c r="AD165" s="7"/>
      <c r="AE165" s="7"/>
      <c r="AF165" s="7"/>
      <c r="AG165" s="6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ht="17.5" customHeight="1" x14ac:dyDescent="0.2">
      <c r="A166" s="9"/>
      <c r="B166" s="9"/>
      <c r="C166" s="7"/>
      <c r="D166" s="7"/>
      <c r="E166" s="7"/>
      <c r="F166" s="7"/>
      <c r="G166" s="7"/>
      <c r="H166" s="7" t="s">
        <v>130</v>
      </c>
      <c r="I166" t="s">
        <v>200</v>
      </c>
      <c r="J166" s="7" t="s">
        <v>18</v>
      </c>
      <c r="K166" t="s">
        <v>19</v>
      </c>
      <c r="L166">
        <v>1894</v>
      </c>
      <c r="M166">
        <v>27</v>
      </c>
      <c r="N166" s="7" t="s">
        <v>49</v>
      </c>
      <c r="O166" t="s">
        <v>20</v>
      </c>
      <c r="P166" s="7" t="s">
        <v>20</v>
      </c>
      <c r="T166" s="6"/>
      <c r="X166" s="7"/>
      <c r="Y166" s="7"/>
      <c r="Z166" s="7"/>
      <c r="AA166" s="6"/>
      <c r="AB166" s="6"/>
      <c r="AC166" s="7"/>
      <c r="AD166" s="7"/>
      <c r="AE166" s="7"/>
      <c r="AF166" s="7"/>
      <c r="AG166" s="6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ht="17.5" customHeight="1" x14ac:dyDescent="0.2">
      <c r="A167" s="9"/>
      <c r="B167" s="9"/>
      <c r="C167" s="7"/>
      <c r="D167" s="7"/>
      <c r="E167" s="7"/>
      <c r="F167" s="7"/>
      <c r="G167" s="7"/>
      <c r="H167" s="7" t="s">
        <v>203</v>
      </c>
      <c r="I167" t="s">
        <v>200</v>
      </c>
      <c r="J167" s="7" t="s">
        <v>22</v>
      </c>
      <c r="K167" t="s">
        <v>19</v>
      </c>
      <c r="L167">
        <v>1920</v>
      </c>
      <c r="M167" t="s">
        <v>20</v>
      </c>
      <c r="N167" s="7" t="s">
        <v>49</v>
      </c>
      <c r="O167" t="s">
        <v>20</v>
      </c>
      <c r="P167" s="7" t="s">
        <v>20</v>
      </c>
      <c r="T167" s="6"/>
      <c r="X167" s="7"/>
      <c r="Y167" s="7"/>
      <c r="Z167" s="7"/>
      <c r="AA167" s="6"/>
      <c r="AB167" s="6"/>
      <c r="AC167" s="7"/>
      <c r="AD167" s="7"/>
      <c r="AE167" s="7"/>
      <c r="AF167" s="7"/>
      <c r="AG167" s="6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ht="17.5" customHeight="1" x14ac:dyDescent="0.2">
      <c r="A168" s="9"/>
      <c r="B168" s="9"/>
      <c r="C168" s="7"/>
      <c r="D168" s="7"/>
      <c r="E168" s="7"/>
      <c r="F168" s="7"/>
      <c r="G168" s="7"/>
      <c r="H168" s="7" t="s">
        <v>48</v>
      </c>
      <c r="I168" t="s">
        <v>204</v>
      </c>
      <c r="J168" s="7" t="s">
        <v>26</v>
      </c>
      <c r="K168" t="s">
        <v>19</v>
      </c>
      <c r="L168">
        <v>1889</v>
      </c>
      <c r="M168">
        <v>32</v>
      </c>
      <c r="N168" s="7" t="s">
        <v>205</v>
      </c>
      <c r="O168" t="s">
        <v>28</v>
      </c>
      <c r="P168" s="7" t="s">
        <v>29</v>
      </c>
      <c r="T168" s="6"/>
      <c r="X168" s="7"/>
      <c r="Y168" s="7"/>
      <c r="Z168" s="7"/>
      <c r="AA168" s="6"/>
      <c r="AB168" s="6"/>
      <c r="AC168" s="7"/>
      <c r="AD168" s="7"/>
      <c r="AE168" s="7"/>
      <c r="AF168" s="7"/>
      <c r="AG168" s="6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ht="17.5" customHeight="1" x14ac:dyDescent="0.2">
      <c r="A169" s="9"/>
      <c r="B169" s="9"/>
      <c r="C169" s="7"/>
      <c r="D169" s="7"/>
      <c r="E169" s="7"/>
      <c r="F169" s="7"/>
      <c r="G169" s="7"/>
      <c r="H169" s="7" t="s">
        <v>206</v>
      </c>
      <c r="I169" t="s">
        <v>207</v>
      </c>
      <c r="J169" s="7" t="s">
        <v>208</v>
      </c>
      <c r="K169" t="s">
        <v>19</v>
      </c>
      <c r="L169">
        <v>1888</v>
      </c>
      <c r="M169">
        <v>33</v>
      </c>
      <c r="N169" s="7" t="s">
        <v>20</v>
      </c>
      <c r="O169" t="s">
        <v>209</v>
      </c>
      <c r="P169" s="7" t="s">
        <v>210</v>
      </c>
      <c r="T169" s="6"/>
      <c r="X169" s="7"/>
      <c r="Y169" s="7"/>
      <c r="Z169" s="7"/>
      <c r="AA169" s="6"/>
      <c r="AB169" s="6"/>
      <c r="AC169" s="7"/>
      <c r="AD169" s="7"/>
      <c r="AE169" s="7"/>
      <c r="AF169" s="7"/>
      <c r="AG169" s="6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ht="17.5" customHeight="1" x14ac:dyDescent="0.2">
      <c r="A170" s="9"/>
      <c r="B170" s="9"/>
      <c r="C170" s="7"/>
      <c r="D170" s="7"/>
      <c r="E170" s="7"/>
      <c r="F170" s="7"/>
      <c r="G170" s="7"/>
      <c r="H170" s="7" t="s">
        <v>46</v>
      </c>
      <c r="I170" t="s">
        <v>211</v>
      </c>
      <c r="J170" s="7" t="s">
        <v>33</v>
      </c>
      <c r="K170" t="s">
        <v>19</v>
      </c>
      <c r="L170">
        <v>1883</v>
      </c>
      <c r="M170">
        <v>38</v>
      </c>
      <c r="N170" s="7" t="s">
        <v>212</v>
      </c>
      <c r="O170" t="s">
        <v>33</v>
      </c>
      <c r="P170" s="7" t="s">
        <v>29</v>
      </c>
      <c r="T170" s="6"/>
      <c r="X170" s="7"/>
      <c r="Y170" s="7"/>
      <c r="Z170" s="7"/>
      <c r="AA170" s="6"/>
      <c r="AB170" s="6"/>
      <c r="AC170" s="7"/>
      <c r="AD170" s="7"/>
      <c r="AE170" s="7"/>
      <c r="AF170" s="7"/>
      <c r="AG170" s="6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2" spans="1:51" x14ac:dyDescent="0.2">
      <c r="H172" t="s">
        <v>0</v>
      </c>
      <c r="I172" t="s">
        <v>1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t="s">
        <v>7</v>
      </c>
      <c r="P172" t="s">
        <v>8</v>
      </c>
    </row>
    <row r="173" spans="1:51" x14ac:dyDescent="0.2">
      <c r="F173">
        <v>14</v>
      </c>
      <c r="H173" t="s">
        <v>179</v>
      </c>
      <c r="I173" t="s">
        <v>180</v>
      </c>
      <c r="J173" t="s">
        <v>12</v>
      </c>
      <c r="K173" t="s">
        <v>19</v>
      </c>
      <c r="L173">
        <v>1874</v>
      </c>
      <c r="M173">
        <v>47</v>
      </c>
      <c r="N173" t="s">
        <v>14</v>
      </c>
      <c r="O173" t="s">
        <v>20</v>
      </c>
      <c r="P173" t="s">
        <v>20</v>
      </c>
    </row>
    <row r="174" spans="1:51" x14ac:dyDescent="0.2">
      <c r="H174" t="s">
        <v>181</v>
      </c>
      <c r="I174" t="s">
        <v>180</v>
      </c>
      <c r="J174" t="s">
        <v>51</v>
      </c>
      <c r="K174" t="s">
        <v>13</v>
      </c>
      <c r="L174">
        <v>1892</v>
      </c>
      <c r="M174">
        <v>29</v>
      </c>
      <c r="N174" t="s">
        <v>14</v>
      </c>
      <c r="O174" t="s">
        <v>182</v>
      </c>
      <c r="P174" t="s">
        <v>183</v>
      </c>
    </row>
    <row r="175" spans="1:51" x14ac:dyDescent="0.2">
      <c r="H175" t="s">
        <v>184</v>
      </c>
      <c r="I175" t="s">
        <v>185</v>
      </c>
      <c r="J175" t="s">
        <v>52</v>
      </c>
      <c r="K175" t="s">
        <v>19</v>
      </c>
      <c r="L175">
        <v>1865</v>
      </c>
      <c r="M175">
        <v>56</v>
      </c>
      <c r="N175" t="s">
        <v>186</v>
      </c>
      <c r="O175" t="s">
        <v>29</v>
      </c>
      <c r="P175" t="s">
        <v>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6E08-1474-4249-AE47-66DB49AFE28C}">
  <dimension ref="A1:BC134"/>
  <sheetViews>
    <sheetView workbookViewId="0">
      <pane ySplit="2" topLeftCell="A46" activePane="bottomLeft" state="frozen"/>
      <selection activeCell="E1" sqref="E1"/>
      <selection pane="bottomLeft" activeCell="A66" sqref="A66:XFD66"/>
    </sheetView>
  </sheetViews>
  <sheetFormatPr baseColWidth="10" defaultColWidth="10.83203125" defaultRowHeight="16" x14ac:dyDescent="0.2"/>
  <cols>
    <col min="2" max="2" width="6" customWidth="1"/>
    <col min="4" max="4" width="17.83203125" customWidth="1"/>
    <col min="5" max="5" width="20.1640625" customWidth="1"/>
    <col min="6" max="6" width="9.83203125" customWidth="1"/>
    <col min="9" max="9" width="7.16406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27" width="25.1640625" customWidth="1"/>
    <col min="28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7.5" customHeight="1" x14ac:dyDescent="0.2">
      <c r="A3" s="9"/>
      <c r="B3" s="9"/>
      <c r="C3" s="7"/>
      <c r="D3" s="7"/>
      <c r="E3" s="7"/>
      <c r="F3" s="7"/>
      <c r="G3" t="s">
        <v>1</v>
      </c>
      <c r="H3" s="7" t="s">
        <v>0</v>
      </c>
      <c r="J3" t="s">
        <v>3</v>
      </c>
      <c r="N3" s="7" t="s">
        <v>2</v>
      </c>
      <c r="T3" t="s">
        <v>5</v>
      </c>
      <c r="X3" s="7"/>
      <c r="Y3" s="7"/>
      <c r="Z3" s="7"/>
      <c r="AA3" t="s">
        <v>7</v>
      </c>
      <c r="AB3" s="7" t="s">
        <v>8</v>
      </c>
      <c r="AC3" s="7"/>
      <c r="AD3" s="7"/>
      <c r="AE3" s="7"/>
      <c r="AF3" s="7" t="s">
        <v>6</v>
      </c>
      <c r="AG3" s="6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 t="s">
        <v>620</v>
      </c>
      <c r="B4" s="9">
        <v>1921</v>
      </c>
      <c r="C4" s="7">
        <v>1</v>
      </c>
      <c r="D4" s="7" t="s">
        <v>621</v>
      </c>
      <c r="E4" s="261" t="s">
        <v>2875</v>
      </c>
      <c r="F4" s="7"/>
      <c r="G4" t="s">
        <v>2868</v>
      </c>
      <c r="H4" s="7" t="s">
        <v>2867</v>
      </c>
      <c r="I4">
        <v>1</v>
      </c>
      <c r="J4" t="s">
        <v>13</v>
      </c>
      <c r="K4">
        <v>1</v>
      </c>
      <c r="N4" s="7">
        <v>1</v>
      </c>
      <c r="T4">
        <v>36</v>
      </c>
      <c r="X4" s="7"/>
      <c r="Y4" s="7"/>
      <c r="Z4" s="7"/>
      <c r="AA4" t="s">
        <v>2869</v>
      </c>
      <c r="AB4" s="7" t="s">
        <v>2870</v>
      </c>
      <c r="AC4" s="7">
        <v>1</v>
      </c>
      <c r="AD4" s="7"/>
      <c r="AE4" s="7"/>
      <c r="AF4" s="7">
        <v>1</v>
      </c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 t="s">
        <v>620</v>
      </c>
      <c r="B5" s="9">
        <v>1921</v>
      </c>
      <c r="C5" s="7">
        <v>1</v>
      </c>
      <c r="D5" s="7" t="s">
        <v>621</v>
      </c>
      <c r="E5" s="7"/>
      <c r="F5" s="7"/>
      <c r="G5" t="s">
        <v>2868</v>
      </c>
      <c r="H5" s="7" t="s">
        <v>2871</v>
      </c>
      <c r="I5">
        <v>2</v>
      </c>
      <c r="J5">
        <v>1</v>
      </c>
      <c r="N5" s="7" t="s">
        <v>18</v>
      </c>
      <c r="O5">
        <v>1</v>
      </c>
      <c r="T5">
        <v>32</v>
      </c>
      <c r="X5" s="7"/>
      <c r="Y5" s="7"/>
      <c r="Z5" s="7"/>
      <c r="AA5" t="s">
        <v>50</v>
      </c>
      <c r="AB5" s="7" t="s">
        <v>20</v>
      </c>
      <c r="AC5" s="7"/>
      <c r="AD5" s="7"/>
      <c r="AE5" s="7"/>
      <c r="AF5" s="7">
        <v>1</v>
      </c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 t="s">
        <v>620</v>
      </c>
      <c r="B6" s="9">
        <v>1921</v>
      </c>
      <c r="C6" s="7">
        <v>1</v>
      </c>
      <c r="D6" s="7" t="s">
        <v>621</v>
      </c>
      <c r="E6" s="7"/>
      <c r="F6" s="7"/>
      <c r="G6" t="s">
        <v>2868</v>
      </c>
      <c r="H6" s="7" t="s">
        <v>2872</v>
      </c>
      <c r="I6">
        <v>3</v>
      </c>
      <c r="J6" t="s">
        <v>19</v>
      </c>
      <c r="L6">
        <v>1</v>
      </c>
      <c r="N6" s="7" t="s">
        <v>22</v>
      </c>
      <c r="P6">
        <v>1</v>
      </c>
      <c r="T6">
        <v>9</v>
      </c>
      <c r="X6" s="7"/>
      <c r="Y6" s="7"/>
      <c r="Z6" s="7"/>
      <c r="AA6" t="s">
        <v>20</v>
      </c>
      <c r="AB6" s="7" t="s">
        <v>20</v>
      </c>
      <c r="AC6" s="7"/>
      <c r="AD6" s="7"/>
      <c r="AE6" s="7"/>
      <c r="AF6" s="7">
        <v>1</v>
      </c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 t="s">
        <v>620</v>
      </c>
      <c r="B7" s="9">
        <v>1921</v>
      </c>
      <c r="C7" s="7">
        <v>1</v>
      </c>
      <c r="D7" s="7" t="s">
        <v>621</v>
      </c>
      <c r="E7" s="7"/>
      <c r="F7" s="7"/>
      <c r="G7" t="s">
        <v>2868</v>
      </c>
      <c r="H7" s="7" t="s">
        <v>2874</v>
      </c>
      <c r="I7">
        <v>4</v>
      </c>
      <c r="J7" t="s">
        <v>19</v>
      </c>
      <c r="L7">
        <v>1</v>
      </c>
      <c r="N7" s="7" t="s">
        <v>22</v>
      </c>
      <c r="P7">
        <v>1</v>
      </c>
      <c r="T7">
        <v>6</v>
      </c>
      <c r="X7" s="7"/>
      <c r="Y7" s="7"/>
      <c r="Z7" s="7"/>
      <c r="AA7" t="s">
        <v>20</v>
      </c>
      <c r="AB7" s="7" t="s">
        <v>20</v>
      </c>
      <c r="AC7" s="7"/>
      <c r="AD7" s="7"/>
      <c r="AE7" s="7"/>
      <c r="AF7" s="7">
        <v>1</v>
      </c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 t="s">
        <v>620</v>
      </c>
      <c r="B8" s="9">
        <v>1921</v>
      </c>
      <c r="C8" s="7"/>
      <c r="D8" s="7" t="s">
        <v>621</v>
      </c>
      <c r="E8" s="7"/>
      <c r="F8" s="7"/>
      <c r="H8" s="7">
        <v>4</v>
      </c>
      <c r="N8" s="7"/>
      <c r="X8" s="7"/>
      <c r="Y8" s="7"/>
      <c r="Z8" s="7"/>
      <c r="AB8" s="7"/>
      <c r="AC8" s="7"/>
      <c r="AD8" s="7"/>
      <c r="AE8" s="7"/>
      <c r="AF8" s="7"/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 t="s">
        <v>620</v>
      </c>
      <c r="B9" s="9">
        <v>1921</v>
      </c>
      <c r="C9" s="7"/>
      <c r="D9" s="7" t="s">
        <v>621</v>
      </c>
      <c r="E9" s="7"/>
      <c r="F9" s="7"/>
      <c r="G9" t="s">
        <v>1</v>
      </c>
      <c r="H9" s="7" t="s">
        <v>0</v>
      </c>
      <c r="J9" t="s">
        <v>3</v>
      </c>
      <c r="N9" s="7" t="s">
        <v>2</v>
      </c>
      <c r="T9" t="s">
        <v>5</v>
      </c>
      <c r="X9" s="7"/>
      <c r="Y9" s="7"/>
      <c r="Z9" s="7"/>
      <c r="AA9" t="s">
        <v>7</v>
      </c>
      <c r="AB9" s="7" t="s">
        <v>8</v>
      </c>
      <c r="AC9" s="7"/>
      <c r="AD9" s="7"/>
      <c r="AE9" s="7"/>
      <c r="AF9" s="7" t="s">
        <v>6</v>
      </c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 t="s">
        <v>620</v>
      </c>
      <c r="B10" s="9">
        <v>1921</v>
      </c>
      <c r="C10" s="7">
        <v>2</v>
      </c>
      <c r="D10" s="7" t="s">
        <v>621</v>
      </c>
      <c r="E10" s="261" t="s">
        <v>2884</v>
      </c>
      <c r="F10" s="7">
        <v>1</v>
      </c>
      <c r="G10" t="s">
        <v>2877</v>
      </c>
      <c r="H10" s="7" t="s">
        <v>2876</v>
      </c>
      <c r="I10">
        <v>5</v>
      </c>
      <c r="J10" t="s">
        <v>13</v>
      </c>
      <c r="K10">
        <v>1</v>
      </c>
      <c r="N10" s="7">
        <v>1</v>
      </c>
      <c r="T10">
        <v>39</v>
      </c>
      <c r="X10" s="7"/>
      <c r="Y10" s="7"/>
      <c r="Z10" s="7"/>
      <c r="AA10" t="s">
        <v>2878</v>
      </c>
      <c r="AB10" s="7"/>
      <c r="AC10" s="7">
        <v>1</v>
      </c>
      <c r="AD10" s="7">
        <v>1</v>
      </c>
      <c r="AE10" s="7"/>
      <c r="AF10" s="7">
        <v>1</v>
      </c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" customHeight="1" x14ac:dyDescent="0.2">
      <c r="A11" s="9" t="s">
        <v>620</v>
      </c>
      <c r="B11" s="9">
        <v>1921</v>
      </c>
      <c r="C11" s="7">
        <v>2</v>
      </c>
      <c r="D11" s="7" t="s">
        <v>621</v>
      </c>
      <c r="E11" s="7"/>
      <c r="F11" s="7"/>
      <c r="G11" t="s">
        <v>2877</v>
      </c>
      <c r="H11" s="7" t="s">
        <v>2879</v>
      </c>
      <c r="I11">
        <v>6</v>
      </c>
      <c r="J11">
        <v>1</v>
      </c>
      <c r="N11" s="7" t="s">
        <v>18</v>
      </c>
      <c r="O11">
        <v>1</v>
      </c>
      <c r="T11">
        <v>42</v>
      </c>
      <c r="X11" s="7"/>
      <c r="Y11" s="7"/>
      <c r="Z11" s="7"/>
      <c r="AA11" t="s">
        <v>50</v>
      </c>
      <c r="AB11" s="7" t="s">
        <v>20</v>
      </c>
      <c r="AC11" s="7"/>
      <c r="AD11" s="7"/>
      <c r="AE11" s="7"/>
      <c r="AF11" s="7">
        <v>1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.5" customHeight="1" x14ac:dyDescent="0.2">
      <c r="A12" s="9" t="s">
        <v>620</v>
      </c>
      <c r="B12" s="9">
        <v>1921</v>
      </c>
      <c r="C12" s="7">
        <v>2</v>
      </c>
      <c r="D12" s="7" t="s">
        <v>621</v>
      </c>
      <c r="E12" s="7"/>
      <c r="F12" s="7"/>
      <c r="G12" t="s">
        <v>2877</v>
      </c>
      <c r="H12" s="7" t="s">
        <v>1528</v>
      </c>
      <c r="I12">
        <v>7</v>
      </c>
      <c r="J12" t="s">
        <v>19</v>
      </c>
      <c r="L12">
        <v>1</v>
      </c>
      <c r="N12" s="7" t="s">
        <v>22</v>
      </c>
      <c r="P12">
        <v>1</v>
      </c>
      <c r="T12">
        <v>9</v>
      </c>
      <c r="X12" s="7"/>
      <c r="Y12" s="7"/>
      <c r="Z12" s="7"/>
      <c r="AA12" t="s">
        <v>20</v>
      </c>
      <c r="AB12" s="7" t="s">
        <v>20</v>
      </c>
      <c r="AC12" s="7"/>
      <c r="AD12" s="7"/>
      <c r="AE12" s="7"/>
      <c r="AF12" s="7">
        <v>1</v>
      </c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 t="s">
        <v>620</v>
      </c>
      <c r="B13" s="9">
        <v>1921</v>
      </c>
      <c r="C13" s="7">
        <v>2</v>
      </c>
      <c r="D13" s="7" t="s">
        <v>621</v>
      </c>
      <c r="E13" s="7"/>
      <c r="F13" s="7"/>
      <c r="G13" t="s">
        <v>2877</v>
      </c>
      <c r="H13" s="7" t="s">
        <v>2880</v>
      </c>
      <c r="I13">
        <v>8</v>
      </c>
      <c r="J13" t="s">
        <v>19</v>
      </c>
      <c r="L13">
        <v>1</v>
      </c>
      <c r="N13" s="7" t="s">
        <v>22</v>
      </c>
      <c r="P13">
        <v>1</v>
      </c>
      <c r="T13">
        <v>5</v>
      </c>
      <c r="X13" s="7"/>
      <c r="Y13" s="7"/>
      <c r="Z13" s="7"/>
      <c r="AA13" t="s">
        <v>20</v>
      </c>
      <c r="AB13" s="7" t="s">
        <v>20</v>
      </c>
      <c r="AC13" s="7"/>
      <c r="AD13" s="7"/>
      <c r="AE13" s="7"/>
      <c r="AF13" s="7">
        <v>1</v>
      </c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 t="s">
        <v>620</v>
      </c>
      <c r="B14" s="9">
        <v>1921</v>
      </c>
      <c r="C14" s="7">
        <v>2</v>
      </c>
      <c r="D14" s="7" t="s">
        <v>621</v>
      </c>
      <c r="E14" s="11"/>
      <c r="F14" s="12"/>
      <c r="G14" t="s">
        <v>2877</v>
      </c>
      <c r="H14" s="6" t="s">
        <v>1585</v>
      </c>
      <c r="I14">
        <v>9</v>
      </c>
      <c r="J14" t="s">
        <v>13</v>
      </c>
      <c r="K14">
        <v>1</v>
      </c>
      <c r="N14" s="200" t="s">
        <v>58</v>
      </c>
      <c r="R14">
        <v>1</v>
      </c>
      <c r="T14">
        <v>78</v>
      </c>
      <c r="X14" s="12"/>
      <c r="Y14" s="12"/>
      <c r="Z14" s="12"/>
      <c r="AA14" t="s">
        <v>2881</v>
      </c>
      <c r="AB14" s="12" t="s">
        <v>20</v>
      </c>
      <c r="AC14" s="12"/>
      <c r="AD14" s="12"/>
      <c r="AE14" s="7"/>
      <c r="AF14" s="12">
        <v>1</v>
      </c>
      <c r="AG14" s="12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28" customHeight="1" x14ac:dyDescent="0.2">
      <c r="A15" s="9" t="s">
        <v>620</v>
      </c>
      <c r="B15" s="9">
        <v>1921</v>
      </c>
      <c r="C15" s="7">
        <v>2</v>
      </c>
      <c r="D15" s="7" t="s">
        <v>621</v>
      </c>
      <c r="E15" s="11"/>
      <c r="F15" s="12"/>
      <c r="G15" t="s">
        <v>2877</v>
      </c>
      <c r="H15" s="6" t="s">
        <v>1666</v>
      </c>
      <c r="I15">
        <v>10</v>
      </c>
      <c r="J15">
        <v>1</v>
      </c>
      <c r="N15" s="231" t="s">
        <v>58</v>
      </c>
      <c r="R15">
        <v>1</v>
      </c>
      <c r="T15">
        <v>77</v>
      </c>
      <c r="X15" s="12"/>
      <c r="Y15" s="12"/>
      <c r="Z15" s="12"/>
      <c r="AA15" t="s">
        <v>50</v>
      </c>
      <c r="AB15" s="16" t="s">
        <v>20</v>
      </c>
      <c r="AC15" s="12"/>
      <c r="AD15" s="11"/>
      <c r="AE15" s="7"/>
      <c r="AF15" s="14" t="s">
        <v>212</v>
      </c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7.5" customHeight="1" x14ac:dyDescent="0.2">
      <c r="A16" s="9" t="s">
        <v>620</v>
      </c>
      <c r="B16" s="9">
        <v>1921</v>
      </c>
      <c r="C16" s="7">
        <v>2</v>
      </c>
      <c r="D16" s="7" t="s">
        <v>621</v>
      </c>
      <c r="E16" s="7"/>
      <c r="F16" s="7"/>
      <c r="G16" s="7" t="s">
        <v>2883</v>
      </c>
      <c r="H16" s="7" t="s">
        <v>2882</v>
      </c>
      <c r="I16">
        <v>11</v>
      </c>
      <c r="J16" s="7">
        <v>1</v>
      </c>
      <c r="N16" s="7" t="s">
        <v>58</v>
      </c>
      <c r="P16" s="7"/>
      <c r="R16">
        <v>1</v>
      </c>
      <c r="T16" s="7">
        <v>12</v>
      </c>
      <c r="X16" s="7">
        <f>SUM(X3:X15)</f>
        <v>0</v>
      </c>
      <c r="Y16" s="7">
        <f>SUM(Y3:Y15)</f>
        <v>0</v>
      </c>
      <c r="Z16" s="7">
        <f>SUM(Z3:Z15)</f>
        <v>0</v>
      </c>
      <c r="AA16" s="7" t="s">
        <v>20</v>
      </c>
      <c r="AB16" s="7" t="s">
        <v>20</v>
      </c>
      <c r="AC16" s="7"/>
      <c r="AD16" s="7"/>
      <c r="AE16" s="7"/>
      <c r="AF16" s="7">
        <v>1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 t="s">
        <v>620</v>
      </c>
      <c r="B17" s="9">
        <v>1921</v>
      </c>
      <c r="C17" s="7">
        <v>2</v>
      </c>
      <c r="D17" s="7" t="s">
        <v>621</v>
      </c>
      <c r="E17" s="7"/>
      <c r="F17" s="7"/>
      <c r="G17" s="7" t="s">
        <v>743</v>
      </c>
      <c r="H17" s="7" t="s">
        <v>1017</v>
      </c>
      <c r="I17">
        <v>12</v>
      </c>
      <c r="J17" s="7">
        <v>1</v>
      </c>
      <c r="N17" s="7" t="s">
        <v>26</v>
      </c>
      <c r="P17" s="7"/>
      <c r="S17">
        <v>1</v>
      </c>
      <c r="T17" s="6">
        <v>22</v>
      </c>
      <c r="X17" s="7"/>
      <c r="Y17" s="7"/>
      <c r="Z17" s="7"/>
      <c r="AA17" s="6" t="s">
        <v>344</v>
      </c>
      <c r="AB17" s="6" t="s">
        <v>29</v>
      </c>
      <c r="AC17" s="7">
        <v>1</v>
      </c>
      <c r="AD17" s="7"/>
      <c r="AE17" s="7"/>
      <c r="AF17" s="6" t="s">
        <v>397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 t="s">
        <v>620</v>
      </c>
      <c r="B18" s="9">
        <v>1921</v>
      </c>
      <c r="C18" s="7"/>
      <c r="D18" s="7" t="s">
        <v>621</v>
      </c>
      <c r="E18" s="7"/>
      <c r="F18" s="7"/>
      <c r="G18" s="7"/>
      <c r="H18" s="7">
        <v>8</v>
      </c>
      <c r="J18" s="7"/>
      <c r="N18" s="7"/>
      <c r="P18" s="7"/>
      <c r="T18" s="6"/>
      <c r="X18" s="7"/>
      <c r="Y18" s="7"/>
      <c r="Z18" s="7"/>
      <c r="AA18" s="6"/>
      <c r="AB18" s="6"/>
      <c r="AC18" s="7"/>
      <c r="AD18" s="7"/>
      <c r="AE18" s="7"/>
      <c r="AF18" s="6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9" t="s">
        <v>620</v>
      </c>
      <c r="B19" s="9">
        <v>1921</v>
      </c>
      <c r="C19" s="7"/>
      <c r="D19" s="7" t="s">
        <v>621</v>
      </c>
      <c r="E19" s="7"/>
      <c r="F19" s="7"/>
      <c r="G19" s="7" t="s">
        <v>1</v>
      </c>
      <c r="H19" s="7" t="s">
        <v>0</v>
      </c>
      <c r="J19" s="7" t="s">
        <v>3</v>
      </c>
      <c r="N19" s="7" t="s">
        <v>2</v>
      </c>
      <c r="P19" s="7"/>
      <c r="T19" s="6" t="s">
        <v>5</v>
      </c>
      <c r="X19" s="7"/>
      <c r="Y19" s="7"/>
      <c r="Z19" s="7"/>
      <c r="AA19" s="6" t="s">
        <v>7</v>
      </c>
      <c r="AB19" s="6" t="s">
        <v>8</v>
      </c>
      <c r="AC19" s="7"/>
      <c r="AD19" s="7"/>
      <c r="AE19" s="7"/>
      <c r="AF19" s="6" t="s">
        <v>6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s="55" customFormat="1" ht="17.5" customHeight="1" x14ac:dyDescent="0.2">
      <c r="A20" s="226" t="s">
        <v>620</v>
      </c>
      <c r="B20" s="226">
        <v>1921</v>
      </c>
      <c r="C20" s="227">
        <v>3</v>
      </c>
      <c r="D20" s="227" t="s">
        <v>621</v>
      </c>
      <c r="E20" s="263" t="s">
        <v>2893</v>
      </c>
      <c r="F20" s="228">
        <v>3</v>
      </c>
      <c r="G20" s="228" t="s">
        <v>2886</v>
      </c>
      <c r="H20" s="228" t="s">
        <v>2885</v>
      </c>
      <c r="I20" s="55">
        <v>13</v>
      </c>
      <c r="J20" s="264">
        <v>1</v>
      </c>
      <c r="N20" s="228">
        <v>1</v>
      </c>
      <c r="P20" s="228"/>
      <c r="T20" s="228">
        <v>52</v>
      </c>
      <c r="X20" s="227"/>
      <c r="Y20" s="227"/>
      <c r="Z20" s="227"/>
      <c r="AA20" s="228" t="s">
        <v>50</v>
      </c>
      <c r="AB20" s="228" t="s">
        <v>20</v>
      </c>
      <c r="AC20" s="227"/>
      <c r="AD20" s="227"/>
      <c r="AE20" s="227"/>
      <c r="AF20" s="228" t="s">
        <v>2887</v>
      </c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</row>
    <row r="21" spans="1:51" ht="17.5" customHeight="1" x14ac:dyDescent="0.2">
      <c r="A21" s="9" t="s">
        <v>620</v>
      </c>
      <c r="B21" s="9">
        <v>1921</v>
      </c>
      <c r="C21" s="7">
        <v>3</v>
      </c>
      <c r="D21" s="7" t="s">
        <v>621</v>
      </c>
      <c r="E21" s="7"/>
      <c r="F21" s="7"/>
      <c r="G21" s="7" t="s">
        <v>2888</v>
      </c>
      <c r="H21" s="7" t="s">
        <v>170</v>
      </c>
      <c r="I21">
        <v>14</v>
      </c>
      <c r="J21" s="7">
        <v>1</v>
      </c>
      <c r="N21" s="7" t="s">
        <v>26</v>
      </c>
      <c r="P21" s="7"/>
      <c r="S21">
        <v>1</v>
      </c>
      <c r="T21" s="6">
        <v>50</v>
      </c>
      <c r="X21" s="7"/>
      <c r="Y21" s="7"/>
      <c r="Z21" s="7"/>
      <c r="AA21" s="6" t="s">
        <v>33</v>
      </c>
      <c r="AB21" s="6" t="s">
        <v>33</v>
      </c>
      <c r="AC21" s="7">
        <v>1</v>
      </c>
      <c r="AD21" s="7"/>
      <c r="AE21" s="7"/>
      <c r="AF21" s="6" t="s">
        <v>2889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9" t="s">
        <v>620</v>
      </c>
      <c r="B22" s="9">
        <v>1921</v>
      </c>
      <c r="C22" s="7">
        <v>3</v>
      </c>
      <c r="D22" s="7" t="s">
        <v>621</v>
      </c>
      <c r="E22" s="7"/>
      <c r="F22" s="7"/>
      <c r="G22" s="7" t="s">
        <v>2891</v>
      </c>
      <c r="H22" s="7" t="s">
        <v>2890</v>
      </c>
      <c r="I22">
        <v>15</v>
      </c>
      <c r="J22" s="7">
        <v>1</v>
      </c>
      <c r="N22" s="7" t="s">
        <v>26</v>
      </c>
      <c r="P22" s="7"/>
      <c r="S22">
        <v>1</v>
      </c>
      <c r="T22" s="6">
        <v>16</v>
      </c>
      <c r="X22" s="7"/>
      <c r="Y22" s="7"/>
      <c r="Z22" s="7"/>
      <c r="AA22" s="6" t="s">
        <v>28</v>
      </c>
      <c r="AB22" s="6" t="s">
        <v>28</v>
      </c>
      <c r="AC22" s="7">
        <v>1</v>
      </c>
      <c r="AD22" s="7"/>
      <c r="AE22" s="7"/>
      <c r="AF22" s="6">
        <v>1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9" t="s">
        <v>620</v>
      </c>
      <c r="B23" s="9">
        <v>1921</v>
      </c>
      <c r="C23" s="7"/>
      <c r="D23" s="7" t="s">
        <v>621</v>
      </c>
      <c r="E23" s="7"/>
      <c r="F23" s="7"/>
      <c r="G23" s="7"/>
      <c r="H23" s="7">
        <v>3</v>
      </c>
      <c r="J23" s="7"/>
      <c r="N23" s="7"/>
      <c r="P23" s="7"/>
      <c r="T23" s="6"/>
      <c r="X23" s="7"/>
      <c r="Y23" s="7"/>
      <c r="Z23" s="7"/>
      <c r="AA23" s="6"/>
      <c r="AB23" s="6"/>
      <c r="AC23" s="7"/>
      <c r="AD23" s="7"/>
      <c r="AE23" s="7"/>
      <c r="AF23" s="6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" customHeight="1" x14ac:dyDescent="0.2">
      <c r="A24" s="9" t="s">
        <v>620</v>
      </c>
      <c r="B24" s="9">
        <v>1921</v>
      </c>
      <c r="C24" s="7"/>
      <c r="D24" s="7" t="s">
        <v>621</v>
      </c>
      <c r="E24" s="7"/>
      <c r="F24" s="7"/>
      <c r="G24" s="7" t="s">
        <v>1</v>
      </c>
      <c r="H24" s="7" t="s">
        <v>0</v>
      </c>
      <c r="J24" s="7" t="s">
        <v>3</v>
      </c>
      <c r="N24" s="7" t="s">
        <v>2</v>
      </c>
      <c r="P24" s="7"/>
      <c r="T24" s="6" t="s">
        <v>5</v>
      </c>
      <c r="X24" s="7"/>
      <c r="Y24" s="7"/>
      <c r="Z24" s="7"/>
      <c r="AA24" s="6" t="s">
        <v>7</v>
      </c>
      <c r="AB24" s="6" t="s">
        <v>8</v>
      </c>
      <c r="AC24" s="7"/>
      <c r="AD24" s="7"/>
      <c r="AE24" s="7"/>
      <c r="AF24" s="6" t="s">
        <v>6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.5" customHeight="1" x14ac:dyDescent="0.2">
      <c r="A25" s="9" t="s">
        <v>620</v>
      </c>
      <c r="B25" s="9">
        <v>1921</v>
      </c>
      <c r="C25" s="7">
        <v>4</v>
      </c>
      <c r="D25" s="7" t="s">
        <v>621</v>
      </c>
      <c r="E25" s="7"/>
      <c r="F25" s="7">
        <v>5</v>
      </c>
      <c r="G25" s="7" t="s">
        <v>2895</v>
      </c>
      <c r="H25" s="7" t="s">
        <v>2894</v>
      </c>
      <c r="I25">
        <v>16</v>
      </c>
      <c r="J25" s="7">
        <v>1</v>
      </c>
      <c r="N25" s="7">
        <v>1</v>
      </c>
      <c r="P25" s="7"/>
      <c r="T25" s="6">
        <v>37</v>
      </c>
      <c r="X25" s="7"/>
      <c r="Y25" s="7"/>
      <c r="Z25" s="7"/>
      <c r="AA25" s="6" t="s">
        <v>20</v>
      </c>
      <c r="AB25" s="6" t="s">
        <v>20</v>
      </c>
      <c r="AC25" s="7"/>
      <c r="AD25" s="7"/>
      <c r="AE25" s="7"/>
      <c r="AF25" s="6" t="s">
        <v>20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9" t="s">
        <v>620</v>
      </c>
      <c r="B26" s="9">
        <v>1921</v>
      </c>
      <c r="C26" s="7">
        <v>4</v>
      </c>
      <c r="D26" s="7" t="s">
        <v>621</v>
      </c>
      <c r="E26" s="7"/>
      <c r="F26" s="7"/>
      <c r="G26" s="7" t="s">
        <v>2897</v>
      </c>
      <c r="H26" s="7" t="s">
        <v>2896</v>
      </c>
      <c r="I26">
        <v>17</v>
      </c>
      <c r="J26" s="7" t="s">
        <v>13</v>
      </c>
      <c r="K26">
        <v>1</v>
      </c>
      <c r="N26" s="7" t="s">
        <v>60</v>
      </c>
      <c r="P26" s="7"/>
      <c r="R26">
        <v>1</v>
      </c>
      <c r="T26" s="6">
        <v>26</v>
      </c>
      <c r="X26" s="7"/>
      <c r="Y26" s="7"/>
      <c r="Z26" s="7"/>
      <c r="AA26" s="6" t="s">
        <v>2899</v>
      </c>
      <c r="AB26" s="6" t="s">
        <v>2900</v>
      </c>
      <c r="AC26" s="7">
        <v>1</v>
      </c>
      <c r="AD26" s="7"/>
      <c r="AE26" s="7"/>
      <c r="AF26" s="6" t="s">
        <v>2898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9" t="s">
        <v>620</v>
      </c>
      <c r="B27" s="9">
        <v>1921</v>
      </c>
      <c r="C27" s="7">
        <v>4</v>
      </c>
      <c r="D27" s="7" t="s">
        <v>621</v>
      </c>
      <c r="E27" s="7"/>
      <c r="F27" s="7"/>
      <c r="G27" s="7" t="s">
        <v>31</v>
      </c>
      <c r="H27" s="7" t="s">
        <v>46</v>
      </c>
      <c r="I27">
        <v>18</v>
      </c>
      <c r="J27" s="7">
        <v>1</v>
      </c>
      <c r="N27" s="7" t="s">
        <v>26</v>
      </c>
      <c r="P27" s="7"/>
      <c r="S27">
        <v>1</v>
      </c>
      <c r="T27" s="6">
        <v>25</v>
      </c>
      <c r="X27" s="7"/>
      <c r="Y27" s="7"/>
      <c r="Z27" s="7"/>
      <c r="AA27" s="6" t="s">
        <v>33</v>
      </c>
      <c r="AB27" s="6" t="s">
        <v>29</v>
      </c>
      <c r="AC27" s="7">
        <v>1</v>
      </c>
      <c r="AD27" s="7"/>
      <c r="AE27" s="7"/>
      <c r="AF27" s="6" t="s">
        <v>20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9" t="s">
        <v>620</v>
      </c>
      <c r="B28" s="9">
        <v>1921</v>
      </c>
      <c r="C28" s="7">
        <v>4</v>
      </c>
      <c r="D28" s="7" t="s">
        <v>621</v>
      </c>
      <c r="E28" s="7"/>
      <c r="F28" s="7"/>
      <c r="G28" s="7" t="s">
        <v>2902</v>
      </c>
      <c r="H28" s="7" t="s">
        <v>2901</v>
      </c>
      <c r="I28">
        <v>19</v>
      </c>
      <c r="J28" s="7" t="s">
        <v>13</v>
      </c>
      <c r="K28">
        <v>1</v>
      </c>
      <c r="N28" s="7" t="s">
        <v>60</v>
      </c>
      <c r="P28" s="7"/>
      <c r="R28">
        <v>1</v>
      </c>
      <c r="T28" s="6">
        <v>26</v>
      </c>
      <c r="X28" s="7"/>
      <c r="Y28" s="7"/>
      <c r="Z28" s="7"/>
      <c r="AA28" s="6" t="s">
        <v>2904</v>
      </c>
      <c r="AB28" s="6" t="s">
        <v>2905</v>
      </c>
      <c r="AC28" s="7">
        <v>1</v>
      </c>
      <c r="AD28" s="7"/>
      <c r="AE28" s="7"/>
      <c r="AF28" s="6" t="s">
        <v>2903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9" t="s">
        <v>620</v>
      </c>
      <c r="B29" s="9">
        <v>1921</v>
      </c>
      <c r="C29" s="7">
        <v>4</v>
      </c>
      <c r="D29" s="7" t="s">
        <v>621</v>
      </c>
      <c r="E29" s="7"/>
      <c r="F29" s="7"/>
      <c r="G29" s="7" t="s">
        <v>2907</v>
      </c>
      <c r="H29" s="7" t="s">
        <v>2906</v>
      </c>
      <c r="I29">
        <v>20</v>
      </c>
      <c r="J29" s="7">
        <v>1</v>
      </c>
      <c r="N29" s="7" t="s">
        <v>60</v>
      </c>
      <c r="P29" s="7"/>
      <c r="R29">
        <v>1</v>
      </c>
      <c r="T29" s="7">
        <v>25</v>
      </c>
      <c r="X29" s="7"/>
      <c r="Y29" s="7"/>
      <c r="Z29" s="7"/>
      <c r="AA29" s="7" t="s">
        <v>20</v>
      </c>
      <c r="AB29" s="7" t="s">
        <v>20</v>
      </c>
      <c r="AC29" s="7"/>
      <c r="AD29" s="7"/>
      <c r="AE29" s="7"/>
      <c r="AF29" s="7" t="s">
        <v>778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9" t="s">
        <v>620</v>
      </c>
      <c r="B30" s="9">
        <v>1921</v>
      </c>
      <c r="C30" s="7">
        <v>4</v>
      </c>
      <c r="D30" s="7" t="s">
        <v>621</v>
      </c>
      <c r="E30" s="7"/>
      <c r="F30" s="7"/>
      <c r="G30" s="7" t="s">
        <v>2907</v>
      </c>
      <c r="H30" s="7" t="s">
        <v>2908</v>
      </c>
      <c r="I30">
        <v>21</v>
      </c>
      <c r="J30" s="7" t="s">
        <v>13</v>
      </c>
      <c r="K30">
        <v>1</v>
      </c>
      <c r="N30" s="7" t="s">
        <v>60</v>
      </c>
      <c r="P30" s="7"/>
      <c r="R30">
        <v>1</v>
      </c>
      <c r="T30" s="6">
        <v>26</v>
      </c>
      <c r="X30" s="7"/>
      <c r="Y30" s="7"/>
      <c r="Z30" s="7"/>
      <c r="AA30" s="6" t="s">
        <v>2910</v>
      </c>
      <c r="AB30" s="6" t="s">
        <v>2911</v>
      </c>
      <c r="AC30" s="7">
        <v>1</v>
      </c>
      <c r="AD30" s="7"/>
      <c r="AE30" s="7"/>
      <c r="AF30" s="6" t="s">
        <v>2909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9" t="s">
        <v>620</v>
      </c>
      <c r="B31" s="9">
        <v>1921</v>
      </c>
      <c r="C31" s="7">
        <v>4</v>
      </c>
      <c r="D31" s="7" t="s">
        <v>621</v>
      </c>
      <c r="E31" s="7"/>
      <c r="F31" s="7"/>
      <c r="G31" s="7" t="s">
        <v>2913</v>
      </c>
      <c r="H31" s="7" t="s">
        <v>2912</v>
      </c>
      <c r="I31">
        <v>22</v>
      </c>
      <c r="J31" s="7" t="s">
        <v>13</v>
      </c>
      <c r="K31">
        <v>1</v>
      </c>
      <c r="N31" s="7" t="s">
        <v>60</v>
      </c>
      <c r="P31" s="7"/>
      <c r="R31">
        <v>1</v>
      </c>
      <c r="T31" s="6">
        <v>28</v>
      </c>
      <c r="X31" s="7"/>
      <c r="Y31" s="7"/>
      <c r="Z31" s="7"/>
      <c r="AA31" s="6" t="s">
        <v>2915</v>
      </c>
      <c r="AB31" s="6" t="s">
        <v>2916</v>
      </c>
      <c r="AC31" s="7">
        <v>1</v>
      </c>
      <c r="AD31" s="7"/>
      <c r="AE31" s="7"/>
      <c r="AF31" s="6" t="s">
        <v>2914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" customHeight="1" x14ac:dyDescent="0.2">
      <c r="A32" s="9" t="s">
        <v>620</v>
      </c>
      <c r="B32" s="9">
        <v>1921</v>
      </c>
      <c r="C32" s="7"/>
      <c r="D32" s="7" t="s">
        <v>621</v>
      </c>
      <c r="E32" s="7"/>
      <c r="F32" s="12"/>
      <c r="G32" s="12"/>
      <c r="H32" s="6">
        <v>7</v>
      </c>
      <c r="J32" s="13"/>
      <c r="N32" s="6"/>
      <c r="P32" s="12"/>
      <c r="T32" s="12"/>
      <c r="X32" s="7"/>
      <c r="Y32" s="7"/>
      <c r="Z32" s="7">
        <f>SUM(Z3:Z31)</f>
        <v>0</v>
      </c>
      <c r="AA32" s="12"/>
      <c r="AB32" s="12"/>
      <c r="AC32" s="7"/>
      <c r="AD32" s="7"/>
      <c r="AE32" s="7"/>
      <c r="AF32" s="12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9" t="s">
        <v>620</v>
      </c>
      <c r="B33" s="9">
        <v>1921</v>
      </c>
      <c r="C33" s="7"/>
      <c r="D33" s="7" t="s">
        <v>621</v>
      </c>
      <c r="E33" s="7"/>
      <c r="F33" s="12"/>
      <c r="G33" s="12" t="s">
        <v>1</v>
      </c>
      <c r="H33" s="6" t="s">
        <v>0</v>
      </c>
      <c r="J33" s="15" t="s">
        <v>3</v>
      </c>
      <c r="N33" s="230" t="s">
        <v>2</v>
      </c>
      <c r="P33" s="16"/>
      <c r="T33" s="12" t="s">
        <v>5</v>
      </c>
      <c r="X33" s="7"/>
      <c r="Y33" s="7"/>
      <c r="Z33" s="7"/>
      <c r="AA33" s="12" t="s">
        <v>7</v>
      </c>
      <c r="AB33" s="14" t="s">
        <v>8</v>
      </c>
      <c r="AC33" s="7"/>
      <c r="AD33" s="7"/>
      <c r="AE33" s="7"/>
      <c r="AF33" s="12" t="s">
        <v>6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9" t="s">
        <v>620</v>
      </c>
      <c r="B34" s="9">
        <v>1921</v>
      </c>
      <c r="C34" s="7">
        <v>5</v>
      </c>
      <c r="D34" s="7" t="s">
        <v>621</v>
      </c>
      <c r="E34" s="7" t="s">
        <v>2925</v>
      </c>
      <c r="F34" s="7"/>
      <c r="G34" s="21" t="s">
        <v>2918</v>
      </c>
      <c r="H34" s="21" t="s">
        <v>2917</v>
      </c>
      <c r="I34">
        <v>23</v>
      </c>
      <c r="J34" s="7" t="s">
        <v>13</v>
      </c>
      <c r="K34">
        <v>1</v>
      </c>
      <c r="N34" s="7">
        <v>1</v>
      </c>
      <c r="P34" s="7"/>
      <c r="T34" s="7">
        <v>63</v>
      </c>
      <c r="X34" s="7"/>
      <c r="Y34" s="7"/>
      <c r="Z34" s="7"/>
      <c r="AA34" s="7" t="s">
        <v>2920</v>
      </c>
      <c r="AB34" s="7" t="s">
        <v>2921</v>
      </c>
      <c r="AC34" s="7">
        <v>1</v>
      </c>
      <c r="AD34" s="7"/>
      <c r="AE34" s="7"/>
      <c r="AF34" s="7" t="s">
        <v>2919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9" t="s">
        <v>620</v>
      </c>
      <c r="B35" s="9">
        <v>1921</v>
      </c>
      <c r="C35" s="7">
        <v>5</v>
      </c>
      <c r="D35" s="7" t="s">
        <v>621</v>
      </c>
      <c r="E35" s="7"/>
      <c r="F35" s="7"/>
      <c r="G35" s="7" t="s">
        <v>2918</v>
      </c>
      <c r="H35" s="7" t="s">
        <v>2922</v>
      </c>
      <c r="I35">
        <v>24</v>
      </c>
      <c r="J35" s="7">
        <v>1</v>
      </c>
      <c r="N35" s="7" t="s">
        <v>144</v>
      </c>
      <c r="P35" s="7"/>
      <c r="R35">
        <v>1</v>
      </c>
      <c r="T35" s="7">
        <v>65</v>
      </c>
      <c r="X35" s="7"/>
      <c r="Y35" s="7"/>
      <c r="Z35" s="7"/>
      <c r="AA35" s="7" t="s">
        <v>50</v>
      </c>
      <c r="AB35" s="7" t="s">
        <v>20</v>
      </c>
      <c r="AC35" s="7"/>
      <c r="AD35" s="7"/>
      <c r="AE35" s="7"/>
      <c r="AF35" s="7" t="s">
        <v>2919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9" t="s">
        <v>620</v>
      </c>
      <c r="B36" s="9">
        <v>1921</v>
      </c>
      <c r="C36" s="7">
        <v>5</v>
      </c>
      <c r="D36" s="7" t="s">
        <v>621</v>
      </c>
      <c r="E36" s="7"/>
      <c r="F36" s="7"/>
      <c r="G36" s="7" t="s">
        <v>2923</v>
      </c>
      <c r="H36" s="7" t="s">
        <v>1987</v>
      </c>
      <c r="I36">
        <v>25</v>
      </c>
      <c r="J36" s="7">
        <v>1</v>
      </c>
      <c r="N36" s="7" t="s">
        <v>26</v>
      </c>
      <c r="P36" s="7"/>
      <c r="S36">
        <v>1</v>
      </c>
      <c r="T36" s="7">
        <v>42</v>
      </c>
      <c r="X36" s="7"/>
      <c r="Y36" s="7"/>
      <c r="Z36" s="7"/>
      <c r="AA36" s="7" t="s">
        <v>344</v>
      </c>
      <c r="AB36" s="7" t="s">
        <v>29</v>
      </c>
      <c r="AC36" s="7">
        <v>1</v>
      </c>
      <c r="AD36" s="22"/>
      <c r="AE36" s="7"/>
      <c r="AF36" s="7" t="s">
        <v>2924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9" t="s">
        <v>620</v>
      </c>
      <c r="B37" s="9">
        <v>1921</v>
      </c>
      <c r="C37" s="7"/>
      <c r="D37" s="7" t="s">
        <v>621</v>
      </c>
      <c r="E37" s="7"/>
      <c r="F37" s="7"/>
      <c r="G37" s="7"/>
      <c r="H37" s="7">
        <v>3</v>
      </c>
      <c r="J37" s="7"/>
      <c r="N37" s="7"/>
      <c r="P37" s="7"/>
      <c r="T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">
      <c r="A38" s="9" t="s">
        <v>620</v>
      </c>
      <c r="B38" s="9">
        <v>1921</v>
      </c>
      <c r="C38" s="7"/>
      <c r="D38" s="7" t="s">
        <v>621</v>
      </c>
      <c r="G38" t="s">
        <v>1</v>
      </c>
      <c r="H38" t="s">
        <v>0</v>
      </c>
      <c r="J38" t="s">
        <v>3</v>
      </c>
      <c r="N38" t="s">
        <v>2</v>
      </c>
      <c r="T38" t="s">
        <v>5</v>
      </c>
      <c r="AA38" t="s">
        <v>7</v>
      </c>
      <c r="AB38" t="s">
        <v>8</v>
      </c>
      <c r="AF38" t="s">
        <v>6</v>
      </c>
    </row>
    <row r="39" spans="1:51" x14ac:dyDescent="0.2">
      <c r="A39" s="9" t="s">
        <v>620</v>
      </c>
      <c r="B39" s="9">
        <v>1921</v>
      </c>
      <c r="C39" s="7">
        <v>6</v>
      </c>
      <c r="D39" s="7" t="s">
        <v>621</v>
      </c>
      <c r="E39" t="s">
        <v>2930</v>
      </c>
      <c r="G39" t="s">
        <v>1713</v>
      </c>
      <c r="H39" t="s">
        <v>2926</v>
      </c>
      <c r="I39">
        <v>26</v>
      </c>
      <c r="J39" t="s">
        <v>13</v>
      </c>
      <c r="K39">
        <v>1</v>
      </c>
      <c r="N39">
        <v>1</v>
      </c>
      <c r="T39">
        <v>28</v>
      </c>
      <c r="AA39" t="s">
        <v>2928</v>
      </c>
      <c r="AB39" t="s">
        <v>29</v>
      </c>
      <c r="AC39">
        <v>1</v>
      </c>
      <c r="AF39" t="s">
        <v>2927</v>
      </c>
    </row>
    <row r="40" spans="1:51" x14ac:dyDescent="0.2">
      <c r="A40" s="9" t="s">
        <v>620</v>
      </c>
      <c r="B40" s="9">
        <v>1921</v>
      </c>
      <c r="C40" s="7">
        <v>6</v>
      </c>
      <c r="D40" s="7" t="s">
        <v>621</v>
      </c>
      <c r="G40" t="s">
        <v>1713</v>
      </c>
      <c r="H40" t="s">
        <v>2226</v>
      </c>
      <c r="I40">
        <v>27</v>
      </c>
      <c r="J40">
        <v>1</v>
      </c>
      <c r="N40" t="s">
        <v>18</v>
      </c>
      <c r="O40">
        <v>1</v>
      </c>
      <c r="T40">
        <v>22</v>
      </c>
      <c r="AA40" t="s">
        <v>50</v>
      </c>
      <c r="AB40" t="s">
        <v>20</v>
      </c>
      <c r="AF40" t="s">
        <v>2929</v>
      </c>
    </row>
    <row r="41" spans="1:51" x14ac:dyDescent="0.2">
      <c r="A41" s="9" t="s">
        <v>620</v>
      </c>
      <c r="B41" s="9">
        <v>1921</v>
      </c>
      <c r="C41" s="7"/>
      <c r="D41" s="7" t="s">
        <v>621</v>
      </c>
      <c r="H41">
        <v>2</v>
      </c>
    </row>
    <row r="42" spans="1:51" x14ac:dyDescent="0.2">
      <c r="A42" s="9" t="s">
        <v>620</v>
      </c>
      <c r="B42" s="9">
        <v>1921</v>
      </c>
      <c r="C42" s="7"/>
      <c r="D42" s="7" t="s">
        <v>621</v>
      </c>
      <c r="G42" t="s">
        <v>1</v>
      </c>
      <c r="H42" t="s">
        <v>0</v>
      </c>
      <c r="J42" t="s">
        <v>3</v>
      </c>
      <c r="N42" t="s">
        <v>2</v>
      </c>
      <c r="T42" t="s">
        <v>5</v>
      </c>
      <c r="AA42" t="s">
        <v>7</v>
      </c>
      <c r="AB42" t="s">
        <v>8</v>
      </c>
      <c r="AF42" t="s">
        <v>6</v>
      </c>
    </row>
    <row r="43" spans="1:51" s="55" customFormat="1" ht="20" x14ac:dyDescent="0.2">
      <c r="A43" s="226" t="s">
        <v>620</v>
      </c>
      <c r="B43" s="226">
        <v>1921</v>
      </c>
      <c r="C43" s="227">
        <v>7</v>
      </c>
      <c r="D43" s="227" t="s">
        <v>621</v>
      </c>
      <c r="E43" s="265" t="s">
        <v>2939</v>
      </c>
      <c r="G43" s="55" t="s">
        <v>2016</v>
      </c>
      <c r="H43" s="55" t="s">
        <v>2931</v>
      </c>
      <c r="I43" s="55">
        <v>28</v>
      </c>
      <c r="J43" s="55">
        <v>1</v>
      </c>
      <c r="N43" s="55">
        <v>1</v>
      </c>
      <c r="T43" s="55">
        <v>47</v>
      </c>
      <c r="AA43" s="55" t="s">
        <v>50</v>
      </c>
      <c r="AB43" s="55" t="s">
        <v>20</v>
      </c>
      <c r="AF43" s="55">
        <v>1</v>
      </c>
    </row>
    <row r="44" spans="1:51" x14ac:dyDescent="0.2">
      <c r="A44" s="9" t="s">
        <v>620</v>
      </c>
      <c r="B44" s="9">
        <v>1921</v>
      </c>
      <c r="C44" s="7">
        <v>7</v>
      </c>
      <c r="D44" s="7" t="s">
        <v>621</v>
      </c>
      <c r="G44" t="s">
        <v>2016</v>
      </c>
      <c r="H44" t="s">
        <v>2933</v>
      </c>
      <c r="I44">
        <v>29</v>
      </c>
      <c r="J44" t="s">
        <v>13</v>
      </c>
      <c r="K44">
        <v>1</v>
      </c>
      <c r="N44" t="s">
        <v>51</v>
      </c>
      <c r="Q44">
        <v>1</v>
      </c>
      <c r="T44">
        <v>22</v>
      </c>
      <c r="AA44" t="s">
        <v>2934</v>
      </c>
      <c r="AB44" t="s">
        <v>2935</v>
      </c>
      <c r="AC44">
        <v>1</v>
      </c>
      <c r="AF44">
        <v>1</v>
      </c>
    </row>
    <row r="45" spans="1:51" x14ac:dyDescent="0.2">
      <c r="A45" s="9" t="s">
        <v>620</v>
      </c>
      <c r="B45" s="9">
        <v>1921</v>
      </c>
      <c r="C45" s="7">
        <v>7</v>
      </c>
      <c r="D45" s="7" t="s">
        <v>621</v>
      </c>
      <c r="G45" t="s">
        <v>2016</v>
      </c>
      <c r="H45" t="s">
        <v>2936</v>
      </c>
      <c r="I45">
        <v>30</v>
      </c>
      <c r="J45">
        <v>1</v>
      </c>
      <c r="N45" t="s">
        <v>22</v>
      </c>
      <c r="P45">
        <v>1</v>
      </c>
      <c r="T45">
        <v>18</v>
      </c>
      <c r="AA45" t="s">
        <v>20</v>
      </c>
      <c r="AB45" t="s">
        <v>20</v>
      </c>
      <c r="AF45">
        <v>1</v>
      </c>
    </row>
    <row r="46" spans="1:51" x14ac:dyDescent="0.2">
      <c r="A46" s="9" t="s">
        <v>620</v>
      </c>
      <c r="B46" s="9">
        <v>1921</v>
      </c>
      <c r="C46" s="7">
        <v>7</v>
      </c>
      <c r="D46" s="7" t="s">
        <v>621</v>
      </c>
      <c r="G46" t="s">
        <v>2016</v>
      </c>
      <c r="H46" t="s">
        <v>2550</v>
      </c>
      <c r="I46">
        <v>31</v>
      </c>
      <c r="J46" t="s">
        <v>19</v>
      </c>
      <c r="L46">
        <v>1</v>
      </c>
      <c r="N46" t="s">
        <v>22</v>
      </c>
      <c r="P46">
        <v>1</v>
      </c>
      <c r="T46">
        <v>7</v>
      </c>
      <c r="AA46" t="s">
        <v>2938</v>
      </c>
      <c r="AB46" t="s">
        <v>20</v>
      </c>
      <c r="AF46">
        <v>1</v>
      </c>
    </row>
    <row r="47" spans="1:51" x14ac:dyDescent="0.2">
      <c r="A47" s="9" t="s">
        <v>620</v>
      </c>
      <c r="B47" s="9">
        <v>1921</v>
      </c>
      <c r="C47" s="7">
        <v>7</v>
      </c>
      <c r="D47" s="7" t="s">
        <v>621</v>
      </c>
      <c r="G47" t="s">
        <v>1104</v>
      </c>
      <c r="H47" t="s">
        <v>1332</v>
      </c>
      <c r="I47">
        <v>32</v>
      </c>
      <c r="J47">
        <v>1</v>
      </c>
      <c r="N47" t="s">
        <v>26</v>
      </c>
      <c r="S47">
        <v>1</v>
      </c>
      <c r="T47">
        <v>35</v>
      </c>
      <c r="AA47" t="s">
        <v>33</v>
      </c>
      <c r="AB47" t="s">
        <v>29</v>
      </c>
      <c r="AC47">
        <v>1</v>
      </c>
      <c r="AF47" t="s">
        <v>368</v>
      </c>
    </row>
    <row r="48" spans="1:51" x14ac:dyDescent="0.2">
      <c r="A48" s="9" t="s">
        <v>620</v>
      </c>
      <c r="B48" s="9">
        <v>1921</v>
      </c>
      <c r="C48" s="7"/>
      <c r="D48" s="7" t="s">
        <v>621</v>
      </c>
      <c r="H48">
        <v>5</v>
      </c>
    </row>
    <row r="49" spans="1:32" x14ac:dyDescent="0.2">
      <c r="A49" s="9" t="s">
        <v>620</v>
      </c>
      <c r="B49" s="9">
        <v>1921</v>
      </c>
      <c r="C49" s="7"/>
      <c r="D49" s="7" t="s">
        <v>621</v>
      </c>
      <c r="G49" t="s">
        <v>1</v>
      </c>
      <c r="H49" t="s">
        <v>0</v>
      </c>
      <c r="J49" t="s">
        <v>3</v>
      </c>
      <c r="N49" t="s">
        <v>2</v>
      </c>
      <c r="T49" t="s">
        <v>5</v>
      </c>
      <c r="AA49" t="s">
        <v>7</v>
      </c>
      <c r="AB49" t="s">
        <v>8</v>
      </c>
      <c r="AF49" t="s">
        <v>6</v>
      </c>
    </row>
    <row r="50" spans="1:32" x14ac:dyDescent="0.2">
      <c r="A50" s="9" t="s">
        <v>620</v>
      </c>
      <c r="B50" s="9">
        <v>1921</v>
      </c>
      <c r="C50" s="7">
        <v>8</v>
      </c>
      <c r="D50" s="7" t="s">
        <v>621</v>
      </c>
      <c r="E50" t="s">
        <v>2942</v>
      </c>
      <c r="G50" t="s">
        <v>2940</v>
      </c>
      <c r="H50" t="s">
        <v>1585</v>
      </c>
      <c r="I50">
        <v>33</v>
      </c>
      <c r="J50" t="s">
        <v>13</v>
      </c>
      <c r="K50">
        <v>1</v>
      </c>
      <c r="N50">
        <v>1</v>
      </c>
      <c r="T50">
        <v>51</v>
      </c>
      <c r="AA50" t="s">
        <v>2941</v>
      </c>
      <c r="AC50">
        <v>1</v>
      </c>
      <c r="AD50">
        <v>1</v>
      </c>
      <c r="AF50">
        <v>1</v>
      </c>
    </row>
    <row r="51" spans="1:32" x14ac:dyDescent="0.2">
      <c r="A51" s="9" t="s">
        <v>620</v>
      </c>
      <c r="B51" s="9">
        <v>1921</v>
      </c>
      <c r="C51" s="7">
        <v>8</v>
      </c>
      <c r="D51" s="7" t="s">
        <v>621</v>
      </c>
      <c r="G51" t="s">
        <v>2940</v>
      </c>
      <c r="H51" t="s">
        <v>46</v>
      </c>
      <c r="I51">
        <v>34</v>
      </c>
      <c r="J51">
        <v>1</v>
      </c>
      <c r="N51" t="s">
        <v>18</v>
      </c>
      <c r="O51">
        <v>1</v>
      </c>
      <c r="T51">
        <v>41</v>
      </c>
      <c r="AA51" t="s">
        <v>50</v>
      </c>
      <c r="AB51" t="s">
        <v>20</v>
      </c>
      <c r="AF51">
        <v>1</v>
      </c>
    </row>
    <row r="52" spans="1:32" x14ac:dyDescent="0.2">
      <c r="A52" s="9" t="s">
        <v>620</v>
      </c>
      <c r="B52" s="9">
        <v>1921</v>
      </c>
      <c r="C52" s="7"/>
      <c r="D52" s="7" t="s">
        <v>621</v>
      </c>
      <c r="H52">
        <v>2</v>
      </c>
    </row>
    <row r="53" spans="1:32" x14ac:dyDescent="0.2">
      <c r="A53" s="9" t="s">
        <v>620</v>
      </c>
      <c r="B53" s="9">
        <v>1921</v>
      </c>
      <c r="C53" s="7"/>
      <c r="D53" s="7" t="s">
        <v>621</v>
      </c>
      <c r="G53" t="s">
        <v>1</v>
      </c>
      <c r="H53" t="s">
        <v>0</v>
      </c>
      <c r="J53" t="s">
        <v>3</v>
      </c>
      <c r="N53" t="s">
        <v>2</v>
      </c>
      <c r="T53" t="s">
        <v>5</v>
      </c>
      <c r="AA53" t="s">
        <v>7</v>
      </c>
      <c r="AB53" t="s">
        <v>8</v>
      </c>
      <c r="AF53" t="s">
        <v>6</v>
      </c>
    </row>
    <row r="54" spans="1:32" ht="20" x14ac:dyDescent="0.2">
      <c r="A54" s="9" t="s">
        <v>620</v>
      </c>
      <c r="B54" s="9">
        <v>1921</v>
      </c>
      <c r="C54" s="7">
        <v>9</v>
      </c>
      <c r="D54" s="7" t="s">
        <v>621</v>
      </c>
      <c r="E54" s="262" t="s">
        <v>2947</v>
      </c>
      <c r="G54" t="s">
        <v>988</v>
      </c>
      <c r="H54" t="s">
        <v>423</v>
      </c>
      <c r="I54">
        <v>35</v>
      </c>
      <c r="J54" t="s">
        <v>13</v>
      </c>
      <c r="K54">
        <v>1</v>
      </c>
      <c r="N54" t="s">
        <v>2943</v>
      </c>
      <c r="R54">
        <v>1</v>
      </c>
      <c r="T54">
        <v>79</v>
      </c>
      <c r="AA54" t="s">
        <v>2944</v>
      </c>
      <c r="AB54" t="s">
        <v>1584</v>
      </c>
      <c r="AF54">
        <v>1</v>
      </c>
    </row>
    <row r="55" spans="1:32" x14ac:dyDescent="0.2">
      <c r="A55" s="9" t="s">
        <v>620</v>
      </c>
      <c r="B55" s="9">
        <v>1921</v>
      </c>
      <c r="C55" s="7">
        <v>9</v>
      </c>
      <c r="D55" s="7" t="s">
        <v>621</v>
      </c>
      <c r="G55" t="s">
        <v>988</v>
      </c>
      <c r="H55" t="s">
        <v>1581</v>
      </c>
      <c r="I55">
        <v>36</v>
      </c>
      <c r="J55">
        <v>1</v>
      </c>
      <c r="N55" t="s">
        <v>910</v>
      </c>
      <c r="R55">
        <v>1</v>
      </c>
      <c r="T55">
        <v>80</v>
      </c>
      <c r="AA55" t="s">
        <v>50</v>
      </c>
      <c r="AB55" t="s">
        <v>20</v>
      </c>
      <c r="AF55">
        <v>1</v>
      </c>
    </row>
    <row r="56" spans="1:32" x14ac:dyDescent="0.2">
      <c r="A56" s="9" t="s">
        <v>620</v>
      </c>
      <c r="B56" s="9">
        <v>1921</v>
      </c>
      <c r="C56" s="7">
        <v>9</v>
      </c>
      <c r="D56" s="7" t="s">
        <v>621</v>
      </c>
      <c r="G56" t="s">
        <v>2946</v>
      </c>
      <c r="H56" t="s">
        <v>2945</v>
      </c>
      <c r="I56">
        <v>37</v>
      </c>
      <c r="J56">
        <v>1</v>
      </c>
      <c r="N56" t="s">
        <v>437</v>
      </c>
      <c r="S56">
        <v>1</v>
      </c>
      <c r="T56">
        <v>24</v>
      </c>
      <c r="AA56" t="s">
        <v>56</v>
      </c>
      <c r="AB56" t="s">
        <v>20</v>
      </c>
      <c r="AF56" t="s">
        <v>438</v>
      </c>
    </row>
    <row r="57" spans="1:32" x14ac:dyDescent="0.2">
      <c r="A57" s="9" t="s">
        <v>620</v>
      </c>
      <c r="B57" s="9">
        <v>1921</v>
      </c>
      <c r="C57" s="7"/>
      <c r="D57" s="7" t="s">
        <v>621</v>
      </c>
      <c r="H57">
        <v>3</v>
      </c>
    </row>
    <row r="58" spans="1:32" x14ac:dyDescent="0.2">
      <c r="A58" s="9" t="s">
        <v>620</v>
      </c>
      <c r="B58" s="9">
        <v>1921</v>
      </c>
      <c r="C58" s="7"/>
      <c r="D58" s="7" t="s">
        <v>621</v>
      </c>
      <c r="G58" t="s">
        <v>1</v>
      </c>
      <c r="H58" t="s">
        <v>0</v>
      </c>
      <c r="J58" t="s">
        <v>3</v>
      </c>
      <c r="N58" t="s">
        <v>2</v>
      </c>
      <c r="T58" t="s">
        <v>5</v>
      </c>
      <c r="AA58" t="s">
        <v>7</v>
      </c>
      <c r="AB58" t="s">
        <v>8</v>
      </c>
      <c r="AF58" t="s">
        <v>6</v>
      </c>
    </row>
    <row r="59" spans="1:32" ht="20" x14ac:dyDescent="0.2">
      <c r="A59" s="9" t="s">
        <v>620</v>
      </c>
      <c r="B59" s="9">
        <v>1921</v>
      </c>
      <c r="C59" s="7">
        <v>10</v>
      </c>
      <c r="D59" s="7" t="s">
        <v>621</v>
      </c>
      <c r="E59" s="262" t="s">
        <v>2953</v>
      </c>
      <c r="G59" t="s">
        <v>2949</v>
      </c>
      <c r="H59" t="s">
        <v>2948</v>
      </c>
      <c r="I59">
        <v>38</v>
      </c>
      <c r="J59" t="s">
        <v>13</v>
      </c>
      <c r="K59">
        <v>1</v>
      </c>
      <c r="N59">
        <v>1</v>
      </c>
      <c r="T59">
        <v>51</v>
      </c>
      <c r="AA59" t="s">
        <v>2951</v>
      </c>
      <c r="AB59">
        <v>1</v>
      </c>
      <c r="AF59" t="s">
        <v>2950</v>
      </c>
    </row>
    <row r="60" spans="1:32" x14ac:dyDescent="0.2">
      <c r="A60" s="9" t="s">
        <v>620</v>
      </c>
      <c r="B60" s="9">
        <v>1921</v>
      </c>
      <c r="C60" s="7">
        <v>10</v>
      </c>
      <c r="D60" s="7" t="s">
        <v>621</v>
      </c>
      <c r="G60" t="s">
        <v>2949</v>
      </c>
      <c r="H60" t="s">
        <v>24</v>
      </c>
      <c r="I60">
        <v>39</v>
      </c>
      <c r="J60">
        <v>1</v>
      </c>
      <c r="N60" t="s">
        <v>18</v>
      </c>
      <c r="O60">
        <v>1</v>
      </c>
      <c r="T60">
        <v>54</v>
      </c>
      <c r="AA60" t="s">
        <v>50</v>
      </c>
      <c r="AB60" t="s">
        <v>20</v>
      </c>
      <c r="AF60">
        <v>1</v>
      </c>
    </row>
    <row r="61" spans="1:32" x14ac:dyDescent="0.2">
      <c r="A61" s="9" t="s">
        <v>620</v>
      </c>
      <c r="B61" s="9">
        <v>1921</v>
      </c>
      <c r="C61" s="7">
        <v>10</v>
      </c>
      <c r="D61" s="7" t="s">
        <v>621</v>
      </c>
      <c r="G61" t="s">
        <v>2949</v>
      </c>
      <c r="H61" t="s">
        <v>947</v>
      </c>
      <c r="I61">
        <v>40</v>
      </c>
      <c r="J61">
        <v>1</v>
      </c>
      <c r="N61" t="s">
        <v>22</v>
      </c>
      <c r="P61">
        <v>1</v>
      </c>
      <c r="T61">
        <v>18</v>
      </c>
      <c r="AA61" t="s">
        <v>173</v>
      </c>
      <c r="AB61" t="s">
        <v>2952</v>
      </c>
      <c r="AC61">
        <v>1</v>
      </c>
      <c r="AF61">
        <v>1</v>
      </c>
    </row>
    <row r="62" spans="1:32" x14ac:dyDescent="0.2">
      <c r="A62" s="9" t="s">
        <v>620</v>
      </c>
      <c r="B62" s="9">
        <v>1921</v>
      </c>
      <c r="C62" s="7"/>
      <c r="D62" s="7" t="s">
        <v>621</v>
      </c>
      <c r="H62">
        <v>3</v>
      </c>
    </row>
    <row r="63" spans="1:32" x14ac:dyDescent="0.2">
      <c r="A63" s="9" t="s">
        <v>620</v>
      </c>
      <c r="B63" s="9">
        <v>1921</v>
      </c>
      <c r="C63" s="7"/>
      <c r="D63" s="7" t="s">
        <v>621</v>
      </c>
      <c r="G63" t="s">
        <v>1</v>
      </c>
      <c r="H63" t="s">
        <v>0</v>
      </c>
      <c r="J63" t="s">
        <v>3</v>
      </c>
      <c r="N63" t="s">
        <v>2</v>
      </c>
      <c r="T63" t="s">
        <v>5</v>
      </c>
      <c r="AA63" t="s">
        <v>7</v>
      </c>
      <c r="AB63" t="s">
        <v>8</v>
      </c>
      <c r="AF63" t="s">
        <v>6</v>
      </c>
    </row>
    <row r="64" spans="1:32" s="55" customFormat="1" ht="20" x14ac:dyDescent="0.2">
      <c r="A64" s="226" t="s">
        <v>620</v>
      </c>
      <c r="B64" s="226">
        <v>1921</v>
      </c>
      <c r="C64" s="227">
        <v>11</v>
      </c>
      <c r="D64" s="227" t="s">
        <v>621</v>
      </c>
      <c r="E64" s="265" t="s">
        <v>2957</v>
      </c>
      <c r="G64" s="55" t="s">
        <v>932</v>
      </c>
      <c r="H64" s="55" t="s">
        <v>2847</v>
      </c>
      <c r="I64" s="55">
        <v>41</v>
      </c>
      <c r="J64" s="55">
        <v>1</v>
      </c>
      <c r="N64" s="55">
        <v>1</v>
      </c>
      <c r="T64" s="55">
        <v>67</v>
      </c>
      <c r="AA64" s="55" t="s">
        <v>2954</v>
      </c>
      <c r="AB64" s="55" t="s">
        <v>20</v>
      </c>
      <c r="AF64" s="55">
        <v>1</v>
      </c>
    </row>
    <row r="65" spans="1:33" x14ac:dyDescent="0.2">
      <c r="A65" s="9" t="s">
        <v>620</v>
      </c>
      <c r="B65" s="9">
        <v>1921</v>
      </c>
      <c r="C65" s="7">
        <v>11</v>
      </c>
      <c r="D65" s="7" t="s">
        <v>621</v>
      </c>
      <c r="G65" t="s">
        <v>2955</v>
      </c>
      <c r="H65" t="s">
        <v>1318</v>
      </c>
      <c r="I65">
        <v>42</v>
      </c>
      <c r="J65">
        <v>1</v>
      </c>
      <c r="N65" t="s">
        <v>60</v>
      </c>
      <c r="R65">
        <v>1</v>
      </c>
      <c r="T65">
        <v>75</v>
      </c>
      <c r="AA65" t="s">
        <v>2956</v>
      </c>
      <c r="AB65" t="s">
        <v>20</v>
      </c>
      <c r="AF65">
        <v>1</v>
      </c>
    </row>
    <row r="66" spans="1:33" x14ac:dyDescent="0.2">
      <c r="A66" s="9" t="s">
        <v>620</v>
      </c>
      <c r="B66" s="9">
        <v>1921</v>
      </c>
      <c r="C66" s="7">
        <v>11</v>
      </c>
      <c r="D66" s="7" t="s">
        <v>621</v>
      </c>
      <c r="H66">
        <v>2</v>
      </c>
      <c r="I66">
        <v>42</v>
      </c>
      <c r="J66">
        <f>SUM(J3:J65)</f>
        <v>24</v>
      </c>
      <c r="K66">
        <f t="shared" ref="K66:AD66" si="0">SUM(K3:K65)</f>
        <v>13</v>
      </c>
      <c r="L66">
        <f t="shared" si="0"/>
        <v>5</v>
      </c>
      <c r="M66">
        <f t="shared" si="0"/>
        <v>0</v>
      </c>
      <c r="N66">
        <f t="shared" si="0"/>
        <v>10</v>
      </c>
      <c r="O66">
        <f t="shared" si="0"/>
        <v>5</v>
      </c>
      <c r="P66">
        <f t="shared" si="0"/>
        <v>7</v>
      </c>
      <c r="Q66">
        <f>SUM(Q3:Q65)</f>
        <v>1</v>
      </c>
      <c r="R66">
        <f>SUM(R3:R65)</f>
        <v>12</v>
      </c>
      <c r="S66">
        <f>SUM(S3:S65)</f>
        <v>7</v>
      </c>
      <c r="T66">
        <f>SUM(T3:T65)</f>
        <v>1567</v>
      </c>
      <c r="X66">
        <f t="shared" si="0"/>
        <v>0</v>
      </c>
      <c r="Y66">
        <f t="shared" si="0"/>
        <v>0</v>
      </c>
      <c r="Z66">
        <f t="shared" si="0"/>
        <v>0</v>
      </c>
      <c r="AA66">
        <f>SUM(AA3:AA65)</f>
        <v>0</v>
      </c>
      <c r="AB66">
        <f>SUM(AB3:AB65)</f>
        <v>1</v>
      </c>
      <c r="AC66">
        <f t="shared" si="0"/>
        <v>17</v>
      </c>
      <c r="AD66">
        <f t="shared" si="0"/>
        <v>2</v>
      </c>
      <c r="AE66">
        <f>AC66-AD66</f>
        <v>15</v>
      </c>
      <c r="AF66">
        <f>SUM(AF3:AF65)</f>
        <v>23</v>
      </c>
      <c r="AG66">
        <f>N67-AF66</f>
        <v>19</v>
      </c>
    </row>
    <row r="67" spans="1:33" x14ac:dyDescent="0.2">
      <c r="J67">
        <f>SUM(J66:M66)</f>
        <v>42</v>
      </c>
      <c r="N67">
        <f>SUM(N66:S66)</f>
        <v>42</v>
      </c>
      <c r="T67" s="64">
        <f>T66/N67</f>
        <v>37.30952380952381</v>
      </c>
    </row>
    <row r="72" spans="1:33" x14ac:dyDescent="0.2">
      <c r="E72" s="7"/>
      <c r="F72" s="7"/>
      <c r="G72" s="7"/>
      <c r="H72" s="7" t="s">
        <v>0</v>
      </c>
      <c r="I72" t="s">
        <v>1</v>
      </c>
      <c r="J72" s="7" t="s">
        <v>2</v>
      </c>
      <c r="K72" t="s">
        <v>3</v>
      </c>
      <c r="L72" t="s">
        <v>4</v>
      </c>
      <c r="M72" t="s">
        <v>5</v>
      </c>
      <c r="N72" s="7" t="s">
        <v>6</v>
      </c>
      <c r="O72" t="s">
        <v>7</v>
      </c>
      <c r="P72" s="7" t="s">
        <v>8</v>
      </c>
    </row>
    <row r="73" spans="1:33" x14ac:dyDescent="0.2">
      <c r="E73" s="261" t="s">
        <v>2875</v>
      </c>
      <c r="F73" s="7"/>
      <c r="G73" s="7"/>
      <c r="H73" s="7" t="s">
        <v>2867</v>
      </c>
      <c r="I73" t="s">
        <v>2868</v>
      </c>
      <c r="J73" s="7" t="s">
        <v>12</v>
      </c>
      <c r="K73" t="s">
        <v>13</v>
      </c>
      <c r="L73">
        <v>1885</v>
      </c>
      <c r="M73">
        <v>36</v>
      </c>
      <c r="N73" s="7" t="s">
        <v>901</v>
      </c>
      <c r="O73" t="s">
        <v>2869</v>
      </c>
      <c r="P73" s="7" t="s">
        <v>2870</v>
      </c>
    </row>
    <row r="74" spans="1:33" x14ac:dyDescent="0.2">
      <c r="E74" s="7"/>
      <c r="F74" s="7"/>
      <c r="G74" s="7"/>
      <c r="H74" s="7" t="s">
        <v>2871</v>
      </c>
      <c r="I74" t="s">
        <v>2868</v>
      </c>
      <c r="J74" s="7" t="s">
        <v>18</v>
      </c>
      <c r="K74" t="s">
        <v>19</v>
      </c>
      <c r="L74">
        <v>1888</v>
      </c>
      <c r="M74">
        <v>32</v>
      </c>
      <c r="N74" s="7" t="s">
        <v>14</v>
      </c>
      <c r="O74" t="s">
        <v>50</v>
      </c>
      <c r="P74" s="7" t="s">
        <v>20</v>
      </c>
    </row>
    <row r="75" spans="1:33" x14ac:dyDescent="0.2">
      <c r="E75" s="7"/>
      <c r="F75" s="7"/>
      <c r="G75" s="7"/>
      <c r="H75" s="7" t="s">
        <v>2872</v>
      </c>
      <c r="I75" t="s">
        <v>2868</v>
      </c>
      <c r="J75" s="7" t="s">
        <v>22</v>
      </c>
      <c r="K75" t="s">
        <v>19</v>
      </c>
      <c r="L75">
        <v>1912</v>
      </c>
      <c r="M75">
        <v>9</v>
      </c>
      <c r="N75" s="7" t="s">
        <v>2873</v>
      </c>
      <c r="O75" t="s">
        <v>20</v>
      </c>
      <c r="P75" s="7" t="s">
        <v>20</v>
      </c>
    </row>
    <row r="76" spans="1:33" x14ac:dyDescent="0.2">
      <c r="E76" s="7"/>
      <c r="F76" s="7"/>
      <c r="G76" s="7"/>
      <c r="H76" s="7" t="s">
        <v>2874</v>
      </c>
      <c r="I76" t="s">
        <v>2868</v>
      </c>
      <c r="J76" s="7" t="s">
        <v>22</v>
      </c>
      <c r="K76" t="s">
        <v>19</v>
      </c>
      <c r="L76">
        <v>1915</v>
      </c>
      <c r="M76">
        <v>6</v>
      </c>
      <c r="N76" s="7" t="s">
        <v>901</v>
      </c>
      <c r="O76" t="s">
        <v>20</v>
      </c>
      <c r="P76" s="7" t="s">
        <v>20</v>
      </c>
    </row>
    <row r="77" spans="1:33" x14ac:dyDescent="0.2">
      <c r="E77" s="7"/>
      <c r="F77" s="7"/>
      <c r="G77" s="7"/>
      <c r="H77" s="7"/>
      <c r="J77" s="7"/>
      <c r="N77" s="7"/>
      <c r="P77" s="7"/>
    </row>
    <row r="78" spans="1:33" x14ac:dyDescent="0.2">
      <c r="E78" s="7"/>
      <c r="F78" s="7"/>
      <c r="G78" s="7"/>
      <c r="H78" s="7" t="s">
        <v>0</v>
      </c>
      <c r="I78" t="s">
        <v>1</v>
      </c>
      <c r="J78" s="7" t="s">
        <v>2</v>
      </c>
      <c r="K78" t="s">
        <v>3</v>
      </c>
      <c r="L78" t="s">
        <v>4</v>
      </c>
      <c r="M78" t="s">
        <v>5</v>
      </c>
      <c r="N78" s="7" t="s">
        <v>6</v>
      </c>
      <c r="O78" t="s">
        <v>7</v>
      </c>
      <c r="P78" s="7" t="s">
        <v>8</v>
      </c>
    </row>
    <row r="79" spans="1:33" x14ac:dyDescent="0.2">
      <c r="E79" s="261" t="s">
        <v>2884</v>
      </c>
      <c r="F79" s="7">
        <v>1</v>
      </c>
      <c r="G79" s="7"/>
      <c r="H79" s="7" t="s">
        <v>2876</v>
      </c>
      <c r="I79" t="s">
        <v>2877</v>
      </c>
      <c r="J79" s="7" t="s">
        <v>12</v>
      </c>
      <c r="K79" t="s">
        <v>13</v>
      </c>
      <c r="L79">
        <v>1881</v>
      </c>
      <c r="M79">
        <v>39</v>
      </c>
      <c r="N79" s="7" t="s">
        <v>14</v>
      </c>
      <c r="O79" t="s">
        <v>2878</v>
      </c>
      <c r="P79" s="7" t="s">
        <v>8</v>
      </c>
    </row>
    <row r="80" spans="1:33" x14ac:dyDescent="0.2">
      <c r="E80" s="7"/>
      <c r="F80" s="7"/>
      <c r="G80" s="7"/>
      <c r="H80" s="7" t="s">
        <v>2879</v>
      </c>
      <c r="I80" t="s">
        <v>2877</v>
      </c>
      <c r="J80" s="7" t="s">
        <v>18</v>
      </c>
      <c r="K80" t="s">
        <v>19</v>
      </c>
      <c r="L80">
        <v>1879</v>
      </c>
      <c r="M80">
        <v>42</v>
      </c>
      <c r="N80" s="7" t="s">
        <v>749</v>
      </c>
      <c r="O80" t="s">
        <v>50</v>
      </c>
      <c r="P80" s="7" t="s">
        <v>20</v>
      </c>
    </row>
    <row r="81" spans="5:18" x14ac:dyDescent="0.2">
      <c r="E81" s="7"/>
      <c r="F81" s="7"/>
      <c r="G81" s="7"/>
      <c r="H81" s="7" t="s">
        <v>1528</v>
      </c>
      <c r="I81" t="s">
        <v>2877</v>
      </c>
      <c r="J81" s="7" t="s">
        <v>22</v>
      </c>
      <c r="K81" t="s">
        <v>19</v>
      </c>
      <c r="L81">
        <v>1911</v>
      </c>
      <c r="M81">
        <v>9</v>
      </c>
      <c r="N81" s="7" t="s">
        <v>14</v>
      </c>
      <c r="O81" t="s">
        <v>20</v>
      </c>
      <c r="P81" s="7" t="s">
        <v>20</v>
      </c>
    </row>
    <row r="82" spans="5:18" x14ac:dyDescent="0.2">
      <c r="E82" s="7"/>
      <c r="F82" s="7"/>
      <c r="G82" s="7"/>
      <c r="H82" s="7" t="s">
        <v>2880</v>
      </c>
      <c r="I82" t="s">
        <v>2877</v>
      </c>
      <c r="J82" s="7" t="s">
        <v>22</v>
      </c>
      <c r="K82" t="s">
        <v>19</v>
      </c>
      <c r="L82">
        <v>1916</v>
      </c>
      <c r="M82">
        <v>5</v>
      </c>
      <c r="N82" s="7" t="s">
        <v>14</v>
      </c>
      <c r="O82" t="s">
        <v>20</v>
      </c>
      <c r="P82" s="7" t="s">
        <v>20</v>
      </c>
    </row>
    <row r="83" spans="5:18" ht="68" x14ac:dyDescent="0.2">
      <c r="E83" s="11"/>
      <c r="F83" s="12"/>
      <c r="G83" s="12"/>
      <c r="H83" s="6" t="s">
        <v>1585</v>
      </c>
      <c r="I83" t="s">
        <v>2877</v>
      </c>
      <c r="J83" s="200" t="s">
        <v>58</v>
      </c>
      <c r="K83" t="s">
        <v>13</v>
      </c>
      <c r="L83">
        <v>1842</v>
      </c>
      <c r="M83">
        <v>78</v>
      </c>
      <c r="N83" s="12" t="s">
        <v>14</v>
      </c>
      <c r="O83" t="s">
        <v>2881</v>
      </c>
      <c r="P83" s="12" t="s">
        <v>20</v>
      </c>
    </row>
    <row r="84" spans="5:18" ht="51" x14ac:dyDescent="0.2">
      <c r="E84" s="11"/>
      <c r="F84" s="12"/>
      <c r="G84" s="12"/>
      <c r="H84" s="6" t="s">
        <v>1666</v>
      </c>
      <c r="I84" t="s">
        <v>2877</v>
      </c>
      <c r="J84" s="231" t="s">
        <v>58</v>
      </c>
      <c r="K84" t="s">
        <v>19</v>
      </c>
      <c r="L84">
        <v>1843</v>
      </c>
      <c r="M84">
        <v>77</v>
      </c>
      <c r="N84" s="14" t="s">
        <v>212</v>
      </c>
      <c r="O84" t="s">
        <v>50</v>
      </c>
      <c r="P84" s="16" t="s">
        <v>20</v>
      </c>
    </row>
    <row r="85" spans="5:18" x14ac:dyDescent="0.2">
      <c r="E85" s="7"/>
      <c r="F85" s="7"/>
      <c r="G85" s="7"/>
      <c r="H85" s="7" t="s">
        <v>2882</v>
      </c>
      <c r="I85" s="7" t="s">
        <v>2883</v>
      </c>
      <c r="J85" s="7" t="s">
        <v>58</v>
      </c>
      <c r="K85" s="7" t="s">
        <v>19</v>
      </c>
      <c r="L85" s="7">
        <v>1909</v>
      </c>
      <c r="M85" s="7">
        <v>12</v>
      </c>
      <c r="N85" s="7" t="s">
        <v>14</v>
      </c>
      <c r="O85" s="7" t="s">
        <v>20</v>
      </c>
      <c r="P85" s="7" t="s">
        <v>20</v>
      </c>
      <c r="Q85" s="7"/>
      <c r="R85" s="7"/>
    </row>
    <row r="86" spans="5:18" ht="85" x14ac:dyDescent="0.2">
      <c r="E86" s="7"/>
      <c r="F86" s="7"/>
      <c r="G86" s="7"/>
      <c r="H86" s="7" t="s">
        <v>1017</v>
      </c>
      <c r="I86" s="7" t="s">
        <v>743</v>
      </c>
      <c r="J86" s="7" t="s">
        <v>26</v>
      </c>
      <c r="K86" s="7" t="s">
        <v>19</v>
      </c>
      <c r="L86" s="7">
        <v>1899</v>
      </c>
      <c r="M86" s="6">
        <v>22</v>
      </c>
      <c r="N86" s="6" t="s">
        <v>397</v>
      </c>
      <c r="O86" s="6" t="s">
        <v>344</v>
      </c>
      <c r="P86" s="6" t="s">
        <v>29</v>
      </c>
      <c r="Q86" s="7"/>
      <c r="R86" s="6"/>
    </row>
    <row r="87" spans="5:18" x14ac:dyDescent="0.2">
      <c r="E87" s="7"/>
      <c r="F87" s="7"/>
      <c r="G87" s="7"/>
      <c r="H87" s="7"/>
      <c r="I87" s="7"/>
      <c r="J87" s="7"/>
      <c r="K87" s="7"/>
      <c r="L87" s="7"/>
      <c r="M87" s="6"/>
      <c r="N87" s="6"/>
      <c r="O87" s="6"/>
      <c r="P87" s="6"/>
      <c r="Q87" s="6"/>
      <c r="R87" s="6"/>
    </row>
    <row r="88" spans="5:18" ht="34" x14ac:dyDescent="0.2">
      <c r="E88" s="7"/>
      <c r="F88" s="7"/>
      <c r="G88" s="7"/>
      <c r="H88" s="7" t="s">
        <v>0</v>
      </c>
      <c r="I88" s="7" t="s">
        <v>1</v>
      </c>
      <c r="J88" s="7" t="s">
        <v>2</v>
      </c>
      <c r="K88" s="7" t="s">
        <v>3</v>
      </c>
      <c r="L88" s="7" t="s">
        <v>4</v>
      </c>
      <c r="M88" s="6" t="s">
        <v>5</v>
      </c>
      <c r="N88" s="6" t="s">
        <v>6</v>
      </c>
      <c r="O88" s="6" t="s">
        <v>7</v>
      </c>
      <c r="P88" s="6" t="s">
        <v>8</v>
      </c>
      <c r="Q88" s="6"/>
      <c r="R88" s="6"/>
    </row>
    <row r="89" spans="5:18" ht="34" x14ac:dyDescent="0.2">
      <c r="E89" s="261" t="s">
        <v>2893</v>
      </c>
      <c r="F89" s="5">
        <v>3</v>
      </c>
      <c r="G89" s="5"/>
      <c r="H89" s="5" t="s">
        <v>2885</v>
      </c>
      <c r="I89" s="5" t="s">
        <v>2886</v>
      </c>
      <c r="J89" s="5" t="s">
        <v>12</v>
      </c>
      <c r="K89" s="10" t="s">
        <v>19</v>
      </c>
      <c r="L89" s="5">
        <v>1868</v>
      </c>
      <c r="M89" s="5">
        <v>52</v>
      </c>
      <c r="N89" s="5" t="s">
        <v>2887</v>
      </c>
      <c r="O89" s="5" t="s">
        <v>50</v>
      </c>
      <c r="P89" s="5" t="s">
        <v>20</v>
      </c>
      <c r="Q89" s="7"/>
      <c r="R89" s="6"/>
    </row>
    <row r="90" spans="5:18" ht="68" x14ac:dyDescent="0.2">
      <c r="E90" s="7"/>
      <c r="F90" s="7"/>
      <c r="G90" s="7"/>
      <c r="H90" s="7" t="s">
        <v>170</v>
      </c>
      <c r="I90" s="7" t="s">
        <v>2888</v>
      </c>
      <c r="J90" s="7" t="s">
        <v>26</v>
      </c>
      <c r="K90" s="7" t="s">
        <v>19</v>
      </c>
      <c r="L90" s="7">
        <v>1871</v>
      </c>
      <c r="M90" s="6">
        <v>50</v>
      </c>
      <c r="N90" s="6" t="s">
        <v>2889</v>
      </c>
      <c r="O90" s="6" t="s">
        <v>33</v>
      </c>
      <c r="P90" s="6" t="s">
        <v>33</v>
      </c>
      <c r="Q90" s="7"/>
      <c r="R90" s="6"/>
    </row>
    <row r="91" spans="5:18" ht="85" x14ac:dyDescent="0.2">
      <c r="E91" s="7"/>
      <c r="F91" s="7"/>
      <c r="G91" s="7"/>
      <c r="H91" s="7" t="s">
        <v>2890</v>
      </c>
      <c r="I91" s="7" t="s">
        <v>2891</v>
      </c>
      <c r="J91" s="7" t="s">
        <v>26</v>
      </c>
      <c r="K91" s="7" t="s">
        <v>19</v>
      </c>
      <c r="L91" s="7">
        <v>1904</v>
      </c>
      <c r="M91" s="6">
        <v>16</v>
      </c>
      <c r="N91" s="6" t="s">
        <v>2892</v>
      </c>
      <c r="O91" s="6" t="s">
        <v>28</v>
      </c>
      <c r="P91" s="6" t="s">
        <v>28</v>
      </c>
      <c r="Q91" s="7"/>
      <c r="R91" s="6"/>
    </row>
    <row r="92" spans="5:18" x14ac:dyDescent="0.2">
      <c r="E92" s="7"/>
      <c r="F92" s="7"/>
      <c r="G92" s="7"/>
      <c r="H92" s="7"/>
      <c r="I92" s="7"/>
      <c r="J92" s="7"/>
      <c r="K92" s="7"/>
      <c r="L92" s="7"/>
      <c r="M92" s="6"/>
      <c r="N92" s="6"/>
      <c r="O92" s="6"/>
      <c r="P92" s="6"/>
      <c r="Q92" s="7"/>
      <c r="R92" s="6"/>
    </row>
    <row r="93" spans="5:18" ht="34" x14ac:dyDescent="0.2">
      <c r="E93" s="7"/>
      <c r="F93" s="7"/>
      <c r="G93" s="7"/>
      <c r="H93" s="7" t="s">
        <v>0</v>
      </c>
      <c r="I93" s="7" t="s">
        <v>1</v>
      </c>
      <c r="J93" s="7" t="s">
        <v>2</v>
      </c>
      <c r="K93" s="7" t="s">
        <v>3</v>
      </c>
      <c r="L93" s="7" t="s">
        <v>4</v>
      </c>
      <c r="M93" s="6" t="s">
        <v>5</v>
      </c>
      <c r="N93" s="6" t="s">
        <v>6</v>
      </c>
      <c r="O93" s="6" t="s">
        <v>7</v>
      </c>
      <c r="P93" s="6" t="s">
        <v>8</v>
      </c>
      <c r="Q93" s="7"/>
      <c r="R93" s="7"/>
    </row>
    <row r="94" spans="5:18" ht="17" x14ac:dyDescent="0.2">
      <c r="E94" s="7"/>
      <c r="F94" s="7">
        <v>5</v>
      </c>
      <c r="G94" s="7"/>
      <c r="H94" s="7" t="s">
        <v>2894</v>
      </c>
      <c r="I94" s="7" t="s">
        <v>2895</v>
      </c>
      <c r="J94" s="7" t="s">
        <v>12</v>
      </c>
      <c r="K94" s="7" t="s">
        <v>19</v>
      </c>
      <c r="L94" s="7">
        <v>1884</v>
      </c>
      <c r="M94" s="6">
        <v>37</v>
      </c>
      <c r="N94" s="6" t="s">
        <v>20</v>
      </c>
      <c r="O94" s="6" t="s">
        <v>20</v>
      </c>
      <c r="P94" s="6" t="s">
        <v>20</v>
      </c>
      <c r="Q94" s="7"/>
      <c r="R94" s="6"/>
    </row>
    <row r="95" spans="5:18" ht="68" x14ac:dyDescent="0.2">
      <c r="E95" s="7"/>
      <c r="F95" s="7"/>
      <c r="G95" s="7"/>
      <c r="H95" s="7" t="s">
        <v>2896</v>
      </c>
      <c r="I95" s="7" t="s">
        <v>2897</v>
      </c>
      <c r="J95" s="7" t="s">
        <v>60</v>
      </c>
      <c r="K95" s="7" t="s">
        <v>13</v>
      </c>
      <c r="L95" s="7">
        <v>1895</v>
      </c>
      <c r="M95" s="6">
        <v>26</v>
      </c>
      <c r="N95" s="6" t="s">
        <v>2898</v>
      </c>
      <c r="O95" s="6" t="s">
        <v>2899</v>
      </c>
      <c r="P95" s="6" t="s">
        <v>2900</v>
      </c>
      <c r="Q95" s="7"/>
      <c r="R95" s="6"/>
    </row>
    <row r="96" spans="5:18" ht="17" x14ac:dyDescent="0.2">
      <c r="E96" s="7"/>
      <c r="F96" s="7"/>
      <c r="G96" s="7"/>
      <c r="H96" s="7" t="s">
        <v>46</v>
      </c>
      <c r="I96" s="7" t="s">
        <v>31</v>
      </c>
      <c r="J96" s="7" t="s">
        <v>26</v>
      </c>
      <c r="K96" s="7" t="s">
        <v>19</v>
      </c>
      <c r="L96" s="7">
        <v>1896</v>
      </c>
      <c r="M96" s="6">
        <v>25</v>
      </c>
      <c r="N96" s="6" t="s">
        <v>20</v>
      </c>
      <c r="O96" s="6" t="s">
        <v>33</v>
      </c>
      <c r="P96" s="6" t="s">
        <v>29</v>
      </c>
      <c r="Q96" s="7"/>
      <c r="R96" s="6"/>
    </row>
    <row r="97" spans="5:18" ht="85" x14ac:dyDescent="0.2">
      <c r="E97" s="7"/>
      <c r="F97" s="7"/>
      <c r="G97" s="7"/>
      <c r="H97" s="7" t="s">
        <v>2901</v>
      </c>
      <c r="I97" s="7" t="s">
        <v>2902</v>
      </c>
      <c r="J97" s="7" t="s">
        <v>60</v>
      </c>
      <c r="K97" s="7" t="s">
        <v>13</v>
      </c>
      <c r="L97" s="7">
        <v>1895</v>
      </c>
      <c r="M97" s="6">
        <v>26</v>
      </c>
      <c r="N97" s="6" t="s">
        <v>2903</v>
      </c>
      <c r="O97" s="6" t="s">
        <v>2904</v>
      </c>
      <c r="P97" s="6" t="s">
        <v>2905</v>
      </c>
      <c r="Q97" s="7"/>
      <c r="R97" s="6"/>
    </row>
    <row r="98" spans="5:18" x14ac:dyDescent="0.2">
      <c r="E98" s="7"/>
      <c r="F98" s="7"/>
      <c r="G98" s="7"/>
      <c r="H98" s="7" t="s">
        <v>2906</v>
      </c>
      <c r="I98" s="7" t="s">
        <v>2907</v>
      </c>
      <c r="J98" s="7" t="s">
        <v>60</v>
      </c>
      <c r="K98" s="7" t="s">
        <v>19</v>
      </c>
      <c r="L98" s="7">
        <v>1896</v>
      </c>
      <c r="M98" s="7">
        <v>25</v>
      </c>
      <c r="N98" s="7" t="s">
        <v>778</v>
      </c>
      <c r="O98" s="7" t="s">
        <v>20</v>
      </c>
      <c r="P98" s="7" t="s">
        <v>20</v>
      </c>
      <c r="Q98" s="7"/>
      <c r="R98" s="6"/>
    </row>
    <row r="99" spans="5:18" ht="85" x14ac:dyDescent="0.2">
      <c r="E99" s="7"/>
      <c r="F99" s="7"/>
      <c r="G99" s="7"/>
      <c r="H99" s="7" t="s">
        <v>2908</v>
      </c>
      <c r="I99" s="7" t="s">
        <v>2907</v>
      </c>
      <c r="J99" s="7" t="s">
        <v>60</v>
      </c>
      <c r="K99" s="7" t="s">
        <v>13</v>
      </c>
      <c r="L99" s="7">
        <v>1894</v>
      </c>
      <c r="M99" s="6">
        <v>26</v>
      </c>
      <c r="N99" s="6" t="s">
        <v>2909</v>
      </c>
      <c r="O99" s="6" t="s">
        <v>2910</v>
      </c>
      <c r="P99" s="6" t="s">
        <v>2911</v>
      </c>
      <c r="Q99" s="7"/>
      <c r="R99" s="6"/>
    </row>
    <row r="100" spans="5:18" ht="68" x14ac:dyDescent="0.2">
      <c r="E100" s="7"/>
      <c r="F100" s="7"/>
      <c r="G100" s="7"/>
      <c r="H100" s="7" t="s">
        <v>2912</v>
      </c>
      <c r="I100" s="7" t="s">
        <v>2913</v>
      </c>
      <c r="J100" s="7" t="s">
        <v>60</v>
      </c>
      <c r="K100" s="7" t="s">
        <v>13</v>
      </c>
      <c r="L100" s="7">
        <v>1893</v>
      </c>
      <c r="M100" s="6">
        <v>28</v>
      </c>
      <c r="N100" s="6" t="s">
        <v>2914</v>
      </c>
      <c r="O100" s="6" t="s">
        <v>2915</v>
      </c>
      <c r="P100" s="6" t="s">
        <v>2916</v>
      </c>
      <c r="Q100" s="7"/>
      <c r="R100" s="6"/>
    </row>
    <row r="101" spans="5:18" x14ac:dyDescent="0.2">
      <c r="E101" s="7"/>
      <c r="F101" s="12"/>
      <c r="G101" s="12"/>
      <c r="H101" s="6"/>
      <c r="I101" s="12"/>
      <c r="J101" s="6"/>
      <c r="K101" s="13"/>
      <c r="L101" s="12"/>
      <c r="M101" s="12"/>
      <c r="N101" s="12"/>
      <c r="O101" s="12"/>
      <c r="P101" s="12"/>
      <c r="Q101" s="7"/>
      <c r="R101" s="7"/>
    </row>
    <row r="102" spans="5:18" ht="34" x14ac:dyDescent="0.2">
      <c r="E102" s="7"/>
      <c r="F102" s="12"/>
      <c r="G102" s="12"/>
      <c r="H102" s="6" t="s">
        <v>0</v>
      </c>
      <c r="I102" s="12" t="s">
        <v>1</v>
      </c>
      <c r="J102" s="230" t="s">
        <v>2</v>
      </c>
      <c r="K102" s="15" t="s">
        <v>3</v>
      </c>
      <c r="L102" s="16" t="s">
        <v>4</v>
      </c>
      <c r="M102" s="12" t="s">
        <v>5</v>
      </c>
      <c r="N102" s="12" t="s">
        <v>6</v>
      </c>
      <c r="O102" s="12" t="s">
        <v>7</v>
      </c>
      <c r="P102" s="14" t="s">
        <v>8</v>
      </c>
      <c r="Q102" s="20"/>
      <c r="R102" s="7"/>
    </row>
    <row r="103" spans="5:18" x14ac:dyDescent="0.2">
      <c r="E103" s="7" t="s">
        <v>2925</v>
      </c>
      <c r="F103" s="7"/>
      <c r="G103" s="21"/>
      <c r="H103" s="21" t="s">
        <v>2917</v>
      </c>
      <c r="I103" s="21" t="s">
        <v>2918</v>
      </c>
      <c r="J103" s="7" t="s">
        <v>12</v>
      </c>
      <c r="K103" s="7" t="s">
        <v>13</v>
      </c>
      <c r="L103" s="7">
        <v>1858</v>
      </c>
      <c r="M103" s="7">
        <v>63</v>
      </c>
      <c r="N103" s="7" t="s">
        <v>2919</v>
      </c>
      <c r="O103" s="7" t="s">
        <v>2920</v>
      </c>
      <c r="P103" s="7" t="s">
        <v>2921</v>
      </c>
      <c r="Q103" s="20"/>
      <c r="R103" s="21"/>
    </row>
    <row r="104" spans="5:18" x14ac:dyDescent="0.2">
      <c r="E104" s="7"/>
      <c r="F104" s="7"/>
      <c r="G104" s="7"/>
      <c r="H104" s="7" t="s">
        <v>2922</v>
      </c>
      <c r="I104" s="7" t="s">
        <v>2918</v>
      </c>
      <c r="J104" s="7" t="s">
        <v>144</v>
      </c>
      <c r="K104" s="7" t="s">
        <v>19</v>
      </c>
      <c r="L104" s="7">
        <v>1855</v>
      </c>
      <c r="M104" s="7">
        <v>65</v>
      </c>
      <c r="N104" s="7" t="s">
        <v>2919</v>
      </c>
      <c r="O104" s="7" t="s">
        <v>50</v>
      </c>
      <c r="P104" s="7" t="s">
        <v>20</v>
      </c>
      <c r="Q104" s="7"/>
      <c r="R104" s="6"/>
    </row>
    <row r="105" spans="5:18" x14ac:dyDescent="0.2">
      <c r="E105" s="7"/>
      <c r="F105" s="7"/>
      <c r="G105" s="7"/>
      <c r="H105" s="7" t="s">
        <v>1987</v>
      </c>
      <c r="I105" s="7" t="s">
        <v>2923</v>
      </c>
      <c r="J105" s="7" t="s">
        <v>26</v>
      </c>
      <c r="K105" s="7" t="s">
        <v>19</v>
      </c>
      <c r="L105" s="7">
        <v>1879</v>
      </c>
      <c r="M105" s="7">
        <v>42</v>
      </c>
      <c r="N105" s="7" t="s">
        <v>2924</v>
      </c>
      <c r="O105" s="7" t="s">
        <v>344</v>
      </c>
      <c r="P105" s="7" t="s">
        <v>29</v>
      </c>
      <c r="Q105" s="7"/>
      <c r="R105" s="21"/>
    </row>
    <row r="106" spans="5:18" x14ac:dyDescent="0.2"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6"/>
    </row>
    <row r="107" spans="5:18" x14ac:dyDescent="0.2">
      <c r="H107" t="s">
        <v>0</v>
      </c>
      <c r="I107" t="s">
        <v>1</v>
      </c>
      <c r="J107" t="s">
        <v>2</v>
      </c>
      <c r="K107" t="s">
        <v>3</v>
      </c>
      <c r="L107" t="s">
        <v>4</v>
      </c>
      <c r="M107" t="s">
        <v>5</v>
      </c>
      <c r="N107" t="s">
        <v>6</v>
      </c>
      <c r="O107" t="s">
        <v>7</v>
      </c>
      <c r="P107" t="s">
        <v>8</v>
      </c>
    </row>
    <row r="108" spans="5:18" x14ac:dyDescent="0.2">
      <c r="E108" t="s">
        <v>2930</v>
      </c>
      <c r="H108" t="s">
        <v>2926</v>
      </c>
      <c r="I108" t="s">
        <v>1713</v>
      </c>
      <c r="J108" t="s">
        <v>12</v>
      </c>
      <c r="K108" t="s">
        <v>13</v>
      </c>
      <c r="L108">
        <v>1892</v>
      </c>
      <c r="M108">
        <v>28</v>
      </c>
      <c r="N108" t="s">
        <v>2927</v>
      </c>
      <c r="O108" t="s">
        <v>2928</v>
      </c>
      <c r="P108" t="s">
        <v>29</v>
      </c>
    </row>
    <row r="109" spans="5:18" x14ac:dyDescent="0.2">
      <c r="H109" t="s">
        <v>2226</v>
      </c>
      <c r="I109" t="s">
        <v>1713</v>
      </c>
      <c r="J109" t="s">
        <v>18</v>
      </c>
      <c r="K109" t="s">
        <v>19</v>
      </c>
      <c r="L109">
        <v>1898</v>
      </c>
      <c r="M109">
        <v>22</v>
      </c>
      <c r="N109" t="s">
        <v>2929</v>
      </c>
      <c r="O109" t="s">
        <v>50</v>
      </c>
      <c r="P109" t="s">
        <v>20</v>
      </c>
    </row>
    <row r="111" spans="5:18" x14ac:dyDescent="0.2">
      <c r="H111" t="s">
        <v>0</v>
      </c>
      <c r="I111" t="s">
        <v>1</v>
      </c>
      <c r="J111" t="s">
        <v>2</v>
      </c>
      <c r="K111" t="s">
        <v>3</v>
      </c>
      <c r="L111" t="s">
        <v>4</v>
      </c>
      <c r="M111" t="s">
        <v>5</v>
      </c>
      <c r="N111" t="s">
        <v>6</v>
      </c>
      <c r="O111" t="s">
        <v>7</v>
      </c>
      <c r="P111" t="s">
        <v>8</v>
      </c>
    </row>
    <row r="112" spans="5:18" ht="20" x14ac:dyDescent="0.2">
      <c r="E112" s="262" t="s">
        <v>2939</v>
      </c>
      <c r="H112" t="s">
        <v>2931</v>
      </c>
      <c r="I112" t="s">
        <v>2016</v>
      </c>
      <c r="J112" t="s">
        <v>2932</v>
      </c>
      <c r="K112" t="s">
        <v>19</v>
      </c>
      <c r="L112">
        <v>1874</v>
      </c>
      <c r="M112">
        <v>47</v>
      </c>
      <c r="N112" t="s">
        <v>49</v>
      </c>
      <c r="O112" t="s">
        <v>50</v>
      </c>
      <c r="P112" t="s">
        <v>20</v>
      </c>
    </row>
    <row r="113" spans="5:16" x14ac:dyDescent="0.2">
      <c r="H113" t="s">
        <v>2933</v>
      </c>
      <c r="I113" t="s">
        <v>2016</v>
      </c>
      <c r="J113" t="s">
        <v>51</v>
      </c>
      <c r="K113" t="s">
        <v>13</v>
      </c>
      <c r="L113">
        <v>1898</v>
      </c>
      <c r="M113">
        <v>22</v>
      </c>
      <c r="N113" t="s">
        <v>49</v>
      </c>
      <c r="O113" t="s">
        <v>2934</v>
      </c>
      <c r="P113" t="s">
        <v>2935</v>
      </c>
    </row>
    <row r="114" spans="5:16" x14ac:dyDescent="0.2">
      <c r="H114" t="s">
        <v>2936</v>
      </c>
      <c r="I114" t="s">
        <v>2016</v>
      </c>
      <c r="J114" t="s">
        <v>22</v>
      </c>
      <c r="K114" t="s">
        <v>19</v>
      </c>
      <c r="L114">
        <v>1903</v>
      </c>
      <c r="M114">
        <v>18</v>
      </c>
      <c r="N114" t="s">
        <v>14</v>
      </c>
      <c r="O114" t="s">
        <v>20</v>
      </c>
      <c r="P114" t="s">
        <v>20</v>
      </c>
    </row>
    <row r="115" spans="5:16" x14ac:dyDescent="0.2">
      <c r="H115" t="s">
        <v>2550</v>
      </c>
      <c r="I115" t="s">
        <v>2016</v>
      </c>
      <c r="J115" t="s">
        <v>22</v>
      </c>
      <c r="K115" t="s">
        <v>19</v>
      </c>
      <c r="L115">
        <v>1913</v>
      </c>
      <c r="M115">
        <v>7</v>
      </c>
      <c r="N115" t="s">
        <v>2937</v>
      </c>
      <c r="O115" t="s">
        <v>2938</v>
      </c>
      <c r="P115" t="s">
        <v>20</v>
      </c>
    </row>
    <row r="116" spans="5:16" x14ac:dyDescent="0.2">
      <c r="H116" t="s">
        <v>1332</v>
      </c>
      <c r="I116" t="s">
        <v>1104</v>
      </c>
      <c r="J116" t="s">
        <v>26</v>
      </c>
      <c r="K116" t="s">
        <v>19</v>
      </c>
      <c r="L116">
        <v>1886</v>
      </c>
      <c r="M116">
        <v>35</v>
      </c>
      <c r="N116" t="s">
        <v>368</v>
      </c>
      <c r="O116" t="s">
        <v>33</v>
      </c>
      <c r="P116" t="s">
        <v>29</v>
      </c>
    </row>
    <row r="118" spans="5:16" x14ac:dyDescent="0.2">
      <c r="H118" t="s">
        <v>0</v>
      </c>
      <c r="I118" t="s">
        <v>1</v>
      </c>
      <c r="J118" t="s">
        <v>2</v>
      </c>
      <c r="K118" t="s">
        <v>3</v>
      </c>
      <c r="L118" t="s">
        <v>4</v>
      </c>
      <c r="M118" t="s">
        <v>5</v>
      </c>
      <c r="N118" t="s">
        <v>6</v>
      </c>
      <c r="O118" t="s">
        <v>7</v>
      </c>
      <c r="P118" t="s">
        <v>8</v>
      </c>
    </row>
    <row r="119" spans="5:16" x14ac:dyDescent="0.2">
      <c r="E119" t="s">
        <v>2942</v>
      </c>
      <c r="H119" t="s">
        <v>1585</v>
      </c>
      <c r="I119" t="s">
        <v>2940</v>
      </c>
      <c r="J119" t="s">
        <v>12</v>
      </c>
      <c r="K119" t="s">
        <v>13</v>
      </c>
      <c r="L119">
        <v>1869</v>
      </c>
      <c r="M119">
        <v>51</v>
      </c>
      <c r="N119" t="s">
        <v>901</v>
      </c>
      <c r="O119" t="s">
        <v>2941</v>
      </c>
      <c r="P119" t="s">
        <v>8</v>
      </c>
    </row>
    <row r="120" spans="5:16" x14ac:dyDescent="0.2">
      <c r="H120" t="s">
        <v>46</v>
      </c>
      <c r="I120" t="s">
        <v>2940</v>
      </c>
      <c r="J120" t="s">
        <v>18</v>
      </c>
      <c r="K120" t="s">
        <v>19</v>
      </c>
      <c r="L120">
        <v>1880</v>
      </c>
      <c r="M120">
        <v>41</v>
      </c>
      <c r="N120" t="s">
        <v>901</v>
      </c>
      <c r="O120" t="s">
        <v>50</v>
      </c>
      <c r="P120" t="s">
        <v>20</v>
      </c>
    </row>
    <row r="122" spans="5:16" x14ac:dyDescent="0.2">
      <c r="H122" t="s">
        <v>0</v>
      </c>
      <c r="I122" t="s">
        <v>1</v>
      </c>
      <c r="J122" t="s">
        <v>2</v>
      </c>
      <c r="K122" t="s">
        <v>3</v>
      </c>
      <c r="L122" t="s">
        <v>4</v>
      </c>
      <c r="M122" t="s">
        <v>5</v>
      </c>
      <c r="N122" t="s">
        <v>6</v>
      </c>
      <c r="O122" t="s">
        <v>7</v>
      </c>
      <c r="P122" t="s">
        <v>8</v>
      </c>
    </row>
    <row r="123" spans="5:16" ht="20" x14ac:dyDescent="0.2">
      <c r="E123" s="262" t="s">
        <v>2947</v>
      </c>
      <c r="H123" t="s">
        <v>423</v>
      </c>
      <c r="I123" t="s">
        <v>988</v>
      </c>
      <c r="J123" t="s">
        <v>2943</v>
      </c>
      <c r="K123" t="s">
        <v>13</v>
      </c>
      <c r="L123">
        <v>1842</v>
      </c>
      <c r="M123">
        <v>79</v>
      </c>
      <c r="N123" t="s">
        <v>49</v>
      </c>
      <c r="O123" t="s">
        <v>2944</v>
      </c>
      <c r="P123" t="s">
        <v>1584</v>
      </c>
    </row>
    <row r="124" spans="5:16" x14ac:dyDescent="0.2">
      <c r="H124" t="s">
        <v>1581</v>
      </c>
      <c r="I124" t="s">
        <v>988</v>
      </c>
      <c r="J124" t="s">
        <v>910</v>
      </c>
      <c r="K124" t="s">
        <v>19</v>
      </c>
      <c r="L124">
        <v>1840</v>
      </c>
      <c r="M124">
        <v>80</v>
      </c>
      <c r="N124" t="s">
        <v>49</v>
      </c>
      <c r="O124" t="s">
        <v>50</v>
      </c>
      <c r="P124" t="s">
        <v>20</v>
      </c>
    </row>
    <row r="125" spans="5:16" x14ac:dyDescent="0.2">
      <c r="H125" t="s">
        <v>2945</v>
      </c>
      <c r="I125" t="s">
        <v>2946</v>
      </c>
      <c r="J125" t="s">
        <v>437</v>
      </c>
      <c r="K125" t="s">
        <v>19</v>
      </c>
      <c r="L125">
        <v>1897</v>
      </c>
      <c r="M125">
        <v>24</v>
      </c>
      <c r="N125" t="s">
        <v>438</v>
      </c>
      <c r="O125" t="s">
        <v>56</v>
      </c>
      <c r="P125" t="s">
        <v>20</v>
      </c>
    </row>
    <row r="127" spans="5:16" x14ac:dyDescent="0.2">
      <c r="H127" t="s">
        <v>0</v>
      </c>
      <c r="I127" t="s">
        <v>1</v>
      </c>
      <c r="J127" t="s">
        <v>2</v>
      </c>
      <c r="K127" t="s">
        <v>3</v>
      </c>
      <c r="L127" t="s">
        <v>4</v>
      </c>
      <c r="M127" t="s">
        <v>5</v>
      </c>
      <c r="N127" t="s">
        <v>6</v>
      </c>
      <c r="O127" t="s">
        <v>7</v>
      </c>
      <c r="P127" t="s">
        <v>8</v>
      </c>
    </row>
    <row r="128" spans="5:16" ht="20" x14ac:dyDescent="0.2">
      <c r="E128" s="262" t="s">
        <v>2953</v>
      </c>
      <c r="H128" t="s">
        <v>2948</v>
      </c>
      <c r="I128" t="s">
        <v>2949</v>
      </c>
      <c r="J128" t="s">
        <v>12</v>
      </c>
      <c r="K128" t="s">
        <v>13</v>
      </c>
      <c r="L128">
        <v>1870</v>
      </c>
      <c r="M128">
        <v>51</v>
      </c>
      <c r="N128" t="s">
        <v>2950</v>
      </c>
      <c r="O128" t="s">
        <v>2951</v>
      </c>
      <c r="P128" t="s">
        <v>8</v>
      </c>
    </row>
    <row r="129" spans="5:16" x14ac:dyDescent="0.2">
      <c r="H129" t="s">
        <v>24</v>
      </c>
      <c r="I129" t="s">
        <v>2949</v>
      </c>
      <c r="J129" t="s">
        <v>18</v>
      </c>
      <c r="K129" t="s">
        <v>19</v>
      </c>
      <c r="L129">
        <v>1867</v>
      </c>
      <c r="M129">
        <v>54</v>
      </c>
      <c r="N129" t="s">
        <v>49</v>
      </c>
      <c r="O129" t="s">
        <v>50</v>
      </c>
      <c r="P129" t="s">
        <v>20</v>
      </c>
    </row>
    <row r="130" spans="5:16" x14ac:dyDescent="0.2">
      <c r="H130" t="s">
        <v>947</v>
      </c>
      <c r="I130" t="s">
        <v>2949</v>
      </c>
      <c r="J130" t="s">
        <v>22</v>
      </c>
      <c r="K130" t="s">
        <v>19</v>
      </c>
      <c r="L130">
        <v>1902</v>
      </c>
      <c r="M130">
        <v>18</v>
      </c>
      <c r="N130" t="s">
        <v>49</v>
      </c>
      <c r="O130" t="s">
        <v>173</v>
      </c>
      <c r="P130" t="s">
        <v>2952</v>
      </c>
    </row>
    <row r="132" spans="5:16" x14ac:dyDescent="0.2">
      <c r="H132" t="s">
        <v>0</v>
      </c>
      <c r="I132" t="s">
        <v>1</v>
      </c>
      <c r="J132" t="s">
        <v>2</v>
      </c>
      <c r="K132" t="s">
        <v>3</v>
      </c>
      <c r="L132" t="s">
        <v>4</v>
      </c>
      <c r="M132" t="s">
        <v>5</v>
      </c>
      <c r="N132" t="s">
        <v>6</v>
      </c>
      <c r="O132" t="s">
        <v>7</v>
      </c>
      <c r="P132" t="s">
        <v>8</v>
      </c>
    </row>
    <row r="133" spans="5:16" ht="20" x14ac:dyDescent="0.2">
      <c r="E133" s="262" t="s">
        <v>2957</v>
      </c>
      <c r="H133" t="s">
        <v>2847</v>
      </c>
      <c r="I133" t="s">
        <v>932</v>
      </c>
      <c r="J133" t="s">
        <v>12</v>
      </c>
      <c r="K133" t="s">
        <v>19</v>
      </c>
      <c r="L133">
        <v>1854</v>
      </c>
      <c r="M133">
        <v>67</v>
      </c>
      <c r="N133" t="s">
        <v>49</v>
      </c>
      <c r="O133" t="s">
        <v>2954</v>
      </c>
      <c r="P133" t="s">
        <v>20</v>
      </c>
    </row>
    <row r="134" spans="5:16" x14ac:dyDescent="0.2">
      <c r="H134" t="s">
        <v>1318</v>
      </c>
      <c r="I134" t="s">
        <v>2955</v>
      </c>
      <c r="J134" t="s">
        <v>60</v>
      </c>
      <c r="K134" t="s">
        <v>19</v>
      </c>
      <c r="L134">
        <v>1845</v>
      </c>
      <c r="M134">
        <v>75</v>
      </c>
      <c r="N134" t="s">
        <v>49</v>
      </c>
      <c r="O134" t="s">
        <v>2956</v>
      </c>
      <c r="P134" t="s">
        <v>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65D4-09D6-CE47-BC91-19111448BF30}">
  <dimension ref="A1:BW125"/>
  <sheetViews>
    <sheetView zoomScale="136" zoomScaleNormal="136" workbookViewId="0">
      <pane ySplit="2" topLeftCell="A79" activePane="bottomLeft" state="frozen"/>
      <selection pane="bottomLeft" activeCell="G74" sqref="G74:H76"/>
    </sheetView>
  </sheetViews>
  <sheetFormatPr baseColWidth="10" defaultRowHeight="16" x14ac:dyDescent="0.2"/>
  <cols>
    <col min="5" max="5" width="15.33203125" customWidth="1"/>
    <col min="6" max="6" width="10.83203125" customWidth="1"/>
    <col min="8" max="8" width="15.83203125" customWidth="1"/>
    <col min="15" max="15" width="17.6640625" customWidth="1"/>
    <col min="21" max="21" width="10.5" customWidth="1"/>
    <col min="22" max="22" width="15.33203125" customWidth="1"/>
    <col min="28" max="28" width="32.83203125" style="54" customWidth="1"/>
    <col min="29" max="29" width="17.5" style="54" customWidth="1"/>
    <col min="34" max="34" width="28.1640625" customWidth="1"/>
    <col min="36" max="36" width="19.1640625" customWidth="1"/>
  </cols>
  <sheetData>
    <row r="1" spans="1:56" ht="34" x14ac:dyDescent="0.2">
      <c r="A1" s="269" t="s">
        <v>214</v>
      </c>
      <c r="B1" s="270" t="s">
        <v>526</v>
      </c>
      <c r="C1" s="80" t="s">
        <v>1051</v>
      </c>
      <c r="D1" s="81" t="s">
        <v>528</v>
      </c>
      <c r="E1" s="270" t="s">
        <v>215</v>
      </c>
      <c r="F1" s="270" t="s">
        <v>216</v>
      </c>
      <c r="G1" s="270" t="s">
        <v>218</v>
      </c>
      <c r="H1" s="271" t="s">
        <v>219</v>
      </c>
      <c r="I1" s="82" t="s">
        <v>1327</v>
      </c>
      <c r="J1" s="271"/>
      <c r="K1" s="271" t="s">
        <v>220</v>
      </c>
      <c r="L1" s="272"/>
      <c r="M1" s="272"/>
      <c r="N1" s="272"/>
      <c r="O1" s="271" t="s">
        <v>221</v>
      </c>
      <c r="P1" s="272"/>
      <c r="Q1" s="272"/>
      <c r="R1" s="272"/>
      <c r="S1" s="272"/>
      <c r="T1" s="272"/>
      <c r="U1" s="271" t="s">
        <v>222</v>
      </c>
      <c r="V1" s="271" t="s">
        <v>223</v>
      </c>
      <c r="W1" s="271" t="s">
        <v>224</v>
      </c>
      <c r="X1" s="271" t="s">
        <v>225</v>
      </c>
      <c r="Y1" s="271" t="s">
        <v>226</v>
      </c>
      <c r="Z1" s="271" t="s">
        <v>227</v>
      </c>
      <c r="AA1" s="271" t="s">
        <v>228</v>
      </c>
      <c r="AB1" s="271" t="s">
        <v>229</v>
      </c>
      <c r="AC1" s="271" t="s">
        <v>230</v>
      </c>
      <c r="AD1" s="271" t="s">
        <v>231</v>
      </c>
      <c r="AE1" s="271" t="s">
        <v>232</v>
      </c>
      <c r="AF1" s="271"/>
      <c r="AG1" s="272"/>
      <c r="AH1" s="271" t="s">
        <v>233</v>
      </c>
      <c r="AI1" s="272"/>
      <c r="AJ1" s="270" t="s">
        <v>234</v>
      </c>
      <c r="AK1" s="272" t="s">
        <v>313</v>
      </c>
      <c r="AL1" s="273" t="s">
        <v>314</v>
      </c>
      <c r="AM1" s="273"/>
      <c r="AN1" s="274"/>
      <c r="AO1" s="274"/>
      <c r="AP1" s="275"/>
      <c r="AQ1" s="274"/>
      <c r="AR1" s="274"/>
      <c r="AS1" s="274"/>
      <c r="AT1" s="275"/>
      <c r="AU1" s="273"/>
      <c r="AV1" s="273"/>
      <c r="AW1" s="273"/>
      <c r="AX1" s="273"/>
      <c r="AY1" s="273"/>
      <c r="AZ1" s="273"/>
      <c r="BA1" s="273"/>
      <c r="BB1" s="274"/>
      <c r="BC1" s="275"/>
      <c r="BD1" s="275"/>
    </row>
    <row r="2" spans="1:56" ht="34" x14ac:dyDescent="0.2">
      <c r="A2" s="47" t="s">
        <v>235</v>
      </c>
      <c r="B2" s="47"/>
      <c r="C2" s="47"/>
      <c r="D2" s="47"/>
      <c r="E2" s="47" t="s">
        <v>236</v>
      </c>
      <c r="F2" s="48"/>
      <c r="G2" s="48"/>
      <c r="H2" s="49"/>
      <c r="I2" s="49"/>
      <c r="J2" s="49" t="s">
        <v>497</v>
      </c>
      <c r="K2" s="50" t="s">
        <v>237</v>
      </c>
      <c r="L2" s="50" t="s">
        <v>238</v>
      </c>
      <c r="M2" s="50" t="s">
        <v>239</v>
      </c>
      <c r="N2" s="50" t="s">
        <v>240</v>
      </c>
      <c r="O2" s="50" t="s">
        <v>241</v>
      </c>
      <c r="P2" s="50" t="s">
        <v>242</v>
      </c>
      <c r="Q2" s="50" t="s">
        <v>243</v>
      </c>
      <c r="R2" s="50" t="s">
        <v>244</v>
      </c>
      <c r="S2" s="50" t="s">
        <v>245</v>
      </c>
      <c r="T2" s="50" t="s">
        <v>26</v>
      </c>
      <c r="U2" s="50" t="s">
        <v>246</v>
      </c>
      <c r="V2" s="50" t="s">
        <v>247</v>
      </c>
      <c r="W2" s="50" t="s">
        <v>248</v>
      </c>
      <c r="X2" s="51" t="s">
        <v>249</v>
      </c>
      <c r="Y2" s="49"/>
      <c r="Z2" s="49"/>
      <c r="AA2" s="49"/>
      <c r="AB2" s="49"/>
      <c r="AC2" s="49"/>
      <c r="AD2" s="49"/>
      <c r="AE2" s="50" t="s">
        <v>8</v>
      </c>
      <c r="AF2" s="50" t="s">
        <v>522</v>
      </c>
      <c r="AG2" s="50" t="s">
        <v>250</v>
      </c>
      <c r="AH2" s="50" t="s">
        <v>251</v>
      </c>
      <c r="AI2" s="276" t="s">
        <v>245</v>
      </c>
      <c r="AJ2" s="48"/>
      <c r="AK2" s="48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</row>
    <row r="3" spans="1:56" ht="17" x14ac:dyDescent="0.2">
      <c r="A3" s="48" t="s">
        <v>498</v>
      </c>
      <c r="B3" s="48"/>
      <c r="C3" s="48"/>
      <c r="D3" s="48"/>
      <c r="E3" s="48"/>
      <c r="F3" s="48">
        <v>11</v>
      </c>
      <c r="G3" s="29" t="s">
        <v>68</v>
      </c>
      <c r="H3" s="29" t="s">
        <v>67</v>
      </c>
      <c r="I3" s="29">
        <v>1</v>
      </c>
      <c r="J3" s="29"/>
      <c r="K3" s="49">
        <v>1</v>
      </c>
      <c r="L3" s="49"/>
      <c r="M3" s="49"/>
      <c r="N3" s="49"/>
      <c r="O3" s="49"/>
      <c r="P3" s="49"/>
      <c r="Q3" s="49"/>
      <c r="R3" s="49"/>
      <c r="S3" s="29"/>
      <c r="T3" s="49">
        <v>1</v>
      </c>
      <c r="U3" s="29">
        <v>46</v>
      </c>
      <c r="V3" s="49"/>
      <c r="W3" s="49"/>
      <c r="X3" s="49"/>
      <c r="Y3" s="49"/>
      <c r="Z3" s="49"/>
      <c r="AA3" s="49"/>
      <c r="AB3" s="30" t="s">
        <v>69</v>
      </c>
      <c r="AC3" s="49"/>
      <c r="AD3" s="49">
        <v>1</v>
      </c>
      <c r="AE3" s="49"/>
      <c r="AF3" s="49"/>
      <c r="AG3" s="49"/>
      <c r="AH3">
        <v>1</v>
      </c>
      <c r="AI3" s="49"/>
      <c r="AJ3" t="s">
        <v>29</v>
      </c>
      <c r="AK3" s="48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spans="1:56" ht="17" x14ac:dyDescent="0.2">
      <c r="A4" s="48" t="s">
        <v>498</v>
      </c>
      <c r="B4" s="48"/>
      <c r="C4" s="48"/>
      <c r="D4" s="48"/>
      <c r="E4" s="48"/>
      <c r="F4" s="48">
        <v>11</v>
      </c>
      <c r="G4" s="29" t="s">
        <v>71</v>
      </c>
      <c r="H4" s="29" t="s">
        <v>70</v>
      </c>
      <c r="I4" s="29">
        <v>2</v>
      </c>
      <c r="J4" s="29"/>
      <c r="K4" s="49">
        <v>1</v>
      </c>
      <c r="L4" s="48"/>
      <c r="M4" s="48"/>
      <c r="N4" s="48"/>
      <c r="O4" s="48"/>
      <c r="P4" s="48"/>
      <c r="Q4" s="277"/>
      <c r="R4" s="277"/>
      <c r="S4" s="29"/>
      <c r="T4" s="277">
        <v>1</v>
      </c>
      <c r="U4" s="29">
        <v>28</v>
      </c>
      <c r="V4" s="277"/>
      <c r="W4" s="277"/>
      <c r="X4" s="48"/>
      <c r="Y4" s="48"/>
      <c r="Z4" s="48"/>
      <c r="AA4" s="48"/>
      <c r="AB4" s="30" t="s">
        <v>69</v>
      </c>
      <c r="AC4" s="49"/>
      <c r="AD4" s="49">
        <v>1</v>
      </c>
      <c r="AE4" s="48"/>
      <c r="AF4" s="48"/>
      <c r="AG4" s="49"/>
      <c r="AH4">
        <v>1</v>
      </c>
      <c r="AI4" s="48"/>
      <c r="AJ4" t="s">
        <v>29</v>
      </c>
      <c r="AK4" s="48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spans="1:56" ht="17" x14ac:dyDescent="0.2">
      <c r="A5" s="48" t="s">
        <v>498</v>
      </c>
      <c r="B5" s="48"/>
      <c r="C5" s="48"/>
      <c r="D5" s="48"/>
      <c r="E5" s="48"/>
      <c r="F5" s="48">
        <v>11</v>
      </c>
      <c r="G5" s="29" t="s">
        <v>74</v>
      </c>
      <c r="H5" s="29" t="s">
        <v>73</v>
      </c>
      <c r="I5" s="29">
        <v>3</v>
      </c>
      <c r="J5" s="29"/>
      <c r="K5" s="49">
        <v>1</v>
      </c>
      <c r="L5" s="48"/>
      <c r="M5" s="48"/>
      <c r="N5" s="48"/>
      <c r="O5" s="48"/>
      <c r="P5" s="48"/>
      <c r="Q5" s="277"/>
      <c r="R5" s="277"/>
      <c r="S5" s="29"/>
      <c r="T5" s="277">
        <v>1</v>
      </c>
      <c r="U5" s="29">
        <v>19</v>
      </c>
      <c r="V5" s="277"/>
      <c r="W5" s="277"/>
      <c r="X5" s="277"/>
      <c r="Y5" s="48"/>
      <c r="Z5" s="48"/>
      <c r="AA5" s="48"/>
      <c r="AB5" s="30" t="s">
        <v>69</v>
      </c>
      <c r="AC5" s="49"/>
      <c r="AD5" s="49">
        <v>1</v>
      </c>
      <c r="AE5" s="48"/>
      <c r="AF5" s="48"/>
      <c r="AG5" s="49"/>
      <c r="AI5" s="48">
        <v>1</v>
      </c>
      <c r="AJ5" t="s">
        <v>29</v>
      </c>
      <c r="AK5" s="48"/>
      <c r="AL5" t="s">
        <v>65</v>
      </c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spans="1:56" ht="17" x14ac:dyDescent="0.2">
      <c r="A6" s="48" t="s">
        <v>498</v>
      </c>
      <c r="B6" s="48"/>
      <c r="C6" s="48"/>
      <c r="D6" s="48"/>
      <c r="E6" s="48"/>
      <c r="F6" s="48">
        <v>11</v>
      </c>
      <c r="G6" s="29" t="s">
        <v>76</v>
      </c>
      <c r="H6" s="29" t="s">
        <v>75</v>
      </c>
      <c r="I6" s="29">
        <v>4</v>
      </c>
      <c r="J6" s="29"/>
      <c r="K6" s="49">
        <v>1</v>
      </c>
      <c r="L6" s="48"/>
      <c r="M6" s="48"/>
      <c r="N6" s="48"/>
      <c r="O6" s="48"/>
      <c r="P6" s="48"/>
      <c r="Q6" s="277"/>
      <c r="R6" s="277"/>
      <c r="S6" s="29"/>
      <c r="T6" s="277">
        <v>1</v>
      </c>
      <c r="U6" s="29">
        <v>16</v>
      </c>
      <c r="V6" s="277"/>
      <c r="W6" s="277"/>
      <c r="X6" s="277"/>
      <c r="Y6" s="48"/>
      <c r="Z6" s="48"/>
      <c r="AA6" s="48"/>
      <c r="AB6" s="30" t="s">
        <v>69</v>
      </c>
      <c r="AC6" s="49"/>
      <c r="AD6" s="49">
        <v>1</v>
      </c>
      <c r="AE6" s="48"/>
      <c r="AF6" s="48"/>
      <c r="AG6" s="49"/>
      <c r="AH6">
        <v>1</v>
      </c>
      <c r="AI6" s="48"/>
      <c r="AJ6" t="s">
        <v>29</v>
      </c>
      <c r="AK6" s="48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</row>
    <row r="7" spans="1:56" ht="17" x14ac:dyDescent="0.2">
      <c r="A7" s="48" t="s">
        <v>498</v>
      </c>
      <c r="B7" s="48"/>
      <c r="C7" s="48"/>
      <c r="D7" s="48"/>
      <c r="E7" s="48"/>
      <c r="F7" s="48">
        <v>11</v>
      </c>
      <c r="G7" s="29" t="s">
        <v>78</v>
      </c>
      <c r="H7" s="29" t="s">
        <v>57</v>
      </c>
      <c r="I7" s="29">
        <v>5</v>
      </c>
      <c r="J7" s="29"/>
      <c r="K7" s="49">
        <v>1</v>
      </c>
      <c r="L7" s="48"/>
      <c r="M7" s="48"/>
      <c r="N7" s="48"/>
      <c r="O7" s="48"/>
      <c r="P7" s="48"/>
      <c r="Q7" s="277"/>
      <c r="R7" s="277"/>
      <c r="S7" s="29"/>
      <c r="T7" s="277">
        <v>1</v>
      </c>
      <c r="U7" s="29">
        <v>14</v>
      </c>
      <c r="V7" s="277"/>
      <c r="W7" s="277"/>
      <c r="X7" s="277"/>
      <c r="Y7" s="48"/>
      <c r="Z7" s="48"/>
      <c r="AA7" s="48"/>
      <c r="AB7" s="30" t="s">
        <v>69</v>
      </c>
      <c r="AC7" s="49"/>
      <c r="AD7" s="49">
        <v>1</v>
      </c>
      <c r="AE7" s="48"/>
      <c r="AF7" s="48"/>
      <c r="AG7" s="49"/>
      <c r="AI7" s="48">
        <v>1</v>
      </c>
      <c r="AJ7" t="s">
        <v>29</v>
      </c>
      <c r="AK7" s="48"/>
      <c r="AL7" t="s">
        <v>59</v>
      </c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</row>
    <row r="8" spans="1:56" x14ac:dyDescent="0.2">
      <c r="A8" s="48"/>
      <c r="B8" s="48"/>
      <c r="C8" s="48"/>
      <c r="D8" s="48"/>
      <c r="E8" s="48"/>
      <c r="F8" s="48"/>
      <c r="G8" s="29"/>
      <c r="H8" s="29"/>
      <c r="I8" s="29"/>
      <c r="J8" s="29"/>
      <c r="K8" s="49"/>
      <c r="L8" s="48"/>
      <c r="M8" s="48"/>
      <c r="N8" s="48"/>
      <c r="O8" s="48"/>
      <c r="P8" s="48"/>
      <c r="Q8" s="277"/>
      <c r="R8" s="277"/>
      <c r="S8" s="29"/>
      <c r="T8" s="277"/>
      <c r="U8" s="29"/>
      <c r="V8" s="277"/>
      <c r="W8" s="277"/>
      <c r="X8" s="277"/>
      <c r="Y8" s="48"/>
      <c r="Z8" s="48"/>
      <c r="AA8" s="48"/>
      <c r="AB8" s="30"/>
      <c r="AC8" s="49"/>
      <c r="AD8" s="49"/>
      <c r="AE8" s="48"/>
      <c r="AF8" s="48"/>
      <c r="AG8" s="49"/>
      <c r="AI8" s="48"/>
      <c r="AK8" s="48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</row>
    <row r="9" spans="1:56" ht="17" x14ac:dyDescent="0.2">
      <c r="A9" s="48" t="s">
        <v>499</v>
      </c>
      <c r="B9" s="48"/>
      <c r="C9" s="48"/>
      <c r="D9" s="48"/>
      <c r="E9" s="48" t="s">
        <v>3089</v>
      </c>
      <c r="F9" s="48" t="s">
        <v>516</v>
      </c>
      <c r="G9" s="29" t="s">
        <v>80</v>
      </c>
      <c r="H9" s="29" t="s">
        <v>79</v>
      </c>
      <c r="I9" s="29">
        <v>6</v>
      </c>
      <c r="J9" s="29"/>
      <c r="K9" s="49">
        <v>1</v>
      </c>
      <c r="L9" s="48"/>
      <c r="M9" s="48"/>
      <c r="N9" s="48"/>
      <c r="O9" s="48">
        <v>1</v>
      </c>
      <c r="P9" s="48"/>
      <c r="Q9" s="277"/>
      <c r="R9" s="277"/>
      <c r="S9" s="29"/>
      <c r="T9" s="277"/>
      <c r="U9" s="29">
        <v>44</v>
      </c>
      <c r="V9" s="277"/>
      <c r="W9" s="277"/>
      <c r="X9" s="277"/>
      <c r="Y9" s="48"/>
      <c r="Z9" s="48"/>
      <c r="AA9" s="48"/>
      <c r="AB9" s="30" t="s">
        <v>50</v>
      </c>
      <c r="AC9" s="49"/>
      <c r="AD9" s="49"/>
      <c r="AE9" s="48"/>
      <c r="AF9" s="48"/>
      <c r="AG9" s="49"/>
      <c r="AI9" s="48">
        <v>1</v>
      </c>
      <c r="AJ9" t="s">
        <v>20</v>
      </c>
      <c r="AK9" s="48"/>
      <c r="AL9" t="s">
        <v>81</v>
      </c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</row>
    <row r="10" spans="1:56" ht="17" x14ac:dyDescent="0.2">
      <c r="A10" s="48" t="s">
        <v>499</v>
      </c>
      <c r="B10" s="48"/>
      <c r="C10" s="48"/>
      <c r="D10" s="48"/>
      <c r="E10" s="48" t="s">
        <v>3089</v>
      </c>
      <c r="F10" s="48" t="s">
        <v>516</v>
      </c>
      <c r="G10" s="29" t="s">
        <v>80</v>
      </c>
      <c r="H10" s="29" t="s">
        <v>82</v>
      </c>
      <c r="I10" s="29">
        <v>7</v>
      </c>
      <c r="J10" s="29"/>
      <c r="K10" s="49"/>
      <c r="L10" s="48"/>
      <c r="M10" s="48"/>
      <c r="N10" s="48">
        <v>1</v>
      </c>
      <c r="O10" s="48"/>
      <c r="P10" s="48"/>
      <c r="Q10" s="277"/>
      <c r="R10" s="277">
        <v>1</v>
      </c>
      <c r="S10" s="29"/>
      <c r="T10" s="277"/>
      <c r="U10" s="29">
        <v>13</v>
      </c>
      <c r="V10" s="277"/>
      <c r="W10" s="277"/>
      <c r="X10" s="48"/>
      <c r="Y10" s="48"/>
      <c r="Z10" s="48"/>
      <c r="AA10" s="48"/>
      <c r="AB10" s="30" t="s">
        <v>20</v>
      </c>
      <c r="AC10" s="49"/>
      <c r="AD10" s="49"/>
      <c r="AE10" s="48"/>
      <c r="AF10" s="48"/>
      <c r="AG10" s="49"/>
      <c r="AH10">
        <v>1</v>
      </c>
      <c r="AI10" s="48"/>
      <c r="AJ10" t="s">
        <v>20</v>
      </c>
      <c r="AK10" s="48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</row>
    <row r="11" spans="1:56" ht="17" x14ac:dyDescent="0.2">
      <c r="A11" s="48" t="s">
        <v>499</v>
      </c>
      <c r="B11" s="48"/>
      <c r="C11" s="48"/>
      <c r="D11" s="48"/>
      <c r="E11" s="48" t="s">
        <v>3089</v>
      </c>
      <c r="F11" s="48" t="s">
        <v>516</v>
      </c>
      <c r="G11" s="29" t="s">
        <v>80</v>
      </c>
      <c r="H11" s="29" t="s">
        <v>83</v>
      </c>
      <c r="I11" s="29">
        <v>8</v>
      </c>
      <c r="J11" s="29"/>
      <c r="K11" s="49"/>
      <c r="L11" s="48"/>
      <c r="M11" s="48"/>
      <c r="N11" s="48">
        <v>1</v>
      </c>
      <c r="O11" s="48"/>
      <c r="P11" s="48"/>
      <c r="Q11" s="277"/>
      <c r="R11" s="277">
        <v>1</v>
      </c>
      <c r="S11" s="29"/>
      <c r="T11" s="277"/>
      <c r="U11" s="29">
        <v>10</v>
      </c>
      <c r="V11" s="277"/>
      <c r="W11" s="277"/>
      <c r="X11" s="277"/>
      <c r="Y11" s="48"/>
      <c r="Z11" s="48"/>
      <c r="AA11" s="48"/>
      <c r="AB11" s="30" t="s">
        <v>20</v>
      </c>
      <c r="AC11" s="49"/>
      <c r="AD11" s="49"/>
      <c r="AE11" s="48"/>
      <c r="AF11" s="48"/>
      <c r="AG11" s="49"/>
      <c r="AH11">
        <v>1</v>
      </c>
      <c r="AI11" s="48"/>
      <c r="AJ11" t="s">
        <v>20</v>
      </c>
      <c r="AK11" s="48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</row>
    <row r="12" spans="1:56" ht="17" x14ac:dyDescent="0.2">
      <c r="A12" s="48" t="s">
        <v>499</v>
      </c>
      <c r="B12" s="48"/>
      <c r="C12" s="48"/>
      <c r="D12" s="48"/>
      <c r="E12" s="48" t="s">
        <v>3089</v>
      </c>
      <c r="F12" s="48" t="s">
        <v>516</v>
      </c>
      <c r="G12" s="29" t="s">
        <v>85</v>
      </c>
      <c r="H12" s="29" t="s">
        <v>84</v>
      </c>
      <c r="I12" s="29">
        <v>9</v>
      </c>
      <c r="J12" s="29"/>
      <c r="K12" s="49">
        <v>1</v>
      </c>
      <c r="L12" s="48"/>
      <c r="M12" s="48"/>
      <c r="N12" s="48"/>
      <c r="O12" s="48"/>
      <c r="P12" s="48"/>
      <c r="Q12" s="277"/>
      <c r="R12" s="277"/>
      <c r="S12" s="29">
        <v>1</v>
      </c>
      <c r="T12" s="277"/>
      <c r="U12" s="29">
        <v>72</v>
      </c>
      <c r="V12" s="277"/>
      <c r="W12" s="277"/>
      <c r="X12" s="277"/>
      <c r="Y12" s="48"/>
      <c r="Z12" s="48"/>
      <c r="AA12" s="48"/>
      <c r="AB12" s="30" t="s">
        <v>20</v>
      </c>
      <c r="AC12" s="49"/>
      <c r="AD12" s="49"/>
      <c r="AE12" s="48"/>
      <c r="AF12" s="48"/>
      <c r="AG12" s="49"/>
      <c r="AI12" s="48">
        <v>1</v>
      </c>
      <c r="AJ12" t="s">
        <v>20</v>
      </c>
      <c r="AK12" s="48" t="s">
        <v>264</v>
      </c>
      <c r="AL12" t="s">
        <v>53</v>
      </c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</row>
    <row r="13" spans="1:56" ht="17" x14ac:dyDescent="0.2">
      <c r="A13" s="48" t="s">
        <v>499</v>
      </c>
      <c r="B13" s="48"/>
      <c r="C13" s="48"/>
      <c r="D13" s="48"/>
      <c r="E13" s="48" t="s">
        <v>3089</v>
      </c>
      <c r="F13" s="48" t="s">
        <v>516</v>
      </c>
      <c r="G13" s="29" t="s">
        <v>87</v>
      </c>
      <c r="H13" s="29" t="s">
        <v>86</v>
      </c>
      <c r="I13" s="29">
        <v>10</v>
      </c>
      <c r="J13" s="29"/>
      <c r="K13" s="49">
        <v>1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29"/>
      <c r="T13" s="48">
        <v>1</v>
      </c>
      <c r="U13" s="29">
        <v>20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30" t="s">
        <v>33</v>
      </c>
      <c r="AC13" s="49">
        <v>0</v>
      </c>
      <c r="AD13" s="49">
        <v>1</v>
      </c>
      <c r="AE13" s="48">
        <v>0</v>
      </c>
      <c r="AF13" s="48"/>
      <c r="AG13" s="49"/>
      <c r="AI13" s="48">
        <v>1</v>
      </c>
      <c r="AJ13" t="s">
        <v>29</v>
      </c>
      <c r="AK13" s="48"/>
      <c r="AL13" t="s">
        <v>88</v>
      </c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</row>
    <row r="14" spans="1:56" ht="17" x14ac:dyDescent="0.2">
      <c r="A14" s="48" t="s">
        <v>499</v>
      </c>
      <c r="B14" s="48"/>
      <c r="C14" s="48"/>
      <c r="D14" s="48"/>
      <c r="E14" s="48" t="s">
        <v>3089</v>
      </c>
      <c r="F14" s="48" t="s">
        <v>516</v>
      </c>
      <c r="G14" s="29" t="s">
        <v>85</v>
      </c>
      <c r="H14" s="29" t="s">
        <v>89</v>
      </c>
      <c r="I14" s="29">
        <v>11</v>
      </c>
      <c r="J14" s="29"/>
      <c r="K14" s="49">
        <v>1</v>
      </c>
      <c r="L14" s="48"/>
      <c r="M14" s="48"/>
      <c r="N14" s="48"/>
      <c r="O14" s="48">
        <v>0</v>
      </c>
      <c r="P14" s="48"/>
      <c r="Q14" s="277"/>
      <c r="R14" s="277"/>
      <c r="S14" s="29">
        <v>1</v>
      </c>
      <c r="T14" s="277"/>
      <c r="U14" s="29">
        <v>37</v>
      </c>
      <c r="V14" s="277"/>
      <c r="W14" s="277"/>
      <c r="X14" s="277"/>
      <c r="Y14" s="48"/>
      <c r="Z14" s="48"/>
      <c r="AA14" s="48"/>
      <c r="AB14" s="30" t="s">
        <v>20</v>
      </c>
      <c r="AC14" s="49"/>
      <c r="AD14" s="49"/>
      <c r="AE14" s="48"/>
      <c r="AF14" s="48"/>
      <c r="AG14" s="49"/>
      <c r="AI14" s="48">
        <v>1</v>
      </c>
      <c r="AJ14" t="s">
        <v>20</v>
      </c>
      <c r="AK14" s="48" t="s">
        <v>264</v>
      </c>
      <c r="AL14" t="s">
        <v>53</v>
      </c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</row>
    <row r="15" spans="1:56" ht="17" x14ac:dyDescent="0.2">
      <c r="A15" s="48" t="s">
        <v>499</v>
      </c>
      <c r="B15" s="48"/>
      <c r="C15" s="48"/>
      <c r="D15" s="48"/>
      <c r="E15" s="48" t="s">
        <v>3089</v>
      </c>
      <c r="F15" s="48" t="s">
        <v>516</v>
      </c>
      <c r="G15" s="29" t="s">
        <v>91</v>
      </c>
      <c r="H15" s="29" t="s">
        <v>90</v>
      </c>
      <c r="I15" s="29">
        <v>12</v>
      </c>
      <c r="J15" s="29"/>
      <c r="K15" s="49">
        <v>1</v>
      </c>
      <c r="L15" s="48"/>
      <c r="M15" s="48"/>
      <c r="N15" s="48"/>
      <c r="O15" s="48"/>
      <c r="P15" s="48"/>
      <c r="Q15" s="277"/>
      <c r="R15" s="277"/>
      <c r="S15" s="29"/>
      <c r="T15" s="277">
        <v>1</v>
      </c>
      <c r="U15" s="29">
        <v>33</v>
      </c>
      <c r="V15" s="277"/>
      <c r="W15" s="277"/>
      <c r="X15" s="277"/>
      <c r="Y15" s="48"/>
      <c r="Z15" s="48"/>
      <c r="AA15" s="48"/>
      <c r="AB15" s="30" t="s">
        <v>93</v>
      </c>
      <c r="AC15" s="49"/>
      <c r="AD15" s="49">
        <v>1</v>
      </c>
      <c r="AE15" s="48"/>
      <c r="AF15" s="48"/>
      <c r="AG15" s="49"/>
      <c r="AI15" s="48">
        <v>1</v>
      </c>
      <c r="AJ15" t="s">
        <v>29</v>
      </c>
      <c r="AK15" s="48"/>
      <c r="AL15" t="s">
        <v>92</v>
      </c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</row>
    <row r="16" spans="1:56" ht="17" x14ac:dyDescent="0.2">
      <c r="A16" s="48" t="s">
        <v>499</v>
      </c>
      <c r="B16" s="48"/>
      <c r="C16" s="48"/>
      <c r="D16" s="48"/>
      <c r="E16" s="48" t="s">
        <v>3089</v>
      </c>
      <c r="F16" s="48" t="s">
        <v>516</v>
      </c>
      <c r="G16" s="29" t="s">
        <v>95</v>
      </c>
      <c r="H16" s="29" t="s">
        <v>94</v>
      </c>
      <c r="I16" s="29">
        <v>13</v>
      </c>
      <c r="J16" s="29"/>
      <c r="K16" s="49">
        <v>1</v>
      </c>
      <c r="L16" s="29"/>
      <c r="M16" s="29"/>
      <c r="N16" s="29"/>
      <c r="O16" s="29"/>
      <c r="P16" s="29"/>
      <c r="Q16" s="29"/>
      <c r="R16" s="29"/>
      <c r="S16" s="29"/>
      <c r="T16" s="29">
        <v>1</v>
      </c>
      <c r="U16" s="29">
        <v>24</v>
      </c>
      <c r="V16" s="29"/>
      <c r="W16" s="29"/>
      <c r="X16" s="29"/>
      <c r="Y16" s="29"/>
      <c r="Z16" s="29"/>
      <c r="AA16" s="29"/>
      <c r="AB16" s="30" t="s">
        <v>28</v>
      </c>
      <c r="AC16" s="30"/>
      <c r="AD16" s="49">
        <v>1</v>
      </c>
      <c r="AE16" s="29"/>
      <c r="AF16" s="29"/>
      <c r="AG16" s="49"/>
      <c r="AH16">
        <v>1</v>
      </c>
      <c r="AI16" s="29"/>
      <c r="AJ16" t="s">
        <v>29</v>
      </c>
      <c r="AK16" s="29"/>
    </row>
    <row r="17" spans="1:56" x14ac:dyDescent="0.2">
      <c r="A17" s="48"/>
      <c r="B17" s="48"/>
      <c r="C17" s="48"/>
      <c r="D17" s="48"/>
      <c r="E17" s="29"/>
      <c r="F17" s="48"/>
      <c r="G17" s="29"/>
      <c r="H17" s="29"/>
      <c r="I17" s="29"/>
      <c r="J17" s="29"/>
      <c r="K17" s="4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30"/>
      <c r="AC17" s="30"/>
      <c r="AD17" s="49"/>
      <c r="AE17" s="29"/>
      <c r="AF17" s="29"/>
      <c r="AG17" s="49"/>
      <c r="AI17" s="29"/>
      <c r="AK17" s="29"/>
    </row>
    <row r="18" spans="1:56" ht="17" x14ac:dyDescent="0.2">
      <c r="A18" s="48" t="s">
        <v>500</v>
      </c>
      <c r="B18" s="48"/>
      <c r="C18" s="48"/>
      <c r="D18" s="48"/>
      <c r="E18" s="29" t="s">
        <v>521</v>
      </c>
      <c r="F18" s="48">
        <v>19</v>
      </c>
      <c r="G18" s="29" t="s">
        <v>97</v>
      </c>
      <c r="H18" s="29" t="s">
        <v>96</v>
      </c>
      <c r="I18" s="29">
        <v>14</v>
      </c>
      <c r="J18" s="29"/>
      <c r="K18" s="49"/>
      <c r="L18" s="29">
        <v>1</v>
      </c>
      <c r="M18" s="29"/>
      <c r="N18" s="29"/>
      <c r="O18" s="29"/>
      <c r="P18" s="29"/>
      <c r="Q18" s="29"/>
      <c r="R18" s="29"/>
      <c r="S18" s="29">
        <v>1</v>
      </c>
      <c r="T18" s="29"/>
      <c r="U18" s="29">
        <v>42</v>
      </c>
      <c r="V18" s="29"/>
      <c r="W18" s="29"/>
      <c r="X18" s="29"/>
      <c r="Y18" s="29"/>
      <c r="Z18" s="29"/>
      <c r="AA18" s="29"/>
      <c r="AB18" s="30" t="s">
        <v>99</v>
      </c>
      <c r="AC18" s="30"/>
      <c r="AD18" s="49">
        <v>1</v>
      </c>
      <c r="AE18" s="29"/>
      <c r="AF18" s="29"/>
      <c r="AG18" s="49"/>
      <c r="AI18" s="29">
        <v>1</v>
      </c>
      <c r="AJ18" t="s">
        <v>100</v>
      </c>
      <c r="AK18" s="29" t="s">
        <v>264</v>
      </c>
      <c r="AL18" t="s">
        <v>98</v>
      </c>
      <c r="AN18" t="s">
        <v>796</v>
      </c>
    </row>
    <row r="19" spans="1:56" ht="17" x14ac:dyDescent="0.2">
      <c r="A19" s="48" t="s">
        <v>500</v>
      </c>
      <c r="B19" s="48"/>
      <c r="C19" s="48"/>
      <c r="D19" s="48"/>
      <c r="E19" s="29" t="s">
        <v>521</v>
      </c>
      <c r="F19" s="48">
        <v>19</v>
      </c>
      <c r="G19" s="29" t="s">
        <v>97</v>
      </c>
      <c r="H19" s="29" t="s">
        <v>101</v>
      </c>
      <c r="I19" s="29">
        <v>15</v>
      </c>
      <c r="J19" s="29"/>
      <c r="K19" s="49">
        <v>1</v>
      </c>
      <c r="L19" s="29"/>
      <c r="M19" s="29"/>
      <c r="N19" s="29"/>
      <c r="O19" s="29"/>
      <c r="P19" s="29"/>
      <c r="Q19" s="29"/>
      <c r="R19" s="29"/>
      <c r="S19" s="29"/>
      <c r="T19" s="29">
        <v>1</v>
      </c>
      <c r="U19" s="29">
        <v>30</v>
      </c>
      <c r="V19" s="29"/>
      <c r="W19" s="29"/>
      <c r="X19" s="29"/>
      <c r="Y19" s="29"/>
      <c r="Z19" s="29"/>
      <c r="AA19" s="29"/>
      <c r="AB19" s="30" t="s">
        <v>33</v>
      </c>
      <c r="AC19" s="30"/>
      <c r="AD19" s="49">
        <v>1</v>
      </c>
      <c r="AE19" s="29"/>
      <c r="AF19" s="29"/>
      <c r="AG19" s="49"/>
      <c r="AI19" s="29">
        <v>1</v>
      </c>
      <c r="AJ19" t="s">
        <v>29</v>
      </c>
      <c r="AK19" s="29"/>
      <c r="AL19" t="s">
        <v>102</v>
      </c>
    </row>
    <row r="20" spans="1:56" ht="17" x14ac:dyDescent="0.2">
      <c r="A20" s="48" t="s">
        <v>500</v>
      </c>
      <c r="B20" s="48"/>
      <c r="C20" s="48"/>
      <c r="D20" s="48"/>
      <c r="E20" s="29" t="s">
        <v>521</v>
      </c>
      <c r="F20" s="278">
        <v>19</v>
      </c>
      <c r="G20" s="52" t="s">
        <v>104</v>
      </c>
      <c r="H20" s="52" t="s">
        <v>103</v>
      </c>
      <c r="I20" s="29">
        <v>16</v>
      </c>
      <c r="J20" s="52"/>
      <c r="K20" s="279"/>
      <c r="L20" s="52">
        <v>1</v>
      </c>
      <c r="M20" s="52"/>
      <c r="N20" s="52"/>
      <c r="O20" s="52"/>
      <c r="P20" s="52"/>
      <c r="Q20" s="52"/>
      <c r="R20" s="52"/>
      <c r="S20" s="52">
        <v>1</v>
      </c>
      <c r="T20" s="52"/>
      <c r="U20" s="52">
        <v>37</v>
      </c>
      <c r="V20" s="52"/>
      <c r="W20" s="52"/>
      <c r="X20" s="52"/>
      <c r="Y20" s="52"/>
      <c r="Z20" s="52"/>
      <c r="AA20" s="52"/>
      <c r="AB20" s="53" t="s">
        <v>105</v>
      </c>
      <c r="AC20" s="53"/>
      <c r="AD20" s="279">
        <v>1</v>
      </c>
      <c r="AE20" s="52"/>
      <c r="AF20" s="52"/>
      <c r="AG20" s="279"/>
      <c r="AH20">
        <v>1</v>
      </c>
      <c r="AI20" s="52"/>
      <c r="AJ20" t="s">
        <v>106</v>
      </c>
      <c r="AK20" s="52" t="s">
        <v>60</v>
      </c>
    </row>
    <row r="21" spans="1:56" x14ac:dyDescent="0.2">
      <c r="A21" s="278"/>
      <c r="B21" s="278"/>
      <c r="C21" s="278"/>
      <c r="D21" s="278"/>
      <c r="E21" s="52"/>
      <c r="F21" s="52"/>
      <c r="G21" s="52"/>
      <c r="H21" s="52"/>
      <c r="I21" s="29"/>
      <c r="J21" s="52"/>
      <c r="K21" s="279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3"/>
      <c r="AC21" s="53"/>
      <c r="AD21" s="279"/>
      <c r="AE21" s="52"/>
      <c r="AF21" s="52"/>
      <c r="AG21" s="279"/>
      <c r="AI21" s="52"/>
      <c r="AK21" s="52"/>
    </row>
    <row r="22" spans="1:56" ht="34" x14ac:dyDescent="0.2">
      <c r="A22" s="48" t="s">
        <v>501</v>
      </c>
      <c r="B22" s="48"/>
      <c r="C22" s="48"/>
      <c r="D22" s="48"/>
      <c r="E22" s="29"/>
      <c r="F22" s="29" t="s">
        <v>213</v>
      </c>
      <c r="G22" s="29" t="s">
        <v>316</v>
      </c>
      <c r="H22" s="29" t="s">
        <v>315</v>
      </c>
      <c r="I22" s="29">
        <v>17</v>
      </c>
      <c r="J22" s="29"/>
      <c r="K22" s="29"/>
      <c r="L22" s="29">
        <v>1</v>
      </c>
      <c r="M22" s="29"/>
      <c r="N22" s="29"/>
      <c r="O22" s="29">
        <v>1</v>
      </c>
      <c r="P22" s="29"/>
      <c r="Q22" s="29"/>
      <c r="R22" s="29"/>
      <c r="S22" s="29"/>
      <c r="T22" s="29"/>
      <c r="U22" s="29">
        <v>63</v>
      </c>
      <c r="V22" s="29"/>
      <c r="W22" s="29"/>
      <c r="X22" s="29"/>
      <c r="Y22" s="29"/>
      <c r="Z22" s="29"/>
      <c r="AA22" s="29"/>
      <c r="AB22" s="30" t="s">
        <v>317</v>
      </c>
      <c r="AD22" s="29" t="s">
        <v>20</v>
      </c>
      <c r="AE22" s="29"/>
      <c r="AF22" s="29"/>
      <c r="AG22" s="29"/>
      <c r="AH22" s="30" t="s">
        <v>49</v>
      </c>
      <c r="AI22" s="29"/>
      <c r="AJ22" s="29"/>
      <c r="AK22" s="29"/>
      <c r="AL22" s="29"/>
      <c r="AM22" s="29"/>
      <c r="AN22" s="29"/>
      <c r="AO22" s="29"/>
    </row>
    <row r="23" spans="1:56" ht="17" x14ac:dyDescent="0.2">
      <c r="A23" s="48" t="s">
        <v>501</v>
      </c>
      <c r="B23" s="48"/>
      <c r="C23" s="48"/>
      <c r="D23" s="48"/>
      <c r="E23" s="29"/>
      <c r="F23" s="29" t="s">
        <v>213</v>
      </c>
      <c r="G23" s="29" t="s">
        <v>316</v>
      </c>
      <c r="H23" s="29" t="s">
        <v>318</v>
      </c>
      <c r="I23" s="29">
        <v>18</v>
      </c>
      <c r="J23" s="29"/>
      <c r="K23" s="29">
        <v>1</v>
      </c>
      <c r="L23" s="29"/>
      <c r="M23" s="29"/>
      <c r="N23" s="29"/>
      <c r="O23" s="29"/>
      <c r="P23" s="29">
        <v>1</v>
      </c>
      <c r="Q23" s="29"/>
      <c r="R23" s="29"/>
      <c r="S23" s="29"/>
      <c r="T23" s="29"/>
      <c r="U23" s="29">
        <v>54</v>
      </c>
      <c r="V23" s="29"/>
      <c r="W23" s="29"/>
      <c r="X23" s="29"/>
      <c r="Y23" s="29"/>
      <c r="Z23" s="29"/>
      <c r="AA23" s="29"/>
      <c r="AB23" s="30" t="s">
        <v>50</v>
      </c>
      <c r="AD23" s="29" t="s">
        <v>20</v>
      </c>
      <c r="AE23" s="29"/>
      <c r="AF23" s="29"/>
      <c r="AG23" s="29"/>
      <c r="AH23" s="30" t="s">
        <v>319</v>
      </c>
      <c r="AI23" s="29">
        <v>1</v>
      </c>
      <c r="AJ23" s="29"/>
      <c r="AK23" s="29"/>
      <c r="AL23" s="29"/>
      <c r="AM23" s="29"/>
      <c r="AN23" s="29"/>
      <c r="AO23" s="29"/>
    </row>
    <row r="24" spans="1:56" ht="34" x14ac:dyDescent="0.2">
      <c r="A24" s="48" t="s">
        <v>501</v>
      </c>
      <c r="B24" s="48"/>
      <c r="C24" s="48"/>
      <c r="D24" s="48"/>
      <c r="E24" s="29"/>
      <c r="F24" s="29" t="s">
        <v>213</v>
      </c>
      <c r="G24" s="29" t="s">
        <v>316</v>
      </c>
      <c r="H24" s="29" t="s">
        <v>320</v>
      </c>
      <c r="I24" s="29">
        <v>19</v>
      </c>
      <c r="J24" s="29"/>
      <c r="K24" s="29">
        <v>1</v>
      </c>
      <c r="L24" s="29"/>
      <c r="M24" s="29"/>
      <c r="N24" s="29"/>
      <c r="O24" s="29"/>
      <c r="P24" s="29"/>
      <c r="Q24" s="29"/>
      <c r="R24" s="29">
        <v>1</v>
      </c>
      <c r="S24" s="29"/>
      <c r="T24" s="29"/>
      <c r="U24" s="29">
        <v>24</v>
      </c>
      <c r="V24" s="29"/>
      <c r="W24" s="29"/>
      <c r="X24" s="29"/>
      <c r="Y24" s="29"/>
      <c r="Z24" s="29"/>
      <c r="AA24" s="29"/>
      <c r="AB24" s="30" t="s">
        <v>321</v>
      </c>
      <c r="AD24" s="29">
        <v>1</v>
      </c>
      <c r="AE24" s="29"/>
      <c r="AF24" s="29"/>
      <c r="AG24" s="29"/>
      <c r="AH24" s="30" t="s">
        <v>49</v>
      </c>
      <c r="AI24" s="29"/>
      <c r="AJ24" s="29"/>
      <c r="AK24" s="29"/>
      <c r="AL24" s="29"/>
      <c r="AM24" s="29"/>
      <c r="AN24" s="29"/>
      <c r="AO24" s="29"/>
    </row>
    <row r="25" spans="1:56" ht="34" x14ac:dyDescent="0.2">
      <c r="A25" s="48" t="s">
        <v>501</v>
      </c>
      <c r="B25" s="48"/>
      <c r="C25" s="48"/>
      <c r="D25" s="48"/>
      <c r="E25" s="29"/>
      <c r="F25" s="29" t="s">
        <v>213</v>
      </c>
      <c r="G25" s="29" t="s">
        <v>316</v>
      </c>
      <c r="H25" s="29" t="s">
        <v>323</v>
      </c>
      <c r="I25" s="29">
        <v>20</v>
      </c>
      <c r="J25" s="29"/>
      <c r="K25" s="29">
        <v>1</v>
      </c>
      <c r="L25" s="29"/>
      <c r="M25" s="29"/>
      <c r="N25" s="29"/>
      <c r="O25" s="29"/>
      <c r="P25" s="29"/>
      <c r="Q25" s="29">
        <v>1</v>
      </c>
      <c r="R25" s="29"/>
      <c r="S25" s="29"/>
      <c r="T25" s="29"/>
      <c r="U25" s="29">
        <v>22</v>
      </c>
      <c r="V25" s="29"/>
      <c r="W25" s="29"/>
      <c r="X25" s="29"/>
      <c r="Y25" s="29"/>
      <c r="Z25" s="29"/>
      <c r="AA25" s="29"/>
      <c r="AB25" s="30" t="s">
        <v>20</v>
      </c>
      <c r="AD25" s="29" t="s">
        <v>20</v>
      </c>
      <c r="AE25" s="29"/>
      <c r="AF25" s="29"/>
      <c r="AG25" s="29"/>
      <c r="AH25" s="30" t="s">
        <v>49</v>
      </c>
      <c r="AI25" s="29"/>
      <c r="AJ25" s="29"/>
      <c r="AK25" s="29"/>
      <c r="AL25" s="29"/>
      <c r="AM25" s="29"/>
      <c r="AN25" s="29"/>
      <c r="AO25" s="29"/>
    </row>
    <row r="26" spans="1:56" ht="34" x14ac:dyDescent="0.2">
      <c r="A26" s="48" t="s">
        <v>501</v>
      </c>
      <c r="B26" s="48"/>
      <c r="C26" s="48"/>
      <c r="D26" s="48"/>
      <c r="E26" s="29"/>
      <c r="F26" s="29" t="s">
        <v>213</v>
      </c>
      <c r="G26" s="29" t="s">
        <v>316</v>
      </c>
      <c r="H26" s="29" t="s">
        <v>324</v>
      </c>
      <c r="I26" s="29">
        <v>21</v>
      </c>
      <c r="J26" s="29"/>
      <c r="K26" s="29">
        <v>1</v>
      </c>
      <c r="L26" s="29"/>
      <c r="M26" s="29"/>
      <c r="N26" s="29"/>
      <c r="O26" s="29"/>
      <c r="P26" s="29"/>
      <c r="Q26" s="29">
        <v>1</v>
      </c>
      <c r="R26" s="29"/>
      <c r="S26" s="29"/>
      <c r="T26" s="29"/>
      <c r="U26" s="29">
        <v>20</v>
      </c>
      <c r="V26" s="29"/>
      <c r="W26" s="29"/>
      <c r="X26" s="29"/>
      <c r="Y26" s="29"/>
      <c r="Z26" s="29"/>
      <c r="AA26" s="29"/>
      <c r="AB26" s="30" t="s">
        <v>20</v>
      </c>
      <c r="AD26" s="29" t="s">
        <v>20</v>
      </c>
      <c r="AE26" s="29"/>
      <c r="AF26" s="29"/>
      <c r="AG26" s="29"/>
      <c r="AH26" s="30" t="s">
        <v>325</v>
      </c>
      <c r="AI26" s="29"/>
      <c r="AJ26" s="29"/>
      <c r="AK26" s="29"/>
      <c r="AL26" s="29"/>
      <c r="AM26" s="29"/>
      <c r="AN26" s="29"/>
      <c r="AO26" s="29"/>
    </row>
    <row r="27" spans="1:56" ht="34" x14ac:dyDescent="0.2">
      <c r="A27" s="48" t="s">
        <v>501</v>
      </c>
      <c r="B27" s="48"/>
      <c r="C27" s="48"/>
      <c r="D27" s="48"/>
      <c r="E27" s="29"/>
      <c r="F27" s="29" t="s">
        <v>213</v>
      </c>
      <c r="G27" s="29" t="s">
        <v>316</v>
      </c>
      <c r="H27" s="29" t="s">
        <v>326</v>
      </c>
      <c r="I27" s="29">
        <v>22</v>
      </c>
      <c r="J27" s="29"/>
      <c r="K27" s="29">
        <v>1</v>
      </c>
      <c r="L27" s="29"/>
      <c r="M27" s="29"/>
      <c r="N27" s="29"/>
      <c r="O27" s="29"/>
      <c r="P27" s="29"/>
      <c r="Q27" s="29">
        <v>1</v>
      </c>
      <c r="R27" s="29"/>
      <c r="S27" s="29"/>
      <c r="T27" s="29"/>
      <c r="U27" s="29">
        <v>19</v>
      </c>
      <c r="V27" s="29"/>
      <c r="W27" s="29"/>
      <c r="X27" s="29"/>
      <c r="Y27" s="29"/>
      <c r="Z27" s="29"/>
      <c r="AA27" s="29"/>
      <c r="AB27" s="30" t="s">
        <v>20</v>
      </c>
      <c r="AD27" s="29" t="s">
        <v>20</v>
      </c>
      <c r="AE27" s="29"/>
      <c r="AF27" s="29"/>
      <c r="AG27" s="29"/>
      <c r="AH27" s="30" t="s">
        <v>325</v>
      </c>
      <c r="AI27" s="29"/>
      <c r="AJ27" s="29"/>
      <c r="AK27" s="29"/>
      <c r="AL27" s="29"/>
      <c r="AM27" s="29"/>
      <c r="AN27" s="29"/>
      <c r="AO27" s="29"/>
    </row>
    <row r="28" spans="1:56" ht="34" x14ac:dyDescent="0.2">
      <c r="A28" s="48" t="s">
        <v>501</v>
      </c>
      <c r="B28" s="48"/>
      <c r="C28" s="48"/>
      <c r="D28" s="48"/>
      <c r="E28" s="29"/>
      <c r="F28" s="29" t="s">
        <v>213</v>
      </c>
      <c r="G28" s="29" t="s">
        <v>328</v>
      </c>
      <c r="H28" s="29" t="s">
        <v>327</v>
      </c>
      <c r="I28" s="29">
        <v>23</v>
      </c>
      <c r="J28" s="29"/>
      <c r="K28" s="29">
        <v>1</v>
      </c>
      <c r="L28" s="29"/>
      <c r="M28" s="29"/>
      <c r="N28" s="29"/>
      <c r="O28" s="29"/>
      <c r="P28" s="29"/>
      <c r="Q28" s="29"/>
      <c r="R28" s="29"/>
      <c r="S28" s="29"/>
      <c r="T28" s="29">
        <v>1</v>
      </c>
      <c r="U28" s="29">
        <v>20</v>
      </c>
      <c r="V28" s="29"/>
      <c r="W28" s="29"/>
      <c r="X28" s="29"/>
      <c r="Y28" s="29"/>
      <c r="Z28" s="29"/>
      <c r="AA28" s="29"/>
      <c r="AB28" s="30" t="s">
        <v>330</v>
      </c>
      <c r="AD28" s="29">
        <v>1</v>
      </c>
      <c r="AE28" s="29"/>
      <c r="AF28" s="29"/>
      <c r="AG28" s="29"/>
      <c r="AH28" s="30" t="s">
        <v>329</v>
      </c>
      <c r="AI28" s="29">
        <v>1</v>
      </c>
      <c r="AJ28" s="29"/>
      <c r="AK28" s="29"/>
      <c r="AL28" s="29"/>
      <c r="AM28" s="29"/>
      <c r="AN28" s="29"/>
      <c r="AO28" s="29"/>
    </row>
    <row r="29" spans="1:56" ht="34" x14ac:dyDescent="0.2">
      <c r="A29" s="48" t="s">
        <v>501</v>
      </c>
      <c r="B29" s="48"/>
      <c r="C29" s="48"/>
      <c r="D29" s="48"/>
      <c r="E29" s="29"/>
      <c r="F29" s="29" t="s">
        <v>213</v>
      </c>
      <c r="G29" s="29" t="s">
        <v>332</v>
      </c>
      <c r="H29" s="29" t="s">
        <v>331</v>
      </c>
      <c r="I29" s="29">
        <v>24</v>
      </c>
      <c r="J29" s="29"/>
      <c r="K29" s="29">
        <v>1</v>
      </c>
      <c r="L29" s="29"/>
      <c r="M29" s="29"/>
      <c r="N29" s="29"/>
      <c r="O29" s="29"/>
      <c r="P29" s="29"/>
      <c r="Q29" s="29"/>
      <c r="R29" s="29"/>
      <c r="S29" s="29"/>
      <c r="T29" s="29">
        <v>1</v>
      </c>
      <c r="U29" s="29">
        <v>24</v>
      </c>
      <c r="V29" s="29"/>
      <c r="W29" s="29"/>
      <c r="X29" s="29"/>
      <c r="Y29" s="29"/>
      <c r="Z29" s="29"/>
      <c r="AA29" s="29"/>
      <c r="AB29" s="30" t="s">
        <v>137</v>
      </c>
      <c r="AD29" s="29">
        <v>1</v>
      </c>
      <c r="AE29" s="29"/>
      <c r="AF29" s="29"/>
      <c r="AG29" s="29"/>
      <c r="AH29" s="30" t="s">
        <v>333</v>
      </c>
      <c r="AI29" s="29">
        <v>1</v>
      </c>
      <c r="AJ29" s="29"/>
      <c r="AK29" s="29"/>
      <c r="AL29" s="29"/>
      <c r="AM29" s="29"/>
      <c r="AN29" s="29"/>
      <c r="AO29" s="29"/>
    </row>
    <row r="30" spans="1:56" x14ac:dyDescent="0.2">
      <c r="A30" s="48"/>
      <c r="B30" s="246"/>
      <c r="C30" s="246"/>
      <c r="D30" s="246"/>
      <c r="I30" s="29"/>
    </row>
    <row r="31" spans="1:56" ht="17" x14ac:dyDescent="0.2">
      <c r="A31" s="48" t="s">
        <v>502</v>
      </c>
      <c r="B31" s="246"/>
      <c r="C31" s="246"/>
      <c r="D31" s="246"/>
      <c r="G31" t="s">
        <v>3086</v>
      </c>
      <c r="H31" t="s">
        <v>3087</v>
      </c>
      <c r="I31" s="29">
        <v>25</v>
      </c>
      <c r="J31" t="s">
        <v>12</v>
      </c>
      <c r="L31">
        <v>1</v>
      </c>
      <c r="P31">
        <v>1</v>
      </c>
      <c r="U31">
        <v>45</v>
      </c>
      <c r="Y31" s="280"/>
      <c r="Z31" s="280"/>
      <c r="AA31" s="280"/>
      <c r="AB31" s="54" t="s">
        <v>15</v>
      </c>
      <c r="AD31" s="280">
        <v>1</v>
      </c>
      <c r="AE31" t="s">
        <v>8</v>
      </c>
      <c r="AF31">
        <v>1</v>
      </c>
      <c r="AG31" s="280"/>
      <c r="AH31" t="s">
        <v>14</v>
      </c>
      <c r="AI31" s="46"/>
      <c r="AJ31" s="46"/>
      <c r="AK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</row>
    <row r="32" spans="1:56" ht="17" x14ac:dyDescent="0.2">
      <c r="A32" s="48" t="s">
        <v>502</v>
      </c>
      <c r="B32" s="246"/>
      <c r="C32" s="246"/>
      <c r="D32" s="246"/>
      <c r="G32" t="s">
        <v>118</v>
      </c>
      <c r="H32" t="s">
        <v>335</v>
      </c>
      <c r="I32" s="29">
        <v>26</v>
      </c>
      <c r="J32" t="s">
        <v>22</v>
      </c>
      <c r="K32">
        <v>1</v>
      </c>
      <c r="Q32">
        <v>1</v>
      </c>
      <c r="U32">
        <v>18</v>
      </c>
      <c r="Y32" s="281"/>
      <c r="Z32" s="281"/>
      <c r="AA32" s="281"/>
      <c r="AB32" s="54" t="s">
        <v>47</v>
      </c>
      <c r="AD32" s="46"/>
      <c r="AE32" t="s">
        <v>20</v>
      </c>
      <c r="AG32" s="46"/>
      <c r="AH32" t="s">
        <v>14</v>
      </c>
      <c r="AI32" s="46"/>
      <c r="AJ32" s="46"/>
      <c r="AK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</row>
    <row r="33" spans="1:56" ht="17" x14ac:dyDescent="0.2">
      <c r="A33" s="48" t="s">
        <v>502</v>
      </c>
      <c r="B33" s="246"/>
      <c r="C33" s="246"/>
      <c r="D33" s="246"/>
      <c r="G33" t="s">
        <v>337</v>
      </c>
      <c r="H33" t="s">
        <v>336</v>
      </c>
      <c r="I33" s="29">
        <v>27</v>
      </c>
      <c r="J33" t="s">
        <v>26</v>
      </c>
      <c r="K33">
        <v>1</v>
      </c>
      <c r="T33">
        <v>1</v>
      </c>
      <c r="U33">
        <v>29</v>
      </c>
      <c r="Y33" s="46"/>
      <c r="Z33" s="46"/>
      <c r="AA33" s="46"/>
      <c r="AB33" s="54" t="s">
        <v>33</v>
      </c>
      <c r="AD33" s="46">
        <v>1</v>
      </c>
      <c r="AE33" t="s">
        <v>29</v>
      </c>
      <c r="AG33" s="46"/>
      <c r="AH33" t="s">
        <v>338</v>
      </c>
      <c r="AI33" s="46">
        <v>1</v>
      </c>
      <c r="AJ33" s="46"/>
      <c r="AK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</row>
    <row r="34" spans="1:56" ht="17" x14ac:dyDescent="0.2">
      <c r="A34" s="48" t="s">
        <v>502</v>
      </c>
      <c r="B34" s="246"/>
      <c r="C34" s="246"/>
      <c r="D34" s="246"/>
      <c r="G34" t="s">
        <v>340</v>
      </c>
      <c r="H34" t="s">
        <v>339</v>
      </c>
      <c r="I34" s="29">
        <v>28</v>
      </c>
      <c r="J34" t="s">
        <v>26</v>
      </c>
      <c r="K34">
        <v>1</v>
      </c>
      <c r="T34">
        <v>1</v>
      </c>
      <c r="U34">
        <v>24</v>
      </c>
      <c r="Y34" s="46"/>
      <c r="Z34" s="46"/>
      <c r="AA34" s="46"/>
      <c r="AB34" s="54" t="s">
        <v>55</v>
      </c>
      <c r="AD34" s="46">
        <v>1</v>
      </c>
      <c r="AE34" t="s">
        <v>29</v>
      </c>
      <c r="AG34" s="46"/>
      <c r="AH34" t="s">
        <v>341</v>
      </c>
      <c r="AI34" s="46">
        <v>1</v>
      </c>
      <c r="AJ34" s="46"/>
      <c r="AK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</row>
    <row r="35" spans="1:56" x14ac:dyDescent="0.2">
      <c r="A35" s="48"/>
      <c r="B35" s="246"/>
      <c r="C35" s="246"/>
      <c r="D35" s="246"/>
      <c r="I35" s="29"/>
      <c r="Y35" s="46"/>
      <c r="Z35" s="46"/>
      <c r="AA35" s="46"/>
      <c r="AD35" s="46"/>
      <c r="AG35" s="46"/>
      <c r="AI35" s="46"/>
      <c r="AJ35" s="46"/>
      <c r="AK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</row>
    <row r="36" spans="1:56" ht="17" x14ac:dyDescent="0.2">
      <c r="A36" s="48" t="s">
        <v>503</v>
      </c>
      <c r="B36" s="246"/>
      <c r="C36" s="246"/>
      <c r="D36" s="246"/>
      <c r="E36" t="s">
        <v>3115</v>
      </c>
      <c r="F36" t="s">
        <v>3114</v>
      </c>
      <c r="G36" t="s">
        <v>342</v>
      </c>
      <c r="H36" t="s">
        <v>64</v>
      </c>
      <c r="I36" s="29">
        <v>29</v>
      </c>
      <c r="J36" t="s">
        <v>26</v>
      </c>
      <c r="K36">
        <v>1</v>
      </c>
      <c r="T36">
        <v>1</v>
      </c>
      <c r="U36">
        <v>24</v>
      </c>
      <c r="Y36" s="281"/>
      <c r="Z36" s="281"/>
      <c r="AA36" s="281"/>
      <c r="AB36" s="54" t="s">
        <v>344</v>
      </c>
      <c r="AD36" s="46">
        <v>1</v>
      </c>
      <c r="AE36" t="s">
        <v>29</v>
      </c>
      <c r="AG36" s="46"/>
      <c r="AH36" t="s">
        <v>343</v>
      </c>
      <c r="AI36" s="46"/>
      <c r="AJ36" s="46" t="s">
        <v>3118</v>
      </c>
      <c r="AK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</row>
    <row r="37" spans="1:56" ht="17" x14ac:dyDescent="0.2">
      <c r="A37" s="48" t="s">
        <v>503</v>
      </c>
      <c r="B37" s="246"/>
      <c r="C37" s="246"/>
      <c r="D37" s="246"/>
      <c r="E37" t="s">
        <v>3115</v>
      </c>
      <c r="F37" t="s">
        <v>3114</v>
      </c>
      <c r="G37" t="s">
        <v>342</v>
      </c>
      <c r="H37" t="s">
        <v>345</v>
      </c>
      <c r="I37" s="29">
        <v>30</v>
      </c>
      <c r="J37" t="s">
        <v>26</v>
      </c>
      <c r="K37">
        <v>1</v>
      </c>
      <c r="T37">
        <v>1</v>
      </c>
      <c r="U37">
        <v>21</v>
      </c>
      <c r="Y37" s="281"/>
      <c r="Z37" s="281"/>
      <c r="AA37" s="281"/>
      <c r="AB37" s="54" t="s">
        <v>344</v>
      </c>
      <c r="AD37" s="46">
        <v>1</v>
      </c>
      <c r="AE37" t="s">
        <v>29</v>
      </c>
      <c r="AG37" s="46"/>
      <c r="AH37" t="s">
        <v>346</v>
      </c>
      <c r="AI37" s="46"/>
      <c r="AJ37" s="46"/>
      <c r="AK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</row>
    <row r="38" spans="1:56" ht="17" x14ac:dyDescent="0.2">
      <c r="A38" s="48" t="s">
        <v>503</v>
      </c>
      <c r="B38" s="246"/>
      <c r="C38" s="246"/>
      <c r="D38" s="246"/>
      <c r="E38" t="s">
        <v>3115</v>
      </c>
      <c r="F38" t="s">
        <v>3114</v>
      </c>
      <c r="G38" t="s">
        <v>495</v>
      </c>
      <c r="H38" t="s">
        <v>496</v>
      </c>
      <c r="I38" s="29">
        <v>31</v>
      </c>
      <c r="J38" t="s">
        <v>22</v>
      </c>
      <c r="M38">
        <v>1</v>
      </c>
      <c r="Q38">
        <v>1</v>
      </c>
      <c r="U38">
        <v>7</v>
      </c>
      <c r="Y38" s="281"/>
      <c r="Z38" s="281"/>
      <c r="AA38" s="281"/>
      <c r="AB38" s="54" t="s">
        <v>20</v>
      </c>
      <c r="AD38" s="46"/>
      <c r="AE38" t="s">
        <v>20</v>
      </c>
      <c r="AG38" s="46"/>
      <c r="AH38" t="s">
        <v>49</v>
      </c>
      <c r="AI38" s="46"/>
      <c r="AJ38" s="46"/>
      <c r="AK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</row>
    <row r="39" spans="1:56" ht="17" x14ac:dyDescent="0.2">
      <c r="A39" s="48" t="s">
        <v>503</v>
      </c>
      <c r="B39" s="246"/>
      <c r="C39" s="246"/>
      <c r="D39" s="246"/>
      <c r="E39" t="s">
        <v>3115</v>
      </c>
      <c r="F39" t="s">
        <v>3114</v>
      </c>
      <c r="G39" t="s">
        <v>348</v>
      </c>
      <c r="H39" t="s">
        <v>24</v>
      </c>
      <c r="I39" s="29">
        <v>32</v>
      </c>
      <c r="J39" t="s">
        <v>58</v>
      </c>
      <c r="K39">
        <v>1</v>
      </c>
      <c r="S39">
        <v>1</v>
      </c>
      <c r="U39">
        <v>51</v>
      </c>
      <c r="Y39" s="46"/>
      <c r="Z39" s="46"/>
      <c r="AA39" s="46"/>
      <c r="AB39" s="54" t="s">
        <v>50</v>
      </c>
      <c r="AD39" s="46"/>
      <c r="AE39" t="s">
        <v>20</v>
      </c>
      <c r="AG39" s="46"/>
      <c r="AH39" t="s">
        <v>349</v>
      </c>
      <c r="AI39" s="46"/>
      <c r="AJ39" s="46"/>
      <c r="AK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</row>
    <row r="40" spans="1:56" x14ac:dyDescent="0.2">
      <c r="A40" s="48"/>
      <c r="B40" s="246"/>
      <c r="C40" s="246"/>
      <c r="D40" s="246"/>
      <c r="I40" s="29"/>
      <c r="Y40" s="46"/>
      <c r="Z40" s="46"/>
      <c r="AA40" s="46"/>
      <c r="AD40" s="46"/>
      <c r="AG40" s="46"/>
      <c r="AI40" s="46"/>
      <c r="AJ40" s="46"/>
      <c r="AK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</row>
    <row r="41" spans="1:56" ht="17" x14ac:dyDescent="0.2">
      <c r="A41" s="48" t="s">
        <v>504</v>
      </c>
      <c r="B41" s="246"/>
      <c r="C41" s="246"/>
      <c r="D41" s="246"/>
      <c r="F41" t="s">
        <v>3116</v>
      </c>
      <c r="G41" t="s">
        <v>128</v>
      </c>
      <c r="H41" t="s">
        <v>350</v>
      </c>
      <c r="I41" s="29">
        <v>33</v>
      </c>
      <c r="J41" t="s">
        <v>12</v>
      </c>
      <c r="K41">
        <v>1</v>
      </c>
      <c r="O41">
        <v>1</v>
      </c>
      <c r="U41">
        <v>65</v>
      </c>
      <c r="Y41" s="281"/>
      <c r="Z41" s="46"/>
      <c r="AA41" s="46"/>
      <c r="AB41" s="54" t="s">
        <v>129</v>
      </c>
      <c r="AD41" s="46">
        <v>1</v>
      </c>
      <c r="AE41" t="s">
        <v>8</v>
      </c>
      <c r="AF41">
        <v>1</v>
      </c>
      <c r="AG41" s="46"/>
      <c r="AH41" t="s">
        <v>49</v>
      </c>
      <c r="AI41" s="46"/>
      <c r="AJ41" s="46"/>
      <c r="AK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</row>
    <row r="42" spans="1:56" ht="17" x14ac:dyDescent="0.2">
      <c r="A42" s="48" t="s">
        <v>504</v>
      </c>
      <c r="B42" s="246"/>
      <c r="C42" s="246"/>
      <c r="D42" s="246"/>
      <c r="F42" t="s">
        <v>3116</v>
      </c>
      <c r="G42" t="s">
        <v>128</v>
      </c>
      <c r="H42" t="s">
        <v>351</v>
      </c>
      <c r="I42" s="29">
        <v>34</v>
      </c>
      <c r="J42" t="s">
        <v>18</v>
      </c>
      <c r="K42">
        <v>1</v>
      </c>
      <c r="P42">
        <v>1</v>
      </c>
      <c r="U42">
        <v>58</v>
      </c>
      <c r="Y42" s="281"/>
      <c r="Z42" s="46"/>
      <c r="AA42" s="46"/>
      <c r="AB42" s="54" t="s">
        <v>50</v>
      </c>
      <c r="AD42" s="46"/>
      <c r="AE42" t="s">
        <v>20</v>
      </c>
      <c r="AG42" s="46"/>
      <c r="AH42" t="s">
        <v>49</v>
      </c>
      <c r="AI42" s="46"/>
      <c r="AJ42" s="46"/>
      <c r="AK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</row>
    <row r="43" spans="1:56" ht="17" x14ac:dyDescent="0.2">
      <c r="A43" s="48" t="s">
        <v>504</v>
      </c>
      <c r="B43" s="246"/>
      <c r="C43" s="246"/>
      <c r="D43" s="246"/>
      <c r="F43" t="s">
        <v>3116</v>
      </c>
      <c r="G43" t="s">
        <v>353</v>
      </c>
      <c r="H43" t="s">
        <v>352</v>
      </c>
      <c r="I43" s="29">
        <v>35</v>
      </c>
      <c r="J43" t="s">
        <v>26</v>
      </c>
      <c r="K43">
        <v>1</v>
      </c>
      <c r="T43">
        <v>1</v>
      </c>
      <c r="U43">
        <v>29</v>
      </c>
      <c r="Y43" s="281"/>
      <c r="Z43" s="46"/>
      <c r="AA43" s="46"/>
      <c r="AB43" s="54" t="s">
        <v>28</v>
      </c>
      <c r="AD43" s="46">
        <v>1</v>
      </c>
      <c r="AE43" t="s">
        <v>29</v>
      </c>
      <c r="AG43" s="46"/>
      <c r="AH43" t="s">
        <v>212</v>
      </c>
      <c r="AI43" s="46">
        <v>1</v>
      </c>
      <c r="AJ43" s="46"/>
      <c r="AK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</row>
    <row r="44" spans="1:56" ht="17" x14ac:dyDescent="0.2">
      <c r="A44" s="48" t="s">
        <v>504</v>
      </c>
      <c r="B44" s="246"/>
      <c r="C44" s="246"/>
      <c r="D44" s="246"/>
      <c r="F44" t="s">
        <v>3116</v>
      </c>
      <c r="G44" t="s">
        <v>355</v>
      </c>
      <c r="H44" t="s">
        <v>354</v>
      </c>
      <c r="I44" s="29">
        <v>36</v>
      </c>
      <c r="J44" t="s">
        <v>26</v>
      </c>
      <c r="K44">
        <v>1</v>
      </c>
      <c r="T44">
        <v>1</v>
      </c>
      <c r="U44">
        <v>15</v>
      </c>
      <c r="Y44" s="281"/>
      <c r="Z44" s="46"/>
      <c r="AA44" s="46"/>
      <c r="AB44" s="54" t="s">
        <v>357</v>
      </c>
      <c r="AD44" s="46">
        <v>1</v>
      </c>
      <c r="AE44" t="s">
        <v>29</v>
      </c>
      <c r="AG44" s="46"/>
      <c r="AH44" t="s">
        <v>356</v>
      </c>
      <c r="AI44" s="46">
        <v>1</v>
      </c>
      <c r="AJ44" s="46"/>
      <c r="AK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</row>
    <row r="45" spans="1:56" ht="17" x14ac:dyDescent="0.2">
      <c r="A45" s="48" t="s">
        <v>504</v>
      </c>
      <c r="B45" s="246"/>
      <c r="C45" s="246"/>
      <c r="D45" s="246"/>
      <c r="F45" t="s">
        <v>3116</v>
      </c>
      <c r="G45" t="s">
        <v>358</v>
      </c>
      <c r="H45" t="s">
        <v>203</v>
      </c>
      <c r="I45" s="29">
        <v>37</v>
      </c>
      <c r="J45" t="s">
        <v>26</v>
      </c>
      <c r="K45">
        <v>1</v>
      </c>
      <c r="T45">
        <v>1</v>
      </c>
      <c r="U45">
        <v>32</v>
      </c>
      <c r="AB45" s="54" t="s">
        <v>360</v>
      </c>
      <c r="AD45" s="282">
        <v>1</v>
      </c>
      <c r="AE45" t="s">
        <v>29</v>
      </c>
      <c r="AH45" t="s">
        <v>359</v>
      </c>
      <c r="AI45">
        <v>1</v>
      </c>
    </row>
    <row r="46" spans="1:56" ht="17" x14ac:dyDescent="0.2">
      <c r="A46" s="48" t="s">
        <v>504</v>
      </c>
      <c r="B46" s="246"/>
      <c r="C46" s="246"/>
      <c r="D46" s="246"/>
      <c r="F46" t="s">
        <v>3116</v>
      </c>
      <c r="G46" t="s">
        <v>362</v>
      </c>
      <c r="H46" t="s">
        <v>361</v>
      </c>
      <c r="I46" s="29">
        <v>38</v>
      </c>
      <c r="J46" t="s">
        <v>26</v>
      </c>
      <c r="K46">
        <v>1</v>
      </c>
      <c r="T46">
        <v>1</v>
      </c>
      <c r="U46">
        <v>31</v>
      </c>
      <c r="AB46" s="54" t="s">
        <v>33</v>
      </c>
      <c r="AD46" s="282">
        <v>1</v>
      </c>
      <c r="AE46" t="s">
        <v>29</v>
      </c>
      <c r="AH46" t="s">
        <v>14</v>
      </c>
    </row>
    <row r="47" spans="1:56" x14ac:dyDescent="0.2">
      <c r="A47" s="48"/>
      <c r="B47" s="246"/>
      <c r="C47" s="246"/>
      <c r="D47" s="246"/>
      <c r="I47" s="29"/>
    </row>
    <row r="48" spans="1:56" ht="17" x14ac:dyDescent="0.2">
      <c r="A48" s="48" t="s">
        <v>505</v>
      </c>
      <c r="B48" s="246"/>
      <c r="C48" s="246"/>
      <c r="D48" s="246"/>
      <c r="E48" t="s">
        <v>795</v>
      </c>
      <c r="F48">
        <v>1</v>
      </c>
      <c r="G48" t="s">
        <v>363</v>
      </c>
      <c r="H48" t="s">
        <v>336</v>
      </c>
      <c r="I48" s="29">
        <v>39</v>
      </c>
      <c r="J48" t="s">
        <v>12</v>
      </c>
      <c r="K48">
        <v>1</v>
      </c>
      <c r="O48">
        <v>1</v>
      </c>
      <c r="U48">
        <v>65</v>
      </c>
      <c r="AB48" s="54" t="s">
        <v>50</v>
      </c>
      <c r="AE48" t="s">
        <v>20</v>
      </c>
      <c r="AH48" t="s">
        <v>49</v>
      </c>
    </row>
    <row r="49" spans="1:35" ht="17" x14ac:dyDescent="0.2">
      <c r="A49" s="48" t="s">
        <v>505</v>
      </c>
      <c r="B49" s="246"/>
      <c r="C49" s="246"/>
      <c r="D49" s="246"/>
      <c r="F49">
        <v>1</v>
      </c>
      <c r="G49" t="s">
        <v>364</v>
      </c>
      <c r="H49" t="s">
        <v>324</v>
      </c>
      <c r="I49" s="29">
        <v>40</v>
      </c>
      <c r="J49" t="s">
        <v>58</v>
      </c>
      <c r="K49">
        <v>1</v>
      </c>
      <c r="S49">
        <v>1</v>
      </c>
      <c r="U49">
        <v>60</v>
      </c>
      <c r="AB49" s="54" t="s">
        <v>20</v>
      </c>
      <c r="AE49" t="s">
        <v>29</v>
      </c>
      <c r="AH49" t="s">
        <v>365</v>
      </c>
      <c r="AI49">
        <v>1</v>
      </c>
    </row>
    <row r="50" spans="1:35" ht="17" x14ac:dyDescent="0.2">
      <c r="A50" s="48" t="s">
        <v>505</v>
      </c>
      <c r="B50" s="246"/>
      <c r="C50" s="246"/>
      <c r="D50" s="246"/>
      <c r="F50">
        <v>1</v>
      </c>
      <c r="G50" t="s">
        <v>367</v>
      </c>
      <c r="H50" t="s">
        <v>366</v>
      </c>
      <c r="I50" s="29">
        <v>41</v>
      </c>
      <c r="J50" t="s">
        <v>26</v>
      </c>
      <c r="K50">
        <v>1</v>
      </c>
      <c r="T50">
        <v>1</v>
      </c>
      <c r="U50">
        <v>60</v>
      </c>
      <c r="AB50" s="54" t="s">
        <v>360</v>
      </c>
      <c r="AD50">
        <v>1</v>
      </c>
      <c r="AE50" t="s">
        <v>29</v>
      </c>
      <c r="AH50" t="s">
        <v>368</v>
      </c>
    </row>
    <row r="51" spans="1:35" ht="17" x14ac:dyDescent="0.2">
      <c r="A51" s="48" t="s">
        <v>505</v>
      </c>
      <c r="B51" s="246"/>
      <c r="C51" s="246"/>
      <c r="D51" s="246"/>
      <c r="F51">
        <v>1</v>
      </c>
      <c r="G51" t="s">
        <v>369</v>
      </c>
      <c r="H51" t="s">
        <v>324</v>
      </c>
      <c r="I51" s="29">
        <v>42</v>
      </c>
      <c r="J51" t="s">
        <v>26</v>
      </c>
      <c r="K51">
        <v>1</v>
      </c>
      <c r="T51">
        <v>1</v>
      </c>
      <c r="U51">
        <v>48</v>
      </c>
      <c r="AB51" s="54" t="s">
        <v>33</v>
      </c>
      <c r="AD51">
        <v>1</v>
      </c>
      <c r="AE51" t="s">
        <v>29</v>
      </c>
      <c r="AH51" t="s">
        <v>370</v>
      </c>
      <c r="AI51">
        <v>1</v>
      </c>
    </row>
    <row r="52" spans="1:35" ht="17" x14ac:dyDescent="0.2">
      <c r="A52" s="48" t="s">
        <v>505</v>
      </c>
      <c r="B52" s="246"/>
      <c r="C52" s="246"/>
      <c r="D52" s="246"/>
      <c r="F52">
        <v>1</v>
      </c>
      <c r="G52" t="s">
        <v>371</v>
      </c>
      <c r="H52" t="s">
        <v>336</v>
      </c>
      <c r="I52" s="29">
        <v>43</v>
      </c>
      <c r="J52" t="s">
        <v>26</v>
      </c>
      <c r="K52">
        <v>1</v>
      </c>
      <c r="T52">
        <v>1</v>
      </c>
      <c r="U52">
        <v>17</v>
      </c>
      <c r="AB52" s="54" t="s">
        <v>137</v>
      </c>
      <c r="AD52">
        <v>1</v>
      </c>
      <c r="AE52" t="s">
        <v>29</v>
      </c>
      <c r="AH52" t="s">
        <v>54</v>
      </c>
    </row>
    <row r="53" spans="1:35" x14ac:dyDescent="0.2">
      <c r="A53" s="48"/>
      <c r="B53" s="246"/>
      <c r="C53" s="246"/>
      <c r="D53" s="246"/>
      <c r="I53" s="29"/>
    </row>
    <row r="54" spans="1:35" ht="17" x14ac:dyDescent="0.2">
      <c r="A54" s="48" t="s">
        <v>506</v>
      </c>
      <c r="B54" s="246"/>
      <c r="C54" s="246"/>
      <c r="D54" s="246"/>
      <c r="E54" t="s">
        <v>520</v>
      </c>
      <c r="F54">
        <v>20</v>
      </c>
      <c r="G54" t="s">
        <v>372</v>
      </c>
      <c r="H54" t="s">
        <v>336</v>
      </c>
      <c r="I54" s="29">
        <v>44</v>
      </c>
      <c r="J54" t="s">
        <v>26</v>
      </c>
      <c r="K54">
        <v>1</v>
      </c>
      <c r="T54">
        <v>1</v>
      </c>
      <c r="U54">
        <v>50</v>
      </c>
      <c r="AB54" s="54" t="s">
        <v>33</v>
      </c>
      <c r="AD54">
        <v>1</v>
      </c>
      <c r="AE54" t="s">
        <v>29</v>
      </c>
      <c r="AH54" t="s">
        <v>20</v>
      </c>
    </row>
    <row r="55" spans="1:35" ht="17" x14ac:dyDescent="0.2">
      <c r="A55" s="48" t="s">
        <v>506</v>
      </c>
      <c r="B55" s="246"/>
      <c r="C55" s="246"/>
      <c r="D55" s="246"/>
      <c r="E55" t="s">
        <v>520</v>
      </c>
      <c r="F55">
        <v>20</v>
      </c>
      <c r="G55" t="s">
        <v>374</v>
      </c>
      <c r="H55" t="s">
        <v>373</v>
      </c>
      <c r="I55" s="29">
        <v>45</v>
      </c>
      <c r="J55" t="s">
        <v>26</v>
      </c>
      <c r="K55">
        <v>1</v>
      </c>
      <c r="T55">
        <v>1</v>
      </c>
      <c r="U55">
        <v>28</v>
      </c>
      <c r="AB55" s="54" t="s">
        <v>28</v>
      </c>
      <c r="AD55">
        <v>1</v>
      </c>
      <c r="AE55" t="s">
        <v>29</v>
      </c>
      <c r="AH55" t="s">
        <v>375</v>
      </c>
      <c r="AI55">
        <v>1</v>
      </c>
    </row>
    <row r="56" spans="1:35" ht="17" x14ac:dyDescent="0.2">
      <c r="A56" s="48" t="s">
        <v>506</v>
      </c>
      <c r="B56" s="246"/>
      <c r="C56" s="246"/>
      <c r="D56" s="246"/>
      <c r="E56" t="s">
        <v>520</v>
      </c>
      <c r="F56">
        <v>20</v>
      </c>
      <c r="G56" t="s">
        <v>377</v>
      </c>
      <c r="H56" t="s">
        <v>376</v>
      </c>
      <c r="I56" s="29">
        <v>46</v>
      </c>
      <c r="J56" t="s">
        <v>378</v>
      </c>
      <c r="K56">
        <v>1</v>
      </c>
      <c r="T56">
        <v>1</v>
      </c>
      <c r="U56">
        <v>39</v>
      </c>
      <c r="AB56" s="54" t="s">
        <v>379</v>
      </c>
      <c r="AD56">
        <v>1</v>
      </c>
      <c r="AE56" t="s">
        <v>29</v>
      </c>
      <c r="AH56" t="s">
        <v>49</v>
      </c>
    </row>
    <row r="57" spans="1:35" ht="17" x14ac:dyDescent="0.2">
      <c r="A57" s="48" t="s">
        <v>506</v>
      </c>
      <c r="B57" s="246"/>
      <c r="C57" s="246"/>
      <c r="D57" s="246"/>
      <c r="E57" t="s">
        <v>520</v>
      </c>
      <c r="F57">
        <v>20</v>
      </c>
      <c r="G57" t="s">
        <v>381</v>
      </c>
      <c r="H57" t="s">
        <v>380</v>
      </c>
      <c r="I57" s="29">
        <v>47</v>
      </c>
      <c r="J57" t="s">
        <v>22</v>
      </c>
      <c r="K57">
        <v>1</v>
      </c>
      <c r="Q57">
        <v>1</v>
      </c>
      <c r="U57">
        <v>12</v>
      </c>
      <c r="AB57" s="54" t="s">
        <v>20</v>
      </c>
      <c r="AE57" t="s">
        <v>20</v>
      </c>
      <c r="AH57" t="s">
        <v>49</v>
      </c>
    </row>
    <row r="58" spans="1:35" ht="17" x14ac:dyDescent="0.2">
      <c r="A58" s="48" t="s">
        <v>506</v>
      </c>
      <c r="B58" s="246"/>
      <c r="C58" s="246"/>
      <c r="D58" s="246"/>
      <c r="E58" t="s">
        <v>520</v>
      </c>
      <c r="F58">
        <v>20</v>
      </c>
      <c r="G58" t="s">
        <v>381</v>
      </c>
      <c r="H58" t="s">
        <v>382</v>
      </c>
      <c r="I58" s="29">
        <v>48</v>
      </c>
      <c r="J58" t="s">
        <v>18</v>
      </c>
      <c r="K58">
        <v>1</v>
      </c>
      <c r="P58">
        <v>1</v>
      </c>
      <c r="U58">
        <v>40</v>
      </c>
      <c r="AB58" s="54" t="s">
        <v>50</v>
      </c>
      <c r="AE58" t="s">
        <v>20</v>
      </c>
      <c r="AH58" t="s">
        <v>383</v>
      </c>
      <c r="AI58">
        <v>1</v>
      </c>
    </row>
    <row r="59" spans="1:35" ht="17" x14ac:dyDescent="0.2">
      <c r="A59" s="48" t="s">
        <v>506</v>
      </c>
      <c r="B59" s="246"/>
      <c r="C59" s="246"/>
      <c r="D59" s="246"/>
      <c r="E59" t="s">
        <v>520</v>
      </c>
      <c r="F59">
        <v>20</v>
      </c>
      <c r="G59" t="s">
        <v>381</v>
      </c>
      <c r="H59" t="s">
        <v>384</v>
      </c>
      <c r="I59" s="29">
        <v>49</v>
      </c>
      <c r="J59" t="s">
        <v>12</v>
      </c>
      <c r="L59">
        <v>1</v>
      </c>
      <c r="O59">
        <v>1</v>
      </c>
      <c r="U59">
        <v>52</v>
      </c>
      <c r="AB59" s="54" t="s">
        <v>385</v>
      </c>
      <c r="AD59">
        <v>1</v>
      </c>
      <c r="AE59" t="s">
        <v>8</v>
      </c>
      <c r="AF59">
        <v>1</v>
      </c>
      <c r="AH59" t="s">
        <v>49</v>
      </c>
    </row>
    <row r="60" spans="1:35" x14ac:dyDescent="0.2">
      <c r="A60" s="48"/>
      <c r="B60" s="246"/>
      <c r="C60" s="246"/>
      <c r="D60" s="246"/>
      <c r="I60" s="29"/>
    </row>
    <row r="61" spans="1:35" ht="17" x14ac:dyDescent="0.2">
      <c r="A61" s="48" t="s">
        <v>507</v>
      </c>
      <c r="B61" s="246"/>
      <c r="C61" s="246"/>
      <c r="D61" s="246"/>
      <c r="E61" t="s">
        <v>518</v>
      </c>
      <c r="F61">
        <v>10</v>
      </c>
      <c r="G61" t="s">
        <v>387</v>
      </c>
      <c r="H61" t="s">
        <v>386</v>
      </c>
      <c r="I61" s="29">
        <v>50</v>
      </c>
      <c r="J61" t="s">
        <v>12</v>
      </c>
      <c r="L61">
        <v>1</v>
      </c>
      <c r="O61">
        <v>1</v>
      </c>
      <c r="U61">
        <v>38</v>
      </c>
      <c r="AB61" s="54" t="s">
        <v>389</v>
      </c>
      <c r="AD61">
        <v>1</v>
      </c>
      <c r="AE61" t="s">
        <v>8</v>
      </c>
      <c r="AF61">
        <v>1</v>
      </c>
      <c r="AH61" t="s">
        <v>388</v>
      </c>
      <c r="AI61">
        <v>1</v>
      </c>
    </row>
    <row r="62" spans="1:35" ht="17" x14ac:dyDescent="0.2">
      <c r="A62" s="48" t="s">
        <v>507</v>
      </c>
      <c r="B62" s="246"/>
      <c r="C62" s="246"/>
      <c r="D62" s="246"/>
      <c r="E62" t="s">
        <v>518</v>
      </c>
      <c r="F62">
        <v>10</v>
      </c>
      <c r="G62" t="s">
        <v>387</v>
      </c>
      <c r="H62" t="s">
        <v>390</v>
      </c>
      <c r="I62" s="29">
        <v>51</v>
      </c>
      <c r="J62" t="s">
        <v>22</v>
      </c>
      <c r="M62">
        <v>1</v>
      </c>
      <c r="Q62">
        <v>1</v>
      </c>
      <c r="U62">
        <v>14</v>
      </c>
      <c r="AB62" s="54" t="s">
        <v>20</v>
      </c>
      <c r="AE62" t="s">
        <v>20</v>
      </c>
      <c r="AH62" t="s">
        <v>49</v>
      </c>
    </row>
    <row r="63" spans="1:35" ht="17" x14ac:dyDescent="0.2">
      <c r="A63" s="48" t="s">
        <v>507</v>
      </c>
      <c r="B63" s="246"/>
      <c r="C63" s="246"/>
      <c r="D63" s="246"/>
      <c r="E63" t="s">
        <v>518</v>
      </c>
      <c r="F63">
        <v>10</v>
      </c>
      <c r="G63" t="s">
        <v>387</v>
      </c>
      <c r="H63" t="s">
        <v>391</v>
      </c>
      <c r="I63" s="29">
        <v>52</v>
      </c>
      <c r="J63" t="s">
        <v>22</v>
      </c>
      <c r="M63">
        <v>1</v>
      </c>
      <c r="Q63">
        <v>1</v>
      </c>
      <c r="U63">
        <v>13</v>
      </c>
      <c r="AB63" s="54" t="s">
        <v>20</v>
      </c>
      <c r="AE63" t="s">
        <v>20</v>
      </c>
      <c r="AH63" t="s">
        <v>49</v>
      </c>
    </row>
    <row r="64" spans="1:35" ht="17" x14ac:dyDescent="0.2">
      <c r="A64" s="48" t="s">
        <v>507</v>
      </c>
      <c r="B64" s="246"/>
      <c r="C64" s="246"/>
      <c r="D64" s="246"/>
      <c r="E64" t="s">
        <v>518</v>
      </c>
      <c r="F64">
        <v>10</v>
      </c>
      <c r="G64" t="s">
        <v>387</v>
      </c>
      <c r="H64" t="s">
        <v>392</v>
      </c>
      <c r="I64" s="29">
        <v>53</v>
      </c>
      <c r="J64" t="s">
        <v>22</v>
      </c>
      <c r="M64">
        <v>1</v>
      </c>
      <c r="Q64">
        <v>1</v>
      </c>
      <c r="U64">
        <v>10</v>
      </c>
      <c r="AB64" s="54" t="s">
        <v>20</v>
      </c>
      <c r="AE64" t="s">
        <v>20</v>
      </c>
      <c r="AH64" t="s">
        <v>49</v>
      </c>
    </row>
    <row r="65" spans="1:35" ht="17" x14ac:dyDescent="0.2">
      <c r="A65" s="48" t="s">
        <v>507</v>
      </c>
      <c r="B65" s="246"/>
      <c r="C65" s="246"/>
      <c r="D65" s="246"/>
      <c r="E65" t="s">
        <v>518</v>
      </c>
      <c r="F65">
        <v>10</v>
      </c>
      <c r="G65" t="s">
        <v>387</v>
      </c>
      <c r="H65" t="s">
        <v>393</v>
      </c>
      <c r="I65" s="29">
        <v>54</v>
      </c>
      <c r="J65" t="s">
        <v>51</v>
      </c>
      <c r="N65">
        <v>1</v>
      </c>
      <c r="R65">
        <v>1</v>
      </c>
      <c r="U65">
        <v>8</v>
      </c>
      <c r="AB65" s="54" t="s">
        <v>20</v>
      </c>
      <c r="AE65" t="s">
        <v>20</v>
      </c>
      <c r="AH65" t="s">
        <v>49</v>
      </c>
    </row>
    <row r="66" spans="1:35" ht="17" x14ac:dyDescent="0.2">
      <c r="A66" s="48" t="s">
        <v>507</v>
      </c>
      <c r="B66" s="246"/>
      <c r="C66" s="246"/>
      <c r="D66" s="246"/>
      <c r="E66" t="s">
        <v>518</v>
      </c>
      <c r="F66">
        <v>10</v>
      </c>
      <c r="G66" t="s">
        <v>394</v>
      </c>
      <c r="H66" t="s">
        <v>64</v>
      </c>
      <c r="I66" s="29">
        <v>55</v>
      </c>
      <c r="J66" t="s">
        <v>26</v>
      </c>
      <c r="K66">
        <v>1</v>
      </c>
      <c r="T66">
        <v>1</v>
      </c>
      <c r="U66">
        <v>31</v>
      </c>
      <c r="AB66" s="54" t="s">
        <v>52</v>
      </c>
      <c r="AD66">
        <v>1</v>
      </c>
      <c r="AE66" t="s">
        <v>29</v>
      </c>
      <c r="AH66" t="s">
        <v>395</v>
      </c>
    </row>
    <row r="67" spans="1:35" ht="17" x14ac:dyDescent="0.2">
      <c r="A67" s="48" t="s">
        <v>507</v>
      </c>
      <c r="B67" s="246"/>
      <c r="C67" s="246"/>
      <c r="D67" s="246"/>
      <c r="E67" t="s">
        <v>518</v>
      </c>
      <c r="F67">
        <v>10</v>
      </c>
      <c r="G67" t="s">
        <v>396</v>
      </c>
      <c r="H67" t="s">
        <v>24</v>
      </c>
      <c r="I67" s="29">
        <v>56</v>
      </c>
      <c r="J67" t="s">
        <v>26</v>
      </c>
      <c r="K67">
        <v>1</v>
      </c>
      <c r="T67">
        <v>1</v>
      </c>
      <c r="U67">
        <v>26</v>
      </c>
      <c r="AB67" s="54" t="s">
        <v>33</v>
      </c>
      <c r="AD67">
        <v>1</v>
      </c>
      <c r="AE67" t="s">
        <v>29</v>
      </c>
      <c r="AH67" t="s">
        <v>397</v>
      </c>
      <c r="AI67">
        <v>1</v>
      </c>
    </row>
    <row r="68" spans="1:35" ht="17" x14ac:dyDescent="0.2">
      <c r="A68" s="48" t="s">
        <v>507</v>
      </c>
      <c r="B68" s="246"/>
      <c r="C68" s="246"/>
      <c r="D68" s="246"/>
      <c r="E68" t="s">
        <v>518</v>
      </c>
      <c r="F68">
        <v>10</v>
      </c>
      <c r="G68" t="s">
        <v>399</v>
      </c>
      <c r="H68" t="s">
        <v>398</v>
      </c>
      <c r="I68" s="29">
        <v>57</v>
      </c>
      <c r="J68" t="s">
        <v>26</v>
      </c>
      <c r="K68">
        <v>1</v>
      </c>
      <c r="T68">
        <v>1</v>
      </c>
      <c r="U68">
        <v>18</v>
      </c>
      <c r="AB68" s="54" t="s">
        <v>28</v>
      </c>
      <c r="AD68">
        <v>1</v>
      </c>
      <c r="AE68" t="s">
        <v>29</v>
      </c>
      <c r="AH68" t="s">
        <v>400</v>
      </c>
    </row>
    <row r="69" spans="1:35" x14ac:dyDescent="0.2">
      <c r="A69" s="48"/>
      <c r="B69" s="246"/>
      <c r="C69" s="246"/>
      <c r="D69" s="246"/>
      <c r="I69" s="29"/>
    </row>
    <row r="70" spans="1:35" ht="17" x14ac:dyDescent="0.2">
      <c r="A70" s="48" t="s">
        <v>508</v>
      </c>
      <c r="B70" s="246"/>
      <c r="C70" s="246"/>
      <c r="D70" s="246"/>
      <c r="E70" t="s">
        <v>519</v>
      </c>
      <c r="F70">
        <v>12</v>
      </c>
      <c r="G70" t="s">
        <v>402</v>
      </c>
      <c r="H70" t="s">
        <v>401</v>
      </c>
      <c r="I70" s="29">
        <v>58</v>
      </c>
      <c r="J70" t="s">
        <v>12</v>
      </c>
      <c r="L70">
        <v>1</v>
      </c>
      <c r="O70">
        <v>1</v>
      </c>
      <c r="U70">
        <v>41</v>
      </c>
      <c r="AB70" s="54" t="s">
        <v>403</v>
      </c>
      <c r="AD70">
        <v>1</v>
      </c>
      <c r="AE70" t="s">
        <v>8</v>
      </c>
      <c r="AF70">
        <v>1</v>
      </c>
      <c r="AH70" t="s">
        <v>49</v>
      </c>
    </row>
    <row r="71" spans="1:35" ht="17" x14ac:dyDescent="0.2">
      <c r="A71" s="48" t="s">
        <v>508</v>
      </c>
      <c r="B71" s="246"/>
      <c r="C71" s="246"/>
      <c r="D71" s="246"/>
      <c r="E71" t="s">
        <v>519</v>
      </c>
      <c r="F71">
        <v>12</v>
      </c>
      <c r="G71" t="s">
        <v>405</v>
      </c>
      <c r="H71" t="s">
        <v>404</v>
      </c>
      <c r="I71" s="29">
        <v>59</v>
      </c>
      <c r="J71" t="s">
        <v>52</v>
      </c>
      <c r="K71">
        <v>1</v>
      </c>
      <c r="T71">
        <v>1</v>
      </c>
      <c r="U71">
        <v>67</v>
      </c>
      <c r="AB71" s="54" t="s">
        <v>407</v>
      </c>
      <c r="AD71">
        <v>1</v>
      </c>
      <c r="AE71" t="s">
        <v>29</v>
      </c>
      <c r="AH71" t="s">
        <v>406</v>
      </c>
      <c r="AI71">
        <v>1</v>
      </c>
    </row>
    <row r="72" spans="1:35" ht="17" x14ac:dyDescent="0.2">
      <c r="A72" s="48" t="s">
        <v>508</v>
      </c>
      <c r="B72" s="246"/>
      <c r="C72" s="246"/>
      <c r="D72" s="246"/>
      <c r="E72" t="s">
        <v>519</v>
      </c>
      <c r="F72">
        <v>12</v>
      </c>
      <c r="G72" t="s">
        <v>409</v>
      </c>
      <c r="H72" t="s">
        <v>408</v>
      </c>
      <c r="I72" s="29">
        <v>60</v>
      </c>
      <c r="J72" t="s">
        <v>26</v>
      </c>
      <c r="K72">
        <v>1</v>
      </c>
      <c r="T72">
        <v>1</v>
      </c>
      <c r="U72">
        <v>23</v>
      </c>
      <c r="AB72" s="54" t="s">
        <v>28</v>
      </c>
      <c r="AD72">
        <v>1</v>
      </c>
      <c r="AE72" t="s">
        <v>29</v>
      </c>
      <c r="AH72" t="s">
        <v>410</v>
      </c>
      <c r="AI72">
        <v>1</v>
      </c>
    </row>
    <row r="73" spans="1:35" x14ac:dyDescent="0.2">
      <c r="A73" s="48"/>
      <c r="B73" s="246"/>
      <c r="C73" s="246"/>
      <c r="D73" s="246"/>
      <c r="I73" s="29"/>
    </row>
    <row r="74" spans="1:35" ht="17" x14ac:dyDescent="0.2">
      <c r="A74" s="48" t="s">
        <v>509</v>
      </c>
      <c r="B74" s="246"/>
      <c r="C74" s="246"/>
      <c r="D74" s="246"/>
      <c r="E74" t="s">
        <v>3125</v>
      </c>
      <c r="F74" t="s">
        <v>3117</v>
      </c>
      <c r="G74" t="s">
        <v>411</v>
      </c>
      <c r="H74" t="s">
        <v>386</v>
      </c>
      <c r="I74" s="29">
        <v>61</v>
      </c>
      <c r="J74" t="s">
        <v>12</v>
      </c>
      <c r="L74">
        <v>1</v>
      </c>
      <c r="O74">
        <v>1</v>
      </c>
      <c r="U74">
        <v>61</v>
      </c>
      <c r="AB74" s="54" t="s">
        <v>412</v>
      </c>
      <c r="AE74" t="s">
        <v>20</v>
      </c>
      <c r="AH74" t="s">
        <v>14</v>
      </c>
      <c r="AI74">
        <v>1</v>
      </c>
    </row>
    <row r="75" spans="1:35" ht="17" x14ac:dyDescent="0.2">
      <c r="A75" s="48" t="s">
        <v>509</v>
      </c>
      <c r="B75" s="246"/>
      <c r="C75" s="246"/>
      <c r="D75" s="246"/>
      <c r="E75" t="s">
        <v>3125</v>
      </c>
      <c r="F75" t="s">
        <v>3117</v>
      </c>
      <c r="G75" t="s">
        <v>414</v>
      </c>
      <c r="H75" t="s">
        <v>413</v>
      </c>
      <c r="I75" s="29">
        <v>62</v>
      </c>
      <c r="J75" t="s">
        <v>52</v>
      </c>
      <c r="K75">
        <v>1</v>
      </c>
      <c r="T75">
        <v>1</v>
      </c>
      <c r="U75">
        <v>45</v>
      </c>
      <c r="AB75" s="54" t="s">
        <v>52</v>
      </c>
      <c r="AD75">
        <v>1</v>
      </c>
      <c r="AE75" t="s">
        <v>29</v>
      </c>
      <c r="AH75" t="s">
        <v>415</v>
      </c>
      <c r="AI75">
        <v>1</v>
      </c>
    </row>
    <row r="76" spans="1:35" ht="17" x14ac:dyDescent="0.2">
      <c r="A76" s="48" t="s">
        <v>509</v>
      </c>
      <c r="B76" s="246"/>
      <c r="C76" s="246"/>
      <c r="D76" s="246"/>
      <c r="E76" t="s">
        <v>3125</v>
      </c>
      <c r="F76" t="s">
        <v>3117</v>
      </c>
      <c r="G76" t="s">
        <v>417</v>
      </c>
      <c r="H76" t="s">
        <v>416</v>
      </c>
      <c r="I76" s="29">
        <v>63</v>
      </c>
      <c r="J76" t="s">
        <v>265</v>
      </c>
      <c r="K76">
        <v>1</v>
      </c>
      <c r="T76">
        <v>1</v>
      </c>
      <c r="U76">
        <v>22</v>
      </c>
      <c r="AB76" s="54" t="s">
        <v>56</v>
      </c>
      <c r="AD76">
        <v>1</v>
      </c>
      <c r="AE76" t="s">
        <v>29</v>
      </c>
      <c r="AH76" t="s">
        <v>418</v>
      </c>
      <c r="AI76">
        <v>1</v>
      </c>
    </row>
    <row r="77" spans="1:35" x14ac:dyDescent="0.2">
      <c r="A77" s="48"/>
      <c r="B77" s="246"/>
      <c r="C77" s="246"/>
      <c r="D77" s="246"/>
      <c r="I77" s="29"/>
    </row>
    <row r="78" spans="1:35" ht="17" x14ac:dyDescent="0.2">
      <c r="A78" s="48" t="s">
        <v>510</v>
      </c>
      <c r="B78" s="246"/>
      <c r="C78" s="246"/>
      <c r="D78" s="246"/>
      <c r="E78" t="s">
        <v>3088</v>
      </c>
      <c r="F78">
        <v>3</v>
      </c>
      <c r="G78" t="s">
        <v>420</v>
      </c>
      <c r="H78" t="s">
        <v>419</v>
      </c>
      <c r="I78" s="29">
        <v>64</v>
      </c>
      <c r="J78" t="s">
        <v>12</v>
      </c>
      <c r="L78">
        <v>1</v>
      </c>
      <c r="O78">
        <v>1</v>
      </c>
      <c r="U78">
        <v>71</v>
      </c>
      <c r="AB78" s="54" t="s">
        <v>421</v>
      </c>
      <c r="AE78" t="s">
        <v>20</v>
      </c>
      <c r="AH78" t="s">
        <v>49</v>
      </c>
    </row>
    <row r="79" spans="1:35" ht="17" x14ac:dyDescent="0.2">
      <c r="A79" s="48" t="s">
        <v>510</v>
      </c>
      <c r="B79" s="246"/>
      <c r="C79" s="246"/>
      <c r="D79" s="246"/>
      <c r="E79" t="s">
        <v>3088</v>
      </c>
      <c r="F79">
        <v>3</v>
      </c>
      <c r="G79" t="s">
        <v>420</v>
      </c>
      <c r="H79" t="s">
        <v>422</v>
      </c>
      <c r="I79" s="29">
        <v>65</v>
      </c>
      <c r="J79" t="s">
        <v>18</v>
      </c>
      <c r="K79">
        <v>1</v>
      </c>
      <c r="P79">
        <v>1</v>
      </c>
      <c r="U79">
        <v>58</v>
      </c>
      <c r="AB79" s="54" t="s">
        <v>20</v>
      </c>
      <c r="AE79" t="s">
        <v>20</v>
      </c>
      <c r="AH79" t="s">
        <v>49</v>
      </c>
    </row>
    <row r="80" spans="1:35" ht="17" x14ac:dyDescent="0.2">
      <c r="A80" s="48" t="s">
        <v>510</v>
      </c>
      <c r="B80" s="246"/>
      <c r="C80" s="246"/>
      <c r="D80" s="246"/>
      <c r="E80" t="s">
        <v>3088</v>
      </c>
      <c r="F80">
        <v>3</v>
      </c>
      <c r="G80" t="s">
        <v>420</v>
      </c>
      <c r="H80" t="s">
        <v>423</v>
      </c>
      <c r="I80" s="29">
        <v>66</v>
      </c>
      <c r="J80" t="s">
        <v>51</v>
      </c>
      <c r="L80">
        <v>1</v>
      </c>
      <c r="R80">
        <v>1</v>
      </c>
      <c r="U80">
        <v>25</v>
      </c>
      <c r="AB80" s="54" t="s">
        <v>424</v>
      </c>
      <c r="AC80" t="s">
        <v>425</v>
      </c>
      <c r="AD80">
        <v>1</v>
      </c>
      <c r="AH80" t="s">
        <v>49</v>
      </c>
    </row>
    <row r="81" spans="1:35" ht="17" x14ac:dyDescent="0.2">
      <c r="A81" s="48" t="s">
        <v>510</v>
      </c>
      <c r="B81" s="246"/>
      <c r="C81" s="246"/>
      <c r="D81" s="246"/>
      <c r="E81" t="s">
        <v>3088</v>
      </c>
      <c r="F81">
        <v>3</v>
      </c>
      <c r="G81" t="s">
        <v>420</v>
      </c>
      <c r="H81" t="s">
        <v>426</v>
      </c>
      <c r="I81" s="29">
        <v>67</v>
      </c>
      <c r="J81" t="s">
        <v>51</v>
      </c>
      <c r="L81">
        <v>1</v>
      </c>
      <c r="R81">
        <v>1</v>
      </c>
      <c r="U81">
        <v>23</v>
      </c>
      <c r="AB81" s="54" t="s">
        <v>427</v>
      </c>
      <c r="AC81" t="s">
        <v>425</v>
      </c>
      <c r="AD81">
        <v>1</v>
      </c>
      <c r="AH81" t="s">
        <v>49</v>
      </c>
    </row>
    <row r="82" spans="1:35" ht="17" x14ac:dyDescent="0.2">
      <c r="A82" s="48" t="s">
        <v>510</v>
      </c>
      <c r="B82" s="246"/>
      <c r="C82" s="246"/>
      <c r="D82" s="246"/>
      <c r="E82" t="s">
        <v>3088</v>
      </c>
      <c r="F82">
        <v>3</v>
      </c>
      <c r="G82" t="s">
        <v>420</v>
      </c>
      <c r="H82" t="s">
        <v>428</v>
      </c>
      <c r="I82" s="29">
        <v>68</v>
      </c>
      <c r="J82" t="s">
        <v>22</v>
      </c>
      <c r="K82">
        <v>1</v>
      </c>
      <c r="Q82">
        <v>1</v>
      </c>
      <c r="U82">
        <v>21</v>
      </c>
      <c r="AB82" s="54" t="s">
        <v>20</v>
      </c>
      <c r="AE82" t="s">
        <v>20</v>
      </c>
      <c r="AH82" t="s">
        <v>49</v>
      </c>
    </row>
    <row r="83" spans="1:35" ht="17" x14ac:dyDescent="0.2">
      <c r="A83" s="48" t="s">
        <v>510</v>
      </c>
      <c r="B83" s="246"/>
      <c r="C83" s="246"/>
      <c r="D83" s="246"/>
      <c r="E83" t="s">
        <v>3088</v>
      </c>
      <c r="F83">
        <v>3</v>
      </c>
      <c r="G83" t="s">
        <v>430</v>
      </c>
      <c r="H83" t="s">
        <v>429</v>
      </c>
      <c r="I83" s="29">
        <v>69</v>
      </c>
      <c r="J83" t="s">
        <v>26</v>
      </c>
      <c r="K83">
        <v>1</v>
      </c>
      <c r="T83">
        <v>1</v>
      </c>
      <c r="U83">
        <v>34</v>
      </c>
      <c r="AB83" s="54" t="s">
        <v>33</v>
      </c>
      <c r="AD83">
        <v>1</v>
      </c>
      <c r="AE83" t="s">
        <v>29</v>
      </c>
      <c r="AH83" t="s">
        <v>415</v>
      </c>
      <c r="AI83">
        <v>1</v>
      </c>
    </row>
    <row r="84" spans="1:35" ht="17" x14ac:dyDescent="0.2">
      <c r="A84" s="48" t="s">
        <v>510</v>
      </c>
      <c r="B84" s="246"/>
      <c r="C84" s="246"/>
      <c r="D84" s="246"/>
      <c r="E84" t="s">
        <v>3088</v>
      </c>
      <c r="F84">
        <v>3</v>
      </c>
      <c r="G84" t="s">
        <v>431</v>
      </c>
      <c r="H84" t="s">
        <v>351</v>
      </c>
      <c r="I84" s="29">
        <v>70</v>
      </c>
      <c r="J84" t="s">
        <v>26</v>
      </c>
      <c r="K84">
        <v>1</v>
      </c>
      <c r="T84">
        <v>1</v>
      </c>
      <c r="U84">
        <v>20</v>
      </c>
      <c r="AB84" s="54" t="s">
        <v>137</v>
      </c>
      <c r="AD84">
        <v>1</v>
      </c>
      <c r="AE84" t="s">
        <v>29</v>
      </c>
      <c r="AH84" t="s">
        <v>432</v>
      </c>
      <c r="AI84">
        <v>1</v>
      </c>
    </row>
    <row r="85" spans="1:35" x14ac:dyDescent="0.2">
      <c r="A85" s="48"/>
      <c r="B85" s="246"/>
      <c r="C85" s="246"/>
      <c r="D85" s="246"/>
      <c r="I85" s="29"/>
    </row>
    <row r="86" spans="1:35" ht="17" x14ac:dyDescent="0.2">
      <c r="A86" s="48" t="s">
        <v>511</v>
      </c>
      <c r="B86" s="246"/>
      <c r="C86" s="246"/>
      <c r="D86" s="246"/>
      <c r="F86">
        <v>5</v>
      </c>
      <c r="G86" t="s">
        <v>3084</v>
      </c>
      <c r="H86" t="s">
        <v>433</v>
      </c>
      <c r="I86" s="29">
        <v>71</v>
      </c>
      <c r="J86" t="s">
        <v>12</v>
      </c>
      <c r="K86">
        <v>1</v>
      </c>
      <c r="O86">
        <v>1</v>
      </c>
      <c r="U86">
        <v>62</v>
      </c>
      <c r="AB86" s="54" t="s">
        <v>47</v>
      </c>
      <c r="AE86" t="s">
        <v>20</v>
      </c>
      <c r="AH86" t="s">
        <v>14</v>
      </c>
    </row>
    <row r="87" spans="1:35" ht="17" x14ac:dyDescent="0.2">
      <c r="A87" s="48" t="s">
        <v>511</v>
      </c>
      <c r="B87" s="246"/>
      <c r="C87" s="246"/>
      <c r="D87" s="246"/>
      <c r="G87" t="s">
        <v>436</v>
      </c>
      <c r="H87" t="s">
        <v>435</v>
      </c>
      <c r="I87" s="29">
        <v>72</v>
      </c>
      <c r="J87" t="s">
        <v>437</v>
      </c>
      <c r="K87">
        <v>1</v>
      </c>
      <c r="T87">
        <v>1</v>
      </c>
      <c r="U87">
        <v>67</v>
      </c>
      <c r="AB87" s="54" t="s">
        <v>33</v>
      </c>
      <c r="AD87">
        <v>1</v>
      </c>
      <c r="AE87" t="s">
        <v>29</v>
      </c>
      <c r="AH87" t="s">
        <v>438</v>
      </c>
      <c r="AI87">
        <v>1</v>
      </c>
    </row>
    <row r="88" spans="1:35" ht="17" x14ac:dyDescent="0.2">
      <c r="A88" s="48" t="s">
        <v>511</v>
      </c>
      <c r="B88" s="246"/>
      <c r="C88" s="246"/>
      <c r="D88" s="246"/>
      <c r="G88" t="s">
        <v>33</v>
      </c>
      <c r="H88" t="s">
        <v>439</v>
      </c>
      <c r="I88" s="29">
        <v>73</v>
      </c>
      <c r="J88" t="s">
        <v>437</v>
      </c>
      <c r="K88">
        <v>1</v>
      </c>
      <c r="T88">
        <v>1</v>
      </c>
      <c r="U88">
        <v>28</v>
      </c>
      <c r="AB88" s="54" t="s">
        <v>360</v>
      </c>
      <c r="AD88">
        <v>1</v>
      </c>
      <c r="AE88" t="s">
        <v>29</v>
      </c>
      <c r="AH88" t="s">
        <v>440</v>
      </c>
      <c r="AI88">
        <v>1</v>
      </c>
    </row>
    <row r="89" spans="1:35" ht="17" x14ac:dyDescent="0.2">
      <c r="A89" s="48" t="s">
        <v>511</v>
      </c>
      <c r="B89" s="246"/>
      <c r="C89" s="246"/>
      <c r="D89" s="246"/>
      <c r="G89" t="s">
        <v>442</v>
      </c>
      <c r="H89" t="s">
        <v>441</v>
      </c>
      <c r="I89" s="29">
        <v>74</v>
      </c>
      <c r="J89" t="s">
        <v>437</v>
      </c>
      <c r="K89">
        <v>1</v>
      </c>
      <c r="T89">
        <v>1</v>
      </c>
      <c r="U89">
        <v>22</v>
      </c>
      <c r="AB89" s="54" t="s">
        <v>28</v>
      </c>
      <c r="AD89">
        <v>1</v>
      </c>
      <c r="AE89" t="s">
        <v>29</v>
      </c>
      <c r="AH89" t="s">
        <v>443</v>
      </c>
      <c r="AI89">
        <v>1</v>
      </c>
    </row>
    <row r="90" spans="1:35" x14ac:dyDescent="0.2">
      <c r="A90" s="48"/>
      <c r="B90" s="246"/>
      <c r="C90" s="246"/>
      <c r="D90" s="246"/>
      <c r="I90" s="29"/>
    </row>
    <row r="91" spans="1:35" ht="17" x14ac:dyDescent="0.2">
      <c r="A91" s="48" t="s">
        <v>512</v>
      </c>
      <c r="B91" s="246"/>
      <c r="C91" s="246"/>
      <c r="D91" s="246"/>
      <c r="F91">
        <v>7</v>
      </c>
      <c r="G91" t="s">
        <v>3085</v>
      </c>
      <c r="H91" t="s">
        <v>444</v>
      </c>
      <c r="I91" s="29">
        <v>75</v>
      </c>
      <c r="J91" t="s">
        <v>12</v>
      </c>
      <c r="L91">
        <v>1</v>
      </c>
      <c r="O91">
        <v>1</v>
      </c>
      <c r="U91">
        <v>48</v>
      </c>
      <c r="AB91" s="54" t="s">
        <v>446</v>
      </c>
      <c r="AD91">
        <v>1</v>
      </c>
      <c r="AE91" t="s">
        <v>8</v>
      </c>
      <c r="AF91">
        <v>1</v>
      </c>
      <c r="AH91" t="s">
        <v>14</v>
      </c>
    </row>
    <row r="92" spans="1:35" ht="17" x14ac:dyDescent="0.2">
      <c r="A92" s="48" t="s">
        <v>512</v>
      </c>
      <c r="B92" s="246"/>
      <c r="C92" s="246"/>
      <c r="D92" s="246"/>
      <c r="G92" t="s">
        <v>448</v>
      </c>
      <c r="H92" t="s">
        <v>447</v>
      </c>
      <c r="I92" s="29">
        <v>76</v>
      </c>
      <c r="J92" t="s">
        <v>26</v>
      </c>
      <c r="K92">
        <v>1</v>
      </c>
      <c r="T92">
        <v>1</v>
      </c>
      <c r="U92">
        <v>29</v>
      </c>
      <c r="AB92" s="54" t="s">
        <v>33</v>
      </c>
      <c r="AD92">
        <v>1</v>
      </c>
      <c r="AE92" t="s">
        <v>29</v>
      </c>
      <c r="AH92" t="s">
        <v>449</v>
      </c>
    </row>
    <row r="93" spans="1:35" ht="17" x14ac:dyDescent="0.2">
      <c r="A93" s="48" t="s">
        <v>512</v>
      </c>
      <c r="B93" s="246"/>
      <c r="C93" s="246"/>
      <c r="D93" s="246"/>
      <c r="G93" t="s">
        <v>451</v>
      </c>
      <c r="H93" t="s">
        <v>450</v>
      </c>
      <c r="I93" s="29">
        <v>77</v>
      </c>
      <c r="J93" t="s">
        <v>26</v>
      </c>
      <c r="K93">
        <v>1</v>
      </c>
      <c r="T93">
        <v>1</v>
      </c>
      <c r="U93">
        <v>32</v>
      </c>
      <c r="AB93" s="54" t="s">
        <v>28</v>
      </c>
      <c r="AD93">
        <v>1</v>
      </c>
      <c r="AE93" t="s">
        <v>29</v>
      </c>
      <c r="AH93" t="s">
        <v>452</v>
      </c>
      <c r="AI93">
        <v>1</v>
      </c>
    </row>
    <row r="94" spans="1:35" x14ac:dyDescent="0.2">
      <c r="A94" s="48"/>
      <c r="B94" s="246"/>
      <c r="C94" s="246"/>
      <c r="D94" s="246"/>
      <c r="I94" s="29"/>
    </row>
    <row r="95" spans="1:35" x14ac:dyDescent="0.2">
      <c r="A95" t="s">
        <v>513</v>
      </c>
      <c r="E95" t="s">
        <v>3103</v>
      </c>
      <c r="G95" t="s">
        <v>2589</v>
      </c>
      <c r="H95" t="s">
        <v>3090</v>
      </c>
      <c r="I95">
        <v>78</v>
      </c>
      <c r="K95" t="s">
        <v>13</v>
      </c>
      <c r="L95">
        <v>1</v>
      </c>
      <c r="O95">
        <v>1</v>
      </c>
      <c r="U95">
        <v>52</v>
      </c>
      <c r="AB95" t="s">
        <v>3091</v>
      </c>
      <c r="AC95" t="s">
        <v>3092</v>
      </c>
      <c r="AD95">
        <v>1</v>
      </c>
      <c r="AF95">
        <v>1</v>
      </c>
      <c r="AH95" t="s">
        <v>14</v>
      </c>
    </row>
    <row r="96" spans="1:35" x14ac:dyDescent="0.2">
      <c r="A96" t="s">
        <v>513</v>
      </c>
      <c r="G96" t="s">
        <v>2589</v>
      </c>
      <c r="H96" t="s">
        <v>3093</v>
      </c>
      <c r="I96">
        <v>79</v>
      </c>
      <c r="K96" t="s">
        <v>13</v>
      </c>
      <c r="L96">
        <v>1</v>
      </c>
      <c r="O96" t="s">
        <v>1208</v>
      </c>
      <c r="S96">
        <v>1</v>
      </c>
      <c r="U96">
        <v>51</v>
      </c>
      <c r="AB96" t="s">
        <v>3091</v>
      </c>
      <c r="AC96" t="s">
        <v>3092</v>
      </c>
      <c r="AD96">
        <v>1</v>
      </c>
      <c r="AH96" t="s">
        <v>14</v>
      </c>
    </row>
    <row r="97" spans="1:35" x14ac:dyDescent="0.2">
      <c r="A97" t="s">
        <v>513</v>
      </c>
      <c r="G97" t="s">
        <v>2589</v>
      </c>
      <c r="H97" t="s">
        <v>3094</v>
      </c>
      <c r="I97">
        <v>80</v>
      </c>
      <c r="K97" t="s">
        <v>13</v>
      </c>
      <c r="L97">
        <v>1</v>
      </c>
      <c r="O97" t="s">
        <v>1208</v>
      </c>
      <c r="S97">
        <v>1</v>
      </c>
      <c r="U97">
        <v>47</v>
      </c>
      <c r="AB97" t="s">
        <v>3091</v>
      </c>
      <c r="AC97" t="s">
        <v>3092</v>
      </c>
      <c r="AD97">
        <v>1</v>
      </c>
      <c r="AH97" t="s">
        <v>14</v>
      </c>
    </row>
    <row r="98" spans="1:35" x14ac:dyDescent="0.2">
      <c r="A98" t="s">
        <v>513</v>
      </c>
      <c r="G98" t="s">
        <v>2589</v>
      </c>
      <c r="H98" t="s">
        <v>3095</v>
      </c>
      <c r="I98">
        <v>81</v>
      </c>
      <c r="K98" t="s">
        <v>13</v>
      </c>
      <c r="L98">
        <v>1</v>
      </c>
      <c r="O98" t="s">
        <v>1208</v>
      </c>
      <c r="S98">
        <v>1</v>
      </c>
      <c r="U98">
        <v>43</v>
      </c>
      <c r="AB98" t="s">
        <v>3091</v>
      </c>
      <c r="AC98" t="s">
        <v>3092</v>
      </c>
      <c r="AD98">
        <v>1</v>
      </c>
      <c r="AH98" t="s">
        <v>14</v>
      </c>
    </row>
    <row r="99" spans="1:35" x14ac:dyDescent="0.2">
      <c r="A99" t="s">
        <v>513</v>
      </c>
      <c r="G99" t="s">
        <v>3096</v>
      </c>
      <c r="H99" t="s">
        <v>46</v>
      </c>
      <c r="I99">
        <v>82</v>
      </c>
      <c r="K99">
        <v>1</v>
      </c>
      <c r="O99" t="s">
        <v>52</v>
      </c>
      <c r="T99">
        <v>1</v>
      </c>
      <c r="U99">
        <v>70</v>
      </c>
      <c r="AB99" t="s">
        <v>407</v>
      </c>
      <c r="AC99" t="s">
        <v>3097</v>
      </c>
      <c r="AD99">
        <v>1</v>
      </c>
      <c r="AH99" t="s">
        <v>1431</v>
      </c>
      <c r="AI99">
        <v>1</v>
      </c>
    </row>
    <row r="100" spans="1:35" x14ac:dyDescent="0.2">
      <c r="A100" t="s">
        <v>513</v>
      </c>
      <c r="G100" t="s">
        <v>3098</v>
      </c>
      <c r="H100" t="s">
        <v>1220</v>
      </c>
      <c r="I100">
        <v>83</v>
      </c>
      <c r="K100">
        <v>1</v>
      </c>
      <c r="O100" t="s">
        <v>437</v>
      </c>
      <c r="T100">
        <v>1</v>
      </c>
      <c r="U100">
        <v>30</v>
      </c>
      <c r="AB100" t="s">
        <v>93</v>
      </c>
      <c r="AC100" t="s">
        <v>29</v>
      </c>
      <c r="AD100">
        <v>1</v>
      </c>
      <c r="AH100" t="s">
        <v>368</v>
      </c>
      <c r="AI100">
        <v>1</v>
      </c>
    </row>
    <row r="101" spans="1:35" x14ac:dyDescent="0.2">
      <c r="A101" t="s">
        <v>513</v>
      </c>
      <c r="G101" t="s">
        <v>3100</v>
      </c>
      <c r="H101" t="s">
        <v>3099</v>
      </c>
      <c r="I101">
        <v>84</v>
      </c>
      <c r="K101">
        <v>1</v>
      </c>
      <c r="O101" t="s">
        <v>437</v>
      </c>
      <c r="T101">
        <v>1</v>
      </c>
      <c r="U101">
        <v>28</v>
      </c>
      <c r="AB101" t="s">
        <v>33</v>
      </c>
      <c r="AC101" t="s">
        <v>29</v>
      </c>
      <c r="AD101">
        <v>1</v>
      </c>
      <c r="AH101" t="s">
        <v>45</v>
      </c>
      <c r="AI101">
        <v>1</v>
      </c>
    </row>
    <row r="102" spans="1:35" x14ac:dyDescent="0.2">
      <c r="A102" t="s">
        <v>513</v>
      </c>
      <c r="G102" t="s">
        <v>3102</v>
      </c>
      <c r="H102" t="s">
        <v>3101</v>
      </c>
      <c r="I102">
        <v>85</v>
      </c>
      <c r="K102">
        <v>1</v>
      </c>
      <c r="O102" t="s">
        <v>437</v>
      </c>
      <c r="T102">
        <v>1</v>
      </c>
      <c r="U102">
        <v>22</v>
      </c>
      <c r="AB102" t="s">
        <v>28</v>
      </c>
      <c r="AC102" t="s">
        <v>29</v>
      </c>
      <c r="AD102">
        <v>1</v>
      </c>
      <c r="AH102" t="s">
        <v>397</v>
      </c>
      <c r="AI102">
        <v>1</v>
      </c>
    </row>
    <row r="103" spans="1:35" x14ac:dyDescent="0.2">
      <c r="AB103"/>
      <c r="AC103"/>
    </row>
    <row r="104" spans="1:35" x14ac:dyDescent="0.2">
      <c r="A104" t="s">
        <v>514</v>
      </c>
      <c r="G104" t="s">
        <v>1</v>
      </c>
      <c r="H104" t="s">
        <v>0</v>
      </c>
      <c r="K104" t="s">
        <v>3</v>
      </c>
      <c r="O104" t="s">
        <v>2</v>
      </c>
      <c r="U104" t="s">
        <v>5</v>
      </c>
      <c r="AB104" t="s">
        <v>7</v>
      </c>
      <c r="AC104" t="s">
        <v>8</v>
      </c>
      <c r="AH104" t="s">
        <v>6</v>
      </c>
    </row>
    <row r="105" spans="1:35" x14ac:dyDescent="0.2">
      <c r="A105" t="s">
        <v>514</v>
      </c>
      <c r="F105">
        <v>19</v>
      </c>
      <c r="G105" t="s">
        <v>97</v>
      </c>
      <c r="H105" t="s">
        <v>96</v>
      </c>
      <c r="I105">
        <v>86</v>
      </c>
      <c r="K105" t="s">
        <v>13</v>
      </c>
      <c r="L105">
        <v>1</v>
      </c>
      <c r="O105" t="s">
        <v>58</v>
      </c>
      <c r="S105">
        <v>1</v>
      </c>
      <c r="U105">
        <v>42</v>
      </c>
      <c r="AB105" t="s">
        <v>99</v>
      </c>
      <c r="AC105" t="s">
        <v>100</v>
      </c>
      <c r="AH105" t="s">
        <v>98</v>
      </c>
      <c r="AI105">
        <v>1</v>
      </c>
    </row>
    <row r="106" spans="1:35" x14ac:dyDescent="0.2">
      <c r="A106" t="s">
        <v>514</v>
      </c>
      <c r="G106" t="s">
        <v>97</v>
      </c>
      <c r="H106" t="s">
        <v>101</v>
      </c>
      <c r="I106">
        <v>87</v>
      </c>
      <c r="K106">
        <v>1</v>
      </c>
      <c r="O106" t="s">
        <v>26</v>
      </c>
      <c r="T106">
        <v>1</v>
      </c>
      <c r="U106">
        <v>30</v>
      </c>
      <c r="AB106" t="s">
        <v>33</v>
      </c>
      <c r="AC106" t="s">
        <v>29</v>
      </c>
      <c r="AD106">
        <v>1</v>
      </c>
      <c r="AH106" t="s">
        <v>102</v>
      </c>
      <c r="AI106">
        <v>1</v>
      </c>
    </row>
    <row r="107" spans="1:35" x14ac:dyDescent="0.2">
      <c r="A107" t="s">
        <v>514</v>
      </c>
      <c r="G107" t="s">
        <v>104</v>
      </c>
      <c r="H107" t="s">
        <v>103</v>
      </c>
      <c r="I107">
        <v>88</v>
      </c>
      <c r="K107">
        <v>1</v>
      </c>
      <c r="O107" t="s">
        <v>60</v>
      </c>
      <c r="S107">
        <v>1</v>
      </c>
      <c r="U107">
        <v>37</v>
      </c>
      <c r="AB107" t="s">
        <v>105</v>
      </c>
      <c r="AC107" t="s">
        <v>106</v>
      </c>
      <c r="AD107">
        <v>1</v>
      </c>
      <c r="AH107" t="s">
        <v>20</v>
      </c>
    </row>
    <row r="108" spans="1:35" x14ac:dyDescent="0.2">
      <c r="AB108"/>
      <c r="AC108"/>
    </row>
    <row r="109" spans="1:35" x14ac:dyDescent="0.2">
      <c r="G109" t="s">
        <v>1</v>
      </c>
      <c r="H109" t="s">
        <v>0</v>
      </c>
      <c r="K109" t="s">
        <v>3</v>
      </c>
      <c r="O109" t="s">
        <v>2</v>
      </c>
      <c r="U109" t="s">
        <v>5</v>
      </c>
      <c r="AB109" t="s">
        <v>7</v>
      </c>
      <c r="AC109" t="s">
        <v>8</v>
      </c>
      <c r="AH109" t="s">
        <v>6</v>
      </c>
    </row>
    <row r="110" spans="1:35" x14ac:dyDescent="0.2">
      <c r="A110" t="s">
        <v>515</v>
      </c>
      <c r="E110" t="s">
        <v>3113</v>
      </c>
      <c r="G110" t="s">
        <v>1136</v>
      </c>
      <c r="H110" t="s">
        <v>3104</v>
      </c>
      <c r="I110">
        <v>89</v>
      </c>
      <c r="K110" t="s">
        <v>13</v>
      </c>
      <c r="L110">
        <v>1</v>
      </c>
      <c r="O110">
        <v>1</v>
      </c>
      <c r="U110">
        <v>46</v>
      </c>
      <c r="AB110" t="s">
        <v>3105</v>
      </c>
      <c r="AC110" t="s">
        <v>8</v>
      </c>
      <c r="AD110">
        <v>1</v>
      </c>
      <c r="AF110">
        <v>1</v>
      </c>
      <c r="AH110" t="s">
        <v>14</v>
      </c>
    </row>
    <row r="111" spans="1:35" x14ac:dyDescent="0.2">
      <c r="A111" t="s">
        <v>515</v>
      </c>
      <c r="G111" t="s">
        <v>1136</v>
      </c>
      <c r="H111" t="s">
        <v>3106</v>
      </c>
      <c r="I111">
        <v>90</v>
      </c>
      <c r="K111">
        <v>1</v>
      </c>
      <c r="O111" t="s">
        <v>144</v>
      </c>
      <c r="S111">
        <v>1</v>
      </c>
      <c r="U111">
        <v>53</v>
      </c>
      <c r="AB111" t="s">
        <v>50</v>
      </c>
      <c r="AC111" t="s">
        <v>20</v>
      </c>
      <c r="AH111" t="s">
        <v>14</v>
      </c>
    </row>
    <row r="112" spans="1:35" x14ac:dyDescent="0.2">
      <c r="A112" t="s">
        <v>515</v>
      </c>
      <c r="G112" t="s">
        <v>3107</v>
      </c>
      <c r="H112" t="s">
        <v>24</v>
      </c>
      <c r="I112">
        <v>91</v>
      </c>
      <c r="K112">
        <v>1</v>
      </c>
      <c r="O112" t="s">
        <v>26</v>
      </c>
      <c r="T112">
        <v>1</v>
      </c>
      <c r="U112">
        <v>37</v>
      </c>
      <c r="AB112" t="s">
        <v>344</v>
      </c>
      <c r="AC112" t="s">
        <v>29</v>
      </c>
      <c r="AD112">
        <v>1</v>
      </c>
      <c r="AH112" t="s">
        <v>14</v>
      </c>
    </row>
    <row r="113" spans="1:75" x14ac:dyDescent="0.2">
      <c r="A113" t="s">
        <v>515</v>
      </c>
      <c r="G113" t="s">
        <v>3109</v>
      </c>
      <c r="H113" t="s">
        <v>3108</v>
      </c>
      <c r="I113">
        <v>92</v>
      </c>
      <c r="K113">
        <v>1</v>
      </c>
      <c r="O113" t="s">
        <v>26</v>
      </c>
      <c r="T113">
        <v>1</v>
      </c>
      <c r="U113">
        <v>20</v>
      </c>
      <c r="AB113" t="s">
        <v>344</v>
      </c>
      <c r="AC113" t="s">
        <v>29</v>
      </c>
      <c r="AD113">
        <v>1</v>
      </c>
      <c r="AH113" t="s">
        <v>3110</v>
      </c>
      <c r="AI113">
        <v>1</v>
      </c>
    </row>
    <row r="114" spans="1:75" x14ac:dyDescent="0.2">
      <c r="A114" t="s">
        <v>515</v>
      </c>
      <c r="G114" t="s">
        <v>3111</v>
      </c>
      <c r="H114" t="s">
        <v>704</v>
      </c>
      <c r="I114">
        <v>93</v>
      </c>
      <c r="K114">
        <v>1</v>
      </c>
      <c r="O114" t="s">
        <v>26</v>
      </c>
      <c r="T114">
        <v>1</v>
      </c>
      <c r="U114">
        <v>45</v>
      </c>
      <c r="AB114" t="s">
        <v>3053</v>
      </c>
      <c r="AC114" t="s">
        <v>29</v>
      </c>
      <c r="AD114">
        <v>1</v>
      </c>
      <c r="AH114" t="s">
        <v>3112</v>
      </c>
      <c r="AI114">
        <v>1</v>
      </c>
    </row>
    <row r="115" spans="1:75" x14ac:dyDescent="0.2">
      <c r="AB115"/>
      <c r="AC115"/>
    </row>
    <row r="116" spans="1:75" x14ac:dyDescent="0.2">
      <c r="A116" t="s">
        <v>3126</v>
      </c>
      <c r="G116" t="s">
        <v>1</v>
      </c>
      <c r="H116" t="s">
        <v>0</v>
      </c>
      <c r="K116" t="s">
        <v>3</v>
      </c>
      <c r="O116" t="s">
        <v>2</v>
      </c>
      <c r="U116" t="s">
        <v>5</v>
      </c>
      <c r="AB116" t="s">
        <v>7</v>
      </c>
      <c r="AC116" t="s">
        <v>8</v>
      </c>
      <c r="AH116" t="s">
        <v>6</v>
      </c>
    </row>
    <row r="117" spans="1:75" x14ac:dyDescent="0.2">
      <c r="A117" t="s">
        <v>3126</v>
      </c>
      <c r="E117" t="s">
        <v>3124</v>
      </c>
      <c r="G117" t="s">
        <v>3119</v>
      </c>
      <c r="H117" t="s">
        <v>444</v>
      </c>
      <c r="I117">
        <v>94</v>
      </c>
      <c r="K117" t="s">
        <v>13</v>
      </c>
      <c r="L117">
        <v>1</v>
      </c>
      <c r="O117">
        <v>1</v>
      </c>
      <c r="U117">
        <v>60</v>
      </c>
      <c r="AB117" t="s">
        <v>1277</v>
      </c>
      <c r="AC117" t="s">
        <v>3120</v>
      </c>
      <c r="AD117">
        <v>1</v>
      </c>
      <c r="AH117" t="s">
        <v>1967</v>
      </c>
      <c r="AI117">
        <v>1</v>
      </c>
    </row>
    <row r="118" spans="1:75" x14ac:dyDescent="0.2">
      <c r="A118" t="s">
        <v>3126</v>
      </c>
      <c r="G118" t="s">
        <v>3121</v>
      </c>
      <c r="H118" t="s">
        <v>48</v>
      </c>
      <c r="I118">
        <v>95</v>
      </c>
      <c r="K118">
        <v>1</v>
      </c>
      <c r="O118" t="s">
        <v>58</v>
      </c>
      <c r="S118">
        <v>1</v>
      </c>
      <c r="U118">
        <v>40</v>
      </c>
      <c r="AB118" t="s">
        <v>1090</v>
      </c>
      <c r="AC118" t="s">
        <v>20</v>
      </c>
      <c r="AH118" t="s">
        <v>212</v>
      </c>
      <c r="AI118">
        <v>1</v>
      </c>
    </row>
    <row r="119" spans="1:75" x14ac:dyDescent="0.2">
      <c r="A119" t="s">
        <v>3126</v>
      </c>
      <c r="G119" t="s">
        <v>2888</v>
      </c>
      <c r="H119" t="s">
        <v>1510</v>
      </c>
      <c r="I119">
        <v>96</v>
      </c>
      <c r="K119">
        <v>1</v>
      </c>
      <c r="O119" t="s">
        <v>26</v>
      </c>
      <c r="T119">
        <v>1</v>
      </c>
      <c r="U119">
        <v>46</v>
      </c>
      <c r="AB119" t="s">
        <v>33</v>
      </c>
      <c r="AC119" t="s">
        <v>29</v>
      </c>
      <c r="AD119">
        <v>1</v>
      </c>
      <c r="AH119" t="s">
        <v>3122</v>
      </c>
    </row>
    <row r="120" spans="1:75" x14ac:dyDescent="0.2">
      <c r="A120" t="s">
        <v>3126</v>
      </c>
      <c r="G120" t="s">
        <v>3123</v>
      </c>
      <c r="H120" t="s">
        <v>2036</v>
      </c>
      <c r="I120">
        <v>97</v>
      </c>
      <c r="K120">
        <v>1</v>
      </c>
      <c r="O120" t="s">
        <v>26</v>
      </c>
      <c r="T120">
        <v>1</v>
      </c>
      <c r="U120">
        <v>19</v>
      </c>
      <c r="AB120" t="s">
        <v>28</v>
      </c>
      <c r="AC120" t="s">
        <v>29</v>
      </c>
      <c r="AD120">
        <v>1</v>
      </c>
      <c r="AH120" t="s">
        <v>2054</v>
      </c>
    </row>
    <row r="122" spans="1:75" s="2" customFormat="1" x14ac:dyDescent="0.2">
      <c r="A122" s="283" t="s">
        <v>252</v>
      </c>
      <c r="B122" s="285"/>
      <c r="C122" s="285"/>
      <c r="D122" s="285"/>
      <c r="F122" s="2">
        <v>19</v>
      </c>
      <c r="I122" s="2">
        <v>97</v>
      </c>
      <c r="K122" s="2">
        <f>SUM(K3:K120)</f>
        <v>71</v>
      </c>
      <c r="L122" s="2">
        <f t="shared" ref="L122:AJ122" si="0">SUM(L3:L120)</f>
        <v>19</v>
      </c>
      <c r="M122" s="2">
        <f t="shared" si="0"/>
        <v>4</v>
      </c>
      <c r="N122" s="2">
        <f t="shared" si="0"/>
        <v>3</v>
      </c>
      <c r="O122" s="2">
        <f t="shared" si="0"/>
        <v>14</v>
      </c>
      <c r="P122" s="2">
        <f t="shared" si="0"/>
        <v>5</v>
      </c>
      <c r="Q122" s="2">
        <f t="shared" si="0"/>
        <v>10</v>
      </c>
      <c r="R122" s="2">
        <f t="shared" si="0"/>
        <v>6</v>
      </c>
      <c r="S122" s="2">
        <f t="shared" si="0"/>
        <v>13</v>
      </c>
      <c r="T122" s="2">
        <f t="shared" si="0"/>
        <v>49</v>
      </c>
      <c r="U122" s="2">
        <f t="shared" si="0"/>
        <v>3426</v>
      </c>
      <c r="V122" s="2">
        <f t="shared" si="0"/>
        <v>0</v>
      </c>
      <c r="W122" s="2">
        <f t="shared" si="0"/>
        <v>0</v>
      </c>
      <c r="X122" s="2">
        <f t="shared" si="0"/>
        <v>0</v>
      </c>
      <c r="Y122" s="2">
        <f t="shared" si="0"/>
        <v>0</v>
      </c>
      <c r="Z122" s="2">
        <f t="shared" si="0"/>
        <v>0</v>
      </c>
      <c r="AA122" s="2">
        <f t="shared" si="0"/>
        <v>0</v>
      </c>
      <c r="AB122" s="2">
        <f t="shared" si="0"/>
        <v>0</v>
      </c>
      <c r="AC122" s="2">
        <f t="shared" si="0"/>
        <v>0</v>
      </c>
      <c r="AD122" s="2">
        <f t="shared" si="0"/>
        <v>67</v>
      </c>
      <c r="AE122" s="2">
        <f t="shared" si="0"/>
        <v>0</v>
      </c>
      <c r="AF122" s="2">
        <f t="shared" si="0"/>
        <v>8</v>
      </c>
      <c r="AG122" s="2">
        <f>AD122-AF122</f>
        <v>59</v>
      </c>
      <c r="AH122" s="2">
        <f>O123-AI122</f>
        <v>53</v>
      </c>
      <c r="AI122" s="2">
        <f t="shared" si="0"/>
        <v>44</v>
      </c>
      <c r="AJ122" s="2">
        <f t="shared" si="0"/>
        <v>0</v>
      </c>
    </row>
    <row r="123" spans="1:75" x14ac:dyDescent="0.2">
      <c r="K123">
        <f>SUM(K122:N122)</f>
        <v>97</v>
      </c>
      <c r="O123">
        <f>SUM(O122:T122)</f>
        <v>97</v>
      </c>
      <c r="U123" s="64">
        <f>U122/O123</f>
        <v>35.319587628865982</v>
      </c>
      <c r="AD123" s="284">
        <f>AD122/O123</f>
        <v>0.69072164948453607</v>
      </c>
      <c r="AH123">
        <f>AH122/O123</f>
        <v>0.54639175257731953</v>
      </c>
    </row>
    <row r="124" spans="1:75" s="3" customFormat="1" ht="85" customHeight="1" x14ac:dyDescent="0.2">
      <c r="A124" s="80" t="s">
        <v>536</v>
      </c>
      <c r="B124" s="80"/>
      <c r="C124" s="80"/>
      <c r="D124" s="80"/>
      <c r="E124" s="80" t="s">
        <v>807</v>
      </c>
      <c r="F124" s="80" t="s">
        <v>1051</v>
      </c>
      <c r="G124" s="81" t="s">
        <v>528</v>
      </c>
      <c r="H124" s="81" t="s">
        <v>804</v>
      </c>
      <c r="I124" s="80" t="s">
        <v>803</v>
      </c>
      <c r="J124" s="81" t="s">
        <v>537</v>
      </c>
      <c r="K124" s="81" t="s">
        <v>805</v>
      </c>
      <c r="L124" s="82" t="s">
        <v>1327</v>
      </c>
      <c r="M124" s="81" t="s">
        <v>220</v>
      </c>
      <c r="N124" s="83"/>
      <c r="O124" s="83"/>
      <c r="P124" s="83"/>
      <c r="Q124" s="81" t="s">
        <v>221</v>
      </c>
      <c r="R124" s="83"/>
      <c r="S124" s="84"/>
      <c r="T124" s="84"/>
      <c r="U124" s="84"/>
      <c r="V124" s="84"/>
      <c r="W124" s="81" t="s">
        <v>222</v>
      </c>
      <c r="X124" s="81" t="s">
        <v>538</v>
      </c>
      <c r="Y124" s="84"/>
      <c r="Z124" s="84"/>
      <c r="AA124" s="81" t="s">
        <v>539</v>
      </c>
      <c r="AB124" s="81" t="s">
        <v>540</v>
      </c>
      <c r="AC124" s="81" t="s">
        <v>541</v>
      </c>
      <c r="AD124" s="81" t="s">
        <v>229</v>
      </c>
      <c r="AE124" s="81" t="s">
        <v>230</v>
      </c>
      <c r="AF124" s="81" t="s">
        <v>231</v>
      </c>
      <c r="AG124" s="81" t="s">
        <v>232</v>
      </c>
      <c r="AH124" s="84"/>
      <c r="AI124" s="81" t="s">
        <v>542</v>
      </c>
      <c r="AJ124" s="84"/>
      <c r="AK124" s="84"/>
      <c r="AL124" s="85"/>
      <c r="AM124" s="86"/>
      <c r="AN124" s="86"/>
      <c r="AO124" s="86"/>
      <c r="AP124" s="12"/>
      <c r="AQ124" s="12"/>
      <c r="AR124" s="86"/>
      <c r="AS124" s="86"/>
      <c r="AT124" s="87"/>
      <c r="AU124" s="86"/>
      <c r="AV124" s="86"/>
      <c r="AW124" s="86"/>
      <c r="AX124" s="87"/>
      <c r="AY124" s="12"/>
      <c r="AZ124" s="12"/>
      <c r="BA124" s="12"/>
      <c r="BB124" s="12"/>
      <c r="BC124" s="12"/>
      <c r="BD124" s="12"/>
      <c r="BE124" s="12"/>
      <c r="BF124" s="86"/>
      <c r="BG124" s="87"/>
      <c r="BH124" s="87"/>
      <c r="BI124" s="87"/>
      <c r="BJ124" s="87"/>
      <c r="BK124" s="87"/>
      <c r="BL124" s="86"/>
      <c r="BM124" s="86"/>
      <c r="BN124" s="86"/>
      <c r="BO124" s="86"/>
      <c r="BP124" s="86"/>
      <c r="BQ124" s="86"/>
      <c r="BR124" s="12"/>
      <c r="BS124" s="12"/>
      <c r="BT124" s="12"/>
      <c r="BU124" s="12"/>
      <c r="BV124" s="12"/>
      <c r="BW124" s="87"/>
    </row>
    <row r="125" spans="1:75" ht="51" x14ac:dyDescent="0.2">
      <c r="A125" s="69"/>
      <c r="B125" s="69"/>
      <c r="C125" s="69"/>
      <c r="D125" s="69"/>
      <c r="E125" s="69"/>
      <c r="F125" s="77"/>
      <c r="G125" s="77"/>
      <c r="H125" s="77"/>
      <c r="I125" s="69"/>
      <c r="J125" s="69"/>
      <c r="K125" s="69"/>
      <c r="L125" s="70"/>
      <c r="M125" s="88" t="s">
        <v>237</v>
      </c>
      <c r="N125" s="88" t="s">
        <v>238</v>
      </c>
      <c r="O125" s="88" t="s">
        <v>239</v>
      </c>
      <c r="P125" s="88" t="s">
        <v>240</v>
      </c>
      <c r="Q125" s="88" t="s">
        <v>543</v>
      </c>
      <c r="R125" s="88" t="s">
        <v>242</v>
      </c>
      <c r="S125" s="88" t="s">
        <v>243</v>
      </c>
      <c r="T125" s="88" t="s">
        <v>244</v>
      </c>
      <c r="U125" s="88" t="s">
        <v>245</v>
      </c>
      <c r="V125" s="88" t="s">
        <v>26</v>
      </c>
      <c r="W125" s="89"/>
      <c r="X125" s="88" t="s">
        <v>238</v>
      </c>
      <c r="Y125" s="88" t="s">
        <v>544</v>
      </c>
      <c r="Z125" s="88" t="s">
        <v>237</v>
      </c>
      <c r="AA125" s="89"/>
      <c r="AB125" s="89"/>
      <c r="AC125" s="90"/>
      <c r="AD125" s="88" t="s">
        <v>545</v>
      </c>
      <c r="AE125" s="88" t="s">
        <v>545</v>
      </c>
      <c r="AF125" s="89"/>
      <c r="AG125" s="88" t="s">
        <v>8</v>
      </c>
      <c r="AH125" s="88" t="s">
        <v>546</v>
      </c>
      <c r="AI125" s="80" t="s">
        <v>251</v>
      </c>
      <c r="AJ125" s="67" t="s">
        <v>245</v>
      </c>
      <c r="AK125" s="91" t="s">
        <v>547</v>
      </c>
      <c r="AL125" s="92" t="s">
        <v>806</v>
      </c>
      <c r="AM125" s="7"/>
      <c r="AN125" s="7"/>
      <c r="AO125" s="7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5"/>
      <c r="BJ125" s="5"/>
      <c r="BK125" s="5"/>
      <c r="BL125" s="5"/>
      <c r="BM125" s="5"/>
      <c r="BN125" s="5"/>
      <c r="BO125" s="6"/>
      <c r="BP125" s="6"/>
      <c r="BQ125" s="6"/>
      <c r="BR125" s="6"/>
      <c r="BS125" s="6"/>
      <c r="BT125" s="7"/>
      <c r="BU125" s="7"/>
      <c r="BV125" s="7"/>
      <c r="BW125" s="7"/>
    </row>
  </sheetData>
  <phoneticPr fontId="15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E7E2-8C15-DC42-8A84-F2052EA70452}">
  <dimension ref="A1:AZ82"/>
  <sheetViews>
    <sheetView zoomScale="148" zoomScaleNormal="148" workbookViewId="0">
      <pane ySplit="2" topLeftCell="A20" activePane="bottomLeft" state="frozen"/>
      <selection pane="bottomLeft" activeCell="G33" sqref="G33"/>
    </sheetView>
  </sheetViews>
  <sheetFormatPr baseColWidth="10" defaultColWidth="10.83203125" defaultRowHeight="16" x14ac:dyDescent="0.2"/>
  <cols>
    <col min="1" max="1" width="10.83203125" style="64"/>
    <col min="2" max="2" width="17.33203125" style="64" customWidth="1"/>
    <col min="3" max="3" width="10.83203125" style="64"/>
    <col min="4" max="4" width="17.83203125" style="64" customWidth="1"/>
    <col min="5" max="5" width="12.33203125" style="64" customWidth="1"/>
    <col min="6" max="6" width="18.5" style="64" customWidth="1"/>
    <col min="7" max="7" width="7.5" style="64" customWidth="1"/>
    <col min="8" max="11" width="10.83203125" style="64"/>
    <col min="12" max="12" width="19.1640625" style="64" customWidth="1"/>
    <col min="13" max="13" width="7.83203125" style="64" customWidth="1"/>
    <col min="14" max="14" width="10" style="64" customWidth="1"/>
    <col min="15" max="15" width="8.6640625" style="64" customWidth="1"/>
    <col min="16" max="16" width="18.5" style="64" customWidth="1"/>
    <col min="17" max="17" width="11.5" style="64" customWidth="1"/>
    <col min="18" max="18" width="11.6640625" style="64" customWidth="1"/>
    <col min="19" max="19" width="12.33203125" style="64" customWidth="1"/>
    <col min="20" max="20" width="10.83203125" style="64"/>
    <col min="21" max="21" width="15.1640625" style="64" customWidth="1"/>
    <col min="22" max="24" width="10.83203125" style="64"/>
    <col min="25" max="25" width="31" style="64" customWidth="1"/>
    <col min="26" max="26" width="19.83203125" style="64" customWidth="1"/>
    <col min="27" max="27" width="12.1640625" style="64" customWidth="1"/>
    <col min="28" max="31" width="16.5" style="64" customWidth="1"/>
    <col min="32" max="32" width="14.6640625" style="64" customWidth="1"/>
    <col min="33" max="33" width="10.83203125" style="64"/>
    <col min="34" max="34" width="11" style="64" customWidth="1"/>
    <col min="35" max="35" width="11.1640625" style="64" customWidth="1"/>
    <col min="36" max="36" width="7.83203125" style="64" customWidth="1"/>
    <col min="37" max="38" width="10.83203125" style="64"/>
    <col min="39" max="39" width="7.33203125" style="64" customWidth="1"/>
    <col min="40" max="40" width="10.83203125" style="64"/>
    <col min="41" max="41" width="9.1640625" style="64" customWidth="1"/>
    <col min="42" max="42" width="10.83203125" style="64"/>
    <col min="43" max="43" width="12.5" style="64" customWidth="1"/>
    <col min="44" max="44" width="13" style="64" customWidth="1"/>
    <col min="45" max="16384" width="10.83203125" style="64"/>
  </cols>
  <sheetData>
    <row r="1" spans="1:52" ht="34" x14ac:dyDescent="0.2">
      <c r="A1" s="113" t="s">
        <v>214</v>
      </c>
      <c r="B1" s="113" t="s">
        <v>215</v>
      </c>
      <c r="C1" s="20" t="s">
        <v>216</v>
      </c>
      <c r="D1" s="148" t="s">
        <v>217</v>
      </c>
      <c r="E1" s="20" t="s">
        <v>218</v>
      </c>
      <c r="F1" s="148" t="s">
        <v>219</v>
      </c>
      <c r="G1" s="148"/>
      <c r="H1" s="148" t="s">
        <v>220</v>
      </c>
      <c r="I1" s="148"/>
      <c r="J1" s="148"/>
      <c r="K1" s="148"/>
      <c r="L1" s="149" t="s">
        <v>221</v>
      </c>
      <c r="M1" s="148"/>
      <c r="N1" s="148"/>
      <c r="O1" s="148"/>
      <c r="P1" s="148"/>
      <c r="Q1" s="148"/>
      <c r="R1" s="149" t="s">
        <v>222</v>
      </c>
      <c r="S1" s="149" t="s">
        <v>223</v>
      </c>
      <c r="T1" s="149" t="s">
        <v>224</v>
      </c>
      <c r="U1" s="148" t="s">
        <v>225</v>
      </c>
      <c r="V1" s="148" t="s">
        <v>226</v>
      </c>
      <c r="W1" s="148" t="s">
        <v>227</v>
      </c>
      <c r="X1" s="148" t="s">
        <v>228</v>
      </c>
      <c r="Y1" s="148" t="s">
        <v>229</v>
      </c>
      <c r="Z1" s="148" t="s">
        <v>230</v>
      </c>
      <c r="AA1" s="148" t="s">
        <v>231</v>
      </c>
      <c r="AB1" s="148" t="s">
        <v>232</v>
      </c>
      <c r="AC1" s="148"/>
      <c r="AD1" s="148" t="s">
        <v>233</v>
      </c>
      <c r="AE1" s="148"/>
      <c r="AF1" s="20" t="s">
        <v>234</v>
      </c>
      <c r="AG1" s="148"/>
      <c r="AH1" s="150"/>
      <c r="AI1" s="150"/>
      <c r="AJ1" s="148"/>
      <c r="AK1" s="148"/>
      <c r="AL1" s="20"/>
      <c r="AM1" s="148"/>
      <c r="AN1" s="148"/>
      <c r="AO1" s="148"/>
      <c r="AP1" s="20"/>
      <c r="AQ1" s="150"/>
      <c r="AR1" s="150"/>
      <c r="AS1" s="150"/>
      <c r="AT1" s="150"/>
      <c r="AU1" s="150"/>
      <c r="AV1" s="150"/>
      <c r="AW1" s="150"/>
      <c r="AX1" s="148"/>
      <c r="AY1" s="20"/>
      <c r="AZ1" s="20"/>
    </row>
    <row r="2" spans="1:52" ht="34" x14ac:dyDescent="0.2">
      <c r="A2" s="151" t="s">
        <v>235</v>
      </c>
      <c r="B2" s="152" t="s">
        <v>236</v>
      </c>
      <c r="C2" s="153"/>
      <c r="D2" s="148"/>
      <c r="E2" s="20"/>
      <c r="F2" s="148"/>
      <c r="G2" s="148"/>
      <c r="H2" s="148" t="s">
        <v>237</v>
      </c>
      <c r="I2" s="148" t="s">
        <v>238</v>
      </c>
      <c r="J2" s="148" t="s">
        <v>239</v>
      </c>
      <c r="K2" s="154" t="s">
        <v>240</v>
      </c>
      <c r="L2" s="155" t="s">
        <v>241</v>
      </c>
      <c r="M2" s="156" t="s">
        <v>242</v>
      </c>
      <c r="N2" s="148" t="s">
        <v>243</v>
      </c>
      <c r="O2" s="148" t="s">
        <v>244</v>
      </c>
      <c r="P2" s="148" t="s">
        <v>245</v>
      </c>
      <c r="Q2" s="154" t="s">
        <v>26</v>
      </c>
      <c r="R2" s="155" t="s">
        <v>246</v>
      </c>
      <c r="S2" s="155" t="s">
        <v>247</v>
      </c>
      <c r="T2" s="155" t="s">
        <v>248</v>
      </c>
      <c r="U2" s="157" t="s">
        <v>249</v>
      </c>
      <c r="V2" s="148"/>
      <c r="W2" s="148"/>
      <c r="X2" s="148"/>
      <c r="Y2" s="148"/>
      <c r="Z2" s="148"/>
      <c r="AA2" s="148"/>
      <c r="AB2" s="148" t="s">
        <v>8</v>
      </c>
      <c r="AC2" s="148" t="s">
        <v>250</v>
      </c>
      <c r="AD2" s="148" t="s">
        <v>251</v>
      </c>
      <c r="AE2" s="20" t="s">
        <v>245</v>
      </c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</row>
    <row r="3" spans="1:52" ht="17" x14ac:dyDescent="0.2">
      <c r="A3" s="151" t="s">
        <v>688</v>
      </c>
      <c r="B3" s="152"/>
      <c r="C3" s="153"/>
      <c r="D3" s="148" t="s">
        <v>689</v>
      </c>
      <c r="E3" s="64" t="s">
        <v>636</v>
      </c>
      <c r="F3" s="64" t="s">
        <v>635</v>
      </c>
      <c r="G3" s="64">
        <v>1</v>
      </c>
      <c r="H3" s="148">
        <v>1</v>
      </c>
      <c r="I3" s="148"/>
      <c r="J3" s="148"/>
      <c r="K3" s="154"/>
      <c r="L3" s="64">
        <v>1</v>
      </c>
      <c r="M3" s="156"/>
      <c r="N3" s="148"/>
      <c r="O3" s="148"/>
      <c r="P3" s="148"/>
      <c r="Q3" s="154"/>
      <c r="R3" s="64">
        <v>59</v>
      </c>
      <c r="S3" s="155"/>
      <c r="T3" s="155"/>
      <c r="U3" s="157"/>
      <c r="V3" s="148"/>
      <c r="W3" s="148"/>
      <c r="X3" s="148"/>
      <c r="Y3" s="64" t="s">
        <v>20</v>
      </c>
      <c r="Z3" s="64" t="s">
        <v>20</v>
      </c>
      <c r="AA3" s="148"/>
      <c r="AB3" s="148"/>
      <c r="AC3" s="148"/>
      <c r="AD3" s="64" t="s">
        <v>134</v>
      </c>
      <c r="AE3" s="20">
        <v>1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</row>
    <row r="4" spans="1:52" ht="17" x14ac:dyDescent="0.2">
      <c r="A4" s="151" t="s">
        <v>688</v>
      </c>
      <c r="B4" s="152"/>
      <c r="C4" s="153"/>
      <c r="D4" s="148" t="s">
        <v>689</v>
      </c>
      <c r="E4" s="64" t="s">
        <v>638</v>
      </c>
      <c r="F4" s="64" t="s">
        <v>637</v>
      </c>
      <c r="G4" s="64">
        <v>2</v>
      </c>
      <c r="H4" s="148">
        <v>1</v>
      </c>
      <c r="I4" s="148"/>
      <c r="J4" s="148"/>
      <c r="K4" s="154"/>
      <c r="L4" s="64" t="s">
        <v>58</v>
      </c>
      <c r="M4" s="156"/>
      <c r="N4" s="148"/>
      <c r="O4" s="148"/>
      <c r="P4" s="5">
        <v>1</v>
      </c>
      <c r="Q4" s="154"/>
      <c r="R4" s="64">
        <v>60</v>
      </c>
      <c r="S4" s="155"/>
      <c r="T4" s="155"/>
      <c r="U4" s="157"/>
      <c r="V4" s="148"/>
      <c r="W4" s="148"/>
      <c r="X4" s="148"/>
      <c r="Y4" s="64" t="s">
        <v>20</v>
      </c>
      <c r="Z4" s="64" t="s">
        <v>20</v>
      </c>
      <c r="AA4" s="148"/>
      <c r="AB4" s="148"/>
      <c r="AC4" s="148"/>
      <c r="AD4" s="64" t="s">
        <v>134</v>
      </c>
      <c r="AE4" s="20">
        <v>1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</row>
    <row r="5" spans="1:52" ht="17" x14ac:dyDescent="0.2">
      <c r="A5" s="151" t="s">
        <v>688</v>
      </c>
      <c r="B5" s="152"/>
      <c r="C5" s="153"/>
      <c r="D5" s="148" t="s">
        <v>689</v>
      </c>
      <c r="E5" s="64" t="s">
        <v>640</v>
      </c>
      <c r="F5" s="64" t="s">
        <v>639</v>
      </c>
      <c r="G5" s="64">
        <v>3</v>
      </c>
      <c r="H5" s="148">
        <v>1</v>
      </c>
      <c r="I5" s="148"/>
      <c r="J5" s="148"/>
      <c r="K5" s="154"/>
      <c r="L5" s="64" t="s">
        <v>26</v>
      </c>
      <c r="M5" s="156"/>
      <c r="N5" s="148"/>
      <c r="O5" s="148"/>
      <c r="P5" s="148"/>
      <c r="Q5" s="163">
        <v>1</v>
      </c>
      <c r="R5" s="64">
        <v>37</v>
      </c>
      <c r="S5" s="155"/>
      <c r="T5" s="155"/>
      <c r="U5" s="157"/>
      <c r="V5" s="148"/>
      <c r="W5" s="148"/>
      <c r="X5" s="148"/>
      <c r="Y5" s="64" t="s">
        <v>33</v>
      </c>
      <c r="Z5" s="64" t="s">
        <v>29</v>
      </c>
      <c r="AA5" s="148">
        <v>1</v>
      </c>
      <c r="AB5" s="148"/>
      <c r="AC5" s="148"/>
      <c r="AD5" s="64" t="s">
        <v>65</v>
      </c>
      <c r="AE5" s="20">
        <v>1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17" x14ac:dyDescent="0.2">
      <c r="A6" s="151" t="s">
        <v>688</v>
      </c>
      <c r="B6" s="152"/>
      <c r="C6" s="153"/>
      <c r="D6" s="148" t="s">
        <v>689</v>
      </c>
      <c r="E6" s="64" t="s">
        <v>642</v>
      </c>
      <c r="F6" s="64" t="s">
        <v>641</v>
      </c>
      <c r="G6" s="64">
        <v>4</v>
      </c>
      <c r="H6" s="148">
        <v>1</v>
      </c>
      <c r="I6" s="148"/>
      <c r="J6" s="148"/>
      <c r="K6" s="154"/>
      <c r="L6" s="64" t="s">
        <v>26</v>
      </c>
      <c r="M6" s="156"/>
      <c r="N6" s="148"/>
      <c r="O6" s="148"/>
      <c r="P6" s="148"/>
      <c r="Q6" s="163">
        <v>1</v>
      </c>
      <c r="R6" s="64">
        <v>26</v>
      </c>
      <c r="S6" s="155"/>
      <c r="T6" s="155"/>
      <c r="U6" s="157"/>
      <c r="V6" s="148"/>
      <c r="W6" s="148"/>
      <c r="X6" s="148"/>
      <c r="Y6" s="64" t="s">
        <v>28</v>
      </c>
      <c r="Z6" s="64" t="s">
        <v>29</v>
      </c>
      <c r="AA6" s="148">
        <v>1</v>
      </c>
      <c r="AB6" s="148"/>
      <c r="AC6" s="148"/>
      <c r="AD6" s="64" t="s">
        <v>643</v>
      </c>
      <c r="AE6" s="20">
        <v>1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17" x14ac:dyDescent="0.2">
      <c r="A7" s="151" t="s">
        <v>690</v>
      </c>
      <c r="B7" s="152" t="s">
        <v>3127</v>
      </c>
      <c r="C7" s="153"/>
      <c r="D7" s="148" t="s">
        <v>689</v>
      </c>
      <c r="E7" s="64" t="s">
        <v>645</v>
      </c>
      <c r="F7" s="64" t="s">
        <v>644</v>
      </c>
      <c r="G7" s="64">
        <v>5</v>
      </c>
      <c r="H7" s="148"/>
      <c r="I7" s="148">
        <v>1</v>
      </c>
      <c r="J7" s="148"/>
      <c r="K7" s="154"/>
      <c r="L7" s="64">
        <v>1</v>
      </c>
      <c r="M7" s="156"/>
      <c r="N7" s="148"/>
      <c r="O7" s="148"/>
      <c r="P7" s="148"/>
      <c r="Q7" s="154"/>
      <c r="R7" s="64">
        <v>49</v>
      </c>
      <c r="S7" s="155"/>
      <c r="T7" s="155"/>
      <c r="U7" s="157"/>
      <c r="V7" s="148"/>
      <c r="W7" s="148"/>
      <c r="X7" s="148"/>
      <c r="Y7" s="64" t="s">
        <v>647</v>
      </c>
      <c r="Z7" s="64" t="s">
        <v>8</v>
      </c>
      <c r="AA7" s="148">
        <v>1</v>
      </c>
      <c r="AB7" s="148">
        <v>1</v>
      </c>
      <c r="AC7" s="148"/>
      <c r="AD7" s="64" t="s">
        <v>646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7" x14ac:dyDescent="0.2">
      <c r="A8" s="151" t="s">
        <v>690</v>
      </c>
      <c r="B8" s="152"/>
      <c r="C8" s="153"/>
      <c r="D8" s="148" t="s">
        <v>689</v>
      </c>
      <c r="E8" s="64" t="s">
        <v>645</v>
      </c>
      <c r="F8" s="64" t="s">
        <v>648</v>
      </c>
      <c r="G8" s="64">
        <v>6</v>
      </c>
      <c r="H8" s="148">
        <v>1</v>
      </c>
      <c r="I8" s="148"/>
      <c r="J8" s="148"/>
      <c r="K8" s="154"/>
      <c r="L8" s="64" t="s">
        <v>18</v>
      </c>
      <c r="M8" s="162">
        <v>1</v>
      </c>
      <c r="N8" s="148"/>
      <c r="O8" s="148"/>
      <c r="P8" s="148"/>
      <c r="Q8" s="154"/>
      <c r="R8" s="64">
        <v>40</v>
      </c>
      <c r="S8" s="155"/>
      <c r="T8" s="155"/>
      <c r="U8" s="157"/>
      <c r="V8" s="148"/>
      <c r="W8" s="148"/>
      <c r="X8" s="148"/>
      <c r="Y8" s="64" t="s">
        <v>20</v>
      </c>
      <c r="Z8" s="64" t="s">
        <v>20</v>
      </c>
      <c r="AA8" s="148"/>
      <c r="AB8" s="148"/>
      <c r="AC8" s="148"/>
      <c r="AD8" s="64" t="s">
        <v>14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17" x14ac:dyDescent="0.2">
      <c r="A9" s="151" t="s">
        <v>690</v>
      </c>
      <c r="B9" s="152"/>
      <c r="C9" s="153"/>
      <c r="D9" s="148" t="s">
        <v>689</v>
      </c>
      <c r="E9" s="64" t="s">
        <v>650</v>
      </c>
      <c r="F9" s="64" t="s">
        <v>649</v>
      </c>
      <c r="G9" s="64">
        <v>7</v>
      </c>
      <c r="H9" s="148">
        <v>1</v>
      </c>
      <c r="I9" s="148"/>
      <c r="J9" s="148"/>
      <c r="K9" s="154"/>
      <c r="L9" s="64" t="s">
        <v>58</v>
      </c>
      <c r="M9" s="156"/>
      <c r="N9" s="148"/>
      <c r="O9" s="148"/>
      <c r="P9" s="5">
        <v>1</v>
      </c>
      <c r="Q9" s="154"/>
      <c r="R9" s="64">
        <v>44</v>
      </c>
      <c r="S9" s="155"/>
      <c r="T9" s="155"/>
      <c r="U9" s="157"/>
      <c r="V9" s="148"/>
      <c r="W9" s="148"/>
      <c r="X9" s="148"/>
      <c r="Y9" s="64" t="s">
        <v>651</v>
      </c>
      <c r="Z9" s="64" t="s">
        <v>652</v>
      </c>
      <c r="AA9" s="148">
        <v>1</v>
      </c>
      <c r="AB9" s="148"/>
      <c r="AC9" s="148"/>
      <c r="AD9" s="64" t="s">
        <v>212</v>
      </c>
      <c r="AE9" s="20">
        <v>1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7" x14ac:dyDescent="0.2">
      <c r="A10" s="151" t="s">
        <v>690</v>
      </c>
      <c r="B10" s="152"/>
      <c r="C10" s="153"/>
      <c r="D10" s="148" t="s">
        <v>689</v>
      </c>
      <c r="E10" s="64" t="s">
        <v>654</v>
      </c>
      <c r="F10" s="64" t="s">
        <v>653</v>
      </c>
      <c r="G10" s="64">
        <v>8</v>
      </c>
      <c r="H10" s="148">
        <v>1</v>
      </c>
      <c r="I10" s="148"/>
      <c r="J10" s="148"/>
      <c r="K10" s="154"/>
      <c r="L10" s="64" t="s">
        <v>26</v>
      </c>
      <c r="M10" s="156"/>
      <c r="N10" s="148"/>
      <c r="O10" s="148"/>
      <c r="P10" s="148"/>
      <c r="Q10" s="163">
        <v>1</v>
      </c>
      <c r="R10" s="64">
        <v>16</v>
      </c>
      <c r="S10" s="155"/>
      <c r="T10" s="155"/>
      <c r="U10" s="157"/>
      <c r="V10" s="148"/>
      <c r="W10" s="148"/>
      <c r="X10" s="148"/>
      <c r="Y10" s="64" t="s">
        <v>56</v>
      </c>
      <c r="Z10" s="64" t="s">
        <v>29</v>
      </c>
      <c r="AA10" s="148">
        <v>1</v>
      </c>
      <c r="AB10" s="148"/>
      <c r="AC10" s="148"/>
      <c r="AD10" s="64" t="s">
        <v>432</v>
      </c>
      <c r="AE10" s="20">
        <v>1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17" x14ac:dyDescent="0.2">
      <c r="A11" s="151" t="s">
        <v>690</v>
      </c>
      <c r="B11" s="152"/>
      <c r="C11" s="153"/>
      <c r="D11" s="148" t="s">
        <v>689</v>
      </c>
      <c r="E11" s="64" t="s">
        <v>656</v>
      </c>
      <c r="F11" s="64" t="s">
        <v>655</v>
      </c>
      <c r="G11" s="64">
        <v>9</v>
      </c>
      <c r="H11" s="148">
        <v>1</v>
      </c>
      <c r="I11" s="148"/>
      <c r="J11" s="148"/>
      <c r="K11" s="154"/>
      <c r="L11" s="64" t="s">
        <v>33</v>
      </c>
      <c r="M11" s="156"/>
      <c r="N11" s="148"/>
      <c r="O11" s="148"/>
      <c r="P11" s="148"/>
      <c r="Q11" s="163">
        <v>1</v>
      </c>
      <c r="R11" s="64">
        <v>64</v>
      </c>
      <c r="S11" s="155"/>
      <c r="T11" s="155"/>
      <c r="U11" s="157"/>
      <c r="V11" s="148"/>
      <c r="W11" s="148"/>
      <c r="X11" s="148"/>
      <c r="Y11" s="64" t="s">
        <v>56</v>
      </c>
      <c r="Z11" s="64" t="s">
        <v>29</v>
      </c>
      <c r="AA11" s="148">
        <v>1</v>
      </c>
      <c r="AB11" s="148"/>
      <c r="AC11" s="148"/>
      <c r="AD11" s="64" t="s">
        <v>657</v>
      </c>
      <c r="AE11" s="20">
        <v>1</v>
      </c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17" x14ac:dyDescent="0.2">
      <c r="A12" s="151" t="s">
        <v>690</v>
      </c>
      <c r="B12" s="152"/>
      <c r="C12" s="153"/>
      <c r="D12" s="148" t="s">
        <v>689</v>
      </c>
      <c r="E12" s="64" t="s">
        <v>659</v>
      </c>
      <c r="F12" s="64" t="s">
        <v>658</v>
      </c>
      <c r="G12" s="64">
        <v>10</v>
      </c>
      <c r="H12" s="148">
        <v>1</v>
      </c>
      <c r="I12" s="148"/>
      <c r="J12" s="148"/>
      <c r="K12" s="154"/>
      <c r="L12" s="64" t="s">
        <v>26</v>
      </c>
      <c r="M12" s="156"/>
      <c r="N12" s="148"/>
      <c r="O12" s="148"/>
      <c r="P12" s="148"/>
      <c r="Q12" s="163">
        <v>1</v>
      </c>
      <c r="R12" s="64">
        <v>38</v>
      </c>
      <c r="S12" s="155"/>
      <c r="T12" s="155"/>
      <c r="U12" s="157"/>
      <c r="V12" s="148"/>
      <c r="W12" s="148"/>
      <c r="X12" s="148"/>
      <c r="Y12" s="64" t="s">
        <v>56</v>
      </c>
      <c r="Z12" s="64" t="s">
        <v>29</v>
      </c>
      <c r="AA12" s="148">
        <v>1</v>
      </c>
      <c r="AB12" s="148"/>
      <c r="AC12" s="148"/>
      <c r="AD12" s="64" t="s">
        <v>660</v>
      </c>
      <c r="AE12" s="20">
        <v>1</v>
      </c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7" x14ac:dyDescent="0.2">
      <c r="A13" s="151" t="s">
        <v>691</v>
      </c>
      <c r="B13" s="152"/>
      <c r="C13" s="153">
        <v>2</v>
      </c>
      <c r="D13" s="148" t="s">
        <v>689</v>
      </c>
      <c r="E13" s="64" t="s">
        <v>662</v>
      </c>
      <c r="F13" s="64" t="s">
        <v>661</v>
      </c>
      <c r="G13" s="64">
        <v>11</v>
      </c>
      <c r="H13" s="148"/>
      <c r="I13" s="148">
        <v>1</v>
      </c>
      <c r="J13" s="148"/>
      <c r="K13" s="154"/>
      <c r="L13" s="64">
        <v>1</v>
      </c>
      <c r="M13" s="156"/>
      <c r="N13" s="148"/>
      <c r="O13" s="148"/>
      <c r="P13" s="148"/>
      <c r="Q13" s="154"/>
      <c r="R13" s="64">
        <v>24</v>
      </c>
      <c r="S13" s="155"/>
      <c r="T13" s="155"/>
      <c r="U13" s="157"/>
      <c r="V13" s="148"/>
      <c r="W13" s="148"/>
      <c r="X13" s="148"/>
      <c r="Y13" s="64" t="s">
        <v>663</v>
      </c>
      <c r="Z13" s="64" t="s">
        <v>664</v>
      </c>
      <c r="AA13" s="148">
        <v>1</v>
      </c>
      <c r="AB13" s="148"/>
      <c r="AC13" s="148"/>
      <c r="AD13" s="64" t="s">
        <v>49</v>
      </c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7" x14ac:dyDescent="0.2">
      <c r="A14" s="151" t="s">
        <v>691</v>
      </c>
      <c r="B14" s="152"/>
      <c r="C14" s="153"/>
      <c r="D14" s="148" t="s">
        <v>689</v>
      </c>
      <c r="E14" s="64" t="s">
        <v>662</v>
      </c>
      <c r="F14" s="64" t="s">
        <v>665</v>
      </c>
      <c r="G14" s="64">
        <v>12</v>
      </c>
      <c r="H14" s="148">
        <v>1</v>
      </c>
      <c r="I14" s="148"/>
      <c r="J14" s="148"/>
      <c r="K14" s="154"/>
      <c r="L14" s="64" t="s">
        <v>18</v>
      </c>
      <c r="M14" s="162">
        <v>1</v>
      </c>
      <c r="N14" s="148"/>
      <c r="O14" s="148"/>
      <c r="P14" s="148"/>
      <c r="Q14" s="154"/>
      <c r="R14" s="64">
        <v>31</v>
      </c>
      <c r="S14" s="155"/>
      <c r="T14" s="155"/>
      <c r="U14" s="157"/>
      <c r="V14" s="148"/>
      <c r="W14" s="148"/>
      <c r="X14" s="148"/>
      <c r="Y14" s="64" t="s">
        <v>50</v>
      </c>
      <c r="Z14" s="64" t="s">
        <v>20</v>
      </c>
      <c r="AA14" s="148"/>
      <c r="AB14" s="148"/>
      <c r="AC14" s="148"/>
      <c r="AD14" s="64" t="s">
        <v>666</v>
      </c>
      <c r="AE14" s="20">
        <v>1</v>
      </c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17" x14ac:dyDescent="0.2">
      <c r="A15" s="151" t="s">
        <v>692</v>
      </c>
      <c r="B15" s="152"/>
      <c r="C15" s="153">
        <v>3</v>
      </c>
      <c r="D15" s="148" t="s">
        <v>689</v>
      </c>
      <c r="E15" s="64" t="s">
        <v>667</v>
      </c>
      <c r="F15" s="64" t="s">
        <v>24</v>
      </c>
      <c r="G15" s="64">
        <v>13</v>
      </c>
      <c r="H15" s="148">
        <v>1</v>
      </c>
      <c r="I15" s="148"/>
      <c r="J15" s="148"/>
      <c r="K15" s="154"/>
      <c r="L15" s="64">
        <v>1</v>
      </c>
      <c r="M15" s="156"/>
      <c r="N15" s="148"/>
      <c r="O15" s="148"/>
      <c r="P15" s="148"/>
      <c r="Q15" s="154"/>
      <c r="R15" s="64">
        <v>71</v>
      </c>
      <c r="S15" s="155"/>
      <c r="T15" s="155"/>
      <c r="U15" s="157"/>
      <c r="V15" s="148"/>
      <c r="W15" s="148"/>
      <c r="X15" s="148"/>
      <c r="Y15" s="64" t="s">
        <v>50</v>
      </c>
      <c r="Z15" s="64" t="s">
        <v>20</v>
      </c>
      <c r="AA15" s="148"/>
      <c r="AB15" s="148"/>
      <c r="AC15" s="148"/>
      <c r="AD15" s="64" t="s">
        <v>49</v>
      </c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7" x14ac:dyDescent="0.2">
      <c r="A16" s="151" t="s">
        <v>692</v>
      </c>
      <c r="B16" s="152"/>
      <c r="C16" s="153"/>
      <c r="D16" s="148" t="s">
        <v>689</v>
      </c>
      <c r="E16" s="64" t="s">
        <v>669</v>
      </c>
      <c r="F16" s="64" t="s">
        <v>668</v>
      </c>
      <c r="G16" s="64">
        <v>14</v>
      </c>
      <c r="H16" s="148">
        <v>1</v>
      </c>
      <c r="I16" s="148"/>
      <c r="J16" s="148"/>
      <c r="K16" s="154"/>
      <c r="L16" s="64" t="s">
        <v>60</v>
      </c>
      <c r="M16" s="156"/>
      <c r="N16" s="148"/>
      <c r="O16" s="148"/>
      <c r="P16" s="5">
        <v>1</v>
      </c>
      <c r="Q16" s="154"/>
      <c r="R16" s="64">
        <v>39</v>
      </c>
      <c r="S16" s="155"/>
      <c r="T16" s="155"/>
      <c r="U16" s="157"/>
      <c r="V16" s="148"/>
      <c r="W16" s="148"/>
      <c r="X16" s="148"/>
      <c r="Y16" s="64" t="s">
        <v>671</v>
      </c>
      <c r="Z16" s="64" t="s">
        <v>672</v>
      </c>
      <c r="AA16" s="148">
        <v>1</v>
      </c>
      <c r="AB16" s="148"/>
      <c r="AC16" s="148"/>
      <c r="AD16" s="64" t="s">
        <v>670</v>
      </c>
      <c r="AE16" s="20">
        <v>1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7" x14ac:dyDescent="0.2">
      <c r="A17" s="151" t="s">
        <v>693</v>
      </c>
      <c r="B17" s="152"/>
      <c r="C17" s="153">
        <v>4</v>
      </c>
      <c r="D17" s="148" t="s">
        <v>689</v>
      </c>
      <c r="E17" s="64" t="s">
        <v>674</v>
      </c>
      <c r="F17" s="64" t="s">
        <v>673</v>
      </c>
      <c r="G17" s="64">
        <v>15</v>
      </c>
      <c r="H17" s="148"/>
      <c r="I17" s="148">
        <v>1</v>
      </c>
      <c r="J17" s="148"/>
      <c r="K17" s="154"/>
      <c r="L17" s="64">
        <v>1</v>
      </c>
      <c r="M17" s="156"/>
      <c r="N17" s="148"/>
      <c r="O17" s="148"/>
      <c r="P17" s="148"/>
      <c r="Q17" s="154"/>
      <c r="R17" s="64">
        <v>46</v>
      </c>
      <c r="S17" s="155"/>
      <c r="T17" s="155"/>
      <c r="U17" s="157"/>
      <c r="V17" s="148"/>
      <c r="W17" s="148"/>
      <c r="X17" s="148"/>
      <c r="Y17" s="64" t="s">
        <v>675</v>
      </c>
      <c r="Z17" s="64" t="s">
        <v>8</v>
      </c>
      <c r="AA17" s="148">
        <v>1</v>
      </c>
      <c r="AB17" s="148">
        <v>1</v>
      </c>
      <c r="AC17" s="148"/>
      <c r="AD17" s="64" t="s">
        <v>49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7" x14ac:dyDescent="0.2">
      <c r="A18" s="151" t="s">
        <v>693</v>
      </c>
      <c r="B18" s="152"/>
      <c r="C18" s="153"/>
      <c r="D18" s="148" t="s">
        <v>689</v>
      </c>
      <c r="E18" s="64" t="s">
        <v>677</v>
      </c>
      <c r="F18" s="64" t="s">
        <v>676</v>
      </c>
      <c r="G18" s="64">
        <v>16</v>
      </c>
      <c r="H18" s="148"/>
      <c r="I18" s="148">
        <v>1</v>
      </c>
      <c r="J18" s="148"/>
      <c r="K18" s="154"/>
      <c r="L18" s="64" t="s">
        <v>26</v>
      </c>
      <c r="M18" s="156"/>
      <c r="N18" s="148"/>
      <c r="O18" s="148"/>
      <c r="P18" s="148"/>
      <c r="Q18" s="163">
        <v>1</v>
      </c>
      <c r="R18" s="64">
        <v>29</v>
      </c>
      <c r="S18" s="155"/>
      <c r="T18" s="155"/>
      <c r="U18" s="157"/>
      <c r="V18" s="148"/>
      <c r="W18" s="148"/>
      <c r="X18" s="148"/>
      <c r="Y18" s="64" t="s">
        <v>33</v>
      </c>
      <c r="Z18" s="64" t="s">
        <v>29</v>
      </c>
      <c r="AA18" s="148">
        <v>1</v>
      </c>
      <c r="AB18" s="148"/>
      <c r="AC18" s="148"/>
      <c r="AD18" s="64" t="s">
        <v>49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7" x14ac:dyDescent="0.2">
      <c r="A19" s="151" t="s">
        <v>693</v>
      </c>
      <c r="B19" s="152"/>
      <c r="C19" s="153"/>
      <c r="D19" s="148" t="s">
        <v>689</v>
      </c>
      <c r="E19" s="64" t="s">
        <v>679</v>
      </c>
      <c r="F19" s="64" t="s">
        <v>678</v>
      </c>
      <c r="G19" s="64">
        <v>17</v>
      </c>
      <c r="H19" s="148">
        <v>1</v>
      </c>
      <c r="I19" s="148"/>
      <c r="J19" s="148"/>
      <c r="K19" s="154"/>
      <c r="L19" s="64" t="s">
        <v>26</v>
      </c>
      <c r="M19" s="156"/>
      <c r="N19" s="148"/>
      <c r="O19" s="148"/>
      <c r="P19" s="148"/>
      <c r="Q19" s="163">
        <v>1</v>
      </c>
      <c r="R19" s="64">
        <v>21</v>
      </c>
      <c r="S19" s="155"/>
      <c r="T19" s="155"/>
      <c r="U19" s="157"/>
      <c r="V19" s="148"/>
      <c r="W19" s="148"/>
      <c r="X19" s="148"/>
      <c r="Y19" s="64" t="s">
        <v>344</v>
      </c>
      <c r="Z19" s="64" t="s">
        <v>29</v>
      </c>
      <c r="AA19" s="148">
        <v>1</v>
      </c>
      <c r="AB19" s="148"/>
      <c r="AC19" s="148"/>
      <c r="AD19" s="64" t="s">
        <v>471</v>
      </c>
      <c r="AE19" s="20">
        <v>1</v>
      </c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7" x14ac:dyDescent="0.2">
      <c r="A20" s="151" t="s">
        <v>693</v>
      </c>
      <c r="B20" s="152"/>
      <c r="C20" s="153"/>
      <c r="D20" s="148" t="s">
        <v>689</v>
      </c>
      <c r="E20" s="64" t="s">
        <v>680</v>
      </c>
      <c r="F20" s="64" t="s">
        <v>179</v>
      </c>
      <c r="G20" s="64">
        <v>18</v>
      </c>
      <c r="H20" s="148">
        <v>1</v>
      </c>
      <c r="I20" s="148"/>
      <c r="J20" s="148"/>
      <c r="K20" s="154"/>
      <c r="L20" s="64" t="s">
        <v>26</v>
      </c>
      <c r="M20" s="156"/>
      <c r="N20" s="148"/>
      <c r="O20" s="148"/>
      <c r="P20" s="148"/>
      <c r="Q20" s="163">
        <v>1</v>
      </c>
      <c r="R20" s="64">
        <v>19</v>
      </c>
      <c r="S20" s="155"/>
      <c r="T20" s="155"/>
      <c r="U20" s="157"/>
      <c r="V20" s="148"/>
      <c r="W20" s="148"/>
      <c r="X20" s="148"/>
      <c r="Y20" s="64" t="s">
        <v>344</v>
      </c>
      <c r="Z20" s="64" t="s">
        <v>29</v>
      </c>
      <c r="AA20" s="148">
        <v>1</v>
      </c>
      <c r="AB20" s="148"/>
      <c r="AC20" s="148"/>
      <c r="AD20" s="64" t="s">
        <v>681</v>
      </c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7.5" customHeight="1" x14ac:dyDescent="0.2">
      <c r="A21" s="151" t="s">
        <v>694</v>
      </c>
      <c r="B21" s="20"/>
      <c r="C21" s="20">
        <v>5</v>
      </c>
      <c r="D21" s="148" t="s">
        <v>689</v>
      </c>
      <c r="E21" s="64" t="s">
        <v>683</v>
      </c>
      <c r="F21" s="64" t="s">
        <v>682</v>
      </c>
      <c r="G21" s="64">
        <v>19</v>
      </c>
      <c r="H21" s="148"/>
      <c r="I21" s="20">
        <v>1</v>
      </c>
      <c r="J21" s="20"/>
      <c r="K21" s="20"/>
      <c r="L21" s="64">
        <v>1</v>
      </c>
      <c r="M21" s="20"/>
      <c r="N21" s="150"/>
      <c r="O21" s="150"/>
      <c r="P21" s="150"/>
      <c r="Q21" s="150"/>
      <c r="R21" s="64">
        <v>35</v>
      </c>
      <c r="S21" s="150"/>
      <c r="T21" s="150"/>
      <c r="U21" s="150"/>
      <c r="V21" s="20"/>
      <c r="W21" s="20"/>
      <c r="X21" s="20"/>
      <c r="Y21" s="64" t="s">
        <v>684</v>
      </c>
      <c r="Z21" s="64" t="s">
        <v>8</v>
      </c>
      <c r="AA21" s="148">
        <v>1</v>
      </c>
      <c r="AB21" s="20">
        <v>1</v>
      </c>
      <c r="AC21" s="20"/>
      <c r="AD21" s="64" t="s">
        <v>149</v>
      </c>
      <c r="AE21" s="20">
        <v>1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7.5" customHeight="1" x14ac:dyDescent="0.2">
      <c r="A22" s="151" t="s">
        <v>694</v>
      </c>
      <c r="B22" s="20"/>
      <c r="C22" s="20"/>
      <c r="D22" s="148" t="s">
        <v>689</v>
      </c>
      <c r="E22" s="64" t="s">
        <v>683</v>
      </c>
      <c r="F22" s="64" t="s">
        <v>685</v>
      </c>
      <c r="G22" s="64">
        <v>20</v>
      </c>
      <c r="H22" s="148">
        <v>1</v>
      </c>
      <c r="I22" s="20"/>
      <c r="J22" s="20"/>
      <c r="K22" s="20"/>
      <c r="L22" s="64" t="s">
        <v>18</v>
      </c>
      <c r="M22" s="20">
        <v>1</v>
      </c>
      <c r="N22" s="150"/>
      <c r="O22" s="150"/>
      <c r="P22" s="150"/>
      <c r="Q22" s="150"/>
      <c r="R22" s="64">
        <v>35</v>
      </c>
      <c r="S22" s="150"/>
      <c r="T22" s="150"/>
      <c r="U22" s="150"/>
      <c r="V22" s="20"/>
      <c r="W22" s="20"/>
      <c r="X22" s="20"/>
      <c r="Y22" s="64" t="s">
        <v>687</v>
      </c>
      <c r="Z22" s="64" t="s">
        <v>8</v>
      </c>
      <c r="AA22" s="148">
        <v>1</v>
      </c>
      <c r="AB22" s="20">
        <v>1</v>
      </c>
      <c r="AC22" s="20"/>
      <c r="AD22" s="64" t="s">
        <v>686</v>
      </c>
      <c r="AE22" s="20">
        <v>1</v>
      </c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7.5" customHeight="1" x14ac:dyDescent="0.2">
      <c r="A23" s="151"/>
      <c r="B23" s="20"/>
      <c r="C23" s="20"/>
      <c r="D23" s="148"/>
      <c r="H23" s="148"/>
      <c r="I23" s="20"/>
      <c r="J23" s="20"/>
      <c r="K23" s="20"/>
      <c r="M23" s="20"/>
      <c r="N23" s="150"/>
      <c r="O23" s="150"/>
      <c r="P23" s="150"/>
      <c r="Q23" s="150"/>
      <c r="S23" s="150"/>
      <c r="T23" s="150"/>
      <c r="U23" s="150"/>
      <c r="V23" s="20"/>
      <c r="W23" s="20"/>
      <c r="X23" s="20"/>
      <c r="AA23" s="148"/>
      <c r="AB23" s="20"/>
      <c r="AC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7" x14ac:dyDescent="0.2">
      <c r="D24" s="148" t="s">
        <v>689</v>
      </c>
      <c r="E24" s="64" t="s">
        <v>1</v>
      </c>
      <c r="F24" s="64" t="s">
        <v>0</v>
      </c>
      <c r="L24" s="64" t="s">
        <v>2</v>
      </c>
      <c r="M24" s="64" t="s">
        <v>3</v>
      </c>
      <c r="R24" s="64" t="s">
        <v>5</v>
      </c>
      <c r="Y24" s="64" t="s">
        <v>7</v>
      </c>
      <c r="Z24" s="64" t="s">
        <v>8</v>
      </c>
      <c r="AD24" s="64" t="s">
        <v>6</v>
      </c>
    </row>
    <row r="25" spans="1:52" ht="17" x14ac:dyDescent="0.2">
      <c r="A25" s="64" t="s">
        <v>3140</v>
      </c>
      <c r="B25" s="64" t="s">
        <v>3139</v>
      </c>
      <c r="D25" s="148" t="s">
        <v>689</v>
      </c>
      <c r="E25" s="64" t="s">
        <v>61</v>
      </c>
      <c r="F25" s="64" t="s">
        <v>3128</v>
      </c>
      <c r="G25" s="64">
        <v>21</v>
      </c>
      <c r="I25" s="64">
        <v>1</v>
      </c>
      <c r="L25" s="64">
        <v>1</v>
      </c>
      <c r="M25" s="64" t="s">
        <v>13</v>
      </c>
      <c r="R25" s="64">
        <v>53</v>
      </c>
      <c r="Y25" s="64" t="s">
        <v>3129</v>
      </c>
      <c r="Z25" s="64" t="s">
        <v>8</v>
      </c>
      <c r="AA25" s="64">
        <v>1</v>
      </c>
      <c r="AB25" s="64">
        <v>1</v>
      </c>
      <c r="AD25" s="64" t="s">
        <v>49</v>
      </c>
    </row>
    <row r="26" spans="1:52" ht="17" x14ac:dyDescent="0.2">
      <c r="A26" s="64" t="s">
        <v>3140</v>
      </c>
      <c r="B26" s="64" t="s">
        <v>3139</v>
      </c>
      <c r="D26" s="148" t="s">
        <v>689</v>
      </c>
      <c r="E26" s="64" t="s">
        <v>61</v>
      </c>
      <c r="F26" s="64" t="s">
        <v>1644</v>
      </c>
      <c r="G26" s="64">
        <v>22</v>
      </c>
      <c r="H26" s="64">
        <v>1</v>
      </c>
      <c r="L26" s="64" t="s">
        <v>18</v>
      </c>
      <c r="M26" s="64">
        <v>1</v>
      </c>
      <c r="R26" s="64">
        <v>60</v>
      </c>
      <c r="Y26" s="64" t="s">
        <v>50</v>
      </c>
      <c r="Z26" s="64" t="s">
        <v>20</v>
      </c>
      <c r="AD26" s="64" t="s">
        <v>1491</v>
      </c>
      <c r="AE26" s="64">
        <v>1</v>
      </c>
    </row>
    <row r="27" spans="1:52" ht="17" x14ac:dyDescent="0.2">
      <c r="A27" s="64" t="s">
        <v>3140</v>
      </c>
      <c r="B27" s="64" t="s">
        <v>3139</v>
      </c>
      <c r="D27" s="148" t="s">
        <v>689</v>
      </c>
      <c r="E27" s="64" t="s">
        <v>61</v>
      </c>
      <c r="F27" s="64" t="s">
        <v>3130</v>
      </c>
      <c r="G27" s="64">
        <v>23</v>
      </c>
      <c r="H27" s="64">
        <v>1</v>
      </c>
      <c r="L27" s="64" t="s">
        <v>22</v>
      </c>
      <c r="M27" s="64" t="s">
        <v>19</v>
      </c>
      <c r="N27" s="64">
        <v>1</v>
      </c>
      <c r="R27" s="64">
        <v>28</v>
      </c>
      <c r="Y27" s="64" t="s">
        <v>20</v>
      </c>
      <c r="Z27" s="64" t="s">
        <v>20</v>
      </c>
      <c r="AD27" s="64" t="s">
        <v>49</v>
      </c>
    </row>
    <row r="28" spans="1:52" ht="17" x14ac:dyDescent="0.2">
      <c r="A28" s="64" t="s">
        <v>3140</v>
      </c>
      <c r="B28" s="64" t="s">
        <v>3139</v>
      </c>
      <c r="D28" s="148" t="s">
        <v>689</v>
      </c>
      <c r="E28" s="64" t="s">
        <v>61</v>
      </c>
      <c r="F28" s="64" t="s">
        <v>386</v>
      </c>
      <c r="G28" s="64">
        <v>24</v>
      </c>
      <c r="I28" s="64">
        <v>1</v>
      </c>
      <c r="L28" s="64" t="s">
        <v>2943</v>
      </c>
      <c r="M28" s="64" t="s">
        <v>13</v>
      </c>
      <c r="P28" s="64">
        <v>1</v>
      </c>
      <c r="R28" s="64">
        <v>85</v>
      </c>
      <c r="Y28" s="64" t="s">
        <v>20</v>
      </c>
      <c r="Z28" s="64" t="s">
        <v>20</v>
      </c>
      <c r="AD28" s="64" t="s">
        <v>49</v>
      </c>
    </row>
    <row r="29" spans="1:52" ht="17" x14ac:dyDescent="0.2">
      <c r="A29" s="64" t="s">
        <v>3140</v>
      </c>
      <c r="B29" s="64" t="s">
        <v>3139</v>
      </c>
      <c r="D29" s="148" t="s">
        <v>689</v>
      </c>
      <c r="E29" s="64" t="s">
        <v>1943</v>
      </c>
      <c r="F29" s="64" t="s">
        <v>3131</v>
      </c>
      <c r="G29" s="64">
        <v>25</v>
      </c>
      <c r="H29" s="64">
        <v>1</v>
      </c>
      <c r="L29" s="64" t="s">
        <v>26</v>
      </c>
      <c r="M29" s="64" t="s">
        <v>19</v>
      </c>
      <c r="Q29" s="64">
        <v>1</v>
      </c>
      <c r="R29" s="64">
        <v>44</v>
      </c>
      <c r="Y29" s="64" t="s">
        <v>33</v>
      </c>
      <c r="Z29" s="64" t="s">
        <v>29</v>
      </c>
      <c r="AA29" s="64">
        <v>1</v>
      </c>
      <c r="AD29" s="64" t="s">
        <v>3132</v>
      </c>
      <c r="AE29" s="64">
        <v>1</v>
      </c>
    </row>
    <row r="30" spans="1:52" ht="17" x14ac:dyDescent="0.2">
      <c r="A30" s="64" t="s">
        <v>3140</v>
      </c>
      <c r="B30" s="64" t="s">
        <v>3139</v>
      </c>
      <c r="D30" s="148" t="s">
        <v>689</v>
      </c>
      <c r="E30" s="64" t="s">
        <v>3134</v>
      </c>
      <c r="F30" s="64" t="s">
        <v>3133</v>
      </c>
      <c r="G30" s="64">
        <v>26</v>
      </c>
      <c r="H30" s="64">
        <v>1</v>
      </c>
      <c r="L30" s="64" t="s">
        <v>26</v>
      </c>
      <c r="M30" s="64" t="s">
        <v>19</v>
      </c>
      <c r="Q30" s="64">
        <v>1</v>
      </c>
      <c r="R30" s="64">
        <v>43</v>
      </c>
      <c r="Y30" s="64" t="s">
        <v>93</v>
      </c>
      <c r="Z30" s="64" t="s">
        <v>29</v>
      </c>
      <c r="AA30" s="64">
        <v>1</v>
      </c>
      <c r="AD30" s="64" t="s">
        <v>45</v>
      </c>
      <c r="AE30" s="64">
        <v>1</v>
      </c>
    </row>
    <row r="31" spans="1:52" ht="17" x14ac:dyDescent="0.2">
      <c r="A31" s="64" t="s">
        <v>3140</v>
      </c>
      <c r="B31" s="64" t="s">
        <v>3139</v>
      </c>
      <c r="D31" s="148" t="s">
        <v>689</v>
      </c>
      <c r="E31" s="64" t="s">
        <v>3134</v>
      </c>
      <c r="F31" s="64" t="s">
        <v>3135</v>
      </c>
      <c r="G31" s="64">
        <v>27</v>
      </c>
      <c r="H31" s="64">
        <v>1</v>
      </c>
      <c r="L31" s="64" t="s">
        <v>26</v>
      </c>
      <c r="M31" s="64" t="s">
        <v>19</v>
      </c>
      <c r="Q31" s="64">
        <v>1</v>
      </c>
      <c r="R31" s="64">
        <v>32</v>
      </c>
      <c r="Y31" s="64" t="s">
        <v>28</v>
      </c>
      <c r="Z31" s="64" t="s">
        <v>29</v>
      </c>
      <c r="AA31" s="64">
        <v>1</v>
      </c>
      <c r="AD31" s="64" t="s">
        <v>45</v>
      </c>
      <c r="AE31" s="64">
        <v>1</v>
      </c>
    </row>
    <row r="32" spans="1:52" ht="17" x14ac:dyDescent="0.2">
      <c r="A32" s="64" t="s">
        <v>3140</v>
      </c>
      <c r="B32" s="64" t="s">
        <v>3139</v>
      </c>
      <c r="D32" s="148" t="s">
        <v>689</v>
      </c>
      <c r="E32" s="64" t="s">
        <v>3134</v>
      </c>
      <c r="F32" s="64" t="s">
        <v>3136</v>
      </c>
      <c r="G32" s="64">
        <v>28</v>
      </c>
      <c r="H32" s="64">
        <v>1</v>
      </c>
      <c r="L32" s="64" t="s">
        <v>26</v>
      </c>
      <c r="M32" s="64" t="s">
        <v>19</v>
      </c>
      <c r="Q32" s="64">
        <v>1</v>
      </c>
      <c r="R32" s="64">
        <v>32</v>
      </c>
      <c r="Y32" s="64" t="s">
        <v>1293</v>
      </c>
      <c r="Z32" s="64" t="s">
        <v>29</v>
      </c>
      <c r="AA32" s="64">
        <v>1</v>
      </c>
      <c r="AD32" s="64" t="s">
        <v>2094</v>
      </c>
      <c r="AE32" s="64">
        <v>1</v>
      </c>
    </row>
    <row r="33" spans="1:52" ht="17" x14ac:dyDescent="0.2">
      <c r="A33" s="64" t="s">
        <v>3140</v>
      </c>
      <c r="B33" s="64" t="s">
        <v>3139</v>
      </c>
      <c r="D33" s="148" t="s">
        <v>689</v>
      </c>
      <c r="E33" s="64" t="s">
        <v>3137</v>
      </c>
      <c r="F33" s="64" t="s">
        <v>2634</v>
      </c>
      <c r="G33" s="64">
        <v>29</v>
      </c>
      <c r="H33" s="64">
        <v>1</v>
      </c>
      <c r="L33" s="64" t="s">
        <v>26</v>
      </c>
      <c r="M33" s="64" t="s">
        <v>19</v>
      </c>
      <c r="Q33" s="64">
        <v>1</v>
      </c>
      <c r="R33" s="64">
        <v>25</v>
      </c>
      <c r="Y33" s="64" t="s">
        <v>28</v>
      </c>
      <c r="Z33" s="64" t="s">
        <v>29</v>
      </c>
      <c r="AA33" s="64">
        <v>1</v>
      </c>
      <c r="AD33" s="64" t="s">
        <v>3138</v>
      </c>
      <c r="AE33" s="64">
        <v>1</v>
      </c>
    </row>
    <row r="34" spans="1:52" ht="17.5" customHeight="1" x14ac:dyDescent="0.2">
      <c r="A34" s="151"/>
      <c r="B34" s="20"/>
      <c r="C34" s="20"/>
      <c r="D34" s="148"/>
      <c r="H34" s="148"/>
      <c r="I34" s="20"/>
      <c r="J34" s="20"/>
      <c r="K34" s="20"/>
      <c r="M34" s="20"/>
      <c r="N34" s="150"/>
      <c r="O34" s="150"/>
      <c r="P34" s="150"/>
      <c r="Q34" s="150"/>
      <c r="S34" s="150"/>
      <c r="T34" s="150"/>
      <c r="U34" s="150"/>
      <c r="V34" s="20"/>
      <c r="W34" s="20"/>
      <c r="X34" s="20"/>
      <c r="AA34" s="148"/>
      <c r="AB34" s="20"/>
      <c r="AC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s="158" customFormat="1" ht="17" customHeight="1" x14ac:dyDescent="0.2">
      <c r="A35" s="147" t="s">
        <v>252</v>
      </c>
      <c r="B35" s="147"/>
      <c r="C35" s="147">
        <v>7</v>
      </c>
      <c r="D35" s="147"/>
      <c r="E35" s="147"/>
      <c r="F35" s="147"/>
      <c r="G35" s="147">
        <v>29</v>
      </c>
      <c r="H35" s="147">
        <f>SUM(H3:H33)</f>
        <v>22</v>
      </c>
      <c r="I35" s="147">
        <f t="shared" ref="I35:AE35" si="0">SUM(I3:I33)</f>
        <v>7</v>
      </c>
      <c r="J35" s="147">
        <f t="shared" si="0"/>
        <v>0</v>
      </c>
      <c r="K35" s="147">
        <f t="shared" si="0"/>
        <v>0</v>
      </c>
      <c r="L35" s="147">
        <f t="shared" si="0"/>
        <v>7</v>
      </c>
      <c r="M35" s="147">
        <f t="shared" si="0"/>
        <v>4</v>
      </c>
      <c r="N35" s="147">
        <f t="shared" si="0"/>
        <v>1</v>
      </c>
      <c r="O35" s="147">
        <f t="shared" si="0"/>
        <v>0</v>
      </c>
      <c r="P35" s="147">
        <f t="shared" si="0"/>
        <v>4</v>
      </c>
      <c r="Q35" s="147">
        <f t="shared" si="0"/>
        <v>13</v>
      </c>
      <c r="R35" s="147">
        <f t="shared" si="0"/>
        <v>1185</v>
      </c>
      <c r="S35" s="147">
        <f t="shared" si="0"/>
        <v>0</v>
      </c>
      <c r="T35" s="147">
        <f t="shared" si="0"/>
        <v>0</v>
      </c>
      <c r="U35" s="147">
        <f t="shared" si="0"/>
        <v>0</v>
      </c>
      <c r="V35" s="147">
        <f t="shared" si="0"/>
        <v>0</v>
      </c>
      <c r="W35" s="147">
        <f t="shared" si="0"/>
        <v>0</v>
      </c>
      <c r="X35" s="147">
        <f t="shared" si="0"/>
        <v>0</v>
      </c>
      <c r="Y35" s="147">
        <f t="shared" si="0"/>
        <v>0</v>
      </c>
      <c r="Z35" s="147">
        <f t="shared" si="0"/>
        <v>0</v>
      </c>
      <c r="AA35" s="147">
        <f t="shared" si="0"/>
        <v>21</v>
      </c>
      <c r="AB35" s="147">
        <f t="shared" si="0"/>
        <v>5</v>
      </c>
      <c r="AC35" s="147">
        <f>AA35-AB35</f>
        <v>16</v>
      </c>
      <c r="AD35" s="147">
        <f>L36-AE35</f>
        <v>10</v>
      </c>
      <c r="AE35" s="147">
        <f t="shared" si="0"/>
        <v>19</v>
      </c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</row>
    <row r="36" spans="1:52" ht="17.5" customHeight="1" x14ac:dyDescent="0.2">
      <c r="A36" s="20"/>
      <c r="B36" s="20"/>
      <c r="C36" s="20"/>
      <c r="D36" s="20"/>
      <c r="E36" s="20"/>
      <c r="F36" s="20"/>
      <c r="G36" s="20"/>
      <c r="H36" s="20">
        <f>H35+I35+J35+K35</f>
        <v>29</v>
      </c>
      <c r="I36" s="20"/>
      <c r="J36" s="20"/>
      <c r="K36" s="20"/>
      <c r="L36" s="20">
        <f>L35+M35+N35+O35+P35+Q35</f>
        <v>29</v>
      </c>
      <c r="M36" s="20"/>
      <c r="N36" s="150"/>
      <c r="O36" s="150"/>
      <c r="P36" s="150"/>
      <c r="Q36" s="150"/>
      <c r="R36" s="150">
        <f>R35/L36</f>
        <v>40.862068965517238</v>
      </c>
      <c r="S36" s="150"/>
      <c r="T36" s="150"/>
      <c r="U36" s="15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17.5" customHeight="1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150"/>
      <c r="O37" s="150"/>
      <c r="P37" s="150"/>
      <c r="Q37" s="150"/>
      <c r="R37" s="150"/>
      <c r="S37" s="150"/>
      <c r="T37" s="150"/>
      <c r="U37" s="15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17.5" customHeight="1" x14ac:dyDescent="0.2">
      <c r="A38" s="159"/>
      <c r="B38" s="159"/>
      <c r="C38" s="159"/>
      <c r="D38" s="160"/>
      <c r="E38" s="159"/>
      <c r="F38" s="160"/>
      <c r="G38" s="160"/>
      <c r="H38" s="160"/>
      <c r="I38" s="160"/>
      <c r="J38" s="160"/>
      <c r="K38" s="160"/>
      <c r="L38" s="161"/>
      <c r="M38" s="160"/>
      <c r="N38" s="160"/>
      <c r="O38" s="160"/>
      <c r="P38" s="160"/>
      <c r="Q38" s="160"/>
      <c r="R38" s="161"/>
      <c r="S38" s="161"/>
      <c r="T38" s="161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40" spans="1:52" x14ac:dyDescent="0.2">
      <c r="E40" s="64" t="s">
        <v>1</v>
      </c>
      <c r="F40" s="64" t="s">
        <v>0</v>
      </c>
      <c r="L40" s="64" t="s">
        <v>2</v>
      </c>
      <c r="M40" s="64" t="s">
        <v>3</v>
      </c>
      <c r="N40" s="64" t="s">
        <v>4</v>
      </c>
      <c r="O40" s="64" t="s">
        <v>5</v>
      </c>
      <c r="P40" s="64" t="s">
        <v>6</v>
      </c>
      <c r="Q40" s="64" t="s">
        <v>7</v>
      </c>
      <c r="R40" s="64" t="s">
        <v>8</v>
      </c>
    </row>
    <row r="41" spans="1:52" x14ac:dyDescent="0.2">
      <c r="E41" s="64" t="s">
        <v>636</v>
      </c>
      <c r="F41" s="64" t="s">
        <v>635</v>
      </c>
      <c r="L41" s="64" t="s">
        <v>12</v>
      </c>
      <c r="M41" s="64" t="s">
        <v>19</v>
      </c>
      <c r="N41" s="64">
        <v>1862</v>
      </c>
      <c r="O41" s="64">
        <v>59</v>
      </c>
      <c r="P41" s="64" t="s">
        <v>134</v>
      </c>
      <c r="Q41" s="64" t="s">
        <v>20</v>
      </c>
      <c r="R41" s="64" t="s">
        <v>20</v>
      </c>
    </row>
    <row r="42" spans="1:52" x14ac:dyDescent="0.2">
      <c r="E42" s="64" t="s">
        <v>638</v>
      </c>
      <c r="F42" s="64" t="s">
        <v>637</v>
      </c>
      <c r="L42" s="64" t="s">
        <v>58</v>
      </c>
      <c r="M42" s="64" t="s">
        <v>19</v>
      </c>
      <c r="N42" s="64">
        <v>1861</v>
      </c>
      <c r="O42" s="64">
        <v>60</v>
      </c>
      <c r="P42" s="64" t="s">
        <v>134</v>
      </c>
      <c r="Q42" s="64" t="s">
        <v>20</v>
      </c>
      <c r="R42" s="64" t="s">
        <v>20</v>
      </c>
    </row>
    <row r="43" spans="1:52" x14ac:dyDescent="0.2">
      <c r="E43" s="64" t="s">
        <v>640</v>
      </c>
      <c r="F43" s="64" t="s">
        <v>639</v>
      </c>
      <c r="L43" s="64" t="s">
        <v>26</v>
      </c>
      <c r="M43" s="64" t="s">
        <v>19</v>
      </c>
      <c r="N43" s="64">
        <v>1884</v>
      </c>
      <c r="O43" s="64">
        <v>37</v>
      </c>
      <c r="P43" s="64" t="s">
        <v>65</v>
      </c>
      <c r="Q43" s="64" t="s">
        <v>33</v>
      </c>
      <c r="R43" s="64" t="s">
        <v>29</v>
      </c>
    </row>
    <row r="44" spans="1:52" x14ac:dyDescent="0.2">
      <c r="E44" s="64" t="s">
        <v>642</v>
      </c>
      <c r="F44" s="64" t="s">
        <v>641</v>
      </c>
      <c r="L44" s="64" t="s">
        <v>26</v>
      </c>
      <c r="M44" s="64" t="s">
        <v>19</v>
      </c>
      <c r="N44" s="64">
        <v>1894</v>
      </c>
      <c r="O44" s="64">
        <v>26</v>
      </c>
      <c r="P44" s="64" t="s">
        <v>643</v>
      </c>
      <c r="Q44" s="64" t="s">
        <v>28</v>
      </c>
      <c r="R44" s="64" t="s">
        <v>29</v>
      </c>
    </row>
    <row r="46" spans="1:52" x14ac:dyDescent="0.2">
      <c r="E46" s="64" t="s">
        <v>1</v>
      </c>
      <c r="F46" s="64" t="s">
        <v>0</v>
      </c>
      <c r="L46" s="64" t="s">
        <v>2</v>
      </c>
      <c r="M46" s="64" t="s">
        <v>3</v>
      </c>
      <c r="N46" s="64" t="s">
        <v>4</v>
      </c>
      <c r="O46" s="64" t="s">
        <v>5</v>
      </c>
      <c r="P46" s="64" t="s">
        <v>6</v>
      </c>
      <c r="Q46" s="64" t="s">
        <v>7</v>
      </c>
      <c r="R46" s="64" t="s">
        <v>8</v>
      </c>
    </row>
    <row r="47" spans="1:52" x14ac:dyDescent="0.2">
      <c r="E47" s="64" t="s">
        <v>645</v>
      </c>
      <c r="F47" s="64" t="s">
        <v>644</v>
      </c>
      <c r="L47" s="64" t="s">
        <v>12</v>
      </c>
      <c r="M47" s="64" t="s">
        <v>13</v>
      </c>
      <c r="N47" s="64">
        <v>1872</v>
      </c>
      <c r="O47" s="64">
        <v>49</v>
      </c>
      <c r="P47" s="64" t="s">
        <v>646</v>
      </c>
      <c r="Q47" s="64" t="s">
        <v>647</v>
      </c>
      <c r="R47" s="64" t="s">
        <v>8</v>
      </c>
    </row>
    <row r="48" spans="1:52" x14ac:dyDescent="0.2">
      <c r="E48" s="64" t="s">
        <v>645</v>
      </c>
      <c r="F48" s="64" t="s">
        <v>648</v>
      </c>
      <c r="L48" s="64" t="s">
        <v>18</v>
      </c>
      <c r="M48" s="64" t="s">
        <v>19</v>
      </c>
      <c r="N48" s="64">
        <v>1880</v>
      </c>
      <c r="O48" s="64">
        <v>40</v>
      </c>
      <c r="P48" s="64" t="s">
        <v>14</v>
      </c>
      <c r="Q48" s="64" t="s">
        <v>20</v>
      </c>
      <c r="R48" s="64" t="s">
        <v>20</v>
      </c>
    </row>
    <row r="49" spans="5:18" x14ac:dyDescent="0.2">
      <c r="E49" s="64" t="s">
        <v>650</v>
      </c>
      <c r="F49" s="64" t="s">
        <v>649</v>
      </c>
      <c r="L49" s="64" t="s">
        <v>58</v>
      </c>
      <c r="M49" s="64" t="s">
        <v>13</v>
      </c>
      <c r="N49" s="64">
        <v>1877</v>
      </c>
      <c r="O49" s="64">
        <v>44</v>
      </c>
      <c r="P49" s="64" t="s">
        <v>212</v>
      </c>
      <c r="Q49" s="64" t="s">
        <v>651</v>
      </c>
      <c r="R49" s="64" t="s">
        <v>652</v>
      </c>
    </row>
    <row r="50" spans="5:18" x14ac:dyDescent="0.2">
      <c r="E50" s="64" t="s">
        <v>654</v>
      </c>
      <c r="F50" s="64" t="s">
        <v>653</v>
      </c>
      <c r="L50" s="64" t="s">
        <v>26</v>
      </c>
      <c r="M50" s="64" t="s">
        <v>19</v>
      </c>
      <c r="N50" s="64">
        <v>1904</v>
      </c>
      <c r="O50" s="64">
        <v>16</v>
      </c>
      <c r="P50" s="64" t="s">
        <v>432</v>
      </c>
      <c r="Q50" s="64" t="s">
        <v>56</v>
      </c>
      <c r="R50" s="64" t="s">
        <v>29</v>
      </c>
    </row>
    <row r="51" spans="5:18" x14ac:dyDescent="0.2">
      <c r="E51" s="64" t="s">
        <v>656</v>
      </c>
      <c r="F51" s="64" t="s">
        <v>655</v>
      </c>
      <c r="L51" s="64" t="s">
        <v>33</v>
      </c>
      <c r="M51" s="64" t="s">
        <v>19</v>
      </c>
      <c r="N51" s="64">
        <v>1856</v>
      </c>
      <c r="O51" s="64">
        <v>64</v>
      </c>
      <c r="P51" s="64" t="s">
        <v>657</v>
      </c>
      <c r="Q51" s="64" t="s">
        <v>56</v>
      </c>
      <c r="R51" s="64" t="s">
        <v>29</v>
      </c>
    </row>
    <row r="52" spans="5:18" x14ac:dyDescent="0.2">
      <c r="E52" s="64" t="s">
        <v>659</v>
      </c>
      <c r="F52" s="64" t="s">
        <v>658</v>
      </c>
      <c r="L52" s="64" t="s">
        <v>26</v>
      </c>
      <c r="M52" s="64" t="s">
        <v>19</v>
      </c>
      <c r="N52" s="64">
        <v>1882</v>
      </c>
      <c r="O52" s="64">
        <v>38</v>
      </c>
      <c r="P52" s="64" t="s">
        <v>660</v>
      </c>
      <c r="Q52" s="64" t="s">
        <v>56</v>
      </c>
      <c r="R52" s="64" t="s">
        <v>29</v>
      </c>
    </row>
    <row r="54" spans="5:18" x14ac:dyDescent="0.2">
      <c r="E54" s="64" t="s">
        <v>1</v>
      </c>
      <c r="F54" s="64" t="s">
        <v>0</v>
      </c>
      <c r="L54" s="64" t="s">
        <v>2</v>
      </c>
      <c r="M54" s="64" t="s">
        <v>3</v>
      </c>
      <c r="N54" s="64" t="s">
        <v>4</v>
      </c>
      <c r="O54" s="64" t="s">
        <v>5</v>
      </c>
      <c r="P54" s="64" t="s">
        <v>6</v>
      </c>
      <c r="Q54" s="64" t="s">
        <v>7</v>
      </c>
      <c r="R54" s="64" t="s">
        <v>8</v>
      </c>
    </row>
    <row r="55" spans="5:18" x14ac:dyDescent="0.2">
      <c r="E55" s="64" t="s">
        <v>662</v>
      </c>
      <c r="F55" s="64" t="s">
        <v>661</v>
      </c>
      <c r="L55" s="64" t="s">
        <v>12</v>
      </c>
      <c r="M55" s="64" t="s">
        <v>13</v>
      </c>
      <c r="N55" s="64">
        <v>1896</v>
      </c>
      <c r="O55" s="64">
        <v>24</v>
      </c>
      <c r="P55" s="64" t="s">
        <v>49</v>
      </c>
      <c r="Q55" s="64" t="s">
        <v>663</v>
      </c>
      <c r="R55" s="64" t="s">
        <v>664</v>
      </c>
    </row>
    <row r="56" spans="5:18" x14ac:dyDescent="0.2">
      <c r="E56" s="64" t="s">
        <v>662</v>
      </c>
      <c r="F56" s="64" t="s">
        <v>665</v>
      </c>
      <c r="L56" s="64" t="s">
        <v>18</v>
      </c>
      <c r="M56" s="64" t="s">
        <v>19</v>
      </c>
      <c r="N56" s="64">
        <v>1890</v>
      </c>
      <c r="O56" s="64">
        <v>31</v>
      </c>
      <c r="P56" s="64" t="s">
        <v>666</v>
      </c>
      <c r="Q56" s="64" t="s">
        <v>50</v>
      </c>
      <c r="R56" s="64" t="s">
        <v>20</v>
      </c>
    </row>
    <row r="58" spans="5:18" x14ac:dyDescent="0.2">
      <c r="E58" s="64" t="s">
        <v>1</v>
      </c>
      <c r="F58" s="64" t="s">
        <v>0</v>
      </c>
      <c r="L58" s="64" t="s">
        <v>2</v>
      </c>
      <c r="M58" s="64" t="s">
        <v>3</v>
      </c>
      <c r="N58" s="64" t="s">
        <v>4</v>
      </c>
      <c r="O58" s="64" t="s">
        <v>5</v>
      </c>
      <c r="P58" s="64" t="s">
        <v>6</v>
      </c>
      <c r="Q58" s="64" t="s">
        <v>7</v>
      </c>
      <c r="R58" s="64" t="s">
        <v>8</v>
      </c>
    </row>
    <row r="59" spans="5:18" x14ac:dyDescent="0.2">
      <c r="E59" s="64" t="s">
        <v>667</v>
      </c>
      <c r="F59" s="64" t="s">
        <v>24</v>
      </c>
      <c r="L59" s="64" t="s">
        <v>12</v>
      </c>
      <c r="M59" s="64" t="s">
        <v>19</v>
      </c>
      <c r="N59" s="64">
        <v>1850</v>
      </c>
      <c r="O59" s="64">
        <v>71</v>
      </c>
      <c r="P59" s="64" t="s">
        <v>49</v>
      </c>
      <c r="Q59" s="64" t="s">
        <v>50</v>
      </c>
      <c r="R59" s="64" t="s">
        <v>20</v>
      </c>
    </row>
    <row r="60" spans="5:18" x14ac:dyDescent="0.2">
      <c r="E60" s="64" t="s">
        <v>669</v>
      </c>
      <c r="F60" s="64" t="s">
        <v>668</v>
      </c>
      <c r="L60" s="64" t="s">
        <v>60</v>
      </c>
      <c r="M60" s="64" t="s">
        <v>19</v>
      </c>
      <c r="N60" s="64">
        <v>1881</v>
      </c>
      <c r="O60" s="64">
        <v>39</v>
      </c>
      <c r="P60" s="64" t="s">
        <v>670</v>
      </c>
      <c r="Q60" s="64" t="s">
        <v>671</v>
      </c>
      <c r="R60" s="64" t="s">
        <v>672</v>
      </c>
    </row>
    <row r="62" spans="5:18" x14ac:dyDescent="0.2">
      <c r="E62" s="64" t="s">
        <v>1</v>
      </c>
      <c r="F62" s="64" t="s">
        <v>0</v>
      </c>
      <c r="L62" s="64" t="s">
        <v>2</v>
      </c>
      <c r="M62" s="64" t="s">
        <v>3</v>
      </c>
      <c r="N62" s="64" t="s">
        <v>4</v>
      </c>
      <c r="O62" s="64" t="s">
        <v>5</v>
      </c>
      <c r="P62" s="64" t="s">
        <v>6</v>
      </c>
      <c r="Q62" s="64" t="s">
        <v>7</v>
      </c>
      <c r="R62" s="64" t="s">
        <v>8</v>
      </c>
    </row>
    <row r="63" spans="5:18" x14ac:dyDescent="0.2">
      <c r="E63" s="64" t="s">
        <v>674</v>
      </c>
      <c r="F63" s="64" t="s">
        <v>673</v>
      </c>
      <c r="L63" s="64" t="s">
        <v>12</v>
      </c>
      <c r="M63" s="64" t="s">
        <v>13</v>
      </c>
      <c r="N63" s="64">
        <v>1874</v>
      </c>
      <c r="O63" s="64">
        <v>46</v>
      </c>
      <c r="P63" s="64" t="s">
        <v>49</v>
      </c>
      <c r="Q63" s="64" t="s">
        <v>675</v>
      </c>
      <c r="R63" s="64" t="s">
        <v>8</v>
      </c>
    </row>
    <row r="64" spans="5:18" x14ac:dyDescent="0.2">
      <c r="E64" s="64" t="s">
        <v>677</v>
      </c>
      <c r="F64" s="64" t="s">
        <v>676</v>
      </c>
      <c r="L64" s="64" t="s">
        <v>26</v>
      </c>
      <c r="M64" s="64" t="s">
        <v>13</v>
      </c>
      <c r="N64" s="64">
        <v>1892</v>
      </c>
      <c r="O64" s="64">
        <v>29</v>
      </c>
      <c r="P64" s="64" t="s">
        <v>49</v>
      </c>
      <c r="Q64" s="64" t="s">
        <v>33</v>
      </c>
      <c r="R64" s="64" t="s">
        <v>29</v>
      </c>
    </row>
    <row r="65" spans="1:18" x14ac:dyDescent="0.2">
      <c r="E65" s="64" t="s">
        <v>679</v>
      </c>
      <c r="F65" s="64" t="s">
        <v>678</v>
      </c>
      <c r="L65" s="64" t="s">
        <v>26</v>
      </c>
      <c r="M65" s="64" t="s">
        <v>19</v>
      </c>
      <c r="N65" s="64">
        <v>1899</v>
      </c>
      <c r="O65" s="64">
        <v>21</v>
      </c>
      <c r="P65" s="64" t="s">
        <v>471</v>
      </c>
      <c r="Q65" s="64" t="s">
        <v>344</v>
      </c>
      <c r="R65" s="64" t="s">
        <v>29</v>
      </c>
    </row>
    <row r="66" spans="1:18" x14ac:dyDescent="0.2">
      <c r="E66" s="64" t="s">
        <v>680</v>
      </c>
      <c r="F66" s="64" t="s">
        <v>179</v>
      </c>
      <c r="L66" s="64" t="s">
        <v>26</v>
      </c>
      <c r="M66" s="64" t="s">
        <v>19</v>
      </c>
      <c r="N66" s="64">
        <v>1902</v>
      </c>
      <c r="O66" s="64">
        <v>19</v>
      </c>
      <c r="P66" s="64" t="s">
        <v>681</v>
      </c>
      <c r="Q66" s="64" t="s">
        <v>344</v>
      </c>
      <c r="R66" s="64" t="s">
        <v>29</v>
      </c>
    </row>
    <row r="68" spans="1:18" x14ac:dyDescent="0.2">
      <c r="E68" s="64" t="s">
        <v>1</v>
      </c>
      <c r="F68" s="64" t="s">
        <v>0</v>
      </c>
      <c r="L68" s="64" t="s">
        <v>2</v>
      </c>
      <c r="M68" s="64" t="s">
        <v>3</v>
      </c>
      <c r="N68" s="64" t="s">
        <v>4</v>
      </c>
      <c r="O68" s="64" t="s">
        <v>5</v>
      </c>
      <c r="P68" s="64" t="s">
        <v>6</v>
      </c>
      <c r="Q68" s="64" t="s">
        <v>7</v>
      </c>
      <c r="R68" s="64" t="s">
        <v>8</v>
      </c>
    </row>
    <row r="69" spans="1:18" x14ac:dyDescent="0.2">
      <c r="E69" s="64" t="s">
        <v>683</v>
      </c>
      <c r="F69" s="64" t="s">
        <v>682</v>
      </c>
      <c r="L69" s="64" t="s">
        <v>12</v>
      </c>
      <c r="M69" s="64" t="s">
        <v>13</v>
      </c>
      <c r="N69" s="64">
        <v>1885</v>
      </c>
      <c r="O69" s="64">
        <v>35</v>
      </c>
      <c r="P69" s="64" t="s">
        <v>149</v>
      </c>
      <c r="Q69" s="64" t="s">
        <v>684</v>
      </c>
      <c r="R69" s="64" t="s">
        <v>8</v>
      </c>
    </row>
    <row r="70" spans="1:18" x14ac:dyDescent="0.2">
      <c r="E70" s="64" t="s">
        <v>683</v>
      </c>
      <c r="F70" s="64" t="s">
        <v>685</v>
      </c>
      <c r="L70" s="64" t="s">
        <v>18</v>
      </c>
      <c r="M70" s="64" t="s">
        <v>19</v>
      </c>
      <c r="N70" s="64">
        <v>1886</v>
      </c>
      <c r="O70" s="64">
        <v>35</v>
      </c>
      <c r="P70" s="64" t="s">
        <v>686</v>
      </c>
      <c r="Q70" s="64" t="s">
        <v>687</v>
      </c>
      <c r="R70" s="64" t="s">
        <v>8</v>
      </c>
    </row>
    <row r="73" spans="1:18" x14ac:dyDescent="0.2">
      <c r="E73" s="64" t="s">
        <v>0</v>
      </c>
      <c r="F73" s="64" t="s">
        <v>1</v>
      </c>
      <c r="G73" s="64" t="s">
        <v>2</v>
      </c>
      <c r="H73" s="64" t="s">
        <v>3</v>
      </c>
      <c r="I73" s="64" t="s">
        <v>4</v>
      </c>
      <c r="J73" s="64" t="s">
        <v>5</v>
      </c>
      <c r="K73" s="64" t="s">
        <v>6</v>
      </c>
      <c r="L73" s="64" t="s">
        <v>7</v>
      </c>
      <c r="M73" s="64" t="s">
        <v>8</v>
      </c>
    </row>
    <row r="74" spans="1:18" x14ac:dyDescent="0.2">
      <c r="A74" s="286"/>
      <c r="B74" s="286"/>
      <c r="C74" s="286"/>
      <c r="D74" s="286" t="s">
        <v>3139</v>
      </c>
      <c r="E74" s="64" t="s">
        <v>3128</v>
      </c>
      <c r="F74" s="64" t="s">
        <v>61</v>
      </c>
      <c r="G74" s="64" t="s">
        <v>12</v>
      </c>
      <c r="H74" s="64" t="s">
        <v>13</v>
      </c>
      <c r="I74" s="64">
        <v>1868</v>
      </c>
      <c r="J74" s="64">
        <v>53</v>
      </c>
      <c r="K74" s="64" t="s">
        <v>49</v>
      </c>
      <c r="L74" s="64" t="s">
        <v>3129</v>
      </c>
      <c r="M74" s="64" t="s">
        <v>8</v>
      </c>
    </row>
    <row r="75" spans="1:18" x14ac:dyDescent="0.2">
      <c r="A75" s="286"/>
      <c r="B75" s="286"/>
      <c r="C75" s="286"/>
      <c r="D75" s="286"/>
      <c r="E75" s="64" t="s">
        <v>1644</v>
      </c>
      <c r="F75" s="64" t="s">
        <v>61</v>
      </c>
      <c r="G75" s="64" t="s">
        <v>18</v>
      </c>
      <c r="H75" s="64" t="s">
        <v>19</v>
      </c>
      <c r="I75" s="64">
        <v>1861</v>
      </c>
      <c r="J75" s="64">
        <v>60</v>
      </c>
      <c r="K75" s="64" t="s">
        <v>1491</v>
      </c>
      <c r="L75" s="64" t="s">
        <v>50</v>
      </c>
      <c r="M75" s="64" t="s">
        <v>20</v>
      </c>
    </row>
    <row r="76" spans="1:18" x14ac:dyDescent="0.2">
      <c r="A76" s="286"/>
      <c r="B76" s="286"/>
      <c r="C76" s="286"/>
      <c r="D76" s="286"/>
      <c r="E76" s="64" t="s">
        <v>3130</v>
      </c>
      <c r="F76" s="64" t="s">
        <v>61</v>
      </c>
      <c r="G76" s="64" t="s">
        <v>22</v>
      </c>
      <c r="H76" s="64" t="s">
        <v>19</v>
      </c>
      <c r="I76" s="64">
        <v>1892</v>
      </c>
      <c r="J76" s="64">
        <v>28</v>
      </c>
      <c r="K76" s="64" t="s">
        <v>49</v>
      </c>
      <c r="L76" s="64" t="s">
        <v>20</v>
      </c>
      <c r="M76" s="64" t="s">
        <v>20</v>
      </c>
    </row>
    <row r="77" spans="1:18" x14ac:dyDescent="0.2">
      <c r="A77" s="286"/>
      <c r="B77" s="286"/>
      <c r="C77" s="286"/>
      <c r="D77" s="286"/>
      <c r="E77" s="64" t="s">
        <v>386</v>
      </c>
      <c r="F77" s="64" t="s">
        <v>61</v>
      </c>
      <c r="G77" s="64" t="s">
        <v>2943</v>
      </c>
      <c r="H77" s="64" t="s">
        <v>13</v>
      </c>
      <c r="I77" s="64">
        <v>1835</v>
      </c>
      <c r="J77" s="64">
        <v>85</v>
      </c>
      <c r="K77" s="64" t="s">
        <v>49</v>
      </c>
      <c r="L77" s="64" t="s">
        <v>20</v>
      </c>
      <c r="M77" s="64" t="s">
        <v>20</v>
      </c>
    </row>
    <row r="78" spans="1:18" x14ac:dyDescent="0.2">
      <c r="A78" s="286"/>
      <c r="B78" s="286"/>
      <c r="C78" s="286"/>
      <c r="D78" s="286"/>
      <c r="E78" s="64" t="s">
        <v>3131</v>
      </c>
      <c r="F78" s="64" t="s">
        <v>1943</v>
      </c>
      <c r="G78" s="64" t="s">
        <v>26</v>
      </c>
      <c r="H78" s="64" t="s">
        <v>19</v>
      </c>
      <c r="I78" s="64">
        <v>1877</v>
      </c>
      <c r="J78" s="64">
        <v>44</v>
      </c>
      <c r="K78" s="64" t="s">
        <v>3132</v>
      </c>
      <c r="L78" s="64" t="s">
        <v>33</v>
      </c>
      <c r="M78" s="64" t="s">
        <v>29</v>
      </c>
    </row>
    <row r="79" spans="1:18" x14ac:dyDescent="0.2">
      <c r="A79" s="286"/>
      <c r="B79" s="286"/>
      <c r="C79" s="286"/>
      <c r="D79" s="286"/>
      <c r="E79" s="64" t="s">
        <v>3133</v>
      </c>
      <c r="F79" s="64" t="s">
        <v>3134</v>
      </c>
      <c r="G79" s="64" t="s">
        <v>26</v>
      </c>
      <c r="H79" s="64" t="s">
        <v>19</v>
      </c>
      <c r="I79" s="64">
        <v>1878</v>
      </c>
      <c r="J79" s="64">
        <v>43</v>
      </c>
      <c r="K79" s="64" t="s">
        <v>45</v>
      </c>
      <c r="L79" s="64" t="s">
        <v>93</v>
      </c>
      <c r="M79" s="64" t="s">
        <v>29</v>
      </c>
    </row>
    <row r="80" spans="1:18" x14ac:dyDescent="0.2">
      <c r="A80" s="286"/>
      <c r="B80" s="286"/>
      <c r="C80" s="286"/>
      <c r="D80" s="286"/>
      <c r="E80" s="64" t="s">
        <v>3135</v>
      </c>
      <c r="F80" s="64" t="s">
        <v>3134</v>
      </c>
      <c r="G80" s="64" t="s">
        <v>26</v>
      </c>
      <c r="H80" s="64" t="s">
        <v>19</v>
      </c>
      <c r="I80" s="64">
        <v>1888</v>
      </c>
      <c r="J80" s="64">
        <v>32</v>
      </c>
      <c r="K80" s="64" t="s">
        <v>45</v>
      </c>
      <c r="L80" s="64" t="s">
        <v>28</v>
      </c>
      <c r="M80" s="64" t="s">
        <v>29</v>
      </c>
    </row>
    <row r="81" spans="1:13" x14ac:dyDescent="0.2">
      <c r="A81" s="286"/>
      <c r="B81" s="286"/>
      <c r="C81" s="286"/>
      <c r="D81" s="286"/>
      <c r="E81" s="64" t="s">
        <v>3136</v>
      </c>
      <c r="F81" s="64" t="s">
        <v>3134</v>
      </c>
      <c r="G81" s="64" t="s">
        <v>26</v>
      </c>
      <c r="H81" s="64" t="s">
        <v>19</v>
      </c>
      <c r="I81" s="64">
        <v>1888</v>
      </c>
      <c r="J81" s="64">
        <v>32</v>
      </c>
      <c r="K81" s="64" t="s">
        <v>2094</v>
      </c>
      <c r="L81" s="64" t="s">
        <v>1293</v>
      </c>
      <c r="M81" s="64" t="s">
        <v>29</v>
      </c>
    </row>
    <row r="82" spans="1:13" x14ac:dyDescent="0.2">
      <c r="A82" s="286"/>
      <c r="B82" s="286"/>
      <c r="C82" s="286"/>
      <c r="D82" s="286"/>
      <c r="E82" s="64" t="s">
        <v>2634</v>
      </c>
      <c r="F82" s="64" t="s">
        <v>3137</v>
      </c>
      <c r="G82" s="64" t="s">
        <v>26</v>
      </c>
      <c r="H82" s="64" t="s">
        <v>19</v>
      </c>
      <c r="I82" s="64">
        <v>1896</v>
      </c>
      <c r="J82" s="64">
        <v>25</v>
      </c>
      <c r="K82" s="64" t="s">
        <v>3138</v>
      </c>
      <c r="L82" s="64" t="s">
        <v>28</v>
      </c>
      <c r="M82" s="64" t="s">
        <v>29</v>
      </c>
    </row>
  </sheetData>
  <phoneticPr fontId="15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8823-0075-2544-8714-69DEFCFB029A}">
  <dimension ref="A1:BC38"/>
  <sheetViews>
    <sheetView topLeftCell="AA1" workbookViewId="0">
      <selection activeCell="AL15" sqref="AL15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9.83203125" customWidth="1"/>
    <col min="11" max="11" width="8.5" customWidth="1"/>
    <col min="12" max="12" width="7.83203125" customWidth="1"/>
    <col min="13" max="13" width="10" customWidth="1"/>
    <col min="14" max="14" width="8.66406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30" width="16.5" customWidth="1"/>
    <col min="31" max="31" width="14.6640625" customWidth="1"/>
    <col min="33" max="33" width="11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51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/>
      <c r="B3" s="9"/>
      <c r="C3" s="7"/>
      <c r="D3" s="7"/>
      <c r="E3" s="7"/>
      <c r="F3" s="5"/>
      <c r="G3" s="5"/>
      <c r="H3" s="5"/>
      <c r="J3" s="10"/>
      <c r="N3" s="5"/>
      <c r="P3" s="5"/>
      <c r="T3" s="5"/>
      <c r="X3" s="5"/>
      <c r="Y3" s="5"/>
      <c r="Z3" s="5"/>
      <c r="AA3" s="5"/>
      <c r="AB3" s="5"/>
      <c r="AC3" s="5"/>
      <c r="AD3" s="5"/>
      <c r="AE3" s="7"/>
      <c r="AF3" s="7"/>
      <c r="AG3" s="5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7.5" customHeight="1" x14ac:dyDescent="0.2">
      <c r="A4" s="9"/>
      <c r="B4" s="9"/>
      <c r="C4" s="7"/>
      <c r="D4" s="7"/>
      <c r="E4" s="7"/>
      <c r="F4" s="7"/>
      <c r="G4" s="7"/>
      <c r="H4" s="7"/>
      <c r="J4" s="7"/>
      <c r="N4" s="7"/>
      <c r="P4" s="7"/>
      <c r="T4" s="6"/>
      <c r="X4" s="7"/>
      <c r="Y4" s="7"/>
      <c r="Z4" s="7"/>
      <c r="AA4" s="6"/>
      <c r="AB4" s="6"/>
      <c r="AC4" s="7"/>
      <c r="AD4" s="7"/>
      <c r="AE4" s="7"/>
      <c r="AF4" s="7"/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7.5" customHeight="1" x14ac:dyDescent="0.2">
      <c r="A5" s="9"/>
      <c r="B5" s="9"/>
      <c r="C5" s="7"/>
      <c r="D5" s="7"/>
      <c r="E5" s="7"/>
      <c r="F5" s="7"/>
      <c r="G5" s="7"/>
      <c r="H5" s="7"/>
      <c r="J5" s="7"/>
      <c r="N5" s="7"/>
      <c r="P5" s="7"/>
      <c r="T5" s="6"/>
      <c r="X5" s="7"/>
      <c r="Y5" s="7"/>
      <c r="Z5" s="7"/>
      <c r="AA5" s="6"/>
      <c r="AB5" s="6"/>
      <c r="AC5" s="7"/>
      <c r="AD5" s="7"/>
      <c r="AE5" s="7"/>
      <c r="AF5" s="7"/>
      <c r="AG5" s="6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7.5" customHeight="1" x14ac:dyDescent="0.2">
      <c r="A6" s="9"/>
      <c r="B6" s="9"/>
      <c r="C6" s="7"/>
      <c r="D6" s="7"/>
      <c r="E6" s="7"/>
      <c r="F6" s="7"/>
      <c r="G6" s="7"/>
      <c r="H6" s="7"/>
      <c r="J6" s="7"/>
      <c r="N6" s="7"/>
      <c r="P6" s="7"/>
      <c r="T6" s="6"/>
      <c r="X6" s="7"/>
      <c r="Y6" s="7"/>
      <c r="Z6" s="7"/>
      <c r="AA6" s="6"/>
      <c r="AB6" s="6"/>
      <c r="AC6" s="7"/>
      <c r="AD6" s="7"/>
      <c r="AE6" s="7"/>
      <c r="AF6" s="7"/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7.5" customHeight="1" x14ac:dyDescent="0.2">
      <c r="A7" s="9"/>
      <c r="B7" s="9"/>
      <c r="C7" s="7"/>
      <c r="D7" s="7"/>
      <c r="E7" s="7"/>
      <c r="F7" s="7"/>
      <c r="G7" s="7"/>
      <c r="H7" s="7"/>
      <c r="J7" s="7"/>
      <c r="N7" s="7"/>
      <c r="P7" s="7"/>
      <c r="T7" s="6"/>
      <c r="X7" s="7"/>
      <c r="Y7" s="7"/>
      <c r="Z7" s="7"/>
      <c r="AA7" s="6"/>
      <c r="AB7" s="6"/>
      <c r="AC7" s="7"/>
      <c r="AD7" s="7"/>
      <c r="AE7" s="7"/>
      <c r="AF7" s="7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7.5" customHeight="1" x14ac:dyDescent="0.2">
      <c r="A8" s="9"/>
      <c r="B8" s="9"/>
      <c r="C8" s="7"/>
      <c r="D8" s="7"/>
      <c r="E8" s="7"/>
      <c r="F8" s="7"/>
      <c r="G8" s="7"/>
      <c r="H8" s="7"/>
      <c r="J8" s="7"/>
      <c r="N8" s="7"/>
      <c r="P8" s="7"/>
      <c r="T8" s="6"/>
      <c r="X8" s="7"/>
      <c r="Y8" s="7"/>
      <c r="Z8" s="7"/>
      <c r="AA8" s="6"/>
      <c r="AB8" s="6"/>
      <c r="AC8" s="7"/>
      <c r="AD8" s="7"/>
      <c r="AE8" s="7"/>
      <c r="AF8" s="7"/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7.5" customHeight="1" x14ac:dyDescent="0.2">
      <c r="A9" s="9"/>
      <c r="B9" s="9"/>
      <c r="C9" s="7"/>
      <c r="D9" s="7"/>
      <c r="E9" s="7"/>
      <c r="F9" s="7"/>
      <c r="G9" s="7"/>
      <c r="H9" s="7"/>
      <c r="J9" s="7"/>
      <c r="N9" s="7"/>
      <c r="P9" s="7"/>
      <c r="T9" s="6"/>
      <c r="X9" s="7"/>
      <c r="Y9" s="7"/>
      <c r="Z9" s="7"/>
      <c r="AA9" s="6"/>
      <c r="AB9" s="6"/>
      <c r="AC9" s="7"/>
      <c r="AD9" s="7"/>
      <c r="AE9" s="7"/>
      <c r="AF9" s="7"/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7.5" customHeight="1" x14ac:dyDescent="0.2">
      <c r="A10" s="9"/>
      <c r="B10" s="9"/>
      <c r="C10" s="7"/>
      <c r="D10" s="7"/>
      <c r="E10" s="7"/>
      <c r="F10" s="7"/>
      <c r="G10" s="7"/>
      <c r="H10" s="7"/>
      <c r="J10" s="7"/>
      <c r="N10" s="7"/>
      <c r="P10" s="7"/>
      <c r="T10" s="6"/>
      <c r="X10" s="7"/>
      <c r="Y10" s="7"/>
      <c r="Z10" s="7"/>
      <c r="AA10" s="6"/>
      <c r="AB10" s="6"/>
      <c r="AC10" s="7"/>
      <c r="AD10" s="7"/>
      <c r="AE10" s="7"/>
      <c r="AF10" s="7"/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7.5" customHeight="1" x14ac:dyDescent="0.2">
      <c r="A11" s="9"/>
      <c r="B11" s="9"/>
      <c r="C11" s="7"/>
      <c r="D11" s="7"/>
      <c r="E11" s="7"/>
      <c r="F11" s="7"/>
      <c r="G11" s="7"/>
      <c r="H11" s="7"/>
      <c r="J11" s="7"/>
      <c r="N11" s="7"/>
      <c r="P11" s="7"/>
      <c r="T11" s="6"/>
      <c r="X11" s="7"/>
      <c r="Y11" s="7"/>
      <c r="Z11" s="7"/>
      <c r="AA11" s="6"/>
      <c r="AB11" s="6"/>
      <c r="AC11" s="7"/>
      <c r="AD11" s="7"/>
      <c r="AE11" s="7"/>
      <c r="AF11" s="7"/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7" customHeight="1" x14ac:dyDescent="0.2">
      <c r="A12" s="9"/>
      <c r="B12" s="9"/>
      <c r="C12" s="7"/>
      <c r="D12" s="7"/>
      <c r="E12" s="7"/>
      <c r="F12" s="7"/>
      <c r="G12" s="7"/>
      <c r="H12" s="7"/>
      <c r="J12" s="7"/>
      <c r="N12" s="7"/>
      <c r="P12" s="7"/>
      <c r="T12" s="7"/>
      <c r="X12" s="7">
        <f>SUM(X3:X11)</f>
        <v>0</v>
      </c>
      <c r="Y12" s="7">
        <f>SUM(Y3:Y11)</f>
        <v>0</v>
      </c>
      <c r="Z12" s="7">
        <f>SUM(Z3:Z11)</f>
        <v>0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7.5" customHeight="1" x14ac:dyDescent="0.2">
      <c r="A13" s="9"/>
      <c r="B13" s="9"/>
      <c r="C13" s="7"/>
      <c r="D13" s="7"/>
      <c r="E13" s="7"/>
      <c r="F13" s="7"/>
      <c r="G13" s="7"/>
      <c r="H13" s="7"/>
      <c r="J13" s="7"/>
      <c r="N13" s="7"/>
      <c r="P13" s="7"/>
      <c r="T13" s="6"/>
      <c r="X13" s="7"/>
      <c r="Y13" s="7"/>
      <c r="Z13" s="7"/>
      <c r="AA13" s="6"/>
      <c r="AB13" s="6"/>
      <c r="AC13" s="7"/>
      <c r="AD13" s="7"/>
      <c r="AE13" s="7"/>
      <c r="AF13" s="7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7.5" customHeight="1" x14ac:dyDescent="0.2">
      <c r="A14" s="9"/>
      <c r="B14" s="9"/>
      <c r="C14" s="7"/>
      <c r="D14" s="7"/>
      <c r="E14" s="7"/>
      <c r="F14" s="7"/>
      <c r="G14" s="7"/>
      <c r="H14" s="7"/>
      <c r="J14" s="7"/>
      <c r="N14" s="7"/>
      <c r="P14" s="7"/>
      <c r="T14" s="6"/>
      <c r="X14" s="7"/>
      <c r="Y14" s="7"/>
      <c r="Z14" s="7"/>
      <c r="AA14" s="6"/>
      <c r="AB14" s="6"/>
      <c r="AC14" s="7"/>
      <c r="AD14" s="7"/>
      <c r="AE14" s="7"/>
      <c r="AF14" s="7"/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7.5" customHeight="1" x14ac:dyDescent="0.2">
      <c r="A15" s="9"/>
      <c r="B15" s="9"/>
      <c r="C15" s="7"/>
      <c r="D15" s="7"/>
      <c r="E15" s="11"/>
      <c r="F15" s="12"/>
      <c r="G15" s="12"/>
      <c r="H15" s="12"/>
      <c r="J15" s="13"/>
      <c r="N15" s="12"/>
      <c r="P15" s="12"/>
      <c r="T15" s="12"/>
      <c r="X15" s="12"/>
      <c r="Y15" s="12"/>
      <c r="Z15" s="12"/>
      <c r="AA15" s="12"/>
      <c r="AB15" s="12"/>
      <c r="AC15" s="12"/>
      <c r="AD15" s="12"/>
      <c r="AE15" s="7"/>
      <c r="AF15" s="7"/>
      <c r="AG15" s="12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28" customHeight="1" x14ac:dyDescent="0.2">
      <c r="A16" s="9"/>
      <c r="B16" s="9"/>
      <c r="C16" s="7"/>
      <c r="D16" s="7"/>
      <c r="E16" s="11"/>
      <c r="F16" s="12"/>
      <c r="G16" s="12"/>
      <c r="H16" s="12"/>
      <c r="J16" s="15"/>
      <c r="N16" s="14"/>
      <c r="P16" s="16"/>
      <c r="T16" s="12"/>
      <c r="X16" s="12"/>
      <c r="Y16" s="12"/>
      <c r="Z16" s="12"/>
      <c r="AA16" s="12"/>
      <c r="AB16" s="14"/>
      <c r="AC16" s="12"/>
      <c r="AD16" s="11"/>
      <c r="AE16" s="7"/>
      <c r="AF16" s="7"/>
      <c r="AG16" s="12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7.5" customHeight="1" x14ac:dyDescent="0.2">
      <c r="A17" s="9"/>
      <c r="B17" s="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>
        <f t="shared" ref="U17:Z17" si="0">SUM(U3:U16)</f>
        <v>0</v>
      </c>
      <c r="V17" s="7">
        <f t="shared" si="0"/>
        <v>0</v>
      </c>
      <c r="W17" s="7">
        <f t="shared" si="0"/>
        <v>0</v>
      </c>
      <c r="X17" s="7">
        <f t="shared" si="0"/>
        <v>0</v>
      </c>
      <c r="Y17" s="7">
        <f t="shared" si="0"/>
        <v>0</v>
      </c>
      <c r="Z17" s="7">
        <f t="shared" si="0"/>
        <v>0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7.5" customHeight="1" x14ac:dyDescent="0.2">
      <c r="A18" s="9"/>
      <c r="B18" s="9"/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6"/>
      <c r="O18" s="6"/>
      <c r="P18" s="6"/>
      <c r="Q18" s="7"/>
      <c r="R18" s="6"/>
      <c r="S18" s="6"/>
      <c r="T18" s="20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7.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6"/>
      <c r="O19" s="6"/>
      <c r="P19" s="6"/>
      <c r="Q19" s="6"/>
      <c r="R19" s="6"/>
      <c r="S19" s="6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7.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7.5" customHeight="1" x14ac:dyDescent="0.2">
      <c r="A21" s="7"/>
      <c r="B21" s="7"/>
      <c r="C21" s="7"/>
      <c r="D21" s="7"/>
      <c r="E21" s="7"/>
      <c r="F21" s="5"/>
      <c r="G21" s="5"/>
      <c r="H21" s="5"/>
      <c r="I21" s="5"/>
      <c r="J21" s="5"/>
      <c r="K21" s="10"/>
      <c r="L21" s="5"/>
      <c r="M21" s="5"/>
      <c r="N21" s="5"/>
      <c r="O21" s="5"/>
      <c r="P21" s="5"/>
      <c r="Q21" s="7"/>
      <c r="R21" s="6"/>
      <c r="S21" s="6"/>
      <c r="T21" s="7"/>
      <c r="U21" s="6"/>
      <c r="V21" s="6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7.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6"/>
      <c r="N22" s="6"/>
      <c r="O22" s="6"/>
      <c r="P22" s="6"/>
      <c r="Q22" s="7"/>
      <c r="R22" s="6"/>
      <c r="S22" s="6"/>
      <c r="T22" s="7"/>
      <c r="U22" s="6"/>
      <c r="V22" s="6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7.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/>
      <c r="N23" s="6"/>
      <c r="O23" s="6"/>
      <c r="P23" s="6"/>
      <c r="Q23" s="7"/>
      <c r="R23" s="6"/>
      <c r="S23" s="6"/>
      <c r="T23" s="7"/>
      <c r="U23" s="6"/>
      <c r="V23" s="6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7.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6"/>
      <c r="N24" s="6"/>
      <c r="O24" s="6"/>
      <c r="P24" s="6"/>
      <c r="Q24" s="7"/>
      <c r="R24" s="6"/>
      <c r="S24" s="6"/>
      <c r="T24" s="7"/>
      <c r="U24" s="6"/>
      <c r="V24" s="6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7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7.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6"/>
      <c r="N26" s="6"/>
      <c r="O26" s="6"/>
      <c r="P26" s="6"/>
      <c r="Q26" s="7"/>
      <c r="R26" s="6"/>
      <c r="S26" s="6"/>
      <c r="T26" s="19"/>
      <c r="U26" s="6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7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6"/>
      <c r="O27" s="6"/>
      <c r="P27" s="6"/>
      <c r="Q27" s="7"/>
      <c r="R27" s="6"/>
      <c r="S27" s="6"/>
      <c r="T27" s="7"/>
      <c r="U27" s="6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7"/>
      <c r="U28" s="6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7"/>
      <c r="R29" s="6"/>
      <c r="S29" s="6"/>
      <c r="T29" s="19"/>
      <c r="U29" s="6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6"/>
      <c r="S30" s="6"/>
      <c r="T30" s="7"/>
      <c r="U30" s="6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7"/>
      <c r="R31" s="6"/>
      <c r="S31" s="6"/>
      <c r="T31" s="7"/>
      <c r="U31" s="6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7"/>
      <c r="R32" s="6"/>
      <c r="S32" s="6"/>
      <c r="T32" s="7"/>
      <c r="U32" s="6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" customHeight="1" x14ac:dyDescent="0.2">
      <c r="A33" s="4"/>
      <c r="B33" s="7"/>
      <c r="C33" s="7"/>
      <c r="D33" s="7"/>
      <c r="E33" s="7"/>
      <c r="F33" s="12"/>
      <c r="G33" s="12"/>
      <c r="H33" s="12"/>
      <c r="I33" s="12"/>
      <c r="J33" s="12"/>
      <c r="K33" s="13"/>
      <c r="L33" s="12"/>
      <c r="M33" s="12"/>
      <c r="N33" s="12"/>
      <c r="O33" s="12"/>
      <c r="P33" s="12"/>
      <c r="Q33" s="7"/>
      <c r="R33" s="7"/>
      <c r="S33" s="7"/>
      <c r="T33" s="7"/>
      <c r="U33" s="7">
        <f>SUM(U3:U32)</f>
        <v>0</v>
      </c>
      <c r="V33" s="7">
        <f>SUM(V3:V32)</f>
        <v>0</v>
      </c>
      <c r="W33" s="7">
        <f>SUM(W3:W32)</f>
        <v>0</v>
      </c>
      <c r="X33" s="7"/>
      <c r="Y33" s="7"/>
      <c r="Z33" s="7">
        <f>SUM(Z3:Z32)</f>
        <v>0</v>
      </c>
      <c r="AA33" s="7">
        <f>SUM(AA3:AA32)</f>
        <v>0</v>
      </c>
      <c r="AB33" s="7">
        <f>SUM(AB3:AB32)</f>
        <v>0</v>
      </c>
      <c r="AC33" s="7">
        <f>SUM(AC3:AC32)</f>
        <v>0</v>
      </c>
      <c r="AD33" s="7">
        <f>SUM(AD3:AD32)</f>
        <v>0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" customHeight="1" x14ac:dyDescent="0.2">
      <c r="A34" s="7"/>
      <c r="B34" s="7"/>
      <c r="C34" s="7"/>
      <c r="D34" s="7"/>
      <c r="E34" s="7"/>
      <c r="F34" s="12"/>
      <c r="G34" s="12"/>
      <c r="H34" s="12"/>
      <c r="I34" s="12"/>
      <c r="J34" s="14"/>
      <c r="K34" s="15"/>
      <c r="L34" s="16"/>
      <c r="M34" s="12"/>
      <c r="N34" s="12"/>
      <c r="O34" s="12"/>
      <c r="P34" s="14"/>
      <c r="Q34" s="20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" customHeight="1" x14ac:dyDescent="0.2">
      <c r="A35" s="7"/>
      <c r="B35" s="7"/>
      <c r="C35" s="7"/>
      <c r="D35" s="7"/>
      <c r="E35" s="7"/>
      <c r="F35" s="7"/>
      <c r="G35" s="21"/>
      <c r="H35" s="21"/>
      <c r="I35" s="21"/>
      <c r="J35" s="7"/>
      <c r="K35" s="7"/>
      <c r="L35" s="7"/>
      <c r="M35" s="7"/>
      <c r="N35" s="7"/>
      <c r="O35" s="7"/>
      <c r="P35" s="7"/>
      <c r="Q35" s="20"/>
      <c r="R35" s="21"/>
      <c r="S35" s="21"/>
      <c r="T35" s="2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6"/>
      <c r="S36" s="6"/>
      <c r="T36" s="19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21"/>
      <c r="S37" s="21"/>
      <c r="T37" s="21"/>
      <c r="U37" s="7"/>
      <c r="V37" s="7"/>
      <c r="W37" s="7"/>
      <c r="X37" s="7"/>
      <c r="Y37" s="7"/>
      <c r="Z37" s="7"/>
      <c r="AA37" s="7"/>
      <c r="AB37" s="7"/>
      <c r="AC37" s="22"/>
      <c r="AD37" s="22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98B4-48F4-9D47-91C3-F936982A7B04}">
  <dimension ref="A1:BC63"/>
  <sheetViews>
    <sheetView topLeftCell="X1" workbookViewId="0">
      <selection activeCell="V23" sqref="V23"/>
    </sheetView>
  </sheetViews>
  <sheetFormatPr baseColWidth="10" defaultColWidth="10.83203125" defaultRowHeight="16" x14ac:dyDescent="0.2"/>
  <cols>
    <col min="4" max="4" width="17.83203125" customWidth="1"/>
    <col min="5" max="5" width="20.1640625" customWidth="1"/>
    <col min="6" max="6" width="22.83203125" customWidth="1"/>
    <col min="11" max="11" width="19.1640625" customWidth="1"/>
    <col min="12" max="12" width="7.83203125" customWidth="1"/>
    <col min="13" max="13" width="10" customWidth="1"/>
    <col min="14" max="14" width="44.33203125" customWidth="1"/>
    <col min="15" max="15" width="18.5" customWidth="1"/>
    <col min="16" max="16" width="11.5" customWidth="1"/>
    <col min="17" max="17" width="11.6640625" customWidth="1"/>
    <col min="18" max="18" width="12.33203125" customWidth="1"/>
    <col min="20" max="20" width="15.1640625" customWidth="1"/>
    <col min="24" max="24" width="31" customWidth="1"/>
    <col min="25" max="25" width="19.83203125" customWidth="1"/>
    <col min="26" max="26" width="12.1640625" customWidth="1"/>
    <col min="27" max="29" width="16.5" customWidth="1"/>
    <col min="30" max="30" width="25.33203125" customWidth="1"/>
    <col min="31" max="31" width="14.6640625" customWidth="1"/>
    <col min="33" max="33" width="42.5" customWidth="1"/>
    <col min="34" max="34" width="11.1640625" customWidth="1"/>
    <col min="35" max="35" width="7.83203125" customWidth="1"/>
    <col min="38" max="38" width="7.33203125" customWidth="1"/>
    <col min="40" max="40" width="9.1640625" customWidth="1"/>
    <col min="42" max="42" width="12.5" customWidth="1"/>
    <col min="43" max="43" width="13" customWidth="1"/>
  </cols>
  <sheetData>
    <row r="1" spans="1:55" s="64" customFormat="1" ht="79" customHeight="1" x14ac:dyDescent="0.2">
      <c r="A1" s="113" t="s">
        <v>214</v>
      </c>
      <c r="B1" s="113" t="s">
        <v>807</v>
      </c>
      <c r="C1" s="113" t="s">
        <v>801</v>
      </c>
      <c r="D1" s="113" t="s">
        <v>528</v>
      </c>
      <c r="E1" s="113" t="s">
        <v>215</v>
      </c>
      <c r="F1" s="20" t="s">
        <v>803</v>
      </c>
      <c r="G1" s="20" t="s">
        <v>218</v>
      </c>
      <c r="H1" s="148" t="s">
        <v>219</v>
      </c>
      <c r="I1" s="148" t="s">
        <v>802</v>
      </c>
      <c r="J1" s="148" t="s">
        <v>220</v>
      </c>
      <c r="K1" s="148"/>
      <c r="L1" s="148"/>
      <c r="M1" s="148"/>
      <c r="N1" s="149" t="s">
        <v>221</v>
      </c>
      <c r="O1" s="148"/>
      <c r="P1" s="148"/>
      <c r="Q1" s="148"/>
      <c r="R1" s="148"/>
      <c r="S1" s="148"/>
      <c r="T1" s="149" t="s">
        <v>222</v>
      </c>
      <c r="U1" s="149" t="s">
        <v>223</v>
      </c>
      <c r="V1" s="149" t="s">
        <v>224</v>
      </c>
      <c r="W1" s="148" t="s">
        <v>225</v>
      </c>
      <c r="X1" s="148" t="s">
        <v>226</v>
      </c>
      <c r="Y1" s="148" t="s">
        <v>227</v>
      </c>
      <c r="Z1" s="148" t="s">
        <v>228</v>
      </c>
      <c r="AA1" s="148" t="s">
        <v>229</v>
      </c>
      <c r="AB1" s="148" t="s">
        <v>230</v>
      </c>
      <c r="AC1" s="148" t="s">
        <v>231</v>
      </c>
      <c r="AD1" s="148" t="s">
        <v>232</v>
      </c>
      <c r="AE1" s="148"/>
      <c r="AF1" s="148" t="s">
        <v>233</v>
      </c>
      <c r="AG1" s="148"/>
      <c r="AH1" s="148" t="s">
        <v>547</v>
      </c>
      <c r="AI1" s="20" t="s">
        <v>234</v>
      </c>
      <c r="AJ1" s="148"/>
      <c r="AK1" s="150"/>
      <c r="AL1" s="150"/>
      <c r="AM1" s="148"/>
      <c r="AN1" s="148"/>
      <c r="AO1" s="20"/>
      <c r="AP1" s="148"/>
      <c r="AQ1" s="148"/>
      <c r="AR1" s="148"/>
      <c r="AS1" s="20"/>
      <c r="AT1" s="150"/>
      <c r="AU1" s="150"/>
      <c r="AV1" s="150"/>
      <c r="AW1" s="150"/>
      <c r="AX1" s="150"/>
      <c r="AY1" s="150"/>
      <c r="AZ1" s="150"/>
      <c r="BA1" s="148"/>
      <c r="BB1" s="20"/>
      <c r="BC1" s="20"/>
    </row>
    <row r="2" spans="1:55" s="64" customFormat="1" ht="34" x14ac:dyDescent="0.2">
      <c r="A2" s="151" t="s">
        <v>235</v>
      </c>
      <c r="B2" s="152"/>
      <c r="C2" s="152"/>
      <c r="D2" s="152"/>
      <c r="E2" s="152" t="s">
        <v>236</v>
      </c>
      <c r="F2" s="153"/>
      <c r="G2" s="20"/>
      <c r="H2" s="148"/>
      <c r="I2" s="148"/>
      <c r="J2" s="148" t="s">
        <v>237</v>
      </c>
      <c r="K2" s="148" t="s">
        <v>238</v>
      </c>
      <c r="L2" s="148" t="s">
        <v>239</v>
      </c>
      <c r="M2" s="154" t="s">
        <v>240</v>
      </c>
      <c r="N2" s="155" t="s">
        <v>241</v>
      </c>
      <c r="O2" s="156" t="s">
        <v>242</v>
      </c>
      <c r="P2" s="148" t="s">
        <v>243</v>
      </c>
      <c r="Q2" s="148" t="s">
        <v>244</v>
      </c>
      <c r="R2" s="148" t="s">
        <v>245</v>
      </c>
      <c r="S2" s="154" t="s">
        <v>26</v>
      </c>
      <c r="T2" s="155" t="s">
        <v>246</v>
      </c>
      <c r="U2" s="155" t="s">
        <v>247</v>
      </c>
      <c r="V2" s="155" t="s">
        <v>248</v>
      </c>
      <c r="W2" s="157" t="s">
        <v>249</v>
      </c>
      <c r="X2" s="148"/>
      <c r="Y2" s="148"/>
      <c r="Z2" s="148"/>
      <c r="AA2" s="148"/>
      <c r="AB2" s="148"/>
      <c r="AC2" s="148"/>
      <c r="AD2" s="148" t="s">
        <v>8</v>
      </c>
      <c r="AE2" s="148" t="s">
        <v>250</v>
      </c>
      <c r="AF2" s="148" t="s">
        <v>251</v>
      </c>
      <c r="AG2" s="20" t="s">
        <v>245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spans="1:55" ht="19" customHeight="1" x14ac:dyDescent="0.2">
      <c r="A3" s="9" t="s">
        <v>1739</v>
      </c>
      <c r="B3" s="9"/>
      <c r="C3" s="7"/>
      <c r="D3" s="7"/>
      <c r="E3" s="7"/>
      <c r="F3" s="5"/>
      <c r="G3" s="7" t="s">
        <v>3200</v>
      </c>
      <c r="H3" s="7" t="s">
        <v>429</v>
      </c>
      <c r="J3">
        <v>1</v>
      </c>
      <c r="K3" s="10"/>
      <c r="L3" s="5"/>
      <c r="M3" s="5"/>
      <c r="N3" s="5">
        <v>1</v>
      </c>
      <c r="O3" s="5"/>
      <c r="P3" s="5"/>
      <c r="Q3" s="10"/>
      <c r="R3" s="10"/>
      <c r="S3" s="10"/>
      <c r="T3" s="6">
        <v>56</v>
      </c>
      <c r="U3" s="5"/>
      <c r="V3" s="5">
        <v>1</v>
      </c>
      <c r="W3" s="5"/>
      <c r="X3" s="5"/>
      <c r="Y3" s="5"/>
      <c r="Z3" s="5"/>
      <c r="AA3" s="6" t="s">
        <v>3202</v>
      </c>
      <c r="AC3" s="5">
        <v>1</v>
      </c>
      <c r="AD3" s="6" t="s">
        <v>3203</v>
      </c>
      <c r="AE3" s="7" t="s">
        <v>12</v>
      </c>
      <c r="AF3" s="7"/>
      <c r="AG3" s="6" t="s">
        <v>3201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5" ht="19" customHeight="1" x14ac:dyDescent="0.2">
      <c r="A4" s="9"/>
      <c r="B4" s="9"/>
      <c r="C4" s="7"/>
      <c r="D4" s="7"/>
      <c r="E4" s="7"/>
      <c r="F4" s="5"/>
      <c r="G4" s="7" t="s">
        <v>959</v>
      </c>
      <c r="H4" s="7" t="s">
        <v>1414</v>
      </c>
      <c r="J4">
        <v>1</v>
      </c>
      <c r="K4" s="10"/>
      <c r="L4" s="5"/>
      <c r="M4" s="5"/>
      <c r="N4" s="5"/>
      <c r="O4" s="5"/>
      <c r="P4" s="5"/>
      <c r="Q4" s="10"/>
      <c r="R4" s="10"/>
      <c r="S4" s="10"/>
      <c r="T4" s="6">
        <v>27</v>
      </c>
      <c r="U4" s="5"/>
      <c r="V4" s="5">
        <v>1</v>
      </c>
      <c r="W4" s="5"/>
      <c r="X4" s="5"/>
      <c r="Y4" s="5"/>
      <c r="Z4" s="5"/>
      <c r="AA4" s="6" t="s">
        <v>3206</v>
      </c>
      <c r="AC4" s="5">
        <v>1</v>
      </c>
      <c r="AD4" s="6" t="s">
        <v>3207</v>
      </c>
      <c r="AE4" s="7" t="s">
        <v>3204</v>
      </c>
      <c r="AF4" s="7"/>
      <c r="AG4" s="6" t="s">
        <v>3205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5" ht="19" customHeight="1" x14ac:dyDescent="0.2">
      <c r="A5" s="9"/>
      <c r="B5" s="9"/>
      <c r="C5" s="7"/>
      <c r="D5" s="7"/>
      <c r="E5" s="7"/>
      <c r="F5" s="5"/>
      <c r="G5" s="7" t="s">
        <v>3200</v>
      </c>
      <c r="H5" s="7" t="s">
        <v>3208</v>
      </c>
      <c r="J5">
        <v>1</v>
      </c>
      <c r="K5" s="10"/>
      <c r="L5" s="5"/>
      <c r="M5" s="5"/>
      <c r="N5" s="5"/>
      <c r="O5" s="5"/>
      <c r="P5" s="5"/>
      <c r="Q5" s="10"/>
      <c r="R5" s="10"/>
      <c r="S5" s="10">
        <v>1</v>
      </c>
      <c r="T5" s="6">
        <v>24</v>
      </c>
      <c r="U5" s="5"/>
      <c r="V5" s="5">
        <v>1</v>
      </c>
      <c r="W5" s="5"/>
      <c r="X5" s="5"/>
      <c r="Y5" s="5"/>
      <c r="Z5" s="5"/>
      <c r="AA5" s="6" t="s">
        <v>1808</v>
      </c>
      <c r="AC5" s="5">
        <v>1</v>
      </c>
      <c r="AD5" s="6" t="s">
        <v>3210</v>
      </c>
      <c r="AE5" s="7" t="s">
        <v>26</v>
      </c>
      <c r="AF5" s="7">
        <v>1</v>
      </c>
      <c r="AG5" s="6" t="s">
        <v>3209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5" ht="19" customHeight="1" x14ac:dyDescent="0.2">
      <c r="A6" s="9"/>
      <c r="B6" s="9"/>
      <c r="C6" s="7"/>
      <c r="D6" s="7"/>
      <c r="E6" s="7"/>
      <c r="F6" s="5"/>
      <c r="G6" s="7" t="s">
        <v>940</v>
      </c>
      <c r="H6" s="7" t="s">
        <v>937</v>
      </c>
      <c r="J6">
        <v>1</v>
      </c>
      <c r="K6" s="10"/>
      <c r="L6" s="5"/>
      <c r="M6" s="5"/>
      <c r="N6" s="5"/>
      <c r="O6" s="5"/>
      <c r="P6" s="5"/>
      <c r="Q6" s="10"/>
      <c r="R6" s="10"/>
      <c r="S6" s="10">
        <v>1</v>
      </c>
      <c r="T6" s="6">
        <v>19</v>
      </c>
      <c r="U6" s="5"/>
      <c r="V6" s="5">
        <v>1</v>
      </c>
      <c r="W6" s="5"/>
      <c r="X6" s="5"/>
      <c r="Y6" s="5"/>
      <c r="Z6" s="5"/>
      <c r="AA6" s="6" t="s">
        <v>2192</v>
      </c>
      <c r="AC6" s="5">
        <v>1</v>
      </c>
      <c r="AD6" s="6" t="s">
        <v>3211</v>
      </c>
      <c r="AE6" s="7" t="s">
        <v>26</v>
      </c>
      <c r="AF6" s="7"/>
      <c r="AG6" s="6" t="s">
        <v>1896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5" ht="19" customHeight="1" x14ac:dyDescent="0.2">
      <c r="A7" s="9"/>
      <c r="B7" s="9"/>
      <c r="C7" s="7"/>
      <c r="D7" s="7"/>
      <c r="E7" s="7"/>
      <c r="F7" s="5"/>
      <c r="G7" s="7" t="s">
        <v>3212</v>
      </c>
      <c r="H7" s="7" t="s">
        <v>345</v>
      </c>
      <c r="J7">
        <v>1</v>
      </c>
      <c r="K7" s="10"/>
      <c r="L7" s="5"/>
      <c r="M7" s="5"/>
      <c r="N7" s="5"/>
      <c r="O7" s="5"/>
      <c r="P7" s="5"/>
      <c r="Q7" s="10"/>
      <c r="R7" s="10"/>
      <c r="S7" s="10"/>
      <c r="T7" s="7">
        <v>25</v>
      </c>
      <c r="U7" s="5"/>
      <c r="V7" s="5">
        <v>1</v>
      </c>
      <c r="W7" s="5"/>
      <c r="X7" s="5"/>
      <c r="Y7" s="5"/>
      <c r="Z7" s="5"/>
      <c r="AA7" s="7" t="s">
        <v>3213</v>
      </c>
      <c r="AC7" s="5">
        <v>1</v>
      </c>
      <c r="AD7" s="7" t="s">
        <v>3214</v>
      </c>
      <c r="AE7" s="7" t="s">
        <v>26</v>
      </c>
      <c r="AF7" s="7"/>
      <c r="AG7" s="7" t="s">
        <v>415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5" ht="19" customHeight="1" x14ac:dyDescent="0.2">
      <c r="A8" s="9"/>
      <c r="B8" s="9"/>
      <c r="C8" s="7"/>
      <c r="D8" s="7"/>
      <c r="E8" s="7"/>
      <c r="F8" s="5"/>
      <c r="G8" s="7" t="s">
        <v>107</v>
      </c>
      <c r="H8" s="7" t="s">
        <v>998</v>
      </c>
      <c r="J8">
        <v>1</v>
      </c>
      <c r="K8" s="10"/>
      <c r="L8" s="5"/>
      <c r="M8" s="5"/>
      <c r="N8" s="5"/>
      <c r="O8" s="5"/>
      <c r="P8" s="5"/>
      <c r="Q8" s="10"/>
      <c r="R8" s="10"/>
      <c r="S8" s="10"/>
      <c r="T8" s="6">
        <v>23</v>
      </c>
      <c r="U8" s="5"/>
      <c r="V8" s="5">
        <v>1</v>
      </c>
      <c r="W8" s="5"/>
      <c r="X8" s="5"/>
      <c r="Y8" s="5"/>
      <c r="Z8" s="5"/>
      <c r="AA8" s="6" t="s">
        <v>3215</v>
      </c>
      <c r="AC8" s="5">
        <v>1</v>
      </c>
      <c r="AD8" s="6" t="s">
        <v>3216</v>
      </c>
      <c r="AE8" s="7" t="s">
        <v>26</v>
      </c>
      <c r="AF8" s="7"/>
      <c r="AG8" s="6" t="s">
        <v>415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5" ht="19" customHeight="1" x14ac:dyDescent="0.2">
      <c r="A9" s="9"/>
      <c r="B9" s="9"/>
      <c r="C9" s="7"/>
      <c r="D9" s="7"/>
      <c r="E9" s="7"/>
      <c r="F9" s="5"/>
      <c r="G9" s="7" t="s">
        <v>3217</v>
      </c>
      <c r="H9" s="7" t="s">
        <v>115</v>
      </c>
      <c r="J9">
        <v>1</v>
      </c>
      <c r="K9" s="10"/>
      <c r="L9" s="5"/>
      <c r="M9" s="5"/>
      <c r="N9" s="5"/>
      <c r="O9" s="5"/>
      <c r="P9" s="5"/>
      <c r="Q9" s="10"/>
      <c r="R9" s="10"/>
      <c r="S9" s="10"/>
      <c r="T9" s="6">
        <v>36</v>
      </c>
      <c r="U9" s="5"/>
      <c r="V9" s="5">
        <v>1</v>
      </c>
      <c r="W9" s="5"/>
      <c r="X9" s="5"/>
      <c r="Y9" s="5"/>
      <c r="Z9" s="5"/>
      <c r="AA9" s="6" t="s">
        <v>1904</v>
      </c>
      <c r="AC9" s="5">
        <v>1</v>
      </c>
      <c r="AD9" s="6" t="s">
        <v>3218</v>
      </c>
      <c r="AE9" s="7" t="s">
        <v>26</v>
      </c>
      <c r="AF9" s="7"/>
      <c r="AG9" s="6" t="s">
        <v>1675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5" ht="19" customHeight="1" x14ac:dyDescent="0.2">
      <c r="A10" s="9"/>
      <c r="B10" s="9"/>
      <c r="C10" s="7"/>
      <c r="D10" s="7"/>
      <c r="E10" s="7"/>
      <c r="F10" s="5"/>
      <c r="G10" s="7" t="s">
        <v>3219</v>
      </c>
      <c r="H10" s="7" t="s">
        <v>351</v>
      </c>
      <c r="J10">
        <v>1</v>
      </c>
      <c r="K10" s="10"/>
      <c r="L10" s="5"/>
      <c r="M10" s="5"/>
      <c r="N10" s="5"/>
      <c r="O10" s="5"/>
      <c r="P10" s="5"/>
      <c r="Q10" s="10"/>
      <c r="R10" s="10"/>
      <c r="S10" s="10"/>
      <c r="T10" s="6">
        <v>25</v>
      </c>
      <c r="U10" s="5"/>
      <c r="V10" s="5">
        <v>1</v>
      </c>
      <c r="W10" s="5"/>
      <c r="X10" s="5"/>
      <c r="Y10" s="5"/>
      <c r="Z10" s="5"/>
      <c r="AA10" s="6" t="s">
        <v>1904</v>
      </c>
      <c r="AC10" s="5">
        <v>1</v>
      </c>
      <c r="AD10" s="6" t="s">
        <v>3218</v>
      </c>
      <c r="AE10" s="7" t="s">
        <v>26</v>
      </c>
      <c r="AF10" s="7"/>
      <c r="AG10" s="6" t="s">
        <v>1947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5" ht="19" customHeight="1" x14ac:dyDescent="0.2">
      <c r="A11" s="9"/>
      <c r="B11" s="9"/>
      <c r="C11" s="7"/>
      <c r="D11" s="7"/>
      <c r="E11" s="7"/>
      <c r="F11" s="5"/>
      <c r="G11" s="7" t="s">
        <v>371</v>
      </c>
      <c r="H11" s="7" t="s">
        <v>3220</v>
      </c>
      <c r="J11">
        <v>1</v>
      </c>
      <c r="K11" s="10"/>
      <c r="L11" s="5"/>
      <c r="M11" s="5"/>
      <c r="N11" s="5"/>
      <c r="O11" s="5"/>
      <c r="P11" s="5"/>
      <c r="Q11" s="10"/>
      <c r="R11" s="10"/>
      <c r="S11" s="10"/>
      <c r="T11" s="6">
        <v>22</v>
      </c>
      <c r="U11" s="5"/>
      <c r="V11" s="5">
        <v>1</v>
      </c>
      <c r="W11" s="5"/>
      <c r="X11" s="5"/>
      <c r="Y11" s="5"/>
      <c r="Z11" s="5"/>
      <c r="AA11" s="6" t="s">
        <v>1904</v>
      </c>
      <c r="AC11" s="5">
        <v>1</v>
      </c>
      <c r="AD11" s="6" t="s">
        <v>3218</v>
      </c>
      <c r="AE11" s="7" t="s">
        <v>26</v>
      </c>
      <c r="AF11" s="7"/>
      <c r="AG11" s="6" t="s">
        <v>3221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5" ht="19" customHeight="1" x14ac:dyDescent="0.2">
      <c r="A12" s="9"/>
      <c r="B12" s="9"/>
      <c r="C12" s="7"/>
      <c r="D12" s="7"/>
      <c r="E12" s="7"/>
      <c r="F12" s="5"/>
      <c r="G12" s="7" t="s">
        <v>3223</v>
      </c>
      <c r="H12" s="7" t="s">
        <v>3222</v>
      </c>
      <c r="J12">
        <v>1</v>
      </c>
      <c r="K12" s="10"/>
      <c r="L12" s="5"/>
      <c r="M12" s="5"/>
      <c r="N12" s="5"/>
      <c r="O12" s="5"/>
      <c r="P12" s="5"/>
      <c r="Q12" s="10"/>
      <c r="R12" s="10"/>
      <c r="S12" s="10"/>
      <c r="T12" s="6">
        <v>21</v>
      </c>
      <c r="U12" s="5"/>
      <c r="V12" s="5">
        <v>1</v>
      </c>
      <c r="W12" s="5"/>
      <c r="X12" s="5"/>
      <c r="Y12" s="5"/>
      <c r="Z12" s="5"/>
      <c r="AA12" s="6" t="s">
        <v>1904</v>
      </c>
      <c r="AC12" s="5">
        <v>1</v>
      </c>
      <c r="AD12" s="6" t="s">
        <v>3225</v>
      </c>
      <c r="AE12" s="7" t="s">
        <v>26</v>
      </c>
      <c r="AF12" s="7"/>
      <c r="AG12" s="6" t="s">
        <v>3224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5" ht="19" customHeight="1" x14ac:dyDescent="0.2">
      <c r="A13" s="9"/>
      <c r="B13" s="9"/>
      <c r="C13" s="7"/>
      <c r="D13" s="7"/>
      <c r="E13" s="7"/>
      <c r="F13" s="5"/>
      <c r="G13" s="7" t="s">
        <v>3226</v>
      </c>
      <c r="H13" s="7" t="s">
        <v>24</v>
      </c>
      <c r="J13">
        <v>1</v>
      </c>
      <c r="K13" s="10"/>
      <c r="L13" s="5"/>
      <c r="M13" s="5"/>
      <c r="N13" s="5"/>
      <c r="O13" s="5"/>
      <c r="P13" s="5"/>
      <c r="Q13" s="10"/>
      <c r="R13" s="10"/>
      <c r="S13" s="10"/>
      <c r="T13" s="6">
        <v>32</v>
      </c>
      <c r="U13" s="5"/>
      <c r="V13" s="5">
        <v>1</v>
      </c>
      <c r="W13" s="5"/>
      <c r="X13" s="5"/>
      <c r="Y13" s="5"/>
      <c r="Z13" s="5"/>
      <c r="AA13" s="6" t="s">
        <v>3227</v>
      </c>
      <c r="AC13" s="5">
        <v>1</v>
      </c>
      <c r="AD13" s="6" t="s">
        <v>3228</v>
      </c>
      <c r="AE13" s="7" t="s">
        <v>20</v>
      </c>
      <c r="AF13" s="7"/>
      <c r="AG13" s="6" t="s">
        <v>415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5" ht="19" customHeight="1" x14ac:dyDescent="0.2">
      <c r="A14" s="9"/>
      <c r="B14" s="9"/>
      <c r="C14" s="7"/>
      <c r="D14" s="7"/>
      <c r="E14" s="7"/>
      <c r="F14" s="5"/>
      <c r="G14" s="7" t="s">
        <v>3230</v>
      </c>
      <c r="H14" s="7" t="s">
        <v>3229</v>
      </c>
      <c r="J14">
        <v>1</v>
      </c>
      <c r="K14" s="10"/>
      <c r="L14" s="5"/>
      <c r="M14" s="5"/>
      <c r="N14" s="5"/>
      <c r="O14" s="5"/>
      <c r="P14" s="5"/>
      <c r="Q14" s="10"/>
      <c r="R14" s="10"/>
      <c r="S14" s="10"/>
      <c r="T14" s="6">
        <v>50</v>
      </c>
      <c r="U14" s="5"/>
      <c r="V14" s="5">
        <v>1</v>
      </c>
      <c r="W14" s="5"/>
      <c r="X14" s="5"/>
      <c r="Y14" s="5"/>
      <c r="Z14" s="5"/>
      <c r="AA14" s="6" t="s">
        <v>3231</v>
      </c>
      <c r="AC14" s="5">
        <v>1</v>
      </c>
      <c r="AD14" s="6" t="s">
        <v>3228</v>
      </c>
      <c r="AE14" s="7" t="s">
        <v>20</v>
      </c>
      <c r="AF14" s="7"/>
      <c r="AG14" s="6" t="s">
        <v>1491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5" ht="19" customHeight="1" x14ac:dyDescent="0.2">
      <c r="A15" s="9"/>
      <c r="B15" s="9"/>
      <c r="C15" s="7"/>
      <c r="D15" s="7"/>
      <c r="E15" s="7"/>
      <c r="F15" s="5"/>
      <c r="G15" s="7" t="s">
        <v>402</v>
      </c>
      <c r="H15" s="7" t="s">
        <v>3232</v>
      </c>
      <c r="J15">
        <v>1</v>
      </c>
      <c r="K15" s="10"/>
      <c r="L15" s="5"/>
      <c r="M15" s="5"/>
      <c r="N15" s="5"/>
      <c r="O15" s="5"/>
      <c r="P15" s="5"/>
      <c r="Q15" s="10"/>
      <c r="R15" s="10"/>
      <c r="S15" s="10"/>
      <c r="T15" s="7">
        <v>35</v>
      </c>
      <c r="U15" s="5"/>
      <c r="V15" s="5">
        <v>1</v>
      </c>
      <c r="W15" s="5"/>
      <c r="X15" s="5"/>
      <c r="Y15" s="5"/>
      <c r="Z15" s="5"/>
      <c r="AA15" s="7" t="s">
        <v>3231</v>
      </c>
      <c r="AC15" s="5">
        <v>1</v>
      </c>
      <c r="AD15" s="7" t="s">
        <v>3228</v>
      </c>
      <c r="AE15" s="7" t="s">
        <v>20</v>
      </c>
      <c r="AF15" s="7"/>
      <c r="AG15" s="7" t="s">
        <v>3233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5" ht="19" customHeight="1" x14ac:dyDescent="0.2">
      <c r="A16" s="9"/>
      <c r="B16" s="9"/>
      <c r="C16" s="7"/>
      <c r="D16" s="7"/>
      <c r="E16" s="7"/>
      <c r="F16" s="5"/>
      <c r="G16" s="7" t="s">
        <v>3234</v>
      </c>
      <c r="H16" s="7" t="s">
        <v>90</v>
      </c>
      <c r="J16">
        <v>1</v>
      </c>
      <c r="K16" s="10"/>
      <c r="L16" s="5"/>
      <c r="M16" s="5"/>
      <c r="N16" s="5"/>
      <c r="O16" s="5"/>
      <c r="P16" s="5"/>
      <c r="Q16" s="10"/>
      <c r="R16" s="10"/>
      <c r="S16" s="10"/>
      <c r="T16" s="7">
        <v>27</v>
      </c>
      <c r="U16" s="5"/>
      <c r="V16" s="5">
        <v>1</v>
      </c>
      <c r="W16" s="5"/>
      <c r="X16" s="5"/>
      <c r="Y16" s="5"/>
      <c r="Z16" s="5"/>
      <c r="AA16" s="7" t="s">
        <v>3236</v>
      </c>
      <c r="AC16" s="5">
        <v>1</v>
      </c>
      <c r="AD16" s="7" t="s">
        <v>3228</v>
      </c>
      <c r="AE16" s="7" t="s">
        <v>20</v>
      </c>
      <c r="AF16" s="7"/>
      <c r="AG16" s="7" t="s">
        <v>3235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ht="19" customHeight="1" x14ac:dyDescent="0.2">
      <c r="A17" s="9"/>
      <c r="B17" s="9"/>
      <c r="C17" s="7"/>
      <c r="D17" s="7"/>
      <c r="E17" s="7"/>
      <c r="F17" s="5"/>
      <c r="G17" s="21" t="s">
        <v>3237</v>
      </c>
      <c r="H17" s="21" t="s">
        <v>3220</v>
      </c>
      <c r="J17">
        <v>1</v>
      </c>
      <c r="K17" s="10"/>
      <c r="L17" s="5"/>
      <c r="M17" s="5"/>
      <c r="N17" s="5"/>
      <c r="O17" s="5"/>
      <c r="P17" s="5"/>
      <c r="Q17" s="10"/>
      <c r="R17" s="10"/>
      <c r="S17" s="10"/>
      <c r="T17" s="7">
        <v>38</v>
      </c>
      <c r="U17" s="5"/>
      <c r="V17" s="5">
        <v>1</v>
      </c>
      <c r="W17" s="5"/>
      <c r="X17" s="5"/>
      <c r="Y17" s="5"/>
      <c r="Z17" s="5"/>
      <c r="AA17" s="7" t="s">
        <v>3238</v>
      </c>
      <c r="AC17" s="5">
        <v>1</v>
      </c>
      <c r="AD17" s="7" t="s">
        <v>3228</v>
      </c>
      <c r="AE17" s="7" t="s">
        <v>20</v>
      </c>
      <c r="AF17" s="7"/>
      <c r="AG17" s="7" t="s">
        <v>778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ht="19" customHeight="1" x14ac:dyDescent="0.2">
      <c r="A18" s="9"/>
      <c r="B18" s="9"/>
      <c r="C18" s="7"/>
      <c r="D18" s="7"/>
      <c r="E18" s="7"/>
      <c r="F18" s="5"/>
      <c r="G18" s="7" t="s">
        <v>3239</v>
      </c>
      <c r="H18" s="7" t="s">
        <v>24</v>
      </c>
      <c r="J18">
        <v>1</v>
      </c>
      <c r="K18" s="10"/>
      <c r="L18" s="5"/>
      <c r="M18" s="5"/>
      <c r="N18" s="5"/>
      <c r="O18" s="5"/>
      <c r="P18" s="5"/>
      <c r="Q18" s="10"/>
      <c r="R18" s="10"/>
      <c r="S18" s="10"/>
      <c r="T18" s="7">
        <v>46</v>
      </c>
      <c r="U18" s="5"/>
      <c r="V18" s="5">
        <v>1</v>
      </c>
      <c r="W18" s="5"/>
      <c r="X18" s="5"/>
      <c r="Y18" s="5"/>
      <c r="Z18" s="5"/>
      <c r="AA18" s="7" t="s">
        <v>3241</v>
      </c>
      <c r="AC18" s="5">
        <v>1</v>
      </c>
      <c r="AD18" s="7" t="s">
        <v>3228</v>
      </c>
      <c r="AE18" s="7" t="s">
        <v>20</v>
      </c>
      <c r="AF18" s="7"/>
      <c r="AG18" s="7" t="s">
        <v>3240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ht="19" customHeight="1" x14ac:dyDescent="0.2">
      <c r="A19" s="9"/>
      <c r="B19" s="9"/>
      <c r="C19" s="7"/>
      <c r="D19" s="7"/>
      <c r="E19" s="7"/>
      <c r="F19" s="5"/>
      <c r="G19" s="7" t="s">
        <v>1571</v>
      </c>
      <c r="H19" s="7" t="s">
        <v>3242</v>
      </c>
      <c r="J19">
        <v>1</v>
      </c>
      <c r="K19" s="10"/>
      <c r="L19" s="5"/>
      <c r="M19" s="5"/>
      <c r="N19" s="5"/>
      <c r="O19" s="5"/>
      <c r="P19" s="5"/>
      <c r="Q19" s="10"/>
      <c r="R19" s="10"/>
      <c r="S19" s="10"/>
      <c r="T19" s="7">
        <v>27</v>
      </c>
      <c r="U19" s="5"/>
      <c r="V19" s="5">
        <v>1</v>
      </c>
      <c r="W19" s="5"/>
      <c r="X19" s="5"/>
      <c r="Y19" s="5"/>
      <c r="Z19" s="5"/>
      <c r="AA19" s="7" t="s">
        <v>1904</v>
      </c>
      <c r="AC19" s="5">
        <v>1</v>
      </c>
      <c r="AD19" s="7" t="s">
        <v>3228</v>
      </c>
      <c r="AE19" s="7" t="s">
        <v>20</v>
      </c>
      <c r="AF19" s="7"/>
      <c r="AG19" s="7" t="s">
        <v>2040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ht="19" customHeight="1" x14ac:dyDescent="0.2">
      <c r="A20" s="9"/>
      <c r="B20" s="9"/>
      <c r="C20" s="7"/>
      <c r="D20" s="7"/>
      <c r="E20" s="7"/>
      <c r="F20" s="5"/>
      <c r="G20" s="7" t="s">
        <v>1543</v>
      </c>
      <c r="H20" s="7" t="s">
        <v>3243</v>
      </c>
      <c r="J20">
        <v>1</v>
      </c>
      <c r="K20" s="10"/>
      <c r="L20" s="5"/>
      <c r="M20" s="5"/>
      <c r="N20" s="5"/>
      <c r="O20" s="5"/>
      <c r="P20" s="5"/>
      <c r="Q20" s="10"/>
      <c r="R20" s="10"/>
      <c r="S20" s="10"/>
      <c r="T20" s="7">
        <v>21</v>
      </c>
      <c r="U20" s="5"/>
      <c r="V20" s="5">
        <v>1</v>
      </c>
      <c r="W20" s="5"/>
      <c r="X20" s="5"/>
      <c r="Y20" s="5"/>
      <c r="Z20" s="5"/>
      <c r="AA20" s="7" t="s">
        <v>1904</v>
      </c>
      <c r="AC20" s="5">
        <v>1</v>
      </c>
      <c r="AD20" s="7" t="s">
        <v>3228</v>
      </c>
      <c r="AE20" s="7" t="s">
        <v>20</v>
      </c>
      <c r="AF20" s="7">
        <v>1</v>
      </c>
      <c r="AG20" s="7" t="s">
        <v>77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ht="19" customHeight="1" x14ac:dyDescent="0.2">
      <c r="A21" s="9"/>
      <c r="B21" s="9"/>
      <c r="C21" s="7"/>
      <c r="D21" s="7"/>
      <c r="E21" s="7"/>
      <c r="F21" s="5"/>
      <c r="G21" t="s">
        <v>3245</v>
      </c>
      <c r="H21" t="s">
        <v>3244</v>
      </c>
      <c r="J21">
        <v>1</v>
      </c>
      <c r="K21" s="10"/>
      <c r="L21" s="5"/>
      <c r="M21" s="5"/>
      <c r="N21" s="5"/>
      <c r="O21" s="5"/>
      <c r="P21" s="5"/>
      <c r="Q21" s="10"/>
      <c r="R21" s="10"/>
      <c r="S21" s="10">
        <f>SUM(S5:S20)</f>
        <v>2</v>
      </c>
      <c r="T21">
        <v>22</v>
      </c>
      <c r="U21" s="5"/>
      <c r="V21" s="5">
        <v>1</v>
      </c>
      <c r="W21" s="5"/>
      <c r="X21" s="5"/>
      <c r="Y21" s="5"/>
      <c r="Z21" s="5"/>
      <c r="AA21" t="s">
        <v>1904</v>
      </c>
      <c r="AC21" s="5">
        <v>1</v>
      </c>
      <c r="AD21" t="s">
        <v>3228</v>
      </c>
      <c r="AE21" t="s">
        <v>20</v>
      </c>
      <c r="AF21" s="7"/>
      <c r="AG21" t="s">
        <v>2040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ht="19" customHeight="1" x14ac:dyDescent="0.2">
      <c r="A22" s="9"/>
      <c r="B22" s="9"/>
      <c r="C22" s="7"/>
      <c r="D22" s="7"/>
      <c r="E22" s="7"/>
      <c r="F22" s="5"/>
      <c r="G22" s="5"/>
      <c r="H22" s="5"/>
      <c r="I22" s="5"/>
      <c r="J22" s="5">
        <f>SUM(J3:J21)</f>
        <v>19</v>
      </c>
      <c r="K22" s="10"/>
      <c r="L22" s="5"/>
      <c r="M22" s="5"/>
      <c r="N22" s="5"/>
      <c r="O22" s="5"/>
      <c r="P22" s="5"/>
      <c r="Q22" s="10"/>
      <c r="R22" s="10"/>
      <c r="S22" s="10"/>
      <c r="T22" s="5">
        <f>SUM(T3:T21)</f>
        <v>576</v>
      </c>
      <c r="U22" s="5">
        <f>SUM(U3:U21)</f>
        <v>0</v>
      </c>
      <c r="V22" s="5">
        <f>SUM(V3:V21)</f>
        <v>19</v>
      </c>
      <c r="W22" s="5"/>
      <c r="X22" s="5"/>
      <c r="Y22" s="5"/>
      <c r="Z22" s="5"/>
      <c r="AA22" s="5"/>
      <c r="AB22" s="5"/>
      <c r="AC22" s="5"/>
      <c r="AD22" s="5"/>
      <c r="AE22" s="7"/>
      <c r="AF22" s="7">
        <f>SUM(AF3:AF21)</f>
        <v>2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ht="19" customHeight="1" x14ac:dyDescent="0.2">
      <c r="A23" s="9"/>
      <c r="B23" s="9"/>
      <c r="C23" s="7"/>
      <c r="D23" s="7"/>
      <c r="E23" s="7"/>
      <c r="F23" s="5"/>
      <c r="G23" s="5"/>
      <c r="H23" s="5"/>
      <c r="I23" s="5"/>
      <c r="J23" s="5"/>
      <c r="K23" s="10"/>
      <c r="L23" s="5"/>
      <c r="M23" s="5"/>
      <c r="N23" s="5"/>
      <c r="O23" s="5"/>
      <c r="P23" s="5"/>
      <c r="Q23" s="10"/>
      <c r="R23" s="10"/>
      <c r="S23" s="10"/>
      <c r="T23" s="5">
        <f>T22/J22</f>
        <v>30.315789473684209</v>
      </c>
      <c r="U23" s="5" t="e">
        <f>U22/K22</f>
        <v>#DIV/0!</v>
      </c>
      <c r="V23" s="5" t="e">
        <f>V22/L22</f>
        <v>#DIV/0!</v>
      </c>
      <c r="W23" s="5"/>
      <c r="X23" s="5"/>
      <c r="Y23" s="5"/>
      <c r="Z23" s="5"/>
      <c r="AA23" s="5"/>
      <c r="AB23" s="5"/>
      <c r="AC23" s="5"/>
      <c r="AD23" s="5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ht="19" customHeight="1" x14ac:dyDescent="0.2">
      <c r="A24" s="9"/>
      <c r="B24" s="9"/>
      <c r="C24" s="7"/>
      <c r="D24" s="7"/>
      <c r="E24" s="7"/>
      <c r="F24" s="5"/>
      <c r="G24" s="5"/>
      <c r="H24" s="5"/>
      <c r="I24" s="5"/>
      <c r="J24" s="5"/>
      <c r="K24" s="10"/>
      <c r="L24" s="5"/>
      <c r="M24" s="5"/>
      <c r="N24" s="5"/>
      <c r="O24" s="5"/>
      <c r="P24" s="5"/>
      <c r="Q24" s="10"/>
      <c r="R24" s="10"/>
      <c r="S24" s="10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ht="19" customHeight="1" x14ac:dyDescent="0.2">
      <c r="A25" s="9"/>
      <c r="B25" s="9"/>
      <c r="C25" s="7"/>
      <c r="D25" s="7"/>
      <c r="E25" s="7"/>
      <c r="F25" s="5"/>
      <c r="G25" s="5"/>
      <c r="H25" s="5"/>
      <c r="I25" s="5"/>
      <c r="J25" s="5"/>
      <c r="K25" s="10"/>
      <c r="L25" s="5"/>
      <c r="M25" s="5"/>
      <c r="N25" s="5"/>
      <c r="O25" s="5"/>
      <c r="P25" s="5"/>
      <c r="Q25" s="10"/>
      <c r="R25" s="10"/>
      <c r="S25" s="10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ht="19" customHeight="1" x14ac:dyDescent="0.2">
      <c r="A26" s="9"/>
      <c r="B26" s="9"/>
      <c r="C26" s="7"/>
      <c r="D26" s="7"/>
      <c r="E26" s="7"/>
      <c r="F26" s="5"/>
      <c r="G26" s="5"/>
      <c r="H26" s="5"/>
      <c r="I26" s="5"/>
      <c r="J26" s="5"/>
      <c r="K26" s="10"/>
      <c r="L26" s="5"/>
      <c r="M26" s="5"/>
      <c r="N26" s="5"/>
      <c r="O26" s="5"/>
      <c r="P26" s="5"/>
      <c r="Q26" s="10"/>
      <c r="R26" s="10"/>
      <c r="S26" s="10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ht="19" customHeight="1" x14ac:dyDescent="0.2">
      <c r="A27" s="9"/>
      <c r="B27" s="9"/>
      <c r="C27" s="7"/>
      <c r="D27" s="7"/>
      <c r="E27" s="7"/>
      <c r="F27" s="5"/>
      <c r="G27" s="5"/>
      <c r="H27" s="5"/>
      <c r="I27" s="5"/>
      <c r="J27" s="5"/>
      <c r="K27" s="10"/>
      <c r="L27" s="5"/>
      <c r="M27" s="5"/>
      <c r="N27" s="5"/>
      <c r="O27" s="5"/>
      <c r="P27" s="5"/>
      <c r="Q27" s="10"/>
      <c r="R27" s="10"/>
      <c r="S27" s="10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ht="17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6"/>
      <c r="N28" s="6"/>
      <c r="O28" s="6"/>
      <c r="P28" s="6"/>
      <c r="Q28" s="7"/>
      <c r="R28" s="6"/>
      <c r="S28" s="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ht="17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6"/>
      <c r="N29" s="6"/>
      <c r="O29" s="6"/>
      <c r="P29" s="6"/>
      <c r="Q29" s="6"/>
      <c r="R29" s="6"/>
      <c r="S29" s="6"/>
      <c r="T29" s="6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ht="17.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6"/>
      <c r="N30" s="6"/>
      <c r="O30" s="6"/>
      <c r="P30" s="6"/>
      <c r="Q30" s="6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ht="17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ht="17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ht="17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6"/>
      <c r="N33" s="6"/>
      <c r="O33" s="6"/>
      <c r="P33" s="6"/>
      <c r="Q33" s="7"/>
      <c r="R33" s="6"/>
      <c r="S33" s="6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ht="17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6"/>
      <c r="N34" s="6"/>
      <c r="O34" s="6"/>
      <c r="P34" s="6"/>
      <c r="Q34" s="6"/>
      <c r="R34" s="6"/>
      <c r="S34" s="6"/>
      <c r="T34" s="6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ht="17.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6"/>
      <c r="N35" s="6"/>
      <c r="O35" s="6"/>
      <c r="P35" s="6"/>
      <c r="Q35" s="6"/>
      <c r="R35" s="6"/>
      <c r="S35" s="6"/>
      <c r="T35" s="6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ht="17" customHeight="1" x14ac:dyDescent="0.2">
      <c r="A36" s="4" t="s">
        <v>252</v>
      </c>
      <c r="B36" s="7"/>
      <c r="C36" s="7"/>
      <c r="D36" s="7"/>
      <c r="E36" s="7"/>
      <c r="F36" s="7"/>
      <c r="G36" s="7">
        <f>SUM(G3:G35)</f>
        <v>0</v>
      </c>
      <c r="H36" s="7">
        <f t="shared" ref="H36:AD36" si="0">SUM(H3:H35)</f>
        <v>0</v>
      </c>
      <c r="I36" s="7">
        <f t="shared" si="0"/>
        <v>0</v>
      </c>
      <c r="J36" s="7">
        <f t="shared" si="0"/>
        <v>38</v>
      </c>
      <c r="K36" s="7">
        <f t="shared" si="0"/>
        <v>0</v>
      </c>
      <c r="L36" s="7">
        <f t="shared" si="0"/>
        <v>0</v>
      </c>
      <c r="M36" s="7">
        <f t="shared" si="0"/>
        <v>0</v>
      </c>
      <c r="N36" s="7">
        <f t="shared" si="0"/>
        <v>1</v>
      </c>
      <c r="O36" s="7">
        <f t="shared" si="0"/>
        <v>0</v>
      </c>
      <c r="P36" s="7">
        <f t="shared" si="0"/>
        <v>0</v>
      </c>
      <c r="Q36" s="7">
        <f t="shared" si="0"/>
        <v>0</v>
      </c>
      <c r="R36" s="7">
        <f t="shared" si="0"/>
        <v>0</v>
      </c>
      <c r="S36" s="7">
        <f t="shared" si="0"/>
        <v>4</v>
      </c>
      <c r="T36" s="7">
        <f t="shared" si="0"/>
        <v>1182.3157894736842</v>
      </c>
      <c r="U36" s="7" t="e">
        <f t="shared" si="0"/>
        <v>#DIV/0!</v>
      </c>
      <c r="V36" s="7" t="e">
        <f t="shared" si="0"/>
        <v>#DIV/0!</v>
      </c>
      <c r="W36" s="7">
        <f t="shared" si="0"/>
        <v>0</v>
      </c>
      <c r="X36" s="7">
        <f t="shared" si="0"/>
        <v>0</v>
      </c>
      <c r="Y36" s="7">
        <f t="shared" si="0"/>
        <v>0</v>
      </c>
      <c r="Z36" s="7">
        <f t="shared" si="0"/>
        <v>0</v>
      </c>
      <c r="AA36" s="7">
        <f>SUM(AA3:AA35)</f>
        <v>0</v>
      </c>
      <c r="AB36" s="7">
        <f t="shared" si="0"/>
        <v>0</v>
      </c>
      <c r="AC36" s="7">
        <f t="shared" si="0"/>
        <v>19</v>
      </c>
      <c r="AD36" s="7">
        <f t="shared" si="0"/>
        <v>0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ht="17.5" customHeight="1" x14ac:dyDescent="0.2">
      <c r="A37" s="7"/>
      <c r="B37" s="7"/>
      <c r="C37" s="7"/>
      <c r="D37" s="7"/>
      <c r="E37" s="7"/>
      <c r="F37" s="7"/>
      <c r="G37" s="7">
        <f>G36+H36+I36+J36</f>
        <v>38</v>
      </c>
      <c r="H37" s="7"/>
      <c r="I37" s="7"/>
      <c r="J37" s="7"/>
      <c r="K37" s="7">
        <f>K36+L36+M36+N36+O36+P36</f>
        <v>1</v>
      </c>
      <c r="L37" s="7"/>
      <c r="M37" s="6"/>
      <c r="N37" s="6"/>
      <c r="O37" s="6"/>
      <c r="P37" s="6"/>
      <c r="Q37" s="6">
        <f>Q36/K37</f>
        <v>0</v>
      </c>
      <c r="R37" s="6"/>
      <c r="S37" s="6"/>
      <c r="T37" s="6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ht="17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6"/>
      <c r="N38" s="6"/>
      <c r="O38" s="6"/>
      <c r="P38" s="6"/>
      <c r="Q38" s="6"/>
      <c r="R38" s="6"/>
      <c r="S38" s="6"/>
      <c r="T38" s="6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ht="17.5" customHeight="1" x14ac:dyDescent="0.2">
      <c r="A39" s="11"/>
      <c r="B39" s="11"/>
      <c r="C39" s="11"/>
      <c r="D39" s="12"/>
      <c r="E39" s="11"/>
      <c r="F39" s="12"/>
      <c r="G39" s="12"/>
      <c r="H39" s="12"/>
      <c r="I39" s="12"/>
      <c r="J39" s="12"/>
      <c r="K39" s="13"/>
      <c r="L39" s="12"/>
      <c r="M39" s="12"/>
      <c r="N39" s="12"/>
      <c r="O39" s="12"/>
      <c r="P39" s="12"/>
      <c r="Q39" s="13"/>
      <c r="R39" s="13"/>
      <c r="S39" s="13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ht="28" customHeight="1" x14ac:dyDescent="0.2">
      <c r="A40" s="11"/>
      <c r="B40" s="11"/>
      <c r="C40" s="11"/>
      <c r="D40" s="12"/>
      <c r="E40" s="11"/>
      <c r="F40" s="12"/>
      <c r="G40" s="12"/>
      <c r="H40" s="12"/>
      <c r="I40" s="12"/>
      <c r="J40" s="14"/>
      <c r="K40" s="15"/>
      <c r="L40" s="16"/>
      <c r="M40" s="12"/>
      <c r="N40" s="12"/>
      <c r="O40" s="12"/>
      <c r="P40" s="14"/>
      <c r="Q40" s="15"/>
      <c r="R40" s="15"/>
      <c r="S40" s="15"/>
      <c r="T40" s="17"/>
      <c r="U40" s="12"/>
      <c r="V40" s="12"/>
      <c r="W40" s="12"/>
      <c r="X40" s="12"/>
      <c r="Y40" s="12"/>
      <c r="Z40" s="12"/>
      <c r="AA40" s="12"/>
      <c r="AB40" s="12"/>
      <c r="AC40" s="12"/>
      <c r="AD40" s="11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ht="17.5" customHeight="1" x14ac:dyDescent="0.2">
      <c r="B41" s="7"/>
      <c r="C41" s="7"/>
      <c r="D41" s="7"/>
      <c r="E41" s="7"/>
      <c r="F41" s="7"/>
      <c r="G41" s="7"/>
      <c r="H41" s="7"/>
      <c r="I41" s="7"/>
      <c r="J41" s="7"/>
      <c r="K41" s="9"/>
      <c r="L41" s="7"/>
      <c r="M41" s="6"/>
      <c r="N41" s="6"/>
      <c r="O41" s="6"/>
      <c r="P41" s="6"/>
      <c r="Q41" s="18"/>
      <c r="R41" s="18"/>
      <c r="S41" s="18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ht="17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6"/>
      <c r="N42" s="6"/>
      <c r="O42" s="6"/>
      <c r="P42" s="6"/>
      <c r="Q42" s="7"/>
      <c r="R42" s="6"/>
      <c r="S42" s="6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ht="17.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6"/>
      <c r="N43" s="6"/>
      <c r="O43" s="6"/>
      <c r="P43" s="6"/>
      <c r="Q43" s="6"/>
      <c r="R43" s="6"/>
      <c r="S43" s="6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ht="17.5" customHeight="1" x14ac:dyDescent="0.2">
      <c r="A44" s="7"/>
      <c r="B44" s="7"/>
      <c r="C44" s="7"/>
      <c r="D44" s="7"/>
      <c r="E44" s="7"/>
      <c r="F44" s="7"/>
      <c r="G44" s="7"/>
      <c r="H44" s="7" t="s">
        <v>0</v>
      </c>
      <c r="I44" s="7" t="s">
        <v>1</v>
      </c>
      <c r="J44" s="7" t="s">
        <v>2</v>
      </c>
      <c r="K44" s="7" t="s">
        <v>3</v>
      </c>
      <c r="L44" s="7" t="s">
        <v>4</v>
      </c>
      <c r="M44" s="6" t="s">
        <v>5</v>
      </c>
      <c r="N44" s="6" t="s">
        <v>6</v>
      </c>
      <c r="O44" s="6" t="s">
        <v>7</v>
      </c>
      <c r="P44" s="6" t="s">
        <v>8</v>
      </c>
      <c r="Q44" s="6"/>
      <c r="R44" s="6"/>
      <c r="S44" s="6"/>
      <c r="T44" s="7"/>
      <c r="U44" s="6"/>
      <c r="V44" s="6"/>
      <c r="W44" s="6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ht="17.5" customHeight="1" x14ac:dyDescent="0.2">
      <c r="A45" s="7"/>
      <c r="B45" s="7"/>
      <c r="C45" s="7"/>
      <c r="D45" s="7"/>
      <c r="E45" s="7"/>
      <c r="F45" s="7"/>
      <c r="G45" s="7"/>
      <c r="H45" s="7" t="s">
        <v>429</v>
      </c>
      <c r="I45" s="7" t="s">
        <v>3200</v>
      </c>
      <c r="J45" s="7" t="s">
        <v>12</v>
      </c>
      <c r="K45" s="7" t="s">
        <v>19</v>
      </c>
      <c r="L45" s="7">
        <v>1864</v>
      </c>
      <c r="M45" s="6">
        <v>56</v>
      </c>
      <c r="N45" s="6" t="s">
        <v>3201</v>
      </c>
      <c r="O45" s="6" t="s">
        <v>3202</v>
      </c>
      <c r="P45" s="6" t="s">
        <v>3203</v>
      </c>
      <c r="Q45" s="7"/>
      <c r="R45" s="6"/>
      <c r="S45" s="6"/>
      <c r="T45" s="7"/>
      <c r="U45" s="6"/>
      <c r="V45" s="6"/>
      <c r="W45" s="6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ht="17.5" customHeight="1" x14ac:dyDescent="0.2">
      <c r="A46" s="7"/>
      <c r="B46" s="7"/>
      <c r="C46" s="7"/>
      <c r="D46" s="7"/>
      <c r="E46" s="7"/>
      <c r="F46" s="7"/>
      <c r="G46" s="7"/>
      <c r="H46" s="7" t="s">
        <v>1414</v>
      </c>
      <c r="I46" s="7" t="s">
        <v>959</v>
      </c>
      <c r="J46" s="7" t="s">
        <v>3204</v>
      </c>
      <c r="K46" s="7" t="s">
        <v>19</v>
      </c>
      <c r="L46" s="7">
        <v>1894</v>
      </c>
      <c r="M46" s="6">
        <v>27</v>
      </c>
      <c r="N46" s="6" t="s">
        <v>3205</v>
      </c>
      <c r="O46" s="6" t="s">
        <v>3206</v>
      </c>
      <c r="P46" s="6" t="s">
        <v>3207</v>
      </c>
      <c r="Q46" s="7"/>
      <c r="R46" s="6"/>
      <c r="S46" s="6"/>
      <c r="T46" s="7"/>
      <c r="U46" s="6"/>
      <c r="V46" s="6"/>
      <c r="W46" s="6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ht="17.5" customHeight="1" x14ac:dyDescent="0.2">
      <c r="A47" s="7"/>
      <c r="B47" s="7"/>
      <c r="C47" s="7"/>
      <c r="D47" s="7"/>
      <c r="E47" s="7"/>
      <c r="F47" s="7"/>
      <c r="G47" s="7"/>
      <c r="H47" s="7" t="s">
        <v>3208</v>
      </c>
      <c r="I47" s="7" t="s">
        <v>3200</v>
      </c>
      <c r="J47" s="7" t="s">
        <v>26</v>
      </c>
      <c r="K47" s="7" t="s">
        <v>19</v>
      </c>
      <c r="L47" s="7">
        <v>1897</v>
      </c>
      <c r="M47" s="6">
        <v>24</v>
      </c>
      <c r="N47" s="6" t="s">
        <v>3209</v>
      </c>
      <c r="O47" s="6" t="s">
        <v>1808</v>
      </c>
      <c r="P47" s="6" t="s">
        <v>3210</v>
      </c>
      <c r="Q47" s="7"/>
      <c r="R47" s="6"/>
      <c r="S47" s="6"/>
      <c r="T47" s="7"/>
      <c r="U47" s="6"/>
      <c r="V47" s="6"/>
      <c r="W47" s="6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ht="17.5" customHeight="1" x14ac:dyDescent="0.2">
      <c r="A48" s="7"/>
      <c r="B48" s="7"/>
      <c r="C48" s="7"/>
      <c r="D48" s="7"/>
      <c r="E48" s="7"/>
      <c r="F48" s="7"/>
      <c r="G48" s="7"/>
      <c r="H48" s="7" t="s">
        <v>937</v>
      </c>
      <c r="I48" s="7" t="s">
        <v>940</v>
      </c>
      <c r="J48" s="7" t="s">
        <v>26</v>
      </c>
      <c r="K48" s="7" t="s">
        <v>19</v>
      </c>
      <c r="L48" s="7">
        <v>1902</v>
      </c>
      <c r="M48" s="6">
        <v>19</v>
      </c>
      <c r="N48" s="6" t="s">
        <v>1896</v>
      </c>
      <c r="O48" s="6" t="s">
        <v>2192</v>
      </c>
      <c r="P48" s="6" t="s">
        <v>3211</v>
      </c>
      <c r="Q48" s="7"/>
      <c r="R48" s="6"/>
      <c r="S48" s="6"/>
      <c r="T48" s="7"/>
      <c r="U48" s="6"/>
      <c r="V48" s="6"/>
      <c r="W48" s="6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ht="17" customHeight="1" x14ac:dyDescent="0.2">
      <c r="A49" s="7"/>
      <c r="B49" s="7"/>
      <c r="C49" s="7"/>
      <c r="D49" s="7"/>
      <c r="E49" s="7"/>
      <c r="F49" s="7"/>
      <c r="G49" s="7"/>
      <c r="H49" s="7" t="s">
        <v>345</v>
      </c>
      <c r="I49" s="7" t="s">
        <v>3212</v>
      </c>
      <c r="J49" s="7" t="s">
        <v>26</v>
      </c>
      <c r="K49" s="7" t="s">
        <v>19</v>
      </c>
      <c r="L49" s="7">
        <v>1895</v>
      </c>
      <c r="M49" s="7">
        <v>25</v>
      </c>
      <c r="N49" s="7" t="s">
        <v>415</v>
      </c>
      <c r="O49" s="7" t="s">
        <v>3213</v>
      </c>
      <c r="P49" s="7" t="s">
        <v>3214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ht="17.5" customHeight="1" x14ac:dyDescent="0.2">
      <c r="A50" s="7"/>
      <c r="B50" s="7"/>
      <c r="C50" s="7"/>
      <c r="D50" s="7"/>
      <c r="E50" s="7"/>
      <c r="F50" s="7"/>
      <c r="G50" s="7"/>
      <c r="H50" s="7" t="s">
        <v>998</v>
      </c>
      <c r="I50" s="7" t="s">
        <v>107</v>
      </c>
      <c r="J50" s="7" t="s">
        <v>26</v>
      </c>
      <c r="K50" s="7" t="s">
        <v>19</v>
      </c>
      <c r="L50" s="7">
        <v>1898</v>
      </c>
      <c r="M50" s="6">
        <v>23</v>
      </c>
      <c r="N50" s="6" t="s">
        <v>415</v>
      </c>
      <c r="O50" s="6" t="s">
        <v>3215</v>
      </c>
      <c r="P50" s="6" t="s">
        <v>3216</v>
      </c>
      <c r="Q50" s="7"/>
      <c r="R50" s="6"/>
      <c r="S50" s="6"/>
      <c r="T50" s="19"/>
      <c r="U50" s="6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ht="17.5" customHeight="1" x14ac:dyDescent="0.2">
      <c r="A51" s="7"/>
      <c r="B51" s="7"/>
      <c r="C51" s="7"/>
      <c r="D51" s="7"/>
      <c r="E51" s="7"/>
      <c r="F51" s="7"/>
      <c r="G51" s="7"/>
      <c r="H51" s="7" t="s">
        <v>115</v>
      </c>
      <c r="I51" s="7" t="s">
        <v>3217</v>
      </c>
      <c r="J51" s="7" t="s">
        <v>26</v>
      </c>
      <c r="K51" s="7" t="s">
        <v>19</v>
      </c>
      <c r="L51" s="7">
        <v>1884</v>
      </c>
      <c r="M51" s="6">
        <v>36</v>
      </c>
      <c r="N51" s="6" t="s">
        <v>1675</v>
      </c>
      <c r="O51" s="6" t="s">
        <v>1904</v>
      </c>
      <c r="P51" s="6" t="s">
        <v>3218</v>
      </c>
      <c r="Q51" s="7"/>
      <c r="R51" s="6"/>
      <c r="S51" s="6"/>
      <c r="T51" s="7"/>
      <c r="U51" s="6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ht="17.5" customHeight="1" x14ac:dyDescent="0.2">
      <c r="A52" s="7"/>
      <c r="B52" s="7"/>
      <c r="C52" s="7"/>
      <c r="D52" s="7"/>
      <c r="E52" s="7"/>
      <c r="F52" s="7"/>
      <c r="G52" s="7"/>
      <c r="H52" s="7" t="s">
        <v>351</v>
      </c>
      <c r="I52" s="7" t="s">
        <v>3219</v>
      </c>
      <c r="J52" s="7" t="s">
        <v>26</v>
      </c>
      <c r="K52" s="7" t="s">
        <v>19</v>
      </c>
      <c r="L52" s="7">
        <v>1896</v>
      </c>
      <c r="M52" s="6">
        <v>25</v>
      </c>
      <c r="N52" s="6" t="s">
        <v>1947</v>
      </c>
      <c r="O52" s="6" t="s">
        <v>1904</v>
      </c>
      <c r="P52" s="6" t="s">
        <v>3218</v>
      </c>
      <c r="Q52" s="7"/>
      <c r="R52" s="6"/>
      <c r="S52" s="6"/>
      <c r="T52" s="7"/>
      <c r="U52" s="6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ht="17.5" customHeight="1" x14ac:dyDescent="0.2">
      <c r="A53" s="7"/>
      <c r="B53" s="7"/>
      <c r="C53" s="7"/>
      <c r="D53" s="7"/>
      <c r="E53" s="7"/>
      <c r="F53" s="7"/>
      <c r="G53" s="7"/>
      <c r="H53" s="7" t="s">
        <v>3220</v>
      </c>
      <c r="I53" s="7" t="s">
        <v>371</v>
      </c>
      <c r="J53" s="7" t="s">
        <v>26</v>
      </c>
      <c r="K53" s="7" t="s">
        <v>19</v>
      </c>
      <c r="L53" s="7">
        <v>1898</v>
      </c>
      <c r="M53" s="6">
        <v>22</v>
      </c>
      <c r="N53" s="6" t="s">
        <v>3221</v>
      </c>
      <c r="O53" s="6" t="s">
        <v>1904</v>
      </c>
      <c r="P53" s="6" t="s">
        <v>3218</v>
      </c>
      <c r="Q53" s="7"/>
      <c r="R53" s="6"/>
      <c r="S53" s="6"/>
      <c r="T53" s="19"/>
      <c r="U53" s="6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ht="17.5" customHeight="1" x14ac:dyDescent="0.2">
      <c r="A54" s="7"/>
      <c r="B54" s="7"/>
      <c r="C54" s="7"/>
      <c r="D54" s="7"/>
      <c r="E54" s="7"/>
      <c r="F54" s="7"/>
      <c r="G54" s="7"/>
      <c r="H54" s="7" t="s">
        <v>3222</v>
      </c>
      <c r="I54" s="7" t="s">
        <v>3223</v>
      </c>
      <c r="J54" s="7" t="s">
        <v>26</v>
      </c>
      <c r="K54" s="7" t="s">
        <v>19</v>
      </c>
      <c r="L54" s="7">
        <v>1900</v>
      </c>
      <c r="M54" s="6">
        <v>21</v>
      </c>
      <c r="N54" s="6" t="s">
        <v>3224</v>
      </c>
      <c r="O54" s="6" t="s">
        <v>1904</v>
      </c>
      <c r="P54" s="6" t="s">
        <v>3225</v>
      </c>
      <c r="Q54" s="7"/>
      <c r="R54" s="6"/>
      <c r="S54" s="6"/>
      <c r="T54" s="7"/>
      <c r="U54" s="6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ht="17.5" customHeight="1" x14ac:dyDescent="0.2">
      <c r="A55" s="7"/>
      <c r="B55" s="7"/>
      <c r="C55" s="7"/>
      <c r="D55" s="7"/>
      <c r="E55" s="7"/>
      <c r="F55" s="7"/>
      <c r="G55" s="7"/>
      <c r="H55" s="7" t="s">
        <v>24</v>
      </c>
      <c r="I55" s="7" t="s">
        <v>3226</v>
      </c>
      <c r="J55" s="7" t="s">
        <v>20</v>
      </c>
      <c r="K55" s="7" t="s">
        <v>19</v>
      </c>
      <c r="L55" s="7">
        <v>1889</v>
      </c>
      <c r="M55" s="6">
        <v>32</v>
      </c>
      <c r="N55" s="6" t="s">
        <v>415</v>
      </c>
      <c r="O55" s="6" t="s">
        <v>3227</v>
      </c>
      <c r="P55" s="6" t="s">
        <v>3228</v>
      </c>
      <c r="Q55" s="7"/>
      <c r="R55" s="6"/>
      <c r="S55" s="6"/>
      <c r="T55" s="7"/>
      <c r="U55" s="6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ht="17.5" customHeight="1" x14ac:dyDescent="0.2">
      <c r="A56" s="7"/>
      <c r="B56" s="7"/>
      <c r="C56" s="7"/>
      <c r="D56" s="7"/>
      <c r="E56" s="7"/>
      <c r="F56" s="7"/>
      <c r="G56" s="7"/>
      <c r="H56" s="7" t="s">
        <v>3229</v>
      </c>
      <c r="I56" s="7" t="s">
        <v>3230</v>
      </c>
      <c r="J56" s="7" t="s">
        <v>20</v>
      </c>
      <c r="K56" s="7" t="s">
        <v>19</v>
      </c>
      <c r="L56" s="7">
        <v>1870</v>
      </c>
      <c r="M56" s="6">
        <v>50</v>
      </c>
      <c r="N56" s="6" t="s">
        <v>1491</v>
      </c>
      <c r="O56" s="6" t="s">
        <v>3231</v>
      </c>
      <c r="P56" s="6" t="s">
        <v>3228</v>
      </c>
      <c r="Q56" s="7"/>
      <c r="R56" s="6"/>
      <c r="S56" s="6"/>
      <c r="T56" s="7"/>
      <c r="U56" s="6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ht="17" customHeight="1" x14ac:dyDescent="0.2">
      <c r="A57" s="4" t="s">
        <v>252</v>
      </c>
      <c r="B57" s="7"/>
      <c r="C57" s="7"/>
      <c r="D57" s="7"/>
      <c r="E57" s="7"/>
      <c r="F57" s="7"/>
      <c r="G57" s="7">
        <f>SUM(G3:G56)</f>
        <v>38</v>
      </c>
      <c r="H57" s="7" t="s">
        <v>3232</v>
      </c>
      <c r="I57" s="7" t="s">
        <v>402</v>
      </c>
      <c r="J57" s="7" t="s">
        <v>20</v>
      </c>
      <c r="K57" s="7" t="s">
        <v>19</v>
      </c>
      <c r="L57" s="7">
        <v>1886</v>
      </c>
      <c r="M57" s="7">
        <v>35</v>
      </c>
      <c r="N57" s="7" t="s">
        <v>3233</v>
      </c>
      <c r="O57" s="7" t="s">
        <v>3231</v>
      </c>
      <c r="P57" s="7" t="s">
        <v>3228</v>
      </c>
      <c r="Q57" s="7">
        <f t="shared" ref="Q57:W57" si="1">SUM(Q3:Q56)</f>
        <v>0</v>
      </c>
      <c r="R57" s="7">
        <f t="shared" si="1"/>
        <v>0</v>
      </c>
      <c r="S57" s="7">
        <f t="shared" si="1"/>
        <v>8</v>
      </c>
      <c r="T57" s="7">
        <f t="shared" si="1"/>
        <v>2364.6315789473683</v>
      </c>
      <c r="U57" s="7" t="e">
        <f t="shared" si="1"/>
        <v>#DIV/0!</v>
      </c>
      <c r="V57" s="7" t="e">
        <f t="shared" si="1"/>
        <v>#DIV/0!</v>
      </c>
      <c r="W57" s="7">
        <f t="shared" si="1"/>
        <v>0</v>
      </c>
      <c r="X57" s="7"/>
      <c r="Y57" s="7"/>
      <c r="Z57" s="7">
        <f>SUM(Z3:Z56)</f>
        <v>0</v>
      </c>
      <c r="AA57" s="7">
        <f>SUM(AA3:AA56)</f>
        <v>0</v>
      </c>
      <c r="AB57" s="7">
        <f>SUM(AB3:AB56)</f>
        <v>0</v>
      </c>
      <c r="AC57" s="7">
        <f>SUM(AC3:AC56)</f>
        <v>38</v>
      </c>
      <c r="AD57" s="7">
        <f>SUM(AD3:AD56)</f>
        <v>0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ht="17" customHeight="1" x14ac:dyDescent="0.2">
      <c r="A58" s="7"/>
      <c r="B58" s="7"/>
      <c r="C58" s="7"/>
      <c r="D58" s="7"/>
      <c r="E58" s="7"/>
      <c r="F58" s="7"/>
      <c r="G58" s="7"/>
      <c r="H58" s="7" t="s">
        <v>90</v>
      </c>
      <c r="I58" s="7" t="s">
        <v>3234</v>
      </c>
      <c r="J58" s="7" t="s">
        <v>20</v>
      </c>
      <c r="K58" s="7" t="s">
        <v>19</v>
      </c>
      <c r="L58" s="7">
        <v>1894</v>
      </c>
      <c r="M58" s="7">
        <v>27</v>
      </c>
      <c r="N58" s="7" t="s">
        <v>3235</v>
      </c>
      <c r="O58" s="7" t="s">
        <v>3236</v>
      </c>
      <c r="P58" s="7" t="s">
        <v>3228</v>
      </c>
      <c r="Q58" s="20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ht="17" customHeight="1" x14ac:dyDescent="0.2">
      <c r="A59" s="7"/>
      <c r="B59" s="7"/>
      <c r="C59" s="7"/>
      <c r="D59" s="7"/>
      <c r="E59" s="7"/>
      <c r="F59" s="7"/>
      <c r="G59" s="21"/>
      <c r="H59" s="21" t="s">
        <v>3220</v>
      </c>
      <c r="I59" s="21" t="s">
        <v>3237</v>
      </c>
      <c r="J59" s="7" t="s">
        <v>20</v>
      </c>
      <c r="K59" s="7" t="s">
        <v>19</v>
      </c>
      <c r="L59" s="7">
        <v>1883</v>
      </c>
      <c r="M59" s="7">
        <v>38</v>
      </c>
      <c r="N59" s="7" t="s">
        <v>778</v>
      </c>
      <c r="O59" s="7" t="s">
        <v>3238</v>
      </c>
      <c r="P59" s="7" t="s">
        <v>3228</v>
      </c>
      <c r="Q59" s="20"/>
      <c r="R59" s="21"/>
      <c r="S59" s="21"/>
      <c r="T59" s="21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ht="17.5" customHeight="1" x14ac:dyDescent="0.2">
      <c r="A60" s="7"/>
      <c r="B60" s="7"/>
      <c r="C60" s="7"/>
      <c r="D60" s="7"/>
      <c r="E60" s="7"/>
      <c r="F60" s="7"/>
      <c r="G60" s="7"/>
      <c r="H60" s="7" t="s">
        <v>24</v>
      </c>
      <c r="I60" s="7" t="s">
        <v>3239</v>
      </c>
      <c r="J60" s="7" t="s">
        <v>20</v>
      </c>
      <c r="K60" s="7" t="s">
        <v>19</v>
      </c>
      <c r="L60" s="7">
        <v>1875</v>
      </c>
      <c r="M60" s="7">
        <v>46</v>
      </c>
      <c r="N60" s="7" t="s">
        <v>3240</v>
      </c>
      <c r="O60" s="7" t="s">
        <v>3241</v>
      </c>
      <c r="P60" s="7" t="s">
        <v>3228</v>
      </c>
      <c r="Q60" s="7"/>
      <c r="R60" s="6"/>
      <c r="S60" s="6"/>
      <c r="T60" s="19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ht="17" customHeight="1" x14ac:dyDescent="0.2">
      <c r="A61" s="7"/>
      <c r="B61" s="7"/>
      <c r="C61" s="7"/>
      <c r="D61" s="7"/>
      <c r="E61" s="7"/>
      <c r="F61" s="7"/>
      <c r="G61" s="7"/>
      <c r="H61" s="7" t="s">
        <v>3242</v>
      </c>
      <c r="I61" s="7" t="s">
        <v>1571</v>
      </c>
      <c r="J61" s="7" t="s">
        <v>20</v>
      </c>
      <c r="K61" s="7" t="s">
        <v>19</v>
      </c>
      <c r="L61" s="7">
        <v>1894</v>
      </c>
      <c r="M61" s="7">
        <v>27</v>
      </c>
      <c r="N61" s="7" t="s">
        <v>2040</v>
      </c>
      <c r="O61" s="7" t="s">
        <v>1904</v>
      </c>
      <c r="P61" s="7" t="s">
        <v>3228</v>
      </c>
      <c r="Q61" s="7"/>
      <c r="R61" s="21"/>
      <c r="S61" s="21"/>
      <c r="T61" s="21"/>
      <c r="U61" s="7"/>
      <c r="V61" s="7"/>
      <c r="W61" s="7"/>
      <c r="X61" s="7"/>
      <c r="Y61" s="7"/>
      <c r="Z61" s="7"/>
      <c r="AA61" s="7"/>
      <c r="AB61" s="7"/>
      <c r="AC61" s="22"/>
      <c r="AD61" s="22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ht="17.5" customHeight="1" x14ac:dyDescent="0.2">
      <c r="A62" s="7"/>
      <c r="B62" s="7"/>
      <c r="C62" s="7"/>
      <c r="D62" s="7"/>
      <c r="E62" s="7"/>
      <c r="F62" s="7"/>
      <c r="G62" s="7"/>
      <c r="H62" s="7" t="s">
        <v>3243</v>
      </c>
      <c r="I62" s="7" t="s">
        <v>1543</v>
      </c>
      <c r="J62" s="7" t="s">
        <v>20</v>
      </c>
      <c r="K62" s="7" t="s">
        <v>19</v>
      </c>
      <c r="L62" s="7">
        <v>1900</v>
      </c>
      <c r="M62" s="7">
        <v>21</v>
      </c>
      <c r="N62" s="7" t="s">
        <v>77</v>
      </c>
      <c r="O62" s="7" t="s">
        <v>1904</v>
      </c>
      <c r="P62" s="7" t="s">
        <v>3228</v>
      </c>
      <c r="Q62" s="7"/>
      <c r="R62" s="6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">
      <c r="H63" t="s">
        <v>3244</v>
      </c>
      <c r="I63" t="s">
        <v>3245</v>
      </c>
      <c r="J63" t="s">
        <v>20</v>
      </c>
      <c r="K63" t="s">
        <v>19</v>
      </c>
      <c r="L63">
        <v>1899</v>
      </c>
      <c r="M63">
        <v>22</v>
      </c>
      <c r="N63" t="s">
        <v>2040</v>
      </c>
      <c r="O63" t="s">
        <v>1904</v>
      </c>
      <c r="P63" t="s">
        <v>3228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2710-0177-3349-9EA3-53DB37F7AAC8}">
  <dimension ref="A1:BT47"/>
  <sheetViews>
    <sheetView topLeftCell="Z1" zoomScale="118" zoomScaleNormal="118" workbookViewId="0">
      <pane ySplit="2" topLeftCell="A25" activePane="bottomLeft" state="frozen"/>
      <selection pane="bottomLeft" activeCell="A27" sqref="A27:XFD27"/>
    </sheetView>
  </sheetViews>
  <sheetFormatPr baseColWidth="10" defaultColWidth="10.83203125" defaultRowHeight="16" x14ac:dyDescent="0.2"/>
  <cols>
    <col min="3" max="3" width="7.1640625" customWidth="1"/>
    <col min="4" max="4" width="18.1640625" customWidth="1"/>
    <col min="7" max="8" width="10.83203125" style="139"/>
    <col min="9" max="9" width="10.83203125" style="64"/>
    <col min="10" max="10" width="10.1640625" customWidth="1"/>
    <col min="11" max="11" width="6.5" customWidth="1"/>
    <col min="12" max="12" width="8.33203125" customWidth="1"/>
    <col min="13" max="13" width="6.5" customWidth="1"/>
    <col min="14" max="14" width="11.83203125" customWidth="1"/>
    <col min="15" max="15" width="7.1640625" customWidth="1"/>
    <col min="17" max="17" width="6.33203125" customWidth="1"/>
    <col min="18" max="18" width="7.5" customWidth="1"/>
    <col min="19" max="19" width="8.33203125" customWidth="1"/>
    <col min="20" max="20" width="6.6640625" customWidth="1"/>
    <col min="21" max="21" width="14.33203125" customWidth="1"/>
    <col min="22" max="22" width="5.83203125" customWidth="1"/>
    <col min="23" max="23" width="5.33203125" customWidth="1"/>
    <col min="24" max="24" width="11.83203125" customWidth="1"/>
    <col min="27" max="27" width="12.33203125" customWidth="1"/>
    <col min="28" max="28" width="17" customWidth="1"/>
    <col min="29" max="29" width="12.1640625" customWidth="1"/>
    <col min="31" max="31" width="8" customWidth="1"/>
    <col min="32" max="32" width="15.6640625" customWidth="1"/>
    <col min="35" max="35" width="6.6640625" customWidth="1"/>
    <col min="36" max="36" width="7.1640625" customWidth="1"/>
    <col min="37" max="38" width="11" customWidth="1"/>
    <col min="39" max="39" width="10.33203125" customWidth="1"/>
    <col min="40" max="40" width="6.6640625" customWidth="1"/>
    <col min="41" max="43" width="7.83203125" customWidth="1"/>
    <col min="44" max="45" width="9.33203125" customWidth="1"/>
    <col min="46" max="46" width="12.1640625" customWidth="1"/>
    <col min="47" max="47" width="7.83203125" customWidth="1"/>
    <col min="51" max="51" width="12.33203125" customWidth="1"/>
    <col min="55" max="55" width="12" customWidth="1"/>
    <col min="58" max="58" width="11.83203125" customWidth="1"/>
  </cols>
  <sheetData>
    <row r="1" spans="1:72" s="3" customFormat="1" ht="85" customHeight="1" x14ac:dyDescent="0.2">
      <c r="A1" s="80" t="s">
        <v>536</v>
      </c>
      <c r="B1" s="80" t="s">
        <v>526</v>
      </c>
      <c r="C1" s="80" t="s">
        <v>809</v>
      </c>
      <c r="D1" s="81" t="s">
        <v>528</v>
      </c>
      <c r="F1" s="81" t="s">
        <v>537</v>
      </c>
      <c r="G1" s="130"/>
      <c r="H1" s="130" t="s">
        <v>622</v>
      </c>
      <c r="I1" s="59" t="s">
        <v>529</v>
      </c>
      <c r="J1" s="81" t="s">
        <v>220</v>
      </c>
      <c r="K1" s="83"/>
      <c r="L1" s="83"/>
      <c r="M1" s="83"/>
      <c r="N1" s="81" t="s">
        <v>221</v>
      </c>
      <c r="O1" s="83"/>
      <c r="P1" s="84"/>
      <c r="Q1" s="84"/>
      <c r="R1" s="84"/>
      <c r="S1" s="84"/>
      <c r="T1" s="81" t="s">
        <v>222</v>
      </c>
      <c r="U1" s="81" t="s">
        <v>538</v>
      </c>
      <c r="V1" s="84"/>
      <c r="W1" s="84"/>
      <c r="X1" s="81" t="s">
        <v>539</v>
      </c>
      <c r="Y1" s="81" t="s">
        <v>540</v>
      </c>
      <c r="Z1" s="81" t="s">
        <v>541</v>
      </c>
      <c r="AA1" s="81" t="s">
        <v>229</v>
      </c>
      <c r="AB1" s="81" t="s">
        <v>230</v>
      </c>
      <c r="AC1" s="81" t="s">
        <v>231</v>
      </c>
      <c r="AD1" s="81" t="s">
        <v>232</v>
      </c>
      <c r="AE1" s="84"/>
      <c r="AF1" s="81" t="s">
        <v>542</v>
      </c>
      <c r="AG1" s="84"/>
      <c r="AH1" s="84"/>
      <c r="AI1" s="85"/>
      <c r="AJ1" s="86"/>
      <c r="AK1" s="86"/>
      <c r="AL1" s="86"/>
      <c r="AM1" s="12"/>
      <c r="AN1" s="12"/>
      <c r="AO1" s="86"/>
      <c r="AP1" s="86"/>
      <c r="AQ1" s="87"/>
      <c r="AR1" s="86"/>
      <c r="AS1" s="86"/>
      <c r="AT1" s="86"/>
      <c r="AU1" s="87"/>
      <c r="AV1" s="12"/>
      <c r="AW1" s="12"/>
      <c r="AX1" s="12"/>
      <c r="AY1" s="12"/>
      <c r="AZ1" s="12"/>
      <c r="BA1" s="12"/>
      <c r="BB1" s="12"/>
      <c r="BC1" s="86"/>
      <c r="BD1" s="87"/>
      <c r="BE1" s="87"/>
      <c r="BF1" s="87"/>
      <c r="BG1" s="87"/>
      <c r="BH1" s="87"/>
      <c r="BI1" s="86"/>
      <c r="BJ1" s="86"/>
      <c r="BK1" s="86"/>
      <c r="BL1" s="86"/>
      <c r="BM1" s="86"/>
      <c r="BN1" s="86"/>
      <c r="BO1" s="12"/>
      <c r="BP1" s="12"/>
      <c r="BQ1" s="12"/>
      <c r="BR1" s="12"/>
      <c r="BS1" s="12"/>
      <c r="BT1" s="87"/>
    </row>
    <row r="2" spans="1:72" ht="34" x14ac:dyDescent="0.2">
      <c r="A2" s="69"/>
      <c r="B2" s="69"/>
      <c r="C2" s="77"/>
      <c r="D2" s="69"/>
      <c r="F2" s="69"/>
      <c r="G2" s="131"/>
      <c r="H2" s="131"/>
      <c r="I2" s="70"/>
      <c r="J2" s="88" t="s">
        <v>237</v>
      </c>
      <c r="K2" s="88" t="s">
        <v>238</v>
      </c>
      <c r="L2" s="88" t="s">
        <v>239</v>
      </c>
      <c r="M2" s="88" t="s">
        <v>240</v>
      </c>
      <c r="N2" s="88" t="s">
        <v>543</v>
      </c>
      <c r="O2" s="88" t="s">
        <v>242</v>
      </c>
      <c r="P2" s="88" t="s">
        <v>243</v>
      </c>
      <c r="Q2" s="88" t="s">
        <v>244</v>
      </c>
      <c r="R2" s="88" t="s">
        <v>245</v>
      </c>
      <c r="S2" s="88" t="s">
        <v>26</v>
      </c>
      <c r="T2" s="89"/>
      <c r="U2" s="88" t="s">
        <v>238</v>
      </c>
      <c r="V2" s="88" t="s">
        <v>544</v>
      </c>
      <c r="W2" s="88" t="s">
        <v>237</v>
      </c>
      <c r="X2" s="89"/>
      <c r="Y2" s="89"/>
      <c r="Z2" s="90"/>
      <c r="AA2" s="88" t="s">
        <v>545</v>
      </c>
      <c r="AB2" s="88" t="s">
        <v>545</v>
      </c>
      <c r="AC2" s="89"/>
      <c r="AD2" s="88" t="s">
        <v>8</v>
      </c>
      <c r="AE2" s="88" t="s">
        <v>546</v>
      </c>
      <c r="AF2" s="80" t="s">
        <v>251</v>
      </c>
      <c r="AG2" s="67" t="s">
        <v>245</v>
      </c>
      <c r="AH2" s="91" t="s">
        <v>547</v>
      </c>
      <c r="AI2" s="92" t="s">
        <v>548</v>
      </c>
      <c r="AJ2" s="7"/>
      <c r="AK2" s="7"/>
      <c r="AL2" s="7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5"/>
      <c r="BG2" s="5"/>
      <c r="BH2" s="5"/>
      <c r="BI2" s="5"/>
      <c r="BJ2" s="5"/>
      <c r="BK2" s="5"/>
      <c r="BL2" s="6"/>
      <c r="BM2" s="6"/>
      <c r="BN2" s="6"/>
      <c r="BO2" s="6"/>
      <c r="BP2" s="6"/>
      <c r="BQ2" s="7"/>
      <c r="BR2" s="7"/>
      <c r="BS2" s="7"/>
      <c r="BT2" s="7"/>
    </row>
    <row r="3" spans="1:72" x14ac:dyDescent="0.2">
      <c r="A3" s="67" t="s">
        <v>549</v>
      </c>
      <c r="B3" s="67" t="s">
        <v>523</v>
      </c>
      <c r="C3" s="69">
        <f>[1]BL!C21</f>
        <v>4</v>
      </c>
      <c r="D3" s="67" t="s">
        <v>550</v>
      </c>
      <c r="F3" s="69">
        <f>[1]BL!E21</f>
        <v>6</v>
      </c>
      <c r="G3" s="131"/>
      <c r="H3" s="131"/>
      <c r="I3" s="70">
        <v>18</v>
      </c>
      <c r="J3" s="69">
        <v>9</v>
      </c>
      <c r="K3" s="69">
        <v>7</v>
      </c>
      <c r="L3" s="69">
        <v>2</v>
      </c>
      <c r="M3" s="69">
        <v>0</v>
      </c>
      <c r="N3" s="69">
        <v>4</v>
      </c>
      <c r="O3" s="69">
        <v>3</v>
      </c>
      <c r="P3" s="69">
        <v>6</v>
      </c>
      <c r="Q3" s="69">
        <v>2</v>
      </c>
      <c r="R3" s="69">
        <v>3</v>
      </c>
      <c r="S3" s="69">
        <v>0</v>
      </c>
      <c r="T3" s="69">
        <v>669</v>
      </c>
      <c r="U3" s="69">
        <v>8</v>
      </c>
      <c r="V3" s="69">
        <v>7</v>
      </c>
      <c r="W3" s="69">
        <v>1</v>
      </c>
      <c r="X3" s="69">
        <v>96</v>
      </c>
      <c r="Y3" s="69">
        <v>12</v>
      </c>
      <c r="Z3" s="69">
        <v>11</v>
      </c>
      <c r="AA3" s="69"/>
      <c r="AB3" s="77"/>
      <c r="AC3" s="77">
        <v>12</v>
      </c>
      <c r="AD3" s="69">
        <v>0</v>
      </c>
      <c r="AE3" s="69">
        <f>AC3-AD3</f>
        <v>12</v>
      </c>
      <c r="AF3" s="69">
        <v>15</v>
      </c>
      <c r="AG3" s="70">
        <f>I3-AF3</f>
        <v>3</v>
      </c>
      <c r="AH3" s="69">
        <f>AF3+AG3</f>
        <v>18</v>
      </c>
      <c r="AI3" s="71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ht="17" customHeight="1" x14ac:dyDescent="0.2">
      <c r="A4" s="76" t="s">
        <v>253</v>
      </c>
      <c r="B4" s="67" t="s">
        <v>523</v>
      </c>
      <c r="C4" s="77">
        <v>14</v>
      </c>
      <c r="D4" s="78" t="s">
        <v>534</v>
      </c>
      <c r="F4" s="69">
        <v>11</v>
      </c>
      <c r="G4" s="131"/>
      <c r="H4" s="131"/>
      <c r="I4" s="70">
        <v>62</v>
      </c>
      <c r="J4" s="69">
        <v>49</v>
      </c>
      <c r="K4" s="69">
        <v>11</v>
      </c>
      <c r="L4" s="69">
        <v>2</v>
      </c>
      <c r="M4" s="69">
        <v>0</v>
      </c>
      <c r="N4" s="69">
        <v>13</v>
      </c>
      <c r="O4" s="69">
        <v>5</v>
      </c>
      <c r="P4" s="69">
        <v>10</v>
      </c>
      <c r="Q4" s="69">
        <v>2</v>
      </c>
      <c r="R4" s="69">
        <v>6</v>
      </c>
      <c r="S4" s="69">
        <v>26</v>
      </c>
      <c r="T4" s="69">
        <v>2532</v>
      </c>
      <c r="U4" s="69">
        <v>11</v>
      </c>
      <c r="V4" s="69">
        <v>37</v>
      </c>
      <c r="W4" s="69">
        <v>12</v>
      </c>
      <c r="X4" s="69">
        <v>216</v>
      </c>
      <c r="Y4" s="69">
        <v>29</v>
      </c>
      <c r="Z4" s="69">
        <v>25</v>
      </c>
      <c r="AA4" s="69"/>
      <c r="AB4" s="69"/>
      <c r="AC4" s="77">
        <v>39</v>
      </c>
      <c r="AD4" s="69">
        <v>8</v>
      </c>
      <c r="AE4" s="69">
        <f t="shared" ref="AE4:AE40" si="0">AC4-AD4</f>
        <v>31</v>
      </c>
      <c r="AF4" s="69">
        <v>29</v>
      </c>
      <c r="AG4" s="70">
        <f t="shared" ref="AG4:AG40" si="1">I4-AF4</f>
        <v>33</v>
      </c>
      <c r="AH4" s="69">
        <f>AF4+AG4</f>
        <v>62</v>
      </c>
      <c r="AI4" s="71"/>
      <c r="AJ4" s="79" t="s">
        <v>535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</row>
    <row r="5" spans="1:72" ht="17" customHeight="1" x14ac:dyDescent="0.2">
      <c r="A5" s="76" t="s">
        <v>551</v>
      </c>
      <c r="B5" s="67" t="s">
        <v>523</v>
      </c>
      <c r="C5" s="77">
        <v>13</v>
      </c>
      <c r="D5" s="78" t="s">
        <v>552</v>
      </c>
      <c r="F5" s="69">
        <v>7</v>
      </c>
      <c r="G5" s="131"/>
      <c r="H5" s="131"/>
      <c r="I5" s="70">
        <v>48</v>
      </c>
      <c r="J5" s="69">
        <v>34</v>
      </c>
      <c r="K5" s="69">
        <v>14</v>
      </c>
      <c r="L5" s="69">
        <v>0</v>
      </c>
      <c r="M5" s="69">
        <v>0</v>
      </c>
      <c r="N5" s="69">
        <v>8</v>
      </c>
      <c r="O5" s="69">
        <v>5</v>
      </c>
      <c r="P5" s="69">
        <v>6</v>
      </c>
      <c r="Q5" s="69">
        <v>5</v>
      </c>
      <c r="R5" s="69">
        <v>4</v>
      </c>
      <c r="S5" s="69">
        <v>20</v>
      </c>
      <c r="T5" s="69">
        <v>1723</v>
      </c>
      <c r="U5" s="69">
        <v>10</v>
      </c>
      <c r="V5" s="69">
        <v>36</v>
      </c>
      <c r="W5" s="69">
        <v>1</v>
      </c>
      <c r="X5" s="69">
        <v>130</v>
      </c>
      <c r="Y5" s="69">
        <v>12</v>
      </c>
      <c r="Z5" s="69">
        <v>10</v>
      </c>
      <c r="AA5" s="69">
        <v>0</v>
      </c>
      <c r="AB5" s="69">
        <v>0</v>
      </c>
      <c r="AC5" s="77">
        <v>33</v>
      </c>
      <c r="AD5" s="69">
        <v>8</v>
      </c>
      <c r="AE5" s="69">
        <f t="shared" si="0"/>
        <v>25</v>
      </c>
      <c r="AF5" s="69">
        <v>31</v>
      </c>
      <c r="AG5" s="70">
        <f t="shared" si="1"/>
        <v>17</v>
      </c>
      <c r="AH5" s="69"/>
      <c r="AI5" s="71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</row>
    <row r="6" spans="1:72" ht="18" thickBot="1" x14ac:dyDescent="0.25">
      <c r="A6" s="76" t="s">
        <v>553</v>
      </c>
      <c r="B6" s="67" t="s">
        <v>523</v>
      </c>
      <c r="C6" s="77">
        <v>4</v>
      </c>
      <c r="D6" s="78" t="s">
        <v>554</v>
      </c>
      <c r="F6" s="69">
        <v>4</v>
      </c>
      <c r="G6" s="131"/>
      <c r="H6" s="131"/>
      <c r="I6" s="70">
        <v>18</v>
      </c>
      <c r="J6" s="69">
        <v>10</v>
      </c>
      <c r="K6" s="69">
        <v>4</v>
      </c>
      <c r="L6" s="69">
        <v>0</v>
      </c>
      <c r="M6" s="69">
        <v>4</v>
      </c>
      <c r="N6" s="69">
        <v>4</v>
      </c>
      <c r="O6" s="69">
        <v>2</v>
      </c>
      <c r="P6" s="69">
        <v>1</v>
      </c>
      <c r="Q6" s="69">
        <v>4</v>
      </c>
      <c r="R6" s="69">
        <v>2</v>
      </c>
      <c r="S6" s="69">
        <v>5</v>
      </c>
      <c r="T6" s="69">
        <v>592</v>
      </c>
      <c r="U6" s="69">
        <v>5</v>
      </c>
      <c r="V6" s="69">
        <v>7</v>
      </c>
      <c r="W6" s="69">
        <v>2</v>
      </c>
      <c r="X6" s="69">
        <v>15</v>
      </c>
      <c r="Y6" s="69">
        <v>2</v>
      </c>
      <c r="Z6" s="69">
        <v>2</v>
      </c>
      <c r="AA6" s="69">
        <v>0</v>
      </c>
      <c r="AB6" s="69">
        <v>0</v>
      </c>
      <c r="AC6" s="77">
        <v>10</v>
      </c>
      <c r="AD6" s="69">
        <v>4</v>
      </c>
      <c r="AE6" s="69">
        <f t="shared" si="0"/>
        <v>6</v>
      </c>
      <c r="AF6" s="69">
        <v>10</v>
      </c>
      <c r="AG6" s="70">
        <f t="shared" si="1"/>
        <v>8</v>
      </c>
      <c r="AH6" s="69">
        <f>AF6+AG6</f>
        <v>18</v>
      </c>
      <c r="AI6" s="94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 spans="1:72" x14ac:dyDescent="0.2">
      <c r="A7" s="7" t="s">
        <v>555</v>
      </c>
      <c r="B7" s="67" t="s">
        <v>523</v>
      </c>
      <c r="C7" s="7">
        <v>3</v>
      </c>
      <c r="D7" s="95" t="s">
        <v>556</v>
      </c>
      <c r="F7" s="7">
        <v>2</v>
      </c>
      <c r="G7" s="132"/>
      <c r="H7" s="132"/>
      <c r="I7" s="20">
        <v>16</v>
      </c>
      <c r="J7" s="7">
        <v>8</v>
      </c>
      <c r="K7" s="7">
        <v>6</v>
      </c>
      <c r="L7" s="7">
        <v>1</v>
      </c>
      <c r="M7" s="7">
        <v>1</v>
      </c>
      <c r="N7" s="96">
        <v>2</v>
      </c>
      <c r="O7" s="96">
        <v>2</v>
      </c>
      <c r="P7" s="96">
        <v>2</v>
      </c>
      <c r="Q7" s="96">
        <v>5</v>
      </c>
      <c r="R7" s="96">
        <v>0</v>
      </c>
      <c r="S7" s="96">
        <v>5</v>
      </c>
      <c r="T7" s="7">
        <v>458</v>
      </c>
      <c r="U7" s="7">
        <v>4</v>
      </c>
      <c r="V7" s="7">
        <v>10</v>
      </c>
      <c r="W7" s="7">
        <v>0</v>
      </c>
      <c r="X7" s="7">
        <v>25</v>
      </c>
      <c r="Y7" s="7">
        <v>5</v>
      </c>
      <c r="Z7" s="7">
        <v>5</v>
      </c>
      <c r="AA7" s="7">
        <v>0</v>
      </c>
      <c r="AB7" s="7">
        <v>0</v>
      </c>
      <c r="AC7" s="7">
        <v>12</v>
      </c>
      <c r="AD7" s="7">
        <v>0</v>
      </c>
      <c r="AE7" s="69">
        <f t="shared" si="0"/>
        <v>12</v>
      </c>
      <c r="AF7" s="7">
        <v>9</v>
      </c>
      <c r="AG7" s="70">
        <f t="shared" si="1"/>
        <v>7</v>
      </c>
      <c r="AH7" s="69">
        <f>AF7+AG7</f>
        <v>16</v>
      </c>
      <c r="AI7" s="8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 spans="1:72" x14ac:dyDescent="0.2">
      <c r="A8" s="97" t="s">
        <v>557</v>
      </c>
      <c r="B8" s="67" t="s">
        <v>523</v>
      </c>
      <c r="C8" s="69">
        <v>4</v>
      </c>
      <c r="D8" s="78" t="s">
        <v>558</v>
      </c>
      <c r="F8" s="69">
        <v>3</v>
      </c>
      <c r="G8" s="131"/>
      <c r="H8" s="131"/>
      <c r="I8" s="70">
        <v>25</v>
      </c>
      <c r="J8" s="69">
        <v>19</v>
      </c>
      <c r="K8" s="69">
        <v>5</v>
      </c>
      <c r="L8" s="69">
        <v>1</v>
      </c>
      <c r="M8" s="69">
        <v>0</v>
      </c>
      <c r="N8" s="69">
        <v>3</v>
      </c>
      <c r="O8" s="69">
        <v>1</v>
      </c>
      <c r="P8" s="69">
        <v>0</v>
      </c>
      <c r="Q8" s="69">
        <v>0</v>
      </c>
      <c r="R8" s="69">
        <v>4</v>
      </c>
      <c r="S8" s="69">
        <v>17</v>
      </c>
      <c r="T8" s="69">
        <v>881</v>
      </c>
      <c r="U8" s="69">
        <v>4</v>
      </c>
      <c r="V8" s="69">
        <v>15</v>
      </c>
      <c r="W8" s="69">
        <v>2</v>
      </c>
      <c r="X8" s="69">
        <v>15</v>
      </c>
      <c r="Y8" s="69">
        <v>1</v>
      </c>
      <c r="Z8" s="69">
        <v>1</v>
      </c>
      <c r="AA8" s="69">
        <v>0</v>
      </c>
      <c r="AB8" s="69">
        <v>0</v>
      </c>
      <c r="AC8" s="69">
        <v>21</v>
      </c>
      <c r="AD8" s="69">
        <v>3</v>
      </c>
      <c r="AE8" s="69">
        <f t="shared" si="0"/>
        <v>18</v>
      </c>
      <c r="AF8" s="69">
        <v>12</v>
      </c>
      <c r="AG8" s="70">
        <f t="shared" si="1"/>
        <v>13</v>
      </c>
      <c r="AH8" s="69">
        <f>AF8+AG8</f>
        <v>25</v>
      </c>
      <c r="AI8" s="71"/>
      <c r="AJ8" s="79" t="s">
        <v>559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</row>
    <row r="9" spans="1:72" x14ac:dyDescent="0.2">
      <c r="A9" s="67" t="s">
        <v>560</v>
      </c>
      <c r="B9" s="67" t="s">
        <v>523</v>
      </c>
      <c r="C9" s="69">
        <v>7</v>
      </c>
      <c r="D9" s="78" t="s">
        <v>561</v>
      </c>
      <c r="F9" s="69">
        <v>14</v>
      </c>
      <c r="G9" s="70"/>
      <c r="H9" s="70"/>
      <c r="I9" s="70">
        <v>31</v>
      </c>
      <c r="J9" s="69">
        <v>24</v>
      </c>
      <c r="K9" s="69">
        <v>6</v>
      </c>
      <c r="L9" s="69">
        <v>1</v>
      </c>
      <c r="M9" s="69">
        <v>0</v>
      </c>
      <c r="N9" s="69">
        <v>6</v>
      </c>
      <c r="O9" s="69">
        <v>2</v>
      </c>
      <c r="P9" s="69">
        <v>2</v>
      </c>
      <c r="Q9" s="69">
        <v>1</v>
      </c>
      <c r="R9" s="69">
        <v>4</v>
      </c>
      <c r="S9" s="69">
        <v>16</v>
      </c>
      <c r="T9" s="69">
        <v>1177</v>
      </c>
      <c r="U9" s="69">
        <v>7</v>
      </c>
      <c r="V9" s="69">
        <v>21</v>
      </c>
      <c r="W9" s="69">
        <v>3</v>
      </c>
      <c r="X9" s="69">
        <v>60</v>
      </c>
      <c r="Y9" s="69">
        <v>4</v>
      </c>
      <c r="Z9" s="69">
        <v>3</v>
      </c>
      <c r="AA9" s="69">
        <v>0</v>
      </c>
      <c r="AB9" s="69">
        <v>0</v>
      </c>
      <c r="AC9" s="69">
        <v>22</v>
      </c>
      <c r="AD9" s="69">
        <v>4</v>
      </c>
      <c r="AE9" s="69">
        <f t="shared" si="0"/>
        <v>18</v>
      </c>
      <c r="AF9" s="69">
        <v>11</v>
      </c>
      <c r="AG9" s="70">
        <f t="shared" si="1"/>
        <v>20</v>
      </c>
      <c r="AH9" s="69">
        <f t="shared" ref="AH9:AH40" si="2">AF9+AG9</f>
        <v>31</v>
      </c>
      <c r="AI9" s="7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 spans="1:72" x14ac:dyDescent="0.2">
      <c r="A10" s="97" t="s">
        <v>562</v>
      </c>
      <c r="B10" s="67" t="s">
        <v>523</v>
      </c>
      <c r="C10" s="77">
        <v>12</v>
      </c>
      <c r="D10" s="78" t="s">
        <v>563</v>
      </c>
      <c r="F10" s="69">
        <v>11</v>
      </c>
      <c r="G10" s="131"/>
      <c r="H10" s="131"/>
      <c r="I10" s="70">
        <v>55</v>
      </c>
      <c r="J10" s="69">
        <v>29</v>
      </c>
      <c r="K10" s="69">
        <v>16</v>
      </c>
      <c r="L10" s="69">
        <v>6</v>
      </c>
      <c r="M10" s="69">
        <v>4</v>
      </c>
      <c r="N10" s="69">
        <v>12</v>
      </c>
      <c r="O10" s="69">
        <v>9</v>
      </c>
      <c r="P10" s="69">
        <v>9</v>
      </c>
      <c r="Q10" s="69">
        <v>10</v>
      </c>
      <c r="R10" s="69">
        <v>1</v>
      </c>
      <c r="S10" s="69">
        <v>14</v>
      </c>
      <c r="T10" s="69">
        <v>1585</v>
      </c>
      <c r="U10" s="69">
        <v>18</v>
      </c>
      <c r="V10" s="69">
        <v>24</v>
      </c>
      <c r="W10" s="69">
        <v>2</v>
      </c>
      <c r="X10" s="69">
        <v>106</v>
      </c>
      <c r="Y10" s="69">
        <v>26</v>
      </c>
      <c r="Z10" s="69">
        <v>22</v>
      </c>
      <c r="AA10" s="69">
        <v>0</v>
      </c>
      <c r="AB10" s="69">
        <v>0</v>
      </c>
      <c r="AC10" s="69">
        <v>29</v>
      </c>
      <c r="AD10" s="69">
        <v>7</v>
      </c>
      <c r="AE10" s="69">
        <f t="shared" si="0"/>
        <v>22</v>
      </c>
      <c r="AF10" s="69">
        <v>27</v>
      </c>
      <c r="AG10" s="70">
        <f t="shared" si="1"/>
        <v>28</v>
      </c>
      <c r="AH10" s="69">
        <f t="shared" si="2"/>
        <v>55</v>
      </c>
      <c r="AI10" s="71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1:72" x14ac:dyDescent="0.2">
      <c r="A11" s="67" t="s">
        <v>564</v>
      </c>
      <c r="B11" s="67" t="s">
        <v>523</v>
      </c>
      <c r="C11" s="77">
        <v>24</v>
      </c>
      <c r="D11" s="78" t="s">
        <v>565</v>
      </c>
      <c r="F11" s="69">
        <v>20</v>
      </c>
      <c r="G11" s="131"/>
      <c r="H11" s="131"/>
      <c r="I11" s="70">
        <v>120</v>
      </c>
      <c r="J11" s="69">
        <v>69</v>
      </c>
      <c r="K11" s="69">
        <v>34</v>
      </c>
      <c r="L11" s="69">
        <v>9</v>
      </c>
      <c r="M11" s="69">
        <v>8</v>
      </c>
      <c r="N11" s="69">
        <v>22</v>
      </c>
      <c r="O11" s="69">
        <v>14</v>
      </c>
      <c r="P11" s="69">
        <v>27</v>
      </c>
      <c r="Q11" s="69">
        <v>16</v>
      </c>
      <c r="R11" s="69">
        <v>6</v>
      </c>
      <c r="S11" s="69">
        <v>35</v>
      </c>
      <c r="T11" s="69">
        <v>3745.5</v>
      </c>
      <c r="U11" s="69">
        <v>28</v>
      </c>
      <c r="V11" s="69">
        <v>86</v>
      </c>
      <c r="W11" s="69">
        <v>6</v>
      </c>
      <c r="X11" s="69">
        <v>287</v>
      </c>
      <c r="Y11" s="69"/>
      <c r="Z11" s="69"/>
      <c r="AA11" s="69"/>
      <c r="AB11" s="69"/>
      <c r="AC11" s="69">
        <v>76</v>
      </c>
      <c r="AD11" s="69">
        <v>12</v>
      </c>
      <c r="AE11" s="69">
        <f t="shared" si="0"/>
        <v>64</v>
      </c>
      <c r="AF11" s="69">
        <v>74</v>
      </c>
      <c r="AG11" s="70">
        <f t="shared" si="1"/>
        <v>46</v>
      </c>
      <c r="AH11" s="69">
        <f t="shared" si="2"/>
        <v>120</v>
      </c>
      <c r="AI11" s="71"/>
      <c r="AJ11" s="79" t="s">
        <v>566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1:72" x14ac:dyDescent="0.2">
      <c r="A12" s="67" t="s">
        <v>567</v>
      </c>
      <c r="B12" s="67" t="s">
        <v>523</v>
      </c>
      <c r="C12" s="68">
        <v>4</v>
      </c>
      <c r="D12" s="67" t="s">
        <v>568</v>
      </c>
      <c r="F12" s="69">
        <v>12</v>
      </c>
      <c r="G12" s="131"/>
      <c r="H12" s="131"/>
      <c r="I12" s="70">
        <v>19</v>
      </c>
      <c r="J12" s="69">
        <v>15</v>
      </c>
      <c r="K12" s="69">
        <v>4</v>
      </c>
      <c r="L12" s="69">
        <v>0</v>
      </c>
      <c r="M12" s="69">
        <v>0</v>
      </c>
      <c r="N12" s="69">
        <v>4</v>
      </c>
      <c r="O12" s="69">
        <v>1</v>
      </c>
      <c r="P12" s="69">
        <v>1</v>
      </c>
      <c r="Q12" s="69">
        <v>0</v>
      </c>
      <c r="R12" s="69">
        <v>3</v>
      </c>
      <c r="S12" s="69">
        <v>10</v>
      </c>
      <c r="T12" s="69">
        <v>868</v>
      </c>
      <c r="U12" s="69">
        <v>2</v>
      </c>
      <c r="V12" s="69">
        <v>15</v>
      </c>
      <c r="W12" s="69">
        <v>2</v>
      </c>
      <c r="X12" s="69">
        <v>16</v>
      </c>
      <c r="Y12" s="69">
        <v>0</v>
      </c>
      <c r="Z12" s="69">
        <v>0</v>
      </c>
      <c r="AA12" s="69"/>
      <c r="AB12" s="69"/>
      <c r="AC12" s="69">
        <v>16</v>
      </c>
      <c r="AD12" s="69">
        <v>4</v>
      </c>
      <c r="AE12" s="69">
        <f t="shared" si="0"/>
        <v>12</v>
      </c>
      <c r="AF12" s="69">
        <v>10</v>
      </c>
      <c r="AG12" s="70">
        <f t="shared" si="1"/>
        <v>9</v>
      </c>
      <c r="AH12" s="69">
        <f t="shared" si="2"/>
        <v>19</v>
      </c>
      <c r="AI12" s="71"/>
      <c r="AJ12" s="7" t="s">
        <v>1353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1:72" x14ac:dyDescent="0.2">
      <c r="A13" s="67" t="s">
        <v>569</v>
      </c>
      <c r="B13" s="67" t="s">
        <v>523</v>
      </c>
      <c r="C13" s="68">
        <v>1</v>
      </c>
      <c r="D13" s="67" t="s">
        <v>570</v>
      </c>
      <c r="F13" s="69">
        <v>5</v>
      </c>
      <c r="G13" s="131"/>
      <c r="H13" s="131"/>
      <c r="I13" s="70">
        <v>11</v>
      </c>
      <c r="J13" s="69">
        <v>5</v>
      </c>
      <c r="K13" s="69">
        <v>1</v>
      </c>
      <c r="L13" s="69">
        <v>4</v>
      </c>
      <c r="M13" s="69">
        <v>1</v>
      </c>
      <c r="N13" s="69">
        <v>1</v>
      </c>
      <c r="O13" s="69">
        <v>1</v>
      </c>
      <c r="P13" s="69">
        <v>4</v>
      </c>
      <c r="Q13" s="69">
        <v>1</v>
      </c>
      <c r="R13" s="69">
        <v>0</v>
      </c>
      <c r="S13" s="69">
        <v>4</v>
      </c>
      <c r="T13" s="70">
        <v>224.4</v>
      </c>
      <c r="U13" s="69">
        <v>2</v>
      </c>
      <c r="V13" s="69">
        <v>9</v>
      </c>
      <c r="W13" s="69">
        <v>0</v>
      </c>
      <c r="X13" s="69">
        <v>0</v>
      </c>
      <c r="Y13" s="69"/>
      <c r="Z13" s="69"/>
      <c r="AA13" s="69"/>
      <c r="AB13" s="69"/>
      <c r="AC13" s="69">
        <v>5</v>
      </c>
      <c r="AD13" s="69">
        <v>1</v>
      </c>
      <c r="AE13" s="69">
        <f t="shared" si="0"/>
        <v>4</v>
      </c>
      <c r="AF13" s="69">
        <v>8</v>
      </c>
      <c r="AG13" s="70">
        <f t="shared" si="1"/>
        <v>3</v>
      </c>
      <c r="AH13" s="69">
        <f t="shared" si="2"/>
        <v>11</v>
      </c>
      <c r="AI13" s="71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1:72" x14ac:dyDescent="0.2">
      <c r="A14" s="67" t="s">
        <v>571</v>
      </c>
      <c r="B14" s="67" t="s">
        <v>523</v>
      </c>
      <c r="C14" s="68">
        <v>4</v>
      </c>
      <c r="D14" s="67" t="s">
        <v>572</v>
      </c>
      <c r="F14" s="69">
        <v>4</v>
      </c>
      <c r="G14" s="131"/>
      <c r="H14" s="131"/>
      <c r="I14" s="70">
        <v>31</v>
      </c>
      <c r="J14" s="69">
        <v>24</v>
      </c>
      <c r="K14" s="69">
        <v>7</v>
      </c>
      <c r="L14" s="69">
        <v>0</v>
      </c>
      <c r="M14" s="69">
        <v>0</v>
      </c>
      <c r="N14" s="69">
        <v>4</v>
      </c>
      <c r="O14" s="69">
        <v>3</v>
      </c>
      <c r="P14" s="69">
        <v>7</v>
      </c>
      <c r="Q14" s="69">
        <v>1</v>
      </c>
      <c r="R14" s="69">
        <v>3</v>
      </c>
      <c r="S14" s="69">
        <v>13</v>
      </c>
      <c r="T14" s="69">
        <v>1225</v>
      </c>
      <c r="U14" s="98">
        <v>9</v>
      </c>
      <c r="V14" s="99">
        <v>21</v>
      </c>
      <c r="W14" s="69">
        <v>1</v>
      </c>
      <c r="X14" s="69">
        <v>135</v>
      </c>
      <c r="Y14" s="69"/>
      <c r="Z14" s="69"/>
      <c r="AA14" s="69"/>
      <c r="AB14" s="69"/>
      <c r="AC14" s="69">
        <v>17</v>
      </c>
      <c r="AD14" s="69">
        <v>4</v>
      </c>
      <c r="AE14" s="69">
        <f t="shared" si="0"/>
        <v>13</v>
      </c>
      <c r="AF14" s="69">
        <v>16</v>
      </c>
      <c r="AG14" s="70">
        <f t="shared" si="1"/>
        <v>15</v>
      </c>
      <c r="AH14" s="69">
        <f t="shared" si="2"/>
        <v>31</v>
      </c>
      <c r="AI14" s="71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1:72" x14ac:dyDescent="0.2">
      <c r="A15" s="67" t="s">
        <v>312</v>
      </c>
      <c r="B15" s="67" t="s">
        <v>523</v>
      </c>
      <c r="C15" s="68">
        <v>18</v>
      </c>
      <c r="D15" s="67" t="s">
        <v>524</v>
      </c>
      <c r="F15" s="69">
        <v>15</v>
      </c>
      <c r="G15" s="131"/>
      <c r="H15" s="131"/>
      <c r="I15" s="70">
        <v>114</v>
      </c>
      <c r="J15" s="69">
        <v>74</v>
      </c>
      <c r="K15" s="69">
        <v>23</v>
      </c>
      <c r="L15" s="69">
        <v>9</v>
      </c>
      <c r="M15" s="69">
        <v>8</v>
      </c>
      <c r="N15" s="69">
        <v>16</v>
      </c>
      <c r="O15" s="69">
        <v>11</v>
      </c>
      <c r="P15" s="69">
        <v>10</v>
      </c>
      <c r="Q15" s="69">
        <v>12</v>
      </c>
      <c r="R15" s="69">
        <v>6</v>
      </c>
      <c r="S15" s="69">
        <v>59</v>
      </c>
      <c r="T15" s="69">
        <v>3282</v>
      </c>
      <c r="U15" s="69">
        <v>21</v>
      </c>
      <c r="V15" s="69">
        <v>71</v>
      </c>
      <c r="W15" s="69">
        <v>5</v>
      </c>
      <c r="X15" s="69">
        <v>41</v>
      </c>
      <c r="Y15" s="69">
        <v>8</v>
      </c>
      <c r="Z15" s="69">
        <v>8</v>
      </c>
      <c r="AA15" s="69">
        <v>0</v>
      </c>
      <c r="AB15" s="69">
        <v>0</v>
      </c>
      <c r="AC15" s="69">
        <v>81</v>
      </c>
      <c r="AD15" s="69">
        <v>14</v>
      </c>
      <c r="AE15" s="69">
        <f t="shared" si="0"/>
        <v>67</v>
      </c>
      <c r="AF15" s="69">
        <v>61</v>
      </c>
      <c r="AG15" s="70">
        <f t="shared" si="1"/>
        <v>53</v>
      </c>
      <c r="AH15" s="69">
        <f t="shared" si="2"/>
        <v>114</v>
      </c>
      <c r="AI15" s="71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x14ac:dyDescent="0.2">
      <c r="A16" s="67" t="s">
        <v>573</v>
      </c>
      <c r="B16" s="67" t="s">
        <v>523</v>
      </c>
      <c r="C16" s="68">
        <v>6</v>
      </c>
      <c r="D16" s="67" t="s">
        <v>574</v>
      </c>
      <c r="F16" s="69">
        <v>4</v>
      </c>
      <c r="G16" s="131"/>
      <c r="H16" s="131"/>
      <c r="I16" s="70">
        <v>35</v>
      </c>
      <c r="J16" s="69">
        <v>25</v>
      </c>
      <c r="K16" s="69">
        <v>10</v>
      </c>
      <c r="L16" s="69">
        <v>0</v>
      </c>
      <c r="M16" s="69">
        <v>0</v>
      </c>
      <c r="N16" s="69">
        <v>5</v>
      </c>
      <c r="O16" s="69">
        <v>4</v>
      </c>
      <c r="P16" s="69">
        <v>4</v>
      </c>
      <c r="Q16" s="69">
        <v>5</v>
      </c>
      <c r="R16" s="69">
        <v>1</v>
      </c>
      <c r="S16" s="69">
        <v>16</v>
      </c>
      <c r="T16" s="69">
        <v>1416</v>
      </c>
      <c r="U16" s="69">
        <v>7</v>
      </c>
      <c r="V16" s="69">
        <v>21</v>
      </c>
      <c r="W16" s="69">
        <v>3</v>
      </c>
      <c r="X16" s="69">
        <v>129</v>
      </c>
      <c r="Y16" s="69">
        <v>8</v>
      </c>
      <c r="Z16" s="69">
        <v>8</v>
      </c>
      <c r="AA16" s="69">
        <v>0</v>
      </c>
      <c r="AB16" s="69">
        <v>0</v>
      </c>
      <c r="AC16" s="69">
        <v>24</v>
      </c>
      <c r="AD16" s="69">
        <v>4</v>
      </c>
      <c r="AE16" s="69">
        <f t="shared" si="0"/>
        <v>20</v>
      </c>
      <c r="AF16" s="69">
        <v>14</v>
      </c>
      <c r="AG16" s="70">
        <f t="shared" si="1"/>
        <v>21</v>
      </c>
      <c r="AH16" s="69">
        <f t="shared" si="2"/>
        <v>35</v>
      </c>
      <c r="AI16" s="71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 spans="1:72" x14ac:dyDescent="0.2">
      <c r="A17" s="67" t="s">
        <v>575</v>
      </c>
      <c r="B17" s="67" t="s">
        <v>523</v>
      </c>
      <c r="C17" s="68">
        <v>11</v>
      </c>
      <c r="D17" s="67" t="s">
        <v>576</v>
      </c>
      <c r="F17" s="69">
        <v>7</v>
      </c>
      <c r="G17" s="131"/>
      <c r="H17" s="131"/>
      <c r="I17" s="70">
        <v>55</v>
      </c>
      <c r="J17" s="69">
        <v>44</v>
      </c>
      <c r="K17" s="69">
        <v>9</v>
      </c>
      <c r="L17" s="69">
        <v>2</v>
      </c>
      <c r="M17" s="69">
        <v>0</v>
      </c>
      <c r="N17" s="69">
        <v>9</v>
      </c>
      <c r="O17" s="69">
        <v>4</v>
      </c>
      <c r="P17" s="69">
        <v>5</v>
      </c>
      <c r="Q17" s="69">
        <v>3</v>
      </c>
      <c r="R17" s="69">
        <v>11</v>
      </c>
      <c r="S17" s="69">
        <v>23</v>
      </c>
      <c r="T17" s="69">
        <v>2047</v>
      </c>
      <c r="U17" s="69">
        <v>8</v>
      </c>
      <c r="V17" s="69">
        <v>38</v>
      </c>
      <c r="W17" s="69">
        <v>1</v>
      </c>
      <c r="X17" s="69">
        <v>77</v>
      </c>
      <c r="Y17" s="69">
        <v>21</v>
      </c>
      <c r="Z17" s="69">
        <v>19</v>
      </c>
      <c r="AA17" s="69">
        <v>0</v>
      </c>
      <c r="AB17" s="69">
        <v>0</v>
      </c>
      <c r="AC17" s="69">
        <v>37</v>
      </c>
      <c r="AD17" s="69">
        <v>5</v>
      </c>
      <c r="AE17" s="69">
        <f t="shared" si="0"/>
        <v>32</v>
      </c>
      <c r="AF17" s="69">
        <v>28</v>
      </c>
      <c r="AG17" s="70">
        <f t="shared" si="1"/>
        <v>27</v>
      </c>
      <c r="AH17" s="69">
        <f t="shared" si="2"/>
        <v>55</v>
      </c>
      <c r="AI17" s="71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x14ac:dyDescent="0.2">
      <c r="A18" s="97" t="s">
        <v>577</v>
      </c>
      <c r="B18" s="67" t="s">
        <v>523</v>
      </c>
      <c r="C18" s="68">
        <v>3</v>
      </c>
      <c r="D18" s="97" t="s">
        <v>578</v>
      </c>
      <c r="F18" s="69">
        <v>3</v>
      </c>
      <c r="G18" s="131"/>
      <c r="H18" s="131"/>
      <c r="I18" s="70">
        <v>14</v>
      </c>
      <c r="J18" s="69">
        <v>9</v>
      </c>
      <c r="K18" s="69">
        <v>3</v>
      </c>
      <c r="L18" s="69">
        <v>1</v>
      </c>
      <c r="M18" s="69">
        <v>1</v>
      </c>
      <c r="N18" s="69">
        <v>3</v>
      </c>
      <c r="O18" s="69">
        <v>1</v>
      </c>
      <c r="P18" s="69">
        <v>2</v>
      </c>
      <c r="Q18" s="69">
        <v>0</v>
      </c>
      <c r="R18" s="69">
        <v>3</v>
      </c>
      <c r="S18" s="69">
        <v>5</v>
      </c>
      <c r="T18" s="69">
        <v>391</v>
      </c>
      <c r="U18" s="69">
        <v>3</v>
      </c>
      <c r="V18" s="69">
        <v>9</v>
      </c>
      <c r="W18" s="69">
        <v>2</v>
      </c>
      <c r="X18" s="69">
        <v>3</v>
      </c>
      <c r="Y18" s="69">
        <v>2</v>
      </c>
      <c r="Z18" s="69">
        <v>2</v>
      </c>
      <c r="AA18" s="69"/>
      <c r="AB18" s="69">
        <v>0</v>
      </c>
      <c r="AC18" s="69">
        <v>7</v>
      </c>
      <c r="AD18" s="69">
        <v>2</v>
      </c>
      <c r="AE18" s="69">
        <f t="shared" si="0"/>
        <v>5</v>
      </c>
      <c r="AF18" s="69">
        <v>6</v>
      </c>
      <c r="AG18" s="70">
        <f t="shared" si="1"/>
        <v>8</v>
      </c>
      <c r="AH18" s="69">
        <f t="shared" si="2"/>
        <v>14</v>
      </c>
      <c r="AI18" s="71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spans="1:72" x14ac:dyDescent="0.2">
      <c r="A19" s="97" t="s">
        <v>579</v>
      </c>
      <c r="B19" s="67" t="s">
        <v>523</v>
      </c>
      <c r="C19" s="69">
        <v>27</v>
      </c>
      <c r="D19" s="67" t="s">
        <v>580</v>
      </c>
      <c r="F19" s="69">
        <v>16</v>
      </c>
      <c r="G19" s="131"/>
      <c r="H19" s="131"/>
      <c r="I19" s="70">
        <v>145</v>
      </c>
      <c r="J19" s="69">
        <v>102</v>
      </c>
      <c r="K19" s="69">
        <v>28</v>
      </c>
      <c r="L19" s="69">
        <v>8</v>
      </c>
      <c r="M19" s="69">
        <v>7</v>
      </c>
      <c r="N19" s="69">
        <v>25</v>
      </c>
      <c r="O19" s="69">
        <v>15</v>
      </c>
      <c r="P19" s="69">
        <v>24</v>
      </c>
      <c r="Q19" s="69">
        <v>14</v>
      </c>
      <c r="R19" s="69">
        <v>10</v>
      </c>
      <c r="S19" s="69">
        <v>57</v>
      </c>
      <c r="T19" s="69">
        <v>5194</v>
      </c>
      <c r="U19" s="69">
        <v>30</v>
      </c>
      <c r="V19" s="69">
        <v>97</v>
      </c>
      <c r="W19" s="69">
        <v>4</v>
      </c>
      <c r="X19" s="69">
        <v>403</v>
      </c>
      <c r="Y19" s="69">
        <v>53</v>
      </c>
      <c r="Z19" s="69">
        <v>45</v>
      </c>
      <c r="AA19" s="69">
        <v>0</v>
      </c>
      <c r="AB19" s="69">
        <v>0</v>
      </c>
      <c r="AC19" s="69">
        <v>83</v>
      </c>
      <c r="AD19" s="69">
        <v>18</v>
      </c>
      <c r="AE19" s="69">
        <f t="shared" si="0"/>
        <v>65</v>
      </c>
      <c r="AF19" s="69">
        <v>72</v>
      </c>
      <c r="AG19" s="70">
        <f t="shared" si="1"/>
        <v>73</v>
      </c>
      <c r="AH19" s="69">
        <f t="shared" si="2"/>
        <v>145</v>
      </c>
      <c r="AI19" s="71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 spans="1:72" x14ac:dyDescent="0.2">
      <c r="A20" s="67" t="s">
        <v>581</v>
      </c>
      <c r="B20" s="67" t="s">
        <v>523</v>
      </c>
      <c r="C20" s="69">
        <v>1</v>
      </c>
      <c r="D20" s="67" t="s">
        <v>582</v>
      </c>
      <c r="F20" s="69">
        <v>1</v>
      </c>
      <c r="G20" s="131"/>
      <c r="H20" s="131"/>
      <c r="I20" s="70">
        <v>3</v>
      </c>
      <c r="J20" s="69">
        <v>2</v>
      </c>
      <c r="K20" s="69">
        <v>1</v>
      </c>
      <c r="L20" s="69">
        <v>0</v>
      </c>
      <c r="M20" s="69">
        <v>0</v>
      </c>
      <c r="N20" s="69">
        <v>0</v>
      </c>
      <c r="O20" s="69">
        <v>0</v>
      </c>
      <c r="P20" s="69">
        <v>1</v>
      </c>
      <c r="Q20" s="69">
        <v>0</v>
      </c>
      <c r="R20" s="69">
        <v>0</v>
      </c>
      <c r="S20" s="69">
        <v>2</v>
      </c>
      <c r="T20" s="69">
        <v>158</v>
      </c>
      <c r="U20" s="69">
        <v>2</v>
      </c>
      <c r="V20" s="69">
        <v>1</v>
      </c>
      <c r="W20" s="69">
        <v>0</v>
      </c>
      <c r="X20" s="69">
        <v>15</v>
      </c>
      <c r="Y20" s="69">
        <v>0</v>
      </c>
      <c r="Z20" s="69">
        <v>0</v>
      </c>
      <c r="AA20" s="69">
        <v>0</v>
      </c>
      <c r="AB20" s="69">
        <v>0</v>
      </c>
      <c r="AC20" s="69">
        <v>2</v>
      </c>
      <c r="AD20" s="69">
        <v>0</v>
      </c>
      <c r="AE20" s="69">
        <f t="shared" si="0"/>
        <v>2</v>
      </c>
      <c r="AF20" s="69">
        <v>1</v>
      </c>
      <c r="AG20" s="70">
        <f t="shared" si="1"/>
        <v>2</v>
      </c>
      <c r="AH20" s="69">
        <f t="shared" si="2"/>
        <v>3</v>
      </c>
      <c r="AI20" s="71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72" x14ac:dyDescent="0.2">
      <c r="A21" s="67" t="s">
        <v>583</v>
      </c>
      <c r="B21" s="67" t="s">
        <v>523</v>
      </c>
      <c r="C21" s="69">
        <v>4</v>
      </c>
      <c r="D21" s="67" t="s">
        <v>584</v>
      </c>
      <c r="F21" s="69">
        <v>5</v>
      </c>
      <c r="G21" s="131"/>
      <c r="H21" s="131"/>
      <c r="I21" s="70">
        <v>27</v>
      </c>
      <c r="J21" s="69">
        <v>17</v>
      </c>
      <c r="K21" s="69">
        <v>4</v>
      </c>
      <c r="L21" s="69">
        <v>4</v>
      </c>
      <c r="M21" s="69">
        <v>2</v>
      </c>
      <c r="N21" s="69">
        <v>4</v>
      </c>
      <c r="O21" s="69">
        <v>4</v>
      </c>
      <c r="P21" s="69">
        <v>10</v>
      </c>
      <c r="Q21" s="69">
        <v>2</v>
      </c>
      <c r="R21" s="69">
        <v>0</v>
      </c>
      <c r="S21" s="69">
        <v>7</v>
      </c>
      <c r="T21" s="69">
        <v>788</v>
      </c>
      <c r="U21" s="69">
        <v>8</v>
      </c>
      <c r="V21" s="69">
        <v>13</v>
      </c>
      <c r="W21" s="69">
        <v>0</v>
      </c>
      <c r="X21" s="69">
        <v>88</v>
      </c>
      <c r="Y21" s="69">
        <v>15</v>
      </c>
      <c r="Z21" s="69">
        <v>14</v>
      </c>
      <c r="AA21" s="69">
        <v>0</v>
      </c>
      <c r="AB21" s="69">
        <v>0</v>
      </c>
      <c r="AC21" s="69">
        <v>11</v>
      </c>
      <c r="AD21" s="69">
        <v>4</v>
      </c>
      <c r="AE21" s="69">
        <f t="shared" si="0"/>
        <v>7</v>
      </c>
      <c r="AF21" s="69">
        <v>9</v>
      </c>
      <c r="AG21" s="70">
        <f t="shared" si="1"/>
        <v>18</v>
      </c>
      <c r="AH21" s="69">
        <f t="shared" si="2"/>
        <v>27</v>
      </c>
      <c r="AI21" s="71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72" x14ac:dyDescent="0.2">
      <c r="A22" s="100" t="s">
        <v>585</v>
      </c>
      <c r="B22" s="67" t="s">
        <v>523</v>
      </c>
      <c r="C22" s="99">
        <v>5</v>
      </c>
      <c r="D22" s="67" t="s">
        <v>586</v>
      </c>
      <c r="F22" s="101">
        <v>6</v>
      </c>
      <c r="G22" s="133"/>
      <c r="H22" s="133"/>
      <c r="I22" s="181">
        <v>30</v>
      </c>
      <c r="J22" s="102">
        <v>13</v>
      </c>
      <c r="K22" s="102">
        <v>11</v>
      </c>
      <c r="L22" s="102">
        <v>3</v>
      </c>
      <c r="M22" s="102">
        <v>3</v>
      </c>
      <c r="N22" s="102">
        <v>5</v>
      </c>
      <c r="O22" s="102">
        <v>3</v>
      </c>
      <c r="P22" s="102">
        <v>6</v>
      </c>
      <c r="Q22" s="102">
        <v>2</v>
      </c>
      <c r="R22" s="102">
        <v>11</v>
      </c>
      <c r="S22" s="102">
        <v>3</v>
      </c>
      <c r="T22" s="102">
        <v>905</v>
      </c>
      <c r="U22" s="102">
        <v>7</v>
      </c>
      <c r="V22" s="102">
        <v>20</v>
      </c>
      <c r="W22" s="102">
        <v>3</v>
      </c>
      <c r="X22" s="102">
        <v>107</v>
      </c>
      <c r="Y22" s="102">
        <v>26</v>
      </c>
      <c r="Z22" s="102">
        <v>20</v>
      </c>
      <c r="AA22" s="102">
        <v>0</v>
      </c>
      <c r="AB22" s="102">
        <v>0</v>
      </c>
      <c r="AC22" s="102">
        <v>19</v>
      </c>
      <c r="AD22" s="102">
        <v>4</v>
      </c>
      <c r="AE22" s="69">
        <f t="shared" si="0"/>
        <v>15</v>
      </c>
      <c r="AF22" s="102">
        <v>12</v>
      </c>
      <c r="AG22" s="70">
        <f t="shared" si="1"/>
        <v>18</v>
      </c>
      <c r="AH22" s="69">
        <f t="shared" si="2"/>
        <v>30</v>
      </c>
      <c r="AI22" s="71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4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spans="1:72" x14ac:dyDescent="0.2">
      <c r="A23" s="103" t="s">
        <v>587</v>
      </c>
      <c r="B23" s="67" t="s">
        <v>523</v>
      </c>
      <c r="C23" s="69">
        <v>20</v>
      </c>
      <c r="D23" s="104" t="s">
        <v>588</v>
      </c>
      <c r="F23" s="105">
        <v>20</v>
      </c>
      <c r="G23" s="134"/>
      <c r="H23" s="134"/>
      <c r="I23" s="182">
        <v>100</v>
      </c>
      <c r="J23" s="105">
        <v>53</v>
      </c>
      <c r="K23" s="105">
        <v>32</v>
      </c>
      <c r="L23" s="105">
        <v>8</v>
      </c>
      <c r="M23" s="105">
        <v>7</v>
      </c>
      <c r="N23" s="105">
        <v>21</v>
      </c>
      <c r="O23" s="105">
        <v>11</v>
      </c>
      <c r="P23" s="105">
        <v>23</v>
      </c>
      <c r="Q23" s="105">
        <v>18</v>
      </c>
      <c r="R23" s="105">
        <v>15</v>
      </c>
      <c r="S23" s="105">
        <v>12</v>
      </c>
      <c r="T23" s="105">
        <v>3340</v>
      </c>
      <c r="U23" s="105">
        <v>25</v>
      </c>
      <c r="V23" s="105">
        <v>49</v>
      </c>
      <c r="W23" s="105">
        <v>11</v>
      </c>
      <c r="X23" s="105">
        <v>321</v>
      </c>
      <c r="Y23" s="105">
        <v>48</v>
      </c>
      <c r="Z23" s="105">
        <v>40</v>
      </c>
      <c r="AA23" s="105">
        <v>0</v>
      </c>
      <c r="AB23" s="105">
        <v>0</v>
      </c>
      <c r="AC23" s="105">
        <v>55</v>
      </c>
      <c r="AD23" s="105">
        <v>7</v>
      </c>
      <c r="AE23" s="69">
        <f t="shared" si="0"/>
        <v>48</v>
      </c>
      <c r="AF23" s="105">
        <v>62</v>
      </c>
      <c r="AG23" s="70">
        <f t="shared" si="1"/>
        <v>38</v>
      </c>
      <c r="AH23" s="69">
        <f t="shared" si="2"/>
        <v>100</v>
      </c>
      <c r="AI23" s="71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6"/>
      <c r="AY23" s="6"/>
      <c r="AZ23" s="6"/>
      <c r="BA23" s="6"/>
      <c r="BB23" s="6"/>
      <c r="BC23" s="4" t="s">
        <v>252</v>
      </c>
      <c r="BD23" s="7"/>
      <c r="BE23" s="7">
        <v>20</v>
      </c>
      <c r="BF23" s="4" t="s">
        <v>588</v>
      </c>
      <c r="BG23" s="7">
        <v>42</v>
      </c>
      <c r="BH23" s="7">
        <v>100</v>
      </c>
      <c r="BI23" s="7">
        <v>53</v>
      </c>
      <c r="BJ23" s="7">
        <v>32</v>
      </c>
      <c r="BK23" s="7">
        <v>8</v>
      </c>
      <c r="BL23" s="7">
        <v>7</v>
      </c>
      <c r="BM23" s="7">
        <v>21</v>
      </c>
      <c r="BN23" s="7">
        <v>11</v>
      </c>
      <c r="BO23" s="7">
        <v>23</v>
      </c>
      <c r="BP23" s="7">
        <v>18</v>
      </c>
      <c r="BQ23" s="7">
        <v>15</v>
      </c>
      <c r="BR23" s="7">
        <v>12</v>
      </c>
      <c r="BS23" s="7">
        <v>3339</v>
      </c>
      <c r="BT23" s="7">
        <v>25</v>
      </c>
    </row>
    <row r="24" spans="1:72" x14ac:dyDescent="0.2">
      <c r="A24" s="106" t="s">
        <v>589</v>
      </c>
      <c r="B24" s="67" t="s">
        <v>523</v>
      </c>
      <c r="C24" s="69">
        <v>16</v>
      </c>
      <c r="D24" s="107" t="s">
        <v>590</v>
      </c>
      <c r="F24" s="108">
        <v>11</v>
      </c>
      <c r="G24" s="135"/>
      <c r="H24" s="135"/>
      <c r="I24" s="183">
        <v>85</v>
      </c>
      <c r="J24" s="108">
        <v>46</v>
      </c>
      <c r="K24" s="108">
        <v>21</v>
      </c>
      <c r="L24" s="108">
        <v>13</v>
      </c>
      <c r="M24" s="108">
        <v>5</v>
      </c>
      <c r="N24" s="108">
        <v>16</v>
      </c>
      <c r="O24" s="108">
        <v>12</v>
      </c>
      <c r="P24" s="108">
        <v>16</v>
      </c>
      <c r="Q24" s="108">
        <v>8</v>
      </c>
      <c r="R24" s="108">
        <v>12</v>
      </c>
      <c r="S24" s="108">
        <v>21</v>
      </c>
      <c r="T24" s="108">
        <v>2573</v>
      </c>
      <c r="U24" s="108">
        <v>26</v>
      </c>
      <c r="V24" s="108">
        <v>37</v>
      </c>
      <c r="W24" s="108">
        <v>4</v>
      </c>
      <c r="X24" s="108">
        <v>255</v>
      </c>
      <c r="Y24" s="108">
        <v>40</v>
      </c>
      <c r="Z24" s="108">
        <v>34</v>
      </c>
      <c r="AA24" s="108">
        <v>0</v>
      </c>
      <c r="AB24" s="108">
        <v>0</v>
      </c>
      <c r="AC24" s="108">
        <v>39</v>
      </c>
      <c r="AD24" s="108">
        <v>4</v>
      </c>
      <c r="AE24" s="69">
        <f t="shared" si="0"/>
        <v>35</v>
      </c>
      <c r="AF24" s="108">
        <v>35</v>
      </c>
      <c r="AG24" s="70">
        <f t="shared" si="1"/>
        <v>50</v>
      </c>
      <c r="AH24" s="69">
        <f t="shared" si="2"/>
        <v>85</v>
      </c>
      <c r="AI24" s="71">
        <v>124</v>
      </c>
      <c r="AJ24" s="7">
        <f>AI24/C24</f>
        <v>7.75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6"/>
      <c r="AY24" s="6"/>
      <c r="AZ24" s="6"/>
      <c r="BA24" s="6"/>
      <c r="BB24" s="6"/>
      <c r="BC24" s="4"/>
      <c r="BD24" s="7"/>
      <c r="BE24" s="7"/>
      <c r="BF24" s="4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72" x14ac:dyDescent="0.2">
      <c r="A25" s="106" t="s">
        <v>591</v>
      </c>
      <c r="B25" s="67" t="s">
        <v>523</v>
      </c>
      <c r="C25" s="69">
        <v>4</v>
      </c>
      <c r="D25" s="109" t="s">
        <v>592</v>
      </c>
      <c r="F25" s="108">
        <v>3</v>
      </c>
      <c r="G25" s="135"/>
      <c r="H25" s="135"/>
      <c r="I25" s="183">
        <v>17</v>
      </c>
      <c r="J25" s="108">
        <v>9</v>
      </c>
      <c r="K25" s="108">
        <v>6</v>
      </c>
      <c r="L25" s="108">
        <v>0</v>
      </c>
      <c r="M25" s="108">
        <v>2</v>
      </c>
      <c r="N25" s="108">
        <v>3</v>
      </c>
      <c r="O25" s="108">
        <v>3</v>
      </c>
      <c r="P25" s="108">
        <v>0</v>
      </c>
      <c r="Q25" s="108">
        <v>5</v>
      </c>
      <c r="R25" s="108">
        <v>0</v>
      </c>
      <c r="S25" s="108">
        <v>6</v>
      </c>
      <c r="T25" s="108">
        <v>539</v>
      </c>
      <c r="U25" s="108">
        <v>6</v>
      </c>
      <c r="V25" s="108">
        <v>9</v>
      </c>
      <c r="W25" s="108">
        <v>0</v>
      </c>
      <c r="X25" s="108">
        <v>61</v>
      </c>
      <c r="Y25" s="108">
        <v>6</v>
      </c>
      <c r="Z25" s="108">
        <v>5</v>
      </c>
      <c r="AA25" s="108"/>
      <c r="AB25" s="108"/>
      <c r="AC25" s="108">
        <v>12</v>
      </c>
      <c r="AD25" s="108">
        <v>2</v>
      </c>
      <c r="AE25" s="69">
        <f t="shared" si="0"/>
        <v>10</v>
      </c>
      <c r="AF25" s="108">
        <v>8</v>
      </c>
      <c r="AG25" s="70">
        <f t="shared" si="1"/>
        <v>9</v>
      </c>
      <c r="AH25" s="69">
        <f t="shared" si="2"/>
        <v>17</v>
      </c>
      <c r="AI25" s="71">
        <v>37</v>
      </c>
      <c r="AJ25" s="7">
        <f>AI25/C25</f>
        <v>9.25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6"/>
      <c r="AY25" s="6"/>
      <c r="AZ25" s="6"/>
      <c r="BA25" s="6"/>
      <c r="BB25" s="6"/>
      <c r="BC25" s="4"/>
      <c r="BD25" s="7"/>
      <c r="BE25" s="7"/>
      <c r="BF25" s="4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72" x14ac:dyDescent="0.2">
      <c r="A26" s="106" t="s">
        <v>593</v>
      </c>
      <c r="B26" s="67" t="s">
        <v>523</v>
      </c>
      <c r="C26" s="69">
        <v>15</v>
      </c>
      <c r="D26" s="109" t="s">
        <v>594</v>
      </c>
      <c r="F26" s="108">
        <v>11</v>
      </c>
      <c r="G26" s="135"/>
      <c r="H26" s="135"/>
      <c r="I26" s="183">
        <v>72</v>
      </c>
      <c r="J26" s="108">
        <v>54</v>
      </c>
      <c r="K26" s="108">
        <v>14</v>
      </c>
      <c r="L26" s="108">
        <v>2</v>
      </c>
      <c r="M26" s="108">
        <v>2</v>
      </c>
      <c r="N26" s="108">
        <v>17</v>
      </c>
      <c r="O26" s="108">
        <v>9</v>
      </c>
      <c r="P26" s="108">
        <v>3</v>
      </c>
      <c r="Q26" s="108">
        <v>2</v>
      </c>
      <c r="R26" s="108">
        <v>7</v>
      </c>
      <c r="S26" s="108">
        <v>34</v>
      </c>
      <c r="T26" s="108">
        <v>2577</v>
      </c>
      <c r="U26" s="108">
        <v>18</v>
      </c>
      <c r="V26" s="108">
        <v>46</v>
      </c>
      <c r="W26" s="108">
        <v>4</v>
      </c>
      <c r="X26" s="108">
        <v>0</v>
      </c>
      <c r="Y26" s="108">
        <v>0</v>
      </c>
      <c r="Z26" s="108">
        <v>0</v>
      </c>
      <c r="AA26" s="108">
        <v>0</v>
      </c>
      <c r="AB26" s="108">
        <v>0</v>
      </c>
      <c r="AC26" s="108">
        <v>46</v>
      </c>
      <c r="AD26" s="108">
        <v>0</v>
      </c>
      <c r="AE26" s="69">
        <f t="shared" si="0"/>
        <v>46</v>
      </c>
      <c r="AF26" s="108">
        <v>32</v>
      </c>
      <c r="AG26" s="70">
        <f t="shared" si="1"/>
        <v>40</v>
      </c>
      <c r="AH26" s="69">
        <f t="shared" si="2"/>
        <v>72</v>
      </c>
      <c r="AI26" s="110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6"/>
      <c r="AY26" s="6"/>
      <c r="AZ26" s="6"/>
      <c r="BA26" s="6"/>
      <c r="BB26" s="6"/>
      <c r="BC26" s="4"/>
      <c r="BD26" s="7"/>
      <c r="BE26" s="7"/>
      <c r="BF26" s="4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</row>
    <row r="27" spans="1:72" x14ac:dyDescent="0.2">
      <c r="A27" s="106" t="s">
        <v>595</v>
      </c>
      <c r="B27" s="67" t="s">
        <v>523</v>
      </c>
      <c r="C27" s="69">
        <v>15</v>
      </c>
      <c r="D27" s="109" t="s">
        <v>596</v>
      </c>
      <c r="F27" s="108">
        <v>11</v>
      </c>
      <c r="G27" s="135"/>
      <c r="H27" s="135"/>
      <c r="I27" s="183">
        <v>68</v>
      </c>
      <c r="J27" s="108">
        <v>41</v>
      </c>
      <c r="K27" s="108">
        <v>18</v>
      </c>
      <c r="L27" s="108">
        <v>6</v>
      </c>
      <c r="M27" s="108">
        <v>3</v>
      </c>
      <c r="N27" s="108">
        <v>17</v>
      </c>
      <c r="O27" s="108">
        <v>5</v>
      </c>
      <c r="P27" s="108">
        <v>6</v>
      </c>
      <c r="Q27" s="108">
        <v>5</v>
      </c>
      <c r="R27" s="108">
        <v>6</v>
      </c>
      <c r="S27" s="108">
        <v>29</v>
      </c>
      <c r="T27" s="108">
        <v>2163</v>
      </c>
      <c r="U27" s="108">
        <v>15</v>
      </c>
      <c r="V27" s="108">
        <v>38</v>
      </c>
      <c r="W27" s="108">
        <v>6</v>
      </c>
      <c r="X27" s="108">
        <v>0</v>
      </c>
      <c r="Y27" s="108">
        <v>0</v>
      </c>
      <c r="Z27" s="108">
        <v>0</v>
      </c>
      <c r="AA27" s="108">
        <v>0</v>
      </c>
      <c r="AB27" s="108">
        <v>0</v>
      </c>
      <c r="AC27" s="108">
        <f>'[1]Pkvalley analysis'!Z71</f>
        <v>45</v>
      </c>
      <c r="AD27" s="108">
        <v>0</v>
      </c>
      <c r="AE27" s="69">
        <f t="shared" si="0"/>
        <v>45</v>
      </c>
      <c r="AF27" s="108">
        <f>'[1]Pkvalley analysis'!AC71</f>
        <v>42</v>
      </c>
      <c r="AG27" s="70">
        <f t="shared" si="1"/>
        <v>26</v>
      </c>
      <c r="AH27" s="69">
        <f t="shared" si="2"/>
        <v>68</v>
      </c>
      <c r="AI27" s="110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6"/>
      <c r="AY27" s="6"/>
      <c r="AZ27" s="6"/>
      <c r="BA27" s="6"/>
      <c r="BB27" s="6"/>
      <c r="BC27" s="4"/>
      <c r="BD27" s="7"/>
      <c r="BE27" s="7"/>
      <c r="BF27" s="4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 spans="1:72" x14ac:dyDescent="0.2">
      <c r="A28" s="106" t="s">
        <v>597</v>
      </c>
      <c r="B28" s="67" t="s">
        <v>523</v>
      </c>
      <c r="C28" s="69">
        <v>7</v>
      </c>
      <c r="D28" s="109" t="s">
        <v>598</v>
      </c>
      <c r="F28" s="108">
        <v>9</v>
      </c>
      <c r="G28" s="135"/>
      <c r="H28" s="135"/>
      <c r="I28" s="183">
        <v>37</v>
      </c>
      <c r="J28" s="108">
        <v>21</v>
      </c>
      <c r="K28" s="108">
        <v>11</v>
      </c>
      <c r="L28" s="108">
        <v>4</v>
      </c>
      <c r="M28" s="108">
        <v>1</v>
      </c>
      <c r="N28" s="108">
        <v>6</v>
      </c>
      <c r="O28" s="108">
        <v>4</v>
      </c>
      <c r="P28" s="108">
        <v>6</v>
      </c>
      <c r="Q28" s="108">
        <v>4</v>
      </c>
      <c r="R28" s="108">
        <v>7</v>
      </c>
      <c r="S28" s="108">
        <v>10</v>
      </c>
      <c r="T28" s="108">
        <v>1144</v>
      </c>
      <c r="U28" s="108">
        <v>11</v>
      </c>
      <c r="V28" s="108">
        <v>18</v>
      </c>
      <c r="W28" s="108">
        <v>3</v>
      </c>
      <c r="X28" s="108">
        <v>0</v>
      </c>
      <c r="Y28" s="108">
        <v>0</v>
      </c>
      <c r="Z28" s="108">
        <v>0</v>
      </c>
      <c r="AA28" s="108">
        <v>0</v>
      </c>
      <c r="AB28" s="108">
        <v>0</v>
      </c>
      <c r="AC28" s="108">
        <v>20</v>
      </c>
      <c r="AD28" s="108">
        <v>0</v>
      </c>
      <c r="AE28" s="69">
        <f t="shared" si="0"/>
        <v>20</v>
      </c>
      <c r="AF28" s="108">
        <v>16</v>
      </c>
      <c r="AG28" s="70">
        <f t="shared" si="1"/>
        <v>21</v>
      </c>
      <c r="AH28" s="69">
        <f t="shared" si="2"/>
        <v>37</v>
      </c>
      <c r="AI28" s="110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6"/>
      <c r="AY28" s="6"/>
      <c r="AZ28" s="6"/>
      <c r="BA28" s="6"/>
      <c r="BB28" s="6"/>
      <c r="BC28" s="4"/>
      <c r="BD28" s="7"/>
      <c r="BE28" s="7"/>
      <c r="BF28" s="4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 spans="1:72" x14ac:dyDescent="0.2">
      <c r="A29" s="111" t="s">
        <v>599</v>
      </c>
      <c r="B29" s="67" t="s">
        <v>523</v>
      </c>
      <c r="C29" s="112">
        <v>2</v>
      </c>
      <c r="D29" s="112" t="s">
        <v>600</v>
      </c>
      <c r="F29" s="112">
        <v>2</v>
      </c>
      <c r="G29" s="136"/>
      <c r="H29" s="136"/>
      <c r="I29" s="113">
        <v>9</v>
      </c>
      <c r="J29" s="112">
        <v>6</v>
      </c>
      <c r="K29" s="112">
        <v>3</v>
      </c>
      <c r="L29" s="112">
        <v>0</v>
      </c>
      <c r="M29" s="112">
        <v>0</v>
      </c>
      <c r="N29" s="112">
        <v>2</v>
      </c>
      <c r="O29" s="112">
        <v>0</v>
      </c>
      <c r="P29" s="112">
        <v>0</v>
      </c>
      <c r="Q29" s="112">
        <v>0</v>
      </c>
      <c r="R29" s="112">
        <v>2</v>
      </c>
      <c r="S29" s="112">
        <v>5</v>
      </c>
      <c r="T29" s="112">
        <v>342</v>
      </c>
      <c r="U29" s="112">
        <v>3</v>
      </c>
      <c r="V29" s="112">
        <v>6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7</v>
      </c>
      <c r="AD29" s="112">
        <v>0</v>
      </c>
      <c r="AE29" s="69">
        <f t="shared" si="0"/>
        <v>7</v>
      </c>
      <c r="AF29" s="112">
        <v>2</v>
      </c>
      <c r="AG29" s="70">
        <f t="shared" si="1"/>
        <v>7</v>
      </c>
      <c r="AH29" s="114">
        <f t="shared" si="2"/>
        <v>9</v>
      </c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</row>
    <row r="30" spans="1:72" s="29" customFormat="1" x14ac:dyDescent="0.2">
      <c r="A30" s="33" t="s">
        <v>601</v>
      </c>
      <c r="B30" s="67" t="s">
        <v>523</v>
      </c>
      <c r="C30" s="29">
        <v>4</v>
      </c>
      <c r="D30" s="29" t="s">
        <v>602</v>
      </c>
      <c r="F30" s="29">
        <v>3</v>
      </c>
      <c r="G30" s="137"/>
      <c r="H30" s="137"/>
      <c r="I30" s="39">
        <v>20</v>
      </c>
      <c r="J30" s="29">
        <v>10</v>
      </c>
      <c r="K30" s="29">
        <v>8</v>
      </c>
      <c r="L30" s="29">
        <v>1</v>
      </c>
      <c r="M30" s="29">
        <v>1</v>
      </c>
      <c r="N30" s="29">
        <v>3</v>
      </c>
      <c r="O30" s="29">
        <v>3</v>
      </c>
      <c r="P30" s="29">
        <v>4</v>
      </c>
      <c r="Q30" s="29">
        <v>3</v>
      </c>
      <c r="R30" s="29">
        <v>1</v>
      </c>
      <c r="S30" s="29">
        <v>6</v>
      </c>
      <c r="T30" s="29">
        <v>696</v>
      </c>
      <c r="U30" s="29">
        <v>6</v>
      </c>
      <c r="V30" s="29">
        <v>12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13</v>
      </c>
      <c r="AD30" s="29">
        <v>0</v>
      </c>
      <c r="AE30" s="69">
        <f t="shared" si="0"/>
        <v>13</v>
      </c>
      <c r="AF30" s="29">
        <v>11</v>
      </c>
      <c r="AG30" s="70">
        <f t="shared" si="1"/>
        <v>9</v>
      </c>
      <c r="AH30" s="29">
        <f t="shared" si="2"/>
        <v>20</v>
      </c>
    </row>
    <row r="31" spans="1:72" s="29" customFormat="1" x14ac:dyDescent="0.2">
      <c r="A31" s="33" t="s">
        <v>603</v>
      </c>
      <c r="B31" s="67" t="s">
        <v>523</v>
      </c>
      <c r="C31" s="29">
        <v>3</v>
      </c>
      <c r="D31" s="29" t="s">
        <v>604</v>
      </c>
      <c r="F31" s="29">
        <v>2</v>
      </c>
      <c r="G31" s="137"/>
      <c r="H31" s="137"/>
      <c r="I31" s="39">
        <v>15</v>
      </c>
      <c r="J31" s="29">
        <v>9</v>
      </c>
      <c r="K31" s="29">
        <v>6</v>
      </c>
      <c r="L31" s="29">
        <v>0</v>
      </c>
      <c r="M31" s="29">
        <v>0</v>
      </c>
      <c r="N31" s="29">
        <v>2</v>
      </c>
      <c r="O31" s="29">
        <v>1</v>
      </c>
      <c r="P31" s="29">
        <v>1</v>
      </c>
      <c r="Q31" s="29">
        <v>3</v>
      </c>
      <c r="R31" s="29">
        <v>0</v>
      </c>
      <c r="S31" s="29">
        <v>8</v>
      </c>
      <c r="T31" s="29">
        <v>445</v>
      </c>
      <c r="U31" s="29">
        <v>5</v>
      </c>
      <c r="V31" s="29">
        <v>10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13</v>
      </c>
      <c r="AD31" s="29">
        <v>0</v>
      </c>
      <c r="AE31" s="69">
        <f t="shared" si="0"/>
        <v>13</v>
      </c>
      <c r="AF31" s="29">
        <v>6</v>
      </c>
      <c r="AG31" s="70">
        <f t="shared" si="1"/>
        <v>9</v>
      </c>
      <c r="AH31" s="29">
        <f t="shared" si="2"/>
        <v>15</v>
      </c>
    </row>
    <row r="32" spans="1:72" x14ac:dyDescent="0.2">
      <c r="A32" s="115" t="s">
        <v>605</v>
      </c>
      <c r="B32" s="67" t="s">
        <v>523</v>
      </c>
      <c r="C32" s="9">
        <v>3</v>
      </c>
      <c r="D32" s="9" t="s">
        <v>606</v>
      </c>
      <c r="F32" s="9">
        <v>2</v>
      </c>
      <c r="G32" s="138"/>
      <c r="H32" s="138"/>
      <c r="I32" s="184">
        <v>13</v>
      </c>
      <c r="J32" s="9">
        <v>9</v>
      </c>
      <c r="K32" s="9">
        <v>3</v>
      </c>
      <c r="L32" s="9">
        <v>1</v>
      </c>
      <c r="M32" s="9">
        <v>0</v>
      </c>
      <c r="N32" s="9">
        <v>2</v>
      </c>
      <c r="O32" s="9">
        <v>1</v>
      </c>
      <c r="P32" s="9">
        <v>2</v>
      </c>
      <c r="Q32" s="9">
        <v>1</v>
      </c>
      <c r="R32" s="9">
        <v>2</v>
      </c>
      <c r="S32" s="9">
        <v>5</v>
      </c>
      <c r="T32" s="9">
        <v>448</v>
      </c>
      <c r="U32" s="9">
        <v>2</v>
      </c>
      <c r="V32" s="9">
        <v>8</v>
      </c>
      <c r="W32" s="9">
        <v>2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10</v>
      </c>
      <c r="AD32" s="9">
        <v>0</v>
      </c>
      <c r="AE32" s="69">
        <f t="shared" si="0"/>
        <v>10</v>
      </c>
      <c r="AF32" s="9">
        <v>6</v>
      </c>
      <c r="AG32" s="70">
        <f t="shared" si="1"/>
        <v>7</v>
      </c>
      <c r="AH32" s="116">
        <f t="shared" si="2"/>
        <v>13</v>
      </c>
    </row>
    <row r="33" spans="1:72" x14ac:dyDescent="0.2">
      <c r="A33" s="117" t="s">
        <v>607</v>
      </c>
      <c r="B33" s="67" t="s">
        <v>523</v>
      </c>
      <c r="C33">
        <v>7</v>
      </c>
      <c r="D33" t="s">
        <v>608</v>
      </c>
      <c r="F33">
        <v>7</v>
      </c>
      <c r="I33" s="64">
        <v>45</v>
      </c>
      <c r="J33">
        <v>34</v>
      </c>
      <c r="K33">
        <v>10</v>
      </c>
      <c r="L33">
        <v>1</v>
      </c>
      <c r="M33">
        <v>0</v>
      </c>
      <c r="N33">
        <v>8</v>
      </c>
      <c r="O33">
        <v>6</v>
      </c>
      <c r="P33">
        <v>6</v>
      </c>
      <c r="Q33">
        <v>3</v>
      </c>
      <c r="R33">
        <v>1</v>
      </c>
      <c r="S33">
        <v>21</v>
      </c>
      <c r="T33">
        <v>1763</v>
      </c>
      <c r="U33">
        <v>12</v>
      </c>
      <c r="V33">
        <v>29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28</v>
      </c>
      <c r="AD33">
        <v>0</v>
      </c>
      <c r="AE33" s="69">
        <f t="shared" si="0"/>
        <v>28</v>
      </c>
      <c r="AF33">
        <v>29</v>
      </c>
      <c r="AG33" s="70">
        <f t="shared" si="1"/>
        <v>16</v>
      </c>
      <c r="AH33" s="69">
        <f t="shared" si="2"/>
        <v>45</v>
      </c>
    </row>
    <row r="34" spans="1:72" x14ac:dyDescent="0.2">
      <c r="A34" s="118" t="s">
        <v>609</v>
      </c>
      <c r="B34" s="67" t="s">
        <v>523</v>
      </c>
      <c r="C34" s="7">
        <v>10</v>
      </c>
      <c r="D34" s="79" t="s">
        <v>610</v>
      </c>
      <c r="F34" s="7">
        <v>4</v>
      </c>
      <c r="G34" s="132"/>
      <c r="H34" s="132"/>
      <c r="I34" s="20">
        <v>26</v>
      </c>
      <c r="J34" s="7">
        <v>16</v>
      </c>
      <c r="K34" s="7">
        <v>7</v>
      </c>
      <c r="L34" s="7">
        <v>1</v>
      </c>
      <c r="M34" s="7">
        <v>2</v>
      </c>
      <c r="N34" s="7">
        <v>4</v>
      </c>
      <c r="O34" s="7">
        <v>3</v>
      </c>
      <c r="P34" s="7">
        <v>3</v>
      </c>
      <c r="Q34" s="7">
        <v>3</v>
      </c>
      <c r="R34" s="7">
        <v>2</v>
      </c>
      <c r="S34" s="7">
        <v>11</v>
      </c>
      <c r="T34" s="7">
        <v>895</v>
      </c>
      <c r="U34" s="7">
        <v>8</v>
      </c>
      <c r="V34" s="7">
        <v>14</v>
      </c>
      <c r="W34" s="7">
        <v>0</v>
      </c>
      <c r="X34" s="7">
        <v>16</v>
      </c>
      <c r="Y34" s="7">
        <v>4</v>
      </c>
      <c r="Z34" s="7">
        <v>4</v>
      </c>
      <c r="AA34" s="7">
        <v>0</v>
      </c>
      <c r="AB34" s="7">
        <v>0</v>
      </c>
      <c r="AC34" s="7">
        <v>18</v>
      </c>
      <c r="AD34" s="7">
        <v>2</v>
      </c>
      <c r="AE34" s="69">
        <f t="shared" si="0"/>
        <v>16</v>
      </c>
      <c r="AF34" s="7">
        <v>14</v>
      </c>
      <c r="AG34" s="70">
        <f t="shared" si="1"/>
        <v>12</v>
      </c>
      <c r="AH34" s="69">
        <f t="shared" si="2"/>
        <v>26</v>
      </c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1:72" x14ac:dyDescent="0.2">
      <c r="A35" s="119" t="s">
        <v>611</v>
      </c>
      <c r="B35" s="67" t="s">
        <v>523</v>
      </c>
      <c r="C35">
        <v>7</v>
      </c>
      <c r="D35" s="1" t="s">
        <v>612</v>
      </c>
      <c r="F35">
        <v>6</v>
      </c>
      <c r="I35" s="64">
        <v>40</v>
      </c>
      <c r="J35">
        <v>27</v>
      </c>
      <c r="K35">
        <v>6</v>
      </c>
      <c r="L35">
        <v>4</v>
      </c>
      <c r="M35">
        <v>4</v>
      </c>
      <c r="N35">
        <v>7</v>
      </c>
      <c r="O35">
        <v>5</v>
      </c>
      <c r="P35">
        <v>7</v>
      </c>
      <c r="Q35">
        <v>4</v>
      </c>
      <c r="R35">
        <v>1</v>
      </c>
      <c r="S35">
        <v>16</v>
      </c>
      <c r="T35">
        <v>1203</v>
      </c>
      <c r="U35">
        <v>11</v>
      </c>
      <c r="V35">
        <v>20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22</v>
      </c>
      <c r="AD35">
        <v>0</v>
      </c>
      <c r="AE35" s="69">
        <f t="shared" si="0"/>
        <v>22</v>
      </c>
      <c r="AF35">
        <v>16</v>
      </c>
      <c r="AG35" s="70">
        <f t="shared" si="1"/>
        <v>24</v>
      </c>
      <c r="AH35" s="69">
        <f t="shared" si="2"/>
        <v>40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1:72" x14ac:dyDescent="0.2">
      <c r="A36" s="119" t="s">
        <v>587</v>
      </c>
      <c r="B36" s="67" t="s">
        <v>523</v>
      </c>
      <c r="C36">
        <v>11</v>
      </c>
      <c r="D36" s="1" t="s">
        <v>613</v>
      </c>
      <c r="F36">
        <v>9</v>
      </c>
      <c r="I36" s="64">
        <v>56</v>
      </c>
      <c r="J36">
        <v>34</v>
      </c>
      <c r="K36">
        <v>12</v>
      </c>
      <c r="L36">
        <v>6</v>
      </c>
      <c r="M36">
        <v>4</v>
      </c>
      <c r="N36">
        <v>11</v>
      </c>
      <c r="O36">
        <v>8</v>
      </c>
      <c r="P36">
        <v>14</v>
      </c>
      <c r="Q36">
        <v>7</v>
      </c>
      <c r="R36">
        <v>2</v>
      </c>
      <c r="S36">
        <v>14</v>
      </c>
      <c r="T36">
        <v>1603</v>
      </c>
      <c r="U36">
        <v>15</v>
      </c>
      <c r="V36">
        <v>25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30</v>
      </c>
      <c r="AD36">
        <v>0</v>
      </c>
      <c r="AE36" s="69">
        <f t="shared" si="0"/>
        <v>30</v>
      </c>
      <c r="AF36">
        <v>29</v>
      </c>
      <c r="AG36" s="70">
        <f t="shared" si="1"/>
        <v>27</v>
      </c>
      <c r="AH36" s="69">
        <f t="shared" si="2"/>
        <v>56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1:72" x14ac:dyDescent="0.2">
      <c r="A37" s="118" t="s">
        <v>614</v>
      </c>
      <c r="B37" s="67" t="s">
        <v>523</v>
      </c>
      <c r="C37" s="7">
        <v>11</v>
      </c>
      <c r="D37" s="79" t="s">
        <v>615</v>
      </c>
      <c r="F37" s="7">
        <v>8</v>
      </c>
      <c r="G37" s="132"/>
      <c r="H37" s="132"/>
      <c r="I37" s="20">
        <v>56</v>
      </c>
      <c r="J37" s="7">
        <v>39</v>
      </c>
      <c r="K37" s="7">
        <v>14</v>
      </c>
      <c r="L37" s="7">
        <v>0</v>
      </c>
      <c r="M37" s="7">
        <v>3</v>
      </c>
      <c r="N37" s="7">
        <v>11</v>
      </c>
      <c r="O37" s="7">
        <v>6</v>
      </c>
      <c r="P37" s="7">
        <v>3</v>
      </c>
      <c r="Q37" s="7">
        <v>3</v>
      </c>
      <c r="R37" s="7">
        <v>6</v>
      </c>
      <c r="S37" s="7">
        <v>27</v>
      </c>
      <c r="T37" s="7">
        <v>2049</v>
      </c>
      <c r="U37" s="7">
        <v>14</v>
      </c>
      <c r="V37" s="7">
        <v>35</v>
      </c>
      <c r="W37" s="7">
        <v>4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39</v>
      </c>
      <c r="AD37" s="7">
        <v>0</v>
      </c>
      <c r="AE37" s="69">
        <f t="shared" si="0"/>
        <v>39</v>
      </c>
      <c r="AF37" s="7">
        <v>24</v>
      </c>
      <c r="AG37" s="70">
        <f t="shared" si="1"/>
        <v>32</v>
      </c>
      <c r="AH37" s="69">
        <f t="shared" si="2"/>
        <v>56</v>
      </c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1:72" x14ac:dyDescent="0.2">
      <c r="A38" s="119" t="s">
        <v>616</v>
      </c>
      <c r="B38" s="67" t="s">
        <v>523</v>
      </c>
      <c r="C38">
        <v>3</v>
      </c>
      <c r="D38" s="1" t="s">
        <v>617</v>
      </c>
      <c r="F38">
        <v>3</v>
      </c>
      <c r="I38" s="64">
        <v>11</v>
      </c>
      <c r="J38">
        <v>7</v>
      </c>
      <c r="K38">
        <v>2</v>
      </c>
      <c r="L38">
        <v>0</v>
      </c>
      <c r="M38">
        <v>2</v>
      </c>
      <c r="N38">
        <v>2</v>
      </c>
      <c r="O38">
        <v>3</v>
      </c>
      <c r="P38">
        <v>0</v>
      </c>
      <c r="Q38">
        <v>2</v>
      </c>
      <c r="R38">
        <v>3</v>
      </c>
      <c r="S38">
        <v>1</v>
      </c>
      <c r="T38">
        <v>357</v>
      </c>
      <c r="U38">
        <v>5</v>
      </c>
      <c r="V38">
        <v>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</v>
      </c>
      <c r="AD38">
        <v>0</v>
      </c>
      <c r="AE38" s="69">
        <f t="shared" si="0"/>
        <v>4</v>
      </c>
      <c r="AF38">
        <v>5</v>
      </c>
      <c r="AG38" s="70">
        <f t="shared" si="1"/>
        <v>6</v>
      </c>
      <c r="AH38" s="69">
        <f t="shared" si="2"/>
        <v>11</v>
      </c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spans="1:72" x14ac:dyDescent="0.2">
      <c r="A39" s="119" t="s">
        <v>618</v>
      </c>
      <c r="B39" s="67" t="s">
        <v>523</v>
      </c>
      <c r="C39">
        <v>8</v>
      </c>
      <c r="D39" s="1" t="s">
        <v>619</v>
      </c>
      <c r="F39">
        <v>6</v>
      </c>
      <c r="I39" s="64">
        <v>47</v>
      </c>
      <c r="J39">
        <v>46</v>
      </c>
      <c r="K39">
        <v>12</v>
      </c>
      <c r="L39">
        <v>5</v>
      </c>
      <c r="M39">
        <v>6</v>
      </c>
      <c r="N39">
        <v>12</v>
      </c>
      <c r="O39">
        <v>12</v>
      </c>
      <c r="P39">
        <v>7</v>
      </c>
      <c r="Q39">
        <v>7</v>
      </c>
      <c r="R39">
        <v>10</v>
      </c>
      <c r="S39">
        <v>21</v>
      </c>
      <c r="T39">
        <v>2221</v>
      </c>
      <c r="U39">
        <v>22</v>
      </c>
      <c r="V39">
        <v>33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38</v>
      </c>
      <c r="AD39">
        <v>0</v>
      </c>
      <c r="AE39" s="69">
        <f t="shared" si="0"/>
        <v>38</v>
      </c>
      <c r="AF39">
        <v>36</v>
      </c>
      <c r="AG39" s="70">
        <f t="shared" si="1"/>
        <v>11</v>
      </c>
      <c r="AH39" s="69">
        <f t="shared" si="2"/>
        <v>47</v>
      </c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spans="1:72" x14ac:dyDescent="0.2">
      <c r="A40" s="119" t="s">
        <v>620</v>
      </c>
      <c r="B40" s="67" t="s">
        <v>523</v>
      </c>
      <c r="C40">
        <v>10</v>
      </c>
      <c r="D40" s="1" t="s">
        <v>621</v>
      </c>
      <c r="F40">
        <v>9</v>
      </c>
      <c r="I40" s="64">
        <v>40</v>
      </c>
      <c r="J40">
        <v>23</v>
      </c>
      <c r="K40">
        <v>11</v>
      </c>
      <c r="L40">
        <v>4</v>
      </c>
      <c r="M40">
        <v>2</v>
      </c>
      <c r="N40">
        <v>10</v>
      </c>
      <c r="O40">
        <v>0</v>
      </c>
      <c r="P40">
        <v>6</v>
      </c>
      <c r="Q40">
        <v>2</v>
      </c>
      <c r="R40">
        <v>3</v>
      </c>
      <c r="S40">
        <v>10</v>
      </c>
      <c r="T40">
        <v>1489</v>
      </c>
      <c r="U40">
        <v>20</v>
      </c>
      <c r="V40">
        <v>12</v>
      </c>
      <c r="W40">
        <v>2</v>
      </c>
      <c r="AC40">
        <v>21</v>
      </c>
      <c r="AD40">
        <v>0</v>
      </c>
      <c r="AE40" s="69">
        <f t="shared" si="0"/>
        <v>21</v>
      </c>
      <c r="AF40">
        <v>13</v>
      </c>
      <c r="AG40" s="70">
        <f t="shared" si="1"/>
        <v>27</v>
      </c>
      <c r="AH40" s="69">
        <f t="shared" si="2"/>
        <v>40</v>
      </c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spans="1:72" s="3" customFormat="1" x14ac:dyDescent="0.2">
      <c r="A41" s="80" t="s">
        <v>252</v>
      </c>
      <c r="B41" s="67" t="s">
        <v>523</v>
      </c>
      <c r="C41" s="83">
        <f>SUM(C3:C40)</f>
        <v>325</v>
      </c>
      <c r="D41" s="83">
        <v>38</v>
      </c>
      <c r="F41" s="120">
        <f t="shared" ref="F41:AI41" si="3">SUM(F3:F40)</f>
        <v>282</v>
      </c>
      <c r="G41" s="140"/>
      <c r="H41" s="140"/>
      <c r="I41" s="185">
        <f>SUM(I3:I40)</f>
        <v>1634</v>
      </c>
      <c r="J41" s="121">
        <f t="shared" si="3"/>
        <v>1065</v>
      </c>
      <c r="K41" s="121">
        <f t="shared" si="3"/>
        <v>400</v>
      </c>
      <c r="L41" s="121">
        <f t="shared" si="3"/>
        <v>109</v>
      </c>
      <c r="M41" s="121">
        <f t="shared" si="3"/>
        <v>83</v>
      </c>
      <c r="N41" s="121">
        <f t="shared" si="3"/>
        <v>304</v>
      </c>
      <c r="O41" s="121">
        <f t="shared" si="3"/>
        <v>182</v>
      </c>
      <c r="P41" s="121">
        <f t="shared" si="3"/>
        <v>244</v>
      </c>
      <c r="Q41" s="121">
        <f t="shared" si="3"/>
        <v>165</v>
      </c>
      <c r="R41" s="121">
        <f t="shared" si="3"/>
        <v>158</v>
      </c>
      <c r="S41" s="121">
        <f t="shared" si="3"/>
        <v>594</v>
      </c>
      <c r="T41" s="121">
        <f t="shared" si="3"/>
        <v>55707.9</v>
      </c>
      <c r="U41" s="121">
        <f t="shared" si="3"/>
        <v>418</v>
      </c>
      <c r="V41" s="121">
        <f t="shared" si="3"/>
        <v>963</v>
      </c>
      <c r="W41" s="121">
        <f t="shared" si="3"/>
        <v>94</v>
      </c>
      <c r="X41" s="121">
        <f t="shared" si="3"/>
        <v>2617</v>
      </c>
      <c r="Y41" s="121">
        <f t="shared" si="3"/>
        <v>322</v>
      </c>
      <c r="Z41" s="121">
        <f t="shared" si="3"/>
        <v>278</v>
      </c>
      <c r="AA41" s="121">
        <f t="shared" si="3"/>
        <v>0</v>
      </c>
      <c r="AB41" s="121">
        <f t="shared" si="3"/>
        <v>0</v>
      </c>
      <c r="AC41" s="121">
        <f t="shared" si="3"/>
        <v>1016</v>
      </c>
      <c r="AD41" s="121">
        <f t="shared" si="3"/>
        <v>121</v>
      </c>
      <c r="AE41" s="121">
        <f t="shared" si="3"/>
        <v>895</v>
      </c>
      <c r="AF41" s="121">
        <f t="shared" si="3"/>
        <v>841</v>
      </c>
      <c r="AG41" s="121">
        <f t="shared" si="3"/>
        <v>793</v>
      </c>
      <c r="AH41" s="121">
        <f t="shared" si="3"/>
        <v>1586</v>
      </c>
      <c r="AI41" s="121">
        <f t="shared" si="3"/>
        <v>161</v>
      </c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12"/>
      <c r="AY41" s="12"/>
      <c r="AZ41" s="12"/>
      <c r="BA41" s="12"/>
      <c r="BB41" s="12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</row>
    <row r="42" spans="1:72" ht="17" thickBot="1" x14ac:dyDescent="0.25">
      <c r="A42" s="102"/>
      <c r="B42" s="102"/>
      <c r="C42" s="102">
        <f>C41/D41</f>
        <v>8.5526315789473681</v>
      </c>
      <c r="D42" s="102"/>
      <c r="F42" s="102"/>
      <c r="G42" s="133"/>
      <c r="H42" s="133"/>
      <c r="I42" s="181"/>
      <c r="J42" s="122"/>
      <c r="K42" s="122"/>
      <c r="L42" s="123"/>
      <c r="M42" s="122"/>
      <c r="N42" s="124"/>
      <c r="O42" s="124"/>
      <c r="P42" s="124"/>
      <c r="Q42" s="124"/>
      <c r="R42" s="124"/>
      <c r="S42" s="125"/>
      <c r="T42" s="102"/>
      <c r="U42" s="102"/>
      <c r="V42" s="102"/>
      <c r="W42" s="102"/>
      <c r="X42" s="102"/>
      <c r="Y42" s="102"/>
      <c r="Z42" s="102"/>
      <c r="AA42" s="102"/>
      <c r="AB42" s="102"/>
      <c r="AC42" s="122"/>
      <c r="AD42" s="102"/>
      <c r="AE42" s="102"/>
      <c r="AF42" s="102"/>
      <c r="AG42" s="181">
        <f>I41-AF41</f>
        <v>793</v>
      </c>
      <c r="AH42" s="102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 spans="1:72" ht="17" thickBot="1" x14ac:dyDescent="0.25">
      <c r="A43" s="7"/>
      <c r="B43" s="7"/>
      <c r="C43" s="7"/>
      <c r="F43" s="7"/>
      <c r="G43" s="132"/>
      <c r="H43" s="132"/>
      <c r="I43" s="20"/>
      <c r="J43" s="7"/>
      <c r="K43" s="7"/>
      <c r="L43" s="126"/>
      <c r="M43" s="7"/>
      <c r="N43" s="127"/>
      <c r="O43" s="128"/>
      <c r="P43" s="128"/>
      <c r="Q43" s="128"/>
      <c r="R43" s="128"/>
      <c r="S43" s="128"/>
      <c r="T43" s="71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</row>
    <row r="44" spans="1:72" ht="16" customHeight="1" x14ac:dyDescent="0.2">
      <c r="J44" s="129"/>
      <c r="K44" s="129"/>
    </row>
    <row r="45" spans="1:72" x14ac:dyDescent="0.2">
      <c r="A45" s="7"/>
      <c r="B45" s="7"/>
      <c r="C45" s="7"/>
      <c r="F45" s="7"/>
      <c r="G45" s="132"/>
      <c r="H45" s="132"/>
      <c r="I45" s="2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 spans="1:72" x14ac:dyDescent="0.2">
      <c r="A46" s="7"/>
      <c r="B46" s="7"/>
      <c r="C46" s="7"/>
      <c r="F46" s="7"/>
      <c r="G46" s="132"/>
      <c r="H46" s="132"/>
      <c r="I46" s="2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</row>
    <row r="47" spans="1:72" ht="17.5" customHeight="1" x14ac:dyDescent="0.2">
      <c r="A47" s="97"/>
      <c r="B47" s="69"/>
      <c r="C47" s="69"/>
      <c r="D47" s="78"/>
      <c r="E47" s="69"/>
      <c r="F47" s="70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71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</row>
  </sheetData>
  <phoneticPr fontId="15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AB40-8AB5-6C41-AB50-CA006E9D9D56}">
  <dimension ref="A1:BT47"/>
  <sheetViews>
    <sheetView topLeftCell="X1" zoomScale="149" zoomScaleNormal="149" workbookViewId="0">
      <pane ySplit="2" topLeftCell="A31" activePane="bottomLeft" state="frozen"/>
      <selection pane="bottomLeft" activeCell="AH43" sqref="AH43"/>
    </sheetView>
  </sheetViews>
  <sheetFormatPr baseColWidth="10" defaultRowHeight="16" x14ac:dyDescent="0.2"/>
  <cols>
    <col min="1" max="1" width="6.5" customWidth="1"/>
    <col min="2" max="2" width="5.83203125" customWidth="1"/>
    <col min="3" max="3" width="6.83203125" customWidth="1"/>
    <col min="4" max="4" width="16.6640625" style="54" customWidth="1"/>
    <col min="5" max="5" width="10.1640625" style="54" customWidth="1"/>
  </cols>
  <sheetData>
    <row r="1" spans="1:72" s="3" customFormat="1" ht="85" customHeight="1" x14ac:dyDescent="0.2">
      <c r="A1" s="80" t="s">
        <v>536</v>
      </c>
      <c r="B1" s="80" t="s">
        <v>807</v>
      </c>
      <c r="C1" s="80" t="s">
        <v>1051</v>
      </c>
      <c r="D1" s="81" t="s">
        <v>528</v>
      </c>
      <c r="E1" s="81" t="s">
        <v>804</v>
      </c>
      <c r="F1" s="80" t="s">
        <v>803</v>
      </c>
      <c r="G1" s="81" t="s">
        <v>537</v>
      </c>
      <c r="H1" s="81" t="s">
        <v>805</v>
      </c>
      <c r="I1" s="82" t="s">
        <v>1327</v>
      </c>
      <c r="J1" s="81" t="s">
        <v>220</v>
      </c>
      <c r="K1" s="83"/>
      <c r="L1" s="83"/>
      <c r="M1" s="83"/>
      <c r="N1" s="81" t="s">
        <v>221</v>
      </c>
      <c r="O1" s="83"/>
      <c r="P1" s="84"/>
      <c r="Q1" s="84"/>
      <c r="R1" s="84"/>
      <c r="S1" s="84"/>
      <c r="T1" s="81" t="s">
        <v>222</v>
      </c>
      <c r="U1" s="81" t="s">
        <v>538</v>
      </c>
      <c r="V1" s="84"/>
      <c r="W1" s="84"/>
      <c r="X1" s="81" t="s">
        <v>539</v>
      </c>
      <c r="Y1" s="81" t="s">
        <v>540</v>
      </c>
      <c r="Z1" s="81" t="s">
        <v>541</v>
      </c>
      <c r="AA1" s="81" t="s">
        <v>229</v>
      </c>
      <c r="AB1" s="81" t="s">
        <v>230</v>
      </c>
      <c r="AC1" s="81" t="s">
        <v>231</v>
      </c>
      <c r="AD1" s="81" t="s">
        <v>232</v>
      </c>
      <c r="AE1" s="84"/>
      <c r="AF1" s="81" t="s">
        <v>542</v>
      </c>
      <c r="AG1" s="84"/>
      <c r="AH1" s="84"/>
      <c r="AI1" s="85"/>
      <c r="AJ1" s="86"/>
      <c r="AK1" s="86"/>
      <c r="AL1" s="86"/>
      <c r="AM1" s="12"/>
      <c r="AN1" s="12"/>
      <c r="AO1" s="86"/>
      <c r="AP1" s="86"/>
      <c r="AQ1" s="87"/>
      <c r="AR1" s="86"/>
      <c r="AS1" s="86"/>
      <c r="AT1" s="86"/>
      <c r="AU1" s="87"/>
      <c r="AV1" s="12"/>
      <c r="AW1" s="12"/>
      <c r="AX1" s="12"/>
      <c r="AY1" s="12"/>
      <c r="AZ1" s="12"/>
      <c r="BA1" s="12"/>
      <c r="BB1" s="12"/>
      <c r="BC1" s="86"/>
      <c r="BD1" s="87"/>
      <c r="BE1" s="87"/>
      <c r="BF1" s="87"/>
      <c r="BG1" s="87"/>
      <c r="BH1" s="87"/>
      <c r="BI1" s="86"/>
      <c r="BJ1" s="86"/>
      <c r="BK1" s="86"/>
      <c r="BL1" s="86"/>
      <c r="BM1" s="86"/>
      <c r="BN1" s="86"/>
      <c r="BO1" s="12"/>
      <c r="BP1" s="12"/>
      <c r="BQ1" s="12"/>
      <c r="BR1" s="12"/>
      <c r="BS1" s="12"/>
      <c r="BT1" s="87"/>
    </row>
    <row r="2" spans="1:72" ht="51" x14ac:dyDescent="0.2">
      <c r="A2" s="69"/>
      <c r="B2" s="69"/>
      <c r="C2" s="77"/>
      <c r="D2" s="77"/>
      <c r="E2" s="77"/>
      <c r="F2" s="69"/>
      <c r="G2" s="69"/>
      <c r="H2" s="69"/>
      <c r="I2" s="70"/>
      <c r="J2" s="88" t="s">
        <v>237</v>
      </c>
      <c r="K2" s="88" t="s">
        <v>238</v>
      </c>
      <c r="L2" s="88" t="s">
        <v>239</v>
      </c>
      <c r="M2" s="88" t="s">
        <v>240</v>
      </c>
      <c r="N2" s="88" t="s">
        <v>543</v>
      </c>
      <c r="O2" s="88" t="s">
        <v>242</v>
      </c>
      <c r="P2" s="88" t="s">
        <v>243</v>
      </c>
      <c r="Q2" s="88" t="s">
        <v>244</v>
      </c>
      <c r="R2" s="88" t="s">
        <v>245</v>
      </c>
      <c r="S2" s="88" t="s">
        <v>26</v>
      </c>
      <c r="T2" s="89"/>
      <c r="U2" s="88" t="s">
        <v>238</v>
      </c>
      <c r="V2" s="88" t="s">
        <v>544</v>
      </c>
      <c r="W2" s="88" t="s">
        <v>237</v>
      </c>
      <c r="X2" s="89"/>
      <c r="Y2" s="89"/>
      <c r="Z2" s="90"/>
      <c r="AA2" s="88" t="s">
        <v>545</v>
      </c>
      <c r="AB2" s="88" t="s">
        <v>545</v>
      </c>
      <c r="AC2" s="89"/>
      <c r="AD2" s="88" t="s">
        <v>8</v>
      </c>
      <c r="AE2" s="88" t="s">
        <v>546</v>
      </c>
      <c r="AF2" s="80" t="s">
        <v>251</v>
      </c>
      <c r="AG2" s="67" t="s">
        <v>245</v>
      </c>
      <c r="AH2" s="91" t="s">
        <v>547</v>
      </c>
      <c r="AI2" s="92" t="s">
        <v>806</v>
      </c>
      <c r="AJ2" s="7"/>
      <c r="AK2" s="7"/>
      <c r="AL2" s="7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5"/>
      <c r="BG2" s="5"/>
      <c r="BH2" s="5"/>
      <c r="BI2" s="5"/>
      <c r="BJ2" s="5"/>
      <c r="BK2" s="5"/>
      <c r="BL2" s="6"/>
      <c r="BM2" s="6"/>
      <c r="BN2" s="6"/>
      <c r="BO2" s="6"/>
      <c r="BP2" s="6"/>
      <c r="BQ2" s="7"/>
      <c r="BR2" s="7"/>
      <c r="BS2" s="7"/>
      <c r="BT2" s="7"/>
    </row>
    <row r="3" spans="1:72" x14ac:dyDescent="0.2">
      <c r="A3" s="67" t="s">
        <v>549</v>
      </c>
      <c r="B3" s="67">
        <v>1921</v>
      </c>
      <c r="C3" s="69">
        <v>7</v>
      </c>
      <c r="D3" s="67" t="s">
        <v>550</v>
      </c>
      <c r="E3"/>
      <c r="G3" s="52"/>
      <c r="H3" s="52"/>
      <c r="I3" s="52">
        <v>21</v>
      </c>
      <c r="J3" s="52">
        <v>14</v>
      </c>
      <c r="K3" s="52">
        <v>5</v>
      </c>
      <c r="L3" s="52">
        <v>1</v>
      </c>
      <c r="M3" s="52">
        <v>1</v>
      </c>
      <c r="N3" s="52">
        <v>7</v>
      </c>
      <c r="O3" s="52">
        <v>3</v>
      </c>
      <c r="P3" s="52">
        <v>2</v>
      </c>
      <c r="Q3" s="52">
        <v>2</v>
      </c>
      <c r="R3" s="52">
        <v>3</v>
      </c>
      <c r="S3" s="52">
        <v>4</v>
      </c>
      <c r="T3" s="52">
        <v>832</v>
      </c>
      <c r="U3" s="52">
        <v>0</v>
      </c>
      <c r="V3" s="52">
        <v>1</v>
      </c>
      <c r="W3" s="52">
        <v>0</v>
      </c>
      <c r="X3" s="52">
        <v>0</v>
      </c>
      <c r="Y3" s="52">
        <v>0</v>
      </c>
      <c r="Z3" s="52">
        <v>0</v>
      </c>
      <c r="AA3" s="52">
        <v>0</v>
      </c>
      <c r="AB3" s="52">
        <v>0</v>
      </c>
      <c r="AC3" s="52">
        <v>12</v>
      </c>
      <c r="AD3" s="52">
        <v>0</v>
      </c>
      <c r="AE3" s="52">
        <f>AC3-AD3</f>
        <v>12</v>
      </c>
      <c r="AF3" s="52">
        <v>18</v>
      </c>
      <c r="AG3" s="52">
        <f>I4-AF4</f>
        <v>23</v>
      </c>
      <c r="AH3">
        <f>AG3+AF3</f>
        <v>41</v>
      </c>
      <c r="AI3" s="52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72" s="29" customFormat="1" ht="17" x14ac:dyDescent="0.2">
      <c r="A4" s="76" t="s">
        <v>253</v>
      </c>
      <c r="B4" s="67" t="s">
        <v>808</v>
      </c>
      <c r="C4" s="29">
        <v>11</v>
      </c>
      <c r="D4" s="29" t="s">
        <v>9</v>
      </c>
      <c r="I4" s="29">
        <v>59</v>
      </c>
      <c r="J4" s="29">
        <v>44</v>
      </c>
      <c r="K4" s="29">
        <v>11</v>
      </c>
      <c r="L4" s="29">
        <v>4</v>
      </c>
      <c r="M4" s="29">
        <v>0</v>
      </c>
      <c r="N4" s="29">
        <v>11</v>
      </c>
      <c r="O4" s="29">
        <v>6</v>
      </c>
      <c r="P4" s="29">
        <v>8</v>
      </c>
      <c r="Q4" s="29">
        <v>3</v>
      </c>
      <c r="R4" s="29">
        <v>8</v>
      </c>
      <c r="S4" s="29">
        <v>23</v>
      </c>
      <c r="T4" s="29">
        <v>1968</v>
      </c>
      <c r="AC4" s="29">
        <v>34</v>
      </c>
      <c r="AD4" s="29">
        <v>6</v>
      </c>
      <c r="AE4" s="52">
        <f t="shared" ref="AE4:AE40" si="0">AC4-AD4</f>
        <v>28</v>
      </c>
      <c r="AF4" s="29">
        <v>36</v>
      </c>
      <c r="AG4" s="29">
        <f>I4-AF4</f>
        <v>23</v>
      </c>
      <c r="AH4">
        <f t="shared" ref="AH4:AH41" si="1">AG4+AF4</f>
        <v>59</v>
      </c>
    </row>
    <row r="5" spans="1:72" ht="17" x14ac:dyDescent="0.2">
      <c r="A5" s="76" t="s">
        <v>551</v>
      </c>
      <c r="B5" s="67" t="s">
        <v>808</v>
      </c>
      <c r="C5">
        <v>10</v>
      </c>
      <c r="D5" t="s">
        <v>695</v>
      </c>
      <c r="E5"/>
      <c r="I5">
        <v>42</v>
      </c>
      <c r="J5">
        <v>29</v>
      </c>
      <c r="K5">
        <v>10</v>
      </c>
      <c r="L5">
        <v>0</v>
      </c>
      <c r="M5">
        <v>3</v>
      </c>
      <c r="N5">
        <v>11</v>
      </c>
      <c r="O5">
        <v>5</v>
      </c>
      <c r="P5">
        <v>2</v>
      </c>
      <c r="Q5">
        <v>2</v>
      </c>
      <c r="R5">
        <v>8</v>
      </c>
      <c r="S5">
        <v>14</v>
      </c>
      <c r="T5">
        <v>1718</v>
      </c>
      <c r="U5">
        <v>0</v>
      </c>
      <c r="V5">
        <v>0</v>
      </c>
      <c r="W5">
        <v>5</v>
      </c>
      <c r="X5">
        <v>0</v>
      </c>
      <c r="Y5">
        <v>0</v>
      </c>
      <c r="Z5">
        <v>0</v>
      </c>
      <c r="AB5">
        <v>0</v>
      </c>
      <c r="AC5">
        <v>28</v>
      </c>
      <c r="AD5">
        <v>5</v>
      </c>
      <c r="AE5" s="52">
        <f t="shared" si="0"/>
        <v>23</v>
      </c>
      <c r="AF5">
        <v>17</v>
      </c>
      <c r="AG5" s="29">
        <f t="shared" ref="AG5:AG41" si="2">I5-AF5</f>
        <v>25</v>
      </c>
      <c r="AH5">
        <f t="shared" si="1"/>
        <v>42</v>
      </c>
      <c r="AI5" t="e">
        <v>#REF!</v>
      </c>
    </row>
    <row r="6" spans="1:72" ht="17" x14ac:dyDescent="0.2">
      <c r="A6" s="76" t="s">
        <v>553</v>
      </c>
      <c r="B6" s="67" t="s">
        <v>808</v>
      </c>
      <c r="C6">
        <v>7</v>
      </c>
      <c r="D6" t="s">
        <v>554</v>
      </c>
      <c r="E6"/>
      <c r="I6">
        <v>29</v>
      </c>
      <c r="J6">
        <v>22</v>
      </c>
      <c r="K6">
        <v>7</v>
      </c>
      <c r="L6">
        <v>0</v>
      </c>
      <c r="M6">
        <v>0</v>
      </c>
      <c r="N6">
        <v>7</v>
      </c>
      <c r="O6">
        <v>4</v>
      </c>
      <c r="P6">
        <v>1</v>
      </c>
      <c r="Q6">
        <v>0</v>
      </c>
      <c r="R6">
        <v>4</v>
      </c>
      <c r="S6">
        <v>13</v>
      </c>
      <c r="T6">
        <v>1185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21</v>
      </c>
      <c r="AD6">
        <v>5</v>
      </c>
      <c r="AE6" s="52">
        <f t="shared" si="0"/>
        <v>16</v>
      </c>
      <c r="AF6">
        <v>10</v>
      </c>
      <c r="AG6" s="29">
        <f t="shared" si="2"/>
        <v>19</v>
      </c>
      <c r="AH6">
        <f t="shared" si="1"/>
        <v>29</v>
      </c>
    </row>
    <row r="7" spans="1:72" x14ac:dyDescent="0.2">
      <c r="A7" s="7" t="s">
        <v>555</v>
      </c>
      <c r="B7" s="67">
        <v>1921</v>
      </c>
      <c r="C7">
        <v>3</v>
      </c>
      <c r="D7" s="95" t="s">
        <v>556</v>
      </c>
      <c r="I7">
        <v>16</v>
      </c>
      <c r="J7">
        <v>13</v>
      </c>
      <c r="K7">
        <v>3</v>
      </c>
      <c r="L7">
        <v>0</v>
      </c>
      <c r="M7">
        <v>0</v>
      </c>
      <c r="N7">
        <v>3</v>
      </c>
      <c r="O7">
        <v>3</v>
      </c>
      <c r="P7">
        <v>1</v>
      </c>
      <c r="Q7">
        <v>0</v>
      </c>
      <c r="R7">
        <v>1</v>
      </c>
      <c r="S7">
        <v>8</v>
      </c>
      <c r="T7">
        <v>600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12</v>
      </c>
      <c r="AD7">
        <v>2</v>
      </c>
      <c r="AE7" s="52">
        <f t="shared" si="0"/>
        <v>10</v>
      </c>
      <c r="AF7">
        <v>7</v>
      </c>
      <c r="AG7" s="29">
        <f t="shared" si="2"/>
        <v>9</v>
      </c>
      <c r="AH7">
        <f t="shared" si="1"/>
        <v>16</v>
      </c>
    </row>
    <row r="8" spans="1:72" x14ac:dyDescent="0.2">
      <c r="A8" s="97" t="s">
        <v>557</v>
      </c>
      <c r="B8" s="67" t="s">
        <v>808</v>
      </c>
      <c r="C8">
        <v>2</v>
      </c>
      <c r="D8" s="78" t="s">
        <v>558</v>
      </c>
      <c r="I8">
        <v>14</v>
      </c>
      <c r="J8">
        <v>8</v>
      </c>
      <c r="K8">
        <v>2</v>
      </c>
      <c r="L8">
        <v>3</v>
      </c>
      <c r="M8">
        <v>1</v>
      </c>
      <c r="N8">
        <v>2</v>
      </c>
      <c r="O8">
        <v>2</v>
      </c>
      <c r="P8">
        <v>0</v>
      </c>
      <c r="Q8">
        <v>0</v>
      </c>
      <c r="R8">
        <v>2</v>
      </c>
      <c r="S8">
        <v>8</v>
      </c>
      <c r="T8">
        <v>460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C8">
        <v>11</v>
      </c>
      <c r="AD8">
        <v>1</v>
      </c>
      <c r="AE8" s="52">
        <f t="shared" si="0"/>
        <v>10</v>
      </c>
      <c r="AF8">
        <v>2</v>
      </c>
      <c r="AG8" s="29">
        <f t="shared" si="2"/>
        <v>12</v>
      </c>
      <c r="AH8">
        <f t="shared" si="1"/>
        <v>14</v>
      </c>
    </row>
    <row r="9" spans="1:72" x14ac:dyDescent="0.2">
      <c r="A9" s="67" t="s">
        <v>560</v>
      </c>
      <c r="B9" s="67">
        <v>1921</v>
      </c>
      <c r="C9">
        <v>6</v>
      </c>
      <c r="D9" s="78" t="s">
        <v>561</v>
      </c>
      <c r="I9">
        <v>33</v>
      </c>
      <c r="J9">
        <v>21</v>
      </c>
      <c r="K9">
        <v>7</v>
      </c>
      <c r="L9">
        <v>3</v>
      </c>
      <c r="M9">
        <v>2</v>
      </c>
      <c r="N9">
        <v>6</v>
      </c>
      <c r="O9">
        <v>5</v>
      </c>
      <c r="P9">
        <v>5</v>
      </c>
      <c r="Q9">
        <v>2</v>
      </c>
      <c r="R9">
        <v>3</v>
      </c>
      <c r="S9">
        <v>12</v>
      </c>
      <c r="T9">
        <v>1139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20</v>
      </c>
      <c r="AD9">
        <v>3</v>
      </c>
      <c r="AE9" s="52">
        <f t="shared" si="0"/>
        <v>17</v>
      </c>
      <c r="AF9">
        <v>17</v>
      </c>
      <c r="AG9" s="29">
        <f t="shared" si="2"/>
        <v>16</v>
      </c>
      <c r="AH9">
        <f t="shared" si="1"/>
        <v>33</v>
      </c>
      <c r="AI9">
        <v>0</v>
      </c>
    </row>
    <row r="10" spans="1:72" x14ac:dyDescent="0.2">
      <c r="A10" s="97" t="s">
        <v>562</v>
      </c>
      <c r="B10" s="67">
        <v>1921</v>
      </c>
      <c r="C10">
        <v>10</v>
      </c>
      <c r="D10" s="78" t="s">
        <v>563</v>
      </c>
      <c r="I10">
        <v>46</v>
      </c>
      <c r="J10">
        <v>27</v>
      </c>
      <c r="K10">
        <v>12</v>
      </c>
      <c r="L10">
        <v>4</v>
      </c>
      <c r="M10">
        <v>3</v>
      </c>
      <c r="N10">
        <v>10</v>
      </c>
      <c r="O10">
        <v>6</v>
      </c>
      <c r="P10">
        <v>6</v>
      </c>
      <c r="Q10">
        <v>6</v>
      </c>
      <c r="R10">
        <v>8</v>
      </c>
      <c r="S10">
        <v>10</v>
      </c>
      <c r="T10">
        <v>1622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26</v>
      </c>
      <c r="AD10">
        <v>2</v>
      </c>
      <c r="AE10" s="52">
        <f t="shared" si="0"/>
        <v>24</v>
      </c>
      <c r="AF10">
        <v>13</v>
      </c>
      <c r="AG10" s="29">
        <f t="shared" si="2"/>
        <v>33</v>
      </c>
      <c r="AH10">
        <f t="shared" si="1"/>
        <v>46</v>
      </c>
      <c r="AI10">
        <v>0</v>
      </c>
      <c r="AJ10">
        <v>0</v>
      </c>
    </row>
    <row r="11" spans="1:72" x14ac:dyDescent="0.2">
      <c r="A11" s="67" t="s">
        <v>564</v>
      </c>
      <c r="B11" s="67">
        <v>1921</v>
      </c>
      <c r="C11">
        <v>21</v>
      </c>
      <c r="D11" s="78" t="s">
        <v>1155</v>
      </c>
      <c r="I11">
        <v>86</v>
      </c>
      <c r="J11">
        <v>54</v>
      </c>
      <c r="K11">
        <v>25</v>
      </c>
      <c r="L11">
        <v>5</v>
      </c>
      <c r="M11">
        <v>2</v>
      </c>
      <c r="N11">
        <v>20</v>
      </c>
      <c r="O11">
        <v>16</v>
      </c>
      <c r="P11">
        <v>13</v>
      </c>
      <c r="Q11">
        <v>6</v>
      </c>
      <c r="R11">
        <v>10</v>
      </c>
      <c r="S11">
        <v>21</v>
      </c>
      <c r="T11">
        <v>3030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50</v>
      </c>
      <c r="AD11">
        <v>8</v>
      </c>
      <c r="AE11" s="52">
        <f t="shared" si="0"/>
        <v>42</v>
      </c>
      <c r="AF11">
        <v>36</v>
      </c>
      <c r="AG11" s="29">
        <f t="shared" si="2"/>
        <v>50</v>
      </c>
      <c r="AH11">
        <f t="shared" si="1"/>
        <v>86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72" x14ac:dyDescent="0.2">
      <c r="A12" s="67" t="s">
        <v>567</v>
      </c>
      <c r="B12" s="67">
        <v>1921</v>
      </c>
      <c r="C12">
        <v>3</v>
      </c>
      <c r="D12" s="67" t="s">
        <v>2600</v>
      </c>
      <c r="I12">
        <v>21</v>
      </c>
      <c r="J12">
        <v>17</v>
      </c>
      <c r="K12">
        <v>2</v>
      </c>
      <c r="L12">
        <v>1</v>
      </c>
      <c r="M12">
        <v>1</v>
      </c>
      <c r="N12">
        <v>2</v>
      </c>
      <c r="O12">
        <v>3</v>
      </c>
      <c r="P12">
        <v>1</v>
      </c>
      <c r="Q12">
        <v>1</v>
      </c>
      <c r="R12">
        <v>0</v>
      </c>
      <c r="S12">
        <v>14</v>
      </c>
      <c r="T12">
        <v>729</v>
      </c>
      <c r="AC12">
        <v>14</v>
      </c>
      <c r="AD12">
        <v>1</v>
      </c>
      <c r="AE12" s="52">
        <f t="shared" si="0"/>
        <v>13</v>
      </c>
      <c r="AF12">
        <v>11</v>
      </c>
      <c r="AG12" s="29">
        <f t="shared" si="2"/>
        <v>10</v>
      </c>
      <c r="AH12">
        <f t="shared" si="1"/>
        <v>21</v>
      </c>
    </row>
    <row r="13" spans="1:72" x14ac:dyDescent="0.2">
      <c r="A13" s="67" t="s">
        <v>569</v>
      </c>
      <c r="B13" s="67">
        <v>1921</v>
      </c>
      <c r="C13">
        <v>1</v>
      </c>
      <c r="D13" s="67" t="s">
        <v>570</v>
      </c>
      <c r="I13">
        <v>3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123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s="52">
        <f t="shared" si="0"/>
        <v>2</v>
      </c>
      <c r="AF13">
        <v>2</v>
      </c>
      <c r="AG13" s="29">
        <f t="shared" si="2"/>
        <v>1</v>
      </c>
      <c r="AH13">
        <f t="shared" si="1"/>
        <v>3</v>
      </c>
    </row>
    <row r="14" spans="1:72" x14ac:dyDescent="0.2">
      <c r="A14" s="67" t="s">
        <v>571</v>
      </c>
      <c r="B14" s="67">
        <v>1921</v>
      </c>
      <c r="C14">
        <v>5</v>
      </c>
      <c r="D14" s="67" t="s">
        <v>572</v>
      </c>
      <c r="I14">
        <v>44</v>
      </c>
      <c r="J14">
        <v>33</v>
      </c>
      <c r="K14">
        <v>10</v>
      </c>
      <c r="L14">
        <v>1</v>
      </c>
      <c r="M14">
        <v>0</v>
      </c>
      <c r="N14">
        <v>4</v>
      </c>
      <c r="O14">
        <v>5</v>
      </c>
      <c r="P14">
        <v>4</v>
      </c>
      <c r="Q14">
        <v>3</v>
      </c>
      <c r="R14">
        <v>14</v>
      </c>
      <c r="S14">
        <v>14</v>
      </c>
      <c r="T14">
        <v>1585</v>
      </c>
      <c r="V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23</v>
      </c>
      <c r="AD14">
        <v>5</v>
      </c>
      <c r="AE14" s="52">
        <f t="shared" si="0"/>
        <v>18</v>
      </c>
      <c r="AF14">
        <v>10</v>
      </c>
      <c r="AG14" s="29">
        <f t="shared" si="2"/>
        <v>34</v>
      </c>
      <c r="AH14">
        <f t="shared" si="1"/>
        <v>44</v>
      </c>
    </row>
    <row r="15" spans="1:72" x14ac:dyDescent="0.2">
      <c r="A15" s="67" t="s">
        <v>312</v>
      </c>
      <c r="B15" s="67" t="s">
        <v>808</v>
      </c>
      <c r="C15">
        <v>19</v>
      </c>
      <c r="D15" s="69" t="s">
        <v>524</v>
      </c>
      <c r="I15">
        <v>97</v>
      </c>
      <c r="J15">
        <v>71</v>
      </c>
      <c r="K15">
        <v>19</v>
      </c>
      <c r="L15">
        <v>4</v>
      </c>
      <c r="M15">
        <v>3</v>
      </c>
      <c r="N15">
        <v>14</v>
      </c>
      <c r="O15">
        <v>5</v>
      </c>
      <c r="P15">
        <v>10</v>
      </c>
      <c r="Q15">
        <v>6</v>
      </c>
      <c r="R15">
        <v>13</v>
      </c>
      <c r="S15">
        <v>49</v>
      </c>
      <c r="T15">
        <v>3426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67</v>
      </c>
      <c r="AD15">
        <v>8</v>
      </c>
      <c r="AE15" s="52">
        <f t="shared" si="0"/>
        <v>59</v>
      </c>
      <c r="AF15">
        <v>53</v>
      </c>
      <c r="AG15" s="29">
        <f t="shared" si="2"/>
        <v>44</v>
      </c>
      <c r="AH15">
        <f t="shared" si="1"/>
        <v>97</v>
      </c>
    </row>
    <row r="16" spans="1:72" x14ac:dyDescent="0.2">
      <c r="A16" s="67" t="s">
        <v>573</v>
      </c>
      <c r="B16" s="67">
        <v>1921</v>
      </c>
      <c r="C16">
        <v>4</v>
      </c>
      <c r="D16" s="67" t="s">
        <v>1497</v>
      </c>
      <c r="I16">
        <v>21</v>
      </c>
      <c r="J16">
        <v>12</v>
      </c>
      <c r="K16">
        <v>6</v>
      </c>
      <c r="L16">
        <v>0</v>
      </c>
      <c r="M16">
        <v>3</v>
      </c>
      <c r="N16">
        <v>4</v>
      </c>
      <c r="O16">
        <v>4</v>
      </c>
      <c r="P16">
        <v>0</v>
      </c>
      <c r="Q16">
        <v>4</v>
      </c>
      <c r="R16">
        <v>1</v>
      </c>
      <c r="S16">
        <v>8</v>
      </c>
      <c r="T16">
        <v>729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13</v>
      </c>
      <c r="AD16">
        <v>3</v>
      </c>
      <c r="AE16" s="52">
        <f t="shared" si="0"/>
        <v>10</v>
      </c>
      <c r="AF16">
        <v>6</v>
      </c>
      <c r="AG16" s="29">
        <f t="shared" si="2"/>
        <v>15</v>
      </c>
      <c r="AH16">
        <f t="shared" si="1"/>
        <v>21</v>
      </c>
      <c r="AI16">
        <v>0</v>
      </c>
      <c r="AJ16">
        <v>0</v>
      </c>
    </row>
    <row r="17" spans="1:56" x14ac:dyDescent="0.2">
      <c r="A17" s="67" t="s">
        <v>571</v>
      </c>
      <c r="B17" s="67">
        <v>1921</v>
      </c>
      <c r="C17">
        <v>8</v>
      </c>
      <c r="D17" s="67" t="s">
        <v>1520</v>
      </c>
      <c r="I17">
        <v>21</v>
      </c>
      <c r="J17">
        <v>30</v>
      </c>
      <c r="K17">
        <v>5</v>
      </c>
      <c r="L17">
        <v>0</v>
      </c>
      <c r="M17">
        <v>0</v>
      </c>
      <c r="N17">
        <v>7</v>
      </c>
      <c r="O17">
        <v>4</v>
      </c>
      <c r="P17">
        <v>3</v>
      </c>
      <c r="Q17">
        <v>0</v>
      </c>
      <c r="R17">
        <v>1</v>
      </c>
      <c r="S17">
        <v>20</v>
      </c>
      <c r="T17">
        <v>1406</v>
      </c>
      <c r="U17">
        <v>0</v>
      </c>
      <c r="V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2</v>
      </c>
      <c r="AE17" s="52">
        <f t="shared" si="0"/>
        <v>23</v>
      </c>
      <c r="AF17">
        <v>26</v>
      </c>
      <c r="AG17" s="29">
        <f t="shared" si="2"/>
        <v>-5</v>
      </c>
      <c r="AH17">
        <f t="shared" si="1"/>
        <v>21</v>
      </c>
      <c r="AI17">
        <v>0</v>
      </c>
      <c r="AJ17" t="e">
        <v>#REF!</v>
      </c>
      <c r="AK17" t="e">
        <v>#REF!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56" x14ac:dyDescent="0.2">
      <c r="A18" s="97" t="s">
        <v>577</v>
      </c>
      <c r="B18" s="67">
        <v>1921</v>
      </c>
      <c r="C18">
        <v>3</v>
      </c>
      <c r="D18" s="97" t="s">
        <v>1541</v>
      </c>
      <c r="I18">
        <v>9</v>
      </c>
      <c r="J18">
        <v>7</v>
      </c>
      <c r="K18">
        <v>2</v>
      </c>
      <c r="L18">
        <v>0</v>
      </c>
      <c r="M18">
        <v>0</v>
      </c>
      <c r="N18">
        <v>2</v>
      </c>
      <c r="O18">
        <v>0</v>
      </c>
      <c r="P18">
        <v>4</v>
      </c>
      <c r="Q18">
        <v>1</v>
      </c>
      <c r="R18">
        <v>0</v>
      </c>
      <c r="S18">
        <v>2</v>
      </c>
      <c r="T18">
        <v>352</v>
      </c>
      <c r="U18">
        <v>0</v>
      </c>
      <c r="V18">
        <v>0</v>
      </c>
      <c r="W18">
        <v>0</v>
      </c>
      <c r="Y18">
        <v>0</v>
      </c>
      <c r="Z18">
        <v>0</v>
      </c>
      <c r="AC18">
        <v>0</v>
      </c>
      <c r="AD18">
        <v>0</v>
      </c>
      <c r="AE18" s="52">
        <f t="shared" si="0"/>
        <v>0</v>
      </c>
      <c r="AF18">
        <v>7</v>
      </c>
      <c r="AG18" s="29">
        <f t="shared" si="2"/>
        <v>2</v>
      </c>
      <c r="AH18">
        <f t="shared" si="1"/>
        <v>9</v>
      </c>
      <c r="AI18">
        <v>0</v>
      </c>
    </row>
    <row r="19" spans="1:56" x14ac:dyDescent="0.2">
      <c r="A19" s="97" t="s">
        <v>579</v>
      </c>
      <c r="B19" s="67">
        <v>2021</v>
      </c>
      <c r="C19">
        <v>23</v>
      </c>
      <c r="D19" s="67" t="s">
        <v>580</v>
      </c>
      <c r="I19">
        <v>108</v>
      </c>
      <c r="J19">
        <v>69</v>
      </c>
      <c r="K19">
        <v>24</v>
      </c>
      <c r="L19">
        <v>6</v>
      </c>
      <c r="M19">
        <v>9</v>
      </c>
      <c r="N19">
        <v>21</v>
      </c>
      <c r="O19">
        <v>14</v>
      </c>
      <c r="P19">
        <v>12</v>
      </c>
      <c r="Q19">
        <v>15</v>
      </c>
      <c r="R19">
        <v>10</v>
      </c>
      <c r="S19">
        <v>36</v>
      </c>
      <c r="T19">
        <v>3867</v>
      </c>
      <c r="U19">
        <v>0</v>
      </c>
      <c r="V19">
        <v>0</v>
      </c>
      <c r="W19">
        <v>0</v>
      </c>
      <c r="Z19">
        <v>0</v>
      </c>
      <c r="AA19">
        <v>0</v>
      </c>
      <c r="AB19">
        <v>0</v>
      </c>
      <c r="AC19">
        <v>53</v>
      </c>
      <c r="AD19">
        <v>6</v>
      </c>
      <c r="AE19" s="52">
        <f t="shared" si="0"/>
        <v>47</v>
      </c>
      <c r="AF19">
        <v>52</v>
      </c>
      <c r="AG19" s="29">
        <f t="shared" si="2"/>
        <v>56</v>
      </c>
      <c r="AH19">
        <f t="shared" si="1"/>
        <v>108</v>
      </c>
      <c r="AI19">
        <v>0</v>
      </c>
    </row>
    <row r="20" spans="1:56" x14ac:dyDescent="0.2">
      <c r="A20" s="67" t="s">
        <v>581</v>
      </c>
      <c r="B20" s="67" t="s">
        <v>808</v>
      </c>
      <c r="C20">
        <v>1</v>
      </c>
      <c r="D20" s="67" t="s">
        <v>582</v>
      </c>
      <c r="I20">
        <v>19</v>
      </c>
      <c r="J20">
        <v>19</v>
      </c>
      <c r="N20">
        <v>1</v>
      </c>
      <c r="S20">
        <v>2</v>
      </c>
      <c r="T20">
        <v>576</v>
      </c>
      <c r="V20">
        <v>19</v>
      </c>
      <c r="AC20">
        <v>19</v>
      </c>
      <c r="AE20" s="52">
        <f t="shared" si="0"/>
        <v>19</v>
      </c>
      <c r="AF20">
        <v>2</v>
      </c>
      <c r="AG20" s="29">
        <f t="shared" si="2"/>
        <v>17</v>
      </c>
      <c r="AH20">
        <f t="shared" si="1"/>
        <v>19</v>
      </c>
      <c r="AJ20" t="s">
        <v>3246</v>
      </c>
    </row>
    <row r="21" spans="1:56" x14ac:dyDescent="0.2">
      <c r="A21" s="67" t="s">
        <v>583</v>
      </c>
      <c r="B21" s="67">
        <v>1921</v>
      </c>
      <c r="C21">
        <v>4</v>
      </c>
      <c r="D21" s="67" t="s">
        <v>1769</v>
      </c>
      <c r="I21">
        <v>15</v>
      </c>
      <c r="J21">
        <v>9</v>
      </c>
      <c r="K21">
        <v>5</v>
      </c>
      <c r="L21">
        <v>0</v>
      </c>
      <c r="M21">
        <v>1</v>
      </c>
      <c r="N21">
        <v>4</v>
      </c>
      <c r="O21">
        <v>2</v>
      </c>
      <c r="P21">
        <v>4</v>
      </c>
      <c r="Q21">
        <v>3</v>
      </c>
      <c r="R21">
        <v>0</v>
      </c>
      <c r="S21">
        <v>2</v>
      </c>
      <c r="T21">
        <v>605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e">
        <v>#REF!</v>
      </c>
      <c r="AB21" t="e">
        <v>#REF!</v>
      </c>
      <c r="AC21">
        <v>7</v>
      </c>
      <c r="AD21">
        <v>2</v>
      </c>
      <c r="AE21" s="52">
        <f t="shared" si="0"/>
        <v>5</v>
      </c>
      <c r="AF21">
        <v>8</v>
      </c>
      <c r="AG21" s="29">
        <f t="shared" si="2"/>
        <v>7</v>
      </c>
      <c r="AH21">
        <f t="shared" si="1"/>
        <v>15</v>
      </c>
      <c r="AI21">
        <v>0</v>
      </c>
    </row>
    <row r="22" spans="1:56" x14ac:dyDescent="0.2">
      <c r="A22" s="100" t="s">
        <v>585</v>
      </c>
      <c r="B22" s="67">
        <v>1921</v>
      </c>
      <c r="C22">
        <v>3</v>
      </c>
      <c r="D22" s="67" t="s">
        <v>586</v>
      </c>
      <c r="I22">
        <v>19</v>
      </c>
      <c r="J22">
        <v>10</v>
      </c>
      <c r="K22">
        <v>8</v>
      </c>
      <c r="L22">
        <v>0</v>
      </c>
      <c r="M22">
        <v>1</v>
      </c>
      <c r="N22">
        <v>3</v>
      </c>
      <c r="O22">
        <v>4</v>
      </c>
      <c r="P22">
        <v>5</v>
      </c>
      <c r="Q22">
        <v>1</v>
      </c>
      <c r="R22">
        <v>6</v>
      </c>
      <c r="S22">
        <v>0</v>
      </c>
      <c r="T22">
        <v>649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14</v>
      </c>
      <c r="AD22">
        <v>3</v>
      </c>
      <c r="AE22" s="52">
        <f t="shared" si="0"/>
        <v>11</v>
      </c>
      <c r="AF22">
        <v>10</v>
      </c>
      <c r="AG22" s="29">
        <f t="shared" si="2"/>
        <v>9</v>
      </c>
      <c r="AH22">
        <f t="shared" si="1"/>
        <v>19</v>
      </c>
    </row>
    <row r="23" spans="1:56" x14ac:dyDescent="0.2">
      <c r="A23" s="103" t="s">
        <v>587</v>
      </c>
      <c r="B23" s="67">
        <v>1921</v>
      </c>
      <c r="C23">
        <v>20</v>
      </c>
      <c r="D23" s="104" t="s">
        <v>588</v>
      </c>
      <c r="I23">
        <v>79</v>
      </c>
      <c r="J23">
        <v>38</v>
      </c>
      <c r="K23">
        <v>32</v>
      </c>
      <c r="L23">
        <v>3</v>
      </c>
      <c r="M23">
        <v>6</v>
      </c>
      <c r="N23">
        <v>19</v>
      </c>
      <c r="O23">
        <v>13</v>
      </c>
      <c r="P23">
        <v>16</v>
      </c>
      <c r="Q23">
        <v>13</v>
      </c>
      <c r="R23">
        <v>16</v>
      </c>
      <c r="S23">
        <v>2</v>
      </c>
      <c r="T23">
        <v>3116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55</v>
      </c>
      <c r="AD23">
        <v>2</v>
      </c>
      <c r="AE23" s="52">
        <f t="shared" si="0"/>
        <v>53</v>
      </c>
      <c r="AF23">
        <v>44</v>
      </c>
      <c r="AG23" s="29">
        <f t="shared" si="2"/>
        <v>35</v>
      </c>
      <c r="AH23">
        <f t="shared" si="1"/>
        <v>79</v>
      </c>
      <c r="AI23">
        <v>0</v>
      </c>
    </row>
    <row r="24" spans="1:56" x14ac:dyDescent="0.2">
      <c r="A24" s="106" t="s">
        <v>589</v>
      </c>
      <c r="B24" s="67" t="s">
        <v>808</v>
      </c>
      <c r="C24">
        <v>15</v>
      </c>
      <c r="D24" s="107" t="s">
        <v>590</v>
      </c>
      <c r="I24">
        <v>62</v>
      </c>
      <c r="J24">
        <v>34</v>
      </c>
      <c r="K24">
        <v>21</v>
      </c>
      <c r="L24">
        <v>4</v>
      </c>
      <c r="M24">
        <v>3</v>
      </c>
      <c r="N24">
        <v>14</v>
      </c>
      <c r="O24">
        <v>12</v>
      </c>
      <c r="P24">
        <v>7</v>
      </c>
      <c r="Q24">
        <v>4</v>
      </c>
      <c r="R24">
        <v>17</v>
      </c>
      <c r="S24">
        <v>8</v>
      </c>
      <c r="T24">
        <v>2199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</v>
      </c>
      <c r="AD24">
        <v>3</v>
      </c>
      <c r="AE24" s="52">
        <f t="shared" si="0"/>
        <v>26</v>
      </c>
      <c r="AF24">
        <v>23</v>
      </c>
      <c r="AG24" s="29">
        <f t="shared" si="2"/>
        <v>39</v>
      </c>
      <c r="AH24">
        <f t="shared" si="1"/>
        <v>62</v>
      </c>
    </row>
    <row r="25" spans="1:56" x14ac:dyDescent="0.2">
      <c r="A25" s="245" t="s">
        <v>591</v>
      </c>
      <c r="B25" s="191" t="s">
        <v>808</v>
      </c>
      <c r="C25" s="246">
        <v>3</v>
      </c>
      <c r="D25" s="247" t="s">
        <v>592</v>
      </c>
      <c r="I25">
        <v>11</v>
      </c>
      <c r="J25">
        <v>6</v>
      </c>
      <c r="K25">
        <v>3</v>
      </c>
      <c r="L25">
        <v>2</v>
      </c>
      <c r="M25">
        <v>0</v>
      </c>
      <c r="N25">
        <v>3</v>
      </c>
      <c r="O25">
        <v>2</v>
      </c>
      <c r="P25">
        <v>2</v>
      </c>
      <c r="Q25">
        <v>0</v>
      </c>
      <c r="R25">
        <v>0</v>
      </c>
      <c r="S25">
        <v>4</v>
      </c>
      <c r="T25">
        <v>366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</v>
      </c>
      <c r="AD25">
        <v>1</v>
      </c>
      <c r="AE25" s="52">
        <f t="shared" si="0"/>
        <v>5</v>
      </c>
      <c r="AF25">
        <v>5</v>
      </c>
      <c r="AG25" s="29">
        <f t="shared" si="2"/>
        <v>6</v>
      </c>
      <c r="AH25">
        <f t="shared" si="1"/>
        <v>11</v>
      </c>
      <c r="AI25">
        <v>0</v>
      </c>
    </row>
    <row r="26" spans="1:56" x14ac:dyDescent="0.2">
      <c r="A26" s="106" t="s">
        <v>593</v>
      </c>
      <c r="B26" s="67" t="s">
        <v>808</v>
      </c>
      <c r="C26">
        <v>17</v>
      </c>
      <c r="D26" s="109" t="s">
        <v>594</v>
      </c>
      <c r="I26">
        <v>71</v>
      </c>
      <c r="J26">
        <v>51</v>
      </c>
      <c r="K26">
        <v>17</v>
      </c>
      <c r="L26">
        <v>2</v>
      </c>
      <c r="M26">
        <v>1</v>
      </c>
      <c r="N26">
        <v>17</v>
      </c>
      <c r="O26">
        <v>9</v>
      </c>
      <c r="P26">
        <v>8</v>
      </c>
      <c r="Q26">
        <v>2</v>
      </c>
      <c r="R26">
        <v>11</v>
      </c>
      <c r="S26">
        <v>24</v>
      </c>
      <c r="T26">
        <v>2585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44</v>
      </c>
      <c r="AD26">
        <v>2</v>
      </c>
      <c r="AE26" s="52">
        <f t="shared" si="0"/>
        <v>42</v>
      </c>
      <c r="AF26">
        <v>31</v>
      </c>
      <c r="AG26" s="29">
        <f t="shared" si="2"/>
        <v>40</v>
      </c>
      <c r="AH26">
        <f t="shared" si="1"/>
        <v>71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2">
      <c r="A27" s="106" t="s">
        <v>595</v>
      </c>
      <c r="B27" s="67">
        <v>1921</v>
      </c>
      <c r="C27">
        <v>15</v>
      </c>
      <c r="D27" s="109" t="s">
        <v>596</v>
      </c>
      <c r="I27">
        <v>72</v>
      </c>
      <c r="J27">
        <v>40</v>
      </c>
      <c r="K27">
        <v>26</v>
      </c>
      <c r="L27">
        <v>4</v>
      </c>
      <c r="M27">
        <v>2</v>
      </c>
      <c r="N27">
        <v>16</v>
      </c>
      <c r="O27">
        <v>12</v>
      </c>
      <c r="P27">
        <v>5</v>
      </c>
      <c r="Q27">
        <v>9</v>
      </c>
      <c r="R27">
        <v>8</v>
      </c>
      <c r="S27">
        <v>22</v>
      </c>
      <c r="T27">
        <v>2724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43</v>
      </c>
      <c r="AD27">
        <v>6</v>
      </c>
      <c r="AE27" s="52">
        <f t="shared" si="0"/>
        <v>37</v>
      </c>
      <c r="AF27">
        <v>35</v>
      </c>
      <c r="AG27" s="29">
        <f t="shared" si="2"/>
        <v>37</v>
      </c>
      <c r="AH27">
        <f t="shared" si="1"/>
        <v>72</v>
      </c>
      <c r="AI27">
        <v>0</v>
      </c>
    </row>
    <row r="28" spans="1:56" x14ac:dyDescent="0.2">
      <c r="A28" s="106" t="s">
        <v>597</v>
      </c>
      <c r="B28" s="67">
        <v>1921</v>
      </c>
      <c r="C28">
        <v>8</v>
      </c>
      <c r="D28" s="109" t="s">
        <v>598</v>
      </c>
      <c r="I28">
        <v>31</v>
      </c>
      <c r="J28">
        <v>20</v>
      </c>
      <c r="K28">
        <v>6</v>
      </c>
      <c r="L28">
        <v>3</v>
      </c>
      <c r="M28">
        <v>2</v>
      </c>
      <c r="N28">
        <v>8</v>
      </c>
      <c r="O28">
        <v>5</v>
      </c>
      <c r="P28">
        <v>4</v>
      </c>
      <c r="Q28">
        <v>2</v>
      </c>
      <c r="R28">
        <v>2</v>
      </c>
      <c r="S28">
        <v>10</v>
      </c>
      <c r="T28">
        <v>1029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17</v>
      </c>
      <c r="AD28">
        <v>2</v>
      </c>
      <c r="AE28" s="52">
        <f t="shared" si="0"/>
        <v>15</v>
      </c>
      <c r="AF28">
        <v>7</v>
      </c>
      <c r="AG28" s="29">
        <f t="shared" si="2"/>
        <v>24</v>
      </c>
      <c r="AH28">
        <f t="shared" si="1"/>
        <v>31</v>
      </c>
      <c r="AI28">
        <v>0</v>
      </c>
    </row>
    <row r="29" spans="1:56" x14ac:dyDescent="0.2">
      <c r="A29" s="111" t="s">
        <v>599</v>
      </c>
      <c r="B29" s="67">
        <v>2021</v>
      </c>
      <c r="C29">
        <v>2</v>
      </c>
      <c r="D29" s="112" t="s">
        <v>2443</v>
      </c>
      <c r="I29">
        <v>11</v>
      </c>
      <c r="J29">
        <v>8</v>
      </c>
      <c r="K29">
        <v>2</v>
      </c>
      <c r="L29">
        <v>0</v>
      </c>
      <c r="M29">
        <v>1</v>
      </c>
      <c r="N29">
        <v>2</v>
      </c>
      <c r="O29">
        <v>1</v>
      </c>
      <c r="P29">
        <v>0</v>
      </c>
      <c r="Q29">
        <v>1</v>
      </c>
      <c r="R29">
        <v>3</v>
      </c>
      <c r="S29">
        <v>4</v>
      </c>
      <c r="T29">
        <v>446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</v>
      </c>
      <c r="AD29">
        <v>2</v>
      </c>
      <c r="AE29" s="52">
        <f t="shared" si="0"/>
        <v>4</v>
      </c>
      <c r="AF29">
        <v>3</v>
      </c>
      <c r="AG29" s="29">
        <f t="shared" si="2"/>
        <v>8</v>
      </c>
      <c r="AH29">
        <f t="shared" si="1"/>
        <v>11</v>
      </c>
    </row>
    <row r="30" spans="1:56" s="254" customFormat="1" ht="34" x14ac:dyDescent="0.2">
      <c r="A30" s="252" t="s">
        <v>601</v>
      </c>
      <c r="B30" s="253" t="s">
        <v>808</v>
      </c>
      <c r="D30" s="255" t="s">
        <v>602</v>
      </c>
      <c r="E30" s="256" t="s">
        <v>2452</v>
      </c>
      <c r="AC30" s="254">
        <v>0</v>
      </c>
      <c r="AE30" s="52">
        <f t="shared" si="0"/>
        <v>0</v>
      </c>
      <c r="AG30" s="29">
        <f t="shared" si="2"/>
        <v>0</v>
      </c>
      <c r="AH30">
        <f t="shared" si="1"/>
        <v>0</v>
      </c>
    </row>
    <row r="31" spans="1:56" ht="17.5" customHeight="1" x14ac:dyDescent="0.2">
      <c r="A31" s="9" t="s">
        <v>603</v>
      </c>
      <c r="B31" s="9">
        <v>1921</v>
      </c>
      <c r="C31" s="7">
        <v>4</v>
      </c>
      <c r="D31" s="7" t="s">
        <v>604</v>
      </c>
      <c r="E31" s="7"/>
      <c r="F31" s="7"/>
      <c r="G31" s="7"/>
      <c r="H31" s="7"/>
      <c r="I31">
        <v>24</v>
      </c>
      <c r="J31" s="7">
        <v>17</v>
      </c>
      <c r="K31" s="7">
        <v>7</v>
      </c>
      <c r="L31" s="7">
        <v>0</v>
      </c>
      <c r="M31" s="7">
        <v>0</v>
      </c>
      <c r="N31" s="7">
        <v>4</v>
      </c>
      <c r="O31" s="7">
        <v>4</v>
      </c>
      <c r="P31" s="7">
        <v>3</v>
      </c>
      <c r="Q31" s="7">
        <v>0</v>
      </c>
      <c r="R31" s="7">
        <v>4</v>
      </c>
      <c r="S31" s="7">
        <v>9</v>
      </c>
      <c r="T31" s="7">
        <v>927</v>
      </c>
      <c r="U31">
        <v>0</v>
      </c>
      <c r="V31">
        <v>0</v>
      </c>
      <c r="W31">
        <v>0</v>
      </c>
      <c r="X31" s="7">
        <v>0</v>
      </c>
      <c r="Y31" s="7">
        <v>0</v>
      </c>
      <c r="Z31" s="7">
        <v>0</v>
      </c>
      <c r="AA31" s="6">
        <v>0</v>
      </c>
      <c r="AB31" s="6">
        <v>0</v>
      </c>
      <c r="AC31" s="7">
        <v>13</v>
      </c>
      <c r="AD31" s="7">
        <v>1</v>
      </c>
      <c r="AE31" s="52">
        <v>12</v>
      </c>
      <c r="AF31" s="7">
        <v>12</v>
      </c>
      <c r="AG31" s="29">
        <f t="shared" si="2"/>
        <v>12</v>
      </c>
      <c r="AH31">
        <f t="shared" si="1"/>
        <v>24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6" x14ac:dyDescent="0.2">
      <c r="A32" s="115" t="s">
        <v>605</v>
      </c>
      <c r="B32" s="67">
        <v>1921</v>
      </c>
      <c r="C32">
        <v>4</v>
      </c>
      <c r="D32" s="9" t="s">
        <v>2522</v>
      </c>
      <c r="I32">
        <v>14</v>
      </c>
      <c r="J32">
        <v>8</v>
      </c>
      <c r="K32">
        <v>6</v>
      </c>
      <c r="L32">
        <v>0</v>
      </c>
      <c r="M32">
        <v>0</v>
      </c>
      <c r="N32">
        <v>4</v>
      </c>
      <c r="O32">
        <v>1</v>
      </c>
      <c r="P32">
        <v>2</v>
      </c>
      <c r="Q32">
        <v>4</v>
      </c>
      <c r="R32">
        <v>0</v>
      </c>
      <c r="S32">
        <v>3</v>
      </c>
      <c r="T32">
        <v>536</v>
      </c>
      <c r="U32">
        <v>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</v>
      </c>
      <c r="AD32">
        <v>1</v>
      </c>
      <c r="AE32" s="52">
        <f t="shared" si="0"/>
        <v>7</v>
      </c>
      <c r="AF32">
        <v>9</v>
      </c>
      <c r="AG32" s="29">
        <f t="shared" si="2"/>
        <v>5</v>
      </c>
      <c r="AH32">
        <f t="shared" si="1"/>
        <v>14</v>
      </c>
    </row>
    <row r="33" spans="1:47" x14ac:dyDescent="0.2">
      <c r="A33" s="117" t="s">
        <v>607</v>
      </c>
      <c r="B33" s="67">
        <v>1921</v>
      </c>
      <c r="C33">
        <v>8</v>
      </c>
      <c r="D33" t="s">
        <v>2578</v>
      </c>
      <c r="I33">
        <v>35</v>
      </c>
      <c r="J33">
        <v>26</v>
      </c>
      <c r="K33">
        <v>9</v>
      </c>
      <c r="L33">
        <v>0</v>
      </c>
      <c r="M33">
        <v>0</v>
      </c>
      <c r="N33">
        <v>8</v>
      </c>
      <c r="O33">
        <v>4</v>
      </c>
      <c r="P33">
        <v>1</v>
      </c>
      <c r="Q33">
        <v>0</v>
      </c>
      <c r="R33">
        <v>3</v>
      </c>
      <c r="S33">
        <v>19</v>
      </c>
      <c r="T33">
        <v>1646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26</v>
      </c>
      <c r="AD33">
        <v>3</v>
      </c>
      <c r="AE33" s="52">
        <f t="shared" si="0"/>
        <v>23</v>
      </c>
      <c r="AF33">
        <v>15</v>
      </c>
      <c r="AG33" s="29">
        <f t="shared" si="2"/>
        <v>20</v>
      </c>
      <c r="AH33">
        <f t="shared" si="1"/>
        <v>35</v>
      </c>
    </row>
    <row r="34" spans="1:47" x14ac:dyDescent="0.2">
      <c r="A34" s="118" t="s">
        <v>609</v>
      </c>
      <c r="B34" s="67">
        <v>1921</v>
      </c>
      <c r="C34">
        <v>4</v>
      </c>
      <c r="D34" s="79" t="s">
        <v>3141</v>
      </c>
      <c r="I34">
        <v>20</v>
      </c>
      <c r="J34">
        <v>18</v>
      </c>
      <c r="K34">
        <v>2</v>
      </c>
      <c r="L34">
        <v>0</v>
      </c>
      <c r="M34">
        <v>0</v>
      </c>
      <c r="N34">
        <v>2</v>
      </c>
      <c r="O34">
        <v>2</v>
      </c>
      <c r="P34">
        <v>2</v>
      </c>
      <c r="Q34">
        <v>0</v>
      </c>
      <c r="R34">
        <v>3</v>
      </c>
      <c r="S34">
        <v>11</v>
      </c>
      <c r="T34">
        <v>648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C34">
        <v>15</v>
      </c>
      <c r="AD34">
        <v>1</v>
      </c>
      <c r="AE34" s="52">
        <f t="shared" si="0"/>
        <v>14</v>
      </c>
      <c r="AF34">
        <v>7</v>
      </c>
      <c r="AG34" s="29">
        <f t="shared" si="2"/>
        <v>13</v>
      </c>
      <c r="AH34">
        <f t="shared" si="1"/>
        <v>20</v>
      </c>
    </row>
    <row r="35" spans="1:47" x14ac:dyDescent="0.2">
      <c r="A35" s="119" t="s">
        <v>611</v>
      </c>
      <c r="B35" s="67">
        <v>1921</v>
      </c>
      <c r="C35">
        <v>5</v>
      </c>
      <c r="D35" s="1" t="s">
        <v>2636</v>
      </c>
      <c r="I35">
        <v>18</v>
      </c>
      <c r="J35">
        <v>14</v>
      </c>
      <c r="K35">
        <v>4</v>
      </c>
      <c r="L35">
        <v>0</v>
      </c>
      <c r="M35">
        <v>0</v>
      </c>
      <c r="N35">
        <v>5</v>
      </c>
      <c r="O35">
        <v>2</v>
      </c>
      <c r="P35">
        <v>1</v>
      </c>
      <c r="Q35">
        <v>0</v>
      </c>
      <c r="R35">
        <v>4</v>
      </c>
      <c r="S35">
        <v>6</v>
      </c>
      <c r="T35">
        <v>746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11</v>
      </c>
      <c r="AD35">
        <v>1</v>
      </c>
      <c r="AE35" s="52">
        <f t="shared" si="0"/>
        <v>10</v>
      </c>
      <c r="AF35">
        <v>13</v>
      </c>
      <c r="AG35" s="29">
        <f t="shared" si="2"/>
        <v>5</v>
      </c>
      <c r="AH35">
        <f t="shared" si="1"/>
        <v>18</v>
      </c>
      <c r="AI35">
        <v>0</v>
      </c>
      <c r="AJ35">
        <v>0</v>
      </c>
    </row>
    <row r="36" spans="1:47" x14ac:dyDescent="0.2">
      <c r="A36" s="119" t="s">
        <v>587</v>
      </c>
      <c r="B36" s="67">
        <v>1921</v>
      </c>
      <c r="C36">
        <v>9</v>
      </c>
      <c r="D36" s="1" t="s">
        <v>613</v>
      </c>
      <c r="I36">
        <v>43</v>
      </c>
      <c r="J36">
        <v>27</v>
      </c>
      <c r="K36">
        <v>8</v>
      </c>
      <c r="L36">
        <v>6</v>
      </c>
      <c r="M36">
        <v>2</v>
      </c>
      <c r="N36">
        <v>8</v>
      </c>
      <c r="O36">
        <v>7</v>
      </c>
      <c r="P36">
        <v>12</v>
      </c>
      <c r="Q36">
        <v>3</v>
      </c>
      <c r="R36">
        <v>3</v>
      </c>
      <c r="S36">
        <v>10</v>
      </c>
      <c r="T36">
        <v>1288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17</v>
      </c>
      <c r="AD36">
        <v>4</v>
      </c>
      <c r="AE36" s="52">
        <f t="shared" si="0"/>
        <v>13</v>
      </c>
      <c r="AF36">
        <v>17</v>
      </c>
      <c r="AG36" s="29">
        <f t="shared" si="2"/>
        <v>26</v>
      </c>
      <c r="AH36">
        <f t="shared" si="1"/>
        <v>43</v>
      </c>
      <c r="AI36">
        <v>0</v>
      </c>
      <c r="AJ36">
        <v>0</v>
      </c>
    </row>
    <row r="37" spans="1:47" x14ac:dyDescent="0.2">
      <c r="A37" s="118" t="s">
        <v>614</v>
      </c>
      <c r="B37" s="67">
        <v>1921</v>
      </c>
      <c r="C37">
        <v>24</v>
      </c>
      <c r="D37" s="79" t="s">
        <v>2855</v>
      </c>
      <c r="I37">
        <v>122</v>
      </c>
      <c r="J37">
        <v>92</v>
      </c>
      <c r="K37">
        <v>23</v>
      </c>
      <c r="L37">
        <v>4</v>
      </c>
      <c r="M37">
        <v>3</v>
      </c>
      <c r="N37">
        <v>20</v>
      </c>
      <c r="O37">
        <v>14</v>
      </c>
      <c r="P37">
        <v>10</v>
      </c>
      <c r="Q37">
        <v>3</v>
      </c>
      <c r="R37">
        <v>18</v>
      </c>
      <c r="S37">
        <v>57</v>
      </c>
      <c r="T37">
        <v>4570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79</v>
      </c>
      <c r="AD37">
        <v>6</v>
      </c>
      <c r="AE37" s="52">
        <v>73</v>
      </c>
      <c r="AF37">
        <v>42</v>
      </c>
      <c r="AG37" s="29">
        <f t="shared" si="2"/>
        <v>80</v>
      </c>
      <c r="AH37">
        <f t="shared" si="1"/>
        <v>122</v>
      </c>
      <c r="AI37">
        <v>0</v>
      </c>
    </row>
    <row r="38" spans="1:47" x14ac:dyDescent="0.2">
      <c r="A38" s="119" t="s">
        <v>616</v>
      </c>
      <c r="B38" s="67">
        <v>1921</v>
      </c>
      <c r="C38">
        <v>2</v>
      </c>
      <c r="D38" s="1" t="s">
        <v>617</v>
      </c>
      <c r="E38"/>
      <c r="H38">
        <v>3</v>
      </c>
      <c r="I38">
        <v>6</v>
      </c>
      <c r="J38">
        <v>3</v>
      </c>
      <c r="K38">
        <v>2</v>
      </c>
      <c r="L38">
        <v>1</v>
      </c>
      <c r="M38">
        <v>0</v>
      </c>
      <c r="N38">
        <v>2</v>
      </c>
      <c r="O38">
        <v>1</v>
      </c>
      <c r="P38">
        <v>1</v>
      </c>
      <c r="Q38">
        <v>0</v>
      </c>
      <c r="R38">
        <v>0</v>
      </c>
      <c r="S38">
        <v>2</v>
      </c>
      <c r="T38">
        <v>240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</v>
      </c>
      <c r="AD38">
        <v>0</v>
      </c>
      <c r="AE38" s="52">
        <f t="shared" si="0"/>
        <v>4</v>
      </c>
      <c r="AF38">
        <v>3</v>
      </c>
      <c r="AG38" s="29">
        <f t="shared" si="2"/>
        <v>3</v>
      </c>
      <c r="AH38">
        <f t="shared" si="1"/>
        <v>6</v>
      </c>
    </row>
    <row r="39" spans="1:47" x14ac:dyDescent="0.2">
      <c r="A39" s="119" t="s">
        <v>2863</v>
      </c>
      <c r="B39" s="67">
        <v>1921</v>
      </c>
      <c r="C39">
        <v>13</v>
      </c>
      <c r="D39" s="1" t="s">
        <v>2862</v>
      </c>
      <c r="E39" t="s">
        <v>2865</v>
      </c>
      <c r="I39">
        <v>60</v>
      </c>
      <c r="J39">
        <v>41</v>
      </c>
      <c r="K39">
        <v>12</v>
      </c>
      <c r="L39">
        <v>6</v>
      </c>
      <c r="M39">
        <v>1</v>
      </c>
      <c r="N39">
        <v>12</v>
      </c>
      <c r="O39">
        <v>6</v>
      </c>
      <c r="P39">
        <v>8</v>
      </c>
      <c r="Q39">
        <v>3</v>
      </c>
      <c r="R39">
        <v>8</v>
      </c>
      <c r="S39">
        <v>23</v>
      </c>
      <c r="T39">
        <v>1979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31</v>
      </c>
      <c r="AD39">
        <v>9</v>
      </c>
      <c r="AE39" s="52">
        <f t="shared" si="0"/>
        <v>22</v>
      </c>
      <c r="AF39">
        <v>32</v>
      </c>
      <c r="AG39" s="29">
        <f t="shared" si="2"/>
        <v>28</v>
      </c>
      <c r="AH39">
        <f t="shared" si="1"/>
        <v>60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s="119" t="s">
        <v>620</v>
      </c>
      <c r="B40" s="67">
        <v>1921</v>
      </c>
      <c r="C40">
        <v>11</v>
      </c>
      <c r="D40" s="1" t="s">
        <v>621</v>
      </c>
      <c r="I40">
        <v>42</v>
      </c>
      <c r="J40">
        <v>24</v>
      </c>
      <c r="K40">
        <v>13</v>
      </c>
      <c r="L40">
        <v>5</v>
      </c>
      <c r="M40">
        <v>0</v>
      </c>
      <c r="N40">
        <v>10</v>
      </c>
      <c r="O40">
        <v>5</v>
      </c>
      <c r="P40">
        <v>7</v>
      </c>
      <c r="Q40">
        <v>1</v>
      </c>
      <c r="R40">
        <v>12</v>
      </c>
      <c r="S40">
        <v>7</v>
      </c>
      <c r="T40">
        <v>1567</v>
      </c>
      <c r="X40">
        <v>0</v>
      </c>
      <c r="Y40">
        <v>0</v>
      </c>
      <c r="Z40">
        <v>0</v>
      </c>
      <c r="AA40">
        <v>0</v>
      </c>
      <c r="AB40">
        <v>1</v>
      </c>
      <c r="AC40">
        <v>17</v>
      </c>
      <c r="AD40">
        <v>2</v>
      </c>
      <c r="AE40" s="52">
        <f t="shared" si="0"/>
        <v>15</v>
      </c>
      <c r="AF40">
        <v>23</v>
      </c>
      <c r="AG40" s="29">
        <f t="shared" si="2"/>
        <v>19</v>
      </c>
      <c r="AH40">
        <f t="shared" si="1"/>
        <v>42</v>
      </c>
    </row>
    <row r="41" spans="1:47" x14ac:dyDescent="0.2">
      <c r="A41" s="80" t="s">
        <v>252</v>
      </c>
      <c r="B41" s="67" t="s">
        <v>808</v>
      </c>
      <c r="C41">
        <f>SUM(C3:C40)</f>
        <v>315</v>
      </c>
      <c r="D41" s="54">
        <v>36</v>
      </c>
      <c r="I41">
        <f>SUM(I3:I40)</f>
        <v>1444</v>
      </c>
      <c r="J41">
        <f t="shared" ref="J41:AB41" si="3">SUM(J3:J40)</f>
        <v>979</v>
      </c>
      <c r="K41">
        <f t="shared" si="3"/>
        <v>356</v>
      </c>
      <c r="L41">
        <f t="shared" si="3"/>
        <v>72</v>
      </c>
      <c r="M41">
        <f t="shared" si="3"/>
        <v>51</v>
      </c>
      <c r="N41">
        <f t="shared" si="3"/>
        <v>293</v>
      </c>
      <c r="O41">
        <f t="shared" si="3"/>
        <v>191</v>
      </c>
      <c r="P41">
        <f t="shared" si="3"/>
        <v>170</v>
      </c>
      <c r="Q41">
        <f t="shared" si="3"/>
        <v>100</v>
      </c>
      <c r="R41">
        <f t="shared" si="3"/>
        <v>204</v>
      </c>
      <c r="S41">
        <f t="shared" si="3"/>
        <v>481</v>
      </c>
      <c r="T41">
        <f t="shared" si="3"/>
        <v>53213</v>
      </c>
      <c r="U41">
        <f t="shared" si="3"/>
        <v>9</v>
      </c>
      <c r="V41">
        <f t="shared" si="3"/>
        <v>20</v>
      </c>
      <c r="W41">
        <f t="shared" si="3"/>
        <v>5</v>
      </c>
      <c r="X41">
        <f t="shared" si="3"/>
        <v>0</v>
      </c>
      <c r="Y41">
        <f t="shared" si="3"/>
        <v>0</v>
      </c>
      <c r="Z41">
        <f t="shared" si="3"/>
        <v>0</v>
      </c>
      <c r="AA41" t="e">
        <f t="shared" si="3"/>
        <v>#REF!</v>
      </c>
      <c r="AB41" t="e">
        <f t="shared" si="3"/>
        <v>#REF!</v>
      </c>
      <c r="AC41">
        <f>SUM(AC3:AC40)</f>
        <v>872</v>
      </c>
      <c r="AD41">
        <f>SUM(AD3:AD40)</f>
        <v>108</v>
      </c>
      <c r="AE41">
        <f>SUM(AE3:AE40)</f>
        <v>764</v>
      </c>
      <c r="AF41">
        <f>SUM(AF3:AF40)</f>
        <v>664</v>
      </c>
      <c r="AG41" s="29">
        <f t="shared" si="2"/>
        <v>780</v>
      </c>
      <c r="AH41">
        <f t="shared" si="1"/>
        <v>1444</v>
      </c>
    </row>
    <row r="42" spans="1:47" x14ac:dyDescent="0.2">
      <c r="A42" s="102"/>
    </row>
    <row r="43" spans="1:47" x14ac:dyDescent="0.2">
      <c r="A43" s="7"/>
    </row>
    <row r="45" spans="1:47" x14ac:dyDescent="0.2">
      <c r="A45" s="7"/>
    </row>
    <row r="46" spans="1:47" x14ac:dyDescent="0.2">
      <c r="A46" s="7"/>
    </row>
    <row r="47" spans="1:47" x14ac:dyDescent="0.2">
      <c r="A47" s="7"/>
    </row>
  </sheetData>
  <phoneticPr fontId="15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0428-6AD6-9545-BC9D-ABBC08F7F2CF}">
  <dimension ref="A1:BT85"/>
  <sheetViews>
    <sheetView tabSelected="1" zoomScale="109" zoomScaleNormal="109" workbookViewId="0">
      <pane ySplit="2" topLeftCell="A3" activePane="bottomLeft" state="frozen"/>
      <selection pane="bottomLeft" activeCell="M20" sqref="M20"/>
    </sheetView>
  </sheetViews>
  <sheetFormatPr baseColWidth="10" defaultRowHeight="16" x14ac:dyDescent="0.2"/>
  <cols>
    <col min="1" max="1" width="8.1640625" customWidth="1"/>
    <col min="2" max="2" width="9.6640625" style="216" customWidth="1"/>
    <col min="3" max="3" width="9.1640625" customWidth="1"/>
    <col min="4" max="4" width="16.6640625" customWidth="1"/>
    <col min="5" max="5" width="17.1640625" customWidth="1"/>
    <col min="6" max="6" width="11" customWidth="1"/>
    <col min="7" max="7" width="9.6640625" style="141" customWidth="1"/>
    <col min="8" max="10" width="10.6640625" customWidth="1"/>
    <col min="14" max="14" width="12.33203125" customWidth="1"/>
  </cols>
  <sheetData>
    <row r="1" spans="1:72" s="2" customFormat="1" ht="51" x14ac:dyDescent="0.2">
      <c r="A1" s="57" t="s">
        <v>525</v>
      </c>
      <c r="B1" s="211" t="s">
        <v>526</v>
      </c>
      <c r="C1" s="58" t="s">
        <v>527</v>
      </c>
      <c r="D1" s="58" t="s">
        <v>528</v>
      </c>
      <c r="E1" s="58" t="s">
        <v>530</v>
      </c>
      <c r="F1" s="186" t="s">
        <v>810</v>
      </c>
      <c r="G1" s="173"/>
      <c r="I1" s="59" t="s">
        <v>529</v>
      </c>
      <c r="J1" s="59" t="s">
        <v>220</v>
      </c>
      <c r="K1" s="60"/>
      <c r="L1" s="60"/>
      <c r="M1" s="60"/>
      <c r="N1" s="59" t="s">
        <v>221</v>
      </c>
      <c r="O1" s="60"/>
      <c r="P1" s="60"/>
      <c r="Q1" s="60"/>
      <c r="R1" s="60"/>
      <c r="S1" s="60"/>
      <c r="T1" s="59" t="s">
        <v>222</v>
      </c>
      <c r="U1" s="59" t="s">
        <v>223</v>
      </c>
      <c r="V1" s="59" t="s">
        <v>224</v>
      </c>
      <c r="W1" s="59" t="s">
        <v>225</v>
      </c>
      <c r="X1" s="59" t="s">
        <v>226</v>
      </c>
      <c r="Y1" s="59" t="s">
        <v>227</v>
      </c>
      <c r="Z1" s="59" t="s">
        <v>228</v>
      </c>
      <c r="AA1" s="59" t="s">
        <v>229</v>
      </c>
      <c r="AB1" s="59" t="s">
        <v>230</v>
      </c>
      <c r="AC1" s="59" t="s">
        <v>231</v>
      </c>
      <c r="AD1" s="59" t="s">
        <v>232</v>
      </c>
      <c r="AE1" s="59"/>
      <c r="AF1" s="81" t="s">
        <v>542</v>
      </c>
      <c r="AG1" s="84"/>
      <c r="AH1" s="84"/>
      <c r="AI1" s="58"/>
      <c r="AJ1" s="60"/>
      <c r="AK1" s="61"/>
      <c r="AL1" s="61"/>
      <c r="AM1" s="62"/>
      <c r="AN1" s="62"/>
      <c r="AO1" s="63"/>
      <c r="AP1" s="62"/>
      <c r="AQ1" s="62"/>
      <c r="AR1" s="62"/>
      <c r="AS1" s="63"/>
      <c r="AT1" s="61"/>
      <c r="AU1" s="61"/>
      <c r="AV1" s="61"/>
      <c r="AW1" s="61"/>
      <c r="AX1" s="61"/>
      <c r="AY1" s="61"/>
      <c r="AZ1" s="61"/>
      <c r="BA1" s="62"/>
      <c r="BB1" s="63"/>
      <c r="BC1" s="63"/>
    </row>
    <row r="2" spans="1:72" ht="34" x14ac:dyDescent="0.2">
      <c r="A2" s="47"/>
      <c r="B2" s="212"/>
      <c r="C2" s="48"/>
      <c r="D2" s="48"/>
      <c r="E2" s="48"/>
      <c r="G2" s="174"/>
      <c r="I2" s="49"/>
      <c r="J2" s="50" t="s">
        <v>237</v>
      </c>
      <c r="K2" s="50" t="s">
        <v>238</v>
      </c>
      <c r="L2" s="50" t="s">
        <v>239</v>
      </c>
      <c r="M2" s="50" t="s">
        <v>240</v>
      </c>
      <c r="N2" s="50" t="s">
        <v>241</v>
      </c>
      <c r="O2" s="50" t="s">
        <v>242</v>
      </c>
      <c r="P2" s="50" t="s">
        <v>243</v>
      </c>
      <c r="Q2" s="50" t="s">
        <v>244</v>
      </c>
      <c r="R2" s="50" t="s">
        <v>245</v>
      </c>
      <c r="S2" s="50" t="s">
        <v>26</v>
      </c>
      <c r="T2" s="50" t="s">
        <v>246</v>
      </c>
      <c r="U2" s="50" t="s">
        <v>247</v>
      </c>
      <c r="V2" s="50" t="s">
        <v>248</v>
      </c>
      <c r="W2" s="51" t="s">
        <v>249</v>
      </c>
      <c r="X2" s="49"/>
      <c r="Y2" s="49"/>
      <c r="Z2" s="49"/>
      <c r="AA2" s="49"/>
      <c r="AB2" s="49"/>
      <c r="AC2" s="49"/>
      <c r="AD2" s="50" t="s">
        <v>8</v>
      </c>
      <c r="AE2" s="50" t="s">
        <v>250</v>
      </c>
      <c r="AF2" s="80" t="s">
        <v>251</v>
      </c>
      <c r="AG2" s="67" t="s">
        <v>245</v>
      </c>
      <c r="AH2" s="91" t="s">
        <v>547</v>
      </c>
      <c r="AI2" s="48"/>
      <c r="AJ2" s="48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</row>
    <row r="3" spans="1:72" x14ac:dyDescent="0.2">
      <c r="A3" s="67" t="s">
        <v>549</v>
      </c>
      <c r="B3" s="214" t="s">
        <v>523</v>
      </c>
      <c r="C3" s="69">
        <f>[1]BL!C21</f>
        <v>4</v>
      </c>
      <c r="D3" s="67" t="s">
        <v>550</v>
      </c>
      <c r="F3" s="69">
        <f>[1]BL!E21</f>
        <v>6</v>
      </c>
      <c r="G3" s="131"/>
      <c r="H3" s="131"/>
      <c r="I3" s="70">
        <v>18</v>
      </c>
      <c r="J3" s="69">
        <v>9</v>
      </c>
      <c r="K3" s="69">
        <v>7</v>
      </c>
      <c r="L3" s="69">
        <v>2</v>
      </c>
      <c r="M3" s="69">
        <v>0</v>
      </c>
      <c r="N3" s="69">
        <v>4</v>
      </c>
      <c r="O3" s="69">
        <v>3</v>
      </c>
      <c r="P3" s="69">
        <v>6</v>
      </c>
      <c r="Q3" s="69">
        <v>2</v>
      </c>
      <c r="R3" s="69">
        <v>3</v>
      </c>
      <c r="S3" s="69">
        <v>0</v>
      </c>
      <c r="T3" s="69">
        <v>669</v>
      </c>
      <c r="U3" s="69">
        <v>8</v>
      </c>
      <c r="V3" s="69">
        <v>7</v>
      </c>
      <c r="W3" s="69">
        <v>1</v>
      </c>
      <c r="X3" s="69">
        <v>96</v>
      </c>
      <c r="Y3" s="69">
        <v>12</v>
      </c>
      <c r="Z3" s="69">
        <v>11</v>
      </c>
      <c r="AA3" s="69"/>
      <c r="AB3" s="77"/>
      <c r="AC3" s="77">
        <v>12</v>
      </c>
      <c r="AD3" s="69">
        <v>0</v>
      </c>
      <c r="AE3" s="69">
        <f t="shared" ref="AE3:AE50" si="0">AC3-AD3</f>
        <v>12</v>
      </c>
      <c r="AF3" s="69">
        <v>15</v>
      </c>
      <c r="AG3" s="70">
        <f>I3-AF3</f>
        <v>3</v>
      </c>
      <c r="AH3" s="69">
        <f>AF3+AG3</f>
        <v>18</v>
      </c>
      <c r="AI3" s="71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x14ac:dyDescent="0.2">
      <c r="A4" s="67" t="s">
        <v>549</v>
      </c>
      <c r="B4" s="214">
        <v>1921</v>
      </c>
      <c r="C4" s="69">
        <v>7</v>
      </c>
      <c r="D4" s="67" t="s">
        <v>550</v>
      </c>
      <c r="G4" s="52"/>
      <c r="H4" s="52"/>
      <c r="I4" s="52">
        <v>21</v>
      </c>
      <c r="J4" s="52">
        <v>14</v>
      </c>
      <c r="K4" s="52">
        <v>5</v>
      </c>
      <c r="L4" s="52">
        <v>1</v>
      </c>
      <c r="M4" s="52">
        <v>1</v>
      </c>
      <c r="N4" s="52">
        <v>7</v>
      </c>
      <c r="O4" s="52">
        <v>3</v>
      </c>
      <c r="P4" s="52">
        <v>2</v>
      </c>
      <c r="Q4" s="52">
        <v>2</v>
      </c>
      <c r="R4" s="52">
        <v>3</v>
      </c>
      <c r="S4" s="52">
        <v>4</v>
      </c>
      <c r="T4" s="52">
        <v>832</v>
      </c>
      <c r="U4" s="52">
        <v>0</v>
      </c>
      <c r="V4" s="52">
        <v>1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12</v>
      </c>
      <c r="AD4" s="52">
        <v>0</v>
      </c>
      <c r="AE4" s="69">
        <f t="shared" si="0"/>
        <v>12</v>
      </c>
      <c r="AF4" s="52">
        <v>18</v>
      </c>
      <c r="AG4" s="70">
        <f t="shared" ref="AG4:AG67" si="1">I4-AF4</f>
        <v>3</v>
      </c>
      <c r="AH4" s="69">
        <f t="shared" ref="AH4:AH67" si="2">AF4+AG4</f>
        <v>21</v>
      </c>
      <c r="AI4" s="52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72" s="2" customFormat="1" x14ac:dyDescent="0.2">
      <c r="A5" s="2" t="s">
        <v>253</v>
      </c>
      <c r="B5" s="215">
        <v>1911</v>
      </c>
      <c r="C5" s="44">
        <v>14</v>
      </c>
      <c r="D5" s="75" t="s">
        <v>533</v>
      </c>
      <c r="E5" s="44"/>
      <c r="G5" s="176"/>
      <c r="I5" s="44">
        <v>62</v>
      </c>
      <c r="J5" s="44">
        <v>49</v>
      </c>
      <c r="K5" s="69">
        <v>11</v>
      </c>
      <c r="L5" s="69">
        <v>2</v>
      </c>
      <c r="M5" s="69">
        <v>0</v>
      </c>
      <c r="N5" s="69">
        <v>13</v>
      </c>
      <c r="O5" s="69">
        <v>5</v>
      </c>
      <c r="P5" s="69">
        <v>10</v>
      </c>
      <c r="Q5" s="69">
        <v>2</v>
      </c>
      <c r="R5" s="69">
        <v>6</v>
      </c>
      <c r="S5" s="69">
        <v>26</v>
      </c>
      <c r="T5" s="69">
        <v>2532</v>
      </c>
      <c r="U5" s="44">
        <v>11</v>
      </c>
      <c r="V5" s="44">
        <v>37</v>
      </c>
      <c r="W5" s="44">
        <v>12</v>
      </c>
      <c r="X5" s="44">
        <v>216</v>
      </c>
      <c r="Y5" s="44">
        <v>29</v>
      </c>
      <c r="Z5" s="44">
        <v>25</v>
      </c>
      <c r="AA5" s="44"/>
      <c r="AB5" s="44"/>
      <c r="AC5" s="44">
        <v>39</v>
      </c>
      <c r="AD5" s="44">
        <v>8</v>
      </c>
      <c r="AE5" s="69">
        <f t="shared" si="0"/>
        <v>31</v>
      </c>
      <c r="AF5" s="44">
        <v>29</v>
      </c>
      <c r="AG5" s="70">
        <f t="shared" si="1"/>
        <v>33</v>
      </c>
      <c r="AH5" s="69">
        <f t="shared" si="2"/>
        <v>62</v>
      </c>
    </row>
    <row r="6" spans="1:72" x14ac:dyDescent="0.2">
      <c r="A6" s="2" t="s">
        <v>253</v>
      </c>
      <c r="B6" s="215">
        <v>1921</v>
      </c>
      <c r="C6" s="44">
        <v>11</v>
      </c>
      <c r="D6" s="75" t="s">
        <v>533</v>
      </c>
      <c r="E6" s="44"/>
      <c r="G6" s="177"/>
      <c r="I6" s="29">
        <v>59</v>
      </c>
      <c r="J6" s="44">
        <v>44</v>
      </c>
      <c r="K6" s="44">
        <v>11</v>
      </c>
      <c r="L6" s="44">
        <v>4</v>
      </c>
      <c r="M6" s="44">
        <v>0</v>
      </c>
      <c r="N6" s="44">
        <v>11</v>
      </c>
      <c r="O6" s="44">
        <v>6</v>
      </c>
      <c r="P6" s="44">
        <v>8</v>
      </c>
      <c r="Q6" s="44">
        <v>3</v>
      </c>
      <c r="R6" s="44">
        <v>8</v>
      </c>
      <c r="S6" s="44">
        <v>23</v>
      </c>
      <c r="T6" s="45">
        <v>1968</v>
      </c>
      <c r="U6" s="29"/>
      <c r="V6" s="29"/>
      <c r="W6" s="29"/>
      <c r="X6" s="29"/>
      <c r="Y6" s="29"/>
      <c r="Z6" s="29"/>
      <c r="AA6" s="29"/>
      <c r="AB6" s="29"/>
      <c r="AC6" s="29">
        <v>34</v>
      </c>
      <c r="AD6" s="29">
        <v>6</v>
      </c>
      <c r="AE6" s="69">
        <f t="shared" si="0"/>
        <v>28</v>
      </c>
      <c r="AF6" s="29">
        <v>36</v>
      </c>
      <c r="AG6" s="70">
        <f t="shared" si="1"/>
        <v>23</v>
      </c>
      <c r="AH6" s="69">
        <f t="shared" si="2"/>
        <v>59</v>
      </c>
    </row>
    <row r="7" spans="1:72" ht="17" customHeight="1" x14ac:dyDescent="0.2">
      <c r="A7" s="76" t="s">
        <v>551</v>
      </c>
      <c r="B7" s="214" t="s">
        <v>523</v>
      </c>
      <c r="C7" s="77">
        <v>13</v>
      </c>
      <c r="D7" s="78" t="s">
        <v>552</v>
      </c>
      <c r="E7" s="53"/>
      <c r="F7" s="69">
        <v>7</v>
      </c>
      <c r="G7" s="131"/>
      <c r="H7" s="131"/>
      <c r="I7" s="70">
        <v>48</v>
      </c>
      <c r="J7" s="69">
        <v>34</v>
      </c>
      <c r="K7" s="69">
        <v>14</v>
      </c>
      <c r="L7" s="69">
        <v>0</v>
      </c>
      <c r="M7" s="69">
        <v>0</v>
      </c>
      <c r="N7" s="69">
        <v>8</v>
      </c>
      <c r="O7" s="69">
        <v>5</v>
      </c>
      <c r="P7" s="69">
        <v>6</v>
      </c>
      <c r="Q7" s="69">
        <v>5</v>
      </c>
      <c r="R7" s="69">
        <v>4</v>
      </c>
      <c r="S7" s="69">
        <v>20</v>
      </c>
      <c r="T7" s="69">
        <v>1723</v>
      </c>
      <c r="U7" s="69">
        <v>10</v>
      </c>
      <c r="V7" s="69">
        <v>36</v>
      </c>
      <c r="W7" s="69">
        <v>1</v>
      </c>
      <c r="X7" s="69">
        <v>130</v>
      </c>
      <c r="Y7" s="69">
        <v>12</v>
      </c>
      <c r="Z7" s="69">
        <v>10</v>
      </c>
      <c r="AA7" s="69">
        <v>0</v>
      </c>
      <c r="AB7" s="69">
        <v>0</v>
      </c>
      <c r="AC7" s="77">
        <v>33</v>
      </c>
      <c r="AD7" s="69">
        <v>8</v>
      </c>
      <c r="AE7" s="69">
        <f t="shared" si="0"/>
        <v>25</v>
      </c>
      <c r="AF7" s="69">
        <v>31</v>
      </c>
      <c r="AG7" s="70">
        <f t="shared" si="1"/>
        <v>17</v>
      </c>
      <c r="AH7" s="69">
        <f t="shared" si="2"/>
        <v>48</v>
      </c>
      <c r="AI7" s="71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 spans="1:72" x14ac:dyDescent="0.2">
      <c r="A8" t="s">
        <v>551</v>
      </c>
      <c r="B8" s="216">
        <v>1921</v>
      </c>
      <c r="C8">
        <v>10</v>
      </c>
      <c r="D8" s="78" t="s">
        <v>552</v>
      </c>
      <c r="E8" s="29"/>
      <c r="G8"/>
      <c r="I8">
        <v>42</v>
      </c>
      <c r="J8">
        <v>29</v>
      </c>
      <c r="K8">
        <v>10</v>
      </c>
      <c r="L8">
        <v>0</v>
      </c>
      <c r="M8">
        <v>3</v>
      </c>
      <c r="N8">
        <v>11</v>
      </c>
      <c r="O8">
        <v>5</v>
      </c>
      <c r="P8">
        <v>2</v>
      </c>
      <c r="Q8">
        <v>2</v>
      </c>
      <c r="R8">
        <v>8</v>
      </c>
      <c r="S8">
        <v>14</v>
      </c>
      <c r="T8">
        <v>1718</v>
      </c>
      <c r="U8">
        <v>0</v>
      </c>
      <c r="V8">
        <v>0</v>
      </c>
      <c r="W8">
        <v>5</v>
      </c>
      <c r="X8">
        <v>0</v>
      </c>
      <c r="Y8">
        <v>0</v>
      </c>
      <c r="Z8">
        <v>0</v>
      </c>
      <c r="AB8">
        <v>0</v>
      </c>
      <c r="AC8">
        <v>28</v>
      </c>
      <c r="AD8">
        <v>5</v>
      </c>
      <c r="AE8" s="69">
        <f t="shared" si="0"/>
        <v>23</v>
      </c>
      <c r="AF8">
        <v>17</v>
      </c>
      <c r="AG8" s="70">
        <f t="shared" si="1"/>
        <v>25</v>
      </c>
      <c r="AH8" s="69">
        <f t="shared" si="2"/>
        <v>42</v>
      </c>
    </row>
    <row r="9" spans="1:72" ht="17" x14ac:dyDescent="0.2">
      <c r="A9" s="166" t="s">
        <v>553</v>
      </c>
      <c r="B9" s="213">
        <v>1911</v>
      </c>
      <c r="C9" s="171">
        <v>4</v>
      </c>
      <c r="D9" s="167" t="s">
        <v>554</v>
      </c>
      <c r="E9" s="53"/>
      <c r="G9" s="179"/>
      <c r="I9" s="172">
        <v>18</v>
      </c>
      <c r="J9" s="114">
        <v>10</v>
      </c>
      <c r="K9" s="114">
        <v>4</v>
      </c>
      <c r="L9" s="114">
        <v>0</v>
      </c>
      <c r="M9" s="114">
        <v>4</v>
      </c>
      <c r="N9" s="114">
        <v>4</v>
      </c>
      <c r="O9" s="114">
        <v>2</v>
      </c>
      <c r="P9" s="114">
        <v>1</v>
      </c>
      <c r="Q9" s="114">
        <v>4</v>
      </c>
      <c r="R9" s="114">
        <v>2</v>
      </c>
      <c r="S9" s="114">
        <v>5</v>
      </c>
      <c r="T9" s="114">
        <v>592</v>
      </c>
      <c r="U9" s="114">
        <v>5</v>
      </c>
      <c r="V9" s="114">
        <v>7</v>
      </c>
      <c r="W9" s="114">
        <v>2</v>
      </c>
      <c r="X9" s="114">
        <v>15</v>
      </c>
      <c r="Y9" s="114">
        <v>2</v>
      </c>
      <c r="Z9" s="114">
        <v>2</v>
      </c>
      <c r="AA9" s="114">
        <v>0</v>
      </c>
      <c r="AB9" s="114">
        <v>0</v>
      </c>
      <c r="AC9" s="171">
        <v>10</v>
      </c>
      <c r="AD9" s="114">
        <v>4</v>
      </c>
      <c r="AE9" s="69">
        <f t="shared" si="0"/>
        <v>6</v>
      </c>
      <c r="AF9" s="114">
        <v>10</v>
      </c>
      <c r="AG9" s="70">
        <f t="shared" si="1"/>
        <v>8</v>
      </c>
      <c r="AH9" s="69">
        <f t="shared" si="2"/>
        <v>18</v>
      </c>
      <c r="AI9" s="94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 spans="1:72" ht="17" customHeight="1" thickBot="1" x14ac:dyDescent="0.25">
      <c r="A10" s="28" t="s">
        <v>553</v>
      </c>
      <c r="B10" s="217" t="s">
        <v>808</v>
      </c>
      <c r="C10" s="34">
        <v>7</v>
      </c>
      <c r="D10" s="168" t="s">
        <v>554</v>
      </c>
      <c r="E10" s="29"/>
      <c r="G10" s="144"/>
      <c r="I10" s="39">
        <v>29</v>
      </c>
      <c r="J10" s="29">
        <v>22</v>
      </c>
      <c r="K10" s="29">
        <v>7</v>
      </c>
      <c r="L10" s="29">
        <v>0</v>
      </c>
      <c r="M10" s="29">
        <v>0</v>
      </c>
      <c r="N10" s="29">
        <v>7</v>
      </c>
      <c r="O10" s="29">
        <v>4</v>
      </c>
      <c r="P10" s="29">
        <v>1</v>
      </c>
      <c r="Q10" s="29">
        <v>0</v>
      </c>
      <c r="R10" s="29">
        <v>4</v>
      </c>
      <c r="S10" s="29">
        <v>13</v>
      </c>
      <c r="T10" s="29">
        <v>1185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34">
        <v>0</v>
      </c>
      <c r="AC10" s="29">
        <v>21</v>
      </c>
      <c r="AD10" s="29">
        <v>5</v>
      </c>
      <c r="AE10" s="69">
        <f t="shared" si="0"/>
        <v>16</v>
      </c>
      <c r="AF10" s="29">
        <v>10</v>
      </c>
      <c r="AG10" s="70">
        <f t="shared" si="1"/>
        <v>19</v>
      </c>
      <c r="AH10" s="69">
        <f t="shared" si="2"/>
        <v>29</v>
      </c>
      <c r="AI10" s="165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</row>
    <row r="11" spans="1:72" x14ac:dyDescent="0.2">
      <c r="A11" s="7" t="s">
        <v>555</v>
      </c>
      <c r="B11" s="214" t="s">
        <v>523</v>
      </c>
      <c r="C11" s="7">
        <v>3</v>
      </c>
      <c r="D11" s="95" t="s">
        <v>556</v>
      </c>
      <c r="E11" s="53"/>
      <c r="F11" s="7">
        <v>2</v>
      </c>
      <c r="G11" s="132"/>
      <c r="H11" s="132"/>
      <c r="I11" s="20">
        <v>16</v>
      </c>
      <c r="J11" s="7">
        <v>8</v>
      </c>
      <c r="K11" s="7">
        <v>6</v>
      </c>
      <c r="L11" s="7">
        <v>1</v>
      </c>
      <c r="M11" s="7">
        <v>1</v>
      </c>
      <c r="N11" s="96">
        <v>2</v>
      </c>
      <c r="O11" s="96">
        <v>2</v>
      </c>
      <c r="P11" s="96">
        <v>2</v>
      </c>
      <c r="Q11" s="96">
        <v>5</v>
      </c>
      <c r="R11" s="96">
        <v>0</v>
      </c>
      <c r="S11" s="96">
        <v>5</v>
      </c>
      <c r="T11" s="7">
        <v>458</v>
      </c>
      <c r="U11" s="7">
        <v>4</v>
      </c>
      <c r="V11" s="7">
        <v>10</v>
      </c>
      <c r="W11" s="7">
        <v>0</v>
      </c>
      <c r="X11" s="7">
        <v>25</v>
      </c>
      <c r="Y11" s="7">
        <v>5</v>
      </c>
      <c r="Z11" s="7">
        <v>5</v>
      </c>
      <c r="AA11" s="7">
        <v>0</v>
      </c>
      <c r="AB11" s="7">
        <v>0</v>
      </c>
      <c r="AC11" s="7">
        <v>12</v>
      </c>
      <c r="AD11" s="7">
        <v>0</v>
      </c>
      <c r="AE11" s="69">
        <f t="shared" si="0"/>
        <v>12</v>
      </c>
      <c r="AF11" s="7">
        <v>9</v>
      </c>
      <c r="AG11" s="70">
        <f t="shared" si="1"/>
        <v>7</v>
      </c>
      <c r="AH11" s="69">
        <f t="shared" si="2"/>
        <v>16</v>
      </c>
      <c r="AI11" s="8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1:72" x14ac:dyDescent="0.2">
      <c r="A12" s="7" t="s">
        <v>555</v>
      </c>
      <c r="B12" s="216">
        <v>1921</v>
      </c>
      <c r="C12" s="7">
        <v>3</v>
      </c>
      <c r="D12" s="95" t="s">
        <v>556</v>
      </c>
      <c r="I12">
        <v>16</v>
      </c>
      <c r="J12">
        <v>13</v>
      </c>
      <c r="K12">
        <v>3</v>
      </c>
      <c r="L12">
        <v>0</v>
      </c>
      <c r="M12">
        <v>0</v>
      </c>
      <c r="N12">
        <v>3</v>
      </c>
      <c r="O12">
        <v>3</v>
      </c>
      <c r="P12">
        <v>1</v>
      </c>
      <c r="Q12">
        <v>0</v>
      </c>
      <c r="R12">
        <v>1</v>
      </c>
      <c r="S12">
        <v>8</v>
      </c>
      <c r="T12">
        <v>600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</v>
      </c>
      <c r="AD12">
        <v>2</v>
      </c>
      <c r="AE12" s="69">
        <f t="shared" si="0"/>
        <v>10</v>
      </c>
      <c r="AF12">
        <v>7</v>
      </c>
      <c r="AG12" s="70">
        <f t="shared" si="1"/>
        <v>9</v>
      </c>
      <c r="AH12" s="69">
        <f t="shared" si="2"/>
        <v>16</v>
      </c>
    </row>
    <row r="13" spans="1:72" x14ac:dyDescent="0.2">
      <c r="A13" s="97" t="s">
        <v>557</v>
      </c>
      <c r="B13" s="214" t="s">
        <v>523</v>
      </c>
      <c r="C13" s="69">
        <v>4</v>
      </c>
      <c r="D13" s="78" t="s">
        <v>558</v>
      </c>
      <c r="F13" s="69">
        <v>3</v>
      </c>
      <c r="G13" s="131"/>
      <c r="H13" s="131"/>
      <c r="I13" s="70">
        <v>25</v>
      </c>
      <c r="J13" s="69">
        <v>19</v>
      </c>
      <c r="K13" s="69">
        <v>5</v>
      </c>
      <c r="L13" s="69">
        <v>1</v>
      </c>
      <c r="M13" s="69">
        <v>0</v>
      </c>
      <c r="N13" s="69">
        <v>3</v>
      </c>
      <c r="O13" s="69">
        <v>1</v>
      </c>
      <c r="P13" s="69">
        <v>0</v>
      </c>
      <c r="Q13" s="69">
        <v>0</v>
      </c>
      <c r="R13" s="69">
        <v>4</v>
      </c>
      <c r="S13" s="69">
        <v>17</v>
      </c>
      <c r="T13" s="69">
        <v>881</v>
      </c>
      <c r="U13" s="69">
        <v>4</v>
      </c>
      <c r="V13" s="69">
        <v>15</v>
      </c>
      <c r="W13" s="69">
        <v>2</v>
      </c>
      <c r="X13" s="69">
        <v>15</v>
      </c>
      <c r="Y13" s="69">
        <v>1</v>
      </c>
      <c r="Z13" s="69">
        <v>1</v>
      </c>
      <c r="AA13" s="69">
        <v>0</v>
      </c>
      <c r="AB13" s="69">
        <v>0</v>
      </c>
      <c r="AC13" s="69">
        <v>21</v>
      </c>
      <c r="AD13" s="69">
        <v>3</v>
      </c>
      <c r="AE13" s="69">
        <f t="shared" si="0"/>
        <v>18</v>
      </c>
      <c r="AF13" s="69">
        <v>12</v>
      </c>
      <c r="AG13" s="70">
        <f t="shared" si="1"/>
        <v>13</v>
      </c>
      <c r="AH13" s="69">
        <f t="shared" si="2"/>
        <v>25</v>
      </c>
      <c r="AI13" s="71"/>
      <c r="AJ13" s="79" t="s">
        <v>559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1:72" x14ac:dyDescent="0.2">
      <c r="A14" s="97" t="s">
        <v>557</v>
      </c>
      <c r="B14" s="214" t="s">
        <v>808</v>
      </c>
      <c r="C14">
        <v>2</v>
      </c>
      <c r="D14" s="78" t="s">
        <v>558</v>
      </c>
      <c r="E14" s="54"/>
      <c r="G14"/>
      <c r="I14">
        <v>14</v>
      </c>
      <c r="J14">
        <v>8</v>
      </c>
      <c r="K14">
        <v>2</v>
      </c>
      <c r="L14">
        <v>3</v>
      </c>
      <c r="M14">
        <v>1</v>
      </c>
      <c r="N14">
        <v>2</v>
      </c>
      <c r="O14">
        <v>2</v>
      </c>
      <c r="P14">
        <v>0</v>
      </c>
      <c r="Q14">
        <v>0</v>
      </c>
      <c r="R14">
        <v>2</v>
      </c>
      <c r="S14">
        <v>8</v>
      </c>
      <c r="T14">
        <v>460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C14">
        <v>11</v>
      </c>
      <c r="AD14">
        <v>1</v>
      </c>
      <c r="AE14" s="69">
        <f t="shared" si="0"/>
        <v>10</v>
      </c>
      <c r="AF14">
        <v>2</v>
      </c>
      <c r="AG14" s="70">
        <f t="shared" si="1"/>
        <v>12</v>
      </c>
      <c r="AH14" s="69">
        <f t="shared" si="2"/>
        <v>14</v>
      </c>
    </row>
    <row r="15" spans="1:72" x14ac:dyDescent="0.2">
      <c r="A15" s="67" t="s">
        <v>560</v>
      </c>
      <c r="B15" s="214" t="s">
        <v>523</v>
      </c>
      <c r="C15" s="69">
        <v>7</v>
      </c>
      <c r="D15" s="78" t="s">
        <v>561</v>
      </c>
      <c r="F15" s="69">
        <v>14</v>
      </c>
      <c r="G15" s="131"/>
      <c r="H15" s="131"/>
      <c r="I15" s="70">
        <v>31</v>
      </c>
      <c r="J15" s="69">
        <v>24</v>
      </c>
      <c r="K15" s="69">
        <v>6</v>
      </c>
      <c r="L15" s="69">
        <v>1</v>
      </c>
      <c r="M15" s="69">
        <v>0</v>
      </c>
      <c r="N15" s="69">
        <v>6</v>
      </c>
      <c r="O15" s="69">
        <v>2</v>
      </c>
      <c r="P15" s="69">
        <v>2</v>
      </c>
      <c r="Q15" s="69">
        <v>1</v>
      </c>
      <c r="R15" s="69">
        <v>4</v>
      </c>
      <c r="S15" s="69">
        <v>16</v>
      </c>
      <c r="T15" s="69">
        <v>1177</v>
      </c>
      <c r="U15" s="69">
        <v>7</v>
      </c>
      <c r="V15" s="69">
        <v>21</v>
      </c>
      <c r="W15" s="69">
        <v>3</v>
      </c>
      <c r="X15" s="69">
        <v>60</v>
      </c>
      <c r="Y15" s="69">
        <v>4</v>
      </c>
      <c r="Z15" s="69">
        <v>3</v>
      </c>
      <c r="AA15" s="69">
        <v>0</v>
      </c>
      <c r="AB15" s="69">
        <v>0</v>
      </c>
      <c r="AC15" s="69">
        <v>22</v>
      </c>
      <c r="AD15" s="69">
        <v>4</v>
      </c>
      <c r="AE15" s="69">
        <f t="shared" si="0"/>
        <v>18</v>
      </c>
      <c r="AF15" s="69">
        <v>11</v>
      </c>
      <c r="AG15" s="70">
        <f t="shared" si="1"/>
        <v>20</v>
      </c>
      <c r="AH15" s="69">
        <f t="shared" si="2"/>
        <v>31</v>
      </c>
      <c r="AI15" s="71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x14ac:dyDescent="0.2">
      <c r="A16" s="67" t="s">
        <v>560</v>
      </c>
      <c r="B16" s="214">
        <v>1921</v>
      </c>
      <c r="C16">
        <v>6</v>
      </c>
      <c r="D16" s="78" t="s">
        <v>561</v>
      </c>
      <c r="E16" s="54"/>
      <c r="G16"/>
      <c r="I16">
        <v>33</v>
      </c>
      <c r="J16">
        <v>21</v>
      </c>
      <c r="K16">
        <v>7</v>
      </c>
      <c r="L16">
        <v>3</v>
      </c>
      <c r="M16">
        <v>2</v>
      </c>
      <c r="N16">
        <v>6</v>
      </c>
      <c r="O16">
        <v>5</v>
      </c>
      <c r="P16">
        <v>5</v>
      </c>
      <c r="Q16">
        <v>2</v>
      </c>
      <c r="R16">
        <v>3</v>
      </c>
      <c r="S16">
        <v>12</v>
      </c>
      <c r="T16">
        <v>1139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20</v>
      </c>
      <c r="AD16">
        <v>3</v>
      </c>
      <c r="AE16" s="69">
        <f t="shared" si="0"/>
        <v>17</v>
      </c>
      <c r="AF16">
        <v>17</v>
      </c>
      <c r="AG16" s="70">
        <f t="shared" si="1"/>
        <v>16</v>
      </c>
      <c r="AH16" s="69">
        <f t="shared" si="2"/>
        <v>33</v>
      </c>
      <c r="AI16">
        <v>0</v>
      </c>
    </row>
    <row r="17" spans="1:72" x14ac:dyDescent="0.2">
      <c r="A17" s="97" t="s">
        <v>562</v>
      </c>
      <c r="B17" s="214" t="s">
        <v>523</v>
      </c>
      <c r="C17" s="77">
        <v>12</v>
      </c>
      <c r="D17" s="78" t="s">
        <v>563</v>
      </c>
      <c r="F17" s="69">
        <v>11</v>
      </c>
      <c r="G17" s="131"/>
      <c r="H17" s="131"/>
      <c r="I17" s="70">
        <v>55</v>
      </c>
      <c r="J17" s="69">
        <v>29</v>
      </c>
      <c r="K17" s="69">
        <v>16</v>
      </c>
      <c r="L17" s="69">
        <v>6</v>
      </c>
      <c r="M17" s="69">
        <v>4</v>
      </c>
      <c r="N17" s="69">
        <v>12</v>
      </c>
      <c r="O17" s="69">
        <v>9</v>
      </c>
      <c r="P17" s="69">
        <v>9</v>
      </c>
      <c r="Q17" s="69">
        <v>10</v>
      </c>
      <c r="R17" s="69">
        <v>1</v>
      </c>
      <c r="S17" s="69">
        <v>14</v>
      </c>
      <c r="T17" s="69">
        <v>1585</v>
      </c>
      <c r="U17" s="69">
        <v>18</v>
      </c>
      <c r="V17" s="69">
        <v>24</v>
      </c>
      <c r="W17" s="69">
        <v>2</v>
      </c>
      <c r="X17" s="69">
        <v>106</v>
      </c>
      <c r="Y17" s="69">
        <v>26</v>
      </c>
      <c r="Z17" s="69">
        <v>22</v>
      </c>
      <c r="AA17" s="69">
        <v>0</v>
      </c>
      <c r="AB17" s="69">
        <v>0</v>
      </c>
      <c r="AC17" s="69">
        <v>29</v>
      </c>
      <c r="AD17" s="69">
        <v>7</v>
      </c>
      <c r="AE17" s="69">
        <f t="shared" si="0"/>
        <v>22</v>
      </c>
      <c r="AF17" s="69">
        <v>27</v>
      </c>
      <c r="AG17" s="70">
        <f t="shared" si="1"/>
        <v>28</v>
      </c>
      <c r="AH17" s="69">
        <f t="shared" si="2"/>
        <v>55</v>
      </c>
      <c r="AI17" s="71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x14ac:dyDescent="0.2">
      <c r="A18" s="97" t="s">
        <v>562</v>
      </c>
      <c r="B18" s="214">
        <v>1921</v>
      </c>
      <c r="C18" s="77">
        <v>10</v>
      </c>
      <c r="D18" s="78" t="s">
        <v>563</v>
      </c>
      <c r="F18" s="69"/>
      <c r="G18" s="131"/>
      <c r="H18" s="131"/>
      <c r="I18" s="70">
        <v>46</v>
      </c>
      <c r="J18" s="69">
        <v>27</v>
      </c>
      <c r="K18" s="69">
        <v>12</v>
      </c>
      <c r="L18" s="69">
        <v>4</v>
      </c>
      <c r="M18" s="69">
        <v>3</v>
      </c>
      <c r="N18" s="69">
        <v>10</v>
      </c>
      <c r="O18" s="69">
        <v>6</v>
      </c>
      <c r="P18" s="69">
        <v>6</v>
      </c>
      <c r="Q18" s="69">
        <v>6</v>
      </c>
      <c r="R18" s="69">
        <v>8</v>
      </c>
      <c r="S18" s="69">
        <v>10</v>
      </c>
      <c r="T18" s="69">
        <v>1622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26</v>
      </c>
      <c r="AD18" s="69">
        <v>2</v>
      </c>
      <c r="AE18" s="69">
        <f t="shared" si="0"/>
        <v>24</v>
      </c>
      <c r="AF18" s="69">
        <v>13</v>
      </c>
      <c r="AG18" s="70">
        <f t="shared" si="1"/>
        <v>33</v>
      </c>
      <c r="AH18" s="69">
        <f t="shared" si="2"/>
        <v>46</v>
      </c>
      <c r="AI18" s="71">
        <v>0</v>
      </c>
      <c r="AJ18" s="7">
        <v>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spans="1:72" x14ac:dyDescent="0.2">
      <c r="A19" s="67" t="s">
        <v>564</v>
      </c>
      <c r="B19" s="214" t="s">
        <v>523</v>
      </c>
      <c r="C19" s="77">
        <v>24</v>
      </c>
      <c r="D19" s="78" t="s">
        <v>565</v>
      </c>
      <c r="F19" s="69">
        <v>20</v>
      </c>
      <c r="G19" s="131"/>
      <c r="H19" s="131"/>
      <c r="I19" s="70">
        <v>120</v>
      </c>
      <c r="J19" s="69">
        <v>69</v>
      </c>
      <c r="K19" s="69">
        <v>34</v>
      </c>
      <c r="L19" s="69">
        <v>9</v>
      </c>
      <c r="M19" s="69">
        <v>8</v>
      </c>
      <c r="N19" s="69">
        <v>22</v>
      </c>
      <c r="O19" s="69">
        <v>14</v>
      </c>
      <c r="P19" s="69">
        <v>27</v>
      </c>
      <c r="Q19" s="69">
        <v>16</v>
      </c>
      <c r="R19" s="69">
        <v>6</v>
      </c>
      <c r="S19" s="69">
        <v>35</v>
      </c>
      <c r="T19" s="69">
        <v>3745.5</v>
      </c>
      <c r="U19" s="69">
        <v>28</v>
      </c>
      <c r="V19" s="69">
        <v>86</v>
      </c>
      <c r="W19" s="69">
        <v>6</v>
      </c>
      <c r="X19" s="69">
        <v>287</v>
      </c>
      <c r="Y19" s="69"/>
      <c r="Z19" s="69"/>
      <c r="AA19" s="69"/>
      <c r="AB19" s="69"/>
      <c r="AC19" s="69">
        <v>76</v>
      </c>
      <c r="AD19" s="69">
        <v>12</v>
      </c>
      <c r="AE19" s="69">
        <f t="shared" si="0"/>
        <v>64</v>
      </c>
      <c r="AF19" s="69">
        <v>74</v>
      </c>
      <c r="AG19" s="70">
        <f t="shared" si="1"/>
        <v>46</v>
      </c>
      <c r="AH19" s="69">
        <f t="shared" si="2"/>
        <v>120</v>
      </c>
      <c r="AI19" s="71"/>
      <c r="AJ19" s="79" t="s">
        <v>566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 spans="1:72" x14ac:dyDescent="0.2">
      <c r="A20" s="67" t="s">
        <v>564</v>
      </c>
      <c r="B20" s="214">
        <v>1921</v>
      </c>
      <c r="C20" s="77">
        <v>21</v>
      </c>
      <c r="D20" s="78" t="s">
        <v>1155</v>
      </c>
      <c r="F20" s="69"/>
      <c r="G20" s="131"/>
      <c r="H20" s="131"/>
      <c r="I20" s="70">
        <v>86</v>
      </c>
      <c r="J20" s="69">
        <v>54</v>
      </c>
      <c r="K20" s="69">
        <v>25</v>
      </c>
      <c r="L20" s="69">
        <v>5</v>
      </c>
      <c r="M20" s="69">
        <v>2</v>
      </c>
      <c r="N20" s="69">
        <v>20</v>
      </c>
      <c r="O20" s="69">
        <v>16</v>
      </c>
      <c r="P20" s="69">
        <v>13</v>
      </c>
      <c r="Q20" s="69">
        <v>6</v>
      </c>
      <c r="R20" s="69">
        <v>10</v>
      </c>
      <c r="S20" s="69">
        <v>21</v>
      </c>
      <c r="T20" s="69">
        <v>3030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69">
        <v>0</v>
      </c>
      <c r="AA20" s="69">
        <v>0</v>
      </c>
      <c r="AB20" s="69">
        <v>0</v>
      </c>
      <c r="AC20" s="69">
        <v>50</v>
      </c>
      <c r="AD20" s="69">
        <v>8</v>
      </c>
      <c r="AE20" s="69">
        <f t="shared" si="0"/>
        <v>42</v>
      </c>
      <c r="AF20" s="69">
        <v>36</v>
      </c>
      <c r="AG20" s="70">
        <f t="shared" si="1"/>
        <v>50</v>
      </c>
      <c r="AH20" s="69">
        <f t="shared" si="2"/>
        <v>86</v>
      </c>
      <c r="AI20" s="71">
        <v>0</v>
      </c>
      <c r="AJ20" s="79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72" x14ac:dyDescent="0.2">
      <c r="A21" s="67" t="s">
        <v>567</v>
      </c>
      <c r="B21" s="67" t="s">
        <v>523</v>
      </c>
      <c r="C21" s="68">
        <v>4</v>
      </c>
      <c r="D21" s="67" t="s">
        <v>568</v>
      </c>
      <c r="F21" s="69">
        <v>12</v>
      </c>
      <c r="G21" s="131"/>
      <c r="H21" s="131"/>
      <c r="I21" s="70">
        <v>19</v>
      </c>
      <c r="J21" s="69">
        <v>15</v>
      </c>
      <c r="K21" s="69">
        <v>4</v>
      </c>
      <c r="L21" s="69">
        <v>0</v>
      </c>
      <c r="M21" s="69">
        <v>0</v>
      </c>
      <c r="N21" s="69">
        <v>4</v>
      </c>
      <c r="O21" s="69">
        <v>1</v>
      </c>
      <c r="P21" s="69">
        <v>1</v>
      </c>
      <c r="Q21" s="69">
        <v>0</v>
      </c>
      <c r="R21" s="69">
        <v>3</v>
      </c>
      <c r="S21" s="69">
        <v>10</v>
      </c>
      <c r="T21" s="69">
        <v>868</v>
      </c>
      <c r="U21" s="69">
        <v>2</v>
      </c>
      <c r="V21" s="69">
        <v>15</v>
      </c>
      <c r="W21" s="69">
        <v>2</v>
      </c>
      <c r="X21" s="69">
        <v>16</v>
      </c>
      <c r="Y21" s="69">
        <v>0</v>
      </c>
      <c r="Z21" s="69">
        <v>0</v>
      </c>
      <c r="AA21" s="69"/>
      <c r="AB21" s="69"/>
      <c r="AC21" s="69">
        <v>16</v>
      </c>
      <c r="AD21" s="69">
        <v>4</v>
      </c>
      <c r="AE21" s="69">
        <f t="shared" si="0"/>
        <v>12</v>
      </c>
      <c r="AF21" s="69">
        <v>10</v>
      </c>
      <c r="AG21" s="70">
        <f t="shared" si="1"/>
        <v>9</v>
      </c>
      <c r="AH21" s="69">
        <f t="shared" si="2"/>
        <v>19</v>
      </c>
      <c r="AI21" s="71"/>
      <c r="AJ21" s="7" t="s">
        <v>1353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72" x14ac:dyDescent="0.2">
      <c r="A22" s="67" t="s">
        <v>567</v>
      </c>
      <c r="B22" s="214">
        <v>1921</v>
      </c>
      <c r="C22" s="68">
        <v>3</v>
      </c>
      <c r="D22" s="67" t="s">
        <v>2600</v>
      </c>
      <c r="F22" s="69"/>
      <c r="G22" s="131"/>
      <c r="H22" s="131"/>
      <c r="I22" s="70">
        <v>21</v>
      </c>
      <c r="J22" s="69">
        <v>17</v>
      </c>
      <c r="K22" s="69">
        <v>2</v>
      </c>
      <c r="L22" s="69">
        <v>1</v>
      </c>
      <c r="M22" s="69">
        <v>1</v>
      </c>
      <c r="N22" s="69">
        <v>2</v>
      </c>
      <c r="O22" s="69">
        <v>3</v>
      </c>
      <c r="P22" s="69">
        <v>1</v>
      </c>
      <c r="Q22" s="69">
        <v>1</v>
      </c>
      <c r="R22" s="69">
        <v>0</v>
      </c>
      <c r="S22" s="69">
        <v>14</v>
      </c>
      <c r="T22" s="69">
        <v>729</v>
      </c>
      <c r="U22" s="69"/>
      <c r="V22" s="69"/>
      <c r="W22" s="69"/>
      <c r="X22" s="69"/>
      <c r="Y22" s="69"/>
      <c r="Z22" s="69"/>
      <c r="AA22" s="69"/>
      <c r="AB22" s="69"/>
      <c r="AC22" s="69">
        <v>14</v>
      </c>
      <c r="AD22" s="69">
        <v>1</v>
      </c>
      <c r="AE22" s="69">
        <f t="shared" si="0"/>
        <v>13</v>
      </c>
      <c r="AF22" s="69">
        <v>11</v>
      </c>
      <c r="AG22" s="70">
        <f t="shared" si="1"/>
        <v>10</v>
      </c>
      <c r="AH22" s="69">
        <f t="shared" si="2"/>
        <v>21</v>
      </c>
      <c r="AI22" s="71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spans="1:72" x14ac:dyDescent="0.2">
      <c r="A23" s="67" t="s">
        <v>569</v>
      </c>
      <c r="B23" s="214" t="s">
        <v>523</v>
      </c>
      <c r="C23" s="68">
        <v>1</v>
      </c>
      <c r="D23" s="67" t="s">
        <v>570</v>
      </c>
      <c r="F23" s="69">
        <v>5</v>
      </c>
      <c r="G23" s="131"/>
      <c r="H23" s="131"/>
      <c r="I23" s="70">
        <v>11</v>
      </c>
      <c r="J23" s="69">
        <v>5</v>
      </c>
      <c r="K23" s="69">
        <v>1</v>
      </c>
      <c r="L23" s="69">
        <v>4</v>
      </c>
      <c r="M23" s="69">
        <v>1</v>
      </c>
      <c r="N23" s="69">
        <v>1</v>
      </c>
      <c r="O23" s="69">
        <v>1</v>
      </c>
      <c r="P23" s="69">
        <v>4</v>
      </c>
      <c r="Q23" s="69">
        <v>1</v>
      </c>
      <c r="R23" s="69">
        <v>0</v>
      </c>
      <c r="S23" s="69">
        <v>4</v>
      </c>
      <c r="T23" s="70">
        <v>224.4</v>
      </c>
      <c r="U23" s="69">
        <v>2</v>
      </c>
      <c r="V23" s="69">
        <v>9</v>
      </c>
      <c r="W23" s="69">
        <v>0</v>
      </c>
      <c r="X23" s="69">
        <v>0</v>
      </c>
      <c r="Y23" s="69"/>
      <c r="Z23" s="69"/>
      <c r="AA23" s="69"/>
      <c r="AB23" s="69"/>
      <c r="AC23" s="69">
        <v>5</v>
      </c>
      <c r="AD23" s="69">
        <v>1</v>
      </c>
      <c r="AE23" s="69">
        <f t="shared" si="0"/>
        <v>4</v>
      </c>
      <c r="AF23" s="69">
        <v>8</v>
      </c>
      <c r="AG23" s="70">
        <f t="shared" si="1"/>
        <v>3</v>
      </c>
      <c r="AH23" s="69">
        <f t="shared" si="2"/>
        <v>11</v>
      </c>
      <c r="AI23" s="71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x14ac:dyDescent="0.2">
      <c r="A24" s="67" t="s">
        <v>569</v>
      </c>
      <c r="B24" s="214">
        <v>1921</v>
      </c>
      <c r="C24" s="68">
        <v>1</v>
      </c>
      <c r="D24" s="67" t="s">
        <v>570</v>
      </c>
      <c r="F24" s="69"/>
      <c r="G24" s="131"/>
      <c r="H24" s="131"/>
      <c r="I24" s="70">
        <v>3</v>
      </c>
      <c r="J24" s="69">
        <v>3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/>
      <c r="Q24" s="69">
        <v>0</v>
      </c>
      <c r="R24" s="69">
        <v>0</v>
      </c>
      <c r="S24" s="69">
        <v>0</v>
      </c>
      <c r="T24" s="70">
        <v>123</v>
      </c>
      <c r="U24" s="197">
        <v>0</v>
      </c>
      <c r="V24" s="198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2</v>
      </c>
      <c r="AD24" s="69">
        <v>0</v>
      </c>
      <c r="AE24" s="69">
        <f t="shared" si="0"/>
        <v>2</v>
      </c>
      <c r="AF24" s="69">
        <v>2</v>
      </c>
      <c r="AG24" s="70">
        <f t="shared" si="1"/>
        <v>1</v>
      </c>
      <c r="AH24" s="69">
        <f t="shared" si="2"/>
        <v>3</v>
      </c>
      <c r="AI24" s="71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72" x14ac:dyDescent="0.2">
      <c r="A25" s="67" t="s">
        <v>571</v>
      </c>
      <c r="B25" s="214" t="s">
        <v>523</v>
      </c>
      <c r="C25" s="68">
        <v>4</v>
      </c>
      <c r="D25" s="67" t="s">
        <v>572</v>
      </c>
      <c r="F25" s="69">
        <v>4</v>
      </c>
      <c r="G25" s="131"/>
      <c r="H25" s="131"/>
      <c r="I25" s="70">
        <v>31</v>
      </c>
      <c r="J25" s="69">
        <v>24</v>
      </c>
      <c r="K25" s="69">
        <v>7</v>
      </c>
      <c r="L25" s="69">
        <v>0</v>
      </c>
      <c r="M25" s="69">
        <v>0</v>
      </c>
      <c r="N25" s="69">
        <v>4</v>
      </c>
      <c r="O25" s="69">
        <v>3</v>
      </c>
      <c r="P25" s="69">
        <v>7</v>
      </c>
      <c r="Q25" s="69">
        <v>1</v>
      </c>
      <c r="R25" s="69">
        <v>3</v>
      </c>
      <c r="S25" s="69">
        <v>13</v>
      </c>
      <c r="T25" s="69">
        <v>1225</v>
      </c>
      <c r="U25" s="98">
        <v>9</v>
      </c>
      <c r="V25" s="99">
        <v>21</v>
      </c>
      <c r="W25" s="69">
        <v>1</v>
      </c>
      <c r="X25" s="69">
        <v>135</v>
      </c>
      <c r="Y25" s="69"/>
      <c r="Z25" s="69"/>
      <c r="AA25" s="69"/>
      <c r="AB25" s="69"/>
      <c r="AC25" s="69">
        <v>17</v>
      </c>
      <c r="AD25" s="69">
        <v>4</v>
      </c>
      <c r="AE25" s="69">
        <f t="shared" si="0"/>
        <v>13</v>
      </c>
      <c r="AF25" s="69">
        <v>16</v>
      </c>
      <c r="AG25" s="70">
        <f t="shared" si="1"/>
        <v>15</v>
      </c>
      <c r="AH25" s="69">
        <f t="shared" si="2"/>
        <v>31</v>
      </c>
      <c r="AI25" s="71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72" x14ac:dyDescent="0.2">
      <c r="A26" s="67" t="s">
        <v>571</v>
      </c>
      <c r="B26" s="218">
        <v>1921</v>
      </c>
      <c r="C26" s="199">
        <v>5</v>
      </c>
      <c r="D26" s="67" t="s">
        <v>572</v>
      </c>
      <c r="G26" s="139"/>
      <c r="H26" s="139">
        <v>7</v>
      </c>
      <c r="I26" s="64">
        <v>44</v>
      </c>
      <c r="J26">
        <v>33</v>
      </c>
      <c r="K26">
        <v>10</v>
      </c>
      <c r="L26">
        <v>1</v>
      </c>
      <c r="M26">
        <v>0</v>
      </c>
      <c r="N26">
        <v>4</v>
      </c>
      <c r="O26">
        <v>5</v>
      </c>
      <c r="P26">
        <v>4</v>
      </c>
      <c r="Q26">
        <v>3</v>
      </c>
      <c r="R26">
        <v>14</v>
      </c>
      <c r="S26">
        <v>14</v>
      </c>
      <c r="T26">
        <v>1585</v>
      </c>
      <c r="V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23</v>
      </c>
      <c r="AD26">
        <v>5</v>
      </c>
      <c r="AE26" s="69">
        <f t="shared" si="0"/>
        <v>18</v>
      </c>
      <c r="AF26">
        <v>10</v>
      </c>
      <c r="AG26" s="70">
        <f t="shared" si="1"/>
        <v>34</v>
      </c>
      <c r="AH26" s="69">
        <f t="shared" si="2"/>
        <v>44</v>
      </c>
      <c r="AI26" s="8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</row>
    <row r="27" spans="1:72" ht="17.5" customHeight="1" x14ac:dyDescent="0.2">
      <c r="A27" s="73" t="s">
        <v>312</v>
      </c>
      <c r="B27" s="217">
        <v>1911</v>
      </c>
      <c r="C27" s="29">
        <v>18</v>
      </c>
      <c r="D27" s="33" t="s">
        <v>524</v>
      </c>
      <c r="E27" s="29"/>
      <c r="G27" s="144"/>
      <c r="I27" s="39">
        <v>114</v>
      </c>
      <c r="J27" s="29">
        <v>74</v>
      </c>
      <c r="K27" s="29">
        <v>23</v>
      </c>
      <c r="L27" s="29">
        <v>9</v>
      </c>
      <c r="M27" s="29">
        <v>8</v>
      </c>
      <c r="N27" s="29">
        <v>16</v>
      </c>
      <c r="O27" s="29">
        <v>11</v>
      </c>
      <c r="P27" s="29">
        <v>10</v>
      </c>
      <c r="Q27" s="29">
        <v>12</v>
      </c>
      <c r="R27" s="29">
        <v>6</v>
      </c>
      <c r="S27" s="29">
        <v>59</v>
      </c>
      <c r="T27" s="29">
        <v>3282</v>
      </c>
      <c r="U27" s="29">
        <v>21</v>
      </c>
      <c r="V27" s="29">
        <v>71</v>
      </c>
      <c r="W27" s="29">
        <v>5</v>
      </c>
      <c r="X27" s="29">
        <v>41</v>
      </c>
      <c r="Y27" s="29">
        <v>8</v>
      </c>
      <c r="Z27" s="29">
        <v>8</v>
      </c>
      <c r="AA27" s="29">
        <v>0</v>
      </c>
      <c r="AB27" s="29">
        <v>0</v>
      </c>
      <c r="AC27" s="29">
        <v>81</v>
      </c>
      <c r="AD27" s="29">
        <v>14</v>
      </c>
      <c r="AE27" s="69">
        <f t="shared" si="0"/>
        <v>67</v>
      </c>
      <c r="AF27" s="29">
        <v>61</v>
      </c>
      <c r="AG27" s="70">
        <f t="shared" si="1"/>
        <v>53</v>
      </c>
      <c r="AH27" s="69">
        <f t="shared" si="2"/>
        <v>114</v>
      </c>
      <c r="AI27" s="8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</row>
    <row r="28" spans="1:72" s="2" customFormat="1" x14ac:dyDescent="0.2">
      <c r="A28" s="73" t="s">
        <v>312</v>
      </c>
      <c r="B28" s="215" t="s">
        <v>808</v>
      </c>
      <c r="C28" s="29">
        <v>19</v>
      </c>
      <c r="D28" s="33" t="s">
        <v>524</v>
      </c>
      <c r="E28" s="44"/>
      <c r="G28" s="144"/>
      <c r="I28" s="29">
        <v>97</v>
      </c>
      <c r="J28" s="29">
        <v>71</v>
      </c>
      <c r="K28" s="29">
        <v>19</v>
      </c>
      <c r="L28" s="29">
        <v>4</v>
      </c>
      <c r="M28" s="29">
        <v>3</v>
      </c>
      <c r="N28" s="29">
        <v>14</v>
      </c>
      <c r="O28" s="29">
        <v>5</v>
      </c>
      <c r="P28" s="29">
        <v>10</v>
      </c>
      <c r="Q28" s="29">
        <v>6</v>
      </c>
      <c r="R28" s="29">
        <v>13</v>
      </c>
      <c r="S28" s="29">
        <v>49</v>
      </c>
      <c r="T28" s="29">
        <v>3426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67</v>
      </c>
      <c r="AD28" s="29">
        <v>8</v>
      </c>
      <c r="AE28" s="69">
        <f t="shared" si="0"/>
        <v>59</v>
      </c>
      <c r="AF28" s="29">
        <v>53</v>
      </c>
      <c r="AG28" s="70">
        <f t="shared" si="1"/>
        <v>44</v>
      </c>
      <c r="AH28" s="69">
        <f t="shared" si="2"/>
        <v>97</v>
      </c>
    </row>
    <row r="29" spans="1:72" x14ac:dyDescent="0.2">
      <c r="A29" s="67" t="s">
        <v>573</v>
      </c>
      <c r="B29" s="214" t="s">
        <v>523</v>
      </c>
      <c r="C29" s="68">
        <v>6</v>
      </c>
      <c r="D29" s="67" t="s">
        <v>574</v>
      </c>
      <c r="F29" s="69">
        <v>4</v>
      </c>
      <c r="G29" s="131"/>
      <c r="H29" s="131"/>
      <c r="I29" s="70">
        <v>35</v>
      </c>
      <c r="J29" s="69">
        <v>25</v>
      </c>
      <c r="K29" s="69">
        <v>10</v>
      </c>
      <c r="L29" s="69">
        <v>0</v>
      </c>
      <c r="M29" s="69">
        <v>0</v>
      </c>
      <c r="N29" s="69">
        <v>5</v>
      </c>
      <c r="O29" s="69">
        <v>4</v>
      </c>
      <c r="P29" s="69">
        <v>4</v>
      </c>
      <c r="Q29" s="69">
        <v>5</v>
      </c>
      <c r="R29" s="69">
        <v>1</v>
      </c>
      <c r="S29" s="69">
        <v>16</v>
      </c>
      <c r="T29" s="69">
        <v>1416</v>
      </c>
      <c r="U29" s="69">
        <v>7</v>
      </c>
      <c r="V29" s="69">
        <v>21</v>
      </c>
      <c r="W29" s="69">
        <v>3</v>
      </c>
      <c r="X29" s="69">
        <v>129</v>
      </c>
      <c r="Y29" s="69">
        <v>8</v>
      </c>
      <c r="Z29" s="69">
        <v>8</v>
      </c>
      <c r="AA29" s="69">
        <v>0</v>
      </c>
      <c r="AB29" s="69">
        <v>0</v>
      </c>
      <c r="AC29" s="69">
        <v>24</v>
      </c>
      <c r="AD29" s="69">
        <v>4</v>
      </c>
      <c r="AE29" s="69">
        <f t="shared" si="0"/>
        <v>20</v>
      </c>
      <c r="AF29" s="69">
        <v>14</v>
      </c>
      <c r="AG29" s="70">
        <f t="shared" si="1"/>
        <v>21</v>
      </c>
      <c r="AH29" s="69">
        <f t="shared" si="2"/>
        <v>35</v>
      </c>
      <c r="AI29" s="71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spans="1:72" x14ac:dyDescent="0.2">
      <c r="A30" s="117" t="s">
        <v>573</v>
      </c>
      <c r="B30" s="218">
        <v>1921</v>
      </c>
      <c r="C30" s="68">
        <v>4</v>
      </c>
      <c r="D30" s="67" t="s">
        <v>1497</v>
      </c>
      <c r="F30" s="69"/>
      <c r="G30" s="131"/>
      <c r="H30" s="131"/>
      <c r="I30" s="70">
        <v>21</v>
      </c>
      <c r="J30" s="69">
        <v>12</v>
      </c>
      <c r="K30" s="69">
        <v>6</v>
      </c>
      <c r="L30" s="69">
        <v>0</v>
      </c>
      <c r="M30" s="69">
        <v>3</v>
      </c>
      <c r="N30" s="69">
        <v>4</v>
      </c>
      <c r="O30" s="69">
        <v>4</v>
      </c>
      <c r="P30" s="69">
        <v>0</v>
      </c>
      <c r="Q30" s="69">
        <v>4</v>
      </c>
      <c r="R30" s="69">
        <v>1</v>
      </c>
      <c r="S30" s="69">
        <v>8</v>
      </c>
      <c r="T30" s="69">
        <v>729</v>
      </c>
      <c r="U30" s="69"/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13</v>
      </c>
      <c r="AD30" s="69">
        <v>3</v>
      </c>
      <c r="AE30" s="69">
        <f t="shared" si="0"/>
        <v>10</v>
      </c>
      <c r="AF30" s="69">
        <v>6</v>
      </c>
      <c r="AG30" s="70">
        <f t="shared" si="1"/>
        <v>15</v>
      </c>
      <c r="AH30" s="69">
        <f t="shared" si="2"/>
        <v>21</v>
      </c>
      <c r="AI30" s="71">
        <v>0</v>
      </c>
      <c r="AJ30" s="7">
        <v>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 spans="1:72" x14ac:dyDescent="0.2">
      <c r="A31" s="67" t="s">
        <v>575</v>
      </c>
      <c r="B31" s="214" t="s">
        <v>523</v>
      </c>
      <c r="C31" s="68">
        <v>11</v>
      </c>
      <c r="D31" s="67" t="s">
        <v>576</v>
      </c>
      <c r="F31" s="69">
        <v>7</v>
      </c>
      <c r="G31" s="131"/>
      <c r="H31" s="131"/>
      <c r="I31" s="70">
        <v>55</v>
      </c>
      <c r="J31" s="69">
        <v>44</v>
      </c>
      <c r="K31" s="69">
        <v>9</v>
      </c>
      <c r="L31" s="69">
        <v>2</v>
      </c>
      <c r="M31" s="69">
        <v>0</v>
      </c>
      <c r="N31" s="69">
        <v>9</v>
      </c>
      <c r="O31" s="69">
        <v>4</v>
      </c>
      <c r="P31" s="69">
        <v>5</v>
      </c>
      <c r="Q31" s="69">
        <v>3</v>
      </c>
      <c r="R31" s="69">
        <v>11</v>
      </c>
      <c r="S31" s="69">
        <v>23</v>
      </c>
      <c r="T31" s="69">
        <v>2047</v>
      </c>
      <c r="U31" s="69">
        <v>8</v>
      </c>
      <c r="V31" s="69">
        <v>38</v>
      </c>
      <c r="W31" s="69">
        <v>1</v>
      </c>
      <c r="X31" s="69">
        <v>77</v>
      </c>
      <c r="Y31" s="69">
        <v>21</v>
      </c>
      <c r="Z31" s="69">
        <v>19</v>
      </c>
      <c r="AA31" s="69">
        <v>0</v>
      </c>
      <c r="AB31" s="69">
        <v>0</v>
      </c>
      <c r="AC31" s="69">
        <v>37</v>
      </c>
      <c r="AD31" s="69">
        <v>5</v>
      </c>
      <c r="AE31" s="69">
        <f t="shared" si="0"/>
        <v>32</v>
      </c>
      <c r="AF31" s="69">
        <v>28</v>
      </c>
      <c r="AG31" s="70">
        <f t="shared" si="1"/>
        <v>27</v>
      </c>
      <c r="AH31" s="69">
        <f t="shared" si="2"/>
        <v>55</v>
      </c>
      <c r="AI31" s="71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 spans="1:72" x14ac:dyDescent="0.2">
      <c r="A32" s="67" t="s">
        <v>571</v>
      </c>
      <c r="B32" s="218">
        <v>1921</v>
      </c>
      <c r="C32" s="68">
        <v>8</v>
      </c>
      <c r="D32" s="67" t="s">
        <v>1520</v>
      </c>
      <c r="F32" s="69"/>
      <c r="G32" s="131"/>
      <c r="H32" s="131"/>
      <c r="I32" s="70">
        <v>21</v>
      </c>
      <c r="J32" s="69">
        <v>30</v>
      </c>
      <c r="K32" s="69">
        <v>5</v>
      </c>
      <c r="L32" s="69">
        <v>0</v>
      </c>
      <c r="M32" s="69">
        <v>0</v>
      </c>
      <c r="N32" s="69">
        <v>7</v>
      </c>
      <c r="O32" s="69">
        <v>4</v>
      </c>
      <c r="P32" s="69">
        <v>3</v>
      </c>
      <c r="Q32" s="69">
        <v>0</v>
      </c>
      <c r="R32" s="69">
        <v>1</v>
      </c>
      <c r="S32" s="69">
        <v>20</v>
      </c>
      <c r="T32" s="69">
        <v>1406</v>
      </c>
      <c r="U32" s="69">
        <v>0</v>
      </c>
      <c r="V32" s="69">
        <v>0</v>
      </c>
      <c r="W32" s="69"/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25</v>
      </c>
      <c r="AD32" s="69">
        <v>2</v>
      </c>
      <c r="AE32" s="69">
        <f t="shared" si="0"/>
        <v>23</v>
      </c>
      <c r="AF32" s="69">
        <v>26</v>
      </c>
      <c r="AG32" s="70">
        <f t="shared" si="1"/>
        <v>-5</v>
      </c>
      <c r="AH32" s="69">
        <f t="shared" si="2"/>
        <v>21</v>
      </c>
      <c r="AI32" s="71">
        <v>0</v>
      </c>
      <c r="AJ32" s="7" t="e">
        <v>#REF!</v>
      </c>
      <c r="AK32" s="7" t="e">
        <v>#REF!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 spans="1:72" x14ac:dyDescent="0.2">
      <c r="A33" s="97" t="s">
        <v>577</v>
      </c>
      <c r="B33" s="214" t="s">
        <v>523</v>
      </c>
      <c r="C33" s="68">
        <v>3</v>
      </c>
      <c r="D33" s="97" t="s">
        <v>578</v>
      </c>
      <c r="F33" s="69">
        <v>3</v>
      </c>
      <c r="G33" s="131"/>
      <c r="H33" s="131"/>
      <c r="I33" s="70">
        <v>14</v>
      </c>
      <c r="J33" s="69">
        <v>9</v>
      </c>
      <c r="K33" s="69">
        <v>3</v>
      </c>
      <c r="L33" s="69">
        <v>1</v>
      </c>
      <c r="M33" s="69">
        <v>1</v>
      </c>
      <c r="N33" s="69">
        <v>3</v>
      </c>
      <c r="O33" s="69">
        <v>1</v>
      </c>
      <c r="P33" s="69">
        <v>2</v>
      </c>
      <c r="Q33" s="69">
        <v>0</v>
      </c>
      <c r="R33" s="69">
        <v>3</v>
      </c>
      <c r="S33" s="69">
        <v>5</v>
      </c>
      <c r="T33" s="69">
        <v>391</v>
      </c>
      <c r="U33" s="69">
        <v>3</v>
      </c>
      <c r="V33" s="69">
        <v>9</v>
      </c>
      <c r="W33" s="69">
        <v>2</v>
      </c>
      <c r="X33" s="69">
        <v>3</v>
      </c>
      <c r="Y33" s="69">
        <v>2</v>
      </c>
      <c r="Z33" s="69">
        <v>2</v>
      </c>
      <c r="AA33" s="69"/>
      <c r="AB33" s="69">
        <v>0</v>
      </c>
      <c r="AC33" s="69">
        <v>7</v>
      </c>
      <c r="AD33" s="69">
        <v>2</v>
      </c>
      <c r="AE33" s="69">
        <f t="shared" si="0"/>
        <v>5</v>
      </c>
      <c r="AF33" s="69">
        <v>6</v>
      </c>
      <c r="AG33" s="70">
        <f t="shared" si="1"/>
        <v>8</v>
      </c>
      <c r="AH33" s="69">
        <f t="shared" si="2"/>
        <v>14</v>
      </c>
      <c r="AI33" s="71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x14ac:dyDescent="0.2">
      <c r="A34" s="97" t="s">
        <v>577</v>
      </c>
      <c r="B34" s="218">
        <v>1921</v>
      </c>
      <c r="C34" s="68">
        <v>3</v>
      </c>
      <c r="D34" s="97" t="s">
        <v>1541</v>
      </c>
      <c r="F34" s="69"/>
      <c r="G34" s="131"/>
      <c r="H34" s="131"/>
      <c r="I34" s="70">
        <v>9</v>
      </c>
      <c r="J34" s="69">
        <v>7</v>
      </c>
      <c r="K34" s="69">
        <v>2</v>
      </c>
      <c r="L34" s="69">
        <v>0</v>
      </c>
      <c r="M34" s="69">
        <v>0</v>
      </c>
      <c r="N34" s="69">
        <v>2</v>
      </c>
      <c r="O34" s="69">
        <v>0</v>
      </c>
      <c r="P34" s="69">
        <v>4</v>
      </c>
      <c r="Q34" s="69">
        <v>1</v>
      </c>
      <c r="R34" s="69">
        <v>0</v>
      </c>
      <c r="S34" s="69">
        <v>2</v>
      </c>
      <c r="T34" s="69">
        <v>352</v>
      </c>
      <c r="U34" s="69">
        <v>0</v>
      </c>
      <c r="V34" s="69">
        <v>0</v>
      </c>
      <c r="W34" s="69">
        <v>0</v>
      </c>
      <c r="X34" s="69"/>
      <c r="Y34" s="69">
        <v>0</v>
      </c>
      <c r="Z34" s="69">
        <v>0</v>
      </c>
      <c r="AA34" s="69"/>
      <c r="AB34" s="69"/>
      <c r="AC34" s="69">
        <v>0</v>
      </c>
      <c r="AD34" s="69">
        <v>0</v>
      </c>
      <c r="AE34" s="69">
        <f t="shared" si="0"/>
        <v>0</v>
      </c>
      <c r="AF34" s="69">
        <v>7</v>
      </c>
      <c r="AG34" s="70">
        <f t="shared" si="1"/>
        <v>2</v>
      </c>
      <c r="AH34" s="69">
        <f t="shared" si="2"/>
        <v>9</v>
      </c>
      <c r="AI34" s="71">
        <v>0</v>
      </c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</row>
    <row r="35" spans="1:72" x14ac:dyDescent="0.2">
      <c r="A35" s="97" t="s">
        <v>579</v>
      </c>
      <c r="B35" s="214" t="s">
        <v>523</v>
      </c>
      <c r="C35" s="69">
        <v>27</v>
      </c>
      <c r="D35" s="67" t="s">
        <v>580</v>
      </c>
      <c r="F35" s="69">
        <v>16</v>
      </c>
      <c r="G35" s="131"/>
      <c r="H35" s="131"/>
      <c r="I35" s="70">
        <v>145</v>
      </c>
      <c r="J35" s="69">
        <v>102</v>
      </c>
      <c r="K35" s="69">
        <v>28</v>
      </c>
      <c r="L35" s="69">
        <v>8</v>
      </c>
      <c r="M35" s="69">
        <v>7</v>
      </c>
      <c r="N35" s="69">
        <v>25</v>
      </c>
      <c r="O35" s="69">
        <v>15</v>
      </c>
      <c r="P35" s="69">
        <v>24</v>
      </c>
      <c r="Q35" s="69">
        <v>14</v>
      </c>
      <c r="R35" s="69">
        <v>10</v>
      </c>
      <c r="S35" s="69">
        <v>57</v>
      </c>
      <c r="T35" s="69">
        <v>5194</v>
      </c>
      <c r="U35" s="69">
        <v>30</v>
      </c>
      <c r="V35" s="69">
        <v>97</v>
      </c>
      <c r="W35" s="69">
        <v>4</v>
      </c>
      <c r="X35" s="69">
        <v>403</v>
      </c>
      <c r="Y35" s="69">
        <v>53</v>
      </c>
      <c r="Z35" s="69">
        <v>45</v>
      </c>
      <c r="AA35" s="69">
        <v>0</v>
      </c>
      <c r="AB35" s="69">
        <v>0</v>
      </c>
      <c r="AC35" s="69">
        <v>83</v>
      </c>
      <c r="AD35" s="69">
        <v>18</v>
      </c>
      <c r="AE35" s="69">
        <f t="shared" si="0"/>
        <v>65</v>
      </c>
      <c r="AF35" s="69">
        <v>72</v>
      </c>
      <c r="AG35" s="70">
        <f t="shared" si="1"/>
        <v>73</v>
      </c>
      <c r="AH35" s="69">
        <f t="shared" si="2"/>
        <v>145</v>
      </c>
      <c r="AI35" s="71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 spans="1:72" x14ac:dyDescent="0.2">
      <c r="A36" s="97" t="s">
        <v>579</v>
      </c>
      <c r="B36" s="218">
        <v>2021</v>
      </c>
      <c r="C36" s="69">
        <v>23</v>
      </c>
      <c r="D36" s="67" t="s">
        <v>580</v>
      </c>
      <c r="F36" s="69"/>
      <c r="G36" s="131"/>
      <c r="H36" s="131"/>
      <c r="I36" s="70">
        <v>108</v>
      </c>
      <c r="J36" s="69">
        <v>69</v>
      </c>
      <c r="K36" s="69">
        <v>24</v>
      </c>
      <c r="L36" s="69">
        <v>6</v>
      </c>
      <c r="M36" s="69">
        <v>9</v>
      </c>
      <c r="N36" s="69">
        <v>21</v>
      </c>
      <c r="O36" s="69">
        <v>14</v>
      </c>
      <c r="P36" s="69">
        <v>12</v>
      </c>
      <c r="Q36" s="69">
        <v>15</v>
      </c>
      <c r="R36" s="69">
        <v>10</v>
      </c>
      <c r="S36" s="69">
        <v>36</v>
      </c>
      <c r="T36" s="69">
        <v>3867</v>
      </c>
      <c r="U36" s="69">
        <v>0</v>
      </c>
      <c r="V36" s="69">
        <v>0</v>
      </c>
      <c r="W36" s="69">
        <v>0</v>
      </c>
      <c r="X36" s="69"/>
      <c r="Y36" s="69"/>
      <c r="Z36" s="69">
        <v>0</v>
      </c>
      <c r="AA36" s="69">
        <v>0</v>
      </c>
      <c r="AB36" s="69">
        <v>0</v>
      </c>
      <c r="AC36" s="69">
        <v>53</v>
      </c>
      <c r="AD36" s="69">
        <v>6</v>
      </c>
      <c r="AE36" s="69">
        <f t="shared" si="0"/>
        <v>47</v>
      </c>
      <c r="AF36" s="69">
        <v>52</v>
      </c>
      <c r="AG36" s="70">
        <f t="shared" si="1"/>
        <v>56</v>
      </c>
      <c r="AH36" s="69">
        <f t="shared" si="2"/>
        <v>108</v>
      </c>
      <c r="AI36" s="71">
        <v>0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x14ac:dyDescent="0.2">
      <c r="A37" s="67" t="s">
        <v>581</v>
      </c>
      <c r="B37" s="214" t="s">
        <v>523</v>
      </c>
      <c r="C37" s="69">
        <v>1</v>
      </c>
      <c r="D37" s="67" t="s">
        <v>582</v>
      </c>
      <c r="F37" s="69">
        <v>1</v>
      </c>
      <c r="G37" s="131"/>
      <c r="H37" s="131"/>
      <c r="I37" s="70">
        <v>3</v>
      </c>
      <c r="J37" s="69">
        <v>2</v>
      </c>
      <c r="K37" s="69">
        <v>1</v>
      </c>
      <c r="L37" s="69">
        <v>0</v>
      </c>
      <c r="M37" s="69">
        <v>0</v>
      </c>
      <c r="N37" s="69">
        <v>0</v>
      </c>
      <c r="O37" s="69">
        <v>0</v>
      </c>
      <c r="P37" s="69">
        <v>1</v>
      </c>
      <c r="Q37" s="69">
        <v>0</v>
      </c>
      <c r="R37" s="69">
        <v>0</v>
      </c>
      <c r="S37" s="69">
        <v>2</v>
      </c>
      <c r="T37" s="69">
        <v>158</v>
      </c>
      <c r="U37" s="69">
        <v>2</v>
      </c>
      <c r="V37" s="69">
        <v>1</v>
      </c>
      <c r="W37" s="69">
        <v>0</v>
      </c>
      <c r="X37" s="69">
        <v>15</v>
      </c>
      <c r="Y37" s="69">
        <v>0</v>
      </c>
      <c r="Z37" s="69">
        <v>0</v>
      </c>
      <c r="AA37" s="69">
        <v>0</v>
      </c>
      <c r="AB37" s="69">
        <v>0</v>
      </c>
      <c r="AC37" s="69">
        <v>2</v>
      </c>
      <c r="AD37" s="69">
        <v>0</v>
      </c>
      <c r="AE37" s="69">
        <f t="shared" si="0"/>
        <v>2</v>
      </c>
      <c r="AF37" s="69">
        <v>1</v>
      </c>
      <c r="AG37" s="70">
        <f t="shared" si="1"/>
        <v>2</v>
      </c>
      <c r="AH37" s="69">
        <f t="shared" si="2"/>
        <v>3</v>
      </c>
      <c r="AI37" s="71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 spans="1:72" x14ac:dyDescent="0.2">
      <c r="A38" s="67" t="s">
        <v>581</v>
      </c>
      <c r="B38" s="67" t="s">
        <v>808</v>
      </c>
      <c r="C38">
        <v>1</v>
      </c>
      <c r="D38" s="67" t="s">
        <v>582</v>
      </c>
      <c r="E38" s="54"/>
      <c r="G38"/>
      <c r="I38">
        <v>19</v>
      </c>
      <c r="J38">
        <v>19</v>
      </c>
      <c r="N38">
        <v>1</v>
      </c>
      <c r="S38">
        <v>2</v>
      </c>
      <c r="T38">
        <v>576</v>
      </c>
      <c r="V38">
        <v>19</v>
      </c>
      <c r="AC38">
        <v>19</v>
      </c>
      <c r="AE38" s="52">
        <f t="shared" si="0"/>
        <v>19</v>
      </c>
      <c r="AF38">
        <v>2</v>
      </c>
      <c r="AG38" s="70">
        <f t="shared" si="1"/>
        <v>17</v>
      </c>
      <c r="AH38" s="69">
        <f t="shared" si="2"/>
        <v>19</v>
      </c>
      <c r="AJ38" t="s">
        <v>3246</v>
      </c>
    </row>
    <row r="39" spans="1:72" x14ac:dyDescent="0.2">
      <c r="A39" s="67" t="s">
        <v>583</v>
      </c>
      <c r="B39" s="214" t="s">
        <v>523</v>
      </c>
      <c r="C39" s="69">
        <v>4</v>
      </c>
      <c r="D39" s="67" t="s">
        <v>584</v>
      </c>
      <c r="F39" s="69">
        <v>5</v>
      </c>
      <c r="G39" s="131"/>
      <c r="H39" s="131"/>
      <c r="I39" s="70">
        <v>27</v>
      </c>
      <c r="J39" s="69">
        <v>17</v>
      </c>
      <c r="K39" s="69">
        <v>4</v>
      </c>
      <c r="L39" s="69">
        <v>4</v>
      </c>
      <c r="M39" s="69">
        <v>2</v>
      </c>
      <c r="N39" s="69">
        <v>4</v>
      </c>
      <c r="O39" s="69">
        <v>4</v>
      </c>
      <c r="P39" s="69">
        <v>10</v>
      </c>
      <c r="Q39" s="69">
        <v>2</v>
      </c>
      <c r="R39" s="69">
        <v>0</v>
      </c>
      <c r="S39" s="69">
        <v>7</v>
      </c>
      <c r="T39" s="69">
        <v>788</v>
      </c>
      <c r="U39" s="69">
        <v>8</v>
      </c>
      <c r="V39" s="69">
        <v>13</v>
      </c>
      <c r="W39" s="69">
        <v>0</v>
      </c>
      <c r="X39" s="69">
        <v>88</v>
      </c>
      <c r="Y39" s="69">
        <v>15</v>
      </c>
      <c r="Z39" s="69">
        <v>14</v>
      </c>
      <c r="AA39" s="69">
        <v>0</v>
      </c>
      <c r="AB39" s="69">
        <v>0</v>
      </c>
      <c r="AC39" s="69">
        <v>11</v>
      </c>
      <c r="AD39" s="69">
        <v>4</v>
      </c>
      <c r="AE39" s="69">
        <f t="shared" si="0"/>
        <v>7</v>
      </c>
      <c r="AF39" s="69">
        <v>9</v>
      </c>
      <c r="AG39" s="70">
        <f t="shared" si="1"/>
        <v>18</v>
      </c>
      <c r="AH39" s="69">
        <f t="shared" si="2"/>
        <v>27</v>
      </c>
      <c r="AI39" s="71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 spans="1:72" x14ac:dyDescent="0.2">
      <c r="A40" s="206" t="s">
        <v>583</v>
      </c>
      <c r="B40" s="218">
        <v>1921</v>
      </c>
      <c r="C40" s="198">
        <v>4</v>
      </c>
      <c r="D40" s="67" t="s">
        <v>1769</v>
      </c>
      <c r="F40" s="207"/>
      <c r="G40" s="208"/>
      <c r="H40" s="208"/>
      <c r="I40" s="209">
        <v>15</v>
      </c>
      <c r="J40" s="210">
        <v>9</v>
      </c>
      <c r="K40" s="210">
        <v>5</v>
      </c>
      <c r="L40" s="210">
        <v>0</v>
      </c>
      <c r="M40" s="210">
        <v>1</v>
      </c>
      <c r="N40" s="210">
        <v>4</v>
      </c>
      <c r="O40" s="210">
        <v>2</v>
      </c>
      <c r="P40" s="210">
        <v>4</v>
      </c>
      <c r="Q40" s="210">
        <v>3</v>
      </c>
      <c r="R40" s="210">
        <v>0</v>
      </c>
      <c r="S40" s="210">
        <v>2</v>
      </c>
      <c r="T40" s="210">
        <v>605</v>
      </c>
      <c r="U40" s="210">
        <v>0</v>
      </c>
      <c r="V40" s="210">
        <v>0</v>
      </c>
      <c r="W40" s="210">
        <v>0</v>
      </c>
      <c r="X40" s="210">
        <v>0</v>
      </c>
      <c r="Y40" s="210">
        <v>0</v>
      </c>
      <c r="Z40" s="210">
        <v>0</v>
      </c>
      <c r="AA40" s="210" t="e">
        <v>#REF!</v>
      </c>
      <c r="AB40" s="210" t="e">
        <v>#REF!</v>
      </c>
      <c r="AC40" s="210">
        <v>7</v>
      </c>
      <c r="AD40" s="210">
        <v>2</v>
      </c>
      <c r="AE40" s="69">
        <f t="shared" si="0"/>
        <v>5</v>
      </c>
      <c r="AF40" s="210">
        <v>8</v>
      </c>
      <c r="AG40" s="70">
        <f t="shared" si="1"/>
        <v>7</v>
      </c>
      <c r="AH40" s="69">
        <f t="shared" si="2"/>
        <v>15</v>
      </c>
      <c r="AI40" s="71">
        <v>0</v>
      </c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</row>
    <row r="41" spans="1:72" x14ac:dyDescent="0.2">
      <c r="A41" s="100" t="s">
        <v>585</v>
      </c>
      <c r="B41" s="214" t="s">
        <v>523</v>
      </c>
      <c r="C41" s="99">
        <v>5</v>
      </c>
      <c r="D41" s="67" t="s">
        <v>586</v>
      </c>
      <c r="F41" s="101">
        <v>6</v>
      </c>
      <c r="G41" s="133"/>
      <c r="H41" s="133"/>
      <c r="I41" s="181">
        <v>30</v>
      </c>
      <c r="J41" s="102">
        <v>13</v>
      </c>
      <c r="K41" s="102">
        <v>11</v>
      </c>
      <c r="L41" s="102">
        <v>3</v>
      </c>
      <c r="M41" s="102">
        <v>3</v>
      </c>
      <c r="N41" s="102">
        <v>5</v>
      </c>
      <c r="O41" s="102">
        <v>3</v>
      </c>
      <c r="P41" s="102">
        <v>6</v>
      </c>
      <c r="Q41" s="102">
        <v>2</v>
      </c>
      <c r="R41" s="102">
        <v>11</v>
      </c>
      <c r="S41" s="102">
        <v>3</v>
      </c>
      <c r="T41" s="102">
        <v>905</v>
      </c>
      <c r="U41" s="102">
        <v>7</v>
      </c>
      <c r="V41" s="102">
        <v>20</v>
      </c>
      <c r="W41" s="102">
        <v>3</v>
      </c>
      <c r="X41" s="102">
        <v>107</v>
      </c>
      <c r="Y41" s="102">
        <v>26</v>
      </c>
      <c r="Z41" s="102">
        <v>20</v>
      </c>
      <c r="AA41" s="102">
        <v>0</v>
      </c>
      <c r="AB41" s="102">
        <v>0</v>
      </c>
      <c r="AC41" s="102">
        <v>19</v>
      </c>
      <c r="AD41" s="102">
        <v>4</v>
      </c>
      <c r="AE41" s="69">
        <f t="shared" si="0"/>
        <v>15</v>
      </c>
      <c r="AF41" s="102">
        <v>12</v>
      </c>
      <c r="AG41" s="70">
        <f t="shared" si="1"/>
        <v>18</v>
      </c>
      <c r="AH41" s="69">
        <f t="shared" si="2"/>
        <v>30</v>
      </c>
      <c r="AI41" s="71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4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 spans="1:72" x14ac:dyDescent="0.2">
      <c r="A42" s="201" t="s">
        <v>585</v>
      </c>
      <c r="B42" s="218">
        <v>1921</v>
      </c>
      <c r="C42" s="198">
        <v>3</v>
      </c>
      <c r="D42" s="107" t="s">
        <v>586</v>
      </c>
      <c r="F42" s="202"/>
      <c r="G42" s="203"/>
      <c r="H42" s="203"/>
      <c r="I42" s="204">
        <v>19</v>
      </c>
      <c r="J42" s="205">
        <v>10</v>
      </c>
      <c r="K42" s="205">
        <v>8</v>
      </c>
      <c r="L42" s="205">
        <v>0</v>
      </c>
      <c r="M42" s="205">
        <v>1</v>
      </c>
      <c r="N42" s="205">
        <v>3</v>
      </c>
      <c r="O42" s="205">
        <v>4</v>
      </c>
      <c r="P42" s="205">
        <v>5</v>
      </c>
      <c r="Q42" s="205">
        <v>1</v>
      </c>
      <c r="R42" s="205">
        <v>6</v>
      </c>
      <c r="S42" s="205">
        <v>0</v>
      </c>
      <c r="T42" s="205">
        <v>649</v>
      </c>
      <c r="U42" s="205">
        <v>0</v>
      </c>
      <c r="V42" s="205">
        <v>0</v>
      </c>
      <c r="W42" s="205">
        <v>0</v>
      </c>
      <c r="X42" s="205">
        <v>0</v>
      </c>
      <c r="Y42" s="205">
        <v>0</v>
      </c>
      <c r="Z42" s="205">
        <v>0</v>
      </c>
      <c r="AA42" s="205">
        <v>0</v>
      </c>
      <c r="AB42" s="205">
        <v>0</v>
      </c>
      <c r="AC42" s="205">
        <v>14</v>
      </c>
      <c r="AD42" s="205">
        <v>3</v>
      </c>
      <c r="AE42" s="69">
        <f t="shared" si="0"/>
        <v>11</v>
      </c>
      <c r="AF42" s="205">
        <v>10</v>
      </c>
      <c r="AG42" s="70">
        <f t="shared" si="1"/>
        <v>9</v>
      </c>
      <c r="AH42" s="69">
        <f t="shared" si="2"/>
        <v>19</v>
      </c>
      <c r="AI42" s="71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4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 spans="1:72" x14ac:dyDescent="0.2">
      <c r="A43" s="103" t="s">
        <v>587</v>
      </c>
      <c r="B43" s="214" t="s">
        <v>523</v>
      </c>
      <c r="C43" s="69">
        <v>20</v>
      </c>
      <c r="D43" s="104" t="s">
        <v>588</v>
      </c>
      <c r="F43" s="105">
        <v>20</v>
      </c>
      <c r="G43" s="134"/>
      <c r="H43" s="134"/>
      <c r="I43" s="182">
        <v>100</v>
      </c>
      <c r="J43" s="105">
        <v>53</v>
      </c>
      <c r="K43" s="105">
        <v>32</v>
      </c>
      <c r="L43" s="105">
        <v>8</v>
      </c>
      <c r="M43" s="105">
        <v>7</v>
      </c>
      <c r="N43" s="105">
        <v>21</v>
      </c>
      <c r="O43" s="105">
        <v>11</v>
      </c>
      <c r="P43" s="105">
        <v>23</v>
      </c>
      <c r="Q43" s="105">
        <v>18</v>
      </c>
      <c r="R43" s="105">
        <v>15</v>
      </c>
      <c r="S43" s="105">
        <v>12</v>
      </c>
      <c r="T43" s="105">
        <v>3340</v>
      </c>
      <c r="U43" s="105">
        <v>25</v>
      </c>
      <c r="V43" s="105">
        <v>49</v>
      </c>
      <c r="W43" s="105">
        <v>11</v>
      </c>
      <c r="X43" s="105">
        <v>321</v>
      </c>
      <c r="Y43" s="105">
        <v>48</v>
      </c>
      <c r="Z43" s="105">
        <v>40</v>
      </c>
      <c r="AA43" s="105">
        <v>0</v>
      </c>
      <c r="AB43" s="105">
        <v>0</v>
      </c>
      <c r="AC43" s="105">
        <v>55</v>
      </c>
      <c r="AD43" s="105">
        <v>7</v>
      </c>
      <c r="AE43" s="69">
        <f t="shared" si="0"/>
        <v>48</v>
      </c>
      <c r="AF43" s="105">
        <v>62</v>
      </c>
      <c r="AG43" s="70">
        <f t="shared" si="1"/>
        <v>38</v>
      </c>
      <c r="AH43" s="69">
        <f t="shared" si="2"/>
        <v>100</v>
      </c>
      <c r="AI43" s="71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6"/>
      <c r="AY43" s="6"/>
      <c r="AZ43" s="6"/>
      <c r="BA43" s="6"/>
      <c r="BB43" s="6"/>
      <c r="BC43" s="4" t="s">
        <v>252</v>
      </c>
      <c r="BD43" s="7"/>
      <c r="BE43" s="7">
        <v>20</v>
      </c>
      <c r="BF43" s="4" t="s">
        <v>588</v>
      </c>
      <c r="BG43" s="7">
        <v>42</v>
      </c>
      <c r="BH43" s="7">
        <v>100</v>
      </c>
      <c r="BI43" s="7">
        <v>53</v>
      </c>
      <c r="BJ43" s="7">
        <v>32</v>
      </c>
      <c r="BK43" s="7">
        <v>8</v>
      </c>
      <c r="BL43" s="7">
        <v>7</v>
      </c>
      <c r="BM43" s="7">
        <v>21</v>
      </c>
      <c r="BN43" s="7">
        <v>11</v>
      </c>
      <c r="BO43" s="7">
        <v>23</v>
      </c>
      <c r="BP43" s="7">
        <v>18</v>
      </c>
      <c r="BQ43" s="7">
        <v>15</v>
      </c>
      <c r="BR43" s="7">
        <v>12</v>
      </c>
      <c r="BS43" s="7">
        <v>3339</v>
      </c>
      <c r="BT43" s="7">
        <v>25</v>
      </c>
    </row>
    <row r="44" spans="1:72" x14ac:dyDescent="0.2">
      <c r="A44" s="106" t="s">
        <v>587</v>
      </c>
      <c r="B44" s="218">
        <v>1921</v>
      </c>
      <c r="C44" s="69">
        <v>20</v>
      </c>
      <c r="D44" s="107" t="s">
        <v>588</v>
      </c>
      <c r="F44" s="108"/>
      <c r="G44" s="135"/>
      <c r="H44" s="135"/>
      <c r="I44" s="183">
        <v>79</v>
      </c>
      <c r="J44" s="108">
        <v>38</v>
      </c>
      <c r="K44" s="108">
        <v>32</v>
      </c>
      <c r="L44" s="108">
        <v>3</v>
      </c>
      <c r="M44" s="108">
        <v>6</v>
      </c>
      <c r="N44" s="108">
        <v>19</v>
      </c>
      <c r="O44" s="108">
        <v>13</v>
      </c>
      <c r="P44" s="108">
        <v>16</v>
      </c>
      <c r="Q44" s="108">
        <v>13</v>
      </c>
      <c r="R44" s="108">
        <v>16</v>
      </c>
      <c r="S44" s="108">
        <v>2</v>
      </c>
      <c r="T44" s="108">
        <v>3116</v>
      </c>
      <c r="U44" s="108">
        <v>0</v>
      </c>
      <c r="V44" s="108">
        <v>0</v>
      </c>
      <c r="W44" s="108">
        <v>0</v>
      </c>
      <c r="X44" s="108">
        <v>0</v>
      </c>
      <c r="Y44" s="108">
        <v>0</v>
      </c>
      <c r="Z44" s="108">
        <v>0</v>
      </c>
      <c r="AA44" s="108">
        <v>0</v>
      </c>
      <c r="AB44" s="108">
        <v>0</v>
      </c>
      <c r="AC44" s="108">
        <v>55</v>
      </c>
      <c r="AD44" s="108">
        <v>2</v>
      </c>
      <c r="AE44" s="69">
        <f t="shared" si="0"/>
        <v>53</v>
      </c>
      <c r="AF44" s="108">
        <v>44</v>
      </c>
      <c r="AG44" s="70">
        <f t="shared" si="1"/>
        <v>35</v>
      </c>
      <c r="AH44" s="69">
        <f t="shared" si="2"/>
        <v>79</v>
      </c>
      <c r="AI44" s="71">
        <v>0</v>
      </c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6"/>
      <c r="AY44" s="6"/>
      <c r="AZ44" s="6"/>
      <c r="BA44" s="6"/>
      <c r="BB44" s="6"/>
      <c r="BC44" s="4"/>
      <c r="BD44" s="7"/>
      <c r="BE44" s="7"/>
      <c r="BF44" s="4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</row>
    <row r="45" spans="1:72" x14ac:dyDescent="0.2">
      <c r="A45" s="106" t="s">
        <v>589</v>
      </c>
      <c r="B45" s="214" t="s">
        <v>523</v>
      </c>
      <c r="C45" s="69">
        <v>16</v>
      </c>
      <c r="D45" s="107" t="s">
        <v>590</v>
      </c>
      <c r="F45" s="108">
        <v>11</v>
      </c>
      <c r="G45" s="135"/>
      <c r="H45" s="135"/>
      <c r="I45" s="183">
        <v>85</v>
      </c>
      <c r="J45" s="108">
        <v>46</v>
      </c>
      <c r="K45" s="108">
        <v>21</v>
      </c>
      <c r="L45" s="108">
        <v>13</v>
      </c>
      <c r="M45" s="108">
        <v>5</v>
      </c>
      <c r="N45" s="108">
        <v>16</v>
      </c>
      <c r="O45" s="108">
        <v>12</v>
      </c>
      <c r="P45" s="108">
        <v>16</v>
      </c>
      <c r="Q45" s="108">
        <v>8</v>
      </c>
      <c r="R45" s="108">
        <v>12</v>
      </c>
      <c r="S45" s="108">
        <v>21</v>
      </c>
      <c r="T45" s="108">
        <v>2573</v>
      </c>
      <c r="U45" s="108">
        <v>26</v>
      </c>
      <c r="V45" s="108">
        <v>37</v>
      </c>
      <c r="W45" s="108">
        <v>4</v>
      </c>
      <c r="X45" s="108">
        <v>255</v>
      </c>
      <c r="Y45" s="108">
        <v>40</v>
      </c>
      <c r="Z45" s="108">
        <v>34</v>
      </c>
      <c r="AA45" s="108">
        <v>0</v>
      </c>
      <c r="AB45" s="108">
        <v>0</v>
      </c>
      <c r="AC45" s="108">
        <v>39</v>
      </c>
      <c r="AD45" s="108">
        <v>4</v>
      </c>
      <c r="AE45" s="69">
        <f t="shared" si="0"/>
        <v>35</v>
      </c>
      <c r="AF45" s="108">
        <v>35</v>
      </c>
      <c r="AG45" s="70">
        <f t="shared" si="1"/>
        <v>50</v>
      </c>
      <c r="AH45" s="69">
        <f t="shared" si="2"/>
        <v>85</v>
      </c>
      <c r="AI45" s="71">
        <v>124</v>
      </c>
      <c r="AJ45" s="7">
        <f>AI45/C45</f>
        <v>7.75</v>
      </c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6"/>
      <c r="AY45" s="6"/>
      <c r="AZ45" s="6"/>
      <c r="BA45" s="6"/>
      <c r="BB45" s="6"/>
      <c r="BC45" s="4"/>
      <c r="BD45" s="7"/>
      <c r="BE45" s="7"/>
      <c r="BF45" s="4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 spans="1:72" x14ac:dyDescent="0.2">
      <c r="A46" s="106" t="s">
        <v>589</v>
      </c>
      <c r="B46" s="67" t="s">
        <v>808</v>
      </c>
      <c r="C46">
        <v>15</v>
      </c>
      <c r="D46" s="107" t="s">
        <v>590</v>
      </c>
      <c r="E46" s="54"/>
      <c r="G46"/>
      <c r="I46">
        <v>62</v>
      </c>
      <c r="J46">
        <v>34</v>
      </c>
      <c r="K46">
        <v>21</v>
      </c>
      <c r="L46">
        <v>4</v>
      </c>
      <c r="M46">
        <v>3</v>
      </c>
      <c r="N46">
        <v>14</v>
      </c>
      <c r="O46">
        <v>12</v>
      </c>
      <c r="P46">
        <v>7</v>
      </c>
      <c r="Q46">
        <v>4</v>
      </c>
      <c r="R46">
        <v>17</v>
      </c>
      <c r="S46">
        <v>8</v>
      </c>
      <c r="T46">
        <v>2199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29</v>
      </c>
      <c r="AD46">
        <v>3</v>
      </c>
      <c r="AE46" s="69">
        <f t="shared" si="0"/>
        <v>26</v>
      </c>
      <c r="AF46">
        <v>23</v>
      </c>
      <c r="AG46" s="70">
        <f t="shared" si="1"/>
        <v>39</v>
      </c>
      <c r="AH46" s="69">
        <f t="shared" si="2"/>
        <v>62</v>
      </c>
    </row>
    <row r="47" spans="1:72" x14ac:dyDescent="0.2">
      <c r="A47" s="106" t="s">
        <v>591</v>
      </c>
      <c r="B47" s="214" t="s">
        <v>523</v>
      </c>
      <c r="C47" s="69">
        <v>4</v>
      </c>
      <c r="D47" s="109" t="s">
        <v>592</v>
      </c>
      <c r="F47" s="108">
        <v>3</v>
      </c>
      <c r="G47" s="135"/>
      <c r="H47" s="135"/>
      <c r="I47" s="183">
        <v>17</v>
      </c>
      <c r="J47" s="108">
        <v>9</v>
      </c>
      <c r="K47" s="108">
        <v>6</v>
      </c>
      <c r="L47" s="108">
        <v>0</v>
      </c>
      <c r="M47" s="108">
        <v>2</v>
      </c>
      <c r="N47" s="108">
        <v>3</v>
      </c>
      <c r="O47" s="108">
        <v>3</v>
      </c>
      <c r="P47" s="108">
        <v>0</v>
      </c>
      <c r="Q47" s="108">
        <v>5</v>
      </c>
      <c r="R47" s="108">
        <v>0</v>
      </c>
      <c r="S47" s="108">
        <v>6</v>
      </c>
      <c r="T47" s="108">
        <v>539</v>
      </c>
      <c r="U47" s="108">
        <v>6</v>
      </c>
      <c r="V47" s="108">
        <v>9</v>
      </c>
      <c r="W47" s="108">
        <v>0</v>
      </c>
      <c r="X47" s="108">
        <v>61</v>
      </c>
      <c r="Y47" s="108">
        <v>6</v>
      </c>
      <c r="Z47" s="108">
        <v>5</v>
      </c>
      <c r="AA47" s="108"/>
      <c r="AB47" s="108"/>
      <c r="AC47" s="108">
        <v>12</v>
      </c>
      <c r="AD47" s="108">
        <v>2</v>
      </c>
      <c r="AE47" s="69">
        <f t="shared" si="0"/>
        <v>10</v>
      </c>
      <c r="AF47" s="108">
        <v>8</v>
      </c>
      <c r="AG47" s="70">
        <f t="shared" si="1"/>
        <v>9</v>
      </c>
      <c r="AH47" s="69">
        <f t="shared" si="2"/>
        <v>17</v>
      </c>
      <c r="AI47" s="71">
        <v>37</v>
      </c>
      <c r="AJ47" s="7">
        <f>AI47/C47</f>
        <v>9.25</v>
      </c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6"/>
      <c r="AY47" s="6"/>
      <c r="AZ47" s="6"/>
      <c r="BA47" s="6"/>
      <c r="BB47" s="6"/>
      <c r="BC47" s="4"/>
      <c r="BD47" s="7"/>
      <c r="BE47" s="7"/>
      <c r="BF47" s="4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 spans="1:72" x14ac:dyDescent="0.2">
      <c r="A48" s="106" t="s">
        <v>591</v>
      </c>
      <c r="B48" s="218" t="s">
        <v>808</v>
      </c>
      <c r="C48" s="69">
        <v>3</v>
      </c>
      <c r="D48" s="109" t="s">
        <v>592</v>
      </c>
      <c r="F48" s="108"/>
      <c r="G48" s="135"/>
      <c r="H48" s="135"/>
      <c r="I48" s="183">
        <v>11</v>
      </c>
      <c r="J48" s="108">
        <v>6</v>
      </c>
      <c r="K48" s="108">
        <v>3</v>
      </c>
      <c r="L48" s="108">
        <v>2</v>
      </c>
      <c r="M48" s="108">
        <v>0</v>
      </c>
      <c r="N48" s="108">
        <v>3</v>
      </c>
      <c r="O48" s="108">
        <v>2</v>
      </c>
      <c r="P48" s="108">
        <v>2</v>
      </c>
      <c r="Q48" s="108">
        <v>0</v>
      </c>
      <c r="R48" s="108">
        <v>0</v>
      </c>
      <c r="S48" s="108">
        <v>4</v>
      </c>
      <c r="T48" s="108">
        <v>366</v>
      </c>
      <c r="U48" s="108">
        <v>0</v>
      </c>
      <c r="V48" s="108">
        <v>0</v>
      </c>
      <c r="W48" s="108">
        <v>0</v>
      </c>
      <c r="X48" s="108">
        <v>0</v>
      </c>
      <c r="Y48" s="108">
        <v>0</v>
      </c>
      <c r="Z48" s="108">
        <v>0</v>
      </c>
      <c r="AA48" s="108">
        <v>0</v>
      </c>
      <c r="AB48" s="108">
        <v>0</v>
      </c>
      <c r="AC48" s="108">
        <v>6</v>
      </c>
      <c r="AD48" s="108">
        <v>1</v>
      </c>
      <c r="AE48" s="69">
        <f t="shared" si="0"/>
        <v>5</v>
      </c>
      <c r="AF48" s="108">
        <v>5</v>
      </c>
      <c r="AG48" s="70">
        <f t="shared" si="1"/>
        <v>6</v>
      </c>
      <c r="AH48" s="69">
        <f t="shared" si="2"/>
        <v>11</v>
      </c>
      <c r="AI48" s="110">
        <v>0</v>
      </c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6"/>
      <c r="AY48" s="6"/>
      <c r="AZ48" s="6"/>
      <c r="BA48" s="6"/>
      <c r="BB48" s="6"/>
      <c r="BC48" s="4"/>
      <c r="BD48" s="7"/>
      <c r="BE48" s="7"/>
      <c r="BF48" s="4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</row>
    <row r="49" spans="1:72" x14ac:dyDescent="0.2">
      <c r="A49" s="106" t="s">
        <v>593</v>
      </c>
      <c r="B49" s="214" t="s">
        <v>523</v>
      </c>
      <c r="C49" s="69">
        <v>15</v>
      </c>
      <c r="D49" s="109" t="s">
        <v>594</v>
      </c>
      <c r="F49" s="108">
        <v>11</v>
      </c>
      <c r="G49" s="135"/>
      <c r="H49" s="135"/>
      <c r="I49" s="183">
        <v>72</v>
      </c>
      <c r="J49" s="108">
        <v>54</v>
      </c>
      <c r="K49" s="108">
        <v>14</v>
      </c>
      <c r="L49" s="108">
        <v>2</v>
      </c>
      <c r="M49" s="108">
        <v>2</v>
      </c>
      <c r="N49" s="108">
        <v>17</v>
      </c>
      <c r="O49" s="108">
        <v>9</v>
      </c>
      <c r="P49" s="108">
        <v>3</v>
      </c>
      <c r="Q49" s="108">
        <v>2</v>
      </c>
      <c r="R49" s="108">
        <v>7</v>
      </c>
      <c r="S49" s="108">
        <v>34</v>
      </c>
      <c r="T49" s="108">
        <v>2577</v>
      </c>
      <c r="U49" s="108">
        <v>18</v>
      </c>
      <c r="V49" s="108">
        <v>46</v>
      </c>
      <c r="W49" s="108">
        <v>4</v>
      </c>
      <c r="X49" s="108">
        <v>0</v>
      </c>
      <c r="Y49" s="108">
        <v>0</v>
      </c>
      <c r="Z49" s="108">
        <v>0</v>
      </c>
      <c r="AA49" s="108">
        <v>0</v>
      </c>
      <c r="AB49" s="108">
        <v>0</v>
      </c>
      <c r="AC49" s="108">
        <v>46</v>
      </c>
      <c r="AD49" s="108">
        <v>0</v>
      </c>
      <c r="AE49" s="69">
        <f t="shared" si="0"/>
        <v>46</v>
      </c>
      <c r="AF49" s="108">
        <v>32</v>
      </c>
      <c r="AG49" s="70">
        <f t="shared" si="1"/>
        <v>40</v>
      </c>
      <c r="AH49" s="69">
        <f t="shared" si="2"/>
        <v>72</v>
      </c>
      <c r="AI49" s="110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6"/>
      <c r="AY49" s="6"/>
      <c r="AZ49" s="6"/>
      <c r="BA49" s="6"/>
      <c r="BB49" s="6"/>
      <c r="BC49" s="4"/>
      <c r="BD49" s="7"/>
      <c r="BE49" s="7"/>
      <c r="BF49" s="4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</row>
    <row r="50" spans="1:72" x14ac:dyDescent="0.2">
      <c r="A50" s="106" t="s">
        <v>593</v>
      </c>
      <c r="B50" s="67" t="s">
        <v>808</v>
      </c>
      <c r="C50">
        <v>17</v>
      </c>
      <c r="D50" s="109" t="s">
        <v>594</v>
      </c>
      <c r="E50" s="54"/>
      <c r="G50"/>
      <c r="I50">
        <v>71</v>
      </c>
      <c r="J50">
        <v>51</v>
      </c>
      <c r="K50">
        <v>17</v>
      </c>
      <c r="L50">
        <v>2</v>
      </c>
      <c r="M50">
        <v>1</v>
      </c>
      <c r="N50">
        <v>17</v>
      </c>
      <c r="O50">
        <v>9</v>
      </c>
      <c r="P50">
        <v>8</v>
      </c>
      <c r="Q50">
        <v>2</v>
      </c>
      <c r="R50">
        <v>11</v>
      </c>
      <c r="S50">
        <v>24</v>
      </c>
      <c r="T50">
        <v>2585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44</v>
      </c>
      <c r="AD50">
        <v>2</v>
      </c>
      <c r="AE50" s="69">
        <f t="shared" si="0"/>
        <v>42</v>
      </c>
      <c r="AF50">
        <v>31</v>
      </c>
      <c r="AG50" s="70">
        <f t="shared" si="1"/>
        <v>40</v>
      </c>
      <c r="AH50" s="69">
        <f t="shared" si="2"/>
        <v>71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72" x14ac:dyDescent="0.2">
      <c r="A51" s="106" t="s">
        <v>595</v>
      </c>
      <c r="B51" s="214" t="s">
        <v>523</v>
      </c>
      <c r="C51" s="69">
        <v>15</v>
      </c>
      <c r="D51" s="109" t="s">
        <v>596</v>
      </c>
      <c r="F51" s="108">
        <v>11</v>
      </c>
      <c r="G51" s="135"/>
      <c r="H51" s="135"/>
      <c r="I51" s="183">
        <v>68</v>
      </c>
      <c r="J51" s="108">
        <v>41</v>
      </c>
      <c r="K51" s="108">
        <v>18</v>
      </c>
      <c r="L51" s="108">
        <v>6</v>
      </c>
      <c r="M51" s="108">
        <v>3</v>
      </c>
      <c r="N51" s="108">
        <v>17</v>
      </c>
      <c r="O51" s="108">
        <v>5</v>
      </c>
      <c r="P51" s="108">
        <v>6</v>
      </c>
      <c r="Q51" s="108">
        <v>5</v>
      </c>
      <c r="R51" s="108">
        <v>6</v>
      </c>
      <c r="S51" s="108">
        <v>29</v>
      </c>
      <c r="T51" s="108">
        <v>2163</v>
      </c>
      <c r="U51" s="108">
        <v>15</v>
      </c>
      <c r="V51" s="108">
        <v>38</v>
      </c>
      <c r="W51" s="108">
        <v>6</v>
      </c>
      <c r="X51" s="108">
        <v>0</v>
      </c>
      <c r="Y51" s="108">
        <v>0</v>
      </c>
      <c r="Z51" s="108">
        <v>0</v>
      </c>
      <c r="AA51" s="108">
        <v>0</v>
      </c>
      <c r="AB51" s="108">
        <v>0</v>
      </c>
      <c r="AC51" s="108">
        <v>45</v>
      </c>
      <c r="AD51" s="108">
        <v>0</v>
      </c>
      <c r="AE51">
        <v>45</v>
      </c>
      <c r="AF51" s="69">
        <v>42</v>
      </c>
      <c r="AG51" s="70">
        <f t="shared" si="1"/>
        <v>26</v>
      </c>
      <c r="AH51" s="69">
        <f t="shared" si="2"/>
        <v>68</v>
      </c>
      <c r="AI51" s="69">
        <f>AG51+AH51</f>
        <v>94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6"/>
      <c r="AY51" s="6"/>
      <c r="AZ51" s="6"/>
      <c r="BA51" s="6"/>
      <c r="BB51" s="6"/>
      <c r="BC51" s="4"/>
      <c r="BD51" s="7"/>
      <c r="BE51" s="7"/>
      <c r="BF51" s="4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</row>
    <row r="52" spans="1:72" x14ac:dyDescent="0.2">
      <c r="A52" s="106" t="s">
        <v>595</v>
      </c>
      <c r="B52" s="218">
        <v>1921</v>
      </c>
      <c r="C52" s="69">
        <v>15</v>
      </c>
      <c r="D52" s="109" t="s">
        <v>596</v>
      </c>
      <c r="F52" s="108"/>
      <c r="G52" s="135"/>
      <c r="H52" s="135"/>
      <c r="I52" s="183">
        <v>72</v>
      </c>
      <c r="J52" s="108">
        <v>40</v>
      </c>
      <c r="K52" s="108">
        <v>26</v>
      </c>
      <c r="L52" s="108">
        <v>4</v>
      </c>
      <c r="M52" s="108">
        <v>2</v>
      </c>
      <c r="N52" s="108">
        <v>16</v>
      </c>
      <c r="O52" s="108">
        <v>12</v>
      </c>
      <c r="P52" s="108">
        <v>5</v>
      </c>
      <c r="Q52" s="108">
        <v>9</v>
      </c>
      <c r="R52" s="108">
        <v>8</v>
      </c>
      <c r="S52" s="108">
        <v>22</v>
      </c>
      <c r="T52" s="108">
        <v>2724</v>
      </c>
      <c r="U52" s="108">
        <v>0</v>
      </c>
      <c r="V52" s="108">
        <v>0</v>
      </c>
      <c r="W52" s="108">
        <v>0</v>
      </c>
      <c r="X52" s="108">
        <v>0</v>
      </c>
      <c r="Y52" s="108">
        <v>0</v>
      </c>
      <c r="Z52" s="108">
        <v>0</v>
      </c>
      <c r="AA52" s="108">
        <v>0</v>
      </c>
      <c r="AB52" s="108">
        <v>0</v>
      </c>
      <c r="AC52" s="108">
        <v>43</v>
      </c>
      <c r="AD52" s="108">
        <v>6</v>
      </c>
      <c r="AE52" s="69">
        <f t="shared" ref="AE52:AE59" si="3">AC52-AD52</f>
        <v>37</v>
      </c>
      <c r="AF52" s="108">
        <v>35</v>
      </c>
      <c r="AG52" s="70">
        <f t="shared" si="1"/>
        <v>37</v>
      </c>
      <c r="AH52" s="69">
        <f t="shared" si="2"/>
        <v>72</v>
      </c>
      <c r="AI52" s="110">
        <v>0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6"/>
      <c r="AY52" s="6"/>
      <c r="AZ52" s="6"/>
      <c r="BA52" s="6"/>
      <c r="BB52" s="6"/>
      <c r="BC52" s="4"/>
      <c r="BD52" s="7"/>
      <c r="BE52" s="7"/>
      <c r="BF52" s="4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</row>
    <row r="53" spans="1:72" x14ac:dyDescent="0.2">
      <c r="A53" s="106" t="s">
        <v>597</v>
      </c>
      <c r="B53" s="214" t="s">
        <v>523</v>
      </c>
      <c r="C53" s="69">
        <v>7</v>
      </c>
      <c r="D53" s="109" t="s">
        <v>598</v>
      </c>
      <c r="F53" s="108">
        <v>9</v>
      </c>
      <c r="G53" s="135"/>
      <c r="H53" s="135"/>
      <c r="I53" s="183">
        <v>37</v>
      </c>
      <c r="J53" s="108">
        <v>21</v>
      </c>
      <c r="K53" s="108">
        <v>11</v>
      </c>
      <c r="L53" s="108">
        <v>4</v>
      </c>
      <c r="M53" s="108">
        <v>1</v>
      </c>
      <c r="N53" s="108">
        <v>6</v>
      </c>
      <c r="O53" s="108">
        <v>4</v>
      </c>
      <c r="P53" s="108">
        <v>6</v>
      </c>
      <c r="Q53" s="108">
        <v>4</v>
      </c>
      <c r="R53" s="108">
        <v>7</v>
      </c>
      <c r="S53" s="108">
        <v>10</v>
      </c>
      <c r="T53" s="108">
        <v>1144</v>
      </c>
      <c r="U53" s="108">
        <v>11</v>
      </c>
      <c r="V53" s="108">
        <v>18</v>
      </c>
      <c r="W53" s="108">
        <v>3</v>
      </c>
      <c r="X53" s="108">
        <v>0</v>
      </c>
      <c r="Y53" s="108">
        <v>0</v>
      </c>
      <c r="Z53" s="108">
        <v>0</v>
      </c>
      <c r="AA53" s="108">
        <v>0</v>
      </c>
      <c r="AB53" s="108">
        <v>0</v>
      </c>
      <c r="AC53" s="108">
        <v>20</v>
      </c>
      <c r="AD53" s="108">
        <v>0</v>
      </c>
      <c r="AE53" s="69">
        <f t="shared" si="3"/>
        <v>20</v>
      </c>
      <c r="AF53" s="108">
        <v>16</v>
      </c>
      <c r="AG53" s="70">
        <f t="shared" si="1"/>
        <v>21</v>
      </c>
      <c r="AH53" s="69">
        <f t="shared" si="2"/>
        <v>37</v>
      </c>
      <c r="AI53" s="110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6"/>
      <c r="AY53" s="6"/>
      <c r="AZ53" s="6"/>
      <c r="BA53" s="6"/>
      <c r="BB53" s="6"/>
      <c r="BC53" s="4"/>
      <c r="BD53" s="7"/>
      <c r="BE53" s="7"/>
      <c r="BF53" s="4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</row>
    <row r="54" spans="1:72" x14ac:dyDescent="0.2">
      <c r="A54" s="119" t="s">
        <v>597</v>
      </c>
      <c r="B54" s="218">
        <v>1921</v>
      </c>
      <c r="C54">
        <v>8</v>
      </c>
      <c r="D54" s="119" t="s">
        <v>598</v>
      </c>
      <c r="G54" s="139"/>
      <c r="H54" s="139"/>
      <c r="I54" s="64">
        <v>31</v>
      </c>
      <c r="J54">
        <v>20</v>
      </c>
      <c r="K54">
        <v>6</v>
      </c>
      <c r="L54">
        <v>3</v>
      </c>
      <c r="M54">
        <v>2</v>
      </c>
      <c r="N54">
        <v>8</v>
      </c>
      <c r="O54">
        <v>5</v>
      </c>
      <c r="P54">
        <v>4</v>
      </c>
      <c r="Q54">
        <v>2</v>
      </c>
      <c r="R54">
        <v>2</v>
      </c>
      <c r="S54">
        <v>10</v>
      </c>
      <c r="T54">
        <v>1029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17</v>
      </c>
      <c r="AD54">
        <v>2</v>
      </c>
      <c r="AE54" s="69">
        <f t="shared" si="3"/>
        <v>15</v>
      </c>
      <c r="AF54">
        <v>7</v>
      </c>
      <c r="AG54" s="70">
        <f t="shared" si="1"/>
        <v>24</v>
      </c>
      <c r="AH54" s="69">
        <f t="shared" si="2"/>
        <v>31</v>
      </c>
      <c r="AI54">
        <v>0</v>
      </c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200"/>
      <c r="AY54" s="200"/>
      <c r="AZ54" s="200"/>
      <c r="BA54" s="200"/>
      <c r="BB54" s="200"/>
      <c r="BC54" s="117"/>
      <c r="BF54" s="117"/>
    </row>
    <row r="55" spans="1:72" x14ac:dyDescent="0.2">
      <c r="A55" s="111" t="s">
        <v>599</v>
      </c>
      <c r="B55" s="214" t="s">
        <v>523</v>
      </c>
      <c r="C55" s="112">
        <v>2</v>
      </c>
      <c r="D55" s="112" t="s">
        <v>600</v>
      </c>
      <c r="F55" s="112">
        <v>2</v>
      </c>
      <c r="G55" s="136"/>
      <c r="H55" s="136"/>
      <c r="I55" s="113">
        <v>9</v>
      </c>
      <c r="J55" s="112">
        <v>6</v>
      </c>
      <c r="K55" s="112">
        <v>3</v>
      </c>
      <c r="L55" s="112">
        <v>0</v>
      </c>
      <c r="M55" s="112">
        <v>0</v>
      </c>
      <c r="N55" s="112">
        <v>2</v>
      </c>
      <c r="O55" s="112">
        <v>0</v>
      </c>
      <c r="P55" s="112">
        <v>0</v>
      </c>
      <c r="Q55" s="112">
        <v>0</v>
      </c>
      <c r="R55" s="112">
        <v>2</v>
      </c>
      <c r="S55" s="112">
        <v>5</v>
      </c>
      <c r="T55" s="112">
        <v>342</v>
      </c>
      <c r="U55" s="112">
        <v>3</v>
      </c>
      <c r="V55" s="112">
        <v>6</v>
      </c>
      <c r="W55" s="112">
        <v>0</v>
      </c>
      <c r="X55" s="112">
        <v>0</v>
      </c>
      <c r="Y55" s="112">
        <v>0</v>
      </c>
      <c r="Z55" s="112">
        <v>0</v>
      </c>
      <c r="AA55" s="112">
        <v>0</v>
      </c>
      <c r="AB55" s="112">
        <v>0</v>
      </c>
      <c r="AC55" s="112">
        <v>7</v>
      </c>
      <c r="AD55" s="112">
        <v>0</v>
      </c>
      <c r="AE55" s="69">
        <f t="shared" si="3"/>
        <v>7</v>
      </c>
      <c r="AF55" s="112">
        <v>2</v>
      </c>
      <c r="AG55" s="70">
        <f t="shared" si="1"/>
        <v>7</v>
      </c>
      <c r="AH55" s="69">
        <f t="shared" si="2"/>
        <v>9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</row>
    <row r="56" spans="1:72" x14ac:dyDescent="0.2">
      <c r="A56" s="119" t="s">
        <v>599</v>
      </c>
      <c r="B56" s="218">
        <v>2021</v>
      </c>
      <c r="C56">
        <v>2</v>
      </c>
      <c r="D56" t="s">
        <v>2443</v>
      </c>
      <c r="G56" s="139"/>
      <c r="H56" s="139"/>
      <c r="I56" s="64">
        <v>11</v>
      </c>
      <c r="J56">
        <v>8</v>
      </c>
      <c r="K56">
        <v>2</v>
      </c>
      <c r="L56">
        <v>0</v>
      </c>
      <c r="M56">
        <v>1</v>
      </c>
      <c r="N56">
        <v>2</v>
      </c>
      <c r="O56">
        <v>1</v>
      </c>
      <c r="P56">
        <v>0</v>
      </c>
      <c r="Q56">
        <v>1</v>
      </c>
      <c r="R56">
        <v>3</v>
      </c>
      <c r="S56">
        <v>4</v>
      </c>
      <c r="T56">
        <v>446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</v>
      </c>
      <c r="AD56">
        <v>2</v>
      </c>
      <c r="AE56" s="69">
        <f t="shared" si="3"/>
        <v>4</v>
      </c>
      <c r="AF56">
        <v>3</v>
      </c>
      <c r="AG56" s="70">
        <f t="shared" si="1"/>
        <v>8</v>
      </c>
      <c r="AH56" s="69">
        <f t="shared" si="2"/>
        <v>11</v>
      </c>
    </row>
    <row r="57" spans="1:72" s="29" customFormat="1" x14ac:dyDescent="0.2">
      <c r="A57" s="33" t="s">
        <v>601</v>
      </c>
      <c r="B57" s="214" t="s">
        <v>523</v>
      </c>
      <c r="C57" s="29">
        <v>4</v>
      </c>
      <c r="D57" s="29" t="s">
        <v>602</v>
      </c>
      <c r="F57" s="29">
        <v>3</v>
      </c>
      <c r="G57" s="137"/>
      <c r="H57" s="137"/>
      <c r="I57" s="39">
        <v>20</v>
      </c>
      <c r="J57" s="29">
        <v>10</v>
      </c>
      <c r="K57" s="29">
        <v>8</v>
      </c>
      <c r="L57" s="29">
        <v>1</v>
      </c>
      <c r="M57" s="29">
        <v>1</v>
      </c>
      <c r="N57" s="29">
        <v>3</v>
      </c>
      <c r="O57" s="29">
        <v>3</v>
      </c>
      <c r="P57" s="29">
        <v>4</v>
      </c>
      <c r="Q57" s="29">
        <v>3</v>
      </c>
      <c r="R57" s="29">
        <v>1</v>
      </c>
      <c r="S57" s="29">
        <v>6</v>
      </c>
      <c r="T57" s="29">
        <v>696</v>
      </c>
      <c r="U57" s="29">
        <v>6</v>
      </c>
      <c r="V57" s="29">
        <v>12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13</v>
      </c>
      <c r="AD57" s="29">
        <v>0</v>
      </c>
      <c r="AE57" s="69">
        <f t="shared" si="3"/>
        <v>13</v>
      </c>
      <c r="AF57" s="29">
        <v>11</v>
      </c>
      <c r="AG57" s="70">
        <f t="shared" si="1"/>
        <v>9</v>
      </c>
      <c r="AH57" s="69">
        <f t="shared" si="2"/>
        <v>20</v>
      </c>
    </row>
    <row r="58" spans="1:72" s="289" customFormat="1" x14ac:dyDescent="0.2">
      <c r="A58" s="287"/>
      <c r="B58" s="288" t="s">
        <v>808</v>
      </c>
      <c r="G58" s="290"/>
      <c r="H58" s="290"/>
      <c r="I58" s="290"/>
      <c r="AE58" s="69">
        <f t="shared" si="3"/>
        <v>0</v>
      </c>
      <c r="AF58" s="289">
        <v>0</v>
      </c>
      <c r="AG58" s="70">
        <f t="shared" si="1"/>
        <v>0</v>
      </c>
      <c r="AH58" s="69">
        <f t="shared" si="2"/>
        <v>0</v>
      </c>
    </row>
    <row r="59" spans="1:72" s="29" customFormat="1" x14ac:dyDescent="0.2">
      <c r="A59" s="33" t="s">
        <v>603</v>
      </c>
      <c r="B59" s="214" t="s">
        <v>523</v>
      </c>
      <c r="C59" s="29">
        <v>3</v>
      </c>
      <c r="D59" s="29" t="s">
        <v>604</v>
      </c>
      <c r="F59" s="29">
        <v>2</v>
      </c>
      <c r="G59" s="137"/>
      <c r="H59" s="137"/>
      <c r="I59" s="39">
        <v>15</v>
      </c>
      <c r="J59" s="29">
        <v>9</v>
      </c>
      <c r="K59" s="29">
        <v>6</v>
      </c>
      <c r="L59" s="29">
        <v>0</v>
      </c>
      <c r="M59" s="29">
        <v>0</v>
      </c>
      <c r="N59" s="29">
        <v>2</v>
      </c>
      <c r="O59" s="29">
        <v>1</v>
      </c>
      <c r="P59" s="29">
        <v>1</v>
      </c>
      <c r="Q59" s="29">
        <v>3</v>
      </c>
      <c r="R59" s="29">
        <v>0</v>
      </c>
      <c r="S59" s="29">
        <v>8</v>
      </c>
      <c r="T59" s="29">
        <v>445</v>
      </c>
      <c r="U59" s="29">
        <v>5</v>
      </c>
      <c r="V59" s="29">
        <v>10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13</v>
      </c>
      <c r="AD59" s="29">
        <v>0</v>
      </c>
      <c r="AE59" s="69">
        <f t="shared" si="3"/>
        <v>13</v>
      </c>
      <c r="AF59" s="29">
        <v>6</v>
      </c>
      <c r="AG59" s="70">
        <f t="shared" si="1"/>
        <v>9</v>
      </c>
      <c r="AH59" s="69">
        <f t="shared" si="2"/>
        <v>15</v>
      </c>
    </row>
    <row r="60" spans="1:72" x14ac:dyDescent="0.2">
      <c r="A60" s="117" t="s">
        <v>603</v>
      </c>
      <c r="B60" s="218">
        <v>1921</v>
      </c>
      <c r="C60">
        <v>4</v>
      </c>
      <c r="D60" t="s">
        <v>604</v>
      </c>
      <c r="G60" s="139"/>
      <c r="H60" s="139"/>
      <c r="I60" s="64">
        <v>24</v>
      </c>
      <c r="J60">
        <v>17</v>
      </c>
      <c r="K60">
        <v>7</v>
      </c>
      <c r="L60">
        <v>0</v>
      </c>
      <c r="M60">
        <v>0</v>
      </c>
      <c r="N60">
        <v>4</v>
      </c>
      <c r="O60">
        <v>4</v>
      </c>
      <c r="P60">
        <v>3</v>
      </c>
      <c r="Q60">
        <v>0</v>
      </c>
      <c r="R60">
        <v>4</v>
      </c>
      <c r="S60">
        <v>9</v>
      </c>
      <c r="T60">
        <v>927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13</v>
      </c>
      <c r="AD60">
        <v>1</v>
      </c>
      <c r="AE60" s="69">
        <v>12</v>
      </c>
      <c r="AF60">
        <v>12</v>
      </c>
      <c r="AG60" s="70">
        <f t="shared" si="1"/>
        <v>12</v>
      </c>
      <c r="AH60" s="69">
        <f t="shared" si="2"/>
        <v>24</v>
      </c>
    </row>
    <row r="61" spans="1:72" x14ac:dyDescent="0.2">
      <c r="A61" s="115" t="s">
        <v>605</v>
      </c>
      <c r="B61" s="214" t="s">
        <v>523</v>
      </c>
      <c r="C61" s="9">
        <v>3</v>
      </c>
      <c r="D61" s="9" t="s">
        <v>606</v>
      </c>
      <c r="F61" s="9">
        <v>2</v>
      </c>
      <c r="G61" s="138"/>
      <c r="H61" s="138"/>
      <c r="I61" s="184">
        <v>13</v>
      </c>
      <c r="J61" s="9">
        <v>9</v>
      </c>
      <c r="K61" s="9">
        <v>3</v>
      </c>
      <c r="L61" s="9">
        <v>1</v>
      </c>
      <c r="M61" s="9">
        <v>0</v>
      </c>
      <c r="N61" s="9">
        <v>2</v>
      </c>
      <c r="O61" s="9">
        <v>1</v>
      </c>
      <c r="P61" s="9">
        <v>2</v>
      </c>
      <c r="Q61" s="9">
        <v>1</v>
      </c>
      <c r="R61" s="9">
        <v>2</v>
      </c>
      <c r="S61" s="9">
        <v>5</v>
      </c>
      <c r="T61" s="9">
        <v>448</v>
      </c>
      <c r="U61" s="9">
        <v>2</v>
      </c>
      <c r="V61" s="9">
        <v>8</v>
      </c>
      <c r="W61" s="9">
        <v>2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10</v>
      </c>
      <c r="AD61" s="9">
        <v>0</v>
      </c>
      <c r="AE61" s="69">
        <f t="shared" ref="AE61:AE71" si="4">AC61-AD61</f>
        <v>10</v>
      </c>
      <c r="AF61" s="9">
        <v>6</v>
      </c>
      <c r="AG61" s="70">
        <f t="shared" si="1"/>
        <v>7</v>
      </c>
      <c r="AH61" s="69">
        <f t="shared" si="2"/>
        <v>13</v>
      </c>
    </row>
    <row r="62" spans="1:72" x14ac:dyDescent="0.2">
      <c r="A62" s="117" t="s">
        <v>605</v>
      </c>
      <c r="B62" s="218">
        <v>1921</v>
      </c>
      <c r="C62">
        <v>4</v>
      </c>
      <c r="D62" t="s">
        <v>2522</v>
      </c>
      <c r="G62" s="139"/>
      <c r="H62" s="139"/>
      <c r="I62" s="64">
        <v>14</v>
      </c>
      <c r="J62">
        <v>8</v>
      </c>
      <c r="K62">
        <v>6</v>
      </c>
      <c r="L62">
        <v>0</v>
      </c>
      <c r="M62">
        <v>0</v>
      </c>
      <c r="N62">
        <v>4</v>
      </c>
      <c r="O62">
        <v>1</v>
      </c>
      <c r="P62">
        <v>2</v>
      </c>
      <c r="Q62">
        <v>4</v>
      </c>
      <c r="R62">
        <v>0</v>
      </c>
      <c r="S62">
        <v>3</v>
      </c>
      <c r="T62">
        <v>536</v>
      </c>
      <c r="U62">
        <v>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8</v>
      </c>
      <c r="AD62">
        <v>1</v>
      </c>
      <c r="AE62" s="69">
        <f t="shared" si="4"/>
        <v>7</v>
      </c>
      <c r="AF62">
        <v>9</v>
      </c>
      <c r="AG62" s="70">
        <f t="shared" si="1"/>
        <v>5</v>
      </c>
      <c r="AH62" s="69">
        <f t="shared" si="2"/>
        <v>14</v>
      </c>
    </row>
    <row r="63" spans="1:72" x14ac:dyDescent="0.2">
      <c r="A63" s="117" t="s">
        <v>607</v>
      </c>
      <c r="B63" s="214" t="s">
        <v>523</v>
      </c>
      <c r="C63">
        <v>7</v>
      </c>
      <c r="D63" t="s">
        <v>608</v>
      </c>
      <c r="F63">
        <v>7</v>
      </c>
      <c r="G63" s="139"/>
      <c r="H63" s="139"/>
      <c r="I63" s="64">
        <v>45</v>
      </c>
      <c r="J63">
        <v>34</v>
      </c>
      <c r="K63">
        <v>10</v>
      </c>
      <c r="L63">
        <v>1</v>
      </c>
      <c r="M63">
        <v>0</v>
      </c>
      <c r="N63">
        <v>8</v>
      </c>
      <c r="O63">
        <v>6</v>
      </c>
      <c r="P63">
        <v>6</v>
      </c>
      <c r="Q63">
        <v>3</v>
      </c>
      <c r="R63">
        <v>1</v>
      </c>
      <c r="S63">
        <v>21</v>
      </c>
      <c r="T63">
        <v>1763</v>
      </c>
      <c r="U63">
        <v>12</v>
      </c>
      <c r="V63">
        <v>29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28</v>
      </c>
      <c r="AD63">
        <v>0</v>
      </c>
      <c r="AE63" s="69">
        <f t="shared" si="4"/>
        <v>28</v>
      </c>
      <c r="AF63">
        <v>29</v>
      </c>
      <c r="AG63" s="70">
        <f t="shared" si="1"/>
        <v>16</v>
      </c>
      <c r="AH63" s="69">
        <f t="shared" si="2"/>
        <v>45</v>
      </c>
    </row>
    <row r="64" spans="1:72" x14ac:dyDescent="0.2">
      <c r="A64" s="117" t="s">
        <v>607</v>
      </c>
      <c r="B64" s="218">
        <v>1921</v>
      </c>
      <c r="C64">
        <v>8</v>
      </c>
      <c r="D64" t="s">
        <v>2578</v>
      </c>
      <c r="G64" s="139"/>
      <c r="H64" s="139"/>
      <c r="I64" s="64">
        <v>35</v>
      </c>
      <c r="J64">
        <v>26</v>
      </c>
      <c r="K64">
        <v>9</v>
      </c>
      <c r="L64">
        <v>0</v>
      </c>
      <c r="M64">
        <v>0</v>
      </c>
      <c r="N64">
        <v>8</v>
      </c>
      <c r="O64">
        <v>4</v>
      </c>
      <c r="P64">
        <v>1</v>
      </c>
      <c r="Q64">
        <v>0</v>
      </c>
      <c r="R64">
        <v>3</v>
      </c>
      <c r="S64">
        <v>19</v>
      </c>
      <c r="T64">
        <v>1646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26</v>
      </c>
      <c r="AD64">
        <v>3</v>
      </c>
      <c r="AE64" s="69">
        <f t="shared" si="4"/>
        <v>23</v>
      </c>
      <c r="AF64">
        <v>15</v>
      </c>
      <c r="AG64" s="70">
        <f t="shared" si="1"/>
        <v>20</v>
      </c>
      <c r="AH64" s="69">
        <f t="shared" si="2"/>
        <v>35</v>
      </c>
    </row>
    <row r="65" spans="1:54" x14ac:dyDescent="0.2">
      <c r="A65" s="118" t="s">
        <v>609</v>
      </c>
      <c r="B65" s="214" t="s">
        <v>523</v>
      </c>
      <c r="C65" s="7">
        <v>10</v>
      </c>
      <c r="D65" s="79" t="s">
        <v>610</v>
      </c>
      <c r="F65" s="7">
        <v>4</v>
      </c>
      <c r="G65" s="132"/>
      <c r="H65" s="132"/>
      <c r="I65" s="20">
        <v>26</v>
      </c>
      <c r="J65" s="7">
        <v>16</v>
      </c>
      <c r="K65" s="7">
        <v>7</v>
      </c>
      <c r="L65" s="7">
        <v>1</v>
      </c>
      <c r="M65" s="7">
        <v>2</v>
      </c>
      <c r="N65" s="7">
        <v>4</v>
      </c>
      <c r="O65" s="7">
        <v>3</v>
      </c>
      <c r="P65" s="7">
        <v>3</v>
      </c>
      <c r="Q65" s="7">
        <v>3</v>
      </c>
      <c r="R65" s="7">
        <v>2</v>
      </c>
      <c r="S65" s="7">
        <v>11</v>
      </c>
      <c r="T65" s="7">
        <v>895</v>
      </c>
      <c r="U65" s="7">
        <v>8</v>
      </c>
      <c r="V65" s="7">
        <v>14</v>
      </c>
      <c r="W65" s="7">
        <v>0</v>
      </c>
      <c r="X65" s="7">
        <v>16</v>
      </c>
      <c r="Y65" s="7">
        <v>4</v>
      </c>
      <c r="Z65" s="7">
        <v>4</v>
      </c>
      <c r="AA65" s="7">
        <v>0</v>
      </c>
      <c r="AB65" s="7">
        <v>0</v>
      </c>
      <c r="AC65" s="7">
        <v>18</v>
      </c>
      <c r="AD65" s="7">
        <v>2</v>
      </c>
      <c r="AE65" s="69">
        <f t="shared" si="4"/>
        <v>16</v>
      </c>
      <c r="AF65" s="7">
        <v>14</v>
      </c>
      <c r="AG65" s="70">
        <f t="shared" si="1"/>
        <v>12</v>
      </c>
      <c r="AH65" s="69">
        <f t="shared" si="2"/>
        <v>26</v>
      </c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spans="1:54" x14ac:dyDescent="0.2">
      <c r="A66" s="119" t="s">
        <v>609</v>
      </c>
      <c r="B66" s="218">
        <v>1921</v>
      </c>
      <c r="C66">
        <v>4</v>
      </c>
      <c r="D66" s="1" t="s">
        <v>3141</v>
      </c>
      <c r="G66" s="64"/>
      <c r="H66" s="64"/>
      <c r="I66" s="64">
        <v>20</v>
      </c>
      <c r="J66">
        <v>18</v>
      </c>
      <c r="K66">
        <v>2</v>
      </c>
      <c r="L66">
        <v>0</v>
      </c>
      <c r="M66">
        <v>0</v>
      </c>
      <c r="N66">
        <v>2</v>
      </c>
      <c r="O66">
        <v>2</v>
      </c>
      <c r="P66">
        <v>2</v>
      </c>
      <c r="Q66">
        <v>0</v>
      </c>
      <c r="R66">
        <v>3</v>
      </c>
      <c r="S66">
        <v>11</v>
      </c>
      <c r="T66">
        <v>648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C66">
        <v>15</v>
      </c>
      <c r="AD66">
        <v>1</v>
      </c>
      <c r="AE66" s="69">
        <f t="shared" si="4"/>
        <v>14</v>
      </c>
      <c r="AF66">
        <v>7</v>
      </c>
      <c r="AG66" s="70">
        <f t="shared" si="1"/>
        <v>13</v>
      </c>
      <c r="AH66" s="69">
        <f t="shared" si="2"/>
        <v>20</v>
      </c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spans="1:54" x14ac:dyDescent="0.2">
      <c r="A67" s="119" t="s">
        <v>611</v>
      </c>
      <c r="B67" s="214" t="s">
        <v>523</v>
      </c>
      <c r="C67">
        <v>7</v>
      </c>
      <c r="D67" s="1" t="s">
        <v>612</v>
      </c>
      <c r="F67">
        <v>6</v>
      </c>
      <c r="G67" s="139"/>
      <c r="H67" s="139"/>
      <c r="I67" s="64">
        <v>40</v>
      </c>
      <c r="J67">
        <v>27</v>
      </c>
      <c r="K67">
        <v>6</v>
      </c>
      <c r="L67">
        <v>4</v>
      </c>
      <c r="M67">
        <v>4</v>
      </c>
      <c r="N67">
        <v>7</v>
      </c>
      <c r="O67">
        <v>5</v>
      </c>
      <c r="P67">
        <v>7</v>
      </c>
      <c r="Q67">
        <v>4</v>
      </c>
      <c r="R67">
        <v>1</v>
      </c>
      <c r="S67">
        <v>16</v>
      </c>
      <c r="T67">
        <v>1203</v>
      </c>
      <c r="U67">
        <v>11</v>
      </c>
      <c r="V67">
        <v>20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22</v>
      </c>
      <c r="AD67">
        <v>0</v>
      </c>
      <c r="AE67" s="69">
        <f t="shared" si="4"/>
        <v>22</v>
      </c>
      <c r="AF67">
        <v>16</v>
      </c>
      <c r="AG67" s="70">
        <f t="shared" si="1"/>
        <v>24</v>
      </c>
      <c r="AH67" s="69">
        <f t="shared" si="2"/>
        <v>40</v>
      </c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spans="1:54" x14ac:dyDescent="0.2">
      <c r="A68" s="119" t="s">
        <v>611</v>
      </c>
      <c r="B68" s="218">
        <v>1921</v>
      </c>
      <c r="C68">
        <v>5</v>
      </c>
      <c r="D68" s="1" t="s">
        <v>2636</v>
      </c>
      <c r="G68" s="139"/>
      <c r="H68" s="139"/>
      <c r="I68" s="64">
        <v>18</v>
      </c>
      <c r="J68">
        <v>14</v>
      </c>
      <c r="K68">
        <v>4</v>
      </c>
      <c r="L68">
        <v>0</v>
      </c>
      <c r="M68">
        <v>0</v>
      </c>
      <c r="N68">
        <v>5</v>
      </c>
      <c r="O68">
        <v>2</v>
      </c>
      <c r="P68">
        <v>1</v>
      </c>
      <c r="Q68">
        <v>0</v>
      </c>
      <c r="R68">
        <v>4</v>
      </c>
      <c r="S68">
        <v>6</v>
      </c>
      <c r="T68">
        <v>746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11</v>
      </c>
      <c r="AD68">
        <v>1</v>
      </c>
      <c r="AE68" s="69">
        <f t="shared" si="4"/>
        <v>10</v>
      </c>
      <c r="AF68">
        <v>13</v>
      </c>
      <c r="AG68" s="70">
        <f t="shared" ref="AG68:AG76" si="5">I68-AF68</f>
        <v>5</v>
      </c>
      <c r="AH68" s="69">
        <f t="shared" ref="AH68:AH78" si="6">AF68+AG68</f>
        <v>18</v>
      </c>
      <c r="AI68">
        <v>0</v>
      </c>
      <c r="AJ68" s="7">
        <v>0</v>
      </c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spans="1:54" x14ac:dyDescent="0.2">
      <c r="A69" s="119" t="s">
        <v>587</v>
      </c>
      <c r="B69" s="214" t="s">
        <v>523</v>
      </c>
      <c r="C69">
        <v>11</v>
      </c>
      <c r="D69" s="1" t="s">
        <v>613</v>
      </c>
      <c r="F69">
        <v>9</v>
      </c>
      <c r="G69" s="139"/>
      <c r="H69" s="139"/>
      <c r="I69" s="64">
        <v>56</v>
      </c>
      <c r="J69">
        <v>34</v>
      </c>
      <c r="K69">
        <v>12</v>
      </c>
      <c r="L69">
        <v>6</v>
      </c>
      <c r="M69">
        <v>4</v>
      </c>
      <c r="N69">
        <v>11</v>
      </c>
      <c r="O69">
        <v>8</v>
      </c>
      <c r="P69">
        <v>14</v>
      </c>
      <c r="Q69">
        <v>7</v>
      </c>
      <c r="R69">
        <v>2</v>
      </c>
      <c r="S69">
        <v>14</v>
      </c>
      <c r="T69">
        <v>1603</v>
      </c>
      <c r="U69">
        <v>15</v>
      </c>
      <c r="V69">
        <v>25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30</v>
      </c>
      <c r="AD69">
        <v>0</v>
      </c>
      <c r="AE69" s="69">
        <f t="shared" si="4"/>
        <v>30</v>
      </c>
      <c r="AF69">
        <v>29</v>
      </c>
      <c r="AG69" s="70">
        <f t="shared" si="5"/>
        <v>27</v>
      </c>
      <c r="AH69" s="69">
        <f t="shared" si="6"/>
        <v>56</v>
      </c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spans="1:54" x14ac:dyDescent="0.2">
      <c r="A70" s="119" t="s">
        <v>587</v>
      </c>
      <c r="B70" s="218">
        <v>1921</v>
      </c>
      <c r="C70">
        <v>9</v>
      </c>
      <c r="D70" s="1" t="s">
        <v>613</v>
      </c>
      <c r="G70" s="139"/>
      <c r="H70" s="139"/>
      <c r="I70" s="64">
        <v>43</v>
      </c>
      <c r="J70">
        <v>27</v>
      </c>
      <c r="K70">
        <v>8</v>
      </c>
      <c r="L70">
        <v>6</v>
      </c>
      <c r="M70">
        <v>2</v>
      </c>
      <c r="N70">
        <v>8</v>
      </c>
      <c r="O70">
        <v>7</v>
      </c>
      <c r="P70">
        <v>12</v>
      </c>
      <c r="Q70">
        <v>3</v>
      </c>
      <c r="R70">
        <v>3</v>
      </c>
      <c r="S70">
        <v>10</v>
      </c>
      <c r="T70">
        <v>1288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17</v>
      </c>
      <c r="AD70">
        <v>4</v>
      </c>
      <c r="AE70" s="69">
        <f t="shared" si="4"/>
        <v>13</v>
      </c>
      <c r="AF70">
        <v>17</v>
      </c>
      <c r="AG70" s="70">
        <f t="shared" si="5"/>
        <v>26</v>
      </c>
      <c r="AH70" s="69">
        <f t="shared" si="6"/>
        <v>43</v>
      </c>
      <c r="AI70">
        <v>0</v>
      </c>
      <c r="AJ70" s="7">
        <v>0</v>
      </c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spans="1:54" x14ac:dyDescent="0.2">
      <c r="A71" s="118" t="s">
        <v>614</v>
      </c>
      <c r="B71" s="214" t="s">
        <v>523</v>
      </c>
      <c r="C71" s="7">
        <v>11</v>
      </c>
      <c r="D71" s="79" t="s">
        <v>615</v>
      </c>
      <c r="F71" s="7">
        <v>8</v>
      </c>
      <c r="G71" s="132"/>
      <c r="H71" s="132"/>
      <c r="I71" s="20">
        <v>56</v>
      </c>
      <c r="J71" s="7">
        <v>39</v>
      </c>
      <c r="K71" s="7">
        <v>14</v>
      </c>
      <c r="L71" s="7">
        <v>0</v>
      </c>
      <c r="M71" s="7">
        <v>3</v>
      </c>
      <c r="N71" s="7">
        <v>11</v>
      </c>
      <c r="O71" s="7">
        <v>6</v>
      </c>
      <c r="P71" s="7">
        <v>3</v>
      </c>
      <c r="Q71" s="7">
        <v>3</v>
      </c>
      <c r="R71" s="7">
        <v>6</v>
      </c>
      <c r="S71" s="7">
        <v>27</v>
      </c>
      <c r="T71" s="7">
        <v>2049</v>
      </c>
      <c r="U71" s="7">
        <v>14</v>
      </c>
      <c r="V71" s="7">
        <v>35</v>
      </c>
      <c r="W71" s="7">
        <v>4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39</v>
      </c>
      <c r="AD71" s="7">
        <v>0</v>
      </c>
      <c r="AE71" s="69">
        <f t="shared" si="4"/>
        <v>39</v>
      </c>
      <c r="AF71" s="7">
        <v>24</v>
      </c>
      <c r="AG71" s="70">
        <f t="shared" si="5"/>
        <v>32</v>
      </c>
      <c r="AH71" s="69">
        <f t="shared" si="6"/>
        <v>56</v>
      </c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spans="1:54" x14ac:dyDescent="0.2">
      <c r="A72" s="119" t="s">
        <v>614</v>
      </c>
      <c r="B72" s="218">
        <v>1921</v>
      </c>
      <c r="C72">
        <v>24</v>
      </c>
      <c r="D72" s="1" t="s">
        <v>2855</v>
      </c>
      <c r="G72" s="139"/>
      <c r="H72" s="139"/>
      <c r="I72" s="64">
        <v>122</v>
      </c>
      <c r="J72">
        <v>92</v>
      </c>
      <c r="K72">
        <v>23</v>
      </c>
      <c r="L72">
        <v>4</v>
      </c>
      <c r="M72">
        <v>3</v>
      </c>
      <c r="N72">
        <v>20</v>
      </c>
      <c r="O72">
        <v>14</v>
      </c>
      <c r="P72">
        <v>10</v>
      </c>
      <c r="Q72">
        <v>3</v>
      </c>
      <c r="R72">
        <v>18</v>
      </c>
      <c r="S72">
        <v>57</v>
      </c>
      <c r="T72">
        <v>4570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79</v>
      </c>
      <c r="AD72">
        <v>6</v>
      </c>
      <c r="AE72" s="69">
        <v>73</v>
      </c>
      <c r="AF72">
        <v>42</v>
      </c>
      <c r="AG72" s="70">
        <f t="shared" si="5"/>
        <v>80</v>
      </c>
      <c r="AH72" s="69">
        <f t="shared" si="6"/>
        <v>122</v>
      </c>
      <c r="AI72">
        <v>0</v>
      </c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spans="1:54" x14ac:dyDescent="0.2">
      <c r="A73" s="119" t="s">
        <v>616</v>
      </c>
      <c r="B73" s="214" t="s">
        <v>523</v>
      </c>
      <c r="C73">
        <v>3</v>
      </c>
      <c r="D73" s="1" t="s">
        <v>617</v>
      </c>
      <c r="F73">
        <v>3</v>
      </c>
      <c r="G73" s="139"/>
      <c r="H73" s="139"/>
      <c r="I73" s="64">
        <v>11</v>
      </c>
      <c r="J73">
        <v>7</v>
      </c>
      <c r="K73">
        <v>2</v>
      </c>
      <c r="L73">
        <v>0</v>
      </c>
      <c r="M73">
        <v>2</v>
      </c>
      <c r="N73">
        <v>2</v>
      </c>
      <c r="O73">
        <v>3</v>
      </c>
      <c r="P73">
        <v>0</v>
      </c>
      <c r="Q73">
        <v>2</v>
      </c>
      <c r="R73">
        <v>3</v>
      </c>
      <c r="S73">
        <v>1</v>
      </c>
      <c r="T73">
        <v>357</v>
      </c>
      <c r="U73">
        <v>5</v>
      </c>
      <c r="V73">
        <v>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</v>
      </c>
      <c r="AD73">
        <v>0</v>
      </c>
      <c r="AE73" s="69">
        <f t="shared" ref="AE73:AE78" si="7">AC73-AD73</f>
        <v>4</v>
      </c>
      <c r="AF73">
        <v>5</v>
      </c>
      <c r="AG73" s="70">
        <f t="shared" si="5"/>
        <v>6</v>
      </c>
      <c r="AH73" s="69">
        <f t="shared" si="6"/>
        <v>11</v>
      </c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spans="1:54" x14ac:dyDescent="0.2">
      <c r="A74" s="119" t="s">
        <v>616</v>
      </c>
      <c r="B74" s="218">
        <v>1921</v>
      </c>
      <c r="C74">
        <v>2</v>
      </c>
      <c r="D74" s="1" t="s">
        <v>617</v>
      </c>
      <c r="G74" s="64"/>
      <c r="H74" s="64"/>
      <c r="I74" s="64">
        <v>6</v>
      </c>
      <c r="J74">
        <v>3</v>
      </c>
      <c r="K74">
        <v>2</v>
      </c>
      <c r="L74">
        <v>1</v>
      </c>
      <c r="M74">
        <v>0</v>
      </c>
      <c r="N74">
        <v>2</v>
      </c>
      <c r="O74">
        <v>1</v>
      </c>
      <c r="P74">
        <v>1</v>
      </c>
      <c r="Q74">
        <v>0</v>
      </c>
      <c r="R74">
        <v>0</v>
      </c>
      <c r="S74">
        <v>2</v>
      </c>
      <c r="T74">
        <v>240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</v>
      </c>
      <c r="AD74">
        <v>0</v>
      </c>
      <c r="AE74" s="69">
        <f t="shared" si="7"/>
        <v>4</v>
      </c>
      <c r="AF74">
        <v>3</v>
      </c>
      <c r="AG74" s="70">
        <f t="shared" si="5"/>
        <v>3</v>
      </c>
      <c r="AH74" s="69">
        <f t="shared" si="6"/>
        <v>6</v>
      </c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spans="1:54" x14ac:dyDescent="0.2">
      <c r="A75" s="119" t="s">
        <v>618</v>
      </c>
      <c r="B75" s="214" t="s">
        <v>523</v>
      </c>
      <c r="C75">
        <v>8</v>
      </c>
      <c r="D75" s="1" t="s">
        <v>619</v>
      </c>
      <c r="F75">
        <v>6</v>
      </c>
      <c r="G75" s="139"/>
      <c r="H75" s="139"/>
      <c r="I75" s="64">
        <v>47</v>
      </c>
      <c r="J75">
        <v>46</v>
      </c>
      <c r="K75">
        <v>12</v>
      </c>
      <c r="L75">
        <v>5</v>
      </c>
      <c r="M75">
        <v>6</v>
      </c>
      <c r="N75">
        <v>12</v>
      </c>
      <c r="O75">
        <v>12</v>
      </c>
      <c r="P75">
        <v>7</v>
      </c>
      <c r="Q75">
        <v>7</v>
      </c>
      <c r="R75">
        <v>10</v>
      </c>
      <c r="S75">
        <v>21</v>
      </c>
      <c r="T75">
        <v>2221</v>
      </c>
      <c r="U75">
        <v>22</v>
      </c>
      <c r="V75">
        <v>33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38</v>
      </c>
      <c r="AD75">
        <v>0</v>
      </c>
      <c r="AE75" s="69">
        <f t="shared" si="7"/>
        <v>38</v>
      </c>
      <c r="AF75">
        <v>36</v>
      </c>
      <c r="AG75" s="70">
        <f t="shared" si="5"/>
        <v>11</v>
      </c>
      <c r="AH75" s="69">
        <f t="shared" si="6"/>
        <v>47</v>
      </c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spans="1:54" x14ac:dyDescent="0.2">
      <c r="A76" s="119" t="s">
        <v>2863</v>
      </c>
      <c r="B76" s="218">
        <v>1921</v>
      </c>
      <c r="C76">
        <v>13</v>
      </c>
      <c r="D76" s="1" t="s">
        <v>2862</v>
      </c>
      <c r="E76" t="s">
        <v>2865</v>
      </c>
      <c r="G76" s="139"/>
      <c r="H76" s="139"/>
      <c r="I76" s="64">
        <v>60</v>
      </c>
      <c r="J76">
        <v>41</v>
      </c>
      <c r="K76">
        <v>12</v>
      </c>
      <c r="L76">
        <v>6</v>
      </c>
      <c r="M76">
        <v>1</v>
      </c>
      <c r="N76">
        <v>12</v>
      </c>
      <c r="O76">
        <v>6</v>
      </c>
      <c r="P76">
        <v>8</v>
      </c>
      <c r="Q76">
        <v>3</v>
      </c>
      <c r="R76">
        <v>8</v>
      </c>
      <c r="S76">
        <v>23</v>
      </c>
      <c r="T76">
        <v>1979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31</v>
      </c>
      <c r="AD76">
        <v>9</v>
      </c>
      <c r="AE76" s="69">
        <f t="shared" si="7"/>
        <v>22</v>
      </c>
      <c r="AF76">
        <v>32</v>
      </c>
      <c r="AG76" s="70">
        <f t="shared" si="5"/>
        <v>28</v>
      </c>
      <c r="AH76" s="69">
        <f t="shared" si="6"/>
        <v>60</v>
      </c>
      <c r="AI76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/>
      <c r="AW76" s="7"/>
      <c r="AX76" s="7"/>
      <c r="AY76" s="7"/>
      <c r="AZ76" s="7"/>
      <c r="BA76" s="7"/>
      <c r="BB76" s="7"/>
    </row>
    <row r="77" spans="1:54" x14ac:dyDescent="0.2">
      <c r="A77" s="119" t="s">
        <v>620</v>
      </c>
      <c r="B77" s="214" t="s">
        <v>523</v>
      </c>
      <c r="C77">
        <v>10</v>
      </c>
      <c r="D77" s="1" t="s">
        <v>621</v>
      </c>
      <c r="F77">
        <v>9</v>
      </c>
      <c r="G77" s="139"/>
      <c r="H77" s="139"/>
      <c r="I77" s="64">
        <v>40</v>
      </c>
      <c r="J77">
        <v>23</v>
      </c>
      <c r="K77">
        <v>11</v>
      </c>
      <c r="L77">
        <v>4</v>
      </c>
      <c r="M77">
        <v>2</v>
      </c>
      <c r="N77">
        <v>10</v>
      </c>
      <c r="O77">
        <v>0</v>
      </c>
      <c r="P77">
        <v>6</v>
      </c>
      <c r="Q77">
        <v>2</v>
      </c>
      <c r="R77">
        <v>3</v>
      </c>
      <c r="S77">
        <v>10</v>
      </c>
      <c r="T77">
        <v>1489</v>
      </c>
      <c r="U77">
        <v>20</v>
      </c>
      <c r="V77">
        <v>12</v>
      </c>
      <c r="W77">
        <v>2</v>
      </c>
      <c r="AC77">
        <v>21</v>
      </c>
      <c r="AE77" s="69">
        <f t="shared" si="7"/>
        <v>21</v>
      </c>
      <c r="AF77">
        <v>13</v>
      </c>
      <c r="AG77" s="70">
        <f>I77-AF77</f>
        <v>27</v>
      </c>
      <c r="AH77" s="69">
        <f t="shared" si="6"/>
        <v>40</v>
      </c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spans="1:54" x14ac:dyDescent="0.2">
      <c r="A78" s="119" t="s">
        <v>620</v>
      </c>
      <c r="B78" s="218">
        <v>1921</v>
      </c>
      <c r="C78">
        <v>11</v>
      </c>
      <c r="D78" s="1" t="s">
        <v>621</v>
      </c>
      <c r="G78" s="139"/>
      <c r="H78" s="139"/>
      <c r="I78" s="64">
        <v>42</v>
      </c>
      <c r="J78">
        <v>24</v>
      </c>
      <c r="K78">
        <v>13</v>
      </c>
      <c r="L78">
        <v>5</v>
      </c>
      <c r="M78">
        <v>0</v>
      </c>
      <c r="N78">
        <v>10</v>
      </c>
      <c r="O78">
        <v>5</v>
      </c>
      <c r="P78">
        <v>7</v>
      </c>
      <c r="Q78">
        <v>1</v>
      </c>
      <c r="R78">
        <v>12</v>
      </c>
      <c r="S78">
        <v>7</v>
      </c>
      <c r="T78">
        <v>1567</v>
      </c>
      <c r="X78">
        <v>0</v>
      </c>
      <c r="Y78">
        <v>0</v>
      </c>
      <c r="Z78">
        <v>0</v>
      </c>
      <c r="AA78">
        <v>0</v>
      </c>
      <c r="AB78">
        <v>1</v>
      </c>
      <c r="AC78">
        <v>17</v>
      </c>
      <c r="AD78">
        <v>2</v>
      </c>
      <c r="AE78" s="69">
        <f t="shared" si="7"/>
        <v>15</v>
      </c>
      <c r="AF78">
        <v>23</v>
      </c>
      <c r="AG78" s="70">
        <f>I78-AF78</f>
        <v>19</v>
      </c>
      <c r="AH78" s="69">
        <f t="shared" si="6"/>
        <v>42</v>
      </c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spans="1:54" x14ac:dyDescent="0.2">
      <c r="A79" s="119" t="s">
        <v>3142</v>
      </c>
      <c r="B79" s="218"/>
      <c r="C79">
        <f>SUM(C3:C78)</f>
        <v>640</v>
      </c>
      <c r="D79">
        <f t="shared" ref="D79:AI79" si="8">SUM(D3:D78)</f>
        <v>0</v>
      </c>
      <c r="E79">
        <f t="shared" si="8"/>
        <v>0</v>
      </c>
      <c r="F79">
        <f t="shared" si="8"/>
        <v>252</v>
      </c>
      <c r="G79">
        <f t="shared" si="8"/>
        <v>0</v>
      </c>
      <c r="H79">
        <f t="shared" si="8"/>
        <v>7</v>
      </c>
      <c r="I79">
        <f t="shared" si="8"/>
        <v>3078</v>
      </c>
      <c r="J79">
        <f t="shared" si="8"/>
        <v>2044</v>
      </c>
      <c r="K79">
        <f t="shared" si="8"/>
        <v>756</v>
      </c>
      <c r="L79">
        <f t="shared" si="8"/>
        <v>181</v>
      </c>
      <c r="M79">
        <f t="shared" si="8"/>
        <v>134</v>
      </c>
      <c r="N79">
        <f t="shared" si="8"/>
        <v>597</v>
      </c>
      <c r="O79">
        <f t="shared" si="8"/>
        <v>373</v>
      </c>
      <c r="P79">
        <f t="shared" si="8"/>
        <v>414</v>
      </c>
      <c r="Q79">
        <f t="shared" si="8"/>
        <v>265</v>
      </c>
      <c r="R79">
        <f t="shared" si="8"/>
        <v>362</v>
      </c>
      <c r="S79">
        <f t="shared" si="8"/>
        <v>1075</v>
      </c>
      <c r="T79" s="64">
        <f t="shared" si="8"/>
        <v>108920.9</v>
      </c>
      <c r="U79">
        <f t="shared" si="8"/>
        <v>427</v>
      </c>
      <c r="V79">
        <f t="shared" si="8"/>
        <v>983</v>
      </c>
      <c r="W79">
        <f t="shared" si="8"/>
        <v>99</v>
      </c>
      <c r="X79">
        <f t="shared" si="8"/>
        <v>2617</v>
      </c>
      <c r="Y79">
        <f t="shared" si="8"/>
        <v>322</v>
      </c>
      <c r="Z79">
        <f t="shared" si="8"/>
        <v>278</v>
      </c>
      <c r="AA79" t="e">
        <f t="shared" si="8"/>
        <v>#REF!</v>
      </c>
      <c r="AB79" t="e">
        <f t="shared" si="8"/>
        <v>#REF!</v>
      </c>
      <c r="AC79">
        <f t="shared" si="8"/>
        <v>1888</v>
      </c>
      <c r="AD79">
        <f t="shared" si="8"/>
        <v>229</v>
      </c>
      <c r="AE79">
        <f t="shared" si="8"/>
        <v>1659</v>
      </c>
      <c r="AF79">
        <f t="shared" si="8"/>
        <v>1505</v>
      </c>
      <c r="AG79">
        <f t="shared" si="8"/>
        <v>1573</v>
      </c>
      <c r="AH79">
        <f t="shared" si="8"/>
        <v>3078</v>
      </c>
      <c r="AI79">
        <f t="shared" si="8"/>
        <v>255</v>
      </c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spans="1:54" x14ac:dyDescent="0.2">
      <c r="A80" s="119"/>
      <c r="B80" s="218"/>
      <c r="G80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spans="1:72" s="298" customFormat="1" x14ac:dyDescent="0.2">
      <c r="A81" s="295" t="s">
        <v>252</v>
      </c>
      <c r="B81" s="296" t="s">
        <v>523</v>
      </c>
      <c r="C81" s="297">
        <v>325</v>
      </c>
      <c r="D81" s="297">
        <v>38</v>
      </c>
      <c r="F81" s="297">
        <v>282</v>
      </c>
      <c r="G81" s="299"/>
      <c r="H81" s="299"/>
      <c r="I81" s="300">
        <v>1634</v>
      </c>
      <c r="J81" s="297">
        <v>1065</v>
      </c>
      <c r="K81" s="297">
        <v>400</v>
      </c>
      <c r="L81" s="297">
        <v>109</v>
      </c>
      <c r="M81" s="297">
        <v>83</v>
      </c>
      <c r="N81" s="297">
        <v>304</v>
      </c>
      <c r="O81" s="297">
        <v>182</v>
      </c>
      <c r="P81" s="297">
        <v>244</v>
      </c>
      <c r="Q81" s="297">
        <v>165</v>
      </c>
      <c r="R81" s="297">
        <v>158</v>
      </c>
      <c r="S81" s="297">
        <v>594</v>
      </c>
      <c r="T81" s="300">
        <v>55707.9</v>
      </c>
      <c r="U81" s="297">
        <v>418</v>
      </c>
      <c r="V81" s="297">
        <v>963</v>
      </c>
      <c r="W81" s="297">
        <v>94</v>
      </c>
      <c r="X81" s="297">
        <v>2617</v>
      </c>
      <c r="Y81" s="297">
        <v>322</v>
      </c>
      <c r="Z81" s="297">
        <v>278</v>
      </c>
      <c r="AA81" s="297">
        <v>0</v>
      </c>
      <c r="AB81" s="297">
        <v>0</v>
      </c>
      <c r="AC81" s="297">
        <v>1016</v>
      </c>
      <c r="AD81" s="297">
        <v>121</v>
      </c>
      <c r="AE81" s="297">
        <v>895</v>
      </c>
      <c r="AF81" s="297">
        <v>841</v>
      </c>
      <c r="AG81" s="297">
        <v>793</v>
      </c>
      <c r="AH81" s="297">
        <v>1634</v>
      </c>
      <c r="AI81" s="297">
        <v>161</v>
      </c>
      <c r="AJ81" s="301"/>
      <c r="AK81" s="301"/>
      <c r="AL81" s="301"/>
      <c r="AM81" s="301"/>
      <c r="AN81" s="301"/>
      <c r="AO81" s="301"/>
      <c r="AP81" s="301"/>
      <c r="AQ81" s="301"/>
      <c r="AR81" s="301"/>
      <c r="AS81" s="301"/>
      <c r="AT81" s="301"/>
      <c r="AU81" s="301"/>
      <c r="AV81" s="301"/>
      <c r="AW81" s="301"/>
      <c r="AX81" s="302"/>
      <c r="AY81" s="302"/>
      <c r="AZ81" s="302"/>
      <c r="BA81" s="302"/>
      <c r="BB81" s="302"/>
      <c r="BC81" s="301"/>
      <c r="BD81" s="301"/>
      <c r="BE81" s="301"/>
      <c r="BF81" s="301"/>
      <c r="BG81" s="301"/>
      <c r="BH81" s="301"/>
      <c r="BI81" s="301"/>
      <c r="BJ81" s="301"/>
      <c r="BK81" s="301"/>
      <c r="BL81" s="301"/>
      <c r="BM81" s="301"/>
      <c r="BN81" s="301"/>
      <c r="BO81" s="301"/>
      <c r="BP81" s="301"/>
      <c r="BQ81" s="301"/>
      <c r="BR81" s="301"/>
      <c r="BS81" s="301"/>
      <c r="BT81" s="301"/>
    </row>
    <row r="82" spans="1:72" s="303" customFormat="1" x14ac:dyDescent="0.2">
      <c r="A82" s="303" t="s">
        <v>252</v>
      </c>
      <c r="B82" s="304" t="s">
        <v>808</v>
      </c>
      <c r="C82" s="303">
        <v>315</v>
      </c>
      <c r="D82" s="303">
        <v>36</v>
      </c>
      <c r="G82" s="305"/>
      <c r="I82" s="303">
        <v>1444</v>
      </c>
      <c r="J82" s="303">
        <v>979</v>
      </c>
      <c r="K82" s="303">
        <v>356</v>
      </c>
      <c r="L82" s="303">
        <v>72</v>
      </c>
      <c r="M82" s="303">
        <v>51</v>
      </c>
      <c r="N82" s="303">
        <v>293</v>
      </c>
      <c r="O82" s="303">
        <v>191</v>
      </c>
      <c r="P82" s="303">
        <v>170</v>
      </c>
      <c r="Q82" s="303">
        <v>100</v>
      </c>
      <c r="R82" s="303">
        <v>204</v>
      </c>
      <c r="S82" s="303">
        <v>481</v>
      </c>
      <c r="T82" s="303">
        <v>53213</v>
      </c>
      <c r="U82" s="303">
        <v>9</v>
      </c>
      <c r="V82" s="303">
        <v>20</v>
      </c>
      <c r="W82" s="303">
        <v>5</v>
      </c>
      <c r="X82" s="303">
        <v>0</v>
      </c>
      <c r="Y82" s="303">
        <v>0</v>
      </c>
      <c r="Z82" s="303">
        <v>0</v>
      </c>
      <c r="AA82" s="303" t="e">
        <v>#REF!</v>
      </c>
      <c r="AB82" s="303" t="e">
        <v>#REF!</v>
      </c>
      <c r="AC82" s="303">
        <v>872</v>
      </c>
      <c r="AD82" s="303">
        <v>108</v>
      </c>
      <c r="AE82" s="303">
        <v>764</v>
      </c>
      <c r="AF82" s="303">
        <v>664</v>
      </c>
      <c r="AG82" s="303">
        <v>780</v>
      </c>
      <c r="AH82" s="303">
        <v>1444</v>
      </c>
    </row>
    <row r="83" spans="1:72" s="2" customFormat="1" x14ac:dyDescent="0.2">
      <c r="A83" s="306" t="s">
        <v>252</v>
      </c>
      <c r="B83" s="307" t="s">
        <v>3247</v>
      </c>
      <c r="C83" s="2">
        <f>SUM(C81:C82)</f>
        <v>640</v>
      </c>
      <c r="D83" s="2">
        <f t="shared" ref="D83:AI83" si="9">SUM(D81:D82)</f>
        <v>74</v>
      </c>
      <c r="E83" s="2">
        <f t="shared" si="9"/>
        <v>0</v>
      </c>
      <c r="F83" s="2">
        <f t="shared" si="9"/>
        <v>282</v>
      </c>
      <c r="G83" s="2">
        <f t="shared" si="9"/>
        <v>0</v>
      </c>
      <c r="H83" s="2">
        <f t="shared" si="9"/>
        <v>0</v>
      </c>
      <c r="I83" s="2">
        <f t="shared" si="9"/>
        <v>3078</v>
      </c>
      <c r="J83" s="2">
        <f t="shared" si="9"/>
        <v>2044</v>
      </c>
      <c r="K83" s="2">
        <f t="shared" si="9"/>
        <v>756</v>
      </c>
      <c r="L83" s="2">
        <f t="shared" si="9"/>
        <v>181</v>
      </c>
      <c r="M83" s="2">
        <f t="shared" si="9"/>
        <v>134</v>
      </c>
      <c r="N83" s="2">
        <f t="shared" si="9"/>
        <v>597</v>
      </c>
      <c r="O83" s="2">
        <f t="shared" si="9"/>
        <v>373</v>
      </c>
      <c r="P83" s="2">
        <f t="shared" si="9"/>
        <v>414</v>
      </c>
      <c r="Q83" s="2">
        <f t="shared" si="9"/>
        <v>265</v>
      </c>
      <c r="R83" s="2">
        <f t="shared" si="9"/>
        <v>362</v>
      </c>
      <c r="S83" s="2">
        <f t="shared" si="9"/>
        <v>1075</v>
      </c>
      <c r="T83" s="2">
        <f t="shared" si="9"/>
        <v>108920.9</v>
      </c>
      <c r="U83" s="2">
        <f t="shared" si="9"/>
        <v>427</v>
      </c>
      <c r="V83" s="2">
        <f t="shared" si="9"/>
        <v>983</v>
      </c>
      <c r="W83" s="2">
        <f t="shared" si="9"/>
        <v>99</v>
      </c>
      <c r="X83" s="2">
        <f t="shared" si="9"/>
        <v>2617</v>
      </c>
      <c r="Y83" s="2">
        <f t="shared" si="9"/>
        <v>322</v>
      </c>
      <c r="Z83" s="2">
        <f t="shared" si="9"/>
        <v>278</v>
      </c>
      <c r="AA83" s="2" t="e">
        <f t="shared" si="9"/>
        <v>#REF!</v>
      </c>
      <c r="AB83" s="2" t="e">
        <f t="shared" si="9"/>
        <v>#REF!</v>
      </c>
      <c r="AC83" s="2">
        <f t="shared" si="9"/>
        <v>1888</v>
      </c>
      <c r="AD83" s="2">
        <f t="shared" si="9"/>
        <v>229</v>
      </c>
      <c r="AE83" s="2">
        <f t="shared" si="9"/>
        <v>1659</v>
      </c>
      <c r="AF83" s="2">
        <f t="shared" si="9"/>
        <v>1505</v>
      </c>
      <c r="AG83" s="2">
        <f t="shared" si="9"/>
        <v>1573</v>
      </c>
      <c r="AH83" s="2">
        <f t="shared" si="9"/>
        <v>3078</v>
      </c>
      <c r="AI83" s="2">
        <f t="shared" si="9"/>
        <v>161</v>
      </c>
    </row>
    <row r="84" spans="1:72" x14ac:dyDescent="0.2"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292"/>
      <c r="U84" s="65"/>
      <c r="V84" s="65"/>
      <c r="W84" s="65"/>
      <c r="X84" s="65"/>
      <c r="Y84" s="65"/>
      <c r="Z84" s="65"/>
      <c r="AA84" s="65"/>
      <c r="AB84" s="65"/>
      <c r="AC84" s="308">
        <f>AC83-AC79</f>
        <v>0</v>
      </c>
      <c r="AD84" s="308">
        <f>AD79-AD83</f>
        <v>0</v>
      </c>
      <c r="AE84" s="308">
        <f>AE83-AE79</f>
        <v>0</v>
      </c>
      <c r="AF84" s="308">
        <f>AF83-AF79</f>
        <v>0</v>
      </c>
      <c r="AG84" s="308">
        <f>AG83-AG79</f>
        <v>0</v>
      </c>
      <c r="AH84" s="308">
        <f>AH83-AH79</f>
        <v>0</v>
      </c>
    </row>
    <row r="85" spans="1:72" s="3" customFormat="1" x14ac:dyDescent="0.2">
      <c r="A85" s="80"/>
      <c r="B85" s="67"/>
      <c r="C85" s="83"/>
      <c r="D85" s="83"/>
      <c r="F85" s="120"/>
      <c r="G85" s="140"/>
      <c r="H85" s="140"/>
      <c r="I85" s="185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12"/>
      <c r="AY85" s="12"/>
      <c r="AZ85" s="12"/>
      <c r="BA85" s="12"/>
      <c r="BB85" s="12"/>
      <c r="BC85" s="87"/>
      <c r="BD85" s="87"/>
      <c r="BE85" s="87"/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65BB-3970-1C48-84E5-0B462FE01B07}">
  <dimension ref="A1:BT38"/>
  <sheetViews>
    <sheetView topLeftCell="W1" zoomScale="140" zoomScaleNormal="140" workbookViewId="0">
      <pane ySplit="2" topLeftCell="A27" activePane="bottomLeft" state="frozen"/>
      <selection pane="bottomLeft" activeCell="F8" sqref="F8"/>
    </sheetView>
  </sheetViews>
  <sheetFormatPr baseColWidth="10" defaultRowHeight="16" x14ac:dyDescent="0.2"/>
  <cols>
    <col min="1" max="1" width="8.1640625" customWidth="1"/>
    <col min="2" max="2" width="9.6640625" customWidth="1"/>
    <col min="3" max="3" width="9.1640625" customWidth="1"/>
    <col min="4" max="4" width="16.6640625" customWidth="1"/>
    <col min="5" max="5" width="17.1640625" customWidth="1"/>
    <col min="6" max="6" width="11" customWidth="1"/>
    <col min="7" max="7" width="9.6640625" style="141" customWidth="1"/>
    <col min="8" max="10" width="10.6640625" customWidth="1"/>
    <col min="14" max="14" width="12.33203125" customWidth="1"/>
  </cols>
  <sheetData>
    <row r="1" spans="1:72" s="2" customFormat="1" ht="51" x14ac:dyDescent="0.2">
      <c r="A1" s="57" t="s">
        <v>525</v>
      </c>
      <c r="B1" s="58" t="s">
        <v>526</v>
      </c>
      <c r="C1" s="58" t="s">
        <v>527</v>
      </c>
      <c r="D1" s="58" t="s">
        <v>528</v>
      </c>
      <c r="E1" s="58" t="s">
        <v>530</v>
      </c>
      <c r="F1" s="186" t="s">
        <v>810</v>
      </c>
      <c r="G1" s="173"/>
      <c r="I1" s="59" t="s">
        <v>529</v>
      </c>
      <c r="J1" s="59" t="s">
        <v>220</v>
      </c>
      <c r="K1" s="60"/>
      <c r="L1" s="60"/>
      <c r="M1" s="60"/>
      <c r="N1" s="59" t="s">
        <v>221</v>
      </c>
      <c r="O1" s="60"/>
      <c r="P1" s="60"/>
      <c r="Q1" s="60"/>
      <c r="R1" s="60"/>
      <c r="S1" s="60"/>
      <c r="T1" s="59" t="s">
        <v>222</v>
      </c>
      <c r="U1" s="59" t="s">
        <v>223</v>
      </c>
      <c r="V1" s="59" t="s">
        <v>224</v>
      </c>
      <c r="W1" s="59" t="s">
        <v>225</v>
      </c>
      <c r="X1" s="59" t="s">
        <v>226</v>
      </c>
      <c r="Y1" s="59" t="s">
        <v>227</v>
      </c>
      <c r="Z1" s="59" t="s">
        <v>228</v>
      </c>
      <c r="AA1" s="59" t="s">
        <v>229</v>
      </c>
      <c r="AB1" s="59" t="s">
        <v>230</v>
      </c>
      <c r="AC1" s="59" t="s">
        <v>231</v>
      </c>
      <c r="AD1" s="59" t="s">
        <v>232</v>
      </c>
      <c r="AE1" s="59"/>
      <c r="AF1" s="81" t="s">
        <v>542</v>
      </c>
      <c r="AG1" s="84"/>
      <c r="AH1" s="84"/>
      <c r="AI1" s="58"/>
      <c r="AJ1" s="60"/>
      <c r="AK1" s="61"/>
      <c r="AL1" s="61"/>
      <c r="AM1" s="62"/>
      <c r="AN1" s="62"/>
      <c r="AO1" s="63"/>
      <c r="AP1" s="62"/>
      <c r="AQ1" s="62"/>
      <c r="AR1" s="62"/>
      <c r="AS1" s="63"/>
      <c r="AT1" s="61"/>
      <c r="AU1" s="61"/>
      <c r="AV1" s="61"/>
      <c r="AW1" s="61"/>
      <c r="AX1" s="61"/>
      <c r="AY1" s="61"/>
      <c r="AZ1" s="61"/>
      <c r="BA1" s="62"/>
      <c r="BB1" s="63"/>
      <c r="BC1" s="63"/>
    </row>
    <row r="2" spans="1:72" ht="34" x14ac:dyDescent="0.2">
      <c r="A2" s="47"/>
      <c r="B2" s="47"/>
      <c r="C2" s="48"/>
      <c r="D2" s="48"/>
      <c r="E2" s="48"/>
      <c r="G2" s="174"/>
      <c r="I2" s="49"/>
      <c r="J2" s="50" t="s">
        <v>237</v>
      </c>
      <c r="K2" s="50" t="s">
        <v>238</v>
      </c>
      <c r="L2" s="50" t="s">
        <v>239</v>
      </c>
      <c r="M2" s="50" t="s">
        <v>240</v>
      </c>
      <c r="N2" s="50" t="s">
        <v>241</v>
      </c>
      <c r="O2" s="50" t="s">
        <v>242</v>
      </c>
      <c r="P2" s="50" t="s">
        <v>243</v>
      </c>
      <c r="Q2" s="50" t="s">
        <v>244</v>
      </c>
      <c r="R2" s="50" t="s">
        <v>245</v>
      </c>
      <c r="S2" s="50" t="s">
        <v>26</v>
      </c>
      <c r="T2" s="50" t="s">
        <v>246</v>
      </c>
      <c r="U2" s="50" t="s">
        <v>247</v>
      </c>
      <c r="V2" s="50" t="s">
        <v>248</v>
      </c>
      <c r="W2" s="51" t="s">
        <v>249</v>
      </c>
      <c r="X2" s="49"/>
      <c r="Y2" s="49"/>
      <c r="Z2" s="49"/>
      <c r="AA2" s="49"/>
      <c r="AB2" s="49"/>
      <c r="AC2" s="49"/>
      <c r="AD2" s="50" t="s">
        <v>8</v>
      </c>
      <c r="AE2" s="50" t="s">
        <v>250</v>
      </c>
      <c r="AF2" s="80" t="s">
        <v>251</v>
      </c>
      <c r="AG2" s="67" t="s">
        <v>245</v>
      </c>
      <c r="AH2" s="91" t="s">
        <v>547</v>
      </c>
      <c r="AI2" s="48"/>
      <c r="AJ2" s="48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</row>
    <row r="3" spans="1:72" x14ac:dyDescent="0.2">
      <c r="A3" s="67" t="s">
        <v>549</v>
      </c>
      <c r="B3" s="67" t="s">
        <v>523</v>
      </c>
      <c r="C3" s="69">
        <f>[1]BL!C21</f>
        <v>4</v>
      </c>
      <c r="D3" s="67" t="s">
        <v>550</v>
      </c>
      <c r="F3" s="69">
        <f>[1]BL!E21</f>
        <v>6</v>
      </c>
      <c r="G3" s="131"/>
      <c r="H3" s="131"/>
      <c r="I3" s="70">
        <v>18</v>
      </c>
      <c r="J3" s="69">
        <v>9</v>
      </c>
      <c r="K3" s="69">
        <v>7</v>
      </c>
      <c r="L3" s="69">
        <v>2</v>
      </c>
      <c r="M3" s="69">
        <v>0</v>
      </c>
      <c r="N3" s="69">
        <v>4</v>
      </c>
      <c r="O3" s="69">
        <v>3</v>
      </c>
      <c r="P3" s="69">
        <v>6</v>
      </c>
      <c r="Q3" s="69">
        <v>2</v>
      </c>
      <c r="R3" s="69">
        <v>3</v>
      </c>
      <c r="S3" s="69">
        <v>0</v>
      </c>
      <c r="T3" s="69">
        <v>669</v>
      </c>
      <c r="U3" s="69">
        <v>8</v>
      </c>
      <c r="V3" s="69">
        <v>7</v>
      </c>
      <c r="W3" s="69">
        <v>1</v>
      </c>
      <c r="X3" s="69">
        <v>96</v>
      </c>
      <c r="Y3" s="69">
        <v>12</v>
      </c>
      <c r="Z3" s="69">
        <v>11</v>
      </c>
      <c r="AA3" s="69"/>
      <c r="AB3" s="77"/>
      <c r="AC3" s="77">
        <f>AD3+AE3</f>
        <v>12</v>
      </c>
      <c r="AD3" s="69">
        <v>0</v>
      </c>
      <c r="AE3" s="69">
        <v>12</v>
      </c>
      <c r="AF3" s="69">
        <v>15</v>
      </c>
      <c r="AG3" s="69">
        <v>3</v>
      </c>
      <c r="AH3" s="69">
        <f>AF3+AG3</f>
        <v>18</v>
      </c>
      <c r="AI3" s="71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x14ac:dyDescent="0.2">
      <c r="A4" s="67" t="s">
        <v>549</v>
      </c>
      <c r="B4" s="67">
        <v>1921</v>
      </c>
      <c r="C4" s="69">
        <v>7</v>
      </c>
      <c r="D4" s="67" t="s">
        <v>550</v>
      </c>
      <c r="G4" s="52"/>
      <c r="H4" s="52"/>
      <c r="I4" s="52">
        <v>21</v>
      </c>
      <c r="J4" s="52">
        <v>14</v>
      </c>
      <c r="K4" s="52">
        <v>5</v>
      </c>
      <c r="L4" s="52">
        <v>1</v>
      </c>
      <c r="M4" s="52">
        <v>1</v>
      </c>
      <c r="N4" s="52">
        <v>7</v>
      </c>
      <c r="O4" s="52">
        <v>3</v>
      </c>
      <c r="P4" s="52">
        <v>2</v>
      </c>
      <c r="Q4" s="52">
        <v>2</v>
      </c>
      <c r="R4" s="52">
        <v>3</v>
      </c>
      <c r="S4" s="52">
        <v>4</v>
      </c>
      <c r="T4" s="52">
        <v>832</v>
      </c>
      <c r="U4" s="52">
        <v>0</v>
      </c>
      <c r="V4" s="52">
        <v>1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12</v>
      </c>
      <c r="AD4" s="52">
        <v>0</v>
      </c>
      <c r="AE4" s="52">
        <v>0</v>
      </c>
      <c r="AF4" s="52">
        <v>18</v>
      </c>
      <c r="AG4" s="52">
        <v>3</v>
      </c>
      <c r="AH4">
        <f>AG4+AF4</f>
        <v>21</v>
      </c>
      <c r="AI4" s="52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72" ht="17.5" customHeight="1" x14ac:dyDescent="0.2">
      <c r="A5" s="73" t="s">
        <v>312</v>
      </c>
      <c r="B5" s="35">
        <v>1911</v>
      </c>
      <c r="C5" s="29">
        <v>18</v>
      </c>
      <c r="D5" s="33" t="s">
        <v>524</v>
      </c>
      <c r="E5" s="29"/>
      <c r="G5" s="144"/>
      <c r="I5" s="39">
        <v>114</v>
      </c>
      <c r="J5" s="29">
        <v>74</v>
      </c>
      <c r="K5" s="29">
        <v>23</v>
      </c>
      <c r="L5" s="29">
        <v>9</v>
      </c>
      <c r="M5" s="29">
        <v>8</v>
      </c>
      <c r="N5" s="29">
        <v>16</v>
      </c>
      <c r="O5" s="29">
        <v>11</v>
      </c>
      <c r="P5" s="29">
        <v>10</v>
      </c>
      <c r="Q5" s="29">
        <v>12</v>
      </c>
      <c r="R5" s="29">
        <v>6</v>
      </c>
      <c r="S5" s="29">
        <v>59</v>
      </c>
      <c r="T5" s="29">
        <v>3282</v>
      </c>
      <c r="U5" s="29">
        <v>21</v>
      </c>
      <c r="V5" s="29">
        <v>71</v>
      </c>
      <c r="W5" s="29">
        <v>5</v>
      </c>
      <c r="X5" s="29">
        <v>41</v>
      </c>
      <c r="Y5" s="29">
        <v>8</v>
      </c>
      <c r="Z5" s="29">
        <v>8</v>
      </c>
      <c r="AA5" s="29">
        <v>0</v>
      </c>
      <c r="AB5" s="29">
        <v>0</v>
      </c>
      <c r="AC5" s="29">
        <v>81</v>
      </c>
      <c r="AD5" s="29">
        <v>14</v>
      </c>
      <c r="AE5" s="29">
        <v>34</v>
      </c>
      <c r="AF5" s="29">
        <v>61</v>
      </c>
      <c r="AG5" s="29">
        <f>I5-AF5</f>
        <v>53</v>
      </c>
      <c r="AH5" s="29">
        <f>AG5+AF5</f>
        <v>114</v>
      </c>
      <c r="AI5" s="8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</row>
    <row r="6" spans="1:72" s="2" customFormat="1" x14ac:dyDescent="0.2">
      <c r="A6" s="73" t="s">
        <v>312</v>
      </c>
      <c r="B6" s="44">
        <v>1921</v>
      </c>
      <c r="C6" s="29">
        <v>18</v>
      </c>
      <c r="D6" s="33" t="s">
        <v>524</v>
      </c>
      <c r="E6" s="44"/>
      <c r="G6" s="144"/>
      <c r="I6" s="29">
        <v>91</v>
      </c>
      <c r="J6" s="29">
        <v>69</v>
      </c>
      <c r="K6" s="29">
        <v>15</v>
      </c>
      <c r="L6" s="29">
        <v>4</v>
      </c>
      <c r="M6" s="29">
        <v>3</v>
      </c>
      <c r="N6" s="29">
        <v>15</v>
      </c>
      <c r="O6" s="29">
        <v>7</v>
      </c>
      <c r="P6" s="29">
        <v>11</v>
      </c>
      <c r="Q6" s="29">
        <v>6</v>
      </c>
      <c r="R6" s="29">
        <v>6</v>
      </c>
      <c r="S6" s="29">
        <v>46</v>
      </c>
      <c r="T6" s="29">
        <v>3138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60</v>
      </c>
      <c r="AD6" s="29">
        <v>0</v>
      </c>
      <c r="AE6" s="29">
        <v>6</v>
      </c>
      <c r="AF6" s="29">
        <v>48</v>
      </c>
      <c r="AG6" s="29">
        <f>I6-AF6</f>
        <v>43</v>
      </c>
      <c r="AH6" s="29">
        <f>AG6+AF6</f>
        <v>91</v>
      </c>
    </row>
    <row r="7" spans="1:72" ht="30" customHeight="1" x14ac:dyDescent="0.2">
      <c r="A7" s="73" t="s">
        <v>312</v>
      </c>
      <c r="B7" s="35">
        <v>1911</v>
      </c>
      <c r="C7" s="29">
        <f>C5-C6</f>
        <v>0</v>
      </c>
      <c r="D7" s="33" t="s">
        <v>524</v>
      </c>
      <c r="E7" s="30" t="s">
        <v>532</v>
      </c>
      <c r="G7" s="144"/>
      <c r="I7" s="39">
        <f t="shared" ref="I7:S7" si="0">I5-I6</f>
        <v>23</v>
      </c>
      <c r="J7">
        <f t="shared" si="0"/>
        <v>5</v>
      </c>
      <c r="K7">
        <f t="shared" si="0"/>
        <v>8</v>
      </c>
      <c r="L7">
        <f t="shared" si="0"/>
        <v>5</v>
      </c>
      <c r="M7">
        <f t="shared" si="0"/>
        <v>5</v>
      </c>
      <c r="N7">
        <f t="shared" si="0"/>
        <v>1</v>
      </c>
      <c r="O7">
        <f t="shared" si="0"/>
        <v>4</v>
      </c>
      <c r="P7">
        <f t="shared" si="0"/>
        <v>-1</v>
      </c>
      <c r="Q7">
        <f t="shared" si="0"/>
        <v>6</v>
      </c>
      <c r="R7">
        <f t="shared" si="0"/>
        <v>0</v>
      </c>
      <c r="S7">
        <f t="shared" si="0"/>
        <v>13</v>
      </c>
      <c r="T7" s="64" t="e">
        <f>T5/G7</f>
        <v>#DIV/0!</v>
      </c>
      <c r="U7" s="29"/>
      <c r="V7" s="29"/>
      <c r="W7" s="29"/>
      <c r="X7" s="29"/>
      <c r="Y7" s="29"/>
      <c r="Z7" s="29"/>
      <c r="AA7" s="29"/>
      <c r="AB7" s="29"/>
      <c r="AC7" s="74">
        <f>AC5-AC6</f>
        <v>21</v>
      </c>
      <c r="AD7" s="74">
        <f>AD5-AD6</f>
        <v>14</v>
      </c>
      <c r="AE7" s="74">
        <f>AE5-AE6</f>
        <v>28</v>
      </c>
      <c r="AF7" s="29">
        <f>AF5-AF6</f>
        <v>13</v>
      </c>
      <c r="AG7" s="39">
        <f>I7-AF7</f>
        <v>10</v>
      </c>
      <c r="AH7" s="74">
        <f>AH5-AH6</f>
        <v>23</v>
      </c>
    </row>
    <row r="8" spans="1:72" x14ac:dyDescent="0.2">
      <c r="A8" s="73" t="s">
        <v>312</v>
      </c>
      <c r="B8" s="44">
        <v>1921</v>
      </c>
      <c r="C8" s="65">
        <f>C7/C6</f>
        <v>0</v>
      </c>
      <c r="D8" s="33" t="s">
        <v>524</v>
      </c>
      <c r="E8" s="29" t="s">
        <v>531</v>
      </c>
      <c r="G8" s="175"/>
      <c r="I8" s="72">
        <f>I6/I5</f>
        <v>0.79824561403508776</v>
      </c>
      <c r="J8" s="72">
        <f t="shared" ref="J8:S8" si="1">J7/J5</f>
        <v>6.7567567567567571E-2</v>
      </c>
      <c r="K8" s="72">
        <f t="shared" si="1"/>
        <v>0.34782608695652173</v>
      </c>
      <c r="L8" s="72">
        <f t="shared" si="1"/>
        <v>0.55555555555555558</v>
      </c>
      <c r="M8" s="72">
        <f t="shared" si="1"/>
        <v>0.625</v>
      </c>
      <c r="N8" s="72">
        <f t="shared" si="1"/>
        <v>6.25E-2</v>
      </c>
      <c r="O8" s="72">
        <f t="shared" si="1"/>
        <v>0.36363636363636365</v>
      </c>
      <c r="P8" s="72">
        <f t="shared" si="1"/>
        <v>-0.1</v>
      </c>
      <c r="Q8" s="72">
        <f t="shared" si="1"/>
        <v>0.5</v>
      </c>
      <c r="R8" s="72">
        <f t="shared" si="1"/>
        <v>0</v>
      </c>
      <c r="S8" s="72">
        <f t="shared" si="1"/>
        <v>0.22033898305084745</v>
      </c>
      <c r="T8" s="39">
        <f>T6/I6</f>
        <v>34.483516483516482</v>
      </c>
      <c r="U8" s="29"/>
      <c r="V8" s="29"/>
      <c r="W8" s="29"/>
      <c r="X8" s="29"/>
      <c r="Y8" s="29"/>
      <c r="Z8" s="29"/>
      <c r="AA8" s="30"/>
      <c r="AB8" s="30"/>
      <c r="AC8" s="72">
        <f t="shared" ref="AC8:AH8" si="2">AC7/AC5</f>
        <v>0.25925925925925924</v>
      </c>
      <c r="AD8" s="72">
        <f t="shared" si="2"/>
        <v>1</v>
      </c>
      <c r="AE8" s="72">
        <f t="shared" si="2"/>
        <v>0.82352941176470584</v>
      </c>
      <c r="AF8" s="72">
        <f t="shared" si="2"/>
        <v>0.21311475409836064</v>
      </c>
      <c r="AG8" s="72">
        <f t="shared" si="2"/>
        <v>0.18867924528301888</v>
      </c>
      <c r="AH8" s="72">
        <f t="shared" si="2"/>
        <v>0.20175438596491227</v>
      </c>
    </row>
    <row r="10" spans="1:72" s="2" customFormat="1" x14ac:dyDescent="0.2">
      <c r="A10" s="2" t="s">
        <v>253</v>
      </c>
      <c r="B10" s="44">
        <v>1911</v>
      </c>
      <c r="C10" s="44">
        <v>14</v>
      </c>
      <c r="D10" s="75" t="s">
        <v>533</v>
      </c>
      <c r="E10" s="44"/>
      <c r="G10" s="176"/>
      <c r="I10" s="44">
        <v>62</v>
      </c>
      <c r="J10" s="44">
        <v>49</v>
      </c>
      <c r="K10" s="69">
        <v>11</v>
      </c>
      <c r="L10" s="69">
        <v>2</v>
      </c>
      <c r="M10" s="69">
        <v>0</v>
      </c>
      <c r="N10" s="69">
        <v>13</v>
      </c>
      <c r="O10" s="69">
        <v>5</v>
      </c>
      <c r="P10" s="69">
        <v>10</v>
      </c>
      <c r="Q10" s="69">
        <v>2</v>
      </c>
      <c r="R10" s="69">
        <v>6</v>
      </c>
      <c r="S10" s="69">
        <v>26</v>
      </c>
      <c r="T10" s="69">
        <v>2532</v>
      </c>
      <c r="U10" s="44">
        <v>11</v>
      </c>
      <c r="V10" s="44">
        <v>37</v>
      </c>
      <c r="W10" s="44">
        <v>12</v>
      </c>
      <c r="X10" s="44">
        <v>216</v>
      </c>
      <c r="Y10" s="44">
        <v>29</v>
      </c>
      <c r="Z10" s="44">
        <v>25</v>
      </c>
      <c r="AA10" s="44"/>
      <c r="AB10" s="44"/>
      <c r="AC10" s="44">
        <v>39</v>
      </c>
      <c r="AD10" s="44">
        <v>8</v>
      </c>
      <c r="AE10" s="44">
        <v>31</v>
      </c>
      <c r="AF10" s="44">
        <v>29</v>
      </c>
      <c r="AG10" s="44">
        <v>33</v>
      </c>
      <c r="AH10" s="44">
        <f>AG10+AF10</f>
        <v>62</v>
      </c>
    </row>
    <row r="11" spans="1:72" x14ac:dyDescent="0.2">
      <c r="A11" s="2" t="s">
        <v>253</v>
      </c>
      <c r="B11" s="44">
        <v>1921</v>
      </c>
      <c r="C11" s="44">
        <v>11</v>
      </c>
      <c r="D11" s="75" t="s">
        <v>533</v>
      </c>
      <c r="E11" s="44"/>
      <c r="G11" s="177"/>
      <c r="I11" s="29">
        <v>59</v>
      </c>
      <c r="J11" s="44">
        <v>44</v>
      </c>
      <c r="K11" s="44">
        <v>11</v>
      </c>
      <c r="L11" s="44">
        <v>4</v>
      </c>
      <c r="M11" s="44">
        <v>0</v>
      </c>
      <c r="N11" s="44">
        <v>11</v>
      </c>
      <c r="O11" s="44">
        <v>6</v>
      </c>
      <c r="P11" s="44">
        <v>8</v>
      </c>
      <c r="Q11" s="44">
        <v>3</v>
      </c>
      <c r="R11" s="44">
        <v>8</v>
      </c>
      <c r="S11" s="44">
        <v>23</v>
      </c>
      <c r="T11" s="45">
        <v>1968</v>
      </c>
      <c r="U11" s="29"/>
      <c r="V11" s="29"/>
      <c r="W11" s="29"/>
      <c r="X11" s="29"/>
      <c r="Y11" s="29"/>
      <c r="Z11" s="29"/>
      <c r="AA11" s="29"/>
      <c r="AB11" s="29"/>
      <c r="AC11" s="29">
        <v>34</v>
      </c>
      <c r="AD11" s="29">
        <v>6</v>
      </c>
      <c r="AE11" s="29">
        <v>28</v>
      </c>
      <c r="AF11" s="29">
        <v>36</v>
      </c>
      <c r="AG11" s="29">
        <v>23</v>
      </c>
      <c r="AH11" s="29">
        <f>AG11+AF11</f>
        <v>59</v>
      </c>
    </row>
    <row r="12" spans="1:72" ht="31" customHeight="1" x14ac:dyDescent="0.2">
      <c r="A12" s="2" t="s">
        <v>253</v>
      </c>
      <c r="B12" s="35">
        <v>1911</v>
      </c>
      <c r="C12" s="29">
        <f>C10-C11</f>
        <v>3</v>
      </c>
      <c r="D12" s="75" t="s">
        <v>533</v>
      </c>
      <c r="E12" s="30" t="s">
        <v>532</v>
      </c>
      <c r="G12" s="177"/>
      <c r="I12" s="29">
        <f t="shared" ref="I12:S12" si="3">I10-I11</f>
        <v>3</v>
      </c>
      <c r="J12" s="29">
        <f t="shared" si="3"/>
        <v>5</v>
      </c>
      <c r="K12" s="29">
        <f t="shared" si="3"/>
        <v>0</v>
      </c>
      <c r="L12" s="29">
        <f t="shared" si="3"/>
        <v>-2</v>
      </c>
      <c r="M12" s="38">
        <f t="shared" si="3"/>
        <v>0</v>
      </c>
      <c r="N12" s="29">
        <f t="shared" si="3"/>
        <v>2</v>
      </c>
      <c r="O12" s="29">
        <f t="shared" si="3"/>
        <v>-1</v>
      </c>
      <c r="P12" s="29">
        <f t="shared" si="3"/>
        <v>2</v>
      </c>
      <c r="Q12" s="29">
        <f t="shared" si="3"/>
        <v>-1</v>
      </c>
      <c r="R12" s="29">
        <f t="shared" si="3"/>
        <v>-2</v>
      </c>
      <c r="S12" s="29">
        <f t="shared" si="3"/>
        <v>3</v>
      </c>
      <c r="T12" s="39">
        <f>T10/I10</f>
        <v>40.838709677419352</v>
      </c>
      <c r="U12" s="29">
        <f t="shared" ref="U12:AH12" si="4">U10-U11</f>
        <v>11</v>
      </c>
      <c r="V12" s="29">
        <f t="shared" si="4"/>
        <v>37</v>
      </c>
      <c r="W12" s="29">
        <f t="shared" si="4"/>
        <v>12</v>
      </c>
      <c r="X12" s="29">
        <f t="shared" si="4"/>
        <v>216</v>
      </c>
      <c r="Y12" s="29">
        <f t="shared" si="4"/>
        <v>29</v>
      </c>
      <c r="Z12" s="29">
        <f t="shared" si="4"/>
        <v>25</v>
      </c>
      <c r="AA12" s="29">
        <f t="shared" si="4"/>
        <v>0</v>
      </c>
      <c r="AB12" s="29">
        <f t="shared" si="4"/>
        <v>0</v>
      </c>
      <c r="AC12" s="29">
        <f t="shared" si="4"/>
        <v>5</v>
      </c>
      <c r="AD12" s="29">
        <f t="shared" si="4"/>
        <v>2</v>
      </c>
      <c r="AE12" s="29">
        <f t="shared" si="4"/>
        <v>3</v>
      </c>
      <c r="AF12" s="29">
        <f t="shared" si="4"/>
        <v>-7</v>
      </c>
      <c r="AG12" s="29">
        <f t="shared" si="4"/>
        <v>10</v>
      </c>
      <c r="AH12" s="29">
        <f t="shared" si="4"/>
        <v>3</v>
      </c>
    </row>
    <row r="13" spans="1:72" x14ac:dyDescent="0.2">
      <c r="A13" s="2" t="s">
        <v>253</v>
      </c>
      <c r="B13" s="44">
        <v>1921</v>
      </c>
      <c r="C13" s="65">
        <f>C12/C11</f>
        <v>0.27272727272727271</v>
      </c>
      <c r="D13" s="75" t="s">
        <v>533</v>
      </c>
      <c r="E13" s="29" t="s">
        <v>531</v>
      </c>
      <c r="G13" s="178"/>
      <c r="I13" s="72">
        <f>I11/I10</f>
        <v>0.95161290322580649</v>
      </c>
      <c r="J13" s="72">
        <f>J12/J10</f>
        <v>0.10204081632653061</v>
      </c>
      <c r="K13" s="72">
        <f>K12/K10</f>
        <v>0</v>
      </c>
      <c r="L13" s="72">
        <f>L12/L10</f>
        <v>-1</v>
      </c>
      <c r="M13" s="72">
        <v>0</v>
      </c>
      <c r="N13" s="72">
        <f t="shared" ref="N13:S13" si="5">N12/N10</f>
        <v>0.15384615384615385</v>
      </c>
      <c r="O13" s="72">
        <f t="shared" si="5"/>
        <v>-0.2</v>
      </c>
      <c r="P13" s="72">
        <f t="shared" si="5"/>
        <v>0.2</v>
      </c>
      <c r="Q13" s="72">
        <f t="shared" si="5"/>
        <v>-0.5</v>
      </c>
      <c r="R13" s="72">
        <f t="shared" si="5"/>
        <v>-0.33333333333333331</v>
      </c>
      <c r="S13" s="72">
        <f t="shared" si="5"/>
        <v>0.11538461538461539</v>
      </c>
      <c r="T13" s="74">
        <f>T11/I11</f>
        <v>33.355932203389834</v>
      </c>
      <c r="U13" s="72"/>
      <c r="V13" s="72"/>
      <c r="W13" s="72"/>
      <c r="X13" s="72"/>
      <c r="Y13" s="72"/>
      <c r="Z13" s="72"/>
      <c r="AA13" s="72"/>
      <c r="AB13" s="72"/>
      <c r="AC13" s="72">
        <f t="shared" ref="AC13:AH13" si="6">AC12/AC10</f>
        <v>0.12820512820512819</v>
      </c>
      <c r="AD13" s="72">
        <f t="shared" si="6"/>
        <v>0.25</v>
      </c>
      <c r="AE13" s="72">
        <f t="shared" si="6"/>
        <v>9.6774193548387094E-2</v>
      </c>
      <c r="AF13" s="72">
        <f t="shared" si="6"/>
        <v>-0.2413793103448276</v>
      </c>
      <c r="AG13" s="72">
        <f t="shared" si="6"/>
        <v>0.30303030303030304</v>
      </c>
      <c r="AH13" s="72">
        <f t="shared" si="6"/>
        <v>4.8387096774193547E-2</v>
      </c>
    </row>
    <row r="14" spans="1:72" x14ac:dyDescent="0.2"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72" ht="17" x14ac:dyDescent="0.2">
      <c r="A15" s="166" t="s">
        <v>553</v>
      </c>
      <c r="B15" s="171">
        <v>1911</v>
      </c>
      <c r="C15" s="171">
        <v>4</v>
      </c>
      <c r="D15" s="167" t="s">
        <v>554</v>
      </c>
      <c r="E15" s="53"/>
      <c r="G15" s="179"/>
      <c r="I15" s="172">
        <v>18</v>
      </c>
      <c r="J15" s="114">
        <v>10</v>
      </c>
      <c r="K15" s="114">
        <v>4</v>
      </c>
      <c r="L15" s="114">
        <v>0</v>
      </c>
      <c r="M15" s="114">
        <v>4</v>
      </c>
      <c r="N15" s="114">
        <v>4</v>
      </c>
      <c r="O15" s="114">
        <v>2</v>
      </c>
      <c r="P15" s="114">
        <v>1</v>
      </c>
      <c r="Q15" s="114">
        <v>4</v>
      </c>
      <c r="R15" s="114">
        <v>2</v>
      </c>
      <c r="S15" s="114">
        <v>5</v>
      </c>
      <c r="T15" s="114">
        <v>592</v>
      </c>
      <c r="U15" s="114">
        <v>5</v>
      </c>
      <c r="V15" s="114">
        <v>7</v>
      </c>
      <c r="W15" s="114">
        <v>2</v>
      </c>
      <c r="X15" s="114">
        <v>15</v>
      </c>
      <c r="Y15" s="114">
        <v>2</v>
      </c>
      <c r="Z15" s="114">
        <v>2</v>
      </c>
      <c r="AA15" s="114">
        <v>0</v>
      </c>
      <c r="AB15" s="114">
        <v>0</v>
      </c>
      <c r="AC15" s="171">
        <v>10</v>
      </c>
      <c r="AD15" s="114">
        <v>4</v>
      </c>
      <c r="AE15" s="114">
        <v>6</v>
      </c>
      <c r="AF15" s="114">
        <v>10</v>
      </c>
      <c r="AG15" s="114">
        <v>8</v>
      </c>
      <c r="AH15" s="114">
        <f>AG15+AF15</f>
        <v>18</v>
      </c>
      <c r="AI15" s="94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ht="17" customHeight="1" x14ac:dyDescent="0.2">
      <c r="A16" s="28" t="s">
        <v>553</v>
      </c>
      <c r="B16" s="35">
        <v>1921</v>
      </c>
      <c r="C16" s="34">
        <v>6</v>
      </c>
      <c r="D16" s="168" t="s">
        <v>554</v>
      </c>
      <c r="E16" s="29"/>
      <c r="G16" s="144"/>
      <c r="I16" s="39">
        <v>20</v>
      </c>
      <c r="J16" s="29">
        <v>15</v>
      </c>
      <c r="K16" s="29">
        <v>5</v>
      </c>
      <c r="L16" s="29">
        <v>0</v>
      </c>
      <c r="M16" s="29">
        <v>0</v>
      </c>
      <c r="N16" s="29">
        <v>6</v>
      </c>
      <c r="O16" s="29">
        <v>3</v>
      </c>
      <c r="P16" s="29">
        <v>0</v>
      </c>
      <c r="Q16" s="29">
        <v>0</v>
      </c>
      <c r="R16" s="29">
        <v>3</v>
      </c>
      <c r="S16" s="29">
        <v>8</v>
      </c>
      <c r="T16" s="29">
        <v>783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34">
        <v>0</v>
      </c>
      <c r="AC16" s="29">
        <v>15</v>
      </c>
      <c r="AD16" s="29">
        <v>4</v>
      </c>
      <c r="AE16" s="29">
        <v>11</v>
      </c>
      <c r="AF16" s="29">
        <v>7</v>
      </c>
      <c r="AG16" s="29">
        <v>13</v>
      </c>
      <c r="AH16" s="29">
        <f>AG16+AF16</f>
        <v>20</v>
      </c>
      <c r="AI16" s="165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</row>
    <row r="17" spans="1:72" ht="31" customHeight="1" x14ac:dyDescent="0.2">
      <c r="A17" s="28" t="s">
        <v>553</v>
      </c>
      <c r="B17" s="35">
        <v>1911</v>
      </c>
      <c r="C17" s="29">
        <f>C15-C16</f>
        <v>-2</v>
      </c>
      <c r="D17" s="168" t="s">
        <v>554</v>
      </c>
      <c r="E17" s="30" t="s">
        <v>532</v>
      </c>
      <c r="G17" s="144"/>
      <c r="I17" s="29">
        <f t="shared" ref="I17:S17" si="7">I15-I16</f>
        <v>-2</v>
      </c>
      <c r="J17" s="29">
        <f t="shared" si="7"/>
        <v>-5</v>
      </c>
      <c r="K17" s="29">
        <f t="shared" si="7"/>
        <v>-1</v>
      </c>
      <c r="L17" s="29">
        <f t="shared" si="7"/>
        <v>0</v>
      </c>
      <c r="M17" s="29">
        <f t="shared" si="7"/>
        <v>4</v>
      </c>
      <c r="N17" s="29">
        <f t="shared" si="7"/>
        <v>-2</v>
      </c>
      <c r="O17" s="29">
        <f t="shared" si="7"/>
        <v>-1</v>
      </c>
      <c r="P17" s="29">
        <f t="shared" si="7"/>
        <v>1</v>
      </c>
      <c r="Q17" s="29">
        <f t="shared" si="7"/>
        <v>4</v>
      </c>
      <c r="R17" s="29">
        <f t="shared" si="7"/>
        <v>-1</v>
      </c>
      <c r="S17" s="29">
        <f t="shared" si="7"/>
        <v>-3</v>
      </c>
      <c r="T17" s="39">
        <f>T15/I15</f>
        <v>32.888888888888886</v>
      </c>
      <c r="U17" s="29">
        <f t="shared" ref="U17:AH17" si="8">U15-U16</f>
        <v>5</v>
      </c>
      <c r="V17" s="29">
        <f t="shared" si="8"/>
        <v>7</v>
      </c>
      <c r="W17" s="29">
        <f t="shared" si="8"/>
        <v>2</v>
      </c>
      <c r="X17" s="29">
        <f t="shared" si="8"/>
        <v>15</v>
      </c>
      <c r="Y17" s="29">
        <f t="shared" si="8"/>
        <v>2</v>
      </c>
      <c r="Z17" s="29">
        <f t="shared" si="8"/>
        <v>2</v>
      </c>
      <c r="AA17" s="29">
        <f t="shared" si="8"/>
        <v>0</v>
      </c>
      <c r="AB17" s="29">
        <f t="shared" si="8"/>
        <v>0</v>
      </c>
      <c r="AC17" s="29">
        <f t="shared" si="8"/>
        <v>-5</v>
      </c>
      <c r="AD17" s="29">
        <f t="shared" si="8"/>
        <v>0</v>
      </c>
      <c r="AE17" s="29">
        <f t="shared" si="8"/>
        <v>-5</v>
      </c>
      <c r="AF17" s="29">
        <f t="shared" si="8"/>
        <v>3</v>
      </c>
      <c r="AG17" s="29">
        <f t="shared" si="8"/>
        <v>-5</v>
      </c>
      <c r="AH17" s="29">
        <f t="shared" si="8"/>
        <v>-2</v>
      </c>
    </row>
    <row r="18" spans="1:72" s="65" customFormat="1" ht="17" x14ac:dyDescent="0.2">
      <c r="A18" s="169" t="s">
        <v>553</v>
      </c>
      <c r="B18" s="164">
        <v>1921</v>
      </c>
      <c r="C18" s="72">
        <f>C17/C16</f>
        <v>-0.33333333333333331</v>
      </c>
      <c r="D18" s="170" t="s">
        <v>554</v>
      </c>
      <c r="E18" s="146" t="s">
        <v>531</v>
      </c>
      <c r="G18" s="180"/>
      <c r="I18" s="72">
        <f>I16/I15</f>
        <v>1.1111111111111112</v>
      </c>
      <c r="J18" s="72">
        <f>J17/J15</f>
        <v>-0.5</v>
      </c>
      <c r="K18" s="72">
        <f>K17/K15</f>
        <v>-0.25</v>
      </c>
      <c r="L18" s="72" t="e">
        <f>L17/L15</f>
        <v>#DIV/0!</v>
      </c>
      <c r="M18" s="72">
        <v>0</v>
      </c>
      <c r="N18" s="72">
        <f t="shared" ref="N18:S18" si="9">N17/N15</f>
        <v>-0.5</v>
      </c>
      <c r="O18" s="72">
        <f t="shared" si="9"/>
        <v>-0.5</v>
      </c>
      <c r="P18" s="72">
        <f t="shared" si="9"/>
        <v>1</v>
      </c>
      <c r="Q18" s="72">
        <f t="shared" si="9"/>
        <v>1</v>
      </c>
      <c r="R18" s="72">
        <f t="shared" si="9"/>
        <v>-0.5</v>
      </c>
      <c r="S18" s="72">
        <f t="shared" si="9"/>
        <v>-0.6</v>
      </c>
      <c r="T18" s="74">
        <f>T16/I16</f>
        <v>39.15</v>
      </c>
      <c r="U18" s="72"/>
      <c r="V18" s="72"/>
      <c r="W18" s="72"/>
      <c r="X18" s="72"/>
      <c r="Y18" s="72"/>
      <c r="Z18" s="72"/>
      <c r="AA18" s="72"/>
      <c r="AB18" s="72"/>
      <c r="AC18" s="72">
        <f>AC17/AC15</f>
        <v>-0.5</v>
      </c>
      <c r="AD18" s="72"/>
      <c r="AE18" s="72"/>
      <c r="AF18" s="72"/>
      <c r="AG18" s="72">
        <f>AG17/AG15</f>
        <v>-0.625</v>
      </c>
      <c r="AH18" s="72">
        <f>AH17/AH15</f>
        <v>-0.1111111111111111</v>
      </c>
    </row>
    <row r="20" spans="1:72" ht="38" customHeight="1" x14ac:dyDescent="0.2">
      <c r="A20" s="76" t="s">
        <v>551</v>
      </c>
      <c r="B20" s="67" t="s">
        <v>523</v>
      </c>
      <c r="C20" s="77">
        <v>13</v>
      </c>
      <c r="D20" s="78" t="s">
        <v>552</v>
      </c>
      <c r="E20" s="53"/>
      <c r="F20" s="69">
        <v>7</v>
      </c>
      <c r="G20" s="131"/>
      <c r="H20" s="131"/>
      <c r="I20" s="70">
        <v>48</v>
      </c>
      <c r="J20" s="69">
        <v>34</v>
      </c>
      <c r="K20" s="69">
        <v>14</v>
      </c>
      <c r="L20" s="69">
        <v>0</v>
      </c>
      <c r="M20" s="69">
        <v>0</v>
      </c>
      <c r="N20" s="69">
        <v>8</v>
      </c>
      <c r="O20" s="69">
        <v>5</v>
      </c>
      <c r="P20" s="69">
        <v>6</v>
      </c>
      <c r="Q20" s="69">
        <v>5</v>
      </c>
      <c r="R20" s="69">
        <v>4</v>
      </c>
      <c r="S20" s="69">
        <v>20</v>
      </c>
      <c r="T20" s="69">
        <v>1723</v>
      </c>
      <c r="U20" s="69">
        <v>10</v>
      </c>
      <c r="V20" s="69">
        <v>36</v>
      </c>
      <c r="W20" s="69">
        <v>1</v>
      </c>
      <c r="X20" s="69">
        <v>130</v>
      </c>
      <c r="Y20" s="69">
        <v>12</v>
      </c>
      <c r="Z20" s="69">
        <v>10</v>
      </c>
      <c r="AA20" s="69">
        <v>0</v>
      </c>
      <c r="AB20" s="69">
        <v>0</v>
      </c>
      <c r="AC20" s="77">
        <v>33</v>
      </c>
      <c r="AD20" s="69">
        <v>8</v>
      </c>
      <c r="AE20" s="69">
        <v>17</v>
      </c>
      <c r="AF20" s="69">
        <v>31</v>
      </c>
      <c r="AG20" s="69">
        <v>17</v>
      </c>
      <c r="AH20" s="69">
        <f>AG20+AF20</f>
        <v>48</v>
      </c>
      <c r="AI20" s="71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72" x14ac:dyDescent="0.2">
      <c r="A21" t="s">
        <v>551</v>
      </c>
      <c r="B21">
        <v>1921</v>
      </c>
      <c r="C21">
        <v>10</v>
      </c>
      <c r="D21" s="78" t="s">
        <v>552</v>
      </c>
      <c r="E21" s="29"/>
      <c r="G21"/>
      <c r="I21">
        <v>42</v>
      </c>
      <c r="J21">
        <v>29</v>
      </c>
      <c r="K21">
        <v>10</v>
      </c>
      <c r="L21">
        <v>0</v>
      </c>
      <c r="M21">
        <v>3</v>
      </c>
      <c r="N21">
        <v>11</v>
      </c>
      <c r="O21">
        <v>5</v>
      </c>
      <c r="P21">
        <v>2</v>
      </c>
      <c r="Q21">
        <v>2</v>
      </c>
      <c r="R21">
        <v>8</v>
      </c>
      <c r="S21">
        <v>14</v>
      </c>
      <c r="T21">
        <v>1718</v>
      </c>
      <c r="U21">
        <v>0</v>
      </c>
      <c r="V21">
        <v>0</v>
      </c>
      <c r="W21">
        <v>5</v>
      </c>
      <c r="X21">
        <v>0</v>
      </c>
      <c r="Y21">
        <v>0</v>
      </c>
      <c r="Z21">
        <v>0</v>
      </c>
      <c r="AB21">
        <v>0</v>
      </c>
      <c r="AC21">
        <v>28</v>
      </c>
      <c r="AD21">
        <v>5</v>
      </c>
      <c r="AE21">
        <v>23</v>
      </c>
      <c r="AF21">
        <v>17</v>
      </c>
      <c r="AG21">
        <v>25</v>
      </c>
      <c r="AH21">
        <f>AG21+AF21</f>
        <v>42</v>
      </c>
    </row>
    <row r="22" spans="1:72" ht="30" customHeight="1" x14ac:dyDescent="0.2">
      <c r="A22" s="76" t="s">
        <v>551</v>
      </c>
      <c r="B22" s="67" t="s">
        <v>523</v>
      </c>
      <c r="C22">
        <f>C20-C21</f>
        <v>3</v>
      </c>
      <c r="D22" s="78" t="s">
        <v>552</v>
      </c>
      <c r="E22" s="30" t="s">
        <v>532</v>
      </c>
      <c r="I22">
        <f t="shared" ref="I22:AH22" si="10">I20-I21</f>
        <v>6</v>
      </c>
      <c r="J22">
        <f t="shared" si="10"/>
        <v>5</v>
      </c>
      <c r="K22">
        <f t="shared" si="10"/>
        <v>4</v>
      </c>
      <c r="L22">
        <f t="shared" si="10"/>
        <v>0</v>
      </c>
      <c r="M22">
        <f t="shared" si="10"/>
        <v>-3</v>
      </c>
      <c r="N22">
        <f t="shared" si="10"/>
        <v>-3</v>
      </c>
      <c r="O22">
        <f t="shared" si="10"/>
        <v>0</v>
      </c>
      <c r="P22">
        <f t="shared" si="10"/>
        <v>4</v>
      </c>
      <c r="Q22">
        <f t="shared" si="10"/>
        <v>3</v>
      </c>
      <c r="R22">
        <f t="shared" si="10"/>
        <v>-4</v>
      </c>
      <c r="S22">
        <f t="shared" si="10"/>
        <v>6</v>
      </c>
      <c r="T22">
        <f t="shared" si="10"/>
        <v>5</v>
      </c>
      <c r="U22">
        <f t="shared" si="10"/>
        <v>10</v>
      </c>
      <c r="V22">
        <f t="shared" si="10"/>
        <v>36</v>
      </c>
      <c r="W22">
        <f t="shared" si="10"/>
        <v>-4</v>
      </c>
      <c r="X22">
        <f t="shared" si="10"/>
        <v>130</v>
      </c>
      <c r="Y22">
        <f t="shared" si="10"/>
        <v>12</v>
      </c>
      <c r="Z22">
        <f t="shared" si="10"/>
        <v>10</v>
      </c>
      <c r="AA22">
        <f t="shared" si="10"/>
        <v>0</v>
      </c>
      <c r="AB22">
        <f t="shared" si="10"/>
        <v>0</v>
      </c>
      <c r="AC22">
        <f t="shared" si="10"/>
        <v>5</v>
      </c>
      <c r="AD22">
        <f t="shared" si="10"/>
        <v>3</v>
      </c>
      <c r="AE22">
        <f t="shared" si="10"/>
        <v>-6</v>
      </c>
      <c r="AF22">
        <f t="shared" si="10"/>
        <v>14</v>
      </c>
      <c r="AG22">
        <f t="shared" si="10"/>
        <v>-8</v>
      </c>
      <c r="AH22">
        <f t="shared" si="10"/>
        <v>6</v>
      </c>
    </row>
    <row r="23" spans="1:72" x14ac:dyDescent="0.2">
      <c r="A23" t="s">
        <v>551</v>
      </c>
      <c r="B23">
        <v>1921</v>
      </c>
      <c r="C23" s="66">
        <f>C22/C21</f>
        <v>0.3</v>
      </c>
      <c r="D23" s="78" t="s">
        <v>552</v>
      </c>
      <c r="E23" s="146" t="s">
        <v>531</v>
      </c>
      <c r="I23" s="66">
        <f t="shared" ref="I23:AG23" si="11">I21/I20</f>
        <v>0.875</v>
      </c>
      <c r="J23" s="66">
        <f t="shared" si="11"/>
        <v>0.8529411764705882</v>
      </c>
      <c r="K23" s="66">
        <f t="shared" si="11"/>
        <v>0.7142857142857143</v>
      </c>
      <c r="L23" s="66" t="e">
        <f t="shared" si="11"/>
        <v>#DIV/0!</v>
      </c>
      <c r="M23" s="66" t="e">
        <f t="shared" si="11"/>
        <v>#DIV/0!</v>
      </c>
      <c r="N23" s="66">
        <f t="shared" si="11"/>
        <v>1.375</v>
      </c>
      <c r="O23" s="66">
        <f t="shared" si="11"/>
        <v>1</v>
      </c>
      <c r="P23" s="66">
        <f t="shared" si="11"/>
        <v>0.33333333333333331</v>
      </c>
      <c r="Q23" s="66">
        <f t="shared" si="11"/>
        <v>0.4</v>
      </c>
      <c r="R23" s="66">
        <f t="shared" si="11"/>
        <v>2</v>
      </c>
      <c r="S23" s="66">
        <f t="shared" si="11"/>
        <v>0.7</v>
      </c>
      <c r="T23" s="66">
        <f t="shared" si="11"/>
        <v>0.99709808473592576</v>
      </c>
      <c r="U23" s="66">
        <f t="shared" si="11"/>
        <v>0</v>
      </c>
      <c r="V23" s="66">
        <f t="shared" si="11"/>
        <v>0</v>
      </c>
      <c r="W23" s="66">
        <f t="shared" si="11"/>
        <v>5</v>
      </c>
      <c r="X23" s="66">
        <f t="shared" si="11"/>
        <v>0</v>
      </c>
      <c r="Y23" s="66">
        <f t="shared" si="11"/>
        <v>0</v>
      </c>
      <c r="Z23" s="66">
        <f t="shared" si="11"/>
        <v>0</v>
      </c>
      <c r="AA23" s="66" t="e">
        <f t="shared" si="11"/>
        <v>#DIV/0!</v>
      </c>
      <c r="AB23" s="66" t="e">
        <f t="shared" si="11"/>
        <v>#DIV/0!</v>
      </c>
      <c r="AC23" s="66">
        <f t="shared" si="11"/>
        <v>0.84848484848484851</v>
      </c>
      <c r="AD23" s="66">
        <f t="shared" si="11"/>
        <v>0.625</v>
      </c>
      <c r="AE23" s="66">
        <f t="shared" si="11"/>
        <v>1.3529411764705883</v>
      </c>
      <c r="AF23" s="66">
        <f t="shared" si="11"/>
        <v>0.54838709677419351</v>
      </c>
      <c r="AG23" s="66">
        <f t="shared" si="11"/>
        <v>1.4705882352941178</v>
      </c>
      <c r="AH23" s="66">
        <f>AH22/AH20</f>
        <v>0.125</v>
      </c>
    </row>
    <row r="24" spans="1:72" ht="17" thickBot="1" x14ac:dyDescent="0.25"/>
    <row r="25" spans="1:72" x14ac:dyDescent="0.2">
      <c r="A25" s="7" t="s">
        <v>555</v>
      </c>
      <c r="B25" s="67" t="s">
        <v>523</v>
      </c>
      <c r="C25" s="7">
        <v>3</v>
      </c>
      <c r="D25" s="95" t="s">
        <v>556</v>
      </c>
      <c r="E25" s="53"/>
      <c r="F25" s="7">
        <v>2</v>
      </c>
      <c r="G25" s="132"/>
      <c r="H25" s="132"/>
      <c r="I25" s="20">
        <v>16</v>
      </c>
      <c r="J25" s="7">
        <v>8</v>
      </c>
      <c r="K25" s="7">
        <v>6</v>
      </c>
      <c r="L25" s="7">
        <v>1</v>
      </c>
      <c r="M25" s="7">
        <v>1</v>
      </c>
      <c r="N25" s="96">
        <v>2</v>
      </c>
      <c r="O25" s="96">
        <v>2</v>
      </c>
      <c r="P25" s="96">
        <v>2</v>
      </c>
      <c r="Q25" s="96">
        <v>5</v>
      </c>
      <c r="R25" s="96">
        <v>0</v>
      </c>
      <c r="S25" s="96">
        <v>5</v>
      </c>
      <c r="T25" s="7">
        <v>458</v>
      </c>
      <c r="U25" s="7">
        <v>4</v>
      </c>
      <c r="V25" s="7">
        <v>10</v>
      </c>
      <c r="W25" s="7">
        <v>0</v>
      </c>
      <c r="X25" s="7">
        <v>25</v>
      </c>
      <c r="Y25" s="7">
        <v>5</v>
      </c>
      <c r="Z25" s="7">
        <v>5</v>
      </c>
      <c r="AA25" s="7">
        <v>0</v>
      </c>
      <c r="AB25" s="7">
        <v>0</v>
      </c>
      <c r="AC25" s="7">
        <v>12</v>
      </c>
      <c r="AD25" s="7">
        <v>0</v>
      </c>
      <c r="AE25" s="7">
        <v>9</v>
      </c>
      <c r="AF25" s="7">
        <v>9</v>
      </c>
      <c r="AG25" s="7">
        <v>7</v>
      </c>
      <c r="AH25" s="69">
        <f>AF25+AG25</f>
        <v>16</v>
      </c>
      <c r="AI25" s="8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72" x14ac:dyDescent="0.2">
      <c r="A26" s="7" t="s">
        <v>555</v>
      </c>
      <c r="B26">
        <v>1921</v>
      </c>
      <c r="C26" s="7">
        <v>3</v>
      </c>
      <c r="D26" s="95" t="s">
        <v>556</v>
      </c>
      <c r="I26">
        <v>16</v>
      </c>
      <c r="J26">
        <v>13</v>
      </c>
      <c r="K26">
        <v>3</v>
      </c>
      <c r="L26">
        <v>0</v>
      </c>
      <c r="M26">
        <v>0</v>
      </c>
      <c r="N26">
        <v>3</v>
      </c>
      <c r="O26">
        <v>3</v>
      </c>
      <c r="P26">
        <v>1</v>
      </c>
      <c r="Q26">
        <v>0</v>
      </c>
      <c r="R26">
        <v>1</v>
      </c>
      <c r="S26">
        <v>8</v>
      </c>
      <c r="T26">
        <v>600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12</v>
      </c>
      <c r="AD26">
        <v>2</v>
      </c>
      <c r="AE26">
        <v>10</v>
      </c>
      <c r="AF26">
        <v>7</v>
      </c>
      <c r="AG26">
        <v>9</v>
      </c>
      <c r="AH26">
        <v>16</v>
      </c>
    </row>
    <row r="27" spans="1:72" ht="35" customHeight="1" x14ac:dyDescent="0.2">
      <c r="A27" s="7" t="s">
        <v>555</v>
      </c>
      <c r="B27" s="67" t="s">
        <v>523</v>
      </c>
      <c r="C27" s="7">
        <f>C25-C26</f>
        <v>0</v>
      </c>
      <c r="D27" s="95" t="s">
        <v>556</v>
      </c>
      <c r="E27" s="30" t="s">
        <v>532</v>
      </c>
      <c r="G27" s="139"/>
      <c r="H27" s="139"/>
      <c r="I27" s="64">
        <f>I25-I26</f>
        <v>0</v>
      </c>
      <c r="J27" s="64">
        <f t="shared" ref="J27:AH27" si="12">J25-J26</f>
        <v>-5</v>
      </c>
      <c r="K27" s="64">
        <f t="shared" si="12"/>
        <v>3</v>
      </c>
      <c r="L27" s="64">
        <f t="shared" si="12"/>
        <v>1</v>
      </c>
      <c r="M27" s="64">
        <f t="shared" si="12"/>
        <v>1</v>
      </c>
      <c r="N27" s="64">
        <f t="shared" si="12"/>
        <v>-1</v>
      </c>
      <c r="O27" s="64">
        <f t="shared" si="12"/>
        <v>-1</v>
      </c>
      <c r="P27" s="64">
        <f t="shared" si="12"/>
        <v>1</v>
      </c>
      <c r="Q27" s="64">
        <f t="shared" si="12"/>
        <v>5</v>
      </c>
      <c r="R27" s="64">
        <f t="shared" si="12"/>
        <v>-1</v>
      </c>
      <c r="S27" s="64">
        <f t="shared" si="12"/>
        <v>-3</v>
      </c>
      <c r="T27" s="64">
        <f t="shared" si="12"/>
        <v>-142</v>
      </c>
      <c r="U27" s="64">
        <f t="shared" si="12"/>
        <v>4</v>
      </c>
      <c r="V27" s="64">
        <f t="shared" si="12"/>
        <v>10</v>
      </c>
      <c r="W27" s="64">
        <f t="shared" si="12"/>
        <v>0</v>
      </c>
      <c r="X27" s="64">
        <f t="shared" si="12"/>
        <v>25</v>
      </c>
      <c r="Y27" s="64">
        <f t="shared" si="12"/>
        <v>5</v>
      </c>
      <c r="Z27" s="64">
        <f t="shared" si="12"/>
        <v>5</v>
      </c>
      <c r="AA27" s="64">
        <f t="shared" si="12"/>
        <v>0</v>
      </c>
      <c r="AB27" s="64">
        <f t="shared" si="12"/>
        <v>0</v>
      </c>
      <c r="AC27" s="64">
        <f t="shared" si="12"/>
        <v>0</v>
      </c>
      <c r="AD27" s="64">
        <f t="shared" si="12"/>
        <v>-2</v>
      </c>
      <c r="AE27" s="64">
        <f t="shared" si="12"/>
        <v>-1</v>
      </c>
      <c r="AF27" s="64">
        <f t="shared" si="12"/>
        <v>2</v>
      </c>
      <c r="AG27" s="64">
        <f t="shared" si="12"/>
        <v>-2</v>
      </c>
      <c r="AH27" s="64">
        <f t="shared" si="12"/>
        <v>0</v>
      </c>
      <c r="AI27" s="3"/>
    </row>
    <row r="28" spans="1:72" x14ac:dyDescent="0.2">
      <c r="A28" s="7" t="s">
        <v>555</v>
      </c>
      <c r="B28">
        <v>1921</v>
      </c>
      <c r="C28" s="189">
        <f>C27/C26</f>
        <v>0</v>
      </c>
      <c r="D28" s="95" t="s">
        <v>556</v>
      </c>
      <c r="E28" s="146" t="s">
        <v>531</v>
      </c>
      <c r="I28" s="65">
        <f>I26/I25</f>
        <v>1</v>
      </c>
      <c r="J28" s="65">
        <f t="shared" ref="J28:AH28" si="13">J26/J25</f>
        <v>1.625</v>
      </c>
      <c r="K28" s="65">
        <f t="shared" si="13"/>
        <v>0.5</v>
      </c>
      <c r="L28" s="65">
        <f t="shared" si="13"/>
        <v>0</v>
      </c>
      <c r="M28" s="65">
        <f t="shared" si="13"/>
        <v>0</v>
      </c>
      <c r="N28" s="65">
        <f t="shared" si="13"/>
        <v>1.5</v>
      </c>
      <c r="O28" s="65">
        <f t="shared" si="13"/>
        <v>1.5</v>
      </c>
      <c r="P28" s="65">
        <f t="shared" si="13"/>
        <v>0.5</v>
      </c>
      <c r="Q28" s="65">
        <f t="shared" si="13"/>
        <v>0</v>
      </c>
      <c r="R28" s="65" t="e">
        <f t="shared" si="13"/>
        <v>#DIV/0!</v>
      </c>
      <c r="S28" s="65">
        <f t="shared" si="13"/>
        <v>1.6</v>
      </c>
      <c r="T28" s="65">
        <f t="shared" si="13"/>
        <v>1.3100436681222707</v>
      </c>
      <c r="U28" s="65">
        <f t="shared" si="13"/>
        <v>0</v>
      </c>
      <c r="V28" s="65">
        <f t="shared" si="13"/>
        <v>0</v>
      </c>
      <c r="W28" s="65" t="e">
        <f t="shared" si="13"/>
        <v>#DIV/0!</v>
      </c>
      <c r="X28" s="65">
        <f t="shared" si="13"/>
        <v>0</v>
      </c>
      <c r="Y28" s="65">
        <f t="shared" si="13"/>
        <v>0</v>
      </c>
      <c r="Z28" s="65">
        <f t="shared" si="13"/>
        <v>0</v>
      </c>
      <c r="AA28" s="65"/>
      <c r="AB28" s="65"/>
      <c r="AC28" s="65">
        <f t="shared" si="13"/>
        <v>1</v>
      </c>
      <c r="AD28" s="65"/>
      <c r="AE28" s="65">
        <f t="shared" si="13"/>
        <v>1.1111111111111112</v>
      </c>
      <c r="AF28" s="65">
        <f t="shared" si="13"/>
        <v>0.77777777777777779</v>
      </c>
      <c r="AG28" s="65">
        <f t="shared" si="13"/>
        <v>1.2857142857142858</v>
      </c>
      <c r="AH28" s="65">
        <f t="shared" si="13"/>
        <v>1</v>
      </c>
    </row>
    <row r="30" spans="1:72" x14ac:dyDescent="0.2">
      <c r="A30" s="97" t="s">
        <v>557</v>
      </c>
      <c r="B30" s="67" t="s">
        <v>523</v>
      </c>
      <c r="C30" s="69">
        <v>4</v>
      </c>
      <c r="D30" s="78" t="s">
        <v>558</v>
      </c>
      <c r="F30" s="69">
        <v>3</v>
      </c>
      <c r="G30" s="131"/>
      <c r="H30" s="131"/>
      <c r="I30" s="70">
        <v>25</v>
      </c>
      <c r="J30" s="69">
        <v>19</v>
      </c>
      <c r="K30" s="69">
        <v>5</v>
      </c>
      <c r="L30" s="69">
        <v>1</v>
      </c>
      <c r="M30" s="69">
        <v>0</v>
      </c>
      <c r="N30" s="69">
        <v>3</v>
      </c>
      <c r="O30" s="69">
        <v>1</v>
      </c>
      <c r="P30" s="69">
        <v>0</v>
      </c>
      <c r="Q30" s="69">
        <v>0</v>
      </c>
      <c r="R30" s="69">
        <v>4</v>
      </c>
      <c r="S30" s="69">
        <v>17</v>
      </c>
      <c r="T30" s="69">
        <v>881</v>
      </c>
      <c r="U30" s="69">
        <v>4</v>
      </c>
      <c r="V30" s="69">
        <v>15</v>
      </c>
      <c r="W30" s="69">
        <v>2</v>
      </c>
      <c r="X30" s="69">
        <v>15</v>
      </c>
      <c r="Y30" s="69">
        <v>1</v>
      </c>
      <c r="Z30" s="69">
        <v>1</v>
      </c>
      <c r="AA30" s="69">
        <v>0</v>
      </c>
      <c r="AB30" s="69">
        <v>0</v>
      </c>
      <c r="AC30" s="69">
        <v>21</v>
      </c>
      <c r="AD30" s="69">
        <v>3</v>
      </c>
      <c r="AE30" s="69">
        <v>18</v>
      </c>
      <c r="AF30" s="69">
        <v>12</v>
      </c>
      <c r="AG30" s="69">
        <v>13</v>
      </c>
      <c r="AH30" s="69">
        <f>AG30+AF30</f>
        <v>25</v>
      </c>
      <c r="AI30" s="71"/>
      <c r="AJ30" s="79" t="s">
        <v>559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 spans="1:72" x14ac:dyDescent="0.2">
      <c r="A31" s="97" t="s">
        <v>557</v>
      </c>
      <c r="B31" s="67" t="s">
        <v>808</v>
      </c>
      <c r="C31">
        <v>2</v>
      </c>
      <c r="D31" s="78" t="s">
        <v>558</v>
      </c>
      <c r="E31" s="54"/>
      <c r="G31"/>
      <c r="I31">
        <v>14</v>
      </c>
      <c r="J31">
        <v>8</v>
      </c>
      <c r="K31">
        <v>2</v>
      </c>
      <c r="L31">
        <v>3</v>
      </c>
      <c r="M31">
        <v>1</v>
      </c>
      <c r="N31">
        <v>2</v>
      </c>
      <c r="O31">
        <v>2</v>
      </c>
      <c r="P31">
        <v>0</v>
      </c>
      <c r="Q31">
        <v>0</v>
      </c>
      <c r="R31">
        <v>2</v>
      </c>
      <c r="S31">
        <v>8</v>
      </c>
      <c r="T31">
        <v>460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C31">
        <v>11</v>
      </c>
      <c r="AD31">
        <v>1</v>
      </c>
      <c r="AE31">
        <v>10</v>
      </c>
      <c r="AF31">
        <v>2</v>
      </c>
      <c r="AG31">
        <v>12</v>
      </c>
      <c r="AH31">
        <v>14</v>
      </c>
    </row>
    <row r="32" spans="1:72" ht="35" customHeight="1" x14ac:dyDescent="0.2">
      <c r="A32" s="97" t="s">
        <v>557</v>
      </c>
      <c r="B32" s="67" t="s">
        <v>523</v>
      </c>
      <c r="C32">
        <f>C30-C31</f>
        <v>2</v>
      </c>
      <c r="D32" s="78" t="s">
        <v>558</v>
      </c>
      <c r="E32" s="30" t="s">
        <v>532</v>
      </c>
      <c r="I32">
        <f>I30-I31</f>
        <v>11</v>
      </c>
      <c r="J32">
        <f t="shared" ref="J32:AG32" si="14">J30-J31</f>
        <v>11</v>
      </c>
      <c r="K32">
        <f t="shared" si="14"/>
        <v>3</v>
      </c>
      <c r="L32">
        <f t="shared" si="14"/>
        <v>-2</v>
      </c>
      <c r="M32">
        <f t="shared" si="14"/>
        <v>-1</v>
      </c>
      <c r="N32">
        <f t="shared" si="14"/>
        <v>1</v>
      </c>
      <c r="O32">
        <f t="shared" si="14"/>
        <v>-1</v>
      </c>
      <c r="P32">
        <f t="shared" si="14"/>
        <v>0</v>
      </c>
      <c r="Q32">
        <f t="shared" si="14"/>
        <v>0</v>
      </c>
      <c r="R32">
        <f t="shared" si="14"/>
        <v>2</v>
      </c>
      <c r="S32">
        <f t="shared" si="14"/>
        <v>9</v>
      </c>
      <c r="T32">
        <f t="shared" si="14"/>
        <v>421</v>
      </c>
      <c r="U32">
        <f t="shared" si="14"/>
        <v>4</v>
      </c>
      <c r="V32">
        <f t="shared" si="14"/>
        <v>15</v>
      </c>
      <c r="W32">
        <f t="shared" si="14"/>
        <v>2</v>
      </c>
      <c r="X32">
        <f t="shared" si="14"/>
        <v>15</v>
      </c>
      <c r="Y32">
        <f t="shared" si="14"/>
        <v>1</v>
      </c>
      <c r="Z32">
        <f t="shared" si="14"/>
        <v>1</v>
      </c>
      <c r="AA32">
        <f t="shared" si="14"/>
        <v>0</v>
      </c>
      <c r="AB32">
        <f t="shared" si="14"/>
        <v>0</v>
      </c>
      <c r="AC32">
        <f t="shared" si="14"/>
        <v>10</v>
      </c>
      <c r="AD32">
        <f t="shared" si="14"/>
        <v>2</v>
      </c>
      <c r="AE32">
        <f t="shared" si="14"/>
        <v>8</v>
      </c>
      <c r="AF32">
        <f t="shared" si="14"/>
        <v>10</v>
      </c>
      <c r="AG32">
        <f t="shared" si="14"/>
        <v>1</v>
      </c>
      <c r="AH32">
        <f>AG32+AF32</f>
        <v>11</v>
      </c>
    </row>
    <row r="33" spans="1:72" x14ac:dyDescent="0.2">
      <c r="A33" s="97" t="s">
        <v>557</v>
      </c>
      <c r="B33" s="67" t="s">
        <v>808</v>
      </c>
      <c r="C33" s="65">
        <f>C32/C31</f>
        <v>1</v>
      </c>
      <c r="D33" s="78" t="s">
        <v>558</v>
      </c>
      <c r="E33" s="146" t="s">
        <v>531</v>
      </c>
      <c r="I33" s="65">
        <f>I31/I30</f>
        <v>0.56000000000000005</v>
      </c>
      <c r="J33" s="65">
        <f t="shared" ref="J33:AH33" si="15">J31/J30</f>
        <v>0.42105263157894735</v>
      </c>
      <c r="K33" s="65">
        <f t="shared" si="15"/>
        <v>0.4</v>
      </c>
      <c r="L33" s="65">
        <f t="shared" si="15"/>
        <v>3</v>
      </c>
      <c r="M33" s="65" t="e">
        <f t="shared" si="15"/>
        <v>#DIV/0!</v>
      </c>
      <c r="N33" s="65">
        <f t="shared" si="15"/>
        <v>0.66666666666666663</v>
      </c>
      <c r="O33" s="65">
        <f t="shared" si="15"/>
        <v>2</v>
      </c>
      <c r="P33" s="65" t="e">
        <f t="shared" si="15"/>
        <v>#DIV/0!</v>
      </c>
      <c r="Q33" s="65" t="e">
        <f t="shared" si="15"/>
        <v>#DIV/0!</v>
      </c>
      <c r="R33" s="65">
        <f t="shared" si="15"/>
        <v>0.5</v>
      </c>
      <c r="S33" s="65">
        <f t="shared" si="15"/>
        <v>0.47058823529411764</v>
      </c>
      <c r="T33" s="65">
        <f t="shared" si="15"/>
        <v>0.52213393870601588</v>
      </c>
      <c r="U33" s="65">
        <f t="shared" si="15"/>
        <v>0</v>
      </c>
      <c r="V33" s="65">
        <f t="shared" si="15"/>
        <v>0</v>
      </c>
      <c r="W33" s="65">
        <f t="shared" si="15"/>
        <v>0</v>
      </c>
      <c r="X33" s="65">
        <f t="shared" si="15"/>
        <v>0</v>
      </c>
      <c r="Y33" s="65">
        <f t="shared" si="15"/>
        <v>0</v>
      </c>
      <c r="Z33" s="65">
        <f t="shared" si="15"/>
        <v>0</v>
      </c>
      <c r="AA33" s="65"/>
      <c r="AB33" s="65"/>
      <c r="AC33" s="65">
        <f t="shared" si="15"/>
        <v>0.52380952380952384</v>
      </c>
      <c r="AD33" s="65">
        <f t="shared" si="15"/>
        <v>0.33333333333333331</v>
      </c>
      <c r="AE33" s="65">
        <f t="shared" si="15"/>
        <v>0.55555555555555558</v>
      </c>
      <c r="AF33" s="65">
        <f t="shared" si="15"/>
        <v>0.16666666666666666</v>
      </c>
      <c r="AG33" s="65">
        <f t="shared" si="15"/>
        <v>0.92307692307692313</v>
      </c>
      <c r="AH33" s="65">
        <f t="shared" si="15"/>
        <v>0.56000000000000005</v>
      </c>
    </row>
    <row r="35" spans="1:72" x14ac:dyDescent="0.2">
      <c r="A35" s="67" t="s">
        <v>560</v>
      </c>
      <c r="B35" s="67" t="s">
        <v>523</v>
      </c>
      <c r="C35" s="69">
        <v>7</v>
      </c>
      <c r="D35" s="78" t="s">
        <v>561</v>
      </c>
      <c r="F35" s="69">
        <v>14</v>
      </c>
      <c r="G35" s="131"/>
      <c r="H35" s="131"/>
      <c r="I35" s="70">
        <v>31</v>
      </c>
      <c r="J35" s="69">
        <v>24</v>
      </c>
      <c r="K35" s="69">
        <v>6</v>
      </c>
      <c r="L35" s="69">
        <v>1</v>
      </c>
      <c r="M35" s="69">
        <v>0</v>
      </c>
      <c r="N35" s="69">
        <v>6</v>
      </c>
      <c r="O35" s="69">
        <v>2</v>
      </c>
      <c r="P35" s="69">
        <v>2</v>
      </c>
      <c r="Q35" s="69">
        <v>1</v>
      </c>
      <c r="R35" s="69">
        <v>4</v>
      </c>
      <c r="S35" s="69">
        <v>16</v>
      </c>
      <c r="T35" s="69">
        <v>1177</v>
      </c>
      <c r="U35" s="69">
        <v>7</v>
      </c>
      <c r="V35" s="69">
        <v>21</v>
      </c>
      <c r="W35" s="69">
        <v>3</v>
      </c>
      <c r="X35" s="69">
        <v>60</v>
      </c>
      <c r="Y35" s="69">
        <v>4</v>
      </c>
      <c r="Z35" s="69">
        <v>3</v>
      </c>
      <c r="AA35" s="69">
        <v>0</v>
      </c>
      <c r="AB35" s="69">
        <v>0</v>
      </c>
      <c r="AC35" s="69">
        <v>22</v>
      </c>
      <c r="AD35" s="69">
        <v>4</v>
      </c>
      <c r="AE35" s="69">
        <v>18</v>
      </c>
      <c r="AF35" s="69">
        <v>11</v>
      </c>
      <c r="AG35" s="69">
        <v>20</v>
      </c>
      <c r="AH35" s="69">
        <v>31</v>
      </c>
      <c r="AI35" s="71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 spans="1:72" x14ac:dyDescent="0.2">
      <c r="A36" s="67" t="s">
        <v>560</v>
      </c>
      <c r="B36" s="67">
        <v>1921</v>
      </c>
      <c r="C36">
        <v>6</v>
      </c>
      <c r="D36" s="78" t="s">
        <v>561</v>
      </c>
      <c r="E36" s="54"/>
      <c r="G36"/>
      <c r="I36">
        <v>33</v>
      </c>
      <c r="J36">
        <v>21</v>
      </c>
      <c r="K36">
        <v>7</v>
      </c>
      <c r="L36">
        <v>3</v>
      </c>
      <c r="M36">
        <v>2</v>
      </c>
      <c r="N36">
        <v>6</v>
      </c>
      <c r="O36">
        <v>5</v>
      </c>
      <c r="P36">
        <v>5</v>
      </c>
      <c r="Q36">
        <v>2</v>
      </c>
      <c r="R36">
        <v>3</v>
      </c>
      <c r="S36">
        <v>12</v>
      </c>
      <c r="T36">
        <v>1139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20</v>
      </c>
      <c r="AD36">
        <v>3</v>
      </c>
      <c r="AE36">
        <v>17</v>
      </c>
      <c r="AF36">
        <v>17</v>
      </c>
      <c r="AG36">
        <v>16</v>
      </c>
      <c r="AH36">
        <v>33</v>
      </c>
      <c r="AI36">
        <v>0</v>
      </c>
    </row>
    <row r="37" spans="1:72" ht="51" x14ac:dyDescent="0.2">
      <c r="A37" s="67" t="s">
        <v>560</v>
      </c>
      <c r="B37" s="67" t="s">
        <v>523</v>
      </c>
      <c r="C37">
        <f>C35-C36</f>
        <v>1</v>
      </c>
      <c r="D37" s="78" t="s">
        <v>561</v>
      </c>
      <c r="E37" s="30" t="s">
        <v>532</v>
      </c>
      <c r="I37" s="64">
        <f>I35-I36</f>
        <v>-2</v>
      </c>
      <c r="J37" s="64">
        <f t="shared" ref="J37:AH37" si="16">J35-J36</f>
        <v>3</v>
      </c>
      <c r="K37" s="64">
        <f t="shared" si="16"/>
        <v>-1</v>
      </c>
      <c r="L37" s="64">
        <f t="shared" si="16"/>
        <v>-2</v>
      </c>
      <c r="M37" s="64">
        <f t="shared" si="16"/>
        <v>-2</v>
      </c>
      <c r="N37" s="64">
        <f t="shared" si="16"/>
        <v>0</v>
      </c>
      <c r="O37" s="64">
        <f t="shared" si="16"/>
        <v>-3</v>
      </c>
      <c r="P37" s="64">
        <f t="shared" si="16"/>
        <v>-3</v>
      </c>
      <c r="Q37" s="64">
        <f t="shared" si="16"/>
        <v>-1</v>
      </c>
      <c r="R37" s="64">
        <f t="shared" si="16"/>
        <v>1</v>
      </c>
      <c r="S37" s="64">
        <f t="shared" si="16"/>
        <v>4</v>
      </c>
      <c r="T37" s="64">
        <f t="shared" si="16"/>
        <v>38</v>
      </c>
      <c r="U37" s="64">
        <f t="shared" si="16"/>
        <v>7</v>
      </c>
      <c r="V37" s="64">
        <f t="shared" si="16"/>
        <v>21</v>
      </c>
      <c r="W37" s="64">
        <f t="shared" si="16"/>
        <v>3</v>
      </c>
      <c r="X37" s="64">
        <f t="shared" si="16"/>
        <v>60</v>
      </c>
      <c r="Y37" s="64">
        <f t="shared" si="16"/>
        <v>4</v>
      </c>
      <c r="Z37" s="64">
        <f t="shared" si="16"/>
        <v>3</v>
      </c>
      <c r="AA37" s="64">
        <f t="shared" si="16"/>
        <v>0</v>
      </c>
      <c r="AB37" s="64">
        <f t="shared" si="16"/>
        <v>0</v>
      </c>
      <c r="AC37" s="64">
        <f t="shared" si="16"/>
        <v>2</v>
      </c>
      <c r="AD37" s="64">
        <f t="shared" si="16"/>
        <v>1</v>
      </c>
      <c r="AE37" s="64">
        <f t="shared" si="16"/>
        <v>1</v>
      </c>
      <c r="AF37" s="64">
        <f t="shared" si="16"/>
        <v>-6</v>
      </c>
      <c r="AG37" s="64">
        <f t="shared" si="16"/>
        <v>4</v>
      </c>
      <c r="AH37" s="64">
        <f t="shared" si="16"/>
        <v>-2</v>
      </c>
    </row>
    <row r="38" spans="1:72" x14ac:dyDescent="0.2">
      <c r="A38" s="67" t="s">
        <v>560</v>
      </c>
      <c r="B38" s="67">
        <v>1921</v>
      </c>
      <c r="C38" s="65">
        <f>C37/C36</f>
        <v>0.16666666666666666</v>
      </c>
      <c r="D38" s="78" t="s">
        <v>561</v>
      </c>
      <c r="E38" s="146" t="s">
        <v>531</v>
      </c>
      <c r="I38" s="65">
        <f>I36/I35</f>
        <v>1.064516129032258</v>
      </c>
      <c r="J38" s="65">
        <f t="shared" ref="J38:AH38" si="17">J36/J35</f>
        <v>0.875</v>
      </c>
      <c r="K38" s="65">
        <f t="shared" si="17"/>
        <v>1.1666666666666667</v>
      </c>
      <c r="L38" s="65">
        <f t="shared" si="17"/>
        <v>3</v>
      </c>
      <c r="M38" s="65"/>
      <c r="N38" s="65">
        <f t="shared" si="17"/>
        <v>1</v>
      </c>
      <c r="O38" s="65">
        <f t="shared" si="17"/>
        <v>2.5</v>
      </c>
      <c r="P38" s="65">
        <f t="shared" si="17"/>
        <v>2.5</v>
      </c>
      <c r="Q38" s="65">
        <f t="shared" si="17"/>
        <v>2</v>
      </c>
      <c r="R38" s="65">
        <f t="shared" si="17"/>
        <v>0.75</v>
      </c>
      <c r="S38" s="65">
        <f t="shared" si="17"/>
        <v>0.75</v>
      </c>
      <c r="T38" s="65">
        <f t="shared" si="17"/>
        <v>0.96771452846219197</v>
      </c>
      <c r="U38" s="65">
        <f t="shared" si="17"/>
        <v>0</v>
      </c>
      <c r="V38" s="65">
        <f t="shared" si="17"/>
        <v>0</v>
      </c>
      <c r="W38" s="65">
        <f t="shared" si="17"/>
        <v>0</v>
      </c>
      <c r="X38" s="65">
        <f t="shared" si="17"/>
        <v>0</v>
      </c>
      <c r="Y38" s="65">
        <f t="shared" si="17"/>
        <v>0</v>
      </c>
      <c r="Z38" s="65">
        <f t="shared" si="17"/>
        <v>0</v>
      </c>
      <c r="AA38" s="65" t="e">
        <f t="shared" si="17"/>
        <v>#DIV/0!</v>
      </c>
      <c r="AB38" s="65" t="e">
        <f t="shared" si="17"/>
        <v>#DIV/0!</v>
      </c>
      <c r="AC38" s="65">
        <f t="shared" si="17"/>
        <v>0.90909090909090906</v>
      </c>
      <c r="AD38" s="65">
        <f t="shared" si="17"/>
        <v>0.75</v>
      </c>
      <c r="AE38" s="65">
        <f t="shared" si="17"/>
        <v>0.94444444444444442</v>
      </c>
      <c r="AF38" s="65">
        <f t="shared" si="17"/>
        <v>1.5454545454545454</v>
      </c>
      <c r="AG38" s="65">
        <f t="shared" si="17"/>
        <v>0.8</v>
      </c>
      <c r="AH38" s="65">
        <f t="shared" si="17"/>
        <v>1.064516129032258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1921CCN</vt:lpstr>
      <vt:lpstr>1921pelham cres</vt:lpstr>
      <vt:lpstr>1921pelhamcrestemplate (2)</vt:lpstr>
      <vt:lpstr>1921WT</vt:lpstr>
      <vt:lpstr>1921bl</vt:lpstr>
      <vt:lpstr>1921LC</vt:lpstr>
      <vt:lpstr>1921NC</vt:lpstr>
      <vt:lpstr>1921PkD</vt:lpstr>
      <vt:lpstr>1921peD</vt:lpstr>
      <vt:lpstr>1921 Clumberrdw</vt:lpstr>
      <vt:lpstr>1921maxtoke</vt:lpstr>
      <vt:lpstr>1921clumbercress</vt:lpstr>
      <vt:lpstr>1921southrd</vt:lpstr>
      <vt:lpstr>1921cavcress</vt:lpstr>
      <vt:lpstr>1921hollescres</vt:lpstr>
      <vt:lpstr>1921 lentonrd</vt:lpstr>
      <vt:lpstr>1921hermitagewalk</vt:lpstr>
      <vt:lpstr>1921lentonave</vt:lpstr>
      <vt:lpstr>1921Kenilworthrd</vt:lpstr>
      <vt:lpstr>1921fishpond</vt:lpstr>
      <vt:lpstr>1921hope</vt:lpstr>
      <vt:lpstr>1921 Hamilton Drive</vt:lpstr>
      <vt:lpstr>1921 park ravine</vt:lpstr>
      <vt:lpstr>1921 park terrace</vt:lpstr>
      <vt:lpstr>1921 park valley</vt:lpstr>
      <vt:lpstr>1921 clare valley</vt:lpstr>
      <vt:lpstr>1921 Newcastle Terrace</vt:lpstr>
      <vt:lpstr>1921 clinton terrace</vt:lpstr>
      <vt:lpstr>1921 Duke william Mount</vt:lpstr>
      <vt:lpstr>1921 tunnel road</vt:lpstr>
      <vt:lpstr>1921 cavendish road east</vt:lpstr>
      <vt:lpstr>1921 clumber rd east</vt:lpstr>
      <vt:lpstr>1921 Castle Grove</vt:lpstr>
      <vt:lpstr>1921 huntingdon drive</vt:lpstr>
      <vt:lpstr>1921 Newcastle Drive</vt:lpstr>
      <vt:lpstr>1921 Park Row</vt:lpstr>
      <vt:lpstr>1921 Pelham crescent</vt:lpstr>
      <vt:lpstr>1921 Tattershall drive</vt:lpstr>
      <vt:lpstr>1921ccntemplate</vt:lpstr>
      <vt:lpstr>1921north rdtemplate</vt:lpstr>
      <vt:lpstr>template</vt:lpstr>
      <vt:lpstr>1921hermitagewalk (2)</vt:lpstr>
      <vt:lpstr>1911compilation</vt:lpstr>
      <vt:lpstr>1921compilation</vt:lpstr>
      <vt:lpstr>comparison1121</vt:lpstr>
      <vt:lpstr>19111921analysiscomparison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Linzi Kemp</dc:creator>
  <cp:lastModifiedBy>Microsoft Office User</cp:lastModifiedBy>
  <dcterms:created xsi:type="dcterms:W3CDTF">2023-09-17T11:22:56Z</dcterms:created>
  <dcterms:modified xsi:type="dcterms:W3CDTF">2026-02-10T19:04:53Z</dcterms:modified>
</cp:coreProperties>
</file>