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1921CCN" sheetId="1" r:id="rId5"/>
    <sheet name="1921pelhamcres" sheetId="2" r:id="rId6"/>
    <sheet name="1921WT" sheetId="3" r:id="rId7"/>
    <sheet name="1921bl" sheetId="4" r:id="rId8"/>
    <sheet name="1921LC" sheetId="5" r:id="rId9"/>
    <sheet name="1921NC" sheetId="6" r:id="rId10"/>
    <sheet name="1921PkD" sheetId="7" r:id="rId11"/>
    <sheet name="1921peD" sheetId="8" r:id="rId12"/>
    <sheet name="1921 Clumberrdw" sheetId="9" r:id="rId13"/>
    <sheet name="1921maxtoke" sheetId="10" r:id="rId14"/>
    <sheet name="1921clumbercress" sheetId="11" r:id="rId15"/>
    <sheet name="1921southrd" sheetId="12" r:id="rId16"/>
    <sheet name="1921cavcress" sheetId="13" r:id="rId17"/>
    <sheet name="1921hollescres" sheetId="14" r:id="rId18"/>
    <sheet name="1921 lentonrd" sheetId="15" r:id="rId19"/>
    <sheet name="1921hermitagewalk" sheetId="16" r:id="rId20"/>
    <sheet name="1921lentonave" sheetId="17" r:id="rId21"/>
    <sheet name="1921Kenilworthrd" sheetId="18" r:id="rId22"/>
    <sheet name="1921fishpond" sheetId="19" r:id="rId23"/>
    <sheet name="1921hope" sheetId="20" r:id="rId24"/>
    <sheet name="1921 Hamilton Drive" sheetId="21" r:id="rId25"/>
    <sheet name="1921 park ravine" sheetId="22" r:id="rId26"/>
    <sheet name="1921 park terrace" sheetId="23" r:id="rId27"/>
    <sheet name="1921 park valley" sheetId="24" r:id="rId28"/>
    <sheet name="1921 clare valley" sheetId="25" r:id="rId29"/>
    <sheet name="1921 Newcastle Terrace" sheetId="26" r:id="rId30"/>
    <sheet name="1921 clinton terrace" sheetId="27" r:id="rId31"/>
    <sheet name="1921 Duke william Mount" sheetId="28" r:id="rId32"/>
    <sheet name="1921 tunnel road" sheetId="29" r:id="rId33"/>
    <sheet name="1921 cavendish road east" sheetId="30" r:id="rId34"/>
    <sheet name="1921 clumber rd east" sheetId="31" r:id="rId35"/>
    <sheet name="1921 Castle Grove" sheetId="32" r:id="rId36"/>
    <sheet name="1921 huntingdon drive" sheetId="33" r:id="rId37"/>
    <sheet name="1921 Newcastle Drive" sheetId="34" r:id="rId38"/>
    <sheet name="1921 Park Row" sheetId="35" r:id="rId39"/>
    <sheet name="1921 Pelham crescent" sheetId="36" r:id="rId40"/>
    <sheet name="1921 Tattershall drive" sheetId="37" r:id="rId41"/>
    <sheet name="1921ccntemplate" sheetId="38" r:id="rId42"/>
    <sheet name="1921north rdtemplate" sheetId="39" r:id="rId43"/>
    <sheet name="template" sheetId="40" r:id="rId44"/>
    <sheet name="1921hermitagewalk (2)" sheetId="41" r:id="rId45"/>
    <sheet name="1911compilation" sheetId="42" r:id="rId46"/>
    <sheet name="1921compilation" sheetId="43" r:id="rId47"/>
    <sheet name="comparison1121" sheetId="44" r:id="rId48"/>
    <sheet name="19111921analysiscomparison" sheetId="45" r:id="rId49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<sst xmlns="http://schemas.openxmlformats.org/spreadsheetml/2006/main" uniqueCount="3174">
  <si>
    <t>First name(s)</t>
  </si>
  <si>
    <t>Last name</t>
  </si>
  <si>
    <t>Relationship to head</t>
  </si>
  <si>
    <t>Sex</t>
  </si>
  <si>
    <t>Birth year</t>
  </si>
  <si>
    <t>Age in years</t>
  </si>
  <si>
    <t>Birth place</t>
  </si>
  <si>
    <t>Occupation</t>
  </si>
  <si>
    <t>Employer</t>
  </si>
  <si>
    <t>Daisy</t>
  </si>
  <si>
    <t>Sands</t>
  </si>
  <si>
    <t>Servant</t>
  </si>
  <si>
    <t>Female</t>
  </si>
  <si>
    <t>Nottingham, Nottinghamshire, England</t>
  </si>
  <si>
    <t>General Domestic Service</t>
  </si>
  <si>
    <t>Private</t>
  </si>
  <si>
    <t>cavendish crescent nort</t>
  </si>
  <si>
    <t>Gertrude Annie</t>
  </si>
  <si>
    <t>Harison</t>
  </si>
  <si>
    <t>Stapleford, Nottinghamshire, England</t>
  </si>
  <si>
    <t>Zillah</t>
  </si>
  <si>
    <t>Spear</t>
  </si>
  <si>
    <t>Grantham, Lincolnshire, England</t>
  </si>
  <si>
    <t>Clara Emily</t>
  </si>
  <si>
    <t>Stranther</t>
  </si>
  <si>
    <t>Mansfield, Nottinghamshire, England</t>
  </si>
  <si>
    <t>Margaret Annie</t>
  </si>
  <si>
    <t>Locke</t>
  </si>
  <si>
    <t>Oxfordshire, England</t>
  </si>
  <si>
    <t>Caroline R</t>
  </si>
  <si>
    <t>Weinberg</t>
  </si>
  <si>
    <t>Head</t>
  </si>
  <si>
    <t>Baltimore, Maryland, United States</t>
  </si>
  <si>
    <t>Home Duties</t>
  </si>
  <si>
    <t>-</t>
  </si>
  <si>
    <t>Jacob</t>
  </si>
  <si>
    <t>Son</t>
  </si>
  <si>
    <t>Male</t>
  </si>
  <si>
    <t>Eli G</t>
  </si>
  <si>
    <t>Betsy</t>
  </si>
  <si>
    <t>Rosenhim</t>
  </si>
  <si>
    <t>Visitor</t>
  </si>
  <si>
    <t>United States</t>
  </si>
  <si>
    <t>Frances Nunes</t>
  </si>
  <si>
    <t>Marting</t>
  </si>
  <si>
    <t>Cook</t>
  </si>
  <si>
    <t>Edmonton, London, England</t>
  </si>
  <si>
    <t>Biola</t>
  </si>
  <si>
    <t>Edith</t>
  </si>
  <si>
    <t>Plowman</t>
  </si>
  <si>
    <t>Elton, Huntingdonshire, England</t>
  </si>
  <si>
    <t>Parlourmaid</t>
  </si>
  <si>
    <t>Rosa Ada</t>
  </si>
  <si>
    <t>Halliday</t>
  </si>
  <si>
    <t>Nottinghamshire, England</t>
  </si>
  <si>
    <t>Housemaid</t>
  </si>
  <si>
    <t>Robert</t>
  </si>
  <si>
    <t>Bury</t>
  </si>
  <si>
    <t>Colne, Lancashire, England</t>
  </si>
  <si>
    <t>Glace Kid Sorter</t>
  </si>
  <si>
    <t>Wade &amp; Co Leather Dressers (Out Of Work)</t>
  </si>
  <si>
    <t>Beatrice Mary</t>
  </si>
  <si>
    <t>Appleton, Cheshire, England</t>
  </si>
  <si>
    <t>Isaac</t>
  </si>
  <si>
    <t>Arthur</t>
  </si>
  <si>
    <t>Boarder</t>
  </si>
  <si>
    <t>Civil Servant Clerk</t>
  </si>
  <si>
    <t>Ministry Of Labourer</t>
  </si>
  <si>
    <t>John George</t>
  </si>
  <si>
    <t>Dobson</t>
  </si>
  <si>
    <t>Cotton Doubler Retired</t>
  </si>
  <si>
    <t>Emily</t>
  </si>
  <si>
    <t>Wife</t>
  </si>
  <si>
    <t>Gravesend, Kent, England</t>
  </si>
  <si>
    <t>John Ignatius</t>
  </si>
  <si>
    <t>Cotton Doubler</t>
  </si>
  <si>
    <t>Cotton Doblers Dobson &amp; Allsop Ltd</t>
  </si>
  <si>
    <t>Hilda Mary</t>
  </si>
  <si>
    <t>Daughter</t>
  </si>
  <si>
    <t>Agnes</t>
  </si>
  <si>
    <t>Ruddington, Nottinghamshire, England</t>
  </si>
  <si>
    <t>May</t>
  </si>
  <si>
    <t>Gladys Nellie</t>
  </si>
  <si>
    <t>Taylor</t>
  </si>
  <si>
    <t>Leicester, Leicestershire, England</t>
  </si>
  <si>
    <t>House Parlour Maid</t>
  </si>
  <si>
    <t>Olive</t>
  </si>
  <si>
    <t>Edgar</t>
  </si>
  <si>
    <t>Heaton, Northumberland, England</t>
  </si>
  <si>
    <t>House Maid</t>
  </si>
  <si>
    <t>Bernard Swawrick</t>
  </si>
  <si>
    <t>Wright</t>
  </si>
  <si>
    <t>Solicitor</t>
  </si>
  <si>
    <t>Kathleen Florence</t>
  </si>
  <si>
    <t>None</t>
  </si>
  <si>
    <t>Mary</t>
  </si>
  <si>
    <t>Jovan</t>
  </si>
  <si>
    <t>Pinxton, Derbyshire, England</t>
  </si>
  <si>
    <t>Minnie</t>
  </si>
  <si>
    <t>Creswell</t>
  </si>
  <si>
    <t>Marehay, Derbyshire, England</t>
  </si>
  <si>
    <t>House Parlourmaid</t>
  </si>
  <si>
    <t>Elsie</t>
  </si>
  <si>
    <t>Curtis</t>
  </si>
  <si>
    <t>Cromwell, Nottinghamshire, England</t>
  </si>
  <si>
    <t>General Domestic Servant</t>
  </si>
  <si>
    <t>Hilda</t>
  </si>
  <si>
    <t>Hawksworth, Nottinghamshire, England</t>
  </si>
  <si>
    <t>Emily Paget</t>
  </si>
  <si>
    <t>Annie</t>
  </si>
  <si>
    <t>Summerton</t>
  </si>
  <si>
    <t>South Muskham, Nottinghamshire, England</t>
  </si>
  <si>
    <t>Kathleen</t>
  </si>
  <si>
    <t>Forman</t>
  </si>
  <si>
    <t>Printer</t>
  </si>
  <si>
    <t>Ethel</t>
  </si>
  <si>
    <t>Alice May</t>
  </si>
  <si>
    <t>Bray</t>
  </si>
  <si>
    <t>Derbyshire, England</t>
  </si>
  <si>
    <t>Lydia</t>
  </si>
  <si>
    <t>Perkins</t>
  </si>
  <si>
    <t>Alfreton, Derbyshire, England</t>
  </si>
  <si>
    <t>Betweenmaid</t>
  </si>
  <si>
    <t>Jane</t>
  </si>
  <si>
    <t>Blinder</t>
  </si>
  <si>
    <t>Moulton, Suffolk, England</t>
  </si>
  <si>
    <t>Parlour Maid</t>
  </si>
  <si>
    <t>Mary Kate</t>
  </si>
  <si>
    <t>Bennett</t>
  </si>
  <si>
    <t>Littlewood</t>
  </si>
  <si>
    <t>Salt</t>
  </si>
  <si>
    <t>Sedgebrook, Lincolnshire, England</t>
  </si>
  <si>
    <t>Sarah</t>
  </si>
  <si>
    <t>Coates</t>
  </si>
  <si>
    <t>Lincolnshire, England</t>
  </si>
  <si>
    <t>Stanley</t>
  </si>
  <si>
    <t>Newborough, Staffordshire, England</t>
  </si>
  <si>
    <t>Richardson</t>
  </si>
  <si>
    <t>Woodborough, Nottinghamshire, England</t>
  </si>
  <si>
    <t>Rook</t>
  </si>
  <si>
    <t>Dora</t>
  </si>
  <si>
    <t>Pollard</t>
  </si>
  <si>
    <t>Surrey, England</t>
  </si>
  <si>
    <t>Adelaide</t>
  </si>
  <si>
    <t>Carr</t>
  </si>
  <si>
    <t>Help</t>
  </si>
  <si>
    <t>Governess</t>
  </si>
  <si>
    <t>Beryl</t>
  </si>
  <si>
    <t>Pinder</t>
  </si>
  <si>
    <t>Maud M</t>
  </si>
  <si>
    <t>Dudley, Staffordshire, England</t>
  </si>
  <si>
    <t>Percy</t>
  </si>
  <si>
    <t>Draper</t>
  </si>
  <si>
    <t>John</t>
  </si>
  <si>
    <t>Gambles</t>
  </si>
  <si>
    <t>Lincoln, Lincolnshire, England</t>
  </si>
  <si>
    <t>Paper Importer</t>
  </si>
  <si>
    <t>Dorothy Mary</t>
  </si>
  <si>
    <t>Olive Barbara</t>
  </si>
  <si>
    <t>John Eric</t>
  </si>
  <si>
    <t>Fredrick Richard</t>
  </si>
  <si>
    <t>Haide</t>
  </si>
  <si>
    <t>Wellow, Nottinghamshire, England</t>
  </si>
  <si>
    <t>Housekeeper</t>
  </si>
  <si>
    <t>Ridgeway</t>
  </si>
  <si>
    <t>Chesterfield, Derbyshire, England</t>
  </si>
  <si>
    <t>Lily</t>
  </si>
  <si>
    <t>Robinson</t>
  </si>
  <si>
    <t>Balderton, Nottinghamshire, England</t>
  </si>
  <si>
    <t>Stuart Lyman</t>
  </si>
  <si>
    <t>Page</t>
  </si>
  <si>
    <t>Smallware Dealer</t>
  </si>
  <si>
    <t>Sarah Ann Rayus</t>
  </si>
  <si>
    <t>Hickershothaen</t>
  </si>
  <si>
    <t>Castle Donington, Leicestershire, England</t>
  </si>
  <si>
    <t>House Keeper</t>
  </si>
  <si>
    <t>Lily Mary</t>
  </si>
  <si>
    <t>Fawatt</t>
  </si>
  <si>
    <t>Withern, Lincolnshire, England</t>
  </si>
  <si>
    <t>Thorpeperry</t>
  </si>
  <si>
    <t>Solicitor (Retired)</t>
  </si>
  <si>
    <t>Sarah Annie</t>
  </si>
  <si>
    <t>Cuff</t>
  </si>
  <si>
    <t>Leicestershire, England</t>
  </si>
  <si>
    <t>Sarah Jane</t>
  </si>
  <si>
    <t>Cottam</t>
  </si>
  <si>
    <t>Domestic servant</t>
  </si>
  <si>
    <t>Newton, Derbyshire, England</t>
  </si>
  <si>
    <t>Domestic Servant</t>
  </si>
  <si>
    <t>Thomas Parkin</t>
  </si>
  <si>
    <t>Foster</t>
  </si>
  <si>
    <t>Lace Manufacturer (Retired)</t>
  </si>
  <si>
    <t>Florence</t>
  </si>
  <si>
    <t>William</t>
  </si>
  <si>
    <t>Solicitior</t>
  </si>
  <si>
    <t>Turner Bawows &amp; Moss, Solicitors</t>
  </si>
  <si>
    <t>Thomas Gilbert</t>
  </si>
  <si>
    <t>Law Student</t>
  </si>
  <si>
    <t>Florence Eileen</t>
  </si>
  <si>
    <t>Mary Elizabeth</t>
  </si>
  <si>
    <t>Widdowson</t>
  </si>
  <si>
    <t>Parr</t>
  </si>
  <si>
    <t>South Normanton, Derbyshire, England</t>
  </si>
  <si>
    <t>Caeoline Hannah</t>
  </si>
  <si>
    <t>Florentine</t>
  </si>
  <si>
    <t>Annie Kate</t>
  </si>
  <si>
    <t>Messager</t>
  </si>
  <si>
    <t>Maid</t>
  </si>
  <si>
    <t>Birmingham, Warwickshire, England</t>
  </si>
  <si>
    <t>Elsey May</t>
  </si>
  <si>
    <t>York, Yorkshire, England</t>
  </si>
  <si>
    <t>Jessie Rebecca Skice</t>
  </si>
  <si>
    <t>Reid</t>
  </si>
  <si>
    <t>Lakenheath, Suffolk, England</t>
  </si>
  <si>
    <t>Henry</t>
  </si>
  <si>
    <t>Holliwey</t>
  </si>
  <si>
    <t>Lace Curtain Mfctr</t>
  </si>
  <si>
    <t>Eliza Ann</t>
  </si>
  <si>
    <t>Burton</t>
  </si>
  <si>
    <t>Sutton in Ashfield, Nottinghamshire, England</t>
  </si>
  <si>
    <t>Mildred May</t>
  </si>
  <si>
    <t>Saunders</t>
  </si>
  <si>
    <t>Norfolk, England</t>
  </si>
  <si>
    <t>Frederick Iyer</t>
  </si>
  <si>
    <t>Dexter</t>
  </si>
  <si>
    <t>Cigar Manufacturer</t>
  </si>
  <si>
    <t>R I Dexter &amp; Sons Ltd</t>
  </si>
  <si>
    <t>Frank Ernest</t>
  </si>
  <si>
    <t>Brother</t>
  </si>
  <si>
    <t>Clement George</t>
  </si>
  <si>
    <t>William Ernest Gladston</t>
  </si>
  <si>
    <t>Emma</t>
  </si>
  <si>
    <t>Savage</t>
  </si>
  <si>
    <t>Spalding, Lincolnshire, England</t>
  </si>
  <si>
    <t>House Keeping</t>
  </si>
  <si>
    <t>Eva</t>
  </si>
  <si>
    <t>Gedye</t>
  </si>
  <si>
    <t>Florence Maud</t>
  </si>
  <si>
    <t>Pickengill</t>
  </si>
  <si>
    <t>Oakham, Rutland, England</t>
  </si>
  <si>
    <t>Clara Ellen</t>
  </si>
  <si>
    <t>Cockayne</t>
  </si>
  <si>
    <t>Thomas Berridge</t>
  </si>
  <si>
    <t>Cox</t>
  </si>
  <si>
    <t>Solicitor &amp; Motor Public</t>
  </si>
  <si>
    <t>Ada Elizabeth</t>
  </si>
  <si>
    <t>Sister</t>
  </si>
  <si>
    <t>Ragsdall</t>
  </si>
  <si>
    <t>Rose Edith</t>
  </si>
  <si>
    <t>Tasker</t>
  </si>
  <si>
    <t>Boothby Graffoe, Lincolnshire, England</t>
  </si>
  <si>
    <t>Alice</t>
  </si>
  <si>
    <t>Eaves</t>
  </si>
  <si>
    <t>Wednesbury, Staffordshire, England</t>
  </si>
  <si>
    <t>Cook Domestic</t>
  </si>
  <si>
    <t>Holford</t>
  </si>
  <si>
    <t>Gloucestershire, England</t>
  </si>
  <si>
    <t>Bank Manager</t>
  </si>
  <si>
    <t>Llyods &amp; Bank Carlton St Market Place, Nottingham</t>
  </si>
  <si>
    <t>Mabel</t>
  </si>
  <si>
    <t>Dann</t>
  </si>
  <si>
    <t>Not Occupied For A Living</t>
  </si>
  <si>
    <t>Elizabeth Mary</t>
  </si>
  <si>
    <t>Phillips</t>
  </si>
  <si>
    <t>East Kirkby, Nottinghamshire, England</t>
  </si>
  <si>
    <t>Gwendoline</t>
  </si>
  <si>
    <t>Burrows</t>
  </si>
  <si>
    <t>Underwood, Nottinghamshire, England</t>
  </si>
  <si>
    <t>House ID</t>
  </si>
  <si>
    <t>House Name</t>
  </si>
  <si>
    <t>NO.</t>
  </si>
  <si>
    <t>Address</t>
  </si>
  <si>
    <t>Family</t>
  </si>
  <si>
    <t>Name</t>
  </si>
  <si>
    <t>W/M/G/B</t>
  </si>
  <si>
    <t>Relationship to Head of family</t>
  </si>
  <si>
    <t>Age</t>
  </si>
  <si>
    <t>Married/Single/Widow/er</t>
  </si>
  <si>
    <t>SINGLE</t>
  </si>
  <si>
    <t>Widow/er</t>
  </si>
  <si>
    <t xml:space="preserve">Married yrs </t>
  </si>
  <si>
    <t>Children born</t>
  </si>
  <si>
    <t>children living</t>
  </si>
  <si>
    <t>Personal Occupation</t>
  </si>
  <si>
    <t>Industry</t>
  </si>
  <si>
    <t>Economic participants</t>
  </si>
  <si>
    <t>Employer/worker</t>
  </si>
  <si>
    <t>Born</t>
  </si>
  <si>
    <t>Note</t>
  </si>
  <si>
    <t>Relationship</t>
  </si>
  <si>
    <t>largest household</t>
  </si>
  <si>
    <t>smallest household</t>
  </si>
  <si>
    <t>W</t>
  </si>
  <si>
    <t>M</t>
  </si>
  <si>
    <t>G</t>
  </si>
  <si>
    <t>B</t>
  </si>
  <si>
    <t xml:space="preserve">HEAD women head </t>
  </si>
  <si>
    <t>WIFE</t>
  </si>
  <si>
    <t>daughter</t>
  </si>
  <si>
    <t>son</t>
  </si>
  <si>
    <t>Other</t>
  </si>
  <si>
    <t>If &lt;15=child</t>
  </si>
  <si>
    <t>Married woman</t>
  </si>
  <si>
    <t>SINGLE woman</t>
  </si>
  <si>
    <t>Widow er</t>
  </si>
  <si>
    <t>Employee</t>
  </si>
  <si>
    <t>Nottinghamshire</t>
  </si>
  <si>
    <t>PC1</t>
  </si>
  <si>
    <t>Pelham cres</t>
  </si>
  <si>
    <t>Lewis</t>
  </si>
  <si>
    <t>Hosiery manuf</t>
  </si>
  <si>
    <t>Manuf</t>
  </si>
  <si>
    <t>Notts</t>
  </si>
  <si>
    <t>Home duties</t>
  </si>
  <si>
    <t>Yorkshire</t>
  </si>
  <si>
    <t>Marjorie</t>
  </si>
  <si>
    <t>notts</t>
  </si>
  <si>
    <t>Hickson</t>
  </si>
  <si>
    <t>mothers help</t>
  </si>
  <si>
    <t>Lincs</t>
  </si>
  <si>
    <t>Minkley</t>
  </si>
  <si>
    <t>Rose</t>
  </si>
  <si>
    <t>servant</t>
  </si>
  <si>
    <t>northants</t>
  </si>
  <si>
    <t>PC2</t>
  </si>
  <si>
    <t>Joseph William</t>
  </si>
  <si>
    <t>Farm Agent</t>
  </si>
  <si>
    <t>Farm</t>
  </si>
  <si>
    <t>Lottie</t>
  </si>
  <si>
    <t>visitor</t>
  </si>
  <si>
    <t>Hubbs</t>
  </si>
  <si>
    <t>Annie Elizabeth</t>
  </si>
  <si>
    <t>Northants</t>
  </si>
  <si>
    <t>PC3</t>
  </si>
  <si>
    <t>Cartwright</t>
  </si>
  <si>
    <t>Thomas William</t>
  </si>
  <si>
    <t>Law</t>
  </si>
  <si>
    <t>stated as head and servant</t>
  </si>
  <si>
    <t>Kathleen Christina</t>
  </si>
  <si>
    <t>Mary Elizabeth Kathleen</t>
  </si>
  <si>
    <t>Patience Christina</t>
  </si>
  <si>
    <t>Pass</t>
  </si>
  <si>
    <t>Woodward</t>
  </si>
  <si>
    <t>Emily Bolton</t>
  </si>
  <si>
    <t>PC4</t>
  </si>
  <si>
    <t>Ley</t>
  </si>
  <si>
    <t>Frank N</t>
  </si>
  <si>
    <t>Wool &amp; Cotton Water Merchant &amp; Puller</t>
  </si>
  <si>
    <t>merchant</t>
  </si>
  <si>
    <t>Lucy A</t>
  </si>
  <si>
    <t>Lucy K</t>
  </si>
  <si>
    <t>Williamson</t>
  </si>
  <si>
    <t>Christella</t>
  </si>
  <si>
    <t>housemaid</t>
  </si>
  <si>
    <t>yorks</t>
  </si>
  <si>
    <t>Annie E</t>
  </si>
  <si>
    <t>Rutland</t>
  </si>
  <si>
    <t>PC5</t>
  </si>
  <si>
    <t>Dudley Penny</t>
  </si>
  <si>
    <t>Newspaper</t>
  </si>
  <si>
    <t>Margaret Mary</t>
  </si>
  <si>
    <t>Jenks</t>
  </si>
  <si>
    <t>Muriel</t>
  </si>
  <si>
    <t>cook</t>
  </si>
  <si>
    <t>staffs</t>
  </si>
  <si>
    <t>Geeson</t>
  </si>
  <si>
    <t>Hannah</t>
  </si>
  <si>
    <t>PC6</t>
  </si>
  <si>
    <t>Thorpe</t>
  </si>
  <si>
    <t>Kate</t>
  </si>
  <si>
    <t>Ireland</t>
  </si>
  <si>
    <t>Saville</t>
  </si>
  <si>
    <t>Eliza Helena</t>
  </si>
  <si>
    <t>brighton</t>
  </si>
  <si>
    <t>sister</t>
  </si>
  <si>
    <t>Normanton</t>
  </si>
  <si>
    <t>Nelly Clementina</t>
  </si>
  <si>
    <t>manchester</t>
  </si>
  <si>
    <t>cousin</t>
  </si>
  <si>
    <t>Harriet Nelly</t>
  </si>
  <si>
    <t>Harrison</t>
  </si>
  <si>
    <t>retford</t>
  </si>
  <si>
    <t>Carlton</t>
  </si>
  <si>
    <t>Phoebe</t>
  </si>
  <si>
    <t>PC7</t>
  </si>
  <si>
    <t>Gill</t>
  </si>
  <si>
    <t>Smith</t>
  </si>
  <si>
    <t>Valerie Leslie</t>
  </si>
  <si>
    <t>Laing</t>
  </si>
  <si>
    <t>George Dawson</t>
  </si>
  <si>
    <t>wine &amp; sprit merchant</t>
  </si>
  <si>
    <t>warwick</t>
  </si>
  <si>
    <t>John Frederick</t>
  </si>
  <si>
    <t>G Dhing wine &amp; spirits</t>
  </si>
  <si>
    <t>Wadmore</t>
  </si>
  <si>
    <t>Beatrice</t>
  </si>
  <si>
    <t>hosp sec</t>
  </si>
  <si>
    <t>hospital</t>
  </si>
  <si>
    <t>middx</t>
  </si>
  <si>
    <t>Board of management</t>
  </si>
  <si>
    <t>Florence Marion</t>
  </si>
  <si>
    <t>home duties</t>
  </si>
  <si>
    <t>kent</t>
  </si>
  <si>
    <t>Joan Blanche</t>
  </si>
  <si>
    <t>bedford</t>
  </si>
  <si>
    <t>Meran</t>
  </si>
  <si>
    <t>Elizabeth</t>
  </si>
  <si>
    <t>clerk</t>
  </si>
  <si>
    <t>perth</t>
  </si>
  <si>
    <t>Day</t>
  </si>
  <si>
    <t>Lilian</t>
  </si>
  <si>
    <t>london</t>
  </si>
  <si>
    <t>Spencer</t>
  </si>
  <si>
    <t>PC8</t>
  </si>
  <si>
    <t>Ginder</t>
  </si>
  <si>
    <t>PC9</t>
  </si>
  <si>
    <t>Carrington</t>
  </si>
  <si>
    <t>Nellie</t>
  </si>
  <si>
    <t>Thomas Hugh</t>
  </si>
  <si>
    <t>dept mgr</t>
  </si>
  <si>
    <t>chemist</t>
  </si>
  <si>
    <t>boots &amp; co</t>
  </si>
  <si>
    <t>Morris</t>
  </si>
  <si>
    <t>Martha Elizabeth</t>
  </si>
  <si>
    <t>housekeeper</t>
  </si>
  <si>
    <t>rotherham</t>
  </si>
  <si>
    <t>PC10</t>
  </si>
  <si>
    <t>Chris Leslie</t>
  </si>
  <si>
    <t>yarn agent</t>
  </si>
  <si>
    <t>Margaret Elizabeth</t>
  </si>
  <si>
    <t>Christopher John</t>
  </si>
  <si>
    <t>Joan Margaret</t>
  </si>
  <si>
    <t>Ruth Elizabeth</t>
  </si>
  <si>
    <t>Simpson</t>
  </si>
  <si>
    <t>Thirza Elizabeth</t>
  </si>
  <si>
    <t>house parlour maid</t>
  </si>
  <si>
    <t>Sumner</t>
  </si>
  <si>
    <t>Helen</t>
  </si>
  <si>
    <t>general cook</t>
  </si>
  <si>
    <t>PC11</t>
  </si>
  <si>
    <t>Groves</t>
  </si>
  <si>
    <t>Leslie Norman</t>
  </si>
  <si>
    <t>sidney thomas and co ltd</t>
  </si>
  <si>
    <t>Payne</t>
  </si>
  <si>
    <t>cornwall</t>
  </si>
  <si>
    <t>Biles</t>
  </si>
  <si>
    <t>Cecilia</t>
  </si>
  <si>
    <t>nurse</t>
  </si>
  <si>
    <t>private nurse to mr elder regents st nottingham</t>
  </si>
  <si>
    <t>Bansall</t>
  </si>
  <si>
    <t>coork</t>
  </si>
  <si>
    <t>derbyshire</t>
  </si>
  <si>
    <t>36</t>
  </si>
  <si>
    <t>year</t>
  </si>
  <si>
    <t>count house</t>
  </si>
  <si>
    <t>Location</t>
  </si>
  <si>
    <t>house NO.</t>
  </si>
  <si>
    <t>number in house</t>
  </si>
  <si>
    <t>check</t>
  </si>
  <si>
    <t>worker</t>
  </si>
  <si>
    <t>WT1</t>
  </si>
  <si>
    <t>Western Terrace</t>
  </si>
  <si>
    <t>Lincoln Villa</t>
  </si>
  <si>
    <t>Bright</t>
  </si>
  <si>
    <t>Horace Dickinson</t>
  </si>
  <si>
    <t>WT</t>
  </si>
  <si>
    <t>Alfred Stanley</t>
  </si>
  <si>
    <t>Beatrice Eveline</t>
  </si>
  <si>
    <t>Black</t>
  </si>
  <si>
    <t>Mary Ellen</t>
  </si>
  <si>
    <t>Carvell</t>
  </si>
  <si>
    <t>Charlotte</t>
  </si>
  <si>
    <t>Selston, Nottinghamshire, England</t>
  </si>
  <si>
    <t>Brigham</t>
  </si>
  <si>
    <t>Ann Hancock</t>
  </si>
  <si>
    <t>Kitchen Maid</t>
  </si>
  <si>
    <t>Pruceking</t>
  </si>
  <si>
    <t>Frances</t>
  </si>
  <si>
    <t>WT2</t>
  </si>
  <si>
    <t>Arthur Herbert</t>
  </si>
  <si>
    <t>Lecturer And Demonstrator In Physics</t>
  </si>
  <si>
    <t>Zilla Annie</t>
  </si>
  <si>
    <t>WT3</t>
  </si>
  <si>
    <t>Hopewell</t>
  </si>
  <si>
    <t>Frank Handley</t>
  </si>
  <si>
    <t>Traveller</t>
  </si>
  <si>
    <t>Wholesale Wine &amp; Spirint, Robt James Fen &amp; Co, London</t>
  </si>
  <si>
    <t>see sue mac email</t>
  </si>
  <si>
    <t>Alissimon</t>
  </si>
  <si>
    <t>Newark, Nottinghamshire, England</t>
  </si>
  <si>
    <t>Dainty</t>
  </si>
  <si>
    <t>Gertrude Mary Elizabeth</t>
  </si>
  <si>
    <t>Niece</t>
  </si>
  <si>
    <t>Brighton, Sussex, England</t>
  </si>
  <si>
    <t>Powell</t>
  </si>
  <si>
    <t>Lewis Edward</t>
  </si>
  <si>
    <t>Hosiery Manufacturer</t>
  </si>
  <si>
    <t>J B Lewis &amp; Son Ltd</t>
  </si>
  <si>
    <t>Isle of Wight, England</t>
  </si>
  <si>
    <t>Keane</t>
  </si>
  <si>
    <t>Amy Gertrude</t>
  </si>
  <si>
    <t>WT4</t>
  </si>
  <si>
    <t>Bradley</t>
  </si>
  <si>
    <t>Frederick James</t>
  </si>
  <si>
    <t>Leather Manufactr</t>
  </si>
  <si>
    <t>Gladys Margaret</t>
  </si>
  <si>
    <t>Leather Manufact</t>
  </si>
  <si>
    <t>Beeston, Nottinghamshire, England</t>
  </si>
  <si>
    <t>Malyon</t>
  </si>
  <si>
    <t>Royston, Hertfordshire, England</t>
  </si>
  <si>
    <t>Joyce</t>
  </si>
  <si>
    <t>Hettie</t>
  </si>
  <si>
    <t>Warwickshire, England</t>
  </si>
  <si>
    <t>Tune</t>
  </si>
  <si>
    <t>Thorganby, Lincolnshire, England</t>
  </si>
  <si>
    <t>Goddard</t>
  </si>
  <si>
    <t>Mara Heygate</t>
  </si>
  <si>
    <t>Factory Manager</t>
  </si>
  <si>
    <t>The Imperial Tobacco Co Of Gt British Indepent, Tobacco Manufacturers</t>
  </si>
  <si>
    <t>Eleanor Annie</t>
  </si>
  <si>
    <t>Shipley</t>
  </si>
  <si>
    <t>Edie Annie</t>
  </si>
  <si>
    <t>Raddard</t>
  </si>
  <si>
    <t>Eastwood, Nottinghamshire, England</t>
  </si>
  <si>
    <t>Clarke</t>
  </si>
  <si>
    <t>Charles Henry</t>
  </si>
  <si>
    <t>Lace Manufacturer Retired</t>
  </si>
  <si>
    <t>Ellen Maria</t>
  </si>
  <si>
    <t>Sneinton, Nottinghamshire, England</t>
  </si>
  <si>
    <t>Wilkinson</t>
  </si>
  <si>
    <t>Ruth</t>
  </si>
  <si>
    <t>1&amp;2</t>
  </si>
  <si>
    <t>Biller</t>
  </si>
  <si>
    <t>Frank</t>
  </si>
  <si>
    <t>Caretaker Of School House</t>
  </si>
  <si>
    <t>Miss Churley Principal School</t>
  </si>
  <si>
    <t>Lenton, Nottinghamshire, England</t>
  </si>
  <si>
    <t>Louisa</t>
  </si>
  <si>
    <t>Cotton</t>
  </si>
  <si>
    <t>Between Mai</t>
  </si>
  <si>
    <t>Blackwell, Derbyshire, England</t>
  </si>
  <si>
    <t>Churley</t>
  </si>
  <si>
    <t>A Marion</t>
  </si>
  <si>
    <t>Principal Of Schoo</t>
  </si>
  <si>
    <t>Hensley</t>
  </si>
  <si>
    <t>Margaret</t>
  </si>
  <si>
    <t>Assistant, visitor</t>
  </si>
  <si>
    <t>Modern Lang Mistress</t>
  </si>
  <si>
    <t>Miss A M Churley Principal Of School</t>
  </si>
  <si>
    <t>Hertfordshire, England</t>
  </si>
  <si>
    <t>Prime-Stevenson</t>
  </si>
  <si>
    <t>Leonard Augustus</t>
  </si>
  <si>
    <t>Jenkins Raymond</t>
  </si>
  <si>
    <t>London, London, England</t>
  </si>
  <si>
    <t>Wilfred Leonard Oscar</t>
  </si>
  <si>
    <t>Kent, England</t>
  </si>
  <si>
    <t>Dietrichsen</t>
  </si>
  <si>
    <t>Beatrice Agnes</t>
  </si>
  <si>
    <t>Dublin, Ireland</t>
  </si>
  <si>
    <t>Widow</t>
  </si>
  <si>
    <t>Christian</t>
  </si>
  <si>
    <t>Beatrice Sibley</t>
  </si>
  <si>
    <t>Mitchell</t>
  </si>
  <si>
    <t>Rebecca Brown</t>
  </si>
  <si>
    <t>Avoca, Wicklow, Ireland</t>
  </si>
  <si>
    <t>Lvison</t>
  </si>
  <si>
    <t>Sarah Douglas</t>
  </si>
  <si>
    <t>Cumberland, England</t>
  </si>
  <si>
    <t>Lorraman</t>
  </si>
  <si>
    <t>Rochester, Kent, England</t>
  </si>
  <si>
    <t>Rowe</t>
  </si>
  <si>
    <t>BL</t>
  </si>
  <si>
    <t>Barrack Lane</t>
  </si>
  <si>
    <t>8a</t>
  </si>
  <si>
    <t>John H</t>
  </si>
  <si>
    <t>Director Of Limited Co</t>
  </si>
  <si>
    <t>Employer Pawnbroker</t>
  </si>
  <si>
    <t>Charlotte B</t>
  </si>
  <si>
    <t>Phyllis A</t>
  </si>
  <si>
    <t>Wilson</t>
  </si>
  <si>
    <t>Ellen Winifred</t>
  </si>
  <si>
    <t>Onion</t>
  </si>
  <si>
    <t>Winifred</t>
  </si>
  <si>
    <t>Insurance Agent</t>
  </si>
  <si>
    <t>London &amp; Manchester Assurance Company</t>
  </si>
  <si>
    <t>Hendery</t>
  </si>
  <si>
    <t>Gertrude M</t>
  </si>
  <si>
    <t>Peal Asurance Company</t>
  </si>
  <si>
    <t>Arthur William</t>
  </si>
  <si>
    <t>Cabinet Maker</t>
  </si>
  <si>
    <t>J M Lims House Furnisher</t>
  </si>
  <si>
    <t>Elizabeth Ann</t>
  </si>
  <si>
    <t>Hind</t>
  </si>
  <si>
    <t>Edith Annie</t>
  </si>
  <si>
    <t>Hosiery Worker Maker Up</t>
  </si>
  <si>
    <t>Gordon</t>
  </si>
  <si>
    <t>No Occupation</t>
  </si>
  <si>
    <t>Stephenson</t>
  </si>
  <si>
    <t>Caroline</t>
  </si>
  <si>
    <t>Radford, Nottinghamshire, England</t>
  </si>
  <si>
    <t>Harris</t>
  </si>
  <si>
    <t>William Thomas</t>
  </si>
  <si>
    <t>Building Surveyor</t>
  </si>
  <si>
    <t>Own Account</t>
  </si>
  <si>
    <t>Clayton</t>
  </si>
  <si>
    <t>Gertrude</t>
  </si>
  <si>
    <t>General Domestic</t>
  </si>
  <si>
    <t>Clowne, Derbyshire, England</t>
  </si>
  <si>
    <t>Shephard</t>
  </si>
  <si>
    <t>Mother</t>
  </si>
  <si>
    <t>2 houses are number 10</t>
  </si>
  <si>
    <t>Sidney</t>
  </si>
  <si>
    <t>Maker Up Of Childrens Wearing Appearl In Cotton &amp; Silk</t>
  </si>
  <si>
    <t>S Walker &amp; Co</t>
  </si>
  <si>
    <t>Chapman</t>
  </si>
  <si>
    <t>Thrumpton, Nottinghamshire, England</t>
  </si>
  <si>
    <t>Brown</t>
  </si>
  <si>
    <t>Clerk Room Attendant</t>
  </si>
  <si>
    <t>Imperial Black &amp; Co, Out Of Work</t>
  </si>
  <si>
    <t>Cyril</t>
  </si>
  <si>
    <t>Census date</t>
  </si>
  <si>
    <t>Age in months</t>
  </si>
  <si>
    <t>Age as transcribed</t>
  </si>
  <si>
    <t>42 y 6 m</t>
  </si>
  <si>
    <t>Marital status</t>
  </si>
  <si>
    <t>Single</t>
  </si>
  <si>
    <t>Birth town</t>
  </si>
  <si>
    <t>Nottingham</t>
  </si>
  <si>
    <t>Birth county</t>
  </si>
  <si>
    <t>Birth country</t>
  </si>
  <si>
    <t>England</t>
  </si>
  <si>
    <t>Birth place as transcribed</t>
  </si>
  <si>
    <t>Nottinghamshire, Nottingham</t>
  </si>
  <si>
    <t>Occupation code</t>
  </si>
  <si>
    <t>Occupation code with suffix</t>
  </si>
  <si>
    <t>419/6</t>
  </si>
  <si>
    <t>Messrs J &amp; R Molry Hosiery Manufacturer</t>
  </si>
  <si>
    <t>Employer code</t>
  </si>
  <si>
    <t>Place of work</t>
  </si>
  <si>
    <t>Handel Street, Sninton, Nottingham</t>
  </si>
  <si>
    <t>Number of minor dependants</t>
  </si>
  <si>
    <t>Language used to complete form</t>
  </si>
  <si>
    <t>English</t>
  </si>
  <si>
    <t>Person making return</t>
  </si>
  <si>
    <t>Miss Edith A Hind</t>
  </si>
  <si>
    <t>House number</t>
  </si>
  <si>
    <t>Street</t>
  </si>
  <si>
    <t>3 Barrack Lane</t>
  </si>
  <si>
    <t>Full address as transcribed</t>
  </si>
  <si>
    <t>3 Barrock Janer, Nottingham</t>
  </si>
  <si>
    <t>Parish</t>
  </si>
  <si>
    <t>Registration district</t>
  </si>
  <si>
    <t>Registration district number</t>
  </si>
  <si>
    <t>Sub-district</t>
  </si>
  <si>
    <t>Nottingham South West</t>
  </si>
  <si>
    <t>Sub-district number</t>
  </si>
  <si>
    <t>Enumeration district number</t>
  </si>
  <si>
    <t>County</t>
  </si>
  <si>
    <t>Country</t>
  </si>
  <si>
    <t>Ward of borough or urban district</t>
  </si>
  <si>
    <t>Castle</t>
  </si>
  <si>
    <t>Parliamentary borough or division</t>
  </si>
  <si>
    <t>Nottingham PB, South Div.</t>
  </si>
  <si>
    <t>Archive</t>
  </si>
  <si>
    <t>The National Archives</t>
  </si>
  <si>
    <t>Archive series</t>
  </si>
  <si>
    <t>RG 15</t>
  </si>
  <si>
    <t>Piece number</t>
  </si>
  <si>
    <t>Schedule number</t>
  </si>
  <si>
    <t>District reference</t>
  </si>
  <si>
    <t>RD 430 RS 1 ED 15</t>
  </si>
  <si>
    <t>Schedule type code</t>
  </si>
  <si>
    <t>E</t>
  </si>
  <si>
    <t>Schedule type</t>
  </si>
  <si>
    <t>England household, single page, 10 entries</t>
  </si>
  <si>
    <t>Other household member's first name(s)</t>
  </si>
  <si>
    <t>Other household member's last name</t>
  </si>
  <si>
    <t>Record set</t>
  </si>
  <si>
    <t>1921 Census Of England &amp; Wales</t>
  </si>
  <si>
    <t>Category</t>
  </si>
  <si>
    <t>Census, land &amp; surveys</t>
  </si>
  <si>
    <t>Subcategory</t>
  </si>
  <si>
    <t>Census</t>
  </si>
  <si>
    <t>Collections from</t>
  </si>
  <si>
    <t>Great Britain, England</t>
  </si>
  <si>
    <t>LC</t>
  </si>
  <si>
    <t>Lincoln Circus</t>
  </si>
  <si>
    <t>Berkin</t>
  </si>
  <si>
    <t>Harry Laurine</t>
  </si>
  <si>
    <t>Lace Manufacturer</t>
  </si>
  <si>
    <t>Olive Isabel</t>
  </si>
  <si>
    <t>Wollaton, Nottinghamshire, England</t>
  </si>
  <si>
    <t>Wightman</t>
  </si>
  <si>
    <t>Dean</t>
  </si>
  <si>
    <t>Gladys Mabel</t>
  </si>
  <si>
    <t>Stamford, Lincolnshire, England</t>
  </si>
  <si>
    <t>Bullen</t>
  </si>
  <si>
    <t>Not Known</t>
  </si>
  <si>
    <t>Hall</t>
  </si>
  <si>
    <t>Nurse Domestic</t>
  </si>
  <si>
    <t>Whitwick, Leicestershire, England</t>
  </si>
  <si>
    <t>Hadnutt</t>
  </si>
  <si>
    <t>Maria</t>
  </si>
  <si>
    <t>Sweeting</t>
  </si>
  <si>
    <t>Ellen</t>
  </si>
  <si>
    <t>Palmer</t>
  </si>
  <si>
    <t>Edward</t>
  </si>
  <si>
    <t>Gardener</t>
  </si>
  <si>
    <t>Clackmannanshire, Scotland</t>
  </si>
  <si>
    <t>Williamthorpe, Derbyshire, England</t>
  </si>
  <si>
    <t>Radford</t>
  </si>
  <si>
    <t>Alfred Charles</t>
  </si>
  <si>
    <t>Lace &amp; Embroidery Manufr Machine Help</t>
  </si>
  <si>
    <t>Doris Mary</t>
  </si>
  <si>
    <t>Ashmore</t>
  </si>
  <si>
    <t>Sick nurse</t>
  </si>
  <si>
    <t>Trained Nurse</t>
  </si>
  <si>
    <t>Legaste</t>
  </si>
  <si>
    <t>Godeleive</t>
  </si>
  <si>
    <t>Bruges, Belgium</t>
  </si>
  <si>
    <t>Scutt</t>
  </si>
  <si>
    <t>Margaret Mina</t>
  </si>
  <si>
    <t>Arundel, Sussex, England</t>
  </si>
  <si>
    <t>TOTAL</t>
  </si>
  <si>
    <t>NC</t>
  </si>
  <si>
    <t>1921</t>
  </si>
  <si>
    <t>Newcastle circus</t>
  </si>
  <si>
    <t>Jesse William</t>
  </si>
  <si>
    <t>Lilian Frances</t>
  </si>
  <si>
    <t>Middlesex, England</t>
  </si>
  <si>
    <t>Ramsden</t>
  </si>
  <si>
    <t>Constance</t>
  </si>
  <si>
    <t>Manningham, Yorkshire, England</t>
  </si>
  <si>
    <t>Selby</t>
  </si>
  <si>
    <t>Clarice</t>
  </si>
  <si>
    <t>Sugars</t>
  </si>
  <si>
    <t>Mary Matilda</t>
  </si>
  <si>
    <t>Roxton, Bedfordshire, England</t>
  </si>
  <si>
    <t>Marrows</t>
  </si>
  <si>
    <t>South Collingham, Nottinghamshire, England</t>
  </si>
  <si>
    <t>Baldry</t>
  </si>
  <si>
    <t>Paget</t>
  </si>
  <si>
    <t>Edgar Lyon</t>
  </si>
  <si>
    <t>Credor Of Manager W Hollens Co Ltd Spinner And Manufacture</t>
  </si>
  <si>
    <t>W Hollins C Ld Spinner Manufacture</t>
  </si>
  <si>
    <t>Loughborough, Leicestershire, England</t>
  </si>
  <si>
    <t>Mary Warne</t>
  </si>
  <si>
    <t>St Helier, Jersey, Channel Islands</t>
  </si>
  <si>
    <t>Rossignot</t>
  </si>
  <si>
    <t>Violet L E</t>
  </si>
  <si>
    <t>Sister-in-law</t>
  </si>
  <si>
    <t>Clerk</t>
  </si>
  <si>
    <t>Boots Past Chemists</t>
  </si>
  <si>
    <t>Wilfred Le</t>
  </si>
  <si>
    <t>Paddington, London, England</t>
  </si>
  <si>
    <t>Nephew</t>
  </si>
  <si>
    <t>Horne</t>
  </si>
  <si>
    <t>Ethel Mary Winifred</t>
  </si>
  <si>
    <t>H Mr Paget</t>
  </si>
  <si>
    <t>Gosport, Hampshire, England</t>
  </si>
  <si>
    <t>Holmes</t>
  </si>
  <si>
    <t>Parlormaid</t>
  </si>
  <si>
    <t>Mr Paper</t>
  </si>
  <si>
    <t>Boston, Lincolnshire, England</t>
  </si>
  <si>
    <t>Ida</t>
  </si>
  <si>
    <t>In Paget</t>
  </si>
  <si>
    <t>Dronfield, Derbyshire, England</t>
  </si>
  <si>
    <t>PD</t>
  </si>
  <si>
    <t>Park Drive</t>
  </si>
  <si>
    <t>Wine &amp; Spirit Merchant</t>
  </si>
  <si>
    <t>Dorothy Violet</t>
  </si>
  <si>
    <t>Annie Selina</t>
  </si>
  <si>
    <t>Singer</t>
  </si>
  <si>
    <t>Hunt</t>
  </si>
  <si>
    <t>Doris</t>
  </si>
  <si>
    <t>Nuncargate, Nottinghamshire, England</t>
  </si>
  <si>
    <t>Ashby</t>
  </si>
  <si>
    <t>McCraith</t>
  </si>
  <si>
    <t>Douglas</t>
  </si>
  <si>
    <t>Phyllis Marguerite</t>
  </si>
  <si>
    <t>New York, New York, United States</t>
  </si>
  <si>
    <t>Borbet</t>
  </si>
  <si>
    <t>Leonie</t>
  </si>
  <si>
    <t>Courset, France</t>
  </si>
  <si>
    <t>Ellis</t>
  </si>
  <si>
    <t>Staffordshire, England</t>
  </si>
  <si>
    <t>Humphreys</t>
  </si>
  <si>
    <t>Edward Wynne</t>
  </si>
  <si>
    <t>Official Receiver In Banknup ?y</t>
  </si>
  <si>
    <t>Board Of Trade</t>
  </si>
  <si>
    <t>Manchester, Lancashire, England</t>
  </si>
  <si>
    <t>Yorkshire, England</t>
  </si>
  <si>
    <t>Herbert</t>
  </si>
  <si>
    <t>Plain Net Manufacturer</t>
  </si>
  <si>
    <t>Lily Maude</t>
  </si>
  <si>
    <t>Burton Joyce, Nottinghamshire, England</t>
  </si>
  <si>
    <t>Lily Marjory</t>
  </si>
  <si>
    <t>Phyllis</t>
  </si>
  <si>
    <t>Wilford, Nottinghamshire, England</t>
  </si>
  <si>
    <t>Emily Mabel</t>
  </si>
  <si>
    <t>Shelton</t>
  </si>
  <si>
    <t>Thomas</t>
  </si>
  <si>
    <t>Civil Service Assistant Superintending Engineers Post Office Engineering Dept</t>
  </si>
  <si>
    <t>Post Office</t>
  </si>
  <si>
    <t>Pembrokeshire, Wales</t>
  </si>
  <si>
    <t>Carmarthenshire, Wales</t>
  </si>
  <si>
    <t>Starr</t>
  </si>
  <si>
    <t>Jennie</t>
  </si>
  <si>
    <t>Sampson</t>
  </si>
  <si>
    <t>Walter</t>
  </si>
  <si>
    <t>Albert E</t>
  </si>
  <si>
    <t>Lace Merchant</t>
  </si>
  <si>
    <t>Directer At Phiplss &amp; Coy</t>
  </si>
  <si>
    <t>Ellie E</t>
  </si>
  <si>
    <t>Henniker</t>
  </si>
  <si>
    <t>Mary E</t>
  </si>
  <si>
    <t>Sick Nurse</t>
  </si>
  <si>
    <t>Bath, Somerset, England</t>
  </si>
  <si>
    <t>Pindge</t>
  </si>
  <si>
    <t>Martha A</t>
  </si>
  <si>
    <t>Mile End, Essex, England</t>
  </si>
  <si>
    <t>Lander</t>
  </si>
  <si>
    <t>Meadow</t>
  </si>
  <si>
    <t>Long Sutton, Lincolnshire, England</t>
  </si>
  <si>
    <t>Flora</t>
  </si>
  <si>
    <t>Howard L</t>
  </si>
  <si>
    <t>Grandson</t>
  </si>
  <si>
    <t>Crewe, Cheshire, England</t>
  </si>
  <si>
    <t>Hudson</t>
  </si>
  <si>
    <t>Irene A</t>
  </si>
  <si>
    <t>New Basford, Nottinghamshire, England</t>
  </si>
  <si>
    <t>#house</t>
  </si>
  <si>
    <t>PeD</t>
  </si>
  <si>
    <t>Peveril Drive</t>
  </si>
  <si>
    <t>Sharper</t>
  </si>
  <si>
    <t>Ezekiel Charles</t>
  </si>
  <si>
    <t>Sight Testing Optician</t>
  </si>
  <si>
    <t>Zbarazh, Ukraine</t>
  </si>
  <si>
    <t>Blackburn, Lancashire, England</t>
  </si>
  <si>
    <t>Harry</t>
  </si>
  <si>
    <t>Belfast, Antrim, Ireland</t>
  </si>
  <si>
    <t>Leo</t>
  </si>
  <si>
    <t>Bolton, Lancashire, England</t>
  </si>
  <si>
    <t>Isadora</t>
  </si>
  <si>
    <t>Ruby</t>
  </si>
  <si>
    <t>Sheila</t>
  </si>
  <si>
    <t>Lane</t>
  </si>
  <si>
    <t>Ivanhoe</t>
  </si>
  <si>
    <t>Suces</t>
  </si>
  <si>
    <t>Bastenological Assistant</t>
  </si>
  <si>
    <t>Nottingham Corporation Heald Department</t>
  </si>
  <si>
    <t>Shirebrook, Derbyshire, England</t>
  </si>
  <si>
    <t>Emily Maria</t>
  </si>
  <si>
    <t>East Bridgford, Nottinghamshire, England</t>
  </si>
  <si>
    <t>Smurthwaite</t>
  </si>
  <si>
    <t>Ivy Evelyn</t>
  </si>
  <si>
    <t>Tvanbe Lodge Peverel Vue The Paul</t>
  </si>
  <si>
    <t>Robertson</t>
  </si>
  <si>
    <t>Dublin, Dublin, Ireland</t>
  </si>
  <si>
    <t>Huntley</t>
  </si>
  <si>
    <t>Lifting Machinery Engineering</t>
  </si>
  <si>
    <t>Managing Director Limited Co</t>
  </si>
  <si>
    <t>Highbury, London, England</t>
  </si>
  <si>
    <t>Barton</t>
  </si>
  <si>
    <t>Florance Mary</t>
  </si>
  <si>
    <t>Fulham, Middlesex, England</t>
  </si>
  <si>
    <t>Tebbitt</t>
  </si>
  <si>
    <t>Mary Emma</t>
  </si>
  <si>
    <t>Buckinghamshire, England</t>
  </si>
  <si>
    <t>Henson</t>
  </si>
  <si>
    <t>Maryan</t>
  </si>
  <si>
    <t>Edward Mary Charles</t>
  </si>
  <si>
    <t>Clerk In Holy Orders</t>
  </si>
  <si>
    <t>Brixton, London, England</t>
  </si>
  <si>
    <t>Ada</t>
  </si>
  <si>
    <t>Florance Agnes</t>
  </si>
  <si>
    <t>Cook Housekeeper</t>
  </si>
  <si>
    <t>Tupton, Derbyshire, England</t>
  </si>
  <si>
    <t>Marton</t>
  </si>
  <si>
    <t>O'Brien</t>
  </si>
  <si>
    <t>Annie Agnes</t>
  </si>
  <si>
    <t>Cook General</t>
  </si>
  <si>
    <t>Goodcliffe</t>
  </si>
  <si>
    <t>Johanna</t>
  </si>
  <si>
    <t>Sharme</t>
  </si>
  <si>
    <t>Henrietta</t>
  </si>
  <si>
    <t>Cook, House Keeper</t>
  </si>
  <si>
    <t>Marston Montgomery, Derbyshire, England</t>
  </si>
  <si>
    <t>Johnson</t>
  </si>
  <si>
    <t>Toy Manufacturer</t>
  </si>
  <si>
    <t>Employer Parhiner Yates &amp; Co</t>
  </si>
  <si>
    <t>Ellen Angeline</t>
  </si>
  <si>
    <t>Gates &amp; Co</t>
  </si>
  <si>
    <t>Francis Dora</t>
  </si>
  <si>
    <t>Teacher Of Domestic Subjects</t>
  </si>
  <si>
    <t>Nottingham Education Committee</t>
  </si>
  <si>
    <t>Polley</t>
  </si>
  <si>
    <t>Edwin Arthur</t>
  </si>
  <si>
    <t>Manager</t>
  </si>
  <si>
    <t>London Central Cold Storage Coy Ltd</t>
  </si>
  <si>
    <t>Acton, Middlesex, England</t>
  </si>
  <si>
    <t>Jackson</t>
  </si>
  <si>
    <t>Emily May</t>
  </si>
  <si>
    <t xml:space="preserve">no. 3 in 1911 census </t>
  </si>
  <si>
    <t>2a</t>
  </si>
  <si>
    <t>Christopher</t>
  </si>
  <si>
    <t>Tailor &amp; Clotheir</t>
  </si>
  <si>
    <t>Dixon &amp; Parker Ltd Tailor &amp; Cloteir</t>
  </si>
  <si>
    <t>Great Sturton, Lincolnshire, England</t>
  </si>
  <si>
    <t>Household Duties</t>
  </si>
  <si>
    <t>Sudbury, Suffolk, England</t>
  </si>
  <si>
    <t>Roland Godfrey</t>
  </si>
  <si>
    <t>Tailor Manager</t>
  </si>
  <si>
    <t>Fred Charles Tailor</t>
  </si>
  <si>
    <t>Laura Emilie</t>
  </si>
  <si>
    <t>Wimbledon, London, England</t>
  </si>
  <si>
    <t>Mills</t>
  </si>
  <si>
    <t>Trained Certificated Teacher</t>
  </si>
  <si>
    <t>Assistant Teacher</t>
  </si>
  <si>
    <t>Care</t>
  </si>
  <si>
    <t>Book Keeper &amp; Typist</t>
  </si>
  <si>
    <t>Jacques Bros Ltd Wholesale Clotheiers</t>
  </si>
  <si>
    <t>Penzance, Cornwall, England</t>
  </si>
  <si>
    <t>Richard Walter</t>
  </si>
  <si>
    <t>Representative</t>
  </si>
  <si>
    <t>Best Allcroft &amp; Co Ltd Glogve Manufacturers</t>
  </si>
  <si>
    <t>Rotherham, Yorkshire, England</t>
  </si>
  <si>
    <t>Lucy Annie</t>
  </si>
  <si>
    <t>Housewife</t>
  </si>
  <si>
    <t>Durham, Durham, England</t>
  </si>
  <si>
    <t>Robert Stuart Watson</t>
  </si>
  <si>
    <t>Assisting Electrical Engineer</t>
  </si>
  <si>
    <t>Nottingham Corporation</t>
  </si>
  <si>
    <t>Jenkins</t>
  </si>
  <si>
    <t>Jemima</t>
  </si>
  <si>
    <t>R W Cox 5 Peoviol Dise Nham</t>
  </si>
  <si>
    <t>Short</t>
  </si>
  <si>
    <t>Kathleen Mary</t>
  </si>
  <si>
    <t>Lloyd</t>
  </si>
  <si>
    <t>Hannah Stauger</t>
  </si>
  <si>
    <t>Greenfield</t>
  </si>
  <si>
    <t>CRW</t>
  </si>
  <si>
    <t>Clumber rd W</t>
  </si>
  <si>
    <t>Felixstowe see 1911</t>
  </si>
  <si>
    <t>Dowson</t>
  </si>
  <si>
    <t>William Enfield</t>
  </si>
  <si>
    <t>Lace &amp; Embroiderer Man Factory</t>
  </si>
  <si>
    <t>Helena</t>
  </si>
  <si>
    <t>Town Councilor Justice Of The Place Etc</t>
  </si>
  <si>
    <t>Modd</t>
  </si>
  <si>
    <t>Lucy</t>
  </si>
  <si>
    <t>Ropsley, Lincolnshire, England</t>
  </si>
  <si>
    <t>Greenway</t>
  </si>
  <si>
    <t>Underwood</t>
  </si>
  <si>
    <t>Leamington, Warwickshire, England</t>
  </si>
  <si>
    <t>Mawby</t>
  </si>
  <si>
    <t>Gertrude Ellen</t>
  </si>
  <si>
    <t>Homberger</t>
  </si>
  <si>
    <t>Kate Adeline</t>
  </si>
  <si>
    <t>Chesman</t>
  </si>
  <si>
    <t>Bransby, Lincolnshire, England</t>
  </si>
  <si>
    <t>Bull</t>
  </si>
  <si>
    <t>Dorothy</t>
  </si>
  <si>
    <t>Betts</t>
  </si>
  <si>
    <t>Ladys Maid</t>
  </si>
  <si>
    <t>Banton</t>
  </si>
  <si>
    <t>Gwendoline Audrey</t>
  </si>
  <si>
    <t>Clumber Rd West</t>
  </si>
  <si>
    <t xml:space="preserve">? Holly lodge see 1911 same name servant </t>
  </si>
  <si>
    <t>Allchurch</t>
  </si>
  <si>
    <t>William J</t>
  </si>
  <si>
    <t>Hagley, Worcestershire, England</t>
  </si>
  <si>
    <t>Achurch</t>
  </si>
  <si>
    <t>Geoffrey Berry</t>
  </si>
  <si>
    <t>Dorothy Sylvia</t>
  </si>
  <si>
    <t>Lettia</t>
  </si>
  <si>
    <t>Parkin</t>
  </si>
  <si>
    <t>Kilburn, Derbyshire, England</t>
  </si>
  <si>
    <t>Brittam</t>
  </si>
  <si>
    <t>Hannah M</t>
  </si>
  <si>
    <t>Green</t>
  </si>
  <si>
    <t>Huntingdonshire, England</t>
  </si>
  <si>
    <t>Baxter</t>
  </si>
  <si>
    <t>Aileen K</t>
  </si>
  <si>
    <t>Nurseman</t>
  </si>
  <si>
    <t>Woolwich, Kent, England</t>
  </si>
  <si>
    <t>Basford, Nottinghamshire, England</t>
  </si>
  <si>
    <t>Netherfield, Nottinghamshire, England</t>
  </si>
  <si>
    <t>Hucknall, Nottinghamshire, England</t>
  </si>
  <si>
    <t>MR</t>
  </si>
  <si>
    <t>Maxtoke Rd</t>
  </si>
  <si>
    <t>Hesse</t>
  </si>
  <si>
    <t>Marie Augustine</t>
  </si>
  <si>
    <t>Brussels, Belgium</t>
  </si>
  <si>
    <t>May Catherine</t>
  </si>
  <si>
    <t>Secretary</t>
  </si>
  <si>
    <t>Sussex, England</t>
  </si>
  <si>
    <t>Elsie Norah</t>
  </si>
  <si>
    <t>CCS</t>
  </si>
  <si>
    <t>Clumber Cres S</t>
  </si>
  <si>
    <t>Jardine</t>
  </si>
  <si>
    <t>Ernest</t>
  </si>
  <si>
    <t>Lace Machine Builder</t>
  </si>
  <si>
    <t>Ada Jane</t>
  </si>
  <si>
    <t>O'Connell</t>
  </si>
  <si>
    <t>John Granfield</t>
  </si>
  <si>
    <t>Managing Director</t>
  </si>
  <si>
    <t>Trent Concrete Ltd, Concrete Products Manfrs</t>
  </si>
  <si>
    <t>Napier, New Zealand</t>
  </si>
  <si>
    <t>John Jardine</t>
  </si>
  <si>
    <t>Evanson</t>
  </si>
  <si>
    <t>Brewster</t>
  </si>
  <si>
    <t>Louisa Ellen</t>
  </si>
  <si>
    <t>Sutton on Sea, Lincolnshire, England</t>
  </si>
  <si>
    <t>Marshall</t>
  </si>
  <si>
    <t>Ilkeston, Derbyshire, England</t>
  </si>
  <si>
    <t>Rush</t>
  </si>
  <si>
    <t>Topham</t>
  </si>
  <si>
    <t>Jenny</t>
  </si>
  <si>
    <t>Kitchenmaid</t>
  </si>
  <si>
    <t>Burten</t>
  </si>
  <si>
    <t>Nursemaid</t>
  </si>
  <si>
    <t>Thorpe, Nottinghamshire, England</t>
  </si>
  <si>
    <t>Kipping</t>
  </si>
  <si>
    <t>Frederick Stanley</t>
  </si>
  <si>
    <t>Professor Of Chemistry</t>
  </si>
  <si>
    <t>The Council Of University College, Nottingham</t>
  </si>
  <si>
    <t>Bridgwater, Somerset, England</t>
  </si>
  <si>
    <t>Frederick Barry</t>
  </si>
  <si>
    <t>Chemistry Student</t>
  </si>
  <si>
    <t>Kathleen Esme</t>
  </si>
  <si>
    <t>Holland</t>
  </si>
  <si>
    <t>Mother-in-law</t>
  </si>
  <si>
    <t>Jinks</t>
  </si>
  <si>
    <t>John Clarence</t>
  </si>
  <si>
    <t>Lecturer In Pharmacuties</t>
  </si>
  <si>
    <t>Shropshire, England</t>
  </si>
  <si>
    <t>Doris May</t>
  </si>
  <si>
    <t>Ilfracombe, Devon, England</t>
  </si>
  <si>
    <t>Betty Doreen</t>
  </si>
  <si>
    <t>Kniveton</t>
  </si>
  <si>
    <t>Lady's Maid</t>
  </si>
  <si>
    <t>Scunthorpe, Lincolnshire, England</t>
  </si>
  <si>
    <t>Pointer</t>
  </si>
  <si>
    <t>Valentine Muriel</t>
  </si>
  <si>
    <t>Kirkaldy</t>
  </si>
  <si>
    <t>Evelyn Frances</t>
  </si>
  <si>
    <t>Poplar, London, England</t>
  </si>
  <si>
    <t>Joan</t>
  </si>
  <si>
    <t>Paris, France</t>
  </si>
  <si>
    <t>Adam Willis</t>
  </si>
  <si>
    <t>Oxford, Oxfordshire, England</t>
  </si>
  <si>
    <t>Baker</t>
  </si>
  <si>
    <t>Bertha Swell</t>
  </si>
  <si>
    <t>Morton, Lincolnshire, England</t>
  </si>
  <si>
    <t>Mildred</t>
  </si>
  <si>
    <t>Holbrook, Suffolk, England</t>
  </si>
  <si>
    <t>James William</t>
  </si>
  <si>
    <t>Sir</t>
  </si>
  <si>
    <t>Knight Solicitor</t>
  </si>
  <si>
    <t>Maria Elizabeth</t>
  </si>
  <si>
    <t>House Duties</t>
  </si>
  <si>
    <t>Kenneth Yorke</t>
  </si>
  <si>
    <t>Manager Lace Warehouse</t>
  </si>
  <si>
    <t>Birks Manufacturing Co Ltd</t>
  </si>
  <si>
    <t>Violet Muriel</t>
  </si>
  <si>
    <t>Wood</t>
  </si>
  <si>
    <t>Catherine Hasc?que</t>
  </si>
  <si>
    <t>Warwick, Warwickshire, England</t>
  </si>
  <si>
    <t>Isabella</t>
  </si>
  <si>
    <t>Nurse</t>
  </si>
  <si>
    <t>Owen</t>
  </si>
  <si>
    <t>Katherine</t>
  </si>
  <si>
    <t>Wales</t>
  </si>
  <si>
    <t>Sellars</t>
  </si>
  <si>
    <t>Parlour maid</t>
  </si>
  <si>
    <t>Hincks</t>
  </si>
  <si>
    <t>Annie Beatrice</t>
  </si>
  <si>
    <t>Kitchen maid</t>
  </si>
  <si>
    <t>Kidd</t>
  </si>
  <si>
    <t>Annie Sarah</t>
  </si>
  <si>
    <t>Carrington, Nottinghamshire, England</t>
  </si>
  <si>
    <t>Pottinger</t>
  </si>
  <si>
    <t>Ollerton, Nottinghamshire, England</t>
  </si>
  <si>
    <t>Lewenz</t>
  </si>
  <si>
    <t>John Leo</t>
  </si>
  <si>
    <t>Merchant (Lace, Curtains Nots &amp; General Export)</t>
  </si>
  <si>
    <t>Edith Alice</t>
  </si>
  <si>
    <t>Berlin, Germany</t>
  </si>
  <si>
    <t>Sayers</t>
  </si>
  <si>
    <t>Beryl Agnes</t>
  </si>
  <si>
    <t>Jenkinson</t>
  </si>
  <si>
    <t>Florrie</t>
  </si>
  <si>
    <t>Barrow Hill, Derbyshire, England</t>
  </si>
  <si>
    <t>Ethel May</t>
  </si>
  <si>
    <t>Wigglesworth</t>
  </si>
  <si>
    <t>Herbert Hardy</t>
  </si>
  <si>
    <t>Architect</t>
  </si>
  <si>
    <t>Dundee, Forfarshire (Angus), Scotland</t>
  </si>
  <si>
    <t>SR</t>
  </si>
  <si>
    <t>South Road</t>
  </si>
  <si>
    <t>Thompson</t>
  </si>
  <si>
    <t>Yarn Merchant</t>
  </si>
  <si>
    <t>Mary Esther</t>
  </si>
  <si>
    <t>Sheffield, Yorkshire, England</t>
  </si>
  <si>
    <t>Lindall</t>
  </si>
  <si>
    <t>Browne</t>
  </si>
  <si>
    <t>Quorn, Leicestershire, England</t>
  </si>
  <si>
    <t>Harvey</t>
  </si>
  <si>
    <t>Quarton</t>
  </si>
  <si>
    <t>Derby, Derbyshire, England</t>
  </si>
  <si>
    <t>Neale</t>
  </si>
  <si>
    <t>Charles Cooper</t>
  </si>
  <si>
    <t>Auctioneer</t>
  </si>
  <si>
    <t>Employer J Meale &amp; Son Auctioneer</t>
  </si>
  <si>
    <t>Marian</t>
  </si>
  <si>
    <t>Howe</t>
  </si>
  <si>
    <t>Herbert Charles</t>
  </si>
  <si>
    <t>Adopted son</t>
  </si>
  <si>
    <t>Mariner Apprentice</t>
  </si>
  <si>
    <t>Geo Thompton &amp; Co Aberden White Leice Lines</t>
  </si>
  <si>
    <t>Highgate, London, England</t>
  </si>
  <si>
    <t>see two houses with adopted sons</t>
  </si>
  <si>
    <t>Raymond Douglas</t>
  </si>
  <si>
    <t>Newcastle, England</t>
  </si>
  <si>
    <t>Leonard</t>
  </si>
  <si>
    <t>Son of servant</t>
  </si>
  <si>
    <t>Gateshead, Durham, England</t>
  </si>
  <si>
    <t>Hadden</t>
  </si>
  <si>
    <t>Henry Charles</t>
  </si>
  <si>
    <t>Knitted Fabric Manufacturer</t>
  </si>
  <si>
    <t>Aberdeen, Aberdeenshire, Scotland</t>
  </si>
  <si>
    <t>Vernonia Olivia Victoria</t>
  </si>
  <si>
    <t>Chelsea, London, England</t>
  </si>
  <si>
    <t>Violetta Elizabeth</t>
  </si>
  <si>
    <t>Hardy</t>
  </si>
  <si>
    <t>George Gordon</t>
  </si>
  <si>
    <t>House Furnisher</t>
  </si>
  <si>
    <t>Minnie Flora</t>
  </si>
  <si>
    <t>Alexander Claude Stronach</t>
  </si>
  <si>
    <t>Liverpool, Lancashire, England</t>
  </si>
  <si>
    <t>John Dudley Stronach</t>
  </si>
  <si>
    <t>Selangor, Malaysia</t>
  </si>
  <si>
    <t>Robbins</t>
  </si>
  <si>
    <t>Mary Jane</t>
  </si>
  <si>
    <t>Langley Mill, Derbyshire, England</t>
  </si>
  <si>
    <t>Cavendish Cres S.</t>
  </si>
  <si>
    <t>Simkin</t>
  </si>
  <si>
    <t>Anna</t>
  </si>
  <si>
    <t>Pease</t>
  </si>
  <si>
    <t>Lucy Ann</t>
  </si>
  <si>
    <t>Scoulton, Norfolk, England</t>
  </si>
  <si>
    <t>Brownsword</t>
  </si>
  <si>
    <t>Wilhelmina</t>
  </si>
  <si>
    <t>Brittain</t>
  </si>
  <si>
    <t>Phoebe Elizabeth</t>
  </si>
  <si>
    <t>Folkingham, Lincolnshire, England</t>
  </si>
  <si>
    <t>Landor</t>
  </si>
  <si>
    <t>Householder</t>
  </si>
  <si>
    <t>Skipwith</t>
  </si>
  <si>
    <t>Catherine Ada</t>
  </si>
  <si>
    <t>Cousin</t>
  </si>
  <si>
    <t>Skerrett</t>
  </si>
  <si>
    <t>Evelyn Annie</t>
  </si>
  <si>
    <t>Fleeman</t>
  </si>
  <si>
    <t>Clarice Selina</t>
  </si>
  <si>
    <t>Clulow</t>
  </si>
  <si>
    <t>Ruth Margarete</t>
  </si>
  <si>
    <t>Bradwell</t>
  </si>
  <si>
    <t>William Howard</t>
  </si>
  <si>
    <t>Auctioneer &amp; Valuer</t>
  </si>
  <si>
    <t>Southwell, Nottinghamshire, England</t>
  </si>
  <si>
    <t>was cavendish cris in census</t>
  </si>
  <si>
    <t>Carine Sarah</t>
  </si>
  <si>
    <t>Joyce Muriel</t>
  </si>
  <si>
    <t>Doris Howard</t>
  </si>
  <si>
    <t>Moult</t>
  </si>
  <si>
    <t>Julia</t>
  </si>
  <si>
    <t>Brooks</t>
  </si>
  <si>
    <t>Etheldreda</t>
  </si>
  <si>
    <t>Finsbury Park, London, England</t>
  </si>
  <si>
    <t>Allen</t>
  </si>
  <si>
    <t>Sarah Elizabeth</t>
  </si>
  <si>
    <t>Maid Of Household</t>
  </si>
  <si>
    <t>Arnold</t>
  </si>
  <si>
    <t>Lucy Marel</t>
  </si>
  <si>
    <t>Church Aston, Shropshire, England</t>
  </si>
  <si>
    <t>Oram</t>
  </si>
  <si>
    <t>Moses Ame Helena</t>
  </si>
  <si>
    <t>Lichfield, Staffordshire, England</t>
  </si>
  <si>
    <t>Usher</t>
  </si>
  <si>
    <t>Thomas Clement</t>
  </si>
  <si>
    <t>Mine Coal Factor</t>
  </si>
  <si>
    <t>Gloucester, Gloucestershire, England</t>
  </si>
  <si>
    <t>Kathleen Muriel</t>
  </si>
  <si>
    <t>Enfield, Middlesex, England</t>
  </si>
  <si>
    <t>Williams</t>
  </si>
  <si>
    <t>Amelia</t>
  </si>
  <si>
    <t>Chester, Cheshire, England</t>
  </si>
  <si>
    <t>Housley</t>
  </si>
  <si>
    <t>Cussannow Mabel</t>
  </si>
  <si>
    <t>Mather</t>
  </si>
  <si>
    <t>George</t>
  </si>
  <si>
    <t>Lace Shipping Merchant</t>
  </si>
  <si>
    <t>See two no. 19 in census Mr Mather signed return</t>
  </si>
  <si>
    <t>Loretta</t>
  </si>
  <si>
    <t>Talbot</t>
  </si>
  <si>
    <t>Charles</t>
  </si>
  <si>
    <t>Glore Tabric Manufacturer Dept, George Maker</t>
  </si>
  <si>
    <t>Caythorpe, Lincolnshire, England</t>
  </si>
  <si>
    <t>Vernie</t>
  </si>
  <si>
    <t>Hannah Hilda</t>
  </si>
  <si>
    <t>Spinster, servant</t>
  </si>
  <si>
    <t>Elliott</t>
  </si>
  <si>
    <t>Martha Ann</t>
  </si>
  <si>
    <t>Servant, spinster</t>
  </si>
  <si>
    <t>Ilkeston, Nottinghamshire, England</t>
  </si>
  <si>
    <t>Button</t>
  </si>
  <si>
    <t>Margaret Jane</t>
  </si>
  <si>
    <t>Nurse (Certified)</t>
  </si>
  <si>
    <t>Durham, England</t>
  </si>
  <si>
    <t>Jessop</t>
  </si>
  <si>
    <t>Ada Mary</t>
  </si>
  <si>
    <t>Exeter, Devon, England</t>
  </si>
  <si>
    <t>Draw</t>
  </si>
  <si>
    <t>Anne</t>
  </si>
  <si>
    <t>Bess</t>
  </si>
  <si>
    <t>Ellen Annie</t>
  </si>
  <si>
    <t>Cayton, Yorkshire, England</t>
  </si>
  <si>
    <t>HC</t>
  </si>
  <si>
    <t>Holles Cres</t>
  </si>
  <si>
    <t>Stubington</t>
  </si>
  <si>
    <t>Cloth Merchant</t>
  </si>
  <si>
    <t>Reading, Berkshire, England</t>
  </si>
  <si>
    <t>Fisher</t>
  </si>
  <si>
    <t>Sarah Helen</t>
  </si>
  <si>
    <t>Meldrum</t>
  </si>
  <si>
    <t>Evelyn M</t>
  </si>
  <si>
    <t>Barbara</t>
  </si>
  <si>
    <t>Olga</t>
  </si>
  <si>
    <t>Teacher</t>
  </si>
  <si>
    <t>Min Churley Principal</t>
  </si>
  <si>
    <t>Dixon</t>
  </si>
  <si>
    <t>Mr Meldon</t>
  </si>
  <si>
    <t>Peterborough, Cambridgeshire, England</t>
  </si>
  <si>
    <t>Walker</t>
  </si>
  <si>
    <t>Thomas Flewitt</t>
  </si>
  <si>
    <t>Olga Mary</t>
  </si>
  <si>
    <t>Olive Debear</t>
  </si>
  <si>
    <t>Law Clerk</t>
  </si>
  <si>
    <t>Walker &amp; Hauson</t>
  </si>
  <si>
    <t>LR</t>
  </si>
  <si>
    <t>Lenton Rd</t>
  </si>
  <si>
    <t>Cooper</t>
  </si>
  <si>
    <t>Alfred James</t>
  </si>
  <si>
    <t>Retired Lace Manufacture</t>
  </si>
  <si>
    <t>Constance Mary</t>
  </si>
  <si>
    <t>John Alfred</t>
  </si>
  <si>
    <t>Captain Royal Nil Force Retired</t>
  </si>
  <si>
    <t>Noon</t>
  </si>
  <si>
    <t>Manning</t>
  </si>
  <si>
    <t>Edward Lawrence</t>
  </si>
  <si>
    <t>Elise Lina</t>
  </si>
  <si>
    <t>France</t>
  </si>
  <si>
    <t>Agneta Lina</t>
  </si>
  <si>
    <t>Geoffrey Lawrence Frederic</t>
  </si>
  <si>
    <t>Student</t>
  </si>
  <si>
    <t>Brough</t>
  </si>
  <si>
    <t>Ella</t>
  </si>
  <si>
    <t>Meakin</t>
  </si>
  <si>
    <t>Annie May</t>
  </si>
  <si>
    <t>Langley, Derbyshire, England</t>
  </si>
  <si>
    <t>Housing Commissioner</t>
  </si>
  <si>
    <t>Hull, Yorkshire, England</t>
  </si>
  <si>
    <t>in census is down as a 'separate entry' special permission</t>
  </si>
  <si>
    <t>James Douglas</t>
  </si>
  <si>
    <t>Kingston upon Thames, Surrey, England</t>
  </si>
  <si>
    <t>George Anthony</t>
  </si>
  <si>
    <t>Peter Russell</t>
  </si>
  <si>
    <t>John Michael</t>
  </si>
  <si>
    <t>Hindley</t>
  </si>
  <si>
    <t>Martha</t>
  </si>
  <si>
    <t>Lawson</t>
  </si>
  <si>
    <t>Nurse Maid</t>
  </si>
  <si>
    <t>Angelinetta</t>
  </si>
  <si>
    <t>Rose S</t>
  </si>
  <si>
    <t>Furniture Manufacturer</t>
  </si>
  <si>
    <t>Alice P</t>
  </si>
  <si>
    <t>Rita</t>
  </si>
  <si>
    <t>Cerce</t>
  </si>
  <si>
    <t>Shellowon</t>
  </si>
  <si>
    <t>Denton, Lincolnshire, England</t>
  </si>
  <si>
    <t>Ridgway</t>
  </si>
  <si>
    <t>Louisa Goodwin</t>
  </si>
  <si>
    <t>Sketchley</t>
  </si>
  <si>
    <t>Lydia Swain</t>
  </si>
  <si>
    <t>Stone</t>
  </si>
  <si>
    <t>Stell</t>
  </si>
  <si>
    <t>Sarah Ann</t>
  </si>
  <si>
    <t>Lymbery</t>
  </si>
  <si>
    <t>Richard Henry</t>
  </si>
  <si>
    <t>Retired</t>
  </si>
  <si>
    <t>Mellor</t>
  </si>
  <si>
    <t>William Henry</t>
  </si>
  <si>
    <t>Retired Hosiery Manufacturer</t>
  </si>
  <si>
    <t>Oldham, Lancashire, England</t>
  </si>
  <si>
    <t>Mary Ann</t>
  </si>
  <si>
    <t>Phyllis Mary</t>
  </si>
  <si>
    <t>Lee</t>
  </si>
  <si>
    <t>Henry Burgess</t>
  </si>
  <si>
    <t>Clerk In Holy Orders Hon Canon Of Southwell Gathwood Notts</t>
  </si>
  <si>
    <t>Southwell Diversion Finance Association</t>
  </si>
  <si>
    <t>Wells, Somerset, England</t>
  </si>
  <si>
    <t>Ida Marian</t>
  </si>
  <si>
    <t>Stow, Lincolnshire, England</t>
  </si>
  <si>
    <t>House</t>
  </si>
  <si>
    <t>Domestic Servant Cook</t>
  </si>
  <si>
    <t>Alexander</t>
  </si>
  <si>
    <t>Domestic Servant H Parlow Parlourmaid</t>
  </si>
  <si>
    <t>Cowen</t>
  </si>
  <si>
    <t>Ellen Mary</t>
  </si>
  <si>
    <t>C</t>
  </si>
  <si>
    <t>Worcestershire, England</t>
  </si>
  <si>
    <t>Harwood</t>
  </si>
  <si>
    <t>C W</t>
  </si>
  <si>
    <t>General Servant</t>
  </si>
  <si>
    <t>Foreman</t>
  </si>
  <si>
    <t>Amy Marguerite</t>
  </si>
  <si>
    <t>Sharke</t>
  </si>
  <si>
    <t>Julia Anne</t>
  </si>
  <si>
    <t>Housework</t>
  </si>
  <si>
    <t>Aynke, Foreman, Private</t>
  </si>
  <si>
    <t>Glentham, Lincolnshire, England</t>
  </si>
  <si>
    <t>Kirkman</t>
  </si>
  <si>
    <t>Edith Anne</t>
  </si>
  <si>
    <t>House Work</t>
  </si>
  <si>
    <t>Alley M Foreman, Private</t>
  </si>
  <si>
    <t>Sandiacre, Derbyshire, England</t>
  </si>
  <si>
    <t>Heaton</t>
  </si>
  <si>
    <t>William H</t>
  </si>
  <si>
    <t>College Principal</t>
  </si>
  <si>
    <t>Unworthy Cole Nottm, Court Of Governors</t>
  </si>
  <si>
    <t>Anna L</t>
  </si>
  <si>
    <t>Ipswich, Suffolk, England</t>
  </si>
  <si>
    <t>Geoffrey T</t>
  </si>
  <si>
    <t>Improver At Scientific Instrument Makers</t>
  </si>
  <si>
    <t>Messers John Davis &amp; Son</t>
  </si>
  <si>
    <t>Art Student</t>
  </si>
  <si>
    <t>Nancy T</t>
  </si>
  <si>
    <t>Durrand</t>
  </si>
  <si>
    <t>Minnie Kate</t>
  </si>
  <si>
    <t>Suffolk, England</t>
  </si>
  <si>
    <t>Wyld</t>
  </si>
  <si>
    <t>Evans</t>
  </si>
  <si>
    <t>Constance Katherine</t>
  </si>
  <si>
    <t>Edith Cecily</t>
  </si>
  <si>
    <t>Radio Graphic</t>
  </si>
  <si>
    <t>Nottingham General Hospital House Committee</t>
  </si>
  <si>
    <t>Rollinson</t>
  </si>
  <si>
    <t>Holbrook, Derbyshire, England</t>
  </si>
  <si>
    <t>Poyser</t>
  </si>
  <si>
    <t>Shop Keeper</t>
  </si>
  <si>
    <t>Donovan</t>
  </si>
  <si>
    <t>Catherine</t>
  </si>
  <si>
    <t>Glamorganshire, Wales</t>
  </si>
  <si>
    <t>Tusley</t>
  </si>
  <si>
    <t>Homer</t>
  </si>
  <si>
    <t>Calladine</t>
  </si>
  <si>
    <t>Maid Attendant</t>
  </si>
  <si>
    <t>Marriatt</t>
  </si>
  <si>
    <t>Kent</t>
  </si>
  <si>
    <t>Lillian</t>
  </si>
  <si>
    <t>Paterson</t>
  </si>
  <si>
    <t>London Hospital Traines Nurse, Private Means</t>
  </si>
  <si>
    <t>Ayrshire, Scotland</t>
  </si>
  <si>
    <t>householder</t>
  </si>
  <si>
    <t>Fairfield, Lancashire, England</t>
  </si>
  <si>
    <t>Carver</t>
  </si>
  <si>
    <t>Annie Florence</t>
  </si>
  <si>
    <t>Faulks</t>
  </si>
  <si>
    <t>Laura</t>
  </si>
  <si>
    <t>Pilsley, Derbyshire, England</t>
  </si>
  <si>
    <t>Sutton</t>
  </si>
  <si>
    <t>Clay Cross, Derbyshire, England</t>
  </si>
  <si>
    <t>David</t>
  </si>
  <si>
    <t>Retired Lace Merchant</t>
  </si>
  <si>
    <t>Devon, England</t>
  </si>
  <si>
    <t>Ghent</t>
  </si>
  <si>
    <t>Vials</t>
  </si>
  <si>
    <t>Gotham, Nottinghamshire, England</t>
  </si>
  <si>
    <t>George Henry</t>
  </si>
  <si>
    <t xml:space="preserve">Block Barker is stock broker see 1911 census </t>
  </si>
  <si>
    <t>Cecil Gordon</t>
  </si>
  <si>
    <t>Christian Nora</t>
  </si>
  <si>
    <t>Wilfred V</t>
  </si>
  <si>
    <t xml:space="preserve">reads as winifred vera on transcript but checked original </t>
  </si>
  <si>
    <t>Copple</t>
  </si>
  <si>
    <t>Squire</t>
  </si>
  <si>
    <t>Cowe</t>
  </si>
  <si>
    <t>Purdey</t>
  </si>
  <si>
    <t>Eliza Adaline</t>
  </si>
  <si>
    <t>Bats</t>
  </si>
  <si>
    <t>Rachel</t>
  </si>
  <si>
    <t>William Harold</t>
  </si>
  <si>
    <t>Valuer Income Tax Coll &amp; Estate &amp; Agent</t>
  </si>
  <si>
    <t>Edith Othilia</t>
  </si>
  <si>
    <t>Eileen Othilin</t>
  </si>
  <si>
    <t>Clifford Harold</t>
  </si>
  <si>
    <t>Morton, Derbyshire, England</t>
  </si>
  <si>
    <t>Ball</t>
  </si>
  <si>
    <t>Albert</t>
  </si>
  <si>
    <t>Land Agent</t>
  </si>
  <si>
    <t>Harriett</t>
  </si>
  <si>
    <t>Ockbrook, Derbyshire, England</t>
  </si>
  <si>
    <t>Instone</t>
  </si>
  <si>
    <t>Charlotte Matilda</t>
  </si>
  <si>
    <t>Mr Albert Ball</t>
  </si>
  <si>
    <t>Bell</t>
  </si>
  <si>
    <t>Lydia May Cecilia</t>
  </si>
  <si>
    <t>Hepplewtrite</t>
  </si>
  <si>
    <t>William Hutton</t>
  </si>
  <si>
    <t>Retired Civil Servant</t>
  </si>
  <si>
    <t>Home Office Inspector Of Mines</t>
  </si>
  <si>
    <t>Hatton</t>
  </si>
  <si>
    <t>Nuneaton, Warwickshire, England</t>
  </si>
  <si>
    <t>Horace Donald</t>
  </si>
  <si>
    <t>Adopted child</t>
  </si>
  <si>
    <t>Aspinall</t>
  </si>
  <si>
    <t>Irene Josephine</t>
  </si>
  <si>
    <t>Joan Irene</t>
  </si>
  <si>
    <t>Piper</t>
  </si>
  <si>
    <t>Mary Joyec</t>
  </si>
  <si>
    <t>Stephen Robert</t>
  </si>
  <si>
    <t>David Towry</t>
  </si>
  <si>
    <t>Balham, London, England</t>
  </si>
  <si>
    <t>Michael Harvey</t>
  </si>
  <si>
    <t>Roebuck</t>
  </si>
  <si>
    <t>Emily E</t>
  </si>
  <si>
    <t>Childrens Nurse</t>
  </si>
  <si>
    <t>Bakewell, Derbyshire, England</t>
  </si>
  <si>
    <t>Hovell</t>
  </si>
  <si>
    <t>Cricket Bat Maker</t>
  </si>
  <si>
    <t>Gunn &amp; Moore Cricket Bat Makers</t>
  </si>
  <si>
    <t>none found</t>
  </si>
  <si>
    <t>North</t>
  </si>
  <si>
    <t>Manageress</t>
  </si>
  <si>
    <t>Jersop &amp; Son Draper</t>
  </si>
  <si>
    <t>Nash Mills, Hertfordshire, England</t>
  </si>
  <si>
    <t>Drapers Showroom Assistant</t>
  </si>
  <si>
    <t>Drapers Jersop Nottingham</t>
  </si>
  <si>
    <t>Porter</t>
  </si>
  <si>
    <t>Norwich, Norfolk, England</t>
  </si>
  <si>
    <t>Lucy Enid</t>
  </si>
  <si>
    <t>Domestic Help</t>
  </si>
  <si>
    <t>The Hermitage</t>
  </si>
  <si>
    <t>Langley Mill, Nottinghamshire, England</t>
  </si>
  <si>
    <t>Service</t>
  </si>
  <si>
    <t>Private Hermitage</t>
  </si>
  <si>
    <t>Leeds, Yorkshire, England</t>
  </si>
  <si>
    <t>Hancock</t>
  </si>
  <si>
    <t>Buyer Boot &amp; Shoes</t>
  </si>
  <si>
    <t>Drapers Jersop &amp; Son Nottinghma</t>
  </si>
  <si>
    <t>Milling Showroom</t>
  </si>
  <si>
    <t>Drapers Jessop &amp; Spm</t>
  </si>
  <si>
    <t>Wheeler</t>
  </si>
  <si>
    <t>Drapers Assistant</t>
  </si>
  <si>
    <t>Jessop &amp; Son Drapers</t>
  </si>
  <si>
    <t>Bradford</t>
  </si>
  <si>
    <t>Whaplode, Lincolnshire, England</t>
  </si>
  <si>
    <t>Ethel Mary</t>
  </si>
  <si>
    <t>St Neots, Huntingdonshire, England</t>
  </si>
  <si>
    <t>Ford</t>
  </si>
  <si>
    <t>Laurie Violet</t>
  </si>
  <si>
    <t>Jessop &amp; Son</t>
  </si>
  <si>
    <t>Somerset, England</t>
  </si>
  <si>
    <t>Sykes</t>
  </si>
  <si>
    <t>Drapery Buyer</t>
  </si>
  <si>
    <t>Jossop Son</t>
  </si>
  <si>
    <t>Gilliepie</t>
  </si>
  <si>
    <t>Isabella A</t>
  </si>
  <si>
    <t>Dress Maker</t>
  </si>
  <si>
    <t>Hilda C</t>
  </si>
  <si>
    <t>Capel St Mary, Suffolk, England</t>
  </si>
  <si>
    <t>Field</t>
  </si>
  <si>
    <t>Shop Assistant Draper</t>
  </si>
  <si>
    <t>Lowestoft, Suffolk, England</t>
  </si>
  <si>
    <t>Pritchard</t>
  </si>
  <si>
    <t>Millinery Buyer</t>
  </si>
  <si>
    <t>Orme</t>
  </si>
  <si>
    <t>Lace Buyer</t>
  </si>
  <si>
    <t>Cheadle, Staffordshire, England</t>
  </si>
  <si>
    <t>Frances Gertrude</t>
  </si>
  <si>
    <t>Lancashire, England</t>
  </si>
  <si>
    <t>Beatrice Eleanor</t>
  </si>
  <si>
    <t>Capon</t>
  </si>
  <si>
    <t>Ivy Doris</t>
  </si>
  <si>
    <t>LA</t>
  </si>
  <si>
    <t>Lenton Avenue</t>
  </si>
  <si>
    <t>Snook</t>
  </si>
  <si>
    <t>Frederick Lionel</t>
  </si>
  <si>
    <t>Director James Snook Coy Ltd Textile Warehouse Man Wholesale</t>
  </si>
  <si>
    <t>Marjorie Ella</t>
  </si>
  <si>
    <t>Cleethorpes, Lincolnshire, England</t>
  </si>
  <si>
    <t>Joyce Marjorie</t>
  </si>
  <si>
    <t>Peacock</t>
  </si>
  <si>
    <t>Shelborne</t>
  </si>
  <si>
    <t>Ethel Constance</t>
  </si>
  <si>
    <t>Ashley</t>
  </si>
  <si>
    <t>Thomas Stephenson</t>
  </si>
  <si>
    <t>Chauffer</t>
  </si>
  <si>
    <t>H F Lancashire Esq Hosiery Manufacturer</t>
  </si>
  <si>
    <t>Goulceby, Lincolnshire, England</t>
  </si>
  <si>
    <t>Edith Priscilla</t>
  </si>
  <si>
    <t>At Home</t>
  </si>
  <si>
    <t>Shoe Shop Assistant</t>
  </si>
  <si>
    <t>Cash &amp; Co Boot Manufacturers</t>
  </si>
  <si>
    <t>Harmston, Lincolnshire, England</t>
  </si>
  <si>
    <t>Arthur Whitby</t>
  </si>
  <si>
    <t>Grocer, Wholesale</t>
  </si>
  <si>
    <t>Edith Lilian</t>
  </si>
  <si>
    <t>Burnley, Lancashire, England</t>
  </si>
  <si>
    <t>Chappell</t>
  </si>
  <si>
    <t>Arthur Edward</t>
  </si>
  <si>
    <t>Chauffeur (Private)</t>
  </si>
  <si>
    <t>Private, James Forman Esqre</t>
  </si>
  <si>
    <t>Jessie</t>
  </si>
  <si>
    <t>Moray, Scotland</t>
  </si>
  <si>
    <t>Vera Jeanetta Gertrude</t>
  </si>
  <si>
    <t>Little Bookham, Surrey, England</t>
  </si>
  <si>
    <t>Turpin</t>
  </si>
  <si>
    <t>George Sherbrooke</t>
  </si>
  <si>
    <t>Headmaster Of Nottm High School</t>
  </si>
  <si>
    <t>Governess Of Nottingham, High School</t>
  </si>
  <si>
    <t>Amy Ellen</t>
  </si>
  <si>
    <t>Shooter</t>
  </si>
  <si>
    <t>Sarah Anne</t>
  </si>
  <si>
    <t>Gt Turpin, 5 Lenton Avenue, Notts</t>
  </si>
  <si>
    <t>Annesley, Nottinghamshire, England</t>
  </si>
  <si>
    <t>Kirkby, Nottinghamshire, England</t>
  </si>
  <si>
    <t>Glover</t>
  </si>
  <si>
    <t>Private Chauffeur</t>
  </si>
  <si>
    <t>Sir James, Mccraith, Solicitor</t>
  </si>
  <si>
    <t>Great Gidding, Cambridgeshire, England</t>
  </si>
  <si>
    <t>Hampshire, England</t>
  </si>
  <si>
    <t>George William</t>
  </si>
  <si>
    <t>Railway S N W Parcel Dept</t>
  </si>
  <si>
    <t>Sutton, Northamptonshire, England</t>
  </si>
  <si>
    <t>Skelton</t>
  </si>
  <si>
    <t>Albert William</t>
  </si>
  <si>
    <t>Estate Agent &amp; Viewer</t>
  </si>
  <si>
    <t>Rolfe</t>
  </si>
  <si>
    <t>Seymour</t>
  </si>
  <si>
    <t>Holbeach, Lincolnshire, England</t>
  </si>
  <si>
    <t>Coy</t>
  </si>
  <si>
    <t>Ralph Samuel</t>
  </si>
  <si>
    <t>J G Dolson Peverb House Then Park, Nottingham</t>
  </si>
  <si>
    <t>Stannard</t>
  </si>
  <si>
    <t>Alice Ethel Catherine</t>
  </si>
  <si>
    <t>Credit Manageress</t>
  </si>
  <si>
    <t>G Hawkin 7 &amp; 9 Carlton St, Nottingham</t>
  </si>
  <si>
    <t>Norbury, Derbyshire, England</t>
  </si>
  <si>
    <t>Pentecost</t>
  </si>
  <si>
    <t>Leonard Stanley</t>
  </si>
  <si>
    <t>Manager Lace Blenchley Dyering &amp; Finisbury Works</t>
  </si>
  <si>
    <t>Cindley Lindley Bleqachers Dyers &amp; Lace Dresser</t>
  </si>
  <si>
    <t>Gladys</t>
  </si>
  <si>
    <t>Alan James</t>
  </si>
  <si>
    <t>Lazonby</t>
  </si>
  <si>
    <t>Joseph</t>
  </si>
  <si>
    <t>Father-in-law</t>
  </si>
  <si>
    <t>Secretary To Limited Company Director Of Limited Company</t>
  </si>
  <si>
    <t>Raleigh Cycle Limited Secreatary Archer Gears Limited</t>
  </si>
  <si>
    <t>Wigton, Cumberland, England</t>
  </si>
  <si>
    <t>Fletcher</t>
  </si>
  <si>
    <t>Letitia</t>
  </si>
  <si>
    <t>Companion</t>
  </si>
  <si>
    <t>Dancer</t>
  </si>
  <si>
    <t>Barnsley, Yorkshire, England</t>
  </si>
  <si>
    <t>Kirk</t>
  </si>
  <si>
    <t>Coachman</t>
  </si>
  <si>
    <t>Mrs Little Wood</t>
  </si>
  <si>
    <t>Arnold, Nottinghamshire, England</t>
  </si>
  <si>
    <t>Plain Net Mendar</t>
  </si>
  <si>
    <t>J E Berrey &amp; Co</t>
  </si>
  <si>
    <t>Rawson</t>
  </si>
  <si>
    <t>Jobbing Gardener</t>
  </si>
  <si>
    <t>Normanton, Nottinghamshire, England</t>
  </si>
  <si>
    <t>Blidworth, Nottinghamshire, England</t>
  </si>
  <si>
    <t>Hanmore</t>
  </si>
  <si>
    <t>Alcock</t>
  </si>
  <si>
    <t>Percival Robert</t>
  </si>
  <si>
    <t>Solicitors Articled Clerk</t>
  </si>
  <si>
    <t>Messrs Warren &amp; Allen Solicitors</t>
  </si>
  <si>
    <t>Christina Margaret</t>
  </si>
  <si>
    <t>Winifred Mary</t>
  </si>
  <si>
    <t>School Mistress</t>
  </si>
  <si>
    <t>Miss Sowels Headmistress</t>
  </si>
  <si>
    <t>Orange</t>
  </si>
  <si>
    <t>Clara May</t>
  </si>
  <si>
    <t>Sanderson</t>
  </si>
  <si>
    <t>Edna May</t>
  </si>
  <si>
    <t>Gath</t>
  </si>
  <si>
    <t>Chartered Accountant In Paractice City Auditor</t>
  </si>
  <si>
    <t>Lily Matilda</t>
  </si>
  <si>
    <t>Walter Dunstan Player</t>
  </si>
  <si>
    <t>Payer</t>
  </si>
  <si>
    <t>Minnie Primrose</t>
  </si>
  <si>
    <t>Clacton on Sea, Essex, England</t>
  </si>
  <si>
    <t>Park</t>
  </si>
  <si>
    <t>John Robert Smith</t>
  </si>
  <si>
    <t>Nat Prov &amp; Inn Bk Of Eng Ltd</t>
  </si>
  <si>
    <t>Mabel Helen</t>
  </si>
  <si>
    <t>Worcester, Worcestershire, England</t>
  </si>
  <si>
    <t>Joan Aileen</t>
  </si>
  <si>
    <t>Thornton Heath, Surrey, England</t>
  </si>
  <si>
    <t>Geldeford</t>
  </si>
  <si>
    <t>no. 23 twice</t>
  </si>
  <si>
    <t>Newhall, Derbyshire, England</t>
  </si>
  <si>
    <t>Nellie Alice</t>
  </si>
  <si>
    <t>no 23 twice</t>
  </si>
  <si>
    <t>Wadsworth</t>
  </si>
  <si>
    <t>Frederick</t>
  </si>
  <si>
    <t>Solicitor Retired</t>
  </si>
  <si>
    <t>Mary Lois</t>
  </si>
  <si>
    <t>Lacey</t>
  </si>
  <si>
    <t>Norton Disney, Lincolnshire, England</t>
  </si>
  <si>
    <t>Webb</t>
  </si>
  <si>
    <t>Sewing Maid</t>
  </si>
  <si>
    <t>Coope</t>
  </si>
  <si>
    <t>Stephen James</t>
  </si>
  <si>
    <t>Lace Dresser</t>
  </si>
  <si>
    <t>Eric Lancelot Copleston</t>
  </si>
  <si>
    <t>Hicking Pentecor Landresser</t>
  </si>
  <si>
    <t>Wicks</t>
  </si>
  <si>
    <t>Alice Winifred</t>
  </si>
  <si>
    <t>Hayes</t>
  </si>
  <si>
    <t>Mary Josephine</t>
  </si>
  <si>
    <t>Chorley, Lancashire, England</t>
  </si>
  <si>
    <t>Walter Scott</t>
  </si>
  <si>
    <t>is shown as 51 on census</t>
  </si>
  <si>
    <t>Managing Director Lace Curtan Manufacturer</t>
  </si>
  <si>
    <t>Dorothy Jane</t>
  </si>
  <si>
    <t>Dorothy Miriam Dennett</t>
  </si>
  <si>
    <t>Gedling, Nottinghamshire, England</t>
  </si>
  <si>
    <t>Marguerita Scott</t>
  </si>
  <si>
    <t>Vivienne Mary Scott</t>
  </si>
  <si>
    <t>address given as linton Arms</t>
  </si>
  <si>
    <t>Henry Bell</t>
  </si>
  <si>
    <t>Butterwick, Lincolnshire, England</t>
  </si>
  <si>
    <t>Traveller In Fire Extinginshers</t>
  </si>
  <si>
    <t>Messrs Minning Limited Fire Extingham Manufactures</t>
  </si>
  <si>
    <t>Graves</t>
  </si>
  <si>
    <t>William Francis</t>
  </si>
  <si>
    <t>Employer, Dokon &amp; Allesley L</t>
  </si>
  <si>
    <t>Eleanor</t>
  </si>
  <si>
    <t>Turnford, Hertfordshire, England</t>
  </si>
  <si>
    <t xml:space="preserve">this is lenton avenue on census </t>
  </si>
  <si>
    <t>Ursula Mary Dolores</t>
  </si>
  <si>
    <t>Eva Mary</t>
  </si>
  <si>
    <t>Bristol, Gloucestershire, England</t>
  </si>
  <si>
    <t>Bentley</t>
  </si>
  <si>
    <t>Langwith, Derbyshire, England</t>
  </si>
  <si>
    <t>Delves</t>
  </si>
  <si>
    <t>Burton on Trent, Staffordshire, England</t>
  </si>
  <si>
    <t>note says 19 on census but found another</t>
  </si>
  <si>
    <t>note found 31 lenton ave in lenton road list</t>
  </si>
  <si>
    <t>found in lenton road</t>
  </si>
  <si>
    <t>?33 see 1911</t>
  </si>
  <si>
    <t>Missing</t>
  </si>
  <si>
    <t>could not find through search of names</t>
  </si>
  <si>
    <t>KR</t>
  </si>
  <si>
    <t>KW1</t>
  </si>
  <si>
    <t>Kenilworth Rd</t>
  </si>
  <si>
    <t>? Kenilworth House see 1911 census</t>
  </si>
  <si>
    <t>Pemberton</t>
  </si>
  <si>
    <t>Brant Broughton, Lincolnshire, England</t>
  </si>
  <si>
    <t>Mary Gertrude</t>
  </si>
  <si>
    <t>Lucie Ethel</t>
  </si>
  <si>
    <t>KW2</t>
  </si>
  <si>
    <t>? The chestnuts 1911 census</t>
  </si>
  <si>
    <t>Elborough</t>
  </si>
  <si>
    <t>Frederick Thomas</t>
  </si>
  <si>
    <t>Engineers Merchants Colliery Furniture</t>
  </si>
  <si>
    <t>Mitcham, Surrey, England</t>
  </si>
  <si>
    <t>Dorothy Ellen</t>
  </si>
  <si>
    <t>Joyce Beaumont</t>
  </si>
  <si>
    <t>Kw3</t>
  </si>
  <si>
    <t xml:space="preserve">2 ? 1911 </t>
  </si>
  <si>
    <t>Hardstaff</t>
  </si>
  <si>
    <t>Thomas Wilkinson</t>
  </si>
  <si>
    <t>Vickers Furniture</t>
  </si>
  <si>
    <t>Ethel Dora</t>
  </si>
  <si>
    <t>Huntspill, Somerset, England</t>
  </si>
  <si>
    <t>Arthur Hurman</t>
  </si>
  <si>
    <t>KW3</t>
  </si>
  <si>
    <t>Goodacre</t>
  </si>
  <si>
    <t>Granby, Nottinghamshire, England</t>
  </si>
  <si>
    <t>KW4</t>
  </si>
  <si>
    <t>? Iveston 1911 census</t>
  </si>
  <si>
    <t>? 1</t>
  </si>
  <si>
    <t>Rosher</t>
  </si>
  <si>
    <t>Messenger For American Exporters Of Dry Goods</t>
  </si>
  <si>
    <t>Mills &amp; Gibb Corporation Exporters Of Dry Goods</t>
  </si>
  <si>
    <t>Saxony, Germany</t>
  </si>
  <si>
    <t>Allington, Lincolnshire, England</t>
  </si>
  <si>
    <t>Cecil</t>
  </si>
  <si>
    <t>R Evans &amp; Co</t>
  </si>
  <si>
    <t>Dry Goods Assistant</t>
  </si>
  <si>
    <t>Out Of Work</t>
  </si>
  <si>
    <t>West Bridgford, Nottinghamshire, England</t>
  </si>
  <si>
    <t>? The chestnuts see 1911</t>
  </si>
  <si>
    <t>? 5</t>
  </si>
  <si>
    <t xml:space="preserve">? 2 see 1911 </t>
  </si>
  <si>
    <t>FD</t>
  </si>
  <si>
    <t>Fishpond Drive</t>
  </si>
  <si>
    <t>Alfred Henry</t>
  </si>
  <si>
    <t>Maston Head Of Boys School</t>
  </si>
  <si>
    <t>Notts Educat Committee</t>
  </si>
  <si>
    <t>Kate Phoebe</t>
  </si>
  <si>
    <t>Winifred Russell</t>
  </si>
  <si>
    <t>Bookkeeper &amp; Typist</t>
  </si>
  <si>
    <t>Claflins Corporalrd</t>
  </si>
  <si>
    <t>Vera Lydia Russell</t>
  </si>
  <si>
    <t>Typist</t>
  </si>
  <si>
    <t>Oceans Accident Guardenr Corporation Limited</t>
  </si>
  <si>
    <t>Kathleen Phyllis Russell</t>
  </si>
  <si>
    <t>Teacher Student</t>
  </si>
  <si>
    <t>Assistant Traffic Manager Transport</t>
  </si>
  <si>
    <t>Boots Cash Chemists, Wholesale &amp; Retail Druggist Etc</t>
  </si>
  <si>
    <t>Wantage, Berkshire, England</t>
  </si>
  <si>
    <t>Ethel Bertha</t>
  </si>
  <si>
    <t>Wirksworth, Derbyshire, England</t>
  </si>
  <si>
    <t>Clara Matilda</t>
  </si>
  <si>
    <t>Clerk (Audit)</t>
  </si>
  <si>
    <t>Boots Cast Chemists, Wholesale &amp; Retail Druggist Etc</t>
  </si>
  <si>
    <t>Bookbinders Assistant</t>
  </si>
  <si>
    <t>Rracow Morris Bookbinder</t>
  </si>
  <si>
    <t>Margorie</t>
  </si>
  <si>
    <t>Brother-in-law</t>
  </si>
  <si>
    <t>Wilton Club Ltd</t>
  </si>
  <si>
    <t>Godfrey</t>
  </si>
  <si>
    <t>Calendar Salesman</t>
  </si>
  <si>
    <t>Messrs W T G Baird Ltd, Printers &amp; Stationers Belfast</t>
  </si>
  <si>
    <t>Ottery St Mary, Devon, England</t>
  </si>
  <si>
    <t>Sabina</t>
  </si>
  <si>
    <t>Boarding House Keeper</t>
  </si>
  <si>
    <t>Scott</t>
  </si>
  <si>
    <t>Annie Maria</t>
  </si>
  <si>
    <t>Adopted daughter</t>
  </si>
  <si>
    <t>Vinyals</t>
  </si>
  <si>
    <t>Francis</t>
  </si>
  <si>
    <t>Spain</t>
  </si>
  <si>
    <t>Master</t>
  </si>
  <si>
    <t>Ladies Tailor</t>
  </si>
  <si>
    <t>Young</t>
  </si>
  <si>
    <t>William Lougarine</t>
  </si>
  <si>
    <t>Arthur Acton</t>
  </si>
  <si>
    <t>Commercial Traveller (Lace)</t>
  </si>
  <si>
    <t>W Bridget &amp; Son Ltd 254 Stoney St, Nottingham</t>
  </si>
  <si>
    <t>HD</t>
  </si>
  <si>
    <t>Hope Drive</t>
  </si>
  <si>
    <t>Bothamsall, Nottinghamshire, England</t>
  </si>
  <si>
    <t>Kirkby in Ashfield, Nottinghamshire, England</t>
  </si>
  <si>
    <t>Service Wholesale Musterd Rd Bridgford</t>
  </si>
  <si>
    <t>The Stables</t>
  </si>
  <si>
    <t>Alfred Cecil</t>
  </si>
  <si>
    <t>Groom</t>
  </si>
  <si>
    <t>Dudley Walker Esq</t>
  </si>
  <si>
    <t>Diver</t>
  </si>
  <si>
    <t>Chaffeur</t>
  </si>
  <si>
    <t>Cambridge, Cambridgeshire, England</t>
  </si>
  <si>
    <t>Bringham</t>
  </si>
  <si>
    <t>Engineers Pattern Maker</t>
  </si>
  <si>
    <t>Mab</t>
  </si>
  <si>
    <t>Home Duty</t>
  </si>
  <si>
    <t>Brother-in-law, boarder</t>
  </si>
  <si>
    <t>Detective Service</t>
  </si>
  <si>
    <t>Camwell Laira</t>
  </si>
  <si>
    <t>Knight</t>
  </si>
  <si>
    <t>Curkers Foreman</t>
  </si>
  <si>
    <t>Messrs Pickfords Ltd Carriers</t>
  </si>
  <si>
    <t>Cropwell Butler, Nottinghamshire, England</t>
  </si>
  <si>
    <t>Olive Charlotte</t>
  </si>
  <si>
    <t>Old Bolingbroke, Lincolnshire, England</t>
  </si>
  <si>
    <t>George Ross</t>
  </si>
  <si>
    <t>Insurance Clerk</t>
  </si>
  <si>
    <t>Nottingham Permanent Benefit Building Society</t>
  </si>
  <si>
    <t>Bowels</t>
  </si>
  <si>
    <t>Bertram</t>
  </si>
  <si>
    <t>Son-in-law</t>
  </si>
  <si>
    <t>Hosiery Warehouseman</t>
  </si>
  <si>
    <t>J &amp; R Marley</t>
  </si>
  <si>
    <t>Susan Emily</t>
  </si>
  <si>
    <t>Dorothy Edith</t>
  </si>
  <si>
    <t>Granddaughter</t>
  </si>
  <si>
    <t>Herbert Edward</t>
  </si>
  <si>
    <t>George Frederick</t>
  </si>
  <si>
    <t>Herbert E</t>
  </si>
  <si>
    <t>Commorcial Traveller Sholcasale Millnery</t>
  </si>
  <si>
    <t>Messrs Barker &amp; Co Notts Ltd</t>
  </si>
  <si>
    <t>Ivy K</t>
  </si>
  <si>
    <t>Finney</t>
  </si>
  <si>
    <t>James</t>
  </si>
  <si>
    <t>Cashier</t>
  </si>
  <si>
    <t>Hicking &amp; Penterveral Lace Bleaching Dyeing Dressing</t>
  </si>
  <si>
    <t>Ashton under Lyne, Lancashire, England</t>
  </si>
  <si>
    <t>Head Teacher Elementary School</t>
  </si>
  <si>
    <t>Nottingham Educational Committee</t>
  </si>
  <si>
    <t>Emilie Gertrude</t>
  </si>
  <si>
    <t>Assistant Teacher Elementary School</t>
  </si>
  <si>
    <t>Foden</t>
  </si>
  <si>
    <t>Frost</t>
  </si>
  <si>
    <t>Stanley Martin</t>
  </si>
  <si>
    <t>Manager Retail Clothing Male</t>
  </si>
  <si>
    <t>Jas Wallis &amp; Son</t>
  </si>
  <si>
    <t>Kate Evelyn</t>
  </si>
  <si>
    <t>Eric Stanley</t>
  </si>
  <si>
    <t>Royal Insurance</t>
  </si>
  <si>
    <t>Reginald Norman</t>
  </si>
  <si>
    <t>Colin Wallace</t>
  </si>
  <si>
    <t>Kenneth Martin</t>
  </si>
  <si>
    <t>Piggin</t>
  </si>
  <si>
    <t>Dennett Angle Ltd Building Contractors Employer</t>
  </si>
  <si>
    <t>Sarah Rachel</t>
  </si>
  <si>
    <t>Long Eaton, Derbyshire, England</t>
  </si>
  <si>
    <t>Stritevant Redgate</t>
  </si>
  <si>
    <t>Muriel Stanley</t>
  </si>
  <si>
    <t>Bexon</t>
  </si>
  <si>
    <t>Ernest Howard</t>
  </si>
  <si>
    <t>Prest Of The Church Of England</t>
  </si>
  <si>
    <t>Vicar Of S Pauls Nottingham</t>
  </si>
  <si>
    <t>Edith Margaret</t>
  </si>
  <si>
    <t>Conington, Cambridgeshire, England</t>
  </si>
  <si>
    <t>Leiberman</t>
  </si>
  <si>
    <t>Marie</t>
  </si>
  <si>
    <t>Goulding</t>
  </si>
  <si>
    <t>Tailor</t>
  </si>
  <si>
    <t>House Wife</t>
  </si>
  <si>
    <t>Saddington</t>
  </si>
  <si>
    <t>Enistein</t>
  </si>
  <si>
    <t>Rebecca</t>
  </si>
  <si>
    <t>Shorthand Typist</t>
  </si>
  <si>
    <t>Cardiff, Glamorganshire, Wales</t>
  </si>
  <si>
    <t>Retired Farmer</t>
  </si>
  <si>
    <t>Swaton, Lincolnshire, England</t>
  </si>
  <si>
    <t>W Dearn &amp; Co Sister Gate</t>
  </si>
  <si>
    <t>Daughter-in-law</t>
  </si>
  <si>
    <t>Belton, Leicestershire, England</t>
  </si>
  <si>
    <t>Baldock</t>
  </si>
  <si>
    <t>Arthur Henry</t>
  </si>
  <si>
    <t>Lace Finishing Department Manager</t>
  </si>
  <si>
    <t>Messrs Simon May &amp; Co Experting Merchants</t>
  </si>
  <si>
    <t>Clara</t>
  </si>
  <si>
    <t>Madge</t>
  </si>
  <si>
    <t>Clerk Typist</t>
  </si>
  <si>
    <t>Messrs Boots Limited</t>
  </si>
  <si>
    <t>Grace</t>
  </si>
  <si>
    <t>Short Hand Typist</t>
  </si>
  <si>
    <t>Messrs Pickfords Ltd</t>
  </si>
  <si>
    <t>Sherwin</t>
  </si>
  <si>
    <t>Sports Manufacturers</t>
  </si>
  <si>
    <t>Cricket Bats Etc Employer, Mussrs Green &amp; Moore Sports Manufacturers</t>
  </si>
  <si>
    <t>Rosa</t>
  </si>
  <si>
    <t>Harold Swern</t>
  </si>
  <si>
    <t>Corporative Clerk</t>
  </si>
  <si>
    <t>Stuart Charles</t>
  </si>
  <si>
    <t>Electrical Engineer</t>
  </si>
  <si>
    <t>J W New &amp; Co Engineers, Bertram Street Nottingham</t>
  </si>
  <si>
    <t>Hurst</t>
  </si>
  <si>
    <t>Wife's sister</t>
  </si>
  <si>
    <t>Sir G T Mc Craith Kt (Late), Out Of Work</t>
  </si>
  <si>
    <t>Collins</t>
  </si>
  <si>
    <t>Frederick William</t>
  </si>
  <si>
    <t>Manufacturing Hosiery</t>
  </si>
  <si>
    <t>Edith Jane</t>
  </si>
  <si>
    <t>Housekeeper For Above</t>
  </si>
  <si>
    <t>Dalrymple</t>
  </si>
  <si>
    <t>Charles Frederick</t>
  </si>
  <si>
    <t>Tyer Packer</t>
  </si>
  <si>
    <t>Dunlop Tyre Company</t>
  </si>
  <si>
    <t>Ethel Kate</t>
  </si>
  <si>
    <t>Blouse Machinist</t>
  </si>
  <si>
    <t>C H Turner Blouse Manufcturer</t>
  </si>
  <si>
    <t>Richards</t>
  </si>
  <si>
    <t>John Eugene</t>
  </si>
  <si>
    <t>Nottingham Corpration</t>
  </si>
  <si>
    <t>Hopkinson</t>
  </si>
  <si>
    <t>Florence Gertrude</t>
  </si>
  <si>
    <t>Furniture Storekeeper</t>
  </si>
  <si>
    <t>H Barker &amp; Co Ltd, House Furnitures, Etc</t>
  </si>
  <si>
    <t>Doddington, Lincolnshire, England</t>
  </si>
  <si>
    <t>Mabel Ethel</t>
  </si>
  <si>
    <t>Shorthand-Typist And Foregin Correspondent</t>
  </si>
  <si>
    <t>Turney Brothers Ltd, Leather Manufacturers</t>
  </si>
  <si>
    <t>Boon</t>
  </si>
  <si>
    <t>Nathaniel J</t>
  </si>
  <si>
    <t>Bank Clerk, London County Paris Bank</t>
  </si>
  <si>
    <t>Kirton in Lindsey, Lincolnshire, England</t>
  </si>
  <si>
    <t>Olive A</t>
  </si>
  <si>
    <t>Warren</t>
  </si>
  <si>
    <t>George Herriny</t>
  </si>
  <si>
    <t>Stationers Traveller</t>
  </si>
  <si>
    <t>Waterlow &amp; Sons Ltd Printers &amp; Stationer</t>
  </si>
  <si>
    <t>Deal, Kent, England</t>
  </si>
  <si>
    <t>Minnie Ellen</t>
  </si>
  <si>
    <t>Uxbridge, Middlesex, England</t>
  </si>
  <si>
    <t>Isabella Louisa Flemins</t>
  </si>
  <si>
    <t>Book Keeper Retired</t>
  </si>
  <si>
    <t>Ministry Of Munitions</t>
  </si>
  <si>
    <t>Billingborough, Lincolnshire, England</t>
  </si>
  <si>
    <t>Janet Kathleen</t>
  </si>
  <si>
    <t>Charles Hugh Henry</t>
  </si>
  <si>
    <t>J B Levis &amp; Sons Ltd Hosiery Manfactuers</t>
  </si>
  <si>
    <t>HaD</t>
  </si>
  <si>
    <t>Hamilton Drive</t>
  </si>
  <si>
    <t>Dodds</t>
  </si>
  <si>
    <t>Archibald Kirkwood</t>
  </si>
  <si>
    <t>Civil Engineer</t>
  </si>
  <si>
    <t>L G Monchel &amp; Pts Lt Civil Engineers Westminster</t>
  </si>
  <si>
    <t>Northumberland, England</t>
  </si>
  <si>
    <t>Jean</t>
  </si>
  <si>
    <t>Summerseat, Lancashire, England</t>
  </si>
  <si>
    <t>Anthony Kirkwood</t>
  </si>
  <si>
    <t>Turner</t>
  </si>
  <si>
    <t>Retford, Nottinghamshire, England</t>
  </si>
  <si>
    <t>Samuel</t>
  </si>
  <si>
    <t>Mowanat</t>
  </si>
  <si>
    <t>Pawn Broker</t>
  </si>
  <si>
    <t>Mary Eliza</t>
  </si>
  <si>
    <t>Bottesford, Leicestershire, England</t>
  </si>
  <si>
    <t>Jallands</t>
  </si>
  <si>
    <t>Ferndene Hamilton Devon</t>
  </si>
  <si>
    <t>Glassford</t>
  </si>
  <si>
    <t>Eliza Susannah</t>
  </si>
  <si>
    <t>Bow, London, England</t>
  </si>
  <si>
    <t>Louisa Theadasie</t>
  </si>
  <si>
    <t>London, England</t>
  </si>
  <si>
    <t>Hill</t>
  </si>
  <si>
    <t>Hoveringham, Nottinghamshire, England</t>
  </si>
  <si>
    <t>Eite</t>
  </si>
  <si>
    <t>Caretaker</t>
  </si>
  <si>
    <t>Armitage Bros Ltd Grocers Victoria Street</t>
  </si>
  <si>
    <t>Kegworth, Leicestershire, England</t>
  </si>
  <si>
    <t>Gladys Gurridys</t>
  </si>
  <si>
    <t>Head Shop Assistant Confectionery</t>
  </si>
  <si>
    <t>F Merley &amp; Sons Wheeler Gate Pro Trinity &amp; Bros</t>
  </si>
  <si>
    <t>Sybil</t>
  </si>
  <si>
    <t>Dreintal Cafe Wheeler Gate Pro Armitage Bros</t>
  </si>
  <si>
    <t>Christine G</t>
  </si>
  <si>
    <t>Clews</t>
  </si>
  <si>
    <t>Joseph Walter</t>
  </si>
  <si>
    <t>Law Clerk (Managing)</t>
  </si>
  <si>
    <t>Messrs Thorpe Perry &amp; Ford, Solicitors</t>
  </si>
  <si>
    <t>Southwark, London, England</t>
  </si>
  <si>
    <t>1a</t>
  </si>
  <si>
    <t>Percy Hulelesuson</t>
  </si>
  <si>
    <t>Foundry Manager, (Coal Iron)</t>
  </si>
  <si>
    <t>Messes Slanton Iron Works Coy Ltd</t>
  </si>
  <si>
    <t>Joan Hastwell</t>
  </si>
  <si>
    <t>Swain</t>
  </si>
  <si>
    <t>Priscilla</t>
  </si>
  <si>
    <t>Crossley</t>
  </si>
  <si>
    <t>Eugene</t>
  </si>
  <si>
    <t>Out Of Work, (Manager)</t>
  </si>
  <si>
    <t>J Crombie &amp; Son, Conacte Works</t>
  </si>
  <si>
    <t>Ada Manners</t>
  </si>
  <si>
    <t>Middlesbrough, Yorkshire, England</t>
  </si>
  <si>
    <t>Howard Norley</t>
  </si>
  <si>
    <t>Wesleyan Methodist Minister</t>
  </si>
  <si>
    <t>Nellie Kenneth</t>
  </si>
  <si>
    <t>Margaret Muriel</t>
  </si>
  <si>
    <t>St Helens, Lancashire, England</t>
  </si>
  <si>
    <t>Smithurst</t>
  </si>
  <si>
    <t>Pacey</t>
  </si>
  <si>
    <t>Officer</t>
  </si>
  <si>
    <t>Civil Service Custom And Excise</t>
  </si>
  <si>
    <t>South Clifton, Nottinghamshire, England</t>
  </si>
  <si>
    <t>East Retford, Nottinghamshire, England</t>
  </si>
  <si>
    <t>Richard Herbert</t>
  </si>
  <si>
    <t>Uttoxeter, Staffordshire, England</t>
  </si>
  <si>
    <t>Philips</t>
  </si>
  <si>
    <t>Florence H</t>
  </si>
  <si>
    <t>Emile</t>
  </si>
  <si>
    <t>Lemaire</t>
  </si>
  <si>
    <t>Rilder</t>
  </si>
  <si>
    <t>Gustate</t>
  </si>
  <si>
    <t>Department Manager</t>
  </si>
  <si>
    <t>Donald Co Manufrs Merchant</t>
  </si>
  <si>
    <t>Basle, Switzerland</t>
  </si>
  <si>
    <t>Mullan</t>
  </si>
  <si>
    <t>Arthur E M</t>
  </si>
  <si>
    <t>Mining Engineer</t>
  </si>
  <si>
    <t>Elkin</t>
  </si>
  <si>
    <t>Emile Dora</t>
  </si>
  <si>
    <t>Domestic</t>
  </si>
  <si>
    <t>Fuller</t>
  </si>
  <si>
    <t>Reginald Blagdon</t>
  </si>
  <si>
    <t>Lillian Elsie</t>
  </si>
  <si>
    <t>Gunnersbury, Middlesex, England</t>
  </si>
  <si>
    <t>Maud</t>
  </si>
  <si>
    <t>Holborn, London, England</t>
  </si>
  <si>
    <t>Belton</t>
  </si>
  <si>
    <t>George Harold</t>
  </si>
  <si>
    <t>Clarice Edith</t>
  </si>
  <si>
    <t>Pauline Wyrra</t>
  </si>
  <si>
    <t>Donne</t>
  </si>
  <si>
    <t>Fredrick</t>
  </si>
  <si>
    <t>Mechanical Engineer (District Locomotive Supt)</t>
  </si>
  <si>
    <t>Midland Railway Coy, Nottingham</t>
  </si>
  <si>
    <t>Aden, Aden (Yemen)</t>
  </si>
  <si>
    <t>Eleanor Mary</t>
  </si>
  <si>
    <t>Duffield, Derbyshire, England</t>
  </si>
  <si>
    <t>Coctbrand</t>
  </si>
  <si>
    <t>Boarding Housekeeper</t>
  </si>
  <si>
    <t>Rugby, Warwickshire, England</t>
  </si>
  <si>
    <t>Hodgson</t>
  </si>
  <si>
    <t>Clerk Retired</t>
  </si>
  <si>
    <t>Wm Hodgson (Father), Lace Manufactures, Windsor Street, Nottingham</t>
  </si>
  <si>
    <t>Bailey</t>
  </si>
  <si>
    <t>Hugh Augustine</t>
  </si>
  <si>
    <t>Foreign Correspondence Clerk</t>
  </si>
  <si>
    <t>A Herbert Woolley &amp; Co</t>
  </si>
  <si>
    <t>Wolverhampton, Staffordshire, England</t>
  </si>
  <si>
    <t>Messon</t>
  </si>
  <si>
    <t>Charles James</t>
  </si>
  <si>
    <t>Out Of Work Builders</t>
  </si>
  <si>
    <t>Fridle Som</t>
  </si>
  <si>
    <t>Florance Alice</t>
  </si>
  <si>
    <t>Fredrick James</t>
  </si>
  <si>
    <t>Wife's mother</t>
  </si>
  <si>
    <t>Furniss</t>
  </si>
  <si>
    <t>Hog Salesman</t>
  </si>
  <si>
    <t>Cambridgeshire, England</t>
  </si>
  <si>
    <t>Edna</t>
  </si>
  <si>
    <t>Humphrey</t>
  </si>
  <si>
    <t>Shop Keeper Milliner</t>
  </si>
  <si>
    <t>Binder</t>
  </si>
  <si>
    <t>Frank Furness Hog Salesman</t>
  </si>
  <si>
    <t>Lea</t>
  </si>
  <si>
    <t>Sarah Louisa</t>
  </si>
  <si>
    <t>Welfare Supervision</t>
  </si>
  <si>
    <t>Messrs Cooper &amp; Roc Ltd Hosiery Mfs Nottingham</t>
  </si>
  <si>
    <t>Twycross, Leicestershire, England</t>
  </si>
  <si>
    <t>Pritchett</t>
  </si>
  <si>
    <t>Hannah Ellen</t>
  </si>
  <si>
    <t>Miss Sddea</t>
  </si>
  <si>
    <t>Wyfordby, Leicestershire, England</t>
  </si>
  <si>
    <t>Stonehouse</t>
  </si>
  <si>
    <t>Frances Mary</t>
  </si>
  <si>
    <t>Manufacturing Drysalter</t>
  </si>
  <si>
    <t>Brawn</t>
  </si>
  <si>
    <t>Cecil Giddings</t>
  </si>
  <si>
    <t>Local Government Officer Clerk</t>
  </si>
  <si>
    <t>Nottingham Corporation Farn Clerks Dept</t>
  </si>
  <si>
    <t>Gladys Lisle</t>
  </si>
  <si>
    <t>Pra</t>
  </si>
  <si>
    <t>Park Ravine</t>
  </si>
  <si>
    <t>Stephen Francis</t>
  </si>
  <si>
    <t>Lace Made Manager</t>
  </si>
  <si>
    <t>Thornas Adams Ltd</t>
  </si>
  <si>
    <t>Alice Hannah</t>
  </si>
  <si>
    <t>Benson</t>
  </si>
  <si>
    <t>Emily Irene</t>
  </si>
  <si>
    <t>Tamworth, Staffordshire, England</t>
  </si>
  <si>
    <t>Vincent Henry</t>
  </si>
  <si>
    <t>Henrietta Ida</t>
  </si>
  <si>
    <t>Peggy Winifred</t>
  </si>
  <si>
    <t>Wimbledon, Surrey, England</t>
  </si>
  <si>
    <t>Joan Isabelle</t>
  </si>
  <si>
    <t>Phoebe Mary</t>
  </si>
  <si>
    <t>Watnall, Nottinghamshire, England</t>
  </si>
  <si>
    <t>Nellie Emma</t>
  </si>
  <si>
    <t>Domestic Nurse</t>
  </si>
  <si>
    <t>denehurst see 1911</t>
  </si>
  <si>
    <t>Pattinson</t>
  </si>
  <si>
    <t>Rollaton Colliery Co Nottingham</t>
  </si>
  <si>
    <t>Sunderland, Durham, England</t>
  </si>
  <si>
    <t>Eavans</t>
  </si>
  <si>
    <t>Shiremoor, Northumberland, England</t>
  </si>
  <si>
    <t>PT</t>
  </si>
  <si>
    <t>Park Terrace</t>
  </si>
  <si>
    <t>Kate Elizabeth</t>
  </si>
  <si>
    <t xml:space="preserve">note both women as head </t>
  </si>
  <si>
    <t>King</t>
  </si>
  <si>
    <t>Frances May</t>
  </si>
  <si>
    <t>Clay</t>
  </si>
  <si>
    <t>Trivett</t>
  </si>
  <si>
    <t>Panton, Lincolnshire, England</t>
  </si>
  <si>
    <t>Cockburn</t>
  </si>
  <si>
    <t>George Ernest</t>
  </si>
  <si>
    <t>General Manager</t>
  </si>
  <si>
    <t>Cammell Laird &amp; Co, Railway Rolling Stock, Builders</t>
  </si>
  <si>
    <t>Mary Lucy Alexander</t>
  </si>
  <si>
    <t>Massachusetts, United States</t>
  </si>
  <si>
    <t>Twigg</t>
  </si>
  <si>
    <t>Florence May</t>
  </si>
  <si>
    <t>Engineer Retired</t>
  </si>
  <si>
    <t>Saxby</t>
  </si>
  <si>
    <t>Housekeeper Domestic Help</t>
  </si>
  <si>
    <t>Bowser</t>
  </si>
  <si>
    <t>Ethel L</t>
  </si>
  <si>
    <t>Willoughby on the Wolds, Nottinghamshire, England</t>
  </si>
  <si>
    <t>Turnbell</t>
  </si>
  <si>
    <t>Nurse Retired</t>
  </si>
  <si>
    <t>Hawick, Roxburghshire, Scotland</t>
  </si>
  <si>
    <t>Frome, Somerset, England</t>
  </si>
  <si>
    <t>Dumpleton</t>
  </si>
  <si>
    <t>Spalding</t>
  </si>
  <si>
    <t>William Arthur</t>
  </si>
  <si>
    <t>Draper Shopkeeper</t>
  </si>
  <si>
    <t>Islington, London, England</t>
  </si>
  <si>
    <t>Bester</t>
  </si>
  <si>
    <t>Dorothy Adelaide</t>
  </si>
  <si>
    <t>Warboys, Huntingdonshire, England</t>
  </si>
  <si>
    <t>Wellington, New Zealand</t>
  </si>
  <si>
    <t>Sheila Mary</t>
  </si>
  <si>
    <t>Franklin</t>
  </si>
  <si>
    <t>Bickerton</t>
  </si>
  <si>
    <t>Upton Bishop, Herefordshire, England</t>
  </si>
  <si>
    <t>Arthur Raymond</t>
  </si>
  <si>
    <t>Dental Surgeon</t>
  </si>
  <si>
    <t>Goddard &amp; Thomas Dental Surfaces</t>
  </si>
  <si>
    <t>Ernestine</t>
  </si>
  <si>
    <t>Newcastle on Tyne, Northumberland, England</t>
  </si>
  <si>
    <t>Theodore Joan</t>
  </si>
  <si>
    <t>1922</t>
  </si>
  <si>
    <t>1923</t>
  </si>
  <si>
    <t>1924</t>
  </si>
  <si>
    <t>Runge</t>
  </si>
  <si>
    <t>John Henry</t>
  </si>
  <si>
    <t>Secretary (Retired)</t>
  </si>
  <si>
    <t>L O Tivett Ltd, Manufacture Nots Hosiery</t>
  </si>
  <si>
    <t>Hanover, Germany</t>
  </si>
  <si>
    <t>1925</t>
  </si>
  <si>
    <t>Lilly</t>
  </si>
  <si>
    <t>1926</t>
  </si>
  <si>
    <t>1927</t>
  </si>
  <si>
    <t>Frederic Tibzey</t>
  </si>
  <si>
    <t>Head Clerk Local Education Authority</t>
  </si>
  <si>
    <t>Notts Education Committee</t>
  </si>
  <si>
    <t>Enid Hilda</t>
  </si>
  <si>
    <t>Mavis Rosemary Tibzey</t>
  </si>
  <si>
    <t>Alice Margaret</t>
  </si>
  <si>
    <t>Causer</t>
  </si>
  <si>
    <t>note was son in census</t>
  </si>
  <si>
    <t>Lindey</t>
  </si>
  <si>
    <t>Tinster</t>
  </si>
  <si>
    <t>Barrister At Law</t>
  </si>
  <si>
    <t>Constance Agnes</t>
  </si>
  <si>
    <t>Walliss</t>
  </si>
  <si>
    <t>Ellan</t>
  </si>
  <si>
    <t>Brumby</t>
  </si>
  <si>
    <t>Polly</t>
  </si>
  <si>
    <t>Truman</t>
  </si>
  <si>
    <t>Vera</t>
  </si>
  <si>
    <t>Brutnell</t>
  </si>
  <si>
    <t>Eberlin</t>
  </si>
  <si>
    <t>Chemist &amp; Optician</t>
  </si>
  <si>
    <t>Annie C</t>
  </si>
  <si>
    <t>Macclesfield, Cheshire, England</t>
  </si>
  <si>
    <t>Albert Edgar</t>
  </si>
  <si>
    <t>Architects Assistant</t>
  </si>
  <si>
    <t>Stockdale Harrison &amp; Sons Leicester</t>
  </si>
  <si>
    <t>Evelyn</t>
  </si>
  <si>
    <t>Private Service</t>
  </si>
  <si>
    <t>Bolsover, Derbyshire, England</t>
  </si>
  <si>
    <t>Dorothea E</t>
  </si>
  <si>
    <t>Newmarsh</t>
  </si>
  <si>
    <t>Warehouseman</t>
  </si>
  <si>
    <t>Sarah A</t>
  </si>
  <si>
    <t>Grace Awan</t>
  </si>
  <si>
    <t>Music</t>
  </si>
  <si>
    <t>Clark</t>
  </si>
  <si>
    <t>William F</t>
  </si>
  <si>
    <t>Timber Merchant (Retired)</t>
  </si>
  <si>
    <t>Sarah E</t>
  </si>
  <si>
    <t>Lamb</t>
  </si>
  <si>
    <t>Josephine</t>
  </si>
  <si>
    <t>Broxtowe House</t>
  </si>
  <si>
    <t>Whittingdale</t>
  </si>
  <si>
    <t>Surgeon</t>
  </si>
  <si>
    <t>House Surgeon</t>
  </si>
  <si>
    <t>Dorset, England</t>
  </si>
  <si>
    <t>Hawes</t>
  </si>
  <si>
    <t>Kneebone</t>
  </si>
  <si>
    <t>South Australia, Australia</t>
  </si>
  <si>
    <t>Mason</t>
  </si>
  <si>
    <t>Physician</t>
  </si>
  <si>
    <t>House Physician</t>
  </si>
  <si>
    <t>Armstrong</t>
  </si>
  <si>
    <t>Sharp</t>
  </si>
  <si>
    <t>Herefordshire, England</t>
  </si>
  <si>
    <t>Griffiths</t>
  </si>
  <si>
    <t>Gwennon Mary</t>
  </si>
  <si>
    <t>Gallie</t>
  </si>
  <si>
    <t>Dorothy Jean</t>
  </si>
  <si>
    <t>Ivy</t>
  </si>
  <si>
    <t>Billericay, Essex, England</t>
  </si>
  <si>
    <t>Borton</t>
  </si>
  <si>
    <t>Amy</t>
  </si>
  <si>
    <t>Ootacamund, India</t>
  </si>
  <si>
    <t>Gosden</t>
  </si>
  <si>
    <t>Sudbury, Derbyshire, England</t>
  </si>
  <si>
    <t>Painting</t>
  </si>
  <si>
    <t>Little Malvern, Worcestershire, England</t>
  </si>
  <si>
    <t>Angus</t>
  </si>
  <si>
    <t>Park Valley</t>
  </si>
  <si>
    <t>sunnyside is listed as two houses</t>
  </si>
  <si>
    <t>PV</t>
  </si>
  <si>
    <t>Sunnyside</t>
  </si>
  <si>
    <t>Ord</t>
  </si>
  <si>
    <t>Works Manager</t>
  </si>
  <si>
    <t>Railway Carriage &amp; Wagon Works Messrs Cammell Laid &amp; Co Ltd</t>
  </si>
  <si>
    <t>Toronto, Ontario, Canada</t>
  </si>
  <si>
    <t>Ottawa, Ontario, Canada</t>
  </si>
  <si>
    <t>Kenneth</t>
  </si>
  <si>
    <t>Montreal, Quebec, Canada</t>
  </si>
  <si>
    <t>Parker</t>
  </si>
  <si>
    <t>Clarence</t>
  </si>
  <si>
    <t>Chartered Accountant Sheoherd</t>
  </si>
  <si>
    <t>Christchurch, New Zealand</t>
  </si>
  <si>
    <t>Hammersley</t>
  </si>
  <si>
    <t>Timber Merchant</t>
  </si>
  <si>
    <t>Raynolds</t>
  </si>
  <si>
    <t>Butler</t>
  </si>
  <si>
    <t>Enfield</t>
  </si>
  <si>
    <t>Hampstead, London, England</t>
  </si>
  <si>
    <t>Artist</t>
  </si>
  <si>
    <t>On Own Account</t>
  </si>
  <si>
    <t>Chaffer</t>
  </si>
  <si>
    <t>Alice M</t>
  </si>
  <si>
    <t>Torquay, Devon, England</t>
  </si>
  <si>
    <t>Body</t>
  </si>
  <si>
    <t>Elizabeth A</t>
  </si>
  <si>
    <t>Pearson</t>
  </si>
  <si>
    <t>Land &amp; Property Agent</t>
  </si>
  <si>
    <t>Emily Ann</t>
  </si>
  <si>
    <t>Colby</t>
  </si>
  <si>
    <t>Eliza</t>
  </si>
  <si>
    <t>Henry William</t>
  </si>
  <si>
    <t>Cantie Lintch Co Ltd</t>
  </si>
  <si>
    <t>Adela</t>
  </si>
  <si>
    <t>Domestic - Servant</t>
  </si>
  <si>
    <t>Willatt</t>
  </si>
  <si>
    <t>Robert John</t>
  </si>
  <si>
    <t>Marguerite</t>
  </si>
  <si>
    <t>Robert Hugh</t>
  </si>
  <si>
    <t>Geoffrey</t>
  </si>
  <si>
    <t>Guy Longfield</t>
  </si>
  <si>
    <t>Bridge</t>
  </si>
  <si>
    <t>Florence Leslie</t>
  </si>
  <si>
    <t>Lizzie W</t>
  </si>
  <si>
    <t>George Edward</t>
  </si>
  <si>
    <t>Steward Of Institute</t>
  </si>
  <si>
    <t>Camel Land &amp; Co</t>
  </si>
  <si>
    <t>Corby, Northamptonshire, England</t>
  </si>
  <si>
    <t>Kings Cliffe, Northamptonshire, England</t>
  </si>
  <si>
    <t>Engineers Driller</t>
  </si>
  <si>
    <t>Engineers Cammell Laird &amp; Co</t>
  </si>
  <si>
    <t>Delicia Irene</t>
  </si>
  <si>
    <t>Grace Mary</t>
  </si>
  <si>
    <t>Northamptonshire, England</t>
  </si>
  <si>
    <t>Stoke</t>
  </si>
  <si>
    <t>Beatrice Hilda</t>
  </si>
  <si>
    <t>Stationers Assistant</t>
  </si>
  <si>
    <t>Boots, Limited</t>
  </si>
  <si>
    <t>Edgar Herbert</t>
  </si>
  <si>
    <t>Manufacturer Of Cotton Lace</t>
  </si>
  <si>
    <t>Cleynman</t>
  </si>
  <si>
    <t>Steeple, Essex, England</t>
  </si>
  <si>
    <t>Haseldine</t>
  </si>
  <si>
    <t>Florence Ruth</t>
  </si>
  <si>
    <t>Trowell, Nottinghamshire, England</t>
  </si>
  <si>
    <t>Vickers</t>
  </si>
  <si>
    <t>Lace Manufacturer (Director)</t>
  </si>
  <si>
    <t>Vickers Hine Ltd</t>
  </si>
  <si>
    <t>Jessie Anna</t>
  </si>
  <si>
    <t>Jesse Margaret</t>
  </si>
  <si>
    <t>Anncoe</t>
  </si>
  <si>
    <t>Professional Nurse</t>
  </si>
  <si>
    <t>Thirza</t>
  </si>
  <si>
    <t>Havant, Hampshire, England</t>
  </si>
  <si>
    <t>Caster</t>
  </si>
  <si>
    <t>Miriam Mabel</t>
  </si>
  <si>
    <t>Shelbourne</t>
  </si>
  <si>
    <t>Tutor &amp; Examination Coach</t>
  </si>
  <si>
    <t>Cyril Arthur</t>
  </si>
  <si>
    <t>Geoffrey James</t>
  </si>
  <si>
    <t>Bertha</t>
  </si>
  <si>
    <t>Fitchett</t>
  </si>
  <si>
    <t>Farndon, Nottinghamshire, England</t>
  </si>
  <si>
    <t>Atkey</t>
  </si>
  <si>
    <t>Albert Reuben</t>
  </si>
  <si>
    <t>Motor Agent Member Of Parliament</t>
  </si>
  <si>
    <t>Euphemia Althea</t>
  </si>
  <si>
    <t>Yrette Joyce</t>
  </si>
  <si>
    <t>Hubbard</t>
  </si>
  <si>
    <t>Lucy Jane</t>
  </si>
  <si>
    <t>Timms</t>
  </si>
  <si>
    <t>Goldhawk</t>
  </si>
  <si>
    <t>Ira George</t>
  </si>
  <si>
    <t>Wesleyan Methodist</t>
  </si>
  <si>
    <t>Wesleyan Methodist Conference</t>
  </si>
  <si>
    <t>Kimpton, Hertfordshire, England</t>
  </si>
  <si>
    <t>Godfrey Armstrong</t>
  </si>
  <si>
    <t>West Bromwich, Staffordshire, England</t>
  </si>
  <si>
    <t>Burking</t>
  </si>
  <si>
    <t>Bridgett</t>
  </si>
  <si>
    <t>Director Of W Bridge Stone Ld</t>
  </si>
  <si>
    <t>Beryl Gladys Irena</t>
  </si>
  <si>
    <t>Stubbs</t>
  </si>
  <si>
    <t>Cook Domestic Servant</t>
  </si>
  <si>
    <t>Sams</t>
  </si>
  <si>
    <t>Elsie May</t>
  </si>
  <si>
    <t>Housemaid Domestic Servant</t>
  </si>
  <si>
    <t>Blankney, Lincolnshire, England</t>
  </si>
  <si>
    <t>Bernard</t>
  </si>
  <si>
    <t>Wicker Furnance Dealer</t>
  </si>
  <si>
    <t>Florence Beatrice</t>
  </si>
  <si>
    <t>Daybrook, Nottinghamshire, England</t>
  </si>
  <si>
    <t>Malin</t>
  </si>
  <si>
    <t>Gertrude Eliza</t>
  </si>
  <si>
    <t>Cotgrave, Nottinghamshire, England</t>
  </si>
  <si>
    <t>Arman</t>
  </si>
  <si>
    <t>Wholsale Warehouseman</t>
  </si>
  <si>
    <t>Georgiana</t>
  </si>
  <si>
    <t>Scremby, Lincolnshire, England</t>
  </si>
  <si>
    <t>Portas</t>
  </si>
  <si>
    <t>Kate E</t>
  </si>
  <si>
    <t>CV</t>
  </si>
  <si>
    <t>Clare Valley</t>
  </si>
  <si>
    <t>Grove House</t>
  </si>
  <si>
    <t>Donald S</t>
  </si>
  <si>
    <t>Works Manager &amp; Typewrite Works</t>
  </si>
  <si>
    <t>Barstock Typewriter Co Ltd</t>
  </si>
  <si>
    <t>Antwerp, Belgium</t>
  </si>
  <si>
    <t>Suganne</t>
  </si>
  <si>
    <t>Blain</t>
  </si>
  <si>
    <t>Childs Nurse</t>
  </si>
  <si>
    <t>New Cross, London, England</t>
  </si>
  <si>
    <t>Murray</t>
  </si>
  <si>
    <t>Norah</t>
  </si>
  <si>
    <t>The Spinney</t>
  </si>
  <si>
    <t>Soarrier</t>
  </si>
  <si>
    <t>James Henry</t>
  </si>
  <si>
    <t>Nottm Mill Co Timber Merchants</t>
  </si>
  <si>
    <t>Branley</t>
  </si>
  <si>
    <t>Lizzie</t>
  </si>
  <si>
    <t>John Rolland</t>
  </si>
  <si>
    <t>Director Wholesale Clothing Company</t>
  </si>
  <si>
    <t>Winns Parker Ltd Houndsgate Nottingham</t>
  </si>
  <si>
    <t>Lucy Mabel</t>
  </si>
  <si>
    <t>Gilding</t>
  </si>
  <si>
    <t>Ann</t>
  </si>
  <si>
    <t>Parkinson</t>
  </si>
  <si>
    <t>Kirby</t>
  </si>
  <si>
    <t>Richard</t>
  </si>
  <si>
    <t>Wallpaper Manufacturer</t>
  </si>
  <si>
    <t>The Wallpaper Ltd, Carlisle &amp; Clagg Branch</t>
  </si>
  <si>
    <t>Eliza Anne</t>
  </si>
  <si>
    <t>Casthedine</t>
  </si>
  <si>
    <t>Ellen Louisa</t>
  </si>
  <si>
    <t>Shepherd</t>
  </si>
  <si>
    <t>George L</t>
  </si>
  <si>
    <t>Engineer Press Work</t>
  </si>
  <si>
    <t>Theresa</t>
  </si>
  <si>
    <t>New Malden, Surrey, England</t>
  </si>
  <si>
    <t>Anthony</t>
  </si>
  <si>
    <t>Issett</t>
  </si>
  <si>
    <t>Cursham</t>
  </si>
  <si>
    <t>Curzon</t>
  </si>
  <si>
    <t>Sheila Moorhouse</t>
  </si>
  <si>
    <t>Donegal, Ireland</t>
  </si>
  <si>
    <t>Pepper</t>
  </si>
  <si>
    <t>Evanaa</t>
  </si>
  <si>
    <t>Foston, Lincolnshire, England</t>
  </si>
  <si>
    <t>Wilkins</t>
  </si>
  <si>
    <t>E Jessie</t>
  </si>
  <si>
    <t>Waters</t>
  </si>
  <si>
    <t>Winifred M</t>
  </si>
  <si>
    <t>Instruction Of Physical Training</t>
  </si>
  <si>
    <t>Notts Ed Committee</t>
  </si>
  <si>
    <t>Goldsmith</t>
  </si>
  <si>
    <t>E Winifred</t>
  </si>
  <si>
    <t>Emma Elizabeth</t>
  </si>
  <si>
    <t>Andover, Hampshire, England</t>
  </si>
  <si>
    <t>Dran</t>
  </si>
  <si>
    <t>Domestic Occupation</t>
  </si>
  <si>
    <t>Epperstone, Nottinghamshire, England</t>
  </si>
  <si>
    <t>Groove house on census</t>
  </si>
  <si>
    <t>The Spring on census</t>
  </si>
  <si>
    <t>NT</t>
  </si>
  <si>
    <t>Newcastle Terrace</t>
  </si>
  <si>
    <t>Child</t>
  </si>
  <si>
    <t>Edmund Herbert</t>
  </si>
  <si>
    <t>Halifax, Yorkshire, England</t>
  </si>
  <si>
    <t>Eveline Annie</t>
  </si>
  <si>
    <t>Geoffrey Edmund</t>
  </si>
  <si>
    <t>Holrayde</t>
  </si>
  <si>
    <t>Isabel Edith</t>
  </si>
  <si>
    <t>Froldlie</t>
  </si>
  <si>
    <t>Amy Marida</t>
  </si>
  <si>
    <t>Mansfield</t>
  </si>
  <si>
    <t>Martha Amelia</t>
  </si>
  <si>
    <t>Woodville, Derbyshire, England</t>
  </si>
  <si>
    <t>Robson</t>
  </si>
  <si>
    <t>Byers Green, Durham, England</t>
  </si>
  <si>
    <t>Ballinger</t>
  </si>
  <si>
    <t>Attercliffe, Yorkshire, England</t>
  </si>
  <si>
    <t>John Parnham</t>
  </si>
  <si>
    <t>Dataller Coal Miner</t>
  </si>
  <si>
    <t>Babbington Colliery Co</t>
  </si>
  <si>
    <t>William Felix</t>
  </si>
  <si>
    <t>Falesman Pickling Dry Saltrey</t>
  </si>
  <si>
    <t>J Pack Fisher Gate Out Of Work</t>
  </si>
  <si>
    <t>Clerk In Hosiery Manufacturer</t>
  </si>
  <si>
    <t>J &amp; R Morley</t>
  </si>
  <si>
    <t>J Jardine</t>
  </si>
  <si>
    <t>is wellington terrace on census</t>
  </si>
  <si>
    <t>there are 20 houses will need to check which are park as 1911 does not give so many houses.</t>
  </si>
  <si>
    <t>so 1 DWM is a detached house, 2&amp;3 are semis and 4/5/6 would have been Fairlawn. Linzi Janice We think of the four houses we are the furthest house from Fairlawn, so 1 DWM is a detached house, 2&amp;3 are semis and 4/5/6 would have been Fairlawn.</t>
  </si>
  <si>
    <t>DWM</t>
  </si>
  <si>
    <t>Duke William Mount</t>
  </si>
  <si>
    <t>Wilfred Owen</t>
  </si>
  <si>
    <t>Timber Merchant The Nottingham Mills Co</t>
  </si>
  <si>
    <t>Vera Lilian</t>
  </si>
  <si>
    <t>Weselby</t>
  </si>
  <si>
    <t>Harriet Elvina</t>
  </si>
  <si>
    <t>West Beckham, Norfolk, England</t>
  </si>
  <si>
    <t>Kathleen Edith</t>
  </si>
  <si>
    <t>Walsham Le Willows, Suffolk, England</t>
  </si>
  <si>
    <t>Frank William</t>
  </si>
  <si>
    <t>Auctioneer Stationer</t>
  </si>
  <si>
    <t>Millicent Coy</t>
  </si>
  <si>
    <t>Muogesorre</t>
  </si>
  <si>
    <t>Slater</t>
  </si>
  <si>
    <t>Hormer</t>
  </si>
  <si>
    <t>George Farrand</t>
  </si>
  <si>
    <t>Bleacher Retired Under Lace</t>
  </si>
  <si>
    <t>Gertrude Mary</t>
  </si>
  <si>
    <t>Cecila Alice</t>
  </si>
  <si>
    <t>Gladys Mildred Barbara</t>
  </si>
  <si>
    <t>Church Worker</t>
  </si>
  <si>
    <t>St Major Major Exeter Rest Young Rector</t>
  </si>
  <si>
    <t>Derick Evelyn Milnes</t>
  </si>
  <si>
    <t>Grandson, visitor</t>
  </si>
  <si>
    <t>Fairlawn</t>
  </si>
  <si>
    <t>Lomax</t>
  </si>
  <si>
    <t>William Frederick</t>
  </si>
  <si>
    <t>London Joint City &amp; Midland Beek</t>
  </si>
  <si>
    <t>Preston, Lancashire, England</t>
  </si>
  <si>
    <t>Rebecca Crawden</t>
  </si>
  <si>
    <t>Margaret Sybil</t>
  </si>
  <si>
    <t>Thomas Edward</t>
  </si>
  <si>
    <t>Cashier-Fain Bros &amp; Co Ltd, Smallware Manufacturers</t>
  </si>
  <si>
    <t>Leicester</t>
  </si>
  <si>
    <t>Margaret Helen</t>
  </si>
  <si>
    <t>Baun</t>
  </si>
  <si>
    <t>Nurse maid</t>
  </si>
  <si>
    <t>W F Lomax, Fairlawn Dukes</t>
  </si>
  <si>
    <t>Ratby, Leicestershire, England</t>
  </si>
  <si>
    <t>Barber</t>
  </si>
  <si>
    <t>Lucy Henrietta</t>
  </si>
  <si>
    <t>Greetham, Lincolnshire, England</t>
  </si>
  <si>
    <t>Bambery</t>
  </si>
  <si>
    <t>Sarah Eva</t>
  </si>
  <si>
    <t>Honiton, Devon, England</t>
  </si>
  <si>
    <t>Marjorie Ann</t>
  </si>
  <si>
    <t>Sharpe</t>
  </si>
  <si>
    <t>TR</t>
  </si>
  <si>
    <t>Tunnel Road</t>
  </si>
  <si>
    <t>Penryn or pensby Cottage</t>
  </si>
  <si>
    <t>Houlton</t>
  </si>
  <si>
    <t>did not return on census check until you do search for names - one of them is down as russell road</t>
  </si>
  <si>
    <t>Plumber</t>
  </si>
  <si>
    <t>Ball &amp; Son Ltd Plumbers Etc</t>
  </si>
  <si>
    <t>Tom</t>
  </si>
  <si>
    <t>Unemployed</t>
  </si>
  <si>
    <t>grees or cedar Lodge ?</t>
  </si>
  <si>
    <t>Drinkwater</t>
  </si>
  <si>
    <t>Police Constable</t>
  </si>
  <si>
    <t>Notingham City</t>
  </si>
  <si>
    <t>Harold</t>
  </si>
  <si>
    <t>the cottage</t>
  </si>
  <si>
    <t>Mary anne</t>
  </si>
  <si>
    <t>widow</t>
  </si>
  <si>
    <t xml:space="preserve">lace patterns </t>
  </si>
  <si>
    <t xml:space="preserve">samuel settle lace manuf </t>
  </si>
  <si>
    <t>Frederick Richardson</t>
  </si>
  <si>
    <t>Foundry &amp; Ac Manufacturer Nm Retired</t>
  </si>
  <si>
    <t>Albert Edward</t>
  </si>
  <si>
    <t>Hosier</t>
  </si>
  <si>
    <t>Harriet Kate</t>
  </si>
  <si>
    <t>Jane Annie</t>
  </si>
  <si>
    <t>Skellingthorpe, Lincolnshire, England</t>
  </si>
  <si>
    <t>Hazelton</t>
  </si>
  <si>
    <t>Agnes Ruth</t>
  </si>
  <si>
    <t xml:space="preserve">cannot find in search </t>
  </si>
  <si>
    <t>heathcote st notts</t>
  </si>
  <si>
    <t>CRE</t>
  </si>
  <si>
    <t>Cavendish Rd East</t>
  </si>
  <si>
    <t>Speed</t>
  </si>
  <si>
    <t>Violinist</t>
  </si>
  <si>
    <t>Domestic Service</t>
  </si>
  <si>
    <t>Gartree</t>
  </si>
  <si>
    <t>Director Of Various Companies</t>
  </si>
  <si>
    <t>Hutchinson</t>
  </si>
  <si>
    <t>Lizzie Ann</t>
  </si>
  <si>
    <t>Sargeant</t>
  </si>
  <si>
    <t>Martha Eusden</t>
  </si>
  <si>
    <t>Redcliffe</t>
  </si>
  <si>
    <t>Frank Arthur</t>
  </si>
  <si>
    <t>Hartshorn</t>
  </si>
  <si>
    <t>Aline</t>
  </si>
  <si>
    <t>Calais, France</t>
  </si>
  <si>
    <t>Marriett</t>
  </si>
  <si>
    <t>Tomlins</t>
  </si>
  <si>
    <t>Nalls</t>
  </si>
  <si>
    <t>Eva Emma</t>
  </si>
  <si>
    <t>Arterton</t>
  </si>
  <si>
    <t>Evay Margey</t>
  </si>
  <si>
    <t>Bromly</t>
  </si>
  <si>
    <t>Whitman</t>
  </si>
  <si>
    <t>Sylvia</t>
  </si>
  <si>
    <t>Whitmore</t>
  </si>
  <si>
    <t>Lace Trade</t>
  </si>
  <si>
    <t>Elizabeth Christine</t>
  </si>
  <si>
    <t>Whitaker</t>
  </si>
  <si>
    <t>Wootton</t>
  </si>
  <si>
    <t>Florence Mary</t>
  </si>
  <si>
    <t>Wymeswold, Leicestershire, England</t>
  </si>
  <si>
    <t>Blackburne</t>
  </si>
  <si>
    <t>Ancaster, Lincolnshire, England</t>
  </si>
  <si>
    <t>Allendale</t>
  </si>
  <si>
    <t>Church</t>
  </si>
  <si>
    <t>William C</t>
  </si>
  <si>
    <t>MD Boots</t>
  </si>
  <si>
    <t>Canada</t>
  </si>
  <si>
    <t>Mansale Cavinwest Rd East, The Park, Nottingham, Nottinghamshire, England</t>
  </si>
  <si>
    <t>Coalker</t>
  </si>
  <si>
    <t xml:space="preserve">Ester </t>
  </si>
  <si>
    <t>General domestic</t>
  </si>
  <si>
    <t>Lancs</t>
  </si>
  <si>
    <t>Stockwell</t>
  </si>
  <si>
    <t>Augusta</t>
  </si>
  <si>
    <t>wife</t>
  </si>
  <si>
    <t>Ches</t>
  </si>
  <si>
    <t>Overdale</t>
  </si>
  <si>
    <t>Dobbs</t>
  </si>
  <si>
    <t>Bernard Henry</t>
  </si>
  <si>
    <t>Lace manu 20 Stoney St</t>
  </si>
  <si>
    <t>had to look up as not listed</t>
  </si>
  <si>
    <t>Edith Amy</t>
  </si>
  <si>
    <t>Elmhurst</t>
  </si>
  <si>
    <t>Watnough</t>
  </si>
  <si>
    <t xml:space="preserve">Edwin </t>
  </si>
  <si>
    <t>MD E watnorth Co. Confectionary</t>
  </si>
  <si>
    <t xml:space="preserve">Elizabeth C </t>
  </si>
  <si>
    <t>Goodman</t>
  </si>
  <si>
    <t>Leeds</t>
  </si>
  <si>
    <t>CLE</t>
  </si>
  <si>
    <t>Clumber Rd East</t>
  </si>
  <si>
    <t>Westwood</t>
  </si>
  <si>
    <t>Warner</t>
  </si>
  <si>
    <t>Dorris Gwendolen</t>
  </si>
  <si>
    <t>Red Cross Nurse</t>
  </si>
  <si>
    <t>Procter</t>
  </si>
  <si>
    <t>Mrs Warner</t>
  </si>
  <si>
    <t>Summers</t>
  </si>
  <si>
    <t>Edith Eveline</t>
  </si>
  <si>
    <t>Brightlands</t>
  </si>
  <si>
    <t>Chambers</t>
  </si>
  <si>
    <t>Babbington, Nottinghamshire, England</t>
  </si>
  <si>
    <t>Nurse &amp; Sewing Maid</t>
  </si>
  <si>
    <t>Stanley, Derbyshire, England</t>
  </si>
  <si>
    <t>Hilda Annie</t>
  </si>
  <si>
    <t>Parlourmaid Domestic</t>
  </si>
  <si>
    <t>Alford, Lincolnshire, England</t>
  </si>
  <si>
    <t>Housemaid Domestic</t>
  </si>
  <si>
    <t>Edale House</t>
  </si>
  <si>
    <t>Cook House Keeper</t>
  </si>
  <si>
    <t>Mapperley, Derbyshire, England</t>
  </si>
  <si>
    <t>Harlshouse</t>
  </si>
  <si>
    <t>Stanley Common, Derbyshire, England</t>
  </si>
  <si>
    <t>Penryn</t>
  </si>
  <si>
    <t>Hemingway</t>
  </si>
  <si>
    <t>Charles Robert</t>
  </si>
  <si>
    <t>Railway Contractor</t>
  </si>
  <si>
    <t>Jessie Sinclair</t>
  </si>
  <si>
    <t>Beatrice Elizabeth</t>
  </si>
  <si>
    <t>Masseuse</t>
  </si>
  <si>
    <t>Mary Isabella</t>
  </si>
  <si>
    <t>Medical Practioner</t>
  </si>
  <si>
    <t>H Creachton Mitter Md</t>
  </si>
  <si>
    <t>Logan</t>
  </si>
  <si>
    <t>Phyllis Duncan</t>
  </si>
  <si>
    <t>Pauline</t>
  </si>
  <si>
    <t>Whiteley</t>
  </si>
  <si>
    <t>Mr Cr Hensieryway</t>
  </si>
  <si>
    <t>Middleton</t>
  </si>
  <si>
    <t>Table Maid</t>
  </si>
  <si>
    <t>Mr Cr Heningway</t>
  </si>
  <si>
    <t>Ethel Mansterfield</t>
  </si>
  <si>
    <t>Stainton, Yorkshire, England</t>
  </si>
  <si>
    <t>westwood</t>
  </si>
  <si>
    <t>edale</t>
  </si>
  <si>
    <t>CG</t>
  </si>
  <si>
    <t>Castle Grove</t>
  </si>
  <si>
    <t>Marriott</t>
  </si>
  <si>
    <t>Kathleen Maud</t>
  </si>
  <si>
    <t>Private Secretary</t>
  </si>
  <si>
    <t>Richard Mariott Solicitor</t>
  </si>
  <si>
    <t>Adams</t>
  </si>
  <si>
    <t>Mr Rhamolt Castle Grove The Park, Nottin</t>
  </si>
  <si>
    <t>Uppingham, Rutland, England</t>
  </si>
  <si>
    <t>Wilgoose</t>
  </si>
  <si>
    <t>Constance May</t>
  </si>
  <si>
    <t>Kate Mary</t>
  </si>
  <si>
    <t>Farm Duties, None</t>
  </si>
  <si>
    <t>Kathleen May</t>
  </si>
  <si>
    <t>Cook At Mrs Snooks</t>
  </si>
  <si>
    <t>Housemaid (Day) On Own Account</t>
  </si>
  <si>
    <t>Vogel</t>
  </si>
  <si>
    <t>Rudolf</t>
  </si>
  <si>
    <t>Managing Director Of Limited Company Of Lace Manufacturers &amp; Exporters</t>
  </si>
  <si>
    <t>Flersheim &amp; Co Ltd</t>
  </si>
  <si>
    <t>Germany</t>
  </si>
  <si>
    <t>Alice Mary</t>
  </si>
  <si>
    <t>Richard Ernest</t>
  </si>
  <si>
    <t>Kelly</t>
  </si>
  <si>
    <t>Veronica Agnes Victoria</t>
  </si>
  <si>
    <t>Domestic Service Trader</t>
  </si>
  <si>
    <t>Frank Bockitt</t>
  </si>
  <si>
    <t>Consulting Architect</t>
  </si>
  <si>
    <t>Corporation Of Nottingham</t>
  </si>
  <si>
    <t>Ellen Frances</t>
  </si>
  <si>
    <t>Elizabeth Beatrice</t>
  </si>
  <si>
    <t>Printer &amp; Stationer</t>
  </si>
  <si>
    <t>Mabel Maud</t>
  </si>
  <si>
    <t>Bicester, Oxfordshire, England</t>
  </si>
  <si>
    <t>Head, daughter</t>
  </si>
  <si>
    <t>Orston, Nottinghamshire, England</t>
  </si>
  <si>
    <t>Lowdham, Nottinghamshire, England</t>
  </si>
  <si>
    <t>Huntingdon Drive</t>
  </si>
  <si>
    <t>Acacia</t>
  </si>
  <si>
    <t>Frederick Percy</t>
  </si>
  <si>
    <t>Auctioner &amp; Valuers</t>
  </si>
  <si>
    <t>F W Johnson Father</t>
  </si>
  <si>
    <t>Madeline Beatrice</t>
  </si>
  <si>
    <t>Sylvia Millicent</t>
  </si>
  <si>
    <t>Buckingham</t>
  </si>
  <si>
    <t>Bedford, Bedfordshire, England</t>
  </si>
  <si>
    <t>Brampton</t>
  </si>
  <si>
    <t>Dobrashian</t>
  </si>
  <si>
    <t>Gertrude Margaret</t>
  </si>
  <si>
    <t>Qualified Medical Practitioner, M B B S London, Pathologist &amp; Bacteriologist</t>
  </si>
  <si>
    <t>Nottingham Corporation (City Laboratories)</t>
  </si>
  <si>
    <t>Constantinople, Turkey</t>
  </si>
  <si>
    <t>Private Jobbing</t>
  </si>
  <si>
    <t>Fairford, Gloucestershire, England</t>
  </si>
  <si>
    <t>Mary Dorcas</t>
  </si>
  <si>
    <t>Brattleby, Lincolnshire, England</t>
  </si>
  <si>
    <t>Greendale</t>
  </si>
  <si>
    <t>Spray</t>
  </si>
  <si>
    <t>Maker Up Of Ladies, Wearing Apparel</t>
  </si>
  <si>
    <t>Paecy</t>
  </si>
  <si>
    <t>Donington, Lincolnshire, England</t>
  </si>
  <si>
    <t>Kenmore</t>
  </si>
  <si>
    <t>Samuel Ritchie</t>
  </si>
  <si>
    <t>Lace Manufacturers</t>
  </si>
  <si>
    <t>Milford, Derbyshire, England</t>
  </si>
  <si>
    <t>Margaret Emily</t>
  </si>
  <si>
    <t>Margaret Alys</t>
  </si>
  <si>
    <t>Risley, Derbyshire, England</t>
  </si>
  <si>
    <t>Geoffrey William</t>
  </si>
  <si>
    <t>Beryl Louise</t>
  </si>
  <si>
    <t>Millicent</t>
  </si>
  <si>
    <t>L &amp; C Jackson</t>
  </si>
  <si>
    <t>Napier</t>
  </si>
  <si>
    <t>The Cottage</t>
  </si>
  <si>
    <t>Tann</t>
  </si>
  <si>
    <t>Sidney Richard</t>
  </si>
  <si>
    <t>Mr A Refthey, 11 Park Valley</t>
  </si>
  <si>
    <t>Olton, Warwickshire, England</t>
  </si>
  <si>
    <t>Daisy Chrisball</t>
  </si>
  <si>
    <t>Wordsley, Staffordshire, England</t>
  </si>
  <si>
    <t>Godfrey William</t>
  </si>
  <si>
    <t>Mistley, Essex, England</t>
  </si>
  <si>
    <t>Mary Teresa</t>
  </si>
  <si>
    <t>Perry</t>
  </si>
  <si>
    <t>Barnett</t>
  </si>
  <si>
    <t>Elisa May</t>
  </si>
  <si>
    <t>Aines</t>
  </si>
  <si>
    <t>Lilian Rosina</t>
  </si>
  <si>
    <t>Helen Main</t>
  </si>
  <si>
    <t>Robert C</t>
  </si>
  <si>
    <t>Maripalker</t>
  </si>
  <si>
    <t>Oliver</t>
  </si>
  <si>
    <t>Nurse Private</t>
  </si>
  <si>
    <t>Aldis</t>
  </si>
  <si>
    <t>Cattal, Yorkshire, England</t>
  </si>
  <si>
    <t>Gilletle</t>
  </si>
  <si>
    <t>Matilda</t>
  </si>
  <si>
    <t>Latham</t>
  </si>
  <si>
    <t>Porchet</t>
  </si>
  <si>
    <t>Andera Louise</t>
  </si>
  <si>
    <t>Vaud, Switzerland</t>
  </si>
  <si>
    <t>Witschi</t>
  </si>
  <si>
    <t>Hedwige Margaret</t>
  </si>
  <si>
    <t>Dorothea Mary</t>
  </si>
  <si>
    <t>Evelyn Jane</t>
  </si>
  <si>
    <t>Lea, Derbyshire, England</t>
  </si>
  <si>
    <t>ND</t>
  </si>
  <si>
    <t>Newcastle Drive</t>
  </si>
  <si>
    <t>John Kenish</t>
  </si>
  <si>
    <t>Jessie Kentish</t>
  </si>
  <si>
    <t>Dorothea Kentish</t>
  </si>
  <si>
    <t>Ursula Kentish</t>
  </si>
  <si>
    <t>Teacher Of Elomtim</t>
  </si>
  <si>
    <t>Lickorish</t>
  </si>
  <si>
    <t>Copeland</t>
  </si>
  <si>
    <t>Army Medical Service Retired</t>
  </si>
  <si>
    <t>Ministry Of Pensioner</t>
  </si>
  <si>
    <t>Bengal, India</t>
  </si>
  <si>
    <t>Madeline</t>
  </si>
  <si>
    <t>Punjab, India</t>
  </si>
  <si>
    <t>Rigby</t>
  </si>
  <si>
    <t>Progress Clerk</t>
  </si>
  <si>
    <t>Commell Laird &amp; Co, Carriage &amp; Wagon Works</t>
  </si>
  <si>
    <t>Insurance Official</t>
  </si>
  <si>
    <t>Liverpool London &amp; Globe Insurance Co</t>
  </si>
  <si>
    <t>Eda</t>
  </si>
  <si>
    <t>Morgan</t>
  </si>
  <si>
    <t>Monks</t>
  </si>
  <si>
    <t>Gee</t>
  </si>
  <si>
    <t>Retired Hosier</t>
  </si>
  <si>
    <t>Rosenthal</t>
  </si>
  <si>
    <t>Hilda Mary Hill</t>
  </si>
  <si>
    <t>Geoffrey Hill</t>
  </si>
  <si>
    <t>Articled To Chartered Accountant</t>
  </si>
  <si>
    <t>Messrs Mellors Basden And Mellors</t>
  </si>
  <si>
    <t>London, Middlesex, England</t>
  </si>
  <si>
    <t>Upwood, Huntingdonshire, England</t>
  </si>
  <si>
    <t>Agnes Mary</t>
  </si>
  <si>
    <t>Kew, Surrey, England</t>
  </si>
  <si>
    <t>Gunby</t>
  </si>
  <si>
    <t>Edith Mary</t>
  </si>
  <si>
    <t>Arthur James</t>
  </si>
  <si>
    <t>Mechanical Engineer</t>
  </si>
  <si>
    <t>Colonial Ammunition Company Limited</t>
  </si>
  <si>
    <t>Arthur William Alexander</t>
  </si>
  <si>
    <t>Melbourne, Victoria, Australia</t>
  </si>
  <si>
    <t>Isabel May Ruth</t>
  </si>
  <si>
    <t>Jane Hepburn Scott</t>
  </si>
  <si>
    <t>Line</t>
  </si>
  <si>
    <t>Male Attendant</t>
  </si>
  <si>
    <t>Nurse (Domestic)</t>
  </si>
  <si>
    <t>Bellairs</t>
  </si>
  <si>
    <t>Bland</t>
  </si>
  <si>
    <t>Maud May</t>
  </si>
  <si>
    <t>Joseph Roland</t>
  </si>
  <si>
    <t>Lace &amp; Plain Net Manufacturer</t>
  </si>
  <si>
    <t>Maidens</t>
  </si>
  <si>
    <t>Ladley</t>
  </si>
  <si>
    <t>Mabel Isabella</t>
  </si>
  <si>
    <t>Priestley</t>
  </si>
  <si>
    <t>Bradford, Yorkshire, England</t>
  </si>
  <si>
    <t>Bogaerts</t>
  </si>
  <si>
    <t>Louise</t>
  </si>
  <si>
    <t>Stonton</t>
  </si>
  <si>
    <t>Florence Mabel</t>
  </si>
  <si>
    <t>Barkston, Lincolnshire, England</t>
  </si>
  <si>
    <t>Jenni</t>
  </si>
  <si>
    <t>Bersham, Denbighshire, Wales</t>
  </si>
  <si>
    <t>Templeman</t>
  </si>
  <si>
    <t>Coole</t>
  </si>
  <si>
    <t>Percy Marriott</t>
  </si>
  <si>
    <t>Surveyor &amp; Valuer</t>
  </si>
  <si>
    <t>Midland Rly Co</t>
  </si>
  <si>
    <t>Hammersmith, London, England</t>
  </si>
  <si>
    <t>Maud Madeline</t>
  </si>
  <si>
    <t>Mary Zoei Payne</t>
  </si>
  <si>
    <t>Kelleher</t>
  </si>
  <si>
    <t>Ethel Charlotte</t>
  </si>
  <si>
    <t>Cork, Cork, Ireland</t>
  </si>
  <si>
    <t>Tierney</t>
  </si>
  <si>
    <t>Clare, Ireland</t>
  </si>
  <si>
    <t>Matlock, Derbyshire, England</t>
  </si>
  <si>
    <t>Knabe</t>
  </si>
  <si>
    <t>Gertrude Betsy</t>
  </si>
  <si>
    <t>Coppock</t>
  </si>
  <si>
    <t>Gardener Chauffeur</t>
  </si>
  <si>
    <t>Prwall</t>
  </si>
  <si>
    <t>Lineker</t>
  </si>
  <si>
    <t>Beatrice Annie</t>
  </si>
  <si>
    <t>Forster</t>
  </si>
  <si>
    <t>Charles Littlewood</t>
  </si>
  <si>
    <t>Lieutenant South Bros The Sherwood Foresters</t>
  </si>
  <si>
    <t>Fanny Evelyn</t>
  </si>
  <si>
    <t>Woodland</t>
  </si>
  <si>
    <t>Irene</t>
  </si>
  <si>
    <t>Dickinson</t>
  </si>
  <si>
    <t>Daisy Mary</t>
  </si>
  <si>
    <t>Pickworth, Lincolnshire, England</t>
  </si>
  <si>
    <t>Tayler</t>
  </si>
  <si>
    <t>J P For The County Of Surrey</t>
  </si>
  <si>
    <t>Grahl</t>
  </si>
  <si>
    <t>Brenda Massingberd</t>
  </si>
  <si>
    <t>Step-daughter</t>
  </si>
  <si>
    <t>Doncaster, Yorkshire, England</t>
  </si>
  <si>
    <t>Bristowe</t>
  </si>
  <si>
    <t>Pointon, Lincolnshire, England</t>
  </si>
  <si>
    <t>House Smith</t>
  </si>
  <si>
    <t>Wetherell</t>
  </si>
  <si>
    <t>Pearce</t>
  </si>
  <si>
    <t>Adcock</t>
  </si>
  <si>
    <t>Parlour maid, servant</t>
  </si>
  <si>
    <t>Parlor Maid</t>
  </si>
  <si>
    <t>McGrath</t>
  </si>
  <si>
    <t>Housemaid, servant</t>
  </si>
  <si>
    <t>Houseman</t>
  </si>
  <si>
    <t>Aberdeenshire, Scotland</t>
  </si>
  <si>
    <t>Greenhalgh</t>
  </si>
  <si>
    <t>Farm Labourer</t>
  </si>
  <si>
    <t>Mary Helen</t>
  </si>
  <si>
    <t>Invalid</t>
  </si>
  <si>
    <t>Cheshire, England</t>
  </si>
  <si>
    <t>Gladys Stewart</t>
  </si>
  <si>
    <t>Port Elizabeth, South Africa</t>
  </si>
  <si>
    <t>Annie Kathleen</t>
  </si>
  <si>
    <t>Box</t>
  </si>
  <si>
    <t>Bates</t>
  </si>
  <si>
    <t>Poole</t>
  </si>
  <si>
    <t>John Twells</t>
  </si>
  <si>
    <t>Assistant Curate, St Mary's Nottingham</t>
  </si>
  <si>
    <t>Deptford, London, England</t>
  </si>
  <si>
    <t>Rosamund Allen</t>
  </si>
  <si>
    <t>Hannah Mary</t>
  </si>
  <si>
    <t>Elizabeth Twells</t>
  </si>
  <si>
    <t>Joanna Rosamund</t>
  </si>
  <si>
    <t>Temple Ewell, Kent, England</t>
  </si>
  <si>
    <t>Mary Beatrice</t>
  </si>
  <si>
    <t>Dutton</t>
  </si>
  <si>
    <t>Organizing Secretary</t>
  </si>
  <si>
    <t>Charity Organisation Society</t>
  </si>
  <si>
    <t>Birkenhead, Cheshire, England</t>
  </si>
  <si>
    <t>Robert Sheldon</t>
  </si>
  <si>
    <t>School Master</t>
  </si>
  <si>
    <t>Governess Of Nottingham Highschool</t>
  </si>
  <si>
    <t>Ganton, Yorkshire, England</t>
  </si>
  <si>
    <t>Mirst</t>
  </si>
  <si>
    <t>William K</t>
  </si>
  <si>
    <t>Annie R</t>
  </si>
  <si>
    <t>Selina</t>
  </si>
  <si>
    <t>Hettie Mary</t>
  </si>
  <si>
    <t>Howitt</t>
  </si>
  <si>
    <t>Whiston</t>
  </si>
  <si>
    <t>Claude</t>
  </si>
  <si>
    <t>Moore</t>
  </si>
  <si>
    <t>Davies</t>
  </si>
  <si>
    <t>Lioue</t>
  </si>
  <si>
    <t>H Ernest</t>
  </si>
  <si>
    <t>Bitts</t>
  </si>
  <si>
    <t>Margaret Anne</t>
  </si>
  <si>
    <t>Ketton, Rutland, England</t>
  </si>
  <si>
    <t>Jacklin</t>
  </si>
  <si>
    <t>Ethel Millicent</t>
  </si>
  <si>
    <t>Sheen</t>
  </si>
  <si>
    <t>Rose Florence</t>
  </si>
  <si>
    <t>Slapton, Buckinghamshire, England</t>
  </si>
  <si>
    <t>Griggs</t>
  </si>
  <si>
    <t>Abrey</t>
  </si>
  <si>
    <t>Bessie Louisa</t>
  </si>
  <si>
    <t>Aldercar, Derbyshire, England</t>
  </si>
  <si>
    <t>Newstead, Nottinghamshire, England</t>
  </si>
  <si>
    <t>Newthorpe Common, Nottinghamshire, England</t>
  </si>
  <si>
    <t>Treswell, Nottinghamshire, England</t>
  </si>
  <si>
    <t>signed by herbert frances lancaster</t>
  </si>
  <si>
    <t>Kimberley, Nottinghamshire, England</t>
  </si>
  <si>
    <t>PR</t>
  </si>
  <si>
    <t>Park Row</t>
  </si>
  <si>
    <t>Tower House</t>
  </si>
  <si>
    <t>Maccoll</t>
  </si>
  <si>
    <t>Peter Morrison</t>
  </si>
  <si>
    <t>House Governess &amp; Secretary</t>
  </si>
  <si>
    <t>Committee Of The General Hosptital, Nottingham</t>
  </si>
  <si>
    <t>Perthshire, Scotland</t>
  </si>
  <si>
    <t>Ada Eleanor</t>
  </si>
  <si>
    <t>Nancy Mary</t>
  </si>
  <si>
    <t>Mary Katherine</t>
  </si>
  <si>
    <t>Park Lodge</t>
  </si>
  <si>
    <t>Stubbing</t>
  </si>
  <si>
    <t>Attendant</t>
  </si>
  <si>
    <t>Corporation</t>
  </si>
  <si>
    <t>Welbeck, Nottinghamshire, England</t>
  </si>
  <si>
    <t>Gunn</t>
  </si>
  <si>
    <t>PTC</t>
  </si>
  <si>
    <t>Pelham Crescent</t>
  </si>
  <si>
    <t>had to recheck census as only one house showing original and has changed from pelham terrace to pelham crescent</t>
  </si>
  <si>
    <t>Hosiery Manufactures Director</t>
  </si>
  <si>
    <t>Mother's help</t>
  </si>
  <si>
    <t>Domestic Duties</t>
  </si>
  <si>
    <t>Stragglethorpe, Lincolnshire, England</t>
  </si>
  <si>
    <t>Northampton, Northamptonshire, England</t>
  </si>
  <si>
    <t>Ernest J</t>
  </si>
  <si>
    <t>Leather Manufacturers</t>
  </si>
  <si>
    <t>Dicken</t>
  </si>
  <si>
    <t>Stapenhill, Derbyshire, England</t>
  </si>
  <si>
    <t>Beckingham, Lincolnshire, England</t>
  </si>
  <si>
    <t>Employer Ibsaen &amp; Sons</t>
  </si>
  <si>
    <t>Mr John Leslie Smith, Lace Manufacturer</t>
  </si>
  <si>
    <t>Independant</t>
  </si>
  <si>
    <t>Wine &amp; Spirit Merchants Assistant</t>
  </si>
  <si>
    <t>G Dhing Wine &amp; Spirit Merchant</t>
  </si>
  <si>
    <t>Hospital Secretary</t>
  </si>
  <si>
    <t>Board Of Management</t>
  </si>
  <si>
    <t>Perth, Perthshire, Scotland</t>
  </si>
  <si>
    <t>Yarn Agent</t>
  </si>
  <si>
    <t>House Parlour Maid, Private</t>
  </si>
  <si>
    <t>Cook General, Private</t>
  </si>
  <si>
    <t>Department Manager Knitted Goods Manufacturer</t>
  </si>
  <si>
    <t>Sidney Thompson &amp; Co Ltd Jarn Merchants</t>
  </si>
  <si>
    <t>Carbis Bay, Cornwall, England</t>
  </si>
  <si>
    <t>Private Nurse</t>
  </si>
  <si>
    <t>Mr Elder Regent St Nottingham</t>
  </si>
  <si>
    <t>Messrs Boot &amp; Co Ltd</t>
  </si>
  <si>
    <t>TD</t>
  </si>
  <si>
    <t>Lenton Road</t>
  </si>
  <si>
    <t>7a</t>
  </si>
  <si>
    <t>West</t>
  </si>
  <si>
    <t>Harold Bradberry</t>
  </si>
  <si>
    <t>Clerk General Book Keeper</t>
  </si>
  <si>
    <t>Government Regional Hd Qtrs M Op Stoney St Nottm</t>
  </si>
  <si>
    <t>Beatrice Lillie Mather</t>
  </si>
  <si>
    <t>Nora Annie Louis</t>
  </si>
  <si>
    <t>Kathleen Olive</t>
  </si>
  <si>
    <t>Tattershall Drive</t>
  </si>
  <si>
    <t>Rushton</t>
  </si>
  <si>
    <t>Percy Banto</t>
  </si>
  <si>
    <t>Warehouseman &amp; Milling Manufacturre</t>
  </si>
  <si>
    <t>Lilian Alice</t>
  </si>
  <si>
    <t>Joan Broyle</t>
  </si>
  <si>
    <t>Decorator &amp; Builder Retired</t>
  </si>
  <si>
    <t>Merson</t>
  </si>
  <si>
    <t>Florence Alice</t>
  </si>
  <si>
    <t>Bourne</t>
  </si>
  <si>
    <t>Constance Edith</t>
  </si>
  <si>
    <t>Simla, India</t>
  </si>
  <si>
    <t>Dudley, Worcestershire, England</t>
  </si>
  <si>
    <t>Daniels</t>
  </si>
  <si>
    <t>Winifred Emily</t>
  </si>
  <si>
    <t>Kease</t>
  </si>
  <si>
    <t>Frances Gwendoline</t>
  </si>
  <si>
    <t>Hanish</t>
  </si>
  <si>
    <t>Arthur Osacr</t>
  </si>
  <si>
    <t>Manufacturer Hosiery Machinery</t>
  </si>
  <si>
    <t>Paramont Hosiery Company, Beeston</t>
  </si>
  <si>
    <t>Wisconsin, United States</t>
  </si>
  <si>
    <t>Gunning</t>
  </si>
  <si>
    <t>Arthur A</t>
  </si>
  <si>
    <t>Vice Consul Of The U S A</t>
  </si>
  <si>
    <t>U S Government</t>
  </si>
  <si>
    <t>Boston, Massachusetts, United States</t>
  </si>
  <si>
    <t>Macmillan</t>
  </si>
  <si>
    <t>Irene M M</t>
  </si>
  <si>
    <t>James G</t>
  </si>
  <si>
    <t>Manufacture Textile Machinery</t>
  </si>
  <si>
    <t>Standara Machine Works Ltd</t>
  </si>
  <si>
    <t>Prestwich, Lancashire, England</t>
  </si>
  <si>
    <t>Hollins</t>
  </si>
  <si>
    <t>William A</t>
  </si>
  <si>
    <t>Mixture Yarn Spinner</t>
  </si>
  <si>
    <t>Messrs Hollins, Radford Notts</t>
  </si>
  <si>
    <t>Malvern, Worcestershire, England</t>
  </si>
  <si>
    <t>Lynwood</t>
  </si>
  <si>
    <t>Bond</t>
  </si>
  <si>
    <t>Richard Warwick</t>
  </si>
  <si>
    <t>Professor &amp; English Languages &amp; Lit</t>
  </si>
  <si>
    <t>University College Nottingham</t>
  </si>
  <si>
    <t>Hindley, Lancashire, England</t>
  </si>
  <si>
    <t>Amy Constance</t>
  </si>
  <si>
    <t>Walsham</t>
  </si>
  <si>
    <t>Boughton, Nottinghamshire, England</t>
  </si>
  <si>
    <t>Gartree Lodge</t>
  </si>
  <si>
    <t>John Raven Erwin</t>
  </si>
  <si>
    <t>Chauffeur</t>
  </si>
  <si>
    <t>Northwich, Cheshire, England</t>
  </si>
  <si>
    <t>St Albans, Hertfordshire, England</t>
  </si>
  <si>
    <t>Ellington</t>
  </si>
  <si>
    <t>Alice Maud</t>
  </si>
  <si>
    <t>Leonard Alfred</t>
  </si>
  <si>
    <t>Assistant (Finishing Dept)</t>
  </si>
  <si>
    <t>Millonery Norway Textiel Oxby Ltd</t>
  </si>
  <si>
    <t>Constance Maud</t>
  </si>
  <si>
    <t>Education</t>
  </si>
  <si>
    <t>Homes</t>
  </si>
  <si>
    <t>Malsters</t>
  </si>
  <si>
    <t>Father</t>
  </si>
  <si>
    <t>Lace Maker</t>
  </si>
  <si>
    <t>Lilian Doris</t>
  </si>
  <si>
    <t>Lilley</t>
  </si>
  <si>
    <t>Walter Henry</t>
  </si>
  <si>
    <t>Chirpidist</t>
  </si>
  <si>
    <t>Withington, Herefordshire, England</t>
  </si>
  <si>
    <t>John Player &amp; Sons</t>
  </si>
  <si>
    <t>Albury Square</t>
  </si>
  <si>
    <t>Professional Musician Retired</t>
  </si>
  <si>
    <t>Vernon</t>
  </si>
  <si>
    <t>Home Duties Retired</t>
  </si>
  <si>
    <t>Year</t>
  </si>
  <si>
    <t>#Households</t>
  </si>
  <si>
    <t>#occupants</t>
  </si>
  <si>
    <t>status</t>
  </si>
  <si>
    <t>born</t>
  </si>
  <si>
    <t>info</t>
  </si>
  <si>
    <t>Emp number</t>
  </si>
  <si>
    <t>CCN1</t>
  </si>
  <si>
    <t>Cavendish Crescent North</t>
  </si>
  <si>
    <t>CCN2</t>
  </si>
  <si>
    <t>Hardwick</t>
  </si>
  <si>
    <t>CCN3</t>
  </si>
  <si>
    <t>Normanton Lodge</t>
  </si>
  <si>
    <t>CCN4</t>
  </si>
  <si>
    <t>CCN5</t>
  </si>
  <si>
    <t xml:space="preserve">Sir Bernard Swanwick </t>
  </si>
  <si>
    <t>CCN6</t>
  </si>
  <si>
    <t>Park?</t>
  </si>
  <si>
    <t>signed off byy er fraser</t>
  </si>
  <si>
    <t>Fraser</t>
  </si>
  <si>
    <t>Cecily Paget</t>
  </si>
  <si>
    <t>CCN7</t>
  </si>
  <si>
    <t>CCN8</t>
  </si>
  <si>
    <t>Carisbrooke</t>
  </si>
  <si>
    <t>CCN9</t>
  </si>
  <si>
    <t>Castlemount</t>
  </si>
  <si>
    <t>CCN10</t>
  </si>
  <si>
    <t>Charnwood</t>
  </si>
  <si>
    <t>CCN11</t>
  </si>
  <si>
    <t>Hazlewood</t>
  </si>
  <si>
    <t>CCN12</t>
  </si>
  <si>
    <t>Pendower</t>
  </si>
  <si>
    <t>CCN13</t>
  </si>
  <si>
    <t>Cavendish Lodge</t>
  </si>
  <si>
    <t>CCN14</t>
  </si>
  <si>
    <t>Florentine ? Florsheim</t>
  </si>
  <si>
    <t>CCN15</t>
  </si>
  <si>
    <t>Holliwell</t>
  </si>
  <si>
    <t>CCN16</t>
  </si>
  <si>
    <t>Thursmore</t>
  </si>
  <si>
    <t>CCN17</t>
  </si>
  <si>
    <t>CCN18</t>
  </si>
  <si>
    <t>Crescent Lodge</t>
  </si>
  <si>
    <t>CCN19</t>
  </si>
  <si>
    <t>Heston</t>
  </si>
  <si>
    <t>ID</t>
  </si>
  <si>
    <t>house name</t>
  </si>
  <si>
    <t>Family names same</t>
  </si>
  <si>
    <t>first name</t>
  </si>
  <si>
    <t>Married/Single/Widow er</t>
  </si>
  <si>
    <t xml:space="preserve"> Married yrs (some Women only)</t>
  </si>
  <si>
    <t>Children born (some Women only)</t>
  </si>
  <si>
    <t>Children living (some Women only)</t>
  </si>
  <si>
    <t>Birthplace</t>
  </si>
  <si>
    <t xml:space="preserve">HEAD women </t>
  </si>
  <si>
    <t>S</t>
  </si>
  <si>
    <t>See separate table</t>
  </si>
  <si>
    <t>Worker</t>
  </si>
  <si>
    <t>notes</t>
  </si>
  <si>
    <t>NR1</t>
  </si>
  <si>
    <t>North Road</t>
  </si>
  <si>
    <t>Wing</t>
  </si>
  <si>
    <t>Sarah Whitehead</t>
  </si>
  <si>
    <t>Emma Walton</t>
  </si>
  <si>
    <t>Collin</t>
  </si>
  <si>
    <t>NR2</t>
  </si>
  <si>
    <t xml:space="preserve">North Lodge </t>
  </si>
  <si>
    <t>Huskinson</t>
  </si>
  <si>
    <t>Percy Lambe</t>
  </si>
  <si>
    <t>Automobile</t>
  </si>
  <si>
    <t>Muriel Katherine</t>
  </si>
  <si>
    <t>Randall</t>
  </si>
  <si>
    <t>Augustine St George</t>
  </si>
  <si>
    <t>Civil Servant Valuers Inland Revenue</t>
  </si>
  <si>
    <t>Inland Revenue</t>
  </si>
  <si>
    <t>Kersey</t>
  </si>
  <si>
    <t>Cheltenham, Gloucestershire, England</t>
  </si>
  <si>
    <t>Roberts</t>
  </si>
  <si>
    <t>Rhoda</t>
  </si>
  <si>
    <t>Barkestone, Leicestershire, England</t>
  </si>
  <si>
    <t>NR3</t>
  </si>
  <si>
    <t>William Ernest</t>
  </si>
  <si>
    <t>Tobacco Worker</t>
  </si>
  <si>
    <t>Imperial Tobacco Coy Of Great Britton, Ireland</t>
  </si>
  <si>
    <t>NR4</t>
  </si>
  <si>
    <t>Merriman</t>
  </si>
  <si>
    <t>Annie Edith</t>
  </si>
  <si>
    <t>Head Teacher Of Unelementary School</t>
  </si>
  <si>
    <t>Ilkeston Education Authority</t>
  </si>
  <si>
    <t>Montgomeryshire, Wales</t>
  </si>
  <si>
    <t>NR5</t>
  </si>
  <si>
    <t>Wlinkley</t>
  </si>
  <si>
    <t>Harry Judah</t>
  </si>
  <si>
    <t>Lace Curtain &amp; Plain Net Manufacturer &amp; Exporter</t>
  </si>
  <si>
    <t>Finn</t>
  </si>
  <si>
    <t>Pell</t>
  </si>
  <si>
    <t>Evelyn Marian</t>
  </si>
  <si>
    <t>Webster</t>
  </si>
  <si>
    <t>NR6</t>
  </si>
  <si>
    <t>James Moses</t>
  </si>
  <si>
    <t>Business Manager &amp; Manufacturer Ladies Toilet Goods</t>
  </si>
  <si>
    <t>Lillian Frances</t>
  </si>
  <si>
    <t>Ladies Hair Specialist</t>
  </si>
  <si>
    <t>Barry, Glamorganshire, Wales</t>
  </si>
  <si>
    <t>NR7</t>
  </si>
  <si>
    <t>Claremont</t>
  </si>
  <si>
    <t>John Percy</t>
  </si>
  <si>
    <t>Sport Net &amp; Bobbin Carriage &amp; Comb Manufactures</t>
  </si>
  <si>
    <t>Doris Catherine</t>
  </si>
  <si>
    <t>Emily Elizabeth</t>
  </si>
  <si>
    <t>Riddings, Derbyshire, England</t>
  </si>
  <si>
    <t>Cunningham</t>
  </si>
  <si>
    <t>Sarah Leah</t>
  </si>
  <si>
    <t>Dora Lucy</t>
  </si>
  <si>
    <t>Constance Ethel</t>
  </si>
  <si>
    <t>Lavender</t>
  </si>
  <si>
    <t>Ramsey, Huntingdonshire, England</t>
  </si>
  <si>
    <t>claremont</t>
  </si>
  <si>
    <t>number Houses</t>
  </si>
  <si>
    <t>INFO</t>
  </si>
  <si>
    <t># occupants</t>
  </si>
  <si>
    <t>Rooms</t>
  </si>
  <si>
    <t>1911</t>
  </si>
  <si>
    <t>PC</t>
  </si>
  <si>
    <t>Pelham Cres</t>
  </si>
  <si>
    <t>14 houses enunuerated one return missing</t>
  </si>
  <si>
    <t>Western Terr</t>
  </si>
  <si>
    <t>NR</t>
  </si>
  <si>
    <t>North Rd</t>
  </si>
  <si>
    <t>no head at one house servants only</t>
  </si>
  <si>
    <t>Lenton Ave</t>
  </si>
  <si>
    <t>2 missing houses</t>
  </si>
  <si>
    <t>Clumber Rd W</t>
  </si>
  <si>
    <t>stowe house not in original list of 1911</t>
  </si>
  <si>
    <t>CCN</t>
  </si>
  <si>
    <t>Cavendish Cres N</t>
  </si>
  <si>
    <t>South Rd</t>
  </si>
  <si>
    <t>CaCs</t>
  </si>
  <si>
    <t>Cavendish Cres S</t>
  </si>
  <si>
    <t>Holles cres</t>
  </si>
  <si>
    <t>HW</t>
  </si>
  <si>
    <t>Hermitage Walk</t>
  </si>
  <si>
    <t>kenilworth rd</t>
  </si>
  <si>
    <t>Newcastle terr</t>
  </si>
  <si>
    <t>CT</t>
  </si>
  <si>
    <t>Clinton Terrace</t>
  </si>
  <si>
    <t>Tunnel Rd</t>
  </si>
  <si>
    <t>Cavendish rd E</t>
  </si>
  <si>
    <t>Clumber rd E.</t>
  </si>
  <si>
    <t>Castlegrove</t>
  </si>
  <si>
    <t>Newcastle drive</t>
  </si>
  <si>
    <t>PeT</t>
  </si>
  <si>
    <t>Pelham Terr</t>
  </si>
  <si>
    <t>jessops</t>
  </si>
  <si>
    <t>need to check</t>
  </si>
  <si>
    <t>see pelham terrace 1911</t>
  </si>
  <si>
    <t>Road ID</t>
  </si>
  <si>
    <t># houses</t>
  </si>
  <si>
    <t>Changes</t>
  </si>
  <si>
    <t>family names same</t>
  </si>
  <si>
    <t>Pelham Cresent</t>
  </si>
  <si>
    <t>TOTAL ALL</t>
  </si>
  <si>
    <t>both</t>
  </si>
  <si>
    <t>Difference between 1911-1921</t>
  </si>
  <si>
    <t>Percentage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</si>
</sst>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"/>
  </numFmts>
  <fonts count="17">
    <font>
      <sz val="12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2"/>
      <color indexed="8"/>
      <name val="Calibri"/>
    </font>
    <font>
      <b val="1"/>
      <sz val="12"/>
      <color indexed="8"/>
      <name val="Times New Roman"/>
    </font>
    <font>
      <sz val="12"/>
      <color indexed="8"/>
      <name val="Times New Roman"/>
    </font>
    <font>
      <b val="1"/>
      <sz val="12"/>
      <color indexed="13"/>
      <name val="Times New Roman"/>
    </font>
    <font>
      <sz val="12"/>
      <color indexed="13"/>
      <name val="Calibri"/>
    </font>
    <font>
      <sz val="12"/>
      <color indexed="13"/>
      <name val="Times New Roman"/>
    </font>
    <font>
      <sz val="12"/>
      <color indexed="12"/>
      <name val="Calibri"/>
    </font>
    <font>
      <sz val="12"/>
      <color indexed="8"/>
      <name val="Helvetica"/>
    </font>
    <font>
      <sz val="10"/>
      <color indexed="8"/>
      <name val="Arial"/>
    </font>
    <font>
      <sz val="16"/>
      <color indexed="8"/>
      <name val="Arial"/>
    </font>
    <font>
      <i val="1"/>
      <sz val="12"/>
      <color indexed="8"/>
      <name val="Times New Roman"/>
    </font>
    <font>
      <b val="1"/>
      <sz val="12"/>
      <color indexed="12"/>
      <name val="Calibri"/>
    </font>
    <font>
      <sz val="12"/>
      <color indexed="16"/>
      <name val="Calibri"/>
    </font>
    <font>
      <b val="1"/>
      <sz val="12"/>
      <color indexed="16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3"/>
        <bgColor auto="1"/>
      </patternFill>
    </fill>
  </fills>
  <borders count="17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/>
      <bottom/>
      <diagonal/>
    </border>
    <border>
      <left/>
      <right/>
      <top/>
      <bottom/>
      <diagonal/>
    </border>
    <border>
      <left/>
      <right style="thin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/>
      <bottom style="thin">
        <color indexed="9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10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10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8"/>
      </top>
      <bottom style="thin">
        <color indexed="9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10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10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9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9"/>
      </top>
      <bottom style="thin">
        <color indexed="10"/>
      </bottom>
      <diagonal/>
    </border>
    <border>
      <left style="thin">
        <color indexed="10"/>
      </left>
      <right style="thin">
        <color indexed="9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10"/>
      </right>
      <top style="thin">
        <color indexed="10"/>
      </top>
      <bottom style="thin">
        <color indexed="9"/>
      </bottom>
      <diagonal/>
    </border>
    <border>
      <left style="thin">
        <color indexed="10"/>
      </left>
      <right style="thin">
        <color indexed="10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9"/>
      </right>
      <top style="thin">
        <color indexed="9"/>
      </top>
      <bottom style="thin">
        <color indexed="10"/>
      </bottom>
      <diagonal/>
    </border>
    <border>
      <left style="thin">
        <color indexed="9"/>
      </left>
      <right style="thin">
        <color indexed="10"/>
      </right>
      <top style="thin">
        <color indexed="9"/>
      </top>
      <bottom style="thin">
        <color indexed="10"/>
      </bottom>
      <diagonal/>
    </border>
    <border>
      <left style="thin">
        <color indexed="10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9"/>
      </top>
      <bottom/>
      <diagonal/>
    </border>
    <border>
      <left style="thin">
        <color indexed="10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10"/>
      </right>
      <top style="thin">
        <color indexed="9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 style="thin">
        <color indexed="10"/>
      </left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 style="thin">
        <color indexed="10"/>
      </right>
      <top/>
      <bottom style="thin">
        <color indexed="9"/>
      </bottom>
      <diagonal/>
    </border>
    <border>
      <left style="thin">
        <color indexed="10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10"/>
      </right>
      <top/>
      <bottom style="thin">
        <color indexed="9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 style="thin">
        <color indexed="9"/>
      </right>
      <top style="thin">
        <color indexed="10"/>
      </top>
      <bottom/>
      <diagonal/>
    </border>
    <border>
      <left/>
      <right/>
      <top/>
      <bottom style="thin">
        <color indexed="10"/>
      </bottom>
      <diagonal/>
    </border>
    <border>
      <left style="thin">
        <color indexed="9"/>
      </left>
      <right style="thin">
        <color indexed="8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/>
      <diagonal/>
    </border>
    <border>
      <left style="thin">
        <color indexed="8"/>
      </left>
      <right style="thin">
        <color indexed="9"/>
      </right>
      <top style="thin">
        <color indexed="9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9"/>
      </left>
      <right style="thin">
        <color indexed="8"/>
      </right>
      <top/>
      <bottom style="thin">
        <color indexed="9"/>
      </bottom>
      <diagonal/>
    </border>
    <border>
      <left style="thin">
        <color indexed="8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10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10"/>
      </bottom>
      <diagonal/>
    </border>
    <border>
      <left style="thin">
        <color indexed="10"/>
      </left>
      <right style="thin">
        <color indexed="9"/>
      </right>
      <top style="thin">
        <color indexed="10"/>
      </top>
      <bottom/>
      <diagonal/>
    </border>
    <border>
      <left style="thin">
        <color indexed="9"/>
      </left>
      <right style="thin">
        <color indexed="9"/>
      </right>
      <top style="thin">
        <color indexed="10"/>
      </top>
      <bottom/>
      <diagonal/>
    </border>
    <border>
      <left style="thin">
        <color indexed="9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 style="thin">
        <color indexed="9"/>
      </bottom>
      <diagonal/>
    </border>
    <border>
      <left style="thin">
        <color indexed="10"/>
      </left>
      <right/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9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9"/>
      </right>
      <top style="thin">
        <color indexed="10"/>
      </top>
      <bottom style="thin">
        <color indexed="10"/>
      </bottom>
      <diagonal/>
    </border>
    <border>
      <left style="thin">
        <color indexed="9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 style="thin">
        <color indexed="10"/>
      </bottom>
      <diagonal/>
    </border>
    <border>
      <left style="thin">
        <color indexed="9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9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9"/>
      </top>
      <bottom style="thin">
        <color indexed="9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10"/>
      </bottom>
      <diagonal/>
    </border>
    <border>
      <left style="thin">
        <color indexed="9"/>
      </left>
      <right/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 style="thin">
        <color indexed="10"/>
      </bottom>
      <diagonal/>
    </border>
    <border>
      <left/>
      <right style="thin">
        <color indexed="9"/>
      </right>
      <top style="thin">
        <color indexed="8"/>
      </top>
      <bottom style="thin">
        <color indexed="10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9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9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>
        <color indexed="8"/>
      </bottom>
      <diagonal/>
    </border>
    <border>
      <left style="thin">
        <color indexed="10"/>
      </left>
      <right style="thin">
        <color indexed="9"/>
      </right>
      <top style="thin">
        <color indexed="10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9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thin">
        <color indexed="9"/>
      </left>
      <right/>
      <top style="thin">
        <color indexed="10"/>
      </top>
      <bottom style="thin">
        <color indexed="9"/>
      </bottom>
      <diagonal/>
    </border>
    <border>
      <left/>
      <right style="thin">
        <color indexed="9"/>
      </right>
      <top style="thin">
        <color indexed="10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10"/>
      </top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10"/>
      </bottom>
      <diagonal/>
    </border>
    <border>
      <left/>
      <right style="thin">
        <color indexed="9"/>
      </right>
      <top style="thin">
        <color indexed="9"/>
      </top>
      <bottom style="thin">
        <color indexed="10"/>
      </bottom>
      <diagonal/>
    </border>
    <border>
      <left style="thin">
        <color indexed="8"/>
      </left>
      <right style="thin">
        <color indexed="8"/>
      </right>
      <top style="thin">
        <color indexed="9"/>
      </top>
      <bottom style="thin">
        <color indexed="10"/>
      </bottom>
      <diagonal/>
    </border>
    <border>
      <left style="thin">
        <color indexed="9"/>
      </left>
      <right/>
      <top style="thin">
        <color indexed="9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9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medium">
        <color indexed="8"/>
      </bottom>
      <diagonal/>
    </border>
    <border>
      <left style="thin">
        <color indexed="10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9"/>
      </left>
      <right style="thin">
        <color indexed="9"/>
      </right>
      <top style="medium">
        <color indexed="8"/>
      </top>
      <bottom style="thin">
        <color indexed="10"/>
      </bottom>
      <diagonal/>
    </border>
    <border>
      <left style="thin">
        <color indexed="9"/>
      </left>
      <right style="thin">
        <color indexed="10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10"/>
      </top>
      <bottom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10"/>
      </top>
      <bottom>
        <color indexed="8"/>
      </bottom>
      <diagonal/>
    </border>
    <border>
      <left style="thin">
        <color indexed="9"/>
      </left>
      <right style="thin">
        <color indexed="8"/>
      </right>
      <top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>
        <color indexed="8"/>
      </top>
      <bottom>
        <color indexed="8"/>
      </bottom>
      <diagonal/>
    </border>
    <border>
      <left style="thin">
        <color indexed="8"/>
      </left>
      <right style="thin">
        <color indexed="9"/>
      </right>
      <top>
        <color indexed="8"/>
      </top>
      <bottom style="thin">
        <color indexed="9"/>
      </bottom>
      <diagonal/>
    </border>
    <border>
      <left style="thin">
        <color indexed="8"/>
      </left>
      <right style="thin">
        <color indexed="10"/>
      </right>
      <top style="thin">
        <color indexed="9"/>
      </top>
      <bottom/>
      <diagonal/>
    </border>
    <border>
      <left style="thin">
        <color indexed="8"/>
      </left>
      <right style="thin">
        <color indexed="8"/>
      </right>
      <top style="thin">
        <color indexed="9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/>
      <top/>
      <bottom style="thin">
        <color indexed="10"/>
      </bottom>
      <diagonal/>
    </border>
    <border>
      <left/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9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9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9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9"/>
      </left>
      <right/>
      <top style="thin">
        <color indexed="10"/>
      </top>
      <bottom style="thin">
        <color indexed="8"/>
      </bottom>
      <diagonal/>
    </border>
    <border>
      <left/>
      <right/>
      <top style="thin">
        <color indexed="10"/>
      </top>
      <bottom style="thin">
        <color indexed="8"/>
      </bottom>
      <diagonal/>
    </border>
    <border>
      <left/>
      <right style="thin">
        <color indexed="9"/>
      </right>
      <top style="thin">
        <color indexed="10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10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/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9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9"/>
      </top>
      <bottom style="thin">
        <color indexed="10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medium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782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1" applyNumberFormat="1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49" fontId="0" borderId="2" applyNumberFormat="1" applyFont="1" applyFill="0" applyBorder="1" applyAlignment="1" applyProtection="0">
      <alignment vertical="bottom"/>
    </xf>
    <xf numFmtId="49" fontId="0" borderId="3" applyNumberFormat="1" applyFont="1" applyFill="0" applyBorder="1" applyAlignment="1" applyProtection="0">
      <alignment vertical="bottom"/>
    </xf>
    <xf numFmtId="0" fontId="0" borderId="3" applyNumberFormat="1" applyFont="1" applyFill="0" applyBorder="1" applyAlignment="1" applyProtection="0">
      <alignment vertical="bottom"/>
    </xf>
    <xf numFmtId="0" fontId="3" borderId="3" applyNumberFormat="1" applyFont="1" applyFill="0" applyBorder="1" applyAlignment="1" applyProtection="0">
      <alignment vertical="bottom"/>
    </xf>
    <xf numFmtId="49" fontId="3" borderId="3" applyNumberFormat="1" applyFont="1" applyFill="0" applyBorder="1" applyAlignment="1" applyProtection="0">
      <alignment vertical="bottom"/>
    </xf>
    <xf numFmtId="0" fontId="3" borderId="4" applyNumberFormat="0" applyFont="1" applyFill="0" applyBorder="1" applyAlignment="1" applyProtection="0">
      <alignment vertical="bottom"/>
    </xf>
    <xf numFmtId="0" fontId="0" borderId="4" applyNumberFormat="0" applyFont="1" applyFill="0" applyBorder="1" applyAlignment="1" applyProtection="0">
      <alignment vertical="bottom"/>
    </xf>
    <xf numFmtId="0" fontId="0" borderId="5" applyNumberFormat="0" applyFont="1" applyFill="0" applyBorder="1" applyAlignment="1" applyProtection="0">
      <alignment vertical="bottom"/>
    </xf>
    <xf numFmtId="0" fontId="3" borderId="5" applyNumberFormat="0" applyFont="1" applyFill="0" applyBorder="1" applyAlignment="1" applyProtection="0">
      <alignment vertical="bottom"/>
    </xf>
    <xf numFmtId="0" fontId="0" borderId="3" applyNumberFormat="0" applyFont="1" applyFill="0" applyBorder="1" applyAlignment="1" applyProtection="0">
      <alignment vertical="bottom"/>
    </xf>
    <xf numFmtId="0" fontId="0" borderId="6" applyNumberFormat="0" applyFont="1" applyFill="0" applyBorder="1" applyAlignment="1" applyProtection="0">
      <alignment vertical="bottom"/>
    </xf>
    <xf numFmtId="0" fontId="0" borderId="2" applyNumberFormat="0" applyFont="1" applyFill="0" applyBorder="1" applyAlignment="1" applyProtection="0">
      <alignment vertical="bottom"/>
    </xf>
    <xf numFmtId="0" fontId="0" borderId="7" applyNumberFormat="0" applyFont="1" applyFill="0" applyBorder="1" applyAlignment="1" applyProtection="0">
      <alignment vertical="bottom"/>
    </xf>
    <xf numFmtId="49" fontId="0" borderId="8" applyNumberFormat="1" applyFont="1" applyFill="0" applyBorder="1" applyAlignment="1" applyProtection="0">
      <alignment vertical="bottom"/>
    </xf>
    <xf numFmtId="49" fontId="0" borderId="9" applyNumberFormat="1" applyFont="1" applyFill="0" applyBorder="1" applyAlignment="1" applyProtection="0">
      <alignment vertical="bottom"/>
    </xf>
    <xf numFmtId="0" fontId="0" borderId="9" applyNumberFormat="1" applyFont="1" applyFill="0" applyBorder="1" applyAlignment="1" applyProtection="0">
      <alignment vertical="bottom"/>
    </xf>
    <xf numFmtId="0" fontId="0" borderId="9" applyNumberFormat="0" applyFont="1" applyFill="0" applyBorder="1" applyAlignment="1" applyProtection="0">
      <alignment vertical="bottom"/>
    </xf>
    <xf numFmtId="0" fontId="0" borderId="10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11" applyNumberFormat="1" applyFont="1" applyFill="0" applyBorder="1" applyAlignment="1" applyProtection="0">
      <alignment vertical="bottom"/>
    </xf>
    <xf numFmtId="49" fontId="0" fillId="2" borderId="11" applyNumberFormat="1" applyFont="1" applyFill="1" applyBorder="1" applyAlignment="1" applyProtection="0">
      <alignment vertical="bottom" wrapText="1"/>
    </xf>
    <xf numFmtId="49" fontId="0" fillId="3" borderId="11" applyNumberFormat="1" applyFont="1" applyFill="1" applyBorder="1" applyAlignment="1" applyProtection="0">
      <alignment vertical="bottom" wrapText="1"/>
    </xf>
    <xf numFmtId="0" fontId="0" fillId="2" borderId="11" applyNumberFormat="0" applyFont="1" applyFill="1" applyBorder="1" applyAlignment="1" applyProtection="0">
      <alignment vertical="bottom" wrapText="1"/>
    </xf>
    <xf numFmtId="49" fontId="0" fillId="2" borderId="12" applyNumberFormat="1" applyFont="1" applyFill="1" applyBorder="1" applyAlignment="1" applyProtection="0">
      <alignment vertical="bottom" wrapText="1"/>
    </xf>
    <xf numFmtId="0" fontId="4" fillId="2" borderId="12" applyNumberFormat="0" applyFont="1" applyFill="1" applyBorder="1" applyAlignment="1" applyProtection="0">
      <alignment vertical="bottom" wrapText="1"/>
    </xf>
    <xf numFmtId="0" fontId="0" fillId="2" borderId="12" applyNumberFormat="0" applyFont="1" applyFill="1" applyBorder="1" applyAlignment="1" applyProtection="0">
      <alignment vertical="bottom" wrapText="1"/>
    </xf>
    <xf numFmtId="0" fontId="0" borderId="12" applyNumberFormat="0" applyFont="1" applyFill="0" applyBorder="1" applyAlignment="1" applyProtection="0">
      <alignment vertical="bottom"/>
    </xf>
    <xf numFmtId="49" fontId="5" fillId="2" borderId="13" applyNumberFormat="1" applyFont="1" applyFill="1" applyBorder="1" applyAlignment="1" applyProtection="0">
      <alignment vertical="bottom" wrapText="1"/>
    </xf>
    <xf numFmtId="0" fontId="0" borderId="13" applyNumberFormat="0" applyFont="1" applyFill="0" applyBorder="1" applyAlignment="1" applyProtection="0">
      <alignment vertical="bottom"/>
    </xf>
    <xf numFmtId="0" fontId="0" fillId="2" borderId="13" applyNumberFormat="0" applyFont="1" applyFill="1" applyBorder="1" applyAlignment="1" applyProtection="0">
      <alignment vertical="bottom" wrapText="1"/>
    </xf>
    <xf numFmtId="0" fontId="0" fillId="3" borderId="13" applyNumberFormat="0" applyFont="1" applyFill="1" applyBorder="1" applyAlignment="1" applyProtection="0">
      <alignment vertical="bottom" wrapText="1"/>
    </xf>
    <xf numFmtId="49" fontId="0" fillId="2" borderId="13" applyNumberFormat="1" applyFont="1" applyFill="1" applyBorder="1" applyAlignment="1" applyProtection="0">
      <alignment vertical="bottom" wrapText="1"/>
    </xf>
    <xf numFmtId="49" fontId="4" borderId="13" applyNumberFormat="1" applyFont="1" applyFill="0" applyBorder="1" applyAlignment="1" applyProtection="0">
      <alignment vertical="bottom"/>
    </xf>
    <xf numFmtId="49" fontId="0" borderId="13" applyNumberFormat="1" applyFont="1" applyFill="0" applyBorder="1" applyAlignment="1" applyProtection="0">
      <alignment vertical="bottom"/>
    </xf>
    <xf numFmtId="0" fontId="0" borderId="14" applyNumberFormat="0" applyFont="1" applyFill="0" applyBorder="1" applyAlignment="1" applyProtection="0">
      <alignment vertical="bottom"/>
    </xf>
    <xf numFmtId="0" fontId="0" borderId="13" applyNumberFormat="1" applyFont="1" applyFill="0" applyBorder="1" applyAlignment="1" applyProtection="0">
      <alignment vertical="bottom"/>
    </xf>
    <xf numFmtId="0" fontId="0" fillId="2" borderId="13" applyNumberFormat="1" applyFont="1" applyFill="1" applyBorder="1" applyAlignment="1" applyProtection="0">
      <alignment vertical="bottom" wrapText="1"/>
    </xf>
    <xf numFmtId="0" fontId="0" fillId="3" borderId="13" applyNumberFormat="0" applyFont="1" applyFill="1" applyBorder="1" applyAlignment="1" applyProtection="0">
      <alignment vertical="bottom"/>
    </xf>
    <xf numFmtId="0" fontId="5" fillId="2" borderId="13" applyNumberFormat="0" applyFont="1" applyFill="1" applyBorder="1" applyAlignment="1" applyProtection="0">
      <alignment vertical="bottom" wrapText="1"/>
    </xf>
    <xf numFmtId="0" fontId="5" fillId="2" borderId="13" applyNumberFormat="1" applyFont="1" applyFill="1" applyBorder="1" applyAlignment="1" applyProtection="0">
      <alignment vertical="bottom" wrapText="1"/>
    </xf>
    <xf numFmtId="0" fontId="0" borderId="15" applyNumberFormat="0" applyFont="1" applyFill="0" applyBorder="1" applyAlignment="1" applyProtection="0">
      <alignment vertical="bottom"/>
    </xf>
    <xf numFmtId="49" fontId="5" fillId="2" borderId="16" applyNumberFormat="1" applyFont="1" applyFill="1" applyBorder="1" applyAlignment="1" applyProtection="0">
      <alignment vertical="bottom" wrapText="1"/>
    </xf>
    <xf numFmtId="0" fontId="0" borderId="16" applyNumberFormat="0" applyFont="1" applyFill="0" applyBorder="1" applyAlignment="1" applyProtection="0">
      <alignment vertical="bottom"/>
    </xf>
    <xf numFmtId="0" fontId="5" fillId="2" borderId="16" applyNumberFormat="0" applyFont="1" applyFill="1" applyBorder="1" applyAlignment="1" applyProtection="0">
      <alignment vertical="bottom" wrapText="1"/>
    </xf>
    <xf numFmtId="0" fontId="4" borderId="13" applyNumberFormat="0" applyFont="1" applyFill="0" applyBorder="1" applyAlignment="1" applyProtection="0">
      <alignment vertical="bottom"/>
    </xf>
    <xf numFmtId="0" fontId="4" borderId="13" applyNumberFormat="1" applyFont="1" applyFill="0" applyBorder="1" applyAlignment="1" applyProtection="0">
      <alignment vertical="bottom"/>
    </xf>
    <xf numFmtId="0" fontId="4" fillId="2" borderId="13" applyNumberFormat="1" applyFont="1" applyFill="1" applyBorder="1" applyAlignment="1" applyProtection="0">
      <alignment vertical="bottom" wrapText="1"/>
    </xf>
    <xf numFmtId="0" fontId="4" fillId="2" borderId="13" applyNumberFormat="0" applyFont="1" applyFill="1" applyBorder="1" applyAlignment="1" applyProtection="0">
      <alignment vertical="bottom" wrapText="1"/>
    </xf>
    <xf numFmtId="49" fontId="4" fillId="2" borderId="13" applyNumberFormat="1" applyFont="1" applyFill="1" applyBorder="1" applyAlignment="1" applyProtection="0">
      <alignment vertical="bottom" wrapText="1"/>
    </xf>
    <xf numFmtId="0" fontId="4" fillId="2" borderId="16" applyNumberFormat="0" applyFont="1" applyFill="1" applyBorder="1" applyAlignment="1" applyProtection="0">
      <alignment vertical="bottom" wrapText="1"/>
    </xf>
    <xf numFmtId="0" fontId="6" borderId="13" applyNumberFormat="0" applyFont="1" applyFill="0" applyBorder="1" applyAlignment="1" applyProtection="0">
      <alignment vertical="bottom"/>
    </xf>
    <xf numFmtId="49" fontId="4" fillId="2" borderId="16" applyNumberFormat="1" applyFont="1" applyFill="1" applyBorder="1" applyAlignment="1" applyProtection="0">
      <alignment vertical="bottom" wrapText="1"/>
    </xf>
    <xf numFmtId="1" fontId="0" borderId="13" applyNumberFormat="1" applyFont="1" applyFill="0" applyBorder="1" applyAlignment="1" applyProtection="0">
      <alignment vertical="bottom"/>
    </xf>
    <xf numFmtId="49" fontId="0" borderId="16" applyNumberFormat="1" applyFont="1" applyFill="0" applyBorder="1" applyAlignment="1" applyProtection="0">
      <alignment vertical="bottom"/>
    </xf>
    <xf numFmtId="9" fontId="0" borderId="13" applyNumberFormat="1" applyFont="1" applyFill="0" applyBorder="1" applyAlignment="1" applyProtection="0">
      <alignment vertical="bottom"/>
    </xf>
    <xf numFmtId="0" fontId="7" borderId="13" applyNumberFormat="0" applyFont="1" applyFill="0" applyBorder="1" applyAlignment="1" applyProtection="0">
      <alignment vertical="bottom"/>
    </xf>
    <xf numFmtId="59" fontId="0" borderId="13" applyNumberFormat="1" applyFont="1" applyFill="0" applyBorder="1" applyAlignment="1" applyProtection="0">
      <alignment vertical="bottom"/>
    </xf>
    <xf numFmtId="0" fontId="0" borderId="17" applyNumberFormat="0" applyFont="1" applyFill="0" applyBorder="1" applyAlignment="1" applyProtection="0">
      <alignment vertical="bottom"/>
    </xf>
    <xf numFmtId="0" fontId="0" borderId="18" applyNumberFormat="0" applyFont="1" applyFill="0" applyBorder="1" applyAlignment="1" applyProtection="0">
      <alignment vertical="bottom"/>
    </xf>
    <xf numFmtId="0" fontId="0" borderId="19" applyNumberFormat="0" applyFont="1" applyFill="0" applyBorder="1" applyAlignment="1" applyProtection="0">
      <alignment vertical="bottom"/>
    </xf>
    <xf numFmtId="0" fontId="0" borderId="20" applyNumberFormat="0" applyFont="1" applyFill="0" applyBorder="1" applyAlignment="1" applyProtection="0">
      <alignment vertical="bottom"/>
    </xf>
    <xf numFmtId="0" fontId="0" borderId="21" applyNumberFormat="0" applyFont="1" applyFill="0" applyBorder="1" applyAlignment="1" applyProtection="0">
      <alignment vertical="bottom"/>
    </xf>
    <xf numFmtId="0" fontId="0" borderId="22" applyNumberFormat="0" applyFont="1" applyFill="0" applyBorder="1" applyAlignment="1" applyProtection="0">
      <alignment vertical="bottom"/>
    </xf>
    <xf numFmtId="0" fontId="0" borderId="23" applyNumberFormat="0" applyFont="1" applyFill="0" applyBorder="1" applyAlignment="1" applyProtection="0">
      <alignment vertical="bottom"/>
    </xf>
    <xf numFmtId="0" fontId="0" borderId="24" applyNumberFormat="0" applyFont="1" applyFill="0" applyBorder="1" applyAlignment="1" applyProtection="0">
      <alignment vertical="bottom"/>
    </xf>
    <xf numFmtId="0" fontId="0" fillId="3" borderId="25" applyNumberFormat="0" applyFont="1" applyFill="1" applyBorder="1" applyAlignment="1" applyProtection="0">
      <alignment vertical="bottom"/>
    </xf>
    <xf numFmtId="0" fontId="0" borderId="26" applyNumberFormat="1" applyFont="1" applyFill="0" applyBorder="1" applyAlignment="1" applyProtection="0">
      <alignment vertical="bottom"/>
    </xf>
    <xf numFmtId="0" fontId="0" borderId="27" applyNumberFormat="0" applyFont="1" applyFill="0" applyBorder="1" applyAlignment="1" applyProtection="0">
      <alignment vertical="bottom"/>
    </xf>
    <xf numFmtId="0" fontId="0" borderId="27" applyNumberFormat="1" applyFont="1" applyFill="0" applyBorder="1" applyAlignment="1" applyProtection="0">
      <alignment vertical="bottom"/>
    </xf>
    <xf numFmtId="49" fontId="0" borderId="27" applyNumberFormat="1" applyFont="1" applyFill="0" applyBorder="1" applyAlignment="1" applyProtection="0">
      <alignment vertical="bottom"/>
    </xf>
    <xf numFmtId="0" fontId="0" borderId="28" applyNumberFormat="0" applyFont="1" applyFill="0" applyBorder="1" applyAlignment="1" applyProtection="0">
      <alignment vertical="bottom"/>
    </xf>
    <xf numFmtId="0" fontId="0" borderId="29" applyNumberFormat="0" applyFont="1" applyFill="0" applyBorder="1" applyAlignment="1" applyProtection="0">
      <alignment vertical="bottom"/>
    </xf>
    <xf numFmtId="0" fontId="0" borderId="30" applyNumberFormat="0" applyFont="1" applyFill="0" applyBorder="1" applyAlignment="1" applyProtection="0">
      <alignment vertical="bottom"/>
    </xf>
    <xf numFmtId="0" fontId="0" fillId="3" borderId="3" applyNumberFormat="0" applyFont="1" applyFill="1" applyBorder="1" applyAlignment="1" applyProtection="0">
      <alignment vertical="bottom"/>
    </xf>
    <xf numFmtId="0" fontId="0" borderId="31" applyNumberFormat="0" applyFont="1" applyFill="0" applyBorder="1" applyAlignment="1" applyProtection="0">
      <alignment vertical="bottom"/>
    </xf>
    <xf numFmtId="0" fontId="0" borderId="7" applyNumberFormat="1" applyFont="1" applyFill="0" applyBorder="1" applyAlignment="1" applyProtection="0">
      <alignment vertical="bottom"/>
    </xf>
    <xf numFmtId="0" fontId="0" fillId="3" borderId="9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32" applyNumberFormat="1" applyFont="1" applyFill="0" applyBorder="1" applyAlignment="1" applyProtection="0">
      <alignment vertical="bottom"/>
    </xf>
    <xf numFmtId="49" fontId="0" borderId="12" applyNumberFormat="1" applyFont="1" applyFill="0" applyBorder="1" applyAlignment="1" applyProtection="0">
      <alignment vertical="bottom"/>
    </xf>
    <xf numFmtId="1" fontId="0" fillId="2" borderId="12" applyNumberFormat="1" applyFont="1" applyFill="1" applyBorder="1" applyAlignment="1" applyProtection="0">
      <alignment vertical="bottom" wrapText="1"/>
    </xf>
    <xf numFmtId="49" fontId="0" fillId="2" borderId="32" applyNumberFormat="1" applyFont="1" applyFill="1" applyBorder="1" applyAlignment="1" applyProtection="0">
      <alignment vertical="bottom" wrapText="1"/>
    </xf>
    <xf numFmtId="1" fontId="5" fillId="2" borderId="12" applyNumberFormat="1" applyFont="1" applyFill="1" applyBorder="1" applyAlignment="1" applyProtection="0">
      <alignment vertical="bottom" wrapText="1"/>
    </xf>
    <xf numFmtId="1" fontId="0" borderId="12" applyNumberFormat="1" applyFont="1" applyFill="0" applyBorder="1" applyAlignment="1" applyProtection="0">
      <alignment vertical="bottom"/>
    </xf>
    <xf numFmtId="49" fontId="5" fillId="2" borderId="28" applyNumberFormat="1" applyFont="1" applyFill="1" applyBorder="1" applyAlignment="1" applyProtection="0">
      <alignment vertical="bottom" wrapText="1"/>
    </xf>
    <xf numFmtId="1" fontId="5" fillId="2" borderId="7" applyNumberFormat="1" applyFont="1" applyFill="1" applyBorder="1" applyAlignment="1" applyProtection="0">
      <alignment vertical="bottom" wrapText="1"/>
    </xf>
    <xf numFmtId="49" fontId="5" fillId="2" borderId="7" applyNumberFormat="1" applyFont="1" applyFill="1" applyBorder="1" applyAlignment="1" applyProtection="0">
      <alignment vertical="bottom" wrapText="1"/>
    </xf>
    <xf numFmtId="1" fontId="0" borderId="33" applyNumberFormat="1" applyFont="1" applyFill="0" applyBorder="1" applyAlignment="1" applyProtection="0">
      <alignment vertical="bottom"/>
    </xf>
    <xf numFmtId="49" fontId="0" fillId="2" borderId="34" applyNumberFormat="1" applyFont="1" applyFill="1" applyBorder="1" applyAlignment="1" applyProtection="0">
      <alignment vertical="bottom" wrapText="1"/>
    </xf>
    <xf numFmtId="49" fontId="0" fillId="2" borderId="7" applyNumberFormat="1" applyFont="1" applyFill="1" applyBorder="1" applyAlignment="1" applyProtection="0">
      <alignment vertical="bottom" wrapText="1"/>
    </xf>
    <xf numFmtId="49" fontId="0" fillId="2" borderId="33" applyNumberFormat="1" applyFont="1" applyFill="1" applyBorder="1" applyAlignment="1" applyProtection="0">
      <alignment vertical="bottom" wrapText="1"/>
    </xf>
    <xf numFmtId="49" fontId="6" borderId="33" applyNumberFormat="1" applyFont="1" applyFill="0" applyBorder="1" applyAlignment="1" applyProtection="0">
      <alignment vertical="bottom"/>
    </xf>
    <xf numFmtId="49" fontId="0" borderId="7" applyNumberFormat="1" applyFont="1" applyFill="0" applyBorder="1" applyAlignment="1" applyProtection="0">
      <alignment vertical="bottom"/>
    </xf>
    <xf numFmtId="0" fontId="0" borderId="18" applyNumberFormat="1" applyFont="1" applyFill="0" applyBorder="1" applyAlignment="1" applyProtection="0">
      <alignment vertical="bottom"/>
    </xf>
    <xf numFmtId="49" fontId="0" borderId="18" applyNumberFormat="1" applyFont="1" applyFill="0" applyBorder="1" applyAlignment="1" applyProtection="0">
      <alignment vertical="bottom"/>
    </xf>
    <xf numFmtId="1" fontId="0" borderId="7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7" applyNumberFormat="1" applyFont="1" applyFill="1" applyBorder="1" applyAlignment="1" applyProtection="0">
      <alignment vertical="bottom"/>
    </xf>
    <xf numFmtId="0" fontId="0" fillId="2" borderId="30" applyNumberFormat="1" applyFont="1" applyFill="1" applyBorder="1" applyAlignment="1" applyProtection="0">
      <alignment vertical="bottom"/>
    </xf>
    <xf numFmtId="49" fontId="0" fillId="2" borderId="35" applyNumberFormat="1" applyFont="1" applyFill="1" applyBorder="1" applyAlignment="1" applyProtection="0">
      <alignment vertical="bottom"/>
    </xf>
    <xf numFmtId="9" fontId="0" borderId="7" applyNumberFormat="1" applyFont="1" applyFill="0" applyBorder="1" applyAlignment="1" applyProtection="0">
      <alignment vertical="bottom"/>
    </xf>
    <xf numFmtId="15" fontId="0" borderId="7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1" fontId="5" fillId="2" borderId="36" applyNumberFormat="1" applyFont="1" applyFill="1" applyBorder="1" applyAlignment="1" applyProtection="0">
      <alignment vertical="bottom" wrapText="1"/>
    </xf>
    <xf numFmtId="49" fontId="5" fillId="2" borderId="36" applyNumberFormat="1" applyFont="1" applyFill="1" applyBorder="1" applyAlignment="1" applyProtection="0">
      <alignment vertical="bottom" wrapText="1"/>
    </xf>
    <xf numFmtId="49" fontId="0" fillId="2" borderId="36" applyNumberFormat="1" applyFont="1" applyFill="1" applyBorder="1" applyAlignment="1" applyProtection="0">
      <alignment vertical="bottom" wrapText="1"/>
    </xf>
    <xf numFmtId="49" fontId="0" borderId="37" applyNumberFormat="1" applyFont="1" applyFill="0" applyBorder="1" applyAlignment="1" applyProtection="0">
      <alignment vertical="bottom"/>
    </xf>
    <xf numFmtId="0" fontId="0" borderId="37" applyNumberFormat="1" applyFont="1" applyFill="0" applyBorder="1" applyAlignment="1" applyProtection="0">
      <alignment vertical="bottom"/>
    </xf>
    <xf numFmtId="0" fontId="0" borderId="12" applyNumberFormat="1" applyFont="1" applyFill="0" applyBorder="1" applyAlignment="1" applyProtection="0">
      <alignment vertical="bottom"/>
    </xf>
    <xf numFmtId="0" fontId="0" borderId="32" applyNumberFormat="1" applyFont="1" applyFill="0" applyBorder="1" applyAlignment="1" applyProtection="0">
      <alignment vertical="bottom"/>
    </xf>
    <xf numFmtId="0" fontId="0" fillId="2" borderId="12" applyNumberFormat="1" applyFont="1" applyFill="1" applyBorder="1" applyAlignment="1" applyProtection="0">
      <alignment vertical="bottom" wrapText="1"/>
    </xf>
    <xf numFmtId="0" fontId="0" borderId="32" applyNumberFormat="0" applyFont="1" applyFill="0" applyBorder="1" applyAlignment="1" applyProtection="0">
      <alignment vertical="bottom"/>
    </xf>
    <xf numFmtId="0" fontId="0" borderId="38" applyNumberFormat="0" applyFont="1" applyFill="0" applyBorder="1" applyAlignment="1" applyProtection="0">
      <alignment vertical="bottom"/>
    </xf>
    <xf numFmtId="0" fontId="0" borderId="39" applyNumberFormat="0" applyFont="1" applyFill="0" applyBorder="1" applyAlignment="1" applyProtection="0">
      <alignment vertical="bottom"/>
    </xf>
    <xf numFmtId="0" fontId="5" fillId="2" borderId="12" applyNumberFormat="1" applyFont="1" applyFill="1" applyBorder="1" applyAlignment="1" applyProtection="0">
      <alignment vertical="bottom" wrapText="1"/>
    </xf>
    <xf numFmtId="49" fontId="5" fillId="2" borderId="12" applyNumberFormat="1" applyFont="1" applyFill="1" applyBorder="1" applyAlignment="1" applyProtection="0">
      <alignment vertical="bottom" wrapText="1"/>
    </xf>
    <xf numFmtId="0" fontId="0" borderId="40" applyNumberFormat="1" applyFont="1" applyFill="0" applyBorder="1" applyAlignment="1" applyProtection="0">
      <alignment vertical="bottom"/>
    </xf>
    <xf numFmtId="0" fontId="5" fillId="2" borderId="12" applyNumberFormat="0" applyFont="1" applyFill="1" applyBorder="1" applyAlignment="1" applyProtection="0">
      <alignment vertical="bottom" wrapText="1"/>
    </xf>
    <xf numFmtId="0" fontId="0" borderId="40" applyNumberFormat="0" applyFont="1" applyFill="0" applyBorder="1" applyAlignment="1" applyProtection="0">
      <alignment vertical="bottom"/>
    </xf>
    <xf numFmtId="0" fontId="0" borderId="29" applyNumberFormat="1" applyFont="1" applyFill="0" applyBorder="1" applyAlignment="1" applyProtection="0">
      <alignment vertical="bottom"/>
    </xf>
    <xf numFmtId="0" fontId="4" borderId="12" applyNumberFormat="0" applyFont="1" applyFill="0" applyBorder="1" applyAlignment="1" applyProtection="0">
      <alignment vertical="bottom"/>
    </xf>
    <xf numFmtId="0" fontId="4" fillId="2" borderId="32" applyNumberFormat="0" applyFont="1" applyFill="1" applyBorder="1" applyAlignment="1" applyProtection="0">
      <alignment vertical="bottom" wrapText="1"/>
    </xf>
    <xf numFmtId="0" fontId="0" borderId="36" applyNumberFormat="1" applyFont="1" applyFill="0" applyBorder="1" applyAlignment="1" applyProtection="0">
      <alignment vertical="bottom"/>
    </xf>
    <xf numFmtId="0" fontId="0" borderId="41" applyNumberFormat="1" applyFont="1" applyFill="0" applyBorder="1" applyAlignment="1" applyProtection="0">
      <alignment vertical="bottom"/>
    </xf>
    <xf numFmtId="0" fontId="0" borderId="33" applyNumberFormat="1" applyFont="1" applyFill="0" applyBorder="1" applyAlignment="1" applyProtection="0">
      <alignment vertical="bottom"/>
    </xf>
    <xf numFmtId="0" fontId="7" borderId="12" applyNumberFormat="0" applyFont="1" applyFill="0" applyBorder="1" applyAlignment="1" applyProtection="0">
      <alignment vertical="bottom"/>
    </xf>
    <xf numFmtId="9" fontId="0" borderId="12" applyNumberFormat="1" applyFont="1" applyFill="0" applyBorder="1" applyAlignment="1" applyProtection="0">
      <alignment vertical="bottom"/>
    </xf>
    <xf numFmtId="0" fontId="0" borderId="42" applyNumberFormat="0" applyFont="1" applyFill="0" applyBorder="1" applyAlignment="1" applyProtection="0">
      <alignment vertical="bottom"/>
    </xf>
    <xf numFmtId="0" fontId="0" borderId="36" applyNumberFormat="0" applyFont="1" applyFill="0" applyBorder="1" applyAlignment="1" applyProtection="0">
      <alignment vertical="bottom"/>
    </xf>
    <xf numFmtId="0" fontId="0" borderId="43" applyNumberFormat="0" applyFont="1" applyFill="0" applyBorder="1" applyAlignment="1" applyProtection="0">
      <alignment vertical="bottom"/>
    </xf>
    <xf numFmtId="59" fontId="0" borderId="12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2" borderId="44" applyNumberFormat="1" applyFont="1" applyFill="1" applyBorder="1" applyAlignment="1" applyProtection="0">
      <alignment vertical="bottom" wrapText="1"/>
    </xf>
    <xf numFmtId="1" fontId="5" fillId="2" borderId="45" applyNumberFormat="1" applyFont="1" applyFill="1" applyBorder="1" applyAlignment="1" applyProtection="0">
      <alignment vertical="bottom" wrapText="1"/>
    </xf>
    <xf numFmtId="49" fontId="5" borderId="16" applyNumberFormat="1" applyFont="1" applyFill="0" applyBorder="1" applyAlignment="1" applyProtection="0">
      <alignment vertical="bottom"/>
    </xf>
    <xf numFmtId="0" fontId="0" borderId="46" applyNumberFormat="1" applyFont="1" applyFill="0" applyBorder="1" applyAlignment="1" applyProtection="0">
      <alignment vertical="bottom"/>
    </xf>
    <xf numFmtId="49" fontId="5" borderId="47" applyNumberFormat="1" applyFont="1" applyFill="0" applyBorder="1" applyAlignment="1" applyProtection="0">
      <alignment vertical="bottom"/>
    </xf>
    <xf numFmtId="0" fontId="0" borderId="37" applyNumberFormat="0" applyFont="1" applyFill="0" applyBorder="1" applyAlignment="1" applyProtection="0">
      <alignment vertical="bottom"/>
    </xf>
    <xf numFmtId="0" fontId="0" borderId="43" applyNumberFormat="1" applyFont="1" applyFill="0" applyBorder="1" applyAlignment="1" applyProtection="0">
      <alignment vertical="bottom"/>
    </xf>
    <xf numFmtId="49" fontId="0" borderId="46" applyNumberFormat="1" applyFont="1" applyFill="0" applyBorder="1" applyAlignment="1" applyProtection="0">
      <alignment vertical="bottom"/>
    </xf>
    <xf numFmtId="49" fontId="0" borderId="48" applyNumberFormat="1" applyFont="1" applyFill="0" applyBorder="1" applyAlignment="1" applyProtection="0">
      <alignment vertical="bottom"/>
    </xf>
    <xf numFmtId="49" fontId="4" borderId="21" applyNumberFormat="1" applyFont="1" applyFill="0" applyBorder="1" applyAlignment="1" applyProtection="0">
      <alignment vertical="bottom"/>
    </xf>
    <xf numFmtId="0" fontId="0" borderId="33" applyNumberFormat="0" applyFont="1" applyFill="0" applyBorder="1" applyAlignment="1" applyProtection="0">
      <alignment vertical="bottom"/>
    </xf>
    <xf numFmtId="0" fontId="5" fillId="2" borderId="37" applyNumberFormat="0" applyFont="1" applyFill="1" applyBorder="1" applyAlignment="1" applyProtection="0">
      <alignment vertical="bottom" wrapText="1"/>
    </xf>
    <xf numFmtId="49" fontId="4" fillId="2" borderId="12" applyNumberFormat="1" applyFont="1" applyFill="1" applyBorder="1" applyAlignment="1" applyProtection="0">
      <alignment vertical="bottom" wrapText="1"/>
    </xf>
    <xf numFmtId="49" fontId="4" fillId="2" borderId="34" applyNumberFormat="1" applyFont="1" applyFill="1" applyBorder="1" applyAlignment="1" applyProtection="0">
      <alignment vertical="bottom" wrapText="1"/>
    </xf>
    <xf numFmtId="49" fontId="4" fillId="2" borderId="7" applyNumberFormat="1" applyFont="1" applyFill="1" applyBorder="1" applyAlignment="1" applyProtection="0">
      <alignment vertical="bottom" wrapText="1"/>
    </xf>
    <xf numFmtId="49" fontId="4" fillId="2" borderId="33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49" fontId="0" borderId="38" applyNumberFormat="1" applyFont="1" applyFill="0" applyBorder="1" applyAlignment="1" applyProtection="0">
      <alignment vertical="bottom"/>
    </xf>
    <xf numFmtId="49" fontId="0" borderId="39" applyNumberFormat="1" applyFont="1" applyFill="0" applyBorder="1" applyAlignment="1" applyProtection="0">
      <alignment vertical="bottom"/>
    </xf>
    <xf numFmtId="0" fontId="0" borderId="39" applyNumberFormat="1" applyFont="1" applyFill="0" applyBorder="1" applyAlignment="1" applyProtection="0">
      <alignment vertical="bottom"/>
    </xf>
    <xf numFmtId="0" fontId="0" borderId="28" applyNumberFormat="1" applyFont="1" applyFill="0" applyBorder="1" applyAlignment="1" applyProtection="0">
      <alignment vertical="bottom"/>
    </xf>
    <xf numFmtId="49" fontId="0" borderId="28" applyNumberFormat="1" applyFont="1" applyFill="0" applyBorder="1" applyAlignment="1" applyProtection="0">
      <alignment vertical="bottom"/>
    </xf>
    <xf numFmtId="49" fontId="0" borderId="29" applyNumberFormat="1" applyFont="1" applyFill="0" applyBorder="1" applyAlignment="1" applyProtection="0">
      <alignment vertical="bottom"/>
    </xf>
    <xf numFmtId="49" fontId="0" borderId="40" applyNumberFormat="1" applyFont="1" applyFill="0" applyBorder="1" applyAlignment="1" applyProtection="0">
      <alignment vertical="bottom"/>
    </xf>
    <xf numFmtId="49" fontId="0" borderId="42" applyNumberFormat="1" applyFont="1" applyFill="0" applyBorder="1" applyAlignment="1" applyProtection="0">
      <alignment vertical="bottom"/>
    </xf>
    <xf numFmtId="49" fontId="0" borderId="43" applyNumberFormat="1" applyFont="1" applyFill="0" applyBorder="1" applyAlignment="1" applyProtection="0">
      <alignment vertical="bottom"/>
    </xf>
    <xf numFmtId="0" fontId="0" borderId="42" applyNumberFormat="1" applyFont="1" applyFill="0" applyBorder="1" applyAlignment="1" applyProtection="0">
      <alignment vertical="bottom"/>
    </xf>
    <xf numFmtId="0" fontId="4" fillId="2" borderId="34" applyNumberFormat="0" applyFont="1" applyFill="1" applyBorder="1" applyAlignment="1" applyProtection="0">
      <alignment vertical="bottom" wrapText="1"/>
    </xf>
    <xf numFmtId="0" fontId="4" fillId="2" borderId="7" applyNumberFormat="0" applyFont="1" applyFill="1" applyBorder="1" applyAlignment="1" applyProtection="0">
      <alignment vertical="bottom" wrapText="1"/>
    </xf>
    <xf numFmtId="0" fontId="4" fillId="2" borderId="33" applyNumberFormat="0" applyFont="1" applyFill="1" applyBorder="1" applyAlignment="1" applyProtection="0">
      <alignment vertical="bottom" wrapText="1"/>
    </xf>
    <xf numFmtId="0" fontId="6" borderId="33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1" fontId="5" fillId="2" borderId="28" applyNumberFormat="1" applyFont="1" applyFill="1" applyBorder="1" applyAlignment="1" applyProtection="0">
      <alignment vertical="bottom" wrapText="1"/>
    </xf>
    <xf numFmtId="1" fontId="0" fillId="2" borderId="34" applyNumberFormat="1" applyFont="1" applyFill="1" applyBorder="1" applyAlignment="1" applyProtection="0">
      <alignment vertical="bottom" wrapText="1"/>
    </xf>
    <xf numFmtId="1" fontId="0" fillId="2" borderId="36" applyNumberFormat="1" applyFont="1" applyFill="1" applyBorder="1" applyAlignment="1" applyProtection="0">
      <alignment vertical="bottom" wrapText="1"/>
    </xf>
    <xf numFmtId="1" fontId="0" fillId="2" borderId="33" applyNumberFormat="1" applyFont="1" applyFill="1" applyBorder="1" applyAlignment="1" applyProtection="0">
      <alignment vertical="bottom" wrapText="1"/>
    </xf>
    <xf numFmtId="1" fontId="0" fillId="2" borderId="7" applyNumberFormat="1" applyFont="1" applyFill="1" applyBorder="1" applyAlignment="1" applyProtection="0">
      <alignment vertical="bottom" wrapText="1"/>
    </xf>
    <xf numFmtId="1" fontId="6" borderId="33" applyNumberFormat="1" applyFont="1" applyFill="0" applyBorder="1" applyAlignment="1" applyProtection="0">
      <alignment vertical="bottom"/>
    </xf>
    <xf numFmtId="1" fontId="0" borderId="32" applyNumberFormat="1" applyFont="1" applyFill="0" applyBorder="1" applyAlignment="1" applyProtection="0">
      <alignment vertical="bottom"/>
    </xf>
    <xf numFmtId="1" fontId="0" borderId="38" applyNumberFormat="1" applyFont="1" applyFill="0" applyBorder="1" applyAlignment="1" applyProtection="0">
      <alignment vertical="bottom"/>
    </xf>
    <xf numFmtId="1" fontId="0" borderId="40" applyNumberFormat="1" applyFont="1" applyFill="0" applyBorder="1" applyAlignment="1" applyProtection="0">
      <alignment vertical="bottom"/>
    </xf>
    <xf numFmtId="1" fontId="0" borderId="28" applyNumberFormat="1" applyFont="1" applyFill="0" applyBorder="1" applyAlignment="1" applyProtection="0">
      <alignment vertical="bottom"/>
    </xf>
    <xf numFmtId="1" fontId="0" borderId="29" applyNumberFormat="1" applyFont="1" applyFill="0" applyBorder="1" applyAlignment="1" applyProtection="0">
      <alignment vertical="bottom"/>
    </xf>
    <xf numFmtId="0" fontId="0" borderId="34" applyNumberFormat="0" applyFont="1" applyFill="0" applyBorder="1" applyAlignment="1" applyProtection="0">
      <alignment vertical="bottom"/>
    </xf>
    <xf numFmtId="0" fontId="0" borderId="41" applyNumberFormat="0" applyFont="1" applyFill="0" applyBorder="1" applyAlignment="1" applyProtection="0">
      <alignment vertical="bottom"/>
    </xf>
    <xf numFmtId="49" fontId="0" borderId="36" applyNumberFormat="1" applyFont="1" applyFill="0" applyBorder="1" applyAlignment="1" applyProtection="0">
      <alignment vertical="bottom"/>
    </xf>
    <xf numFmtId="1" fontId="0" borderId="36" applyNumberFormat="1" applyFont="1" applyFill="0" applyBorder="1" applyAlignment="1" applyProtection="0">
      <alignment vertical="bottom"/>
    </xf>
    <xf numFmtId="1" fontId="0" fillId="2" borderId="37" applyNumberFormat="1" applyFont="1" applyFill="1" applyBorder="1" applyAlignment="1" applyProtection="0">
      <alignment vertical="bottom" wrapText="1"/>
    </xf>
    <xf numFmtId="1" fontId="0" fillId="2" borderId="42" applyNumberFormat="1" applyFont="1" applyFill="1" applyBorder="1" applyAlignment="1" applyProtection="0">
      <alignment vertical="bottom" wrapText="1"/>
    </xf>
    <xf numFmtId="49" fontId="4" fillId="2" borderId="28" applyNumberFormat="1" applyFont="1" applyFill="1" applyBorder="1" applyAlignment="1" applyProtection="0">
      <alignment vertical="bottom" wrapText="1"/>
    </xf>
    <xf numFmtId="1" fontId="4" fillId="2" borderId="7" applyNumberFormat="1" applyFont="1" applyFill="1" applyBorder="1" applyAlignment="1" applyProtection="0">
      <alignment vertical="bottom" wrapText="1"/>
    </xf>
    <xf numFmtId="1" fontId="0" fillId="2" borderId="18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49" fontId="5" fillId="2" borderId="42" applyNumberFormat="1" applyFont="1" applyFill="1" applyBorder="1" applyAlignment="1" applyProtection="0">
      <alignment vertical="bottom" wrapText="1"/>
    </xf>
    <xf numFmtId="0" fontId="0" borderId="38" applyNumberFormat="1" applyFont="1" applyFill="0" applyBorder="1" applyAlignment="1" applyProtection="0">
      <alignment vertical="bottom"/>
    </xf>
    <xf numFmtId="0" fontId="0" borderId="49" applyNumberFormat="0" applyFont="1" applyFill="0" applyBorder="1" applyAlignment="1" applyProtection="0">
      <alignment vertical="bottom"/>
    </xf>
    <xf numFmtId="0" fontId="0" borderId="50" applyNumberFormat="0" applyFont="1" applyFill="0" applyBorder="1" applyAlignment="1" applyProtection="0">
      <alignment vertical="bottom"/>
    </xf>
    <xf numFmtId="0" fontId="0" borderId="51" applyNumberFormat="0" applyFont="1" applyFill="0" applyBorder="1" applyAlignment="1" applyProtection="0">
      <alignment vertical="bottom"/>
    </xf>
    <xf numFmtId="0" fontId="0" borderId="52" applyNumberFormat="1" applyFont="1" applyFill="0" applyBorder="1" applyAlignment="1" applyProtection="0">
      <alignment vertical="bottom"/>
    </xf>
    <xf numFmtId="0" fontId="0" borderId="53" applyNumberFormat="0" applyFont="1" applyFill="0" applyBorder="1" applyAlignment="1" applyProtection="0">
      <alignment vertical="bottom"/>
    </xf>
    <xf numFmtId="0" fontId="0" borderId="54" applyNumberFormat="0" applyFont="1" applyFill="0" applyBorder="1" applyAlignment="1" applyProtection="0">
      <alignment vertical="bottom"/>
    </xf>
    <xf numFmtId="0" fontId="5" fillId="4" borderId="12" applyNumberFormat="1" applyFont="1" applyFill="1" applyBorder="1" applyAlignment="1" applyProtection="0">
      <alignment vertical="bottom" wrapText="1"/>
    </xf>
    <xf numFmtId="49" fontId="5" fillId="4" borderId="12" applyNumberFormat="1" applyFont="1" applyFill="1" applyBorder="1" applyAlignment="1" applyProtection="0">
      <alignment vertical="bottom" wrapText="1"/>
    </xf>
    <xf numFmtId="0" fontId="0" borderId="55" applyNumberFormat="1" applyFont="1" applyFill="0" applyBorder="1" applyAlignment="1" applyProtection="0">
      <alignment vertical="bottom"/>
    </xf>
    <xf numFmtId="0" fontId="0" borderId="56" applyNumberFormat="0" applyFont="1" applyFill="0" applyBorder="1" applyAlignment="1" applyProtection="0">
      <alignment vertical="bottom"/>
    </xf>
    <xf numFmtId="0" fontId="0" borderId="57" applyNumberFormat="0" applyFont="1" applyFill="0" applyBorder="1" applyAlignment="1" applyProtection="0">
      <alignment vertical="bottom"/>
    </xf>
    <xf numFmtId="0" fontId="0" borderId="55" applyNumberFormat="0" applyFont="1" applyFill="0" applyBorder="1" applyAlignment="1" applyProtection="0">
      <alignment vertical="bottom"/>
    </xf>
    <xf numFmtId="0" fontId="0" borderId="57" applyNumberFormat="1" applyFont="1" applyFill="0" applyBorder="1" applyAlignment="1" applyProtection="0">
      <alignment vertical="bottom"/>
    </xf>
    <xf numFmtId="49" fontId="0" fillId="2" borderId="37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 wrapText="1"/>
    </xf>
    <xf numFmtId="0" fontId="0" borderId="58" applyNumberFormat="1" applyFont="1" applyFill="0" applyBorder="1" applyAlignment="1" applyProtection="0">
      <alignment vertical="bottom"/>
    </xf>
    <xf numFmtId="0" fontId="0" borderId="59" applyNumberFormat="0" applyFont="1" applyFill="0" applyBorder="1" applyAlignment="1" applyProtection="0">
      <alignment vertical="bottom"/>
    </xf>
    <xf numFmtId="0" fontId="0" borderId="60" applyNumberFormat="0" applyFont="1" applyFill="0" applyBorder="1" applyAlignment="1" applyProtection="0">
      <alignment vertical="bottom"/>
    </xf>
    <xf numFmtId="0" fontId="0" borderId="61" applyNumberFormat="0" applyFont="1" applyFill="0" applyBorder="1" applyAlignment="1" applyProtection="0">
      <alignment vertical="bottom"/>
    </xf>
    <xf numFmtId="0" fontId="0" borderId="58" applyNumberFormat="0" applyFont="1" applyFill="0" applyBorder="1" applyAlignment="1" applyProtection="0">
      <alignment vertical="bottom"/>
    </xf>
    <xf numFmtId="0" fontId="0" borderId="52" applyNumberFormat="0" applyFont="1" applyFill="0" applyBorder="1" applyAlignment="1" applyProtection="0">
      <alignment vertical="bottom"/>
    </xf>
    <xf numFmtId="0" fontId="0" borderId="62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1" fontId="0" fillId="2" borderId="40" applyNumberFormat="1" applyFont="1" applyFill="1" applyBorder="1" applyAlignment="1" applyProtection="0">
      <alignment vertical="bottom" wrapText="1"/>
    </xf>
    <xf numFmtId="49" fontId="5" fillId="2" borderId="29" applyNumberFormat="1" applyFont="1" applyFill="1" applyBorder="1" applyAlignment="1" applyProtection="0">
      <alignment vertical="bottom" wrapText="1"/>
    </xf>
    <xf numFmtId="49" fontId="5" fillId="2" borderId="43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1" fontId="5" fillId="2" borderId="29" applyNumberFormat="1" applyFont="1" applyFill="1" applyBorder="1" applyAlignment="1" applyProtection="0">
      <alignment vertical="bottom" wrapText="1"/>
    </xf>
    <xf numFmtId="1" fontId="0" borderId="39" applyNumberFormat="1" applyFont="1" applyFill="0" applyBorder="1" applyAlignment="1" applyProtection="0">
      <alignment vertical="bottom"/>
    </xf>
    <xf numFmtId="1" fontId="0" fillId="2" borderId="28" applyNumberFormat="1" applyFont="1" applyFill="1" applyBorder="1" applyAlignment="1" applyProtection="0">
      <alignment vertical="bottom" wrapText="1"/>
    </xf>
    <xf numFmtId="1" fontId="0" fillId="2" borderId="29" applyNumberFormat="1" applyFont="1" applyFill="1" applyBorder="1" applyAlignment="1" applyProtection="0">
      <alignment vertical="bottom" wrapText="1"/>
    </xf>
    <xf numFmtId="49" fontId="5" fillId="2" borderId="32" applyNumberFormat="1" applyFont="1" applyFill="1" applyBorder="1" applyAlignment="1" applyProtection="0">
      <alignment vertical="bottom" wrapText="1"/>
    </xf>
    <xf numFmtId="0" fontId="5" fillId="2" borderId="34" applyNumberFormat="1" applyFont="1" applyFill="1" applyBorder="1" applyAlignment="1" applyProtection="0">
      <alignment vertical="bottom" wrapText="1"/>
    </xf>
    <xf numFmtId="0" fontId="5" fillId="2" borderId="33" applyNumberFormat="1" applyFont="1" applyFill="1" applyBorder="1" applyAlignment="1" applyProtection="0">
      <alignment vertical="bottom" wrapText="1"/>
    </xf>
    <xf numFmtId="49" fontId="5" fillId="2" borderId="50" applyNumberFormat="1" applyFont="1" applyFill="1" applyBorder="1" applyAlignment="1" applyProtection="0">
      <alignment vertical="bottom" wrapText="1"/>
    </xf>
    <xf numFmtId="1" fontId="5" fillId="2" borderId="1" applyNumberFormat="1" applyFont="1" applyFill="1" applyBorder="1" applyAlignment="1" applyProtection="0">
      <alignment vertical="bottom" wrapText="1"/>
    </xf>
    <xf numFmtId="49" fontId="5" fillId="2" borderId="1" applyNumberFormat="1" applyFont="1" applyFill="1" applyBorder="1" applyAlignment="1" applyProtection="0">
      <alignment vertical="bottom" wrapText="1"/>
    </xf>
    <xf numFmtId="1" fontId="5" fillId="2" borderId="51" applyNumberFormat="1" applyFont="1" applyFill="1" applyBorder="1" applyAlignment="1" applyProtection="0">
      <alignment vertical="bottom" wrapText="1"/>
    </xf>
    <xf numFmtId="1" fontId="0" fillId="2" borderId="50" applyNumberFormat="1" applyFont="1" applyFill="1" applyBorder="1" applyAlignment="1" applyProtection="0">
      <alignment vertical="bottom" wrapText="1"/>
    </xf>
    <xf numFmtId="1" fontId="0" fillId="2" borderId="51" applyNumberFormat="1" applyFont="1" applyFill="1" applyBorder="1" applyAlignment="1" applyProtection="0">
      <alignment vertical="bottom" wrapText="1"/>
    </xf>
    <xf numFmtId="49" fontId="5" fillId="4" borderId="53" applyNumberFormat="1" applyFont="1" applyFill="1" applyBorder="1" applyAlignment="1" applyProtection="0">
      <alignment vertical="bottom" wrapText="1"/>
    </xf>
    <xf numFmtId="1" fontId="5" fillId="4" borderId="3" applyNumberFormat="1" applyFont="1" applyFill="1" applyBorder="1" applyAlignment="1" applyProtection="0">
      <alignment vertical="bottom" wrapText="1"/>
    </xf>
    <xf numFmtId="49" fontId="5" fillId="4" borderId="3" applyNumberFormat="1" applyFont="1" applyFill="1" applyBorder="1" applyAlignment="1" applyProtection="0">
      <alignment vertical="bottom" wrapText="1"/>
    </xf>
    <xf numFmtId="1" fontId="5" fillId="4" borderId="54" applyNumberFormat="1" applyFont="1" applyFill="1" applyBorder="1" applyAlignment="1" applyProtection="0">
      <alignment vertical="bottom" wrapText="1"/>
    </xf>
    <xf numFmtId="1" fontId="0" borderId="52" applyNumberFormat="1" applyFont="1" applyFill="0" applyBorder="1" applyAlignment="1" applyProtection="0">
      <alignment vertical="bottom"/>
    </xf>
    <xf numFmtId="1" fontId="0" borderId="53" applyNumberFormat="1" applyFont="1" applyFill="0" applyBorder="1" applyAlignment="1" applyProtection="0">
      <alignment vertical="bottom"/>
    </xf>
    <xf numFmtId="1" fontId="0" borderId="3" applyNumberFormat="1" applyFont="1" applyFill="0" applyBorder="1" applyAlignment="1" applyProtection="0">
      <alignment vertical="bottom"/>
    </xf>
    <xf numFmtId="1" fontId="0" borderId="54" applyNumberFormat="1" applyFont="1" applyFill="0" applyBorder="1" applyAlignment="1" applyProtection="0">
      <alignment vertical="bottom"/>
    </xf>
    <xf numFmtId="1" fontId="0" fillId="4" borderId="53" applyNumberFormat="1" applyFont="1" applyFill="1" applyBorder="1" applyAlignment="1" applyProtection="0">
      <alignment vertical="bottom" wrapText="1"/>
    </xf>
    <xf numFmtId="1" fontId="0" fillId="4" borderId="54" applyNumberFormat="1" applyFont="1" applyFill="1" applyBorder="1" applyAlignment="1" applyProtection="0">
      <alignment vertical="bottom" wrapText="1"/>
    </xf>
    <xf numFmtId="1" fontId="0" fillId="4" borderId="12" applyNumberFormat="1" applyFont="1" applyFill="1" applyBorder="1" applyAlignment="1" applyProtection="0">
      <alignment vertical="bottom" wrapText="1"/>
    </xf>
    <xf numFmtId="1" fontId="0" borderId="4" applyNumberFormat="1" applyFont="1" applyFill="0" applyBorder="1" applyAlignment="1" applyProtection="0">
      <alignment vertical="bottom"/>
    </xf>
    <xf numFmtId="49" fontId="5" fillId="2" borderId="56" applyNumberFormat="1" applyFont="1" applyFill="1" applyBorder="1" applyAlignment="1" applyProtection="0">
      <alignment vertical="bottom" wrapText="1"/>
    </xf>
    <xf numFmtId="1" fontId="5" fillId="2" borderId="6" applyNumberFormat="1" applyFont="1" applyFill="1" applyBorder="1" applyAlignment="1" applyProtection="0">
      <alignment vertical="bottom" wrapText="1"/>
    </xf>
    <xf numFmtId="49" fontId="5" fillId="2" borderId="6" applyNumberFormat="1" applyFont="1" applyFill="1" applyBorder="1" applyAlignment="1" applyProtection="0">
      <alignment vertical="bottom" wrapText="1"/>
    </xf>
    <xf numFmtId="1" fontId="5" fillId="2" borderId="57" applyNumberFormat="1" applyFont="1" applyFill="1" applyBorder="1" applyAlignment="1" applyProtection="0">
      <alignment vertical="bottom" wrapText="1"/>
    </xf>
    <xf numFmtId="1" fontId="0" borderId="55" applyNumberFormat="1" applyFont="1" applyFill="0" applyBorder="1" applyAlignment="1" applyProtection="0">
      <alignment vertical="bottom"/>
    </xf>
    <xf numFmtId="1" fontId="0" borderId="6" applyNumberFormat="1" applyFont="1" applyFill="0" applyBorder="1" applyAlignment="1" applyProtection="0">
      <alignment vertical="bottom"/>
    </xf>
    <xf numFmtId="1" fontId="0" fillId="2" borderId="56" applyNumberFormat="1" applyFont="1" applyFill="1" applyBorder="1" applyAlignment="1" applyProtection="0">
      <alignment vertical="bottom" wrapText="1"/>
    </xf>
    <xf numFmtId="1" fontId="0" fillId="2" borderId="57" applyNumberFormat="1" applyFont="1" applyFill="1" applyBorder="1" applyAlignment="1" applyProtection="0">
      <alignment vertical="bottom" wrapText="1"/>
    </xf>
    <xf numFmtId="1" fontId="0" borderId="37" applyNumberFormat="1" applyFont="1" applyFill="0" applyBorder="1" applyAlignment="1" applyProtection="0">
      <alignment vertical="bottom"/>
    </xf>
    <xf numFmtId="1" fontId="0" fillId="2" borderId="41" applyNumberFormat="1" applyFont="1" applyFill="1" applyBorder="1" applyAlignment="1" applyProtection="0">
      <alignment vertical="bottom" wrapText="1"/>
    </xf>
    <xf numFmtId="1" fontId="5" fillId="2" borderId="43" applyNumberFormat="1" applyFont="1" applyFill="1" applyBorder="1" applyAlignment="1" applyProtection="0">
      <alignment vertical="bottom" wrapText="1"/>
    </xf>
    <xf numFmtId="0" fontId="0" fillId="3" borderId="12" applyNumberFormat="1" applyFont="1" applyFill="1" applyBorder="1" applyAlignment="1" applyProtection="0">
      <alignment vertical="bottom"/>
    </xf>
    <xf numFmtId="1" fontId="5" fillId="2" borderId="50" applyNumberFormat="1" applyFont="1" applyFill="1" applyBorder="1" applyAlignment="1" applyProtection="0">
      <alignment vertical="bottom" wrapText="1"/>
    </xf>
    <xf numFmtId="1" fontId="5" fillId="4" borderId="63" applyNumberFormat="1" applyFont="1" applyFill="1" applyBorder="1" applyAlignment="1" applyProtection="0">
      <alignment vertical="bottom" wrapText="1"/>
    </xf>
    <xf numFmtId="49" fontId="5" fillId="4" borderId="54" applyNumberFormat="1" applyFont="1" applyFill="1" applyBorder="1" applyAlignment="1" applyProtection="0">
      <alignment vertical="bottom" wrapText="1"/>
    </xf>
    <xf numFmtId="0" fontId="0" borderId="59" applyNumberFormat="1" applyFont="1" applyFill="0" applyBorder="1" applyAlignment="1" applyProtection="0">
      <alignment vertical="bottom"/>
    </xf>
    <xf numFmtId="0" fontId="0" borderId="60" applyNumberFormat="1" applyFont="1" applyFill="0" applyBorder="1" applyAlignment="1" applyProtection="0">
      <alignment vertical="bottom"/>
    </xf>
    <xf numFmtId="0" fontId="0" borderId="61" applyNumberFormat="1" applyFont="1" applyFill="0" applyBorder="1" applyAlignment="1" applyProtection="0">
      <alignment vertical="bottom"/>
    </xf>
    <xf numFmtId="49" fontId="5" fillId="2" borderId="55" applyNumberFormat="1" applyFont="1" applyFill="1" applyBorder="1" applyAlignment="1" applyProtection="0">
      <alignment vertical="bottom" wrapText="1"/>
    </xf>
    <xf numFmtId="0" fontId="0" borderId="6" applyNumberFormat="1" applyFont="1" applyFill="0" applyBorder="1" applyAlignment="1" applyProtection="0">
      <alignment vertical="bottom"/>
    </xf>
    <xf numFmtId="49" fontId="5" fillId="2" borderId="40" applyNumberFormat="1" applyFont="1" applyFill="1" applyBorder="1" applyAlignment="1" applyProtection="0">
      <alignment vertical="bottom" wrapText="1"/>
    </xf>
    <xf numFmtId="1" fontId="5" fillId="2" borderId="18" applyNumberFormat="1" applyFont="1" applyFill="1" applyBorder="1" applyAlignment="1" applyProtection="0">
      <alignment vertical="bottom" wrapText="1"/>
    </xf>
    <xf numFmtId="0" fontId="0" borderId="11" applyNumberFormat="0" applyFont="1" applyFill="0" applyBorder="1" applyAlignment="1" applyProtection="0">
      <alignment vertical="bottom"/>
    </xf>
    <xf numFmtId="49" fontId="0" borderId="64" applyNumberFormat="1" applyFont="1" applyFill="0" applyBorder="1" applyAlignment="1" applyProtection="0">
      <alignment vertical="bottom"/>
    </xf>
    <xf numFmtId="49" fontId="0" fillId="2" borderId="18" applyNumberFormat="1" applyFont="1" applyFill="1" applyBorder="1" applyAlignment="1" applyProtection="0">
      <alignment vertical="bottom" wrapText="1"/>
    </xf>
    <xf numFmtId="0" fontId="0" fillId="2" borderId="18" applyNumberFormat="0" applyFont="1" applyFill="1" applyBorder="1" applyAlignment="1" applyProtection="0">
      <alignment vertical="bottom" wrapText="1"/>
    </xf>
    <xf numFmtId="49" fontId="0" borderId="65" applyNumberFormat="1" applyFont="1" applyFill="0" applyBorder="1" applyAlignment="1" applyProtection="0">
      <alignment vertical="bottom"/>
    </xf>
    <xf numFmtId="0" fontId="0" borderId="19" applyNumberFormat="1" applyFont="1" applyFill="0" applyBorder="1" applyAlignment="1" applyProtection="0">
      <alignment vertical="bottom"/>
    </xf>
    <xf numFmtId="0" fontId="0" fillId="2" borderId="7" applyNumberFormat="0" applyFont="1" applyFill="1" applyBorder="1" applyAlignment="1" applyProtection="0">
      <alignment vertical="bottom" wrapText="1"/>
    </xf>
    <xf numFmtId="0" fontId="0" borderId="65" applyNumberFormat="1" applyFont="1" applyFill="0" applyBorder="1" applyAlignment="1" applyProtection="0">
      <alignment vertical="bottom"/>
    </xf>
    <xf numFmtId="0" fontId="0" borderId="66" applyNumberFormat="1" applyFont="1" applyFill="0" applyBorder="1" applyAlignment="1" applyProtection="0">
      <alignment vertical="bottom"/>
    </xf>
    <xf numFmtId="0" fontId="0" borderId="67" applyNumberFormat="0" applyFont="1" applyFill="0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 wrapText="1"/>
    </xf>
    <xf numFmtId="1" fontId="5" fillId="2" borderId="30" applyNumberFormat="1" applyFont="1" applyFill="1" applyBorder="1" applyAlignment="1" applyProtection="0">
      <alignment vertical="bottom" wrapText="1"/>
    </xf>
    <xf numFmtId="49" fontId="5" fillId="2" borderId="35" applyNumberFormat="1" applyFont="1" applyFill="1" applyBorder="1" applyAlignment="1" applyProtection="0">
      <alignment vertical="bottom" wrapText="1"/>
    </xf>
    <xf numFmtId="49" fontId="0" borderId="68" applyNumberFormat="1" applyFont="1" applyFill="0" applyBorder="1" applyAlignment="1" applyProtection="0">
      <alignment vertical="bottom"/>
    </xf>
    <xf numFmtId="0" fontId="0" fillId="2" borderId="13" applyNumberFormat="1" applyFont="1" applyFill="1" applyBorder="1" applyAlignment="1" applyProtection="0">
      <alignment vertical="bottom"/>
    </xf>
    <xf numFmtId="0" fontId="0" borderId="69" applyNumberFormat="1" applyFont="1" applyFill="0" applyBorder="1" applyAlignment="1" applyProtection="0">
      <alignment vertical="bottom"/>
    </xf>
    <xf numFmtId="49" fontId="0" fillId="4" borderId="3" applyNumberFormat="1" applyFont="1" applyFill="1" applyBorder="1" applyAlignment="1" applyProtection="0">
      <alignment vertical="bottom" wrapText="1"/>
    </xf>
    <xf numFmtId="0" fontId="0" fillId="4" borderId="3" applyNumberFormat="0" applyFont="1" applyFill="1" applyBorder="1" applyAlignment="1" applyProtection="0">
      <alignment vertical="bottom" wrapText="1"/>
    </xf>
    <xf numFmtId="49" fontId="0" borderId="6" applyNumberFormat="1" applyFont="1" applyFill="0" applyBorder="1" applyAlignment="1" applyProtection="0">
      <alignment vertical="bottom"/>
    </xf>
    <xf numFmtId="49" fontId="0" borderId="70" applyNumberFormat="1" applyFont="1" applyFill="0" applyBorder="1" applyAlignment="1" applyProtection="0">
      <alignment vertical="bottom"/>
    </xf>
    <xf numFmtId="0" fontId="0" borderId="71" applyNumberFormat="1" applyFont="1" applyFill="0" applyBorder="1" applyAlignment="1" applyProtection="0">
      <alignment vertical="bottom"/>
    </xf>
    <xf numFmtId="49" fontId="0" fillId="2" borderId="6" applyNumberFormat="1" applyFont="1" applyFill="1" applyBorder="1" applyAlignment="1" applyProtection="0">
      <alignment vertical="bottom" wrapText="1"/>
    </xf>
    <xf numFmtId="0" fontId="0" fillId="2" borderId="6" applyNumberFormat="0" applyFont="1" applyFill="1" applyBorder="1" applyAlignment="1" applyProtection="0">
      <alignment vertical="bottom" wrapText="1"/>
    </xf>
    <xf numFmtId="0" fontId="0" borderId="72" applyNumberFormat="1" applyFont="1" applyFill="0" applyBorder="1" applyAlignment="1" applyProtection="0">
      <alignment vertical="bottom"/>
    </xf>
    <xf numFmtId="0" fontId="0" borderId="73" applyNumberFormat="0" applyFont="1" applyFill="0" applyBorder="1" applyAlignment="1" applyProtection="0">
      <alignment vertical="bottom"/>
    </xf>
    <xf numFmtId="0" fontId="0" fillId="2" borderId="36" applyNumberFormat="0" applyFont="1" applyFill="1" applyBorder="1" applyAlignment="1" applyProtection="0">
      <alignment vertical="bottom" wrapText="1"/>
    </xf>
    <xf numFmtId="1" fontId="5" fillId="2" borderId="42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49" fontId="5" fillId="2" borderId="34" applyNumberFormat="1" applyFont="1" applyFill="1" applyBorder="1" applyAlignment="1" applyProtection="0">
      <alignment vertical="bottom" wrapText="1"/>
    </xf>
    <xf numFmtId="0" fontId="5" fillId="2" borderId="39" applyNumberFormat="1" applyFont="1" applyFill="1" applyBorder="1" applyAlignment="1" applyProtection="0">
      <alignment vertical="bottom" wrapText="1"/>
    </xf>
    <xf numFmtId="0" fontId="4" fillId="2" borderId="36" applyNumberFormat="0" applyFont="1" applyFill="1" applyBorder="1" applyAlignment="1" applyProtection="0">
      <alignment vertical="bottom" wrapText="1"/>
    </xf>
    <xf numFmtId="0" fontId="4" fillId="2" borderId="18" applyNumberFormat="0" applyFont="1" applyFill="1" applyBorder="1" applyAlignment="1" applyProtection="0">
      <alignment vertical="bottom" wrapText="1"/>
    </xf>
    <xf numFmtId="1" fontId="4" fillId="2" borderId="33" applyNumberFormat="1" applyFont="1" applyFill="1" applyBorder="1" applyAlignment="1" applyProtection="0">
      <alignment vertical="bottom" wrapText="1"/>
    </xf>
    <xf numFmtId="0" fontId="5" borderId="12" applyNumberFormat="0" applyFont="1" applyFill="0" applyBorder="1" applyAlignment="1" applyProtection="0">
      <alignment vertical="bottom"/>
    </xf>
    <xf numFmtId="0" fontId="5" fillId="2" borderId="34" applyNumberFormat="0" applyFont="1" applyFill="1" applyBorder="1" applyAlignment="1" applyProtection="0">
      <alignment vertical="bottom" wrapText="1"/>
    </xf>
    <xf numFmtId="0" fontId="5" fillId="2" borderId="7" applyNumberFormat="0" applyFont="1" applyFill="1" applyBorder="1" applyAlignment="1" applyProtection="0">
      <alignment vertical="bottom" wrapText="1"/>
    </xf>
    <xf numFmtId="0" fontId="5" fillId="2" borderId="33" applyNumberFormat="0" applyFont="1" applyFill="1" applyBorder="1" applyAlignment="1" applyProtection="0">
      <alignment vertical="bottom" wrapText="1"/>
    </xf>
    <xf numFmtId="0" fontId="8" borderId="33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borderId="34" applyNumberFormat="1" applyFont="1" applyFill="0" applyBorder="1" applyAlignment="1" applyProtection="0">
      <alignment vertical="bottom"/>
    </xf>
    <xf numFmtId="0" fontId="4" fillId="2" borderId="12" applyNumberFormat="1" applyFont="1" applyFill="1" applyBorder="1" applyAlignment="1" applyProtection="0">
      <alignment vertical="bottom" wrapText="1"/>
    </xf>
    <xf numFmtId="49" fontId="9" borderId="12" applyNumberFormat="1" applyFont="1" applyFill="0" applyBorder="1" applyAlignment="1" applyProtection="0">
      <alignment vertical="bottom"/>
    </xf>
    <xf numFmtId="0" fontId="0" borderId="74" applyNumberFormat="0" applyFont="1" applyFill="0" applyBorder="1" applyAlignment="1" applyProtection="0">
      <alignment vertical="bottom"/>
    </xf>
    <xf numFmtId="49" fontId="0" borderId="75" applyNumberFormat="1" applyFont="1" applyFill="0" applyBorder="1" applyAlignment="1" applyProtection="0">
      <alignment vertical="bottom"/>
    </xf>
    <xf numFmtId="49" fontId="0" borderId="58" applyNumberFormat="1" applyFont="1" applyFill="0" applyBorder="1" applyAlignment="1" applyProtection="0">
      <alignment vertical="bottom"/>
    </xf>
    <xf numFmtId="49" fontId="0" borderId="76" applyNumberFormat="1" applyFont="1" applyFill="0" applyBorder="1" applyAlignment="1" applyProtection="0">
      <alignment vertical="bottom"/>
    </xf>
    <xf numFmtId="0" fontId="0" borderId="53" applyNumberFormat="1" applyFont="1" applyFill="0" applyBorder="1" applyAlignment="1" applyProtection="0">
      <alignment vertical="bottom"/>
    </xf>
    <xf numFmtId="49" fontId="0" borderId="52" applyNumberFormat="1" applyFont="1" applyFill="0" applyBorder="1" applyAlignment="1" applyProtection="0">
      <alignment vertical="bottom"/>
    </xf>
    <xf numFmtId="49" fontId="0" borderId="54" applyNumberFormat="1" applyFont="1" applyFill="0" applyBorder="1" applyAlignment="1" applyProtection="0">
      <alignment vertical="bottom"/>
    </xf>
    <xf numFmtId="0" fontId="0" borderId="56" applyNumberFormat="1" applyFont="1" applyFill="0" applyBorder="1" applyAlignment="1" applyProtection="0">
      <alignment vertical="bottom"/>
    </xf>
    <xf numFmtId="49" fontId="0" borderId="55" applyNumberFormat="1" applyFont="1" applyFill="0" applyBorder="1" applyAlignment="1" applyProtection="0">
      <alignment vertical="bottom"/>
    </xf>
    <xf numFmtId="49" fontId="0" borderId="57" applyNumberFormat="1" applyFont="1" applyFill="0" applyBorder="1" applyAlignment="1" applyProtection="0">
      <alignment vertical="bottom"/>
    </xf>
    <xf numFmtId="0" fontId="0" borderId="1" applyNumberFormat="1" applyFont="1" applyFill="0" applyBorder="1" applyAlignment="1" applyProtection="0">
      <alignment vertical="bottom"/>
    </xf>
    <xf numFmtId="0" fontId="0" fillId="2" borderId="35" applyNumberFormat="1" applyFont="1" applyFill="1" applyBorder="1" applyAlignment="1" applyProtection="0">
      <alignment vertical="bottom"/>
    </xf>
    <xf numFmtId="0" fontId="0" borderId="77" applyNumberFormat="0" applyFont="1" applyFill="0" applyBorder="1" applyAlignment="1" applyProtection="0">
      <alignment vertical="bottom"/>
    </xf>
    <xf numFmtId="49" fontId="0" borderId="10" applyNumberFormat="1" applyFont="1" applyFill="0" applyBorder="1" applyAlignment="1" applyProtection="0">
      <alignment vertical="bottom"/>
    </xf>
    <xf numFmtId="0" fontId="0" borderId="78" applyNumberFormat="0" applyFont="1" applyFill="0" applyBorder="1" applyAlignment="1" applyProtection="0">
      <alignment vertical="bottom"/>
    </xf>
    <xf numFmtId="49" fontId="0" borderId="31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34" applyNumberFormat="1" applyFont="1" applyFill="0" applyBorder="1" applyAlignment="1" applyProtection="0">
      <alignment vertical="bottom"/>
    </xf>
    <xf numFmtId="49" fontId="0" borderId="41" applyNumberFormat="1" applyFont="1" applyFill="0" applyBorder="1" applyAlignment="1" applyProtection="0">
      <alignment vertical="bottom"/>
    </xf>
    <xf numFmtId="49" fontId="0" borderId="33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49" applyNumberFormat="1" applyFont="1" applyFill="0" applyBorder="1" applyAlignment="1" applyProtection="0">
      <alignment vertical="bottom"/>
    </xf>
    <xf numFmtId="0" fontId="0" fillId="2" borderId="12" applyNumberFormat="1" applyFont="1" applyFill="1" applyBorder="1" applyAlignment="1" applyProtection="0">
      <alignment vertical="bottom"/>
    </xf>
    <xf numFmtId="0" fontId="0" fillId="4" borderId="12" applyNumberFormat="0" applyFont="1" applyFill="1" applyBorder="1" applyAlignment="1" applyProtection="0">
      <alignment vertical="bottom" wrapText="1"/>
    </xf>
    <xf numFmtId="49" fontId="9" borderId="7" applyNumberFormat="1" applyFont="1" applyFill="0" applyBorder="1" applyAlignment="1" applyProtection="0">
      <alignment vertical="bottom"/>
    </xf>
    <xf numFmtId="0" fontId="9" borderId="7" applyNumberFormat="1" applyFont="1" applyFill="0" applyBorder="1" applyAlignment="1" applyProtection="0">
      <alignment vertical="bottom"/>
    </xf>
    <xf numFmtId="0" fontId="9" borderId="7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2" applyNumberFormat="1" applyFont="1" applyFill="1" applyBorder="1" applyAlignment="1" applyProtection="0">
      <alignment vertical="bottom"/>
    </xf>
    <xf numFmtId="0" fontId="0" fillId="2" borderId="12" applyNumberFormat="0" applyFont="1" applyFill="1" applyBorder="1" applyAlignment="1" applyProtection="0">
      <alignment vertical="bottom"/>
    </xf>
    <xf numFmtId="1" fontId="0" borderId="58" applyNumberFormat="1" applyFont="1" applyFill="0" applyBorder="1" applyAlignment="1" applyProtection="0">
      <alignment vertical="bottom"/>
    </xf>
    <xf numFmtId="1" fontId="0" borderId="59" applyNumberFormat="1" applyFont="1" applyFill="0" applyBorder="1" applyAlignment="1" applyProtection="0">
      <alignment vertical="bottom"/>
    </xf>
    <xf numFmtId="1" fontId="0" borderId="60" applyNumberFormat="1" applyFont="1" applyFill="0" applyBorder="1" applyAlignment="1" applyProtection="0">
      <alignment vertical="bottom"/>
    </xf>
    <xf numFmtId="1" fontId="0" borderId="61" applyNumberFormat="1" applyFont="1" applyFill="0" applyBorder="1" applyAlignment="1" applyProtection="0">
      <alignment vertical="bottom"/>
    </xf>
    <xf numFmtId="1" fontId="0" borderId="62" applyNumberFormat="1" applyFont="1" applyFill="0" applyBorder="1" applyAlignment="1" applyProtection="0">
      <alignment vertical="bottom"/>
    </xf>
    <xf numFmtId="49" fontId="5" fillId="2" borderId="57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0" fontId="4" fillId="2" borderId="32" applyNumberFormat="1" applyFont="1" applyFill="1" applyBorder="1" applyAlignment="1" applyProtection="0">
      <alignment vertical="bottom" wrapText="1"/>
    </xf>
    <xf numFmtId="0" fontId="4" fillId="2" borderId="29" applyNumberFormat="0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0" fontId="4" fillId="2" borderId="29" applyNumberFormat="1" applyFont="1" applyFill="1" applyBorder="1" applyAlignment="1" applyProtection="0">
      <alignment vertical="bottom" wrapText="1"/>
    </xf>
    <xf numFmtId="0" fontId="5" fillId="2" borderId="18" applyNumberFormat="0" applyFont="1" applyFill="1" applyBorder="1" applyAlignment="1" applyProtection="0">
      <alignment vertical="bottom" wrapText="1"/>
    </xf>
    <xf numFmtId="0" fontId="5" fillId="2" borderId="1" applyNumberFormat="0" applyFont="1" applyFill="1" applyBorder="1" applyAlignment="1" applyProtection="0">
      <alignment vertical="bottom" wrapText="1"/>
    </xf>
    <xf numFmtId="0" fontId="5" fillId="4" borderId="3" applyNumberFormat="0" applyFont="1" applyFill="1" applyBorder="1" applyAlignment="1" applyProtection="0">
      <alignment vertical="bottom" wrapText="1"/>
    </xf>
    <xf numFmtId="0" fontId="5" fillId="2" borderId="6" applyNumberFormat="0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49" fontId="0" borderId="60" applyNumberFormat="1" applyFont="1" applyFill="0" applyBorder="1" applyAlignment="1" applyProtection="0">
      <alignment vertical="bottom"/>
    </xf>
    <xf numFmtId="49" fontId="0" borderId="59" applyNumberFormat="1" applyFont="1" applyFill="0" applyBorder="1" applyAlignment="1" applyProtection="0">
      <alignment vertical="bottom"/>
    </xf>
    <xf numFmtId="49" fontId="0" borderId="56" applyNumberFormat="1" applyFont="1" applyFill="0" applyBorder="1" applyAlignment="1" applyProtection="0">
      <alignment vertical="bottom"/>
    </xf>
    <xf numFmtId="49" fontId="0" borderId="50" applyNumberFormat="1" applyFont="1" applyFill="0" applyBorder="1" applyAlignment="1" applyProtection="0">
      <alignment vertical="bottom"/>
    </xf>
    <xf numFmtId="49" fontId="0" borderId="53" applyNumberFormat="1" applyFont="1" applyFill="0" applyBorder="1" applyAlignment="1" applyProtection="0">
      <alignment vertical="bottom"/>
    </xf>
    <xf numFmtId="0" fontId="0" borderId="54" applyNumberFormat="1" applyFont="1" applyFill="0" applyBorder="1" applyAlignment="1" applyProtection="0">
      <alignment vertical="bottom"/>
    </xf>
    <xf numFmtId="0" fontId="5" fillId="4" borderId="12" applyNumberFormat="0" applyFont="1" applyFill="1" applyBorder="1" applyAlignment="1" applyProtection="0">
      <alignment vertical="bottom" wrapText="1"/>
    </xf>
    <xf numFmtId="0" fontId="0" borderId="11" applyNumberFormat="1" applyFont="1" applyFill="0" applyBorder="1" applyAlignment="1" applyProtection="0">
      <alignment vertical="bottom"/>
    </xf>
    <xf numFmtId="49" fontId="0" borderId="79" applyNumberFormat="1" applyFont="1" applyFill="0" applyBorder="1" applyAlignment="1" applyProtection="0">
      <alignment vertical="bottom"/>
    </xf>
    <xf numFmtId="49" fontId="0" borderId="21" applyNumberFormat="1" applyFont="1" applyFill="0" applyBorder="1" applyAlignment="1" applyProtection="0">
      <alignment vertical="bottom"/>
    </xf>
    <xf numFmtId="1" fontId="0" borderId="41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80" applyNumberFormat="1" applyFont="1" applyFill="0" applyBorder="1" applyAlignment="1" applyProtection="0">
      <alignment vertical="bottom"/>
    </xf>
    <xf numFmtId="49" fontId="0" borderId="81" applyNumberFormat="1" applyFont="1" applyFill="0" applyBorder="1" applyAlignment="1" applyProtection="0">
      <alignment vertical="bottom"/>
    </xf>
    <xf numFmtId="49" fontId="5" borderId="12" applyNumberFormat="1" applyFont="1" applyFill="0" applyBorder="1" applyAlignment="1" applyProtection="0">
      <alignment vertical="bottom"/>
    </xf>
    <xf numFmtId="49" fontId="0" borderId="82" applyNumberFormat="1" applyFont="1" applyFill="0" applyBorder="1" applyAlignment="1" applyProtection="0">
      <alignment vertical="bottom"/>
    </xf>
    <xf numFmtId="49" fontId="0" borderId="83" applyNumberFormat="1" applyFont="1" applyFill="0" applyBorder="1" applyAlignment="1" applyProtection="0">
      <alignment vertical="bottom"/>
    </xf>
    <xf numFmtId="49" fontId="0" borderId="84" applyNumberFormat="1" applyFont="1" applyFill="0" applyBorder="1" applyAlignment="1" applyProtection="0">
      <alignment vertical="bottom"/>
    </xf>
    <xf numFmtId="49" fontId="0" borderId="85" applyNumberFormat="1" applyFont="1" applyFill="0" applyBorder="1" applyAlignment="1" applyProtection="0">
      <alignment vertical="bottom"/>
    </xf>
    <xf numFmtId="0" fontId="4" borderId="11" applyNumberFormat="0" applyFont="1" applyFill="0" applyBorder="1" applyAlignment="1" applyProtection="0">
      <alignment vertical="bottom"/>
    </xf>
    <xf numFmtId="0" fontId="4" fillId="2" borderId="11" applyNumberFormat="0" applyFont="1" applyFill="1" applyBorder="1" applyAlignment="1" applyProtection="0">
      <alignment vertical="bottom" wrapText="1"/>
    </xf>
    <xf numFmtId="0" fontId="0" borderId="86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87" applyNumberFormat="1" applyFont="1" applyFill="0" applyBorder="1" applyAlignment="1" applyProtection="0">
      <alignment vertical="bottom"/>
    </xf>
    <xf numFmtId="49" fontId="0" borderId="88" applyNumberFormat="1" applyFont="1" applyFill="0" applyBorder="1" applyAlignment="1" applyProtection="0">
      <alignment vertical="bottom"/>
    </xf>
    <xf numFmtId="0" fontId="0" borderId="89" applyNumberFormat="1" applyFont="1" applyFill="0" applyBorder="1" applyAlignment="1" applyProtection="0">
      <alignment vertical="bottom"/>
    </xf>
    <xf numFmtId="49" fontId="0" borderId="61" applyNumberFormat="1" applyFont="1" applyFill="0" applyBorder="1" applyAlignment="1" applyProtection="0">
      <alignment vertical="bottom"/>
    </xf>
    <xf numFmtId="1" fontId="5" fillId="2" borderId="8" applyNumberFormat="1" applyFont="1" applyFill="1" applyBorder="1" applyAlignment="1" applyProtection="0">
      <alignment vertical="bottom" wrapText="1"/>
    </xf>
    <xf numFmtId="49" fontId="0" fillId="4" borderId="12" applyNumberFormat="1" applyFont="1" applyFill="1" applyBorder="1" applyAlignment="1" applyProtection="0">
      <alignment vertical="bottom"/>
    </xf>
    <xf numFmtId="49" fontId="0" borderId="51" applyNumberFormat="1" applyFont="1" applyFill="0" applyBorder="1" applyAlignment="1" applyProtection="0">
      <alignment vertical="bottom"/>
    </xf>
    <xf numFmtId="1" fontId="0" borderId="43" applyNumberFormat="1" applyFont="1" applyFill="0" applyBorder="1" applyAlignment="1" applyProtection="0">
      <alignment vertical="bottom"/>
    </xf>
    <xf numFmtId="49" fontId="0" borderId="90" applyNumberFormat="1" applyFont="1" applyFill="0" applyBorder="1" applyAlignment="1" applyProtection="0">
      <alignment vertical="bottom"/>
    </xf>
    <xf numFmtId="1" fontId="0" borderId="7" applyNumberFormat="1" applyFont="1" applyFill="0" applyBorder="1" applyAlignment="1" applyProtection="0">
      <alignment horizontal="left"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borderId="91" applyNumberFormat="0" applyFont="1" applyFill="0" applyBorder="1" applyAlignment="1" applyProtection="0">
      <alignment vertical="bottom"/>
    </xf>
    <xf numFmtId="0" fontId="0" borderId="91" applyNumberFormat="1" applyFont="1" applyFill="0" applyBorder="1" applyAlignment="1" applyProtection="0">
      <alignment vertical="bottom"/>
    </xf>
    <xf numFmtId="49" fontId="0" borderId="91" applyNumberFormat="1" applyFont="1" applyFill="0" applyBorder="1" applyAlignment="1" applyProtection="0">
      <alignment vertical="bottom"/>
    </xf>
    <xf numFmtId="1" fontId="0" borderId="91" applyNumberFormat="1" applyFont="1" applyFill="0" applyBorder="1" applyAlignment="1" applyProtection="0">
      <alignment vertical="bottom"/>
    </xf>
    <xf numFmtId="0" fontId="0" borderId="92" applyNumberFormat="0" applyFont="1" applyFill="0" applyBorder="1" applyAlignment="1" applyProtection="0">
      <alignment vertical="bottom"/>
    </xf>
    <xf numFmtId="49" fontId="0" borderId="93" applyNumberFormat="1" applyFont="1" applyFill="0" applyBorder="1" applyAlignment="1" applyProtection="0">
      <alignment vertical="bottom"/>
    </xf>
    <xf numFmtId="49" fontId="0" borderId="92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4" fillId="2" borderId="32" applyNumberFormat="1" applyFont="1" applyFill="1" applyBorder="1" applyAlignment="1" applyProtection="0">
      <alignment vertical="bottom" wrapText="1"/>
    </xf>
    <xf numFmtId="0" fontId="4" fillId="2" borderId="36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10" borderId="12" applyNumberFormat="1" applyFont="1" applyFill="0" applyBorder="1" applyAlignment="1" applyProtection="0">
      <alignment vertical="bottom"/>
    </xf>
    <xf numFmtId="1" fontId="4" fillId="2" borderId="12" applyNumberFormat="1" applyFont="1" applyFill="1" applyBorder="1" applyAlignment="1" applyProtection="0">
      <alignment vertical="bottom" wrapText="1"/>
    </xf>
    <xf numFmtId="0" fontId="4" fillId="2" borderId="41" applyNumberFormat="1" applyFont="1" applyFill="1" applyBorder="1" applyAlignment="1" applyProtection="0">
      <alignment vertical="bottom" wrapText="1"/>
    </xf>
    <xf numFmtId="1" fontId="4" fillId="2" borderId="34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49" fontId="0" borderId="94" applyNumberFormat="1" applyFont="1" applyFill="0" applyBorder="1" applyAlignment="1" applyProtection="0">
      <alignment vertical="bottom"/>
    </xf>
    <xf numFmtId="0" fontId="0" borderId="94" applyNumberFormat="1" applyFont="1" applyFill="0" applyBorder="1" applyAlignment="1" applyProtection="0">
      <alignment vertical="bottom"/>
    </xf>
    <xf numFmtId="49" fontId="0" fillId="4" borderId="12" applyNumberFormat="1" applyFont="1" applyFill="1" applyBorder="1" applyAlignment="1" applyProtection="0">
      <alignment vertical="bottom" wrapText="1"/>
    </xf>
    <xf numFmtId="1" fontId="4" fillId="2" borderId="12" applyNumberFormat="1" applyFont="1" applyFill="1" applyBorder="1" applyAlignment="1" applyProtection="0">
      <alignment horizontal="left" vertical="bottom" wrapText="1"/>
    </xf>
    <xf numFmtId="0" fontId="0" applyNumberFormat="1" applyFont="1" applyFill="0" applyBorder="0" applyAlignment="1" applyProtection="0">
      <alignment vertical="bottom"/>
    </xf>
    <xf numFmtId="0" fontId="0" borderId="75" applyNumberFormat="0" applyFont="1" applyFill="0" applyBorder="1" applyAlignment="1" applyProtection="0">
      <alignment vertical="bottom"/>
    </xf>
    <xf numFmtId="0" fontId="0" borderId="76" applyNumberFormat="0" applyFont="1" applyFill="0" applyBorder="1" applyAlignment="1" applyProtection="0">
      <alignment vertical="bottom"/>
    </xf>
    <xf numFmtId="49" fontId="11" fillId="2" borderId="32" applyNumberFormat="1" applyFont="1" applyFill="1" applyBorder="1" applyAlignment="1" applyProtection="0">
      <alignment vertical="center"/>
    </xf>
    <xf numFmtId="49" fontId="11" fillId="2" borderId="7" applyNumberFormat="1" applyFont="1" applyFill="1" applyBorder="1" applyAlignment="1" applyProtection="0">
      <alignment vertical="center"/>
    </xf>
    <xf numFmtId="49" fontId="11" fillId="2" borderId="36" applyNumberFormat="1" applyFont="1" applyFill="1" applyBorder="1" applyAlignment="1" applyProtection="0">
      <alignment vertical="center"/>
    </xf>
    <xf numFmtId="0" fontId="0" fillId="2" borderId="37" applyNumberFormat="0" applyFont="1" applyFill="1" applyBorder="1" applyAlignment="1" applyProtection="0">
      <alignment vertical="bottom" wrapText="1"/>
    </xf>
    <xf numFmtId="0" fontId="5" fillId="2" borderId="32" applyNumberFormat="0" applyFont="1" applyFill="1" applyBorder="1" applyAlignment="1" applyProtection="0">
      <alignment vertical="bottom" wrapText="1"/>
    </xf>
    <xf numFmtId="0" fontId="5" fillId="2" borderId="36" applyNumberFormat="0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0" fontId="4" fillId="2" borderId="37" applyNumberFormat="0" applyFont="1" applyFill="1" applyBorder="1" applyAlignment="1" applyProtection="0">
      <alignment vertical="bottom" wrapText="1"/>
    </xf>
    <xf numFmtId="0" fontId="0" borderId="51" applyNumberFormat="1" applyFont="1" applyFill="0" applyBorder="1" applyAlignment="1" applyProtection="0">
      <alignment vertical="bottom"/>
    </xf>
    <xf numFmtId="49" fontId="0" borderId="77" applyNumberFormat="1" applyFont="1" applyFill="0" applyBorder="1" applyAlignment="1" applyProtection="0">
      <alignment vertical="bottom"/>
    </xf>
    <xf numFmtId="49" fontId="0" fillId="4" borderId="3" applyNumberFormat="1" applyFont="1" applyFill="1" applyBorder="1" applyAlignment="1" applyProtection="0">
      <alignment vertical="bottom"/>
    </xf>
    <xf numFmtId="0" fontId="0" fillId="4" borderId="3" applyNumberFormat="0" applyFont="1" applyFill="1" applyBorder="1" applyAlignment="1" applyProtection="0">
      <alignment vertical="bottom"/>
    </xf>
    <xf numFmtId="49" fontId="0" borderId="78" applyNumberFormat="1" applyFont="1" applyFill="0" applyBorder="1" applyAlignment="1" applyProtection="0">
      <alignment vertical="bottom"/>
    </xf>
    <xf numFmtId="49" fontId="0" fillId="4" borderId="63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fillId="2" borderId="33" applyNumberFormat="1" applyFont="1" applyFill="1" applyBorder="1" applyAlignment="1" applyProtection="0">
      <alignment vertical="bottom" wrapText="1"/>
    </xf>
    <xf numFmtId="1" fontId="0" borderId="12" applyNumberFormat="1" applyFont="1" applyFill="0" applyBorder="1" applyAlignment="1" applyProtection="0">
      <alignment horizontal="left" vertical="bottom"/>
    </xf>
    <xf numFmtId="49" fontId="4" fillId="2" borderId="36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49" fontId="4" borderId="12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4" fillId="2" borderId="33" applyNumberFormat="1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borderId="8" applyNumberFormat="1" applyFont="1" applyFill="0" applyBorder="1" applyAlignment="1" applyProtection="0">
      <alignment vertical="bottom"/>
    </xf>
    <xf numFmtId="0" fontId="0" fillId="4" borderId="3" applyNumberFormat="1" applyFont="1" applyFill="1" applyBorder="1" applyAlignment="1" applyProtection="0">
      <alignment vertical="bottom"/>
    </xf>
    <xf numFmtId="0" fontId="0" borderId="30" applyNumberFormat="1" applyFont="1" applyFill="0" applyBorder="1" applyAlignment="1" applyProtection="0">
      <alignment vertical="bottom"/>
    </xf>
    <xf numFmtId="0" fontId="9" borderId="28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9" borderId="12" applyNumberFormat="0" applyFont="1" applyFill="0" applyBorder="1" applyAlignment="1" applyProtection="0">
      <alignment vertical="bottom"/>
    </xf>
    <xf numFmtId="0" fontId="0" fillId="4" borderId="12" applyNumberFormat="1" applyFont="1" applyFill="1" applyBorder="1" applyAlignment="1" applyProtection="0">
      <alignment vertical="bottom" wrapText="1"/>
    </xf>
    <xf numFmtId="49" fontId="12" borderId="53" applyNumberFormat="1" applyFont="1" applyFill="0" applyBorder="1" applyAlignment="1" applyProtection="0">
      <alignment vertical="bottom"/>
    </xf>
    <xf numFmtId="0" fontId="12" borderId="28" applyNumberFormat="0" applyFont="1" applyFill="0" applyBorder="1" applyAlignment="1" applyProtection="0">
      <alignment vertical="bottom"/>
    </xf>
    <xf numFmtId="0" fontId="12" borderId="53" applyNumberFormat="1" applyFont="1" applyFill="0" applyBorder="1" applyAlignment="1" applyProtection="0">
      <alignment vertical="bottom"/>
    </xf>
    <xf numFmtId="0" fontId="12" borderId="7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95" applyNumberFormat="1" applyFont="1" applyFill="0" applyBorder="1" applyAlignment="1" applyProtection="0">
      <alignment vertical="bottom"/>
    </xf>
    <xf numFmtId="49" fontId="3" borderId="13" applyNumberFormat="1" applyFont="1" applyFill="0" applyBorder="1" applyAlignment="1" applyProtection="0">
      <alignment vertical="bottom"/>
    </xf>
    <xf numFmtId="49" fontId="3" fillId="2" borderId="13" applyNumberFormat="1" applyFont="1" applyFill="1" applyBorder="1" applyAlignment="1" applyProtection="0">
      <alignment vertical="bottom" wrapText="1"/>
    </xf>
    <xf numFmtId="49" fontId="0" borderId="15" applyNumberFormat="1" applyFont="1" applyFill="0" applyBorder="1" applyAlignment="1" applyProtection="0">
      <alignment vertical="bottom"/>
    </xf>
    <xf numFmtId="49" fontId="0" fillId="2" borderId="95" applyNumberFormat="1" applyFont="1" applyFill="1" applyBorder="1" applyAlignment="1" applyProtection="0">
      <alignment vertical="bottom" wrapText="1"/>
    </xf>
    <xf numFmtId="49" fontId="0" fillId="2" borderId="15" applyNumberFormat="1" applyFont="1" applyFill="1" applyBorder="1" applyAlignment="1" applyProtection="0">
      <alignment vertical="bottom" wrapText="1"/>
    </xf>
    <xf numFmtId="0" fontId="0" borderId="96" applyNumberFormat="1" applyFont="1" applyFill="0" applyBorder="1" applyAlignment="1" applyProtection="0">
      <alignment vertical="bottom"/>
    </xf>
    <xf numFmtId="49" fontId="0" borderId="96" applyNumberFormat="1" applyFont="1" applyFill="0" applyBorder="1" applyAlignment="1" applyProtection="0">
      <alignment vertical="bottom"/>
    </xf>
    <xf numFmtId="0" fontId="0" borderId="97" applyNumberFormat="1" applyFont="1" applyFill="0" applyBorder="1" applyAlignment="1" applyProtection="0">
      <alignment vertical="bottom"/>
    </xf>
    <xf numFmtId="49" fontId="0" borderId="97" applyNumberFormat="1" applyFont="1" applyFill="0" applyBorder="1" applyAlignment="1" applyProtection="0">
      <alignment vertical="bottom"/>
    </xf>
    <xf numFmtId="0" fontId="0" borderId="97" applyNumberFormat="0" applyFont="1" applyFill="0" applyBorder="1" applyAlignment="1" applyProtection="0">
      <alignment vertical="bottom"/>
    </xf>
    <xf numFmtId="49" fontId="0" borderId="17" applyNumberFormat="1" applyFont="1" applyFill="0" applyBorder="1" applyAlignment="1" applyProtection="0">
      <alignment vertical="bottom"/>
    </xf>
    <xf numFmtId="49" fontId="0" borderId="19" applyNumberFormat="1" applyFont="1" applyFill="0" applyBorder="1" applyAlignment="1" applyProtection="0">
      <alignment vertical="bottom"/>
    </xf>
    <xf numFmtId="0" fontId="0" fillId="2" borderId="96" applyNumberFormat="0" applyFont="1" applyFill="1" applyBorder="1" applyAlignment="1" applyProtection="0">
      <alignment vertical="bottom" wrapText="1"/>
    </xf>
    <xf numFmtId="0" fontId="0" borderId="98" applyNumberFormat="0" applyFont="1" applyFill="0" applyBorder="1" applyAlignment="1" applyProtection="0">
      <alignment vertical="bottom"/>
    </xf>
    <xf numFmtId="0" fontId="0" borderId="99" applyNumberFormat="0" applyFont="1" applyFill="0" applyBorder="1" applyAlignment="1" applyProtection="0">
      <alignment vertical="bottom"/>
    </xf>
    <xf numFmtId="0" fontId="0" borderId="45" applyNumberFormat="0" applyFont="1" applyFill="0" applyBorder="1" applyAlignment="1" applyProtection="0">
      <alignment vertical="bottom"/>
    </xf>
    <xf numFmtId="0" fontId="0" fillId="2" borderId="97" applyNumberFormat="0" applyFont="1" applyFill="1" applyBorder="1" applyAlignment="1" applyProtection="0">
      <alignment vertical="bottom" wrapText="1"/>
    </xf>
    <xf numFmtId="0" fontId="0" borderId="100" applyNumberFormat="0" applyFont="1" applyFill="0" applyBorder="1" applyAlignment="1" applyProtection="0">
      <alignment vertical="bottom"/>
    </xf>
    <xf numFmtId="0" fontId="0" fillId="2" borderId="27" applyNumberFormat="0" applyFont="1" applyFill="1" applyBorder="1" applyAlignment="1" applyProtection="0">
      <alignment vertical="bottom" wrapText="1"/>
    </xf>
    <xf numFmtId="0" fontId="0" borderId="65" applyNumberFormat="0" applyFont="1" applyFill="0" applyBorder="1" applyAlignment="1" applyProtection="0">
      <alignment vertical="bottom"/>
    </xf>
    <xf numFmtId="0" fontId="4" fillId="2" borderId="43" applyNumberFormat="0" applyFont="1" applyFill="1" applyBorder="1" applyAlignment="1" applyProtection="0">
      <alignment vertical="bottom" wrapText="1"/>
    </xf>
    <xf numFmtId="49" fontId="0" fillId="2" borderId="28" applyNumberFormat="1" applyFont="1" applyFill="1" applyBorder="1" applyAlignment="1" applyProtection="0">
      <alignment vertical="bottom" wrapText="1"/>
    </xf>
    <xf numFmtId="0" fontId="4" fillId="2" borderId="43" applyNumberFormat="1" applyFont="1" applyFill="1" applyBorder="1" applyAlignment="1" applyProtection="0">
      <alignment vertical="bottom" wrapText="1"/>
    </xf>
    <xf numFmtId="0" fontId="0" fillId="2" borderId="28" applyNumberFormat="0" applyFont="1" applyFill="1" applyBorder="1" applyAlignment="1" applyProtection="0">
      <alignment vertical="bottom" wrapText="1"/>
    </xf>
    <xf numFmtId="0" fontId="0" fillId="2" borderId="7" applyNumberFormat="0" applyFont="1" applyFill="1" applyBorder="1" applyAlignment="1" applyProtection="0">
      <alignment vertical="bottom"/>
    </xf>
    <xf numFmtId="0" fontId="0" fillId="2" borderId="7" applyNumberFormat="1" applyFont="1" applyFill="1" applyBorder="1" applyAlignment="1" applyProtection="0">
      <alignment vertical="bottom" wrapText="1"/>
    </xf>
    <xf numFmtId="0" fontId="0" borderId="45" applyNumberFormat="1" applyFont="1" applyFill="0" applyBorder="1" applyAlignment="1" applyProtection="0">
      <alignment vertical="bottom"/>
    </xf>
    <xf numFmtId="1" fontId="0" borderId="45" applyNumberFormat="1" applyFont="1" applyFill="0" applyBorder="1" applyAlignment="1" applyProtection="0">
      <alignment vertical="bottom"/>
    </xf>
    <xf numFmtId="0" fontId="0" fillId="2" borderId="45" applyNumberFormat="0" applyFont="1" applyFill="1" applyBorder="1" applyAlignment="1" applyProtection="0">
      <alignment vertical="bottom" wrapText="1"/>
    </xf>
    <xf numFmtId="9" fontId="0" borderId="45" applyNumberFormat="1" applyFont="1" applyFill="0" applyBorder="1" applyAlignment="1" applyProtection="0">
      <alignment vertical="bottom"/>
    </xf>
    <xf numFmtId="0" fontId="0" fillId="2" borderId="14" applyNumberFormat="0" applyFont="1" applyFill="1" applyBorder="1" applyAlignment="1" applyProtection="0">
      <alignment vertical="bottom" wrapText="1"/>
    </xf>
    <xf numFmtId="0" fontId="6" fillId="2" borderId="13" applyNumberFormat="0" applyFont="1" applyFill="1" applyBorder="1" applyAlignment="1" applyProtection="0">
      <alignment vertical="bottom"/>
    </xf>
    <xf numFmtId="49" fontId="13" borderId="13" applyNumberFormat="1" applyFont="1" applyFill="0" applyBorder="1" applyAlignment="1" applyProtection="0">
      <alignment vertical="bottom"/>
    </xf>
    <xf numFmtId="49" fontId="5" borderId="14" applyNumberFormat="1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32" applyNumberFormat="1" applyFont="1" applyFill="1" applyBorder="1" applyAlignment="1" applyProtection="0">
      <alignment vertical="bottom"/>
    </xf>
    <xf numFmtId="1" fontId="0" fillId="2" borderId="12" applyNumberFormat="1" applyFont="1" applyFill="1" applyBorder="1" applyAlignment="1" applyProtection="0">
      <alignment vertical="bottom"/>
    </xf>
    <xf numFmtId="1" fontId="0" fillId="2" borderId="33" applyNumberFormat="1" applyFont="1" applyFill="1" applyBorder="1" applyAlignment="1" applyProtection="0">
      <alignment vertical="bottom"/>
    </xf>
    <xf numFmtId="49" fontId="6" fillId="2" borderId="33" applyNumberFormat="1" applyFont="1" applyFill="1" applyBorder="1" applyAlignment="1" applyProtection="0">
      <alignment vertical="bottom"/>
    </xf>
    <xf numFmtId="49" fontId="0" fillId="2" borderId="38" applyNumberFormat="1" applyFont="1" applyFill="1" applyBorder="1" applyAlignment="1" applyProtection="0">
      <alignment vertical="bottom"/>
    </xf>
    <xf numFmtId="49" fontId="0" fillId="2" borderId="18" applyNumberFormat="1" applyFont="1" applyFill="1" applyBorder="1" applyAlignment="1" applyProtection="0">
      <alignment vertical="bottom"/>
    </xf>
    <xf numFmtId="1" fontId="0" fillId="2" borderId="39" applyNumberFormat="1" applyFont="1" applyFill="1" applyBorder="1" applyAlignment="1" applyProtection="0">
      <alignment vertical="bottom"/>
    </xf>
    <xf numFmtId="1" fontId="0" fillId="2" borderId="7" applyNumberFormat="1" applyFont="1" applyFill="1" applyBorder="1" applyAlignment="1" applyProtection="0">
      <alignment vertical="bottom"/>
    </xf>
    <xf numFmtId="1" fontId="6" fillId="2" borderId="33" applyNumberFormat="1" applyFont="1" applyFill="1" applyBorder="1" applyAlignment="1" applyProtection="0">
      <alignment vertical="bottom"/>
    </xf>
    <xf numFmtId="49" fontId="0" fillId="2" borderId="39" applyNumberFormat="1" applyFont="1" applyFill="1" applyBorder="1" applyAlignment="1" applyProtection="0">
      <alignment vertical="bottom"/>
    </xf>
    <xf numFmtId="49" fontId="0" fillId="2" borderId="28" applyNumberFormat="1" applyFont="1" applyFill="1" applyBorder="1" applyAlignment="1" applyProtection="0">
      <alignment vertical="bottom"/>
    </xf>
    <xf numFmtId="1" fontId="0" fillId="2" borderId="29" applyNumberFormat="1" applyFont="1" applyFill="1" applyBorder="1" applyAlignment="1" applyProtection="0">
      <alignment vertical="bottom"/>
    </xf>
    <xf numFmtId="49" fontId="0" fillId="2" borderId="29" applyNumberFormat="1" applyFont="1" applyFill="1" applyBorder="1" applyAlignment="1" applyProtection="0">
      <alignment vertical="bottom"/>
    </xf>
    <xf numFmtId="49" fontId="0" fillId="2" borderId="40" applyNumberFormat="1" applyFont="1" applyFill="1" applyBorder="1" applyAlignment="1" applyProtection="0">
      <alignment vertical="bottom"/>
    </xf>
    <xf numFmtId="0" fontId="0" fillId="2" borderId="34" applyNumberFormat="1" applyFont="1" applyFill="1" applyBorder="1" applyAlignment="1" applyProtection="0">
      <alignment vertical="bottom" wrapText="1"/>
    </xf>
    <xf numFmtId="0" fontId="0" fillId="2" borderId="33" applyNumberFormat="1" applyFont="1" applyFill="1" applyBorder="1" applyAlignment="1" applyProtection="0">
      <alignment vertical="bottom" wrapText="1"/>
    </xf>
    <xf numFmtId="1" fontId="0" fillId="2" borderId="40" applyNumberFormat="1" applyFont="1" applyFill="1" applyBorder="1" applyAlignment="1" applyProtection="0">
      <alignment vertical="bottom"/>
    </xf>
    <xf numFmtId="1" fontId="5" fillId="2" borderId="40" applyNumberFormat="1" applyFont="1" applyFill="1" applyBorder="1" applyAlignment="1" applyProtection="0">
      <alignment vertical="bottom" wrapText="1"/>
    </xf>
    <xf numFmtId="0" fontId="0" fillId="2" borderId="28" applyNumberFormat="0" applyFont="1" applyFill="1" applyBorder="1" applyAlignment="1" applyProtection="0">
      <alignment vertical="bottom"/>
    </xf>
    <xf numFmtId="0" fontId="0" fillId="2" borderId="29" applyNumberFormat="0" applyFont="1" applyFill="1" applyBorder="1" applyAlignment="1" applyProtection="0">
      <alignment vertical="bottom"/>
    </xf>
    <xf numFmtId="0" fontId="0" fillId="2" borderId="40" applyNumberFormat="0" applyFont="1" applyFill="1" applyBorder="1" applyAlignment="1" applyProtection="0">
      <alignment vertical="bottom"/>
    </xf>
    <xf numFmtId="0" fontId="0" fillId="2" borderId="18" applyNumberFormat="0" applyFont="1" applyFill="1" applyBorder="1" applyAlignment="1" applyProtection="0">
      <alignment vertical="bottom"/>
    </xf>
    <xf numFmtId="0" fontId="0" fillId="2" borderId="39" applyNumberFormat="0" applyFont="1" applyFill="1" applyBorder="1" applyAlignment="1" applyProtection="0">
      <alignment vertical="bottom"/>
    </xf>
    <xf numFmtId="49" fontId="0" fillId="2" borderId="36" applyNumberFormat="1" applyFont="1" applyFill="1" applyBorder="1" applyAlignment="1" applyProtection="0">
      <alignment vertical="bottom"/>
    </xf>
    <xf numFmtId="0" fontId="0" fillId="2" borderId="43" applyNumberFormat="0" applyFont="1" applyFill="1" applyBorder="1" applyAlignment="1" applyProtection="0">
      <alignment vertical="bottom"/>
    </xf>
    <xf numFmtId="1" fontId="0" fillId="2" borderId="36" applyNumberFormat="1" applyFont="1" applyFill="1" applyBorder="1" applyAlignment="1" applyProtection="0">
      <alignment vertical="bottom"/>
    </xf>
    <xf numFmtId="0" fontId="0" fillId="2" borderId="36" applyNumberFormat="0" applyFont="1" applyFill="1" applyBorder="1" applyAlignment="1" applyProtection="0">
      <alignment vertical="bottom"/>
    </xf>
    <xf numFmtId="1" fontId="5" fillId="2" borderId="37" applyNumberFormat="1" applyFont="1" applyFill="1" applyBorder="1" applyAlignment="1" applyProtection="0">
      <alignment vertical="bottom" wrapText="1"/>
    </xf>
    <xf numFmtId="0" fontId="0" fillId="2" borderId="42" applyNumberFormat="0" applyFont="1" applyFill="1" applyBorder="1" applyAlignment="1" applyProtection="0">
      <alignment vertical="bottom"/>
    </xf>
    <xf numFmtId="0" fontId="0" fillId="2" borderId="37" applyNumberFormat="0" applyFont="1" applyFill="1" applyBorder="1" applyAlignment="1" applyProtection="0">
      <alignment vertical="bottom"/>
    </xf>
    <xf numFmtId="1" fontId="4" fillId="2" borderId="12" applyNumberFormat="1" applyFont="1" applyFill="1" applyBorder="1" applyAlignment="1" applyProtection="0">
      <alignment vertical="bottom"/>
    </xf>
    <xf numFmtId="1" fontId="4" fillId="2" borderId="32" applyNumberFormat="1" applyFont="1" applyFill="1" applyBorder="1" applyAlignment="1" applyProtection="0">
      <alignment vertical="bottom" wrapText="1"/>
    </xf>
    <xf numFmtId="0" fontId="0" fillId="2" borderId="1" applyNumberFormat="0" applyFont="1" applyFill="1" applyBorder="1" applyAlignment="1" applyProtection="0">
      <alignment vertical="bottom"/>
    </xf>
    <xf numFmtId="1" fontId="0" fillId="5" borderId="2" applyNumberFormat="1" applyFont="1" applyFill="1" applyBorder="1" applyAlignment="1" applyProtection="0">
      <alignment vertical="bottom"/>
    </xf>
    <xf numFmtId="1" fontId="0" fillId="5" borderId="3" applyNumberFormat="1" applyFont="1" applyFill="1" applyBorder="1" applyAlignment="1" applyProtection="0">
      <alignment vertical="bottom"/>
    </xf>
    <xf numFmtId="49" fontId="0" fillId="5" borderId="3" applyNumberFormat="1" applyFont="1" applyFill="1" applyBorder="1" applyAlignment="1" applyProtection="0">
      <alignment vertical="bottom"/>
    </xf>
    <xf numFmtId="49" fontId="0" fillId="2" borderId="31" applyNumberFormat="1" applyFont="1" applyFill="1" applyBorder="1" applyAlignment="1" applyProtection="0">
      <alignment vertical="bottom"/>
    </xf>
    <xf numFmtId="1" fontId="0" fillId="5" borderId="8" applyNumberFormat="1" applyFont="1" applyFill="1" applyBorder="1" applyAlignment="1" applyProtection="0">
      <alignment vertical="bottom"/>
    </xf>
    <xf numFmtId="1" fontId="0" fillId="5" borderId="9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1" fontId="0" fillId="3" borderId="13" applyNumberFormat="1" applyFont="1" applyFill="1" applyBorder="1" applyAlignment="1" applyProtection="0">
      <alignment vertical="bottom" wrapText="1"/>
    </xf>
    <xf numFmtId="49" fontId="0" fillId="3" borderId="13" applyNumberFormat="1" applyFont="1" applyFill="1" applyBorder="1" applyAlignment="1" applyProtection="0">
      <alignment vertical="bottom" wrapText="1"/>
    </xf>
    <xf numFmtId="49" fontId="0" fillId="2" borderId="101" applyNumberFormat="1" applyFont="1" applyFill="1" applyBorder="1" applyAlignment="1" applyProtection="0">
      <alignment vertical="bottom" wrapText="1"/>
    </xf>
    <xf numFmtId="1" fontId="0" fillId="3" borderId="13" applyNumberFormat="1" applyFont="1" applyFill="1" applyBorder="1" applyAlignment="1" applyProtection="0">
      <alignment vertical="bottom"/>
    </xf>
    <xf numFmtId="1" fontId="0" fillId="2" borderId="13" applyNumberFormat="1" applyFont="1" applyFill="1" applyBorder="1" applyAlignment="1" applyProtection="0">
      <alignment vertical="bottom"/>
    </xf>
    <xf numFmtId="49" fontId="5" borderId="13" applyNumberFormat="1" applyFont="1" applyFill="0" applyBorder="1" applyAlignment="1" applyProtection="0">
      <alignment vertical="bottom"/>
    </xf>
    <xf numFmtId="49" fontId="5" fillId="2" borderId="46" applyNumberFormat="1" applyFont="1" applyFill="1" applyBorder="1" applyAlignment="1" applyProtection="0">
      <alignment vertical="bottom" wrapText="1"/>
    </xf>
    <xf numFmtId="0" fontId="5" fillId="2" borderId="46" applyNumberFormat="1" applyFont="1" applyFill="1" applyBorder="1" applyAlignment="1" applyProtection="0">
      <alignment vertical="bottom" wrapText="1"/>
    </xf>
    <xf numFmtId="1" fontId="0" fillId="3" borderId="46" applyNumberFormat="1" applyFont="1" applyFill="1" applyBorder="1" applyAlignment="1" applyProtection="0">
      <alignment vertical="bottom"/>
    </xf>
    <xf numFmtId="1" fontId="0" fillId="2" borderId="46" applyNumberFormat="1" applyFont="1" applyFill="1" applyBorder="1" applyAlignment="1" applyProtection="0">
      <alignment vertical="bottom"/>
    </xf>
    <xf numFmtId="0" fontId="0" borderId="102" applyNumberFormat="1" applyFont="1" applyFill="0" applyBorder="1" applyAlignment="1" applyProtection="0">
      <alignment vertical="bottom"/>
    </xf>
    <xf numFmtId="0" fontId="3" borderId="14" applyNumberFormat="0" applyFont="1" applyFill="0" applyBorder="1" applyAlignment="1" applyProtection="0">
      <alignment vertical="bottom"/>
    </xf>
    <xf numFmtId="0" fontId="0" borderId="95" applyNumberFormat="1" applyFont="1" applyFill="0" applyBorder="1" applyAlignment="1" applyProtection="0">
      <alignment vertical="bottom"/>
    </xf>
    <xf numFmtId="0" fontId="0" borderId="103" applyNumberFormat="0" applyFont="1" applyFill="0" applyBorder="1" applyAlignment="1" applyProtection="0">
      <alignment vertical="bottom"/>
    </xf>
    <xf numFmtId="1" fontId="0" fillId="3" borderId="11" applyNumberFormat="1" applyFont="1" applyFill="1" applyBorder="1" applyAlignment="1" applyProtection="0">
      <alignment vertical="bottom"/>
    </xf>
    <xf numFmtId="1" fontId="0" fillId="2" borderId="11" applyNumberFormat="1" applyFont="1" applyFill="1" applyBorder="1" applyAlignment="1" applyProtection="0">
      <alignment vertical="bottom"/>
    </xf>
    <xf numFmtId="0" fontId="0" borderId="104" applyNumberFormat="1" applyFont="1" applyFill="0" applyBorder="1" applyAlignment="1" applyProtection="0">
      <alignment vertical="bottom"/>
    </xf>
    <xf numFmtId="0" fontId="0" borderId="16" applyNumberFormat="1" applyFont="1" applyFill="0" applyBorder="1" applyAlignment="1" applyProtection="0">
      <alignment vertical="bottom"/>
    </xf>
    <xf numFmtId="0" fontId="3" borderId="12" applyNumberFormat="0" applyFont="1" applyFill="0" applyBorder="1" applyAlignment="1" applyProtection="0">
      <alignment vertical="bottom"/>
    </xf>
    <xf numFmtId="0" fontId="5" borderId="13" applyNumberFormat="1" applyFont="1" applyFill="0" applyBorder="1" applyAlignment="1" applyProtection="0">
      <alignment vertical="bottom"/>
    </xf>
    <xf numFmtId="0" fontId="0" borderId="105" applyNumberFormat="1" applyFont="1" applyFill="0" applyBorder="1" applyAlignment="1" applyProtection="0">
      <alignment vertical="bottom"/>
    </xf>
    <xf numFmtId="49" fontId="0" borderId="106" applyNumberFormat="1" applyFont="1" applyFill="0" applyBorder="1" applyAlignment="1" applyProtection="0">
      <alignment vertical="bottom"/>
    </xf>
    <xf numFmtId="0" fontId="0" borderId="48" applyNumberFormat="1" applyFont="1" applyFill="0" applyBorder="1" applyAlignment="1" applyProtection="0">
      <alignment vertical="bottom"/>
    </xf>
    <xf numFmtId="1" fontId="0" fillId="3" borderId="21" applyNumberFormat="1" applyFont="1" applyFill="1" applyBorder="1" applyAlignment="1" applyProtection="0">
      <alignment vertical="bottom"/>
    </xf>
    <xf numFmtId="1" fontId="0" fillId="2" borderId="21" applyNumberFormat="1" applyFont="1" applyFill="1" applyBorder="1" applyAlignment="1" applyProtection="0">
      <alignment vertical="bottom"/>
    </xf>
    <xf numFmtId="0" fontId="0" borderId="21" applyNumberFormat="1" applyFont="1" applyFill="0" applyBorder="1" applyAlignment="1" applyProtection="0">
      <alignment vertical="bottom"/>
    </xf>
    <xf numFmtId="0" fontId="0" borderId="106" applyNumberFormat="1" applyFont="1" applyFill="0" applyBorder="1" applyAlignment="1" applyProtection="0">
      <alignment vertical="bottom"/>
    </xf>
    <xf numFmtId="49" fontId="0" borderId="47" applyNumberFormat="1" applyFont="1" applyFill="0" applyBorder="1" applyAlignment="1" applyProtection="0">
      <alignment vertical="bottom"/>
    </xf>
    <xf numFmtId="49" fontId="0" borderId="107" applyNumberFormat="1" applyFont="1" applyFill="0" applyBorder="1" applyAlignment="1" applyProtection="0">
      <alignment vertical="bottom"/>
    </xf>
    <xf numFmtId="0" fontId="0" borderId="108" applyNumberFormat="1" applyFont="1" applyFill="0" applyBorder="1" applyAlignment="1" applyProtection="0">
      <alignment vertical="bottom"/>
    </xf>
    <xf numFmtId="1" fontId="0" fillId="3" borderId="88" applyNumberFormat="1" applyFont="1" applyFill="1" applyBorder="1" applyAlignment="1" applyProtection="0">
      <alignment vertical="bottom"/>
    </xf>
    <xf numFmtId="1" fontId="0" fillId="2" borderId="109" applyNumberFormat="1" applyFont="1" applyFill="1" applyBorder="1" applyAlignment="1" applyProtection="0">
      <alignment vertical="bottom"/>
    </xf>
    <xf numFmtId="0" fontId="0" borderId="83" applyNumberFormat="1" applyFont="1" applyFill="0" applyBorder="1" applyAlignment="1" applyProtection="0">
      <alignment vertical="bottom"/>
    </xf>
    <xf numFmtId="0" fontId="0" borderId="82" applyNumberFormat="1" applyFont="1" applyFill="0" applyBorder="1" applyAlignment="1" applyProtection="0">
      <alignment vertical="bottom"/>
    </xf>
    <xf numFmtId="0" fontId="0" borderId="14" applyNumberFormat="1" applyFont="1" applyFill="0" applyBorder="1" applyAlignment="1" applyProtection="0">
      <alignment vertical="bottom"/>
    </xf>
    <xf numFmtId="0" fontId="0" borderId="83" applyNumberFormat="0" applyFont="1" applyFill="0" applyBorder="1" applyAlignment="1" applyProtection="0">
      <alignment vertical="bottom"/>
    </xf>
    <xf numFmtId="0" fontId="0" borderId="110" applyNumberFormat="0" applyFont="1" applyFill="0" applyBorder="1" applyAlignment="1" applyProtection="0">
      <alignment vertical="bottom"/>
    </xf>
    <xf numFmtId="49" fontId="0" borderId="111" applyNumberFormat="1" applyFont="1" applyFill="0" applyBorder="1" applyAlignment="1" applyProtection="0">
      <alignment vertical="bottom"/>
    </xf>
    <xf numFmtId="0" fontId="0" borderId="112" applyNumberFormat="1" applyFont="1" applyFill="0" applyBorder="1" applyAlignment="1" applyProtection="0">
      <alignment vertical="bottom"/>
    </xf>
    <xf numFmtId="1" fontId="0" fillId="3" borderId="113" applyNumberFormat="1" applyFont="1" applyFill="1" applyBorder="1" applyAlignment="1" applyProtection="0">
      <alignment vertical="bottom"/>
    </xf>
    <xf numFmtId="1" fontId="0" fillId="2" borderId="114" applyNumberFormat="1" applyFont="1" applyFill="1" applyBorder="1" applyAlignment="1" applyProtection="0">
      <alignment vertical="bottom"/>
    </xf>
    <xf numFmtId="0" fontId="0" borderId="115" applyNumberFormat="1" applyFont="1" applyFill="0" applyBorder="1" applyAlignment="1" applyProtection="0">
      <alignment vertical="bottom"/>
    </xf>
    <xf numFmtId="0" fontId="0" borderId="84" applyNumberFormat="1" applyFont="1" applyFill="0" applyBorder="1" applyAlignment="1" applyProtection="0">
      <alignment vertical="bottom"/>
    </xf>
    <xf numFmtId="0" fontId="0" borderId="116" applyNumberFormat="0" applyFont="1" applyFill="0" applyBorder="1" applyAlignment="1" applyProtection="0">
      <alignment vertical="bottom"/>
    </xf>
    <xf numFmtId="0" fontId="0" borderId="117" applyNumberFormat="0" applyFont="1" applyFill="0" applyBorder="1" applyAlignment="1" applyProtection="0">
      <alignment vertical="bottom"/>
    </xf>
    <xf numFmtId="0" fontId="0" borderId="118" applyNumberFormat="0" applyFont="1" applyFill="0" applyBorder="1" applyAlignment="1" applyProtection="0">
      <alignment vertical="bottom"/>
    </xf>
    <xf numFmtId="0" fontId="0" borderId="119" applyNumberFormat="0" applyFont="1" applyFill="0" applyBorder="1" applyAlignment="1" applyProtection="0">
      <alignment vertical="bottom"/>
    </xf>
    <xf numFmtId="0" fontId="0" borderId="120" applyNumberFormat="0" applyFont="1" applyFill="0" applyBorder="1" applyAlignment="1" applyProtection="0">
      <alignment vertical="bottom"/>
    </xf>
    <xf numFmtId="0" fontId="0" borderId="121" applyNumberFormat="0" applyFont="1" applyFill="0" applyBorder="1" applyAlignment="1" applyProtection="0">
      <alignment vertical="bottom"/>
    </xf>
    <xf numFmtId="0" fontId="0" borderId="122" applyNumberFormat="0" applyFont="1" applyFill="0" applyBorder="1" applyAlignment="1" applyProtection="0">
      <alignment vertical="bottom"/>
    </xf>
    <xf numFmtId="0" fontId="0" borderId="107" applyNumberFormat="0" applyFont="1" applyFill="0" applyBorder="1" applyAlignment="1" applyProtection="0">
      <alignment vertical="bottom"/>
    </xf>
    <xf numFmtId="0" fontId="0" borderId="123" applyNumberFormat="0" applyFont="1" applyFill="0" applyBorder="1" applyAlignment="1" applyProtection="0">
      <alignment vertical="bottom"/>
    </xf>
    <xf numFmtId="0" fontId="0" borderId="86" applyNumberFormat="1" applyFont="1" applyFill="0" applyBorder="1" applyAlignment="1" applyProtection="0">
      <alignment vertical="bottom"/>
    </xf>
    <xf numFmtId="0" fontId="0" borderId="124" applyNumberFormat="1" applyFont="1" applyFill="0" applyBorder="1" applyAlignment="1" applyProtection="0">
      <alignment vertical="bottom"/>
    </xf>
    <xf numFmtId="0" fontId="0" fillId="3" borderId="89" applyNumberFormat="0" applyFont="1" applyFill="1" applyBorder="1" applyAlignment="1" applyProtection="0">
      <alignment vertical="bottom"/>
    </xf>
    <xf numFmtId="1" fontId="0" fillId="2" borderId="125" applyNumberFormat="1" applyFont="1" applyFill="1" applyBorder="1" applyAlignment="1" applyProtection="0">
      <alignment vertical="bottom"/>
    </xf>
    <xf numFmtId="0" fontId="0" borderId="79" applyNumberFormat="1" applyFont="1" applyFill="0" applyBorder="1" applyAlignment="1" applyProtection="0">
      <alignment vertical="bottom"/>
    </xf>
    <xf numFmtId="0" fontId="0" borderId="126" applyNumberFormat="1" applyFont="1" applyFill="0" applyBorder="1" applyAlignment="1" applyProtection="0">
      <alignment vertical="bottom"/>
    </xf>
    <xf numFmtId="49" fontId="0" borderId="127" applyNumberFormat="1" applyFont="1" applyFill="0" applyBorder="1" applyAlignment="1" applyProtection="0">
      <alignment vertical="bottom"/>
    </xf>
    <xf numFmtId="1" fontId="0" fillId="3" borderId="12" applyNumberFormat="1" applyFont="1" applyFill="1" applyBorder="1" applyAlignment="1" applyProtection="0">
      <alignment vertical="bottom"/>
    </xf>
    <xf numFmtId="0" fontId="0" borderId="127" applyNumberFormat="1" applyFont="1" applyFill="0" applyBorder="1" applyAlignment="1" applyProtection="0">
      <alignment vertical="bottom"/>
    </xf>
    <xf numFmtId="0" fontId="0" borderId="17" applyNumberFormat="1" applyFont="1" applyFill="0" applyBorder="1" applyAlignment="1" applyProtection="0">
      <alignment vertical="bottom"/>
    </xf>
    <xf numFmtId="0" fontId="0" borderId="128" applyNumberFormat="1" applyFont="1" applyFill="0" applyBorder="1" applyAlignment="1" applyProtection="0">
      <alignment vertical="bottom"/>
    </xf>
    <xf numFmtId="0" fontId="0" fillId="3" borderId="60" applyNumberFormat="0" applyFont="1" applyFill="1" applyBorder="1" applyAlignment="1" applyProtection="0">
      <alignment vertical="bottom"/>
    </xf>
    <xf numFmtId="1" fontId="0" fillId="2" borderId="129" applyNumberFormat="1" applyFont="1" applyFill="1" applyBorder="1" applyAlignment="1" applyProtection="0">
      <alignment vertical="bottom"/>
    </xf>
    <xf numFmtId="0" fontId="0" borderId="64" applyNumberFormat="1" applyFont="1" applyFill="0" applyBorder="1" applyAlignment="1" applyProtection="0">
      <alignment vertical="bottom"/>
    </xf>
    <xf numFmtId="0" fontId="0" borderId="130" applyNumberFormat="1" applyFont="1" applyFill="0" applyBorder="1" applyAlignment="1" applyProtection="0">
      <alignment vertical="bottom"/>
    </xf>
    <xf numFmtId="49" fontId="0" borderId="72" applyNumberFormat="1" applyFont="1" applyFill="0" applyBorder="1" applyAlignment="1" applyProtection="0">
      <alignment vertical="bottom"/>
    </xf>
    <xf numFmtId="0" fontId="0" borderId="73" applyNumberFormat="1" applyFont="1" applyFill="0" applyBorder="1" applyAlignment="1" applyProtection="0">
      <alignment vertical="bottom"/>
    </xf>
    <xf numFmtId="0" fontId="0" borderId="131" applyNumberFormat="1" applyFont="1" applyFill="0" applyBorder="1" applyAlignment="1" applyProtection="0">
      <alignment vertical="bottom"/>
    </xf>
    <xf numFmtId="0" fontId="0" fillId="3" borderId="63" applyNumberFormat="0" applyFont="1" applyFill="1" applyBorder="1" applyAlignment="1" applyProtection="0">
      <alignment vertical="bottom"/>
    </xf>
    <xf numFmtId="1" fontId="0" fillId="2" borderId="132" applyNumberFormat="1" applyFont="1" applyFill="1" applyBorder="1" applyAlignment="1" applyProtection="0">
      <alignment vertical="bottom"/>
    </xf>
    <xf numFmtId="0" fontId="0" borderId="133" applyNumberFormat="1" applyFont="1" applyFill="0" applyBorder="1" applyAlignment="1" applyProtection="0">
      <alignment vertical="bottom"/>
    </xf>
    <xf numFmtId="1" fontId="0" fillId="2" borderId="31" applyNumberFormat="1" applyFont="1" applyFill="1" applyBorder="1" applyAlignment="1" applyProtection="0">
      <alignment vertical="bottom"/>
    </xf>
    <xf numFmtId="0" fontId="0" borderId="99" applyNumberFormat="1" applyFont="1" applyFill="0" applyBorder="1" applyAlignment="1" applyProtection="0">
      <alignment vertical="bottom"/>
    </xf>
    <xf numFmtId="49" fontId="0" borderId="45" applyNumberFormat="1" applyFont="1" applyFill="0" applyBorder="1" applyAlignment="1" applyProtection="0">
      <alignment vertical="bottom"/>
    </xf>
    <xf numFmtId="0" fontId="0" borderId="134" applyNumberFormat="1" applyFont="1" applyFill="0" applyBorder="1" applyAlignment="1" applyProtection="0">
      <alignment vertical="bottom"/>
    </xf>
    <xf numFmtId="0" fontId="0" fillId="3" borderId="135" applyNumberFormat="0" applyFont="1" applyFill="1" applyBorder="1" applyAlignment="1" applyProtection="0">
      <alignment vertical="bottom"/>
    </xf>
    <xf numFmtId="1" fontId="0" fillId="2" borderId="136" applyNumberFormat="1" applyFont="1" applyFill="1" applyBorder="1" applyAlignment="1" applyProtection="0">
      <alignment vertical="bottom"/>
    </xf>
    <xf numFmtId="0" fontId="0" borderId="80" applyNumberFormat="1" applyFont="1" applyFill="0" applyBorder="1" applyAlignment="1" applyProtection="0">
      <alignment vertical="bottom"/>
    </xf>
    <xf numFmtId="0" fontId="0" borderId="98" applyNumberFormat="1" applyFont="1" applyFill="0" applyBorder="1" applyAlignment="1" applyProtection="0">
      <alignment vertical="bottom"/>
    </xf>
    <xf numFmtId="0" fontId="0" borderId="137" applyNumberFormat="0" applyFont="1" applyFill="0" applyBorder="1" applyAlignment="1" applyProtection="0">
      <alignment vertical="bottom"/>
    </xf>
    <xf numFmtId="1" fontId="14" fillId="3" borderId="13" applyNumberFormat="1" applyFont="1" applyFill="1" applyBorder="1" applyAlignment="1" applyProtection="0">
      <alignment vertical="bottom"/>
    </xf>
    <xf numFmtId="1" fontId="14" fillId="2" borderId="13" applyNumberFormat="1" applyFont="1" applyFill="1" applyBorder="1" applyAlignment="1" applyProtection="0">
      <alignment vertical="bottom"/>
    </xf>
    <xf numFmtId="0" fontId="14" borderId="13" applyNumberFormat="1" applyFont="1" applyFill="0" applyBorder="1" applyAlignment="1" applyProtection="0">
      <alignment vertical="bottom"/>
    </xf>
    <xf numFmtId="0" fontId="14" borderId="48" applyNumberFormat="1" applyFont="1" applyFill="0" applyBorder="1" applyAlignment="1" applyProtection="0">
      <alignment vertical="bottom"/>
    </xf>
    <xf numFmtId="9" fontId="0" borderId="21" applyNumberFormat="1" applyFont="1" applyFill="0" applyBorder="1" applyAlignment="1" applyProtection="0">
      <alignment vertical="bottom"/>
    </xf>
    <xf numFmtId="2" fontId="0" borderId="21" applyNumberFormat="1" applyFont="1" applyFill="0" applyBorder="1" applyAlignment="1" applyProtection="0">
      <alignment vertical="bottom"/>
    </xf>
    <xf numFmtId="0" fontId="0" borderId="138" applyNumberFormat="0" applyFont="1" applyFill="0" applyBorder="1" applyAlignment="1" applyProtection="0">
      <alignment vertical="bottom"/>
    </xf>
    <xf numFmtId="9" fontId="0" borderId="138" applyNumberFormat="1" applyFont="1" applyFill="0" applyBorder="1" applyAlignment="1" applyProtection="0">
      <alignment vertical="bottom"/>
    </xf>
    <xf numFmtId="1" fontId="0" borderId="21" applyNumberFormat="1" applyFont="1" applyFill="0" applyBorder="1" applyAlignment="1" applyProtection="0">
      <alignment vertical="bottom"/>
    </xf>
    <xf numFmtId="0" fontId="3" borderId="139" applyNumberFormat="0" applyFont="1" applyFill="0" applyBorder="1" applyAlignment="1" applyProtection="0">
      <alignment vertical="bottom"/>
    </xf>
    <xf numFmtId="0" fontId="3" borderId="140" applyNumberFormat="0" applyFont="1" applyFill="0" applyBorder="1" applyAlignment="1" applyProtection="0">
      <alignment vertical="bottom"/>
    </xf>
    <xf numFmtId="0" fontId="0" borderId="124" applyNumberFormat="0" applyFont="1" applyFill="0" applyBorder="1" applyAlignment="1" applyProtection="0">
      <alignment vertical="bottom"/>
    </xf>
    <xf numFmtId="0" fontId="0" fillId="2" borderId="125" applyNumberFormat="0" applyFont="1" applyFill="1" applyBorder="1" applyAlignment="1" applyProtection="0">
      <alignment vertical="bottom"/>
    </xf>
    <xf numFmtId="9" fontId="0" borderId="41" applyNumberFormat="1" applyFont="1" applyFill="0" applyBorder="1" applyAlignment="1" applyProtection="0">
      <alignment vertical="bottom"/>
    </xf>
    <xf numFmtId="0" fontId="0" borderId="141" applyNumberFormat="0" applyFont="1" applyFill="0" applyBorder="1" applyAlignment="1" applyProtection="0">
      <alignment vertical="bottom"/>
    </xf>
    <xf numFmtId="0" fontId="0" borderId="44" applyNumberFormat="0" applyFont="1" applyFill="0" applyBorder="1" applyAlignment="1" applyProtection="0">
      <alignment vertical="bottom"/>
    </xf>
    <xf numFmtId="0" fontId="0" borderId="142" applyNumberFormat="0" applyFont="1" applyFill="0" applyBorder="1" applyAlignment="1" applyProtection="0">
      <alignment vertical="bottom"/>
    </xf>
    <xf numFmtId="0" fontId="0" fillId="2" borderId="13" applyNumberFormat="0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5" borderId="15" applyNumberFormat="1" applyFont="1" applyFill="0" applyBorder="1" applyAlignment="1" applyProtection="0">
      <alignment vertical="bottom"/>
    </xf>
    <xf numFmtId="49" fontId="0" fillId="2" borderId="13" applyNumberFormat="1" applyFont="1" applyFill="1" applyBorder="1" applyAlignment="1" applyProtection="0">
      <alignment vertical="bottom"/>
    </xf>
    <xf numFmtId="0" fontId="0" fillId="2" borderId="143" applyNumberFormat="0" applyFont="1" applyFill="1" applyBorder="1" applyAlignment="1" applyProtection="0">
      <alignment vertical="bottom"/>
    </xf>
    <xf numFmtId="0" fontId="0" borderId="82" applyNumberFormat="0" applyFont="1" applyFill="0" applyBorder="1" applyAlignment="1" applyProtection="0">
      <alignment vertical="bottom"/>
    </xf>
    <xf numFmtId="0" fontId="0" borderId="144" applyNumberFormat="0" applyFont="1" applyFill="0" applyBorder="1" applyAlignment="1" applyProtection="0">
      <alignment vertical="bottom"/>
    </xf>
    <xf numFmtId="0" fontId="0" borderId="144" applyNumberFormat="1" applyFont="1" applyFill="0" applyBorder="1" applyAlignment="1" applyProtection="0">
      <alignment vertical="bottom"/>
    </xf>
    <xf numFmtId="0" fontId="0" borderId="145" applyNumberFormat="1" applyFont="1" applyFill="0" applyBorder="1" applyAlignment="1" applyProtection="0">
      <alignment vertical="bottom"/>
    </xf>
    <xf numFmtId="0" fontId="0" borderId="146" applyNumberFormat="1" applyFont="1" applyFill="0" applyBorder="1" applyAlignment="1" applyProtection="0">
      <alignment vertical="bottom"/>
    </xf>
    <xf numFmtId="0" fontId="0" fillId="2" borderId="121" applyNumberFormat="0" applyFont="1" applyFill="1" applyBorder="1" applyAlignment="1" applyProtection="0">
      <alignment vertical="bottom" wrapText="1"/>
    </xf>
    <xf numFmtId="0" fontId="0" borderId="147" applyNumberFormat="0" applyFont="1" applyFill="0" applyBorder="1" applyAlignment="1" applyProtection="0">
      <alignment vertical="bottom"/>
    </xf>
    <xf numFmtId="0" fontId="0" borderId="148" applyNumberFormat="1" applyFont="1" applyFill="0" applyBorder="1" applyAlignment="1" applyProtection="0">
      <alignment vertical="bottom"/>
    </xf>
    <xf numFmtId="0" fontId="0" borderId="20" applyNumberFormat="1" applyFont="1" applyFill="0" applyBorder="1" applyAlignment="1" applyProtection="0">
      <alignment vertical="bottom"/>
    </xf>
    <xf numFmtId="49" fontId="0" fillId="2" borderId="27" applyNumberFormat="1" applyFont="1" applyFill="1" applyBorder="1" applyAlignment="1" applyProtection="0">
      <alignment vertical="bottom"/>
    </xf>
    <xf numFmtId="0" fontId="0" fillId="2" borderId="27" applyNumberFormat="0" applyFont="1" applyFill="1" applyBorder="1" applyAlignment="1" applyProtection="0">
      <alignment vertical="bottom"/>
    </xf>
    <xf numFmtId="0" fontId="0" borderId="100" applyNumberFormat="1" applyFont="1" applyFill="0" applyBorder="1" applyAlignment="1" applyProtection="0">
      <alignment vertical="bottom"/>
    </xf>
    <xf numFmtId="0" fontId="0" borderId="149" applyNumberFormat="1" applyFont="1" applyFill="0" applyBorder="1" applyAlignment="1" applyProtection="0">
      <alignment vertical="bottom"/>
    </xf>
    <xf numFmtId="1" fontId="0" borderId="27" applyNumberFormat="1" applyFont="1" applyFill="0" applyBorder="1" applyAlignment="1" applyProtection="0">
      <alignment vertical="bottom"/>
    </xf>
    <xf numFmtId="49" fontId="5" fillId="2" borderId="98" applyNumberFormat="1" applyFont="1" applyFill="1" applyBorder="1" applyAlignment="1" applyProtection="0">
      <alignment vertical="bottom"/>
    </xf>
    <xf numFmtId="0" fontId="0" fillId="2" borderId="19" applyNumberFormat="0" applyFont="1" applyFill="1" applyBorder="1" applyAlignment="1" applyProtection="0">
      <alignment vertical="bottom" wrapText="1"/>
    </xf>
    <xf numFmtId="49" fontId="5" fillId="2" borderId="13" applyNumberFormat="1" applyFont="1" applyFill="1" applyBorder="1" applyAlignment="1" applyProtection="0">
      <alignment vertical="bottom"/>
    </xf>
    <xf numFmtId="0" fontId="0" borderId="103" applyNumberFormat="1" applyFont="1" applyFill="0" applyBorder="1" applyAlignment="1" applyProtection="0">
      <alignment vertical="bottom"/>
    </xf>
    <xf numFmtId="49" fontId="0" fillId="2" borderId="47" applyNumberFormat="1" applyFont="1" applyFill="1" applyBorder="1" applyAlignment="1" applyProtection="0">
      <alignment vertical="bottom"/>
    </xf>
    <xf numFmtId="49" fontId="0" fillId="2" borderId="83" applyNumberFormat="1" applyFont="1" applyFill="1" applyBorder="1" applyAlignment="1" applyProtection="0">
      <alignment vertical="bottom"/>
    </xf>
    <xf numFmtId="49" fontId="0" fillId="2" borderId="115" applyNumberFormat="1" applyFont="1" applyFill="1" applyBorder="1" applyAlignment="1" applyProtection="0">
      <alignment vertical="bottom"/>
    </xf>
    <xf numFmtId="0" fontId="0" borderId="150" applyNumberFormat="1" applyFont="1" applyFill="0" applyBorder="1" applyAlignment="1" applyProtection="0">
      <alignment vertical="bottom"/>
    </xf>
    <xf numFmtId="49" fontId="0" fillId="2" borderId="11" applyNumberFormat="1" applyFont="1" applyFill="1" applyBorder="1" applyAlignment="1" applyProtection="0">
      <alignment vertical="bottom"/>
    </xf>
    <xf numFmtId="0" fontId="0" fillId="2" borderId="50" applyNumberFormat="0" applyFont="1" applyFill="1" applyBorder="1" applyAlignment="1" applyProtection="0">
      <alignment vertical="bottom" wrapText="1"/>
    </xf>
    <xf numFmtId="0" fontId="0" borderId="151" applyNumberFormat="1" applyFont="1" applyFill="0" applyBorder="1" applyAlignment="1" applyProtection="0">
      <alignment vertical="bottom"/>
    </xf>
    <xf numFmtId="0" fontId="0" borderId="152" applyNumberFormat="0" applyFont="1" applyFill="0" applyBorder="1" applyAlignment="1" applyProtection="0">
      <alignment vertical="bottom"/>
    </xf>
    <xf numFmtId="49" fontId="0" fillId="2" borderId="46" applyNumberFormat="1" applyFont="1" applyFill="1" applyBorder="1" applyAlignment="1" applyProtection="0">
      <alignment vertical="bottom" wrapText="1"/>
    </xf>
    <xf numFmtId="49" fontId="0" fillId="6" borderId="153" applyNumberFormat="1" applyFont="1" applyFill="1" applyBorder="1" applyAlignment="1" applyProtection="0">
      <alignment vertical="bottom" wrapText="1"/>
    </xf>
    <xf numFmtId="0" fontId="0" borderId="63" applyNumberFormat="0" applyFont="1" applyFill="0" applyBorder="1" applyAlignment="1" applyProtection="0">
      <alignment vertical="bottom"/>
    </xf>
    <xf numFmtId="0" fontId="0" borderId="63" applyNumberFormat="1" applyFont="1" applyFill="0" applyBorder="1" applyAlignment="1" applyProtection="0">
      <alignment vertical="bottom"/>
    </xf>
    <xf numFmtId="0" fontId="0" borderId="154" applyNumberFormat="0" applyFont="1" applyFill="0" applyBorder="1" applyAlignment="1" applyProtection="0">
      <alignment vertical="bottom"/>
    </xf>
    <xf numFmtId="0" fontId="0" fillId="2" borderId="155" applyNumberFormat="1" applyFont="1" applyFill="1" applyBorder="1" applyAlignment="1" applyProtection="0">
      <alignment vertical="bottom"/>
    </xf>
    <xf numFmtId="0" fontId="0" borderId="47" applyNumberFormat="1" applyFont="1" applyFill="0" applyBorder="1" applyAlignment="1" applyProtection="0">
      <alignment vertical="bottom"/>
    </xf>
    <xf numFmtId="0" fontId="0" borderId="110" applyNumberFormat="1" applyFont="1" applyFill="0" applyBorder="1" applyAlignment="1" applyProtection="0">
      <alignment vertical="bottom"/>
    </xf>
    <xf numFmtId="0" fontId="0" fillId="2" borderId="38" applyNumberFormat="0" applyFont="1" applyFill="1" applyBorder="1" applyAlignment="1" applyProtection="0">
      <alignment vertical="bottom" wrapText="1"/>
    </xf>
    <xf numFmtId="49" fontId="0" fillId="2" borderId="4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1" applyNumberFormat="1" applyFont="1" applyFill="1" applyBorder="1" applyAlignment="1" applyProtection="0">
      <alignment horizontal="center" vertical="bottom"/>
    </xf>
    <xf numFmtId="49" fontId="0" fillId="2" borderId="78" applyNumberFormat="1" applyFont="1" applyFill="1" applyBorder="1" applyAlignment="1" applyProtection="0">
      <alignment vertical="bottom" wrapText="1"/>
    </xf>
    <xf numFmtId="49" fontId="0" fillId="3" borderId="156" applyNumberFormat="1" applyFont="1" applyFill="1" applyBorder="1" applyAlignment="1" applyProtection="0">
      <alignment vertical="bottom" wrapText="1"/>
    </xf>
    <xf numFmtId="49" fontId="0" fillId="2" borderId="157" applyNumberFormat="1" applyFont="1" applyFill="1" applyBorder="1" applyAlignment="1" applyProtection="0">
      <alignment vertical="bottom" wrapText="1"/>
    </xf>
    <xf numFmtId="49" fontId="5" fillId="2" borderId="13" applyNumberFormat="1" applyFont="1" applyFill="1" applyBorder="1" applyAlignment="1" applyProtection="0">
      <alignment horizontal="center" vertical="bottom" wrapText="1"/>
    </xf>
    <xf numFmtId="0" fontId="0" borderId="46" applyNumberFormat="0" applyFont="1" applyFill="0" applyBorder="1" applyAlignment="1" applyProtection="0">
      <alignment vertical="bottom"/>
    </xf>
    <xf numFmtId="0" fontId="0" borderId="96" applyNumberFormat="0" applyFont="1" applyFill="0" applyBorder="1" applyAlignment="1" applyProtection="0">
      <alignment vertical="bottom"/>
    </xf>
    <xf numFmtId="49" fontId="0" borderId="100" applyNumberFormat="1" applyFont="1" applyFill="0" applyBorder="1" applyAlignment="1" applyProtection="0">
      <alignment vertical="bottom"/>
    </xf>
    <xf numFmtId="0" fontId="0" fillId="2" borderId="13" applyNumberFormat="1" applyFont="1" applyFill="1" applyBorder="1" applyAlignment="1" applyProtection="0">
      <alignment horizontal="center" vertical="bottom"/>
    </xf>
    <xf numFmtId="49" fontId="3" borderId="80" applyNumberFormat="1" applyFont="1" applyFill="0" applyBorder="1" applyAlignment="1" applyProtection="0">
      <alignment vertical="bottom"/>
    </xf>
    <xf numFmtId="0" fontId="3" borderId="13" applyNumberFormat="1" applyFont="1" applyFill="0" applyBorder="1" applyAlignment="1" applyProtection="0">
      <alignment vertical="bottom"/>
    </xf>
    <xf numFmtId="0" fontId="3" borderId="13" applyNumberFormat="0" applyFont="1" applyFill="0" applyBorder="1" applyAlignment="1" applyProtection="0">
      <alignment vertical="bottom"/>
    </xf>
    <xf numFmtId="0" fontId="0" fillId="3" borderId="158" applyNumberFormat="0" applyFont="1" applyFill="1" applyBorder="1" applyAlignment="1" applyProtection="0">
      <alignment vertical="bottom"/>
    </xf>
    <xf numFmtId="0" fontId="0" borderId="159" applyNumberFormat="0" applyFont="1" applyFill="0" applyBorder="1" applyAlignment="1" applyProtection="0">
      <alignment vertical="bottom"/>
    </xf>
    <xf numFmtId="1" fontId="3" borderId="13" applyNumberFormat="1" applyFont="1" applyFill="0" applyBorder="1" applyAlignment="1" applyProtection="0">
      <alignment vertical="bottom"/>
    </xf>
    <xf numFmtId="0" fontId="0" fillId="2" borderId="83" applyNumberFormat="1" applyFont="1" applyFill="1" applyBorder="1" applyAlignment="1" applyProtection="0">
      <alignment vertical="bottom"/>
    </xf>
    <xf numFmtId="0" fontId="0" fillId="2" borderId="83" applyNumberFormat="0" applyFont="1" applyFill="1" applyBorder="1" applyAlignment="1" applyProtection="0">
      <alignment vertical="bottom"/>
    </xf>
    <xf numFmtId="0" fontId="5" fillId="2" borderId="13" applyNumberFormat="1" applyFont="1" applyFill="1" applyBorder="1" applyAlignment="1" applyProtection="0">
      <alignment horizontal="center" vertical="bottom" wrapText="1"/>
    </xf>
    <xf numFmtId="49" fontId="5" fillId="2" borderId="13" applyNumberFormat="1" applyFont="1" applyFill="1" applyBorder="1" applyAlignment="1" applyProtection="0">
      <alignment horizontal="center" vertical="bottom"/>
    </xf>
    <xf numFmtId="0" fontId="0" borderId="133" applyNumberFormat="0" applyFont="1" applyFill="0" applyBorder="1" applyAlignment="1" applyProtection="0">
      <alignment vertical="bottom"/>
    </xf>
    <xf numFmtId="0" fontId="0" fillId="3" borderId="46" applyNumberFormat="0" applyFont="1" applyFill="1" applyBorder="1" applyAlignment="1" applyProtection="0">
      <alignment vertical="bottom"/>
    </xf>
    <xf numFmtId="1" fontId="0" borderId="46" applyNumberFormat="1" applyFont="1" applyFill="0" applyBorder="1" applyAlignment="1" applyProtection="0">
      <alignment vertical="bottom"/>
    </xf>
    <xf numFmtId="49" fontId="0" fillId="2" borderId="16" applyNumberFormat="1" applyFont="1" applyFill="1" applyBorder="1" applyAlignment="1" applyProtection="0">
      <alignment vertical="bottom"/>
    </xf>
    <xf numFmtId="49" fontId="5" borderId="96" applyNumberFormat="1" applyFont="1" applyFill="0" applyBorder="1" applyAlignment="1" applyProtection="0">
      <alignment vertical="bottom"/>
    </xf>
    <xf numFmtId="0" fontId="0" fillId="2" borderId="160" applyNumberFormat="0" applyFont="1" applyFill="1" applyBorder="1" applyAlignment="1" applyProtection="0">
      <alignment vertical="bottom" wrapText="1"/>
    </xf>
    <xf numFmtId="0" fontId="0" borderId="161" applyNumberFormat="1" applyFont="1" applyFill="0" applyBorder="1" applyAlignment="1" applyProtection="0">
      <alignment vertical="bottom"/>
    </xf>
    <xf numFmtId="0" fontId="0" fillId="2" borderId="47" applyNumberFormat="1" applyFont="1" applyFill="1" applyBorder="1" applyAlignment="1" applyProtection="0">
      <alignment vertical="bottom"/>
    </xf>
    <xf numFmtId="49" fontId="5" borderId="98" applyNumberFormat="1" applyFont="1" applyFill="0" applyBorder="1" applyAlignment="1" applyProtection="0">
      <alignment vertical="bottom"/>
    </xf>
    <xf numFmtId="0" fontId="0" borderId="162" applyNumberFormat="0" applyFont="1" applyFill="0" applyBorder="1" applyAlignment="1" applyProtection="0">
      <alignment vertical="bottom"/>
    </xf>
    <xf numFmtId="0" fontId="0" fillId="3" borderId="163" applyNumberFormat="0" applyFont="1" applyFill="1" applyBorder="1" applyAlignment="1" applyProtection="0">
      <alignment vertical="bottom"/>
    </xf>
    <xf numFmtId="0" fontId="0" borderId="164" applyNumberFormat="0" applyFont="1" applyFill="0" applyBorder="1" applyAlignment="1" applyProtection="0">
      <alignment vertical="bottom"/>
    </xf>
    <xf numFmtId="0" fontId="0" borderId="120" applyNumberFormat="1" applyFont="1" applyFill="0" applyBorder="1" applyAlignment="1" applyProtection="0">
      <alignment vertical="bottom"/>
    </xf>
    <xf numFmtId="0" fontId="0" borderId="165" applyNumberFormat="1" applyFont="1" applyFill="0" applyBorder="1" applyAlignment="1" applyProtection="0">
      <alignment vertical="bottom"/>
    </xf>
    <xf numFmtId="0" fontId="0" borderId="101" applyNumberFormat="1" applyFont="1" applyFill="0" applyBorder="1" applyAlignment="1" applyProtection="0">
      <alignment vertical="bottom"/>
    </xf>
    <xf numFmtId="0" fontId="0" borderId="107" applyNumberFormat="1" applyFont="1" applyFill="0" applyBorder="1" applyAlignment="1" applyProtection="0">
      <alignment vertical="bottom"/>
    </xf>
    <xf numFmtId="0" fontId="0" fillId="2" borderId="107" applyNumberFormat="1" applyFont="1" applyFill="1" applyBorder="1" applyAlignment="1" applyProtection="0">
      <alignment vertical="bottom"/>
    </xf>
    <xf numFmtId="0" fontId="5" borderId="82" applyNumberFormat="1" applyFont="1" applyFill="0" applyBorder="1" applyAlignment="1" applyProtection="0">
      <alignment vertical="bottom"/>
    </xf>
    <xf numFmtId="1" fontId="0" fillId="3" borderId="25" applyNumberFormat="1" applyFont="1" applyFill="1" applyBorder="1" applyAlignment="1" applyProtection="0">
      <alignment vertical="bottom"/>
    </xf>
    <xf numFmtId="1" fontId="0" borderId="109" applyNumberFormat="1" applyFont="1" applyFill="0" applyBorder="1" applyAlignment="1" applyProtection="0">
      <alignment vertical="bottom"/>
    </xf>
    <xf numFmtId="0" fontId="5" fillId="2" borderId="13" applyNumberFormat="1" applyFont="1" applyFill="1" applyBorder="1" applyAlignment="1" applyProtection="0">
      <alignment horizontal="center" vertical="bottom"/>
    </xf>
    <xf numFmtId="0" fontId="0" borderId="166" applyNumberFormat="0" applyFont="1" applyFill="0" applyBorder="1" applyAlignment="1" applyProtection="0">
      <alignment vertical="bottom"/>
    </xf>
    <xf numFmtId="49" fontId="0" fillId="2" borderId="13" applyNumberFormat="1" applyFont="1" applyFill="1" applyBorder="1" applyAlignment="1" applyProtection="0">
      <alignment horizontal="center" vertical="bottom"/>
    </xf>
    <xf numFmtId="0" fontId="0" fillId="2" borderId="82" applyNumberFormat="1" applyFont="1" applyFill="1" applyBorder="1" applyAlignment="1" applyProtection="0">
      <alignment vertical="bottom"/>
    </xf>
    <xf numFmtId="0" fontId="0" borderId="158" applyNumberFormat="0" applyFont="1" applyFill="0" applyBorder="1" applyAlignment="1" applyProtection="0">
      <alignment vertical="bottom"/>
    </xf>
    <xf numFmtId="1" fontId="0" borderId="83" applyNumberFormat="1" applyFont="1" applyFill="0" applyBorder="1" applyAlignment="1" applyProtection="0">
      <alignment vertical="bottom"/>
    </xf>
    <xf numFmtId="1" fontId="0" borderId="11" applyNumberFormat="1" applyFont="1" applyFill="0" applyBorder="1" applyAlignment="1" applyProtection="0">
      <alignment vertical="bottom"/>
    </xf>
    <xf numFmtId="0" fontId="0" borderId="108" applyNumberFormat="0" applyFont="1" applyFill="0" applyBorder="1" applyAlignment="1" applyProtection="0">
      <alignment vertical="bottom"/>
    </xf>
    <xf numFmtId="0" fontId="0" fillId="2" borderId="167" applyNumberFormat="0" applyFont="1" applyFill="1" applyBorder="1" applyAlignment="1" applyProtection="0">
      <alignment vertical="bottom"/>
    </xf>
    <xf numFmtId="0" fontId="0" borderId="167" applyNumberFormat="0" applyFont="1" applyFill="0" applyBorder="1" applyAlignment="1" applyProtection="0">
      <alignment vertical="bottom"/>
    </xf>
    <xf numFmtId="1" fontId="0" fillId="3" borderId="135" applyNumberFormat="1" applyFont="1" applyFill="1" applyBorder="1" applyAlignment="1" applyProtection="0">
      <alignment vertical="bottom"/>
    </xf>
    <xf numFmtId="1" fontId="0" borderId="136" applyNumberFormat="1" applyFont="1" applyFill="0" applyBorder="1" applyAlignment="1" applyProtection="0">
      <alignment vertical="bottom"/>
    </xf>
    <xf numFmtId="0" fontId="0" borderId="160" applyNumberFormat="1" applyFont="1" applyFill="0" applyBorder="1" applyAlignment="1" applyProtection="0">
      <alignment vertical="bottom"/>
    </xf>
    <xf numFmtId="49" fontId="0" borderId="115" applyNumberFormat="1" applyFont="1" applyFill="0" applyBorder="1" applyAlignment="1" applyProtection="0">
      <alignment vertical="bottom"/>
    </xf>
    <xf numFmtId="0" fontId="0" borderId="112" applyNumberFormat="0" applyFont="1" applyFill="0" applyBorder="1" applyAlignment="1" applyProtection="0">
      <alignment vertical="bottom"/>
    </xf>
    <xf numFmtId="1" fontId="0" borderId="114" applyNumberFormat="1" applyFont="1" applyFill="0" applyBorder="1" applyAlignment="1" applyProtection="0">
      <alignment vertical="bottom"/>
    </xf>
    <xf numFmtId="0" fontId="0" borderId="116" applyNumberFormat="1" applyFont="1" applyFill="0" applyBorder="1" applyAlignment="1" applyProtection="0">
      <alignment vertical="bottom"/>
    </xf>
    <xf numFmtId="49" fontId="0" borderId="168" applyNumberFormat="1" applyFont="1" applyFill="0" applyBorder="1" applyAlignment="1" applyProtection="0">
      <alignment vertical="bottom"/>
    </xf>
    <xf numFmtId="1" fontId="0" fillId="3" borderId="58" applyNumberFormat="1" applyFont="1" applyFill="1" applyBorder="1" applyAlignment="1" applyProtection="0">
      <alignment vertical="bottom"/>
    </xf>
    <xf numFmtId="0" fontId="0" borderId="168" applyNumberFormat="1" applyFont="1" applyFill="0" applyBorder="1" applyAlignment="1" applyProtection="0">
      <alignment vertical="bottom"/>
    </xf>
    <xf numFmtId="0" fontId="0" borderId="134" applyNumberFormat="0" applyFont="1" applyFill="0" applyBorder="1" applyAlignment="1" applyProtection="0">
      <alignment vertical="bottom"/>
    </xf>
    <xf numFmtId="49" fontId="0" fillId="2" borderId="158" applyNumberFormat="1" applyFont="1" applyFill="1" applyBorder="1" applyAlignment="1" applyProtection="0">
      <alignment horizontal="center" vertical="bottom"/>
    </xf>
    <xf numFmtId="0" fontId="0" borderId="88" applyNumberFormat="0" applyFont="1" applyFill="0" applyBorder="1" applyAlignment="1" applyProtection="0">
      <alignment vertical="bottom"/>
    </xf>
    <xf numFmtId="0" fontId="0" borderId="169" applyNumberFormat="0" applyFont="1" applyFill="0" applyBorder="1" applyAlignment="1" applyProtection="0">
      <alignment vertical="bottom"/>
    </xf>
    <xf numFmtId="0" fontId="0" borderId="109" applyNumberFormat="0" applyFont="1" applyFill="0" applyBorder="1" applyAlignment="1" applyProtection="0">
      <alignment vertical="bottom"/>
    </xf>
    <xf numFmtId="1" fontId="0" borderId="26" applyNumberFormat="1" applyFont="1" applyFill="0" applyBorder="1" applyAlignment="1" applyProtection="0">
      <alignment vertical="bottom"/>
    </xf>
    <xf numFmtId="49" fontId="0" borderId="170" applyNumberFormat="1" applyFont="1" applyFill="0" applyBorder="1" applyAlignment="1" applyProtection="0">
      <alignment vertical="bottom"/>
    </xf>
    <xf numFmtId="1" fontId="0" fillId="3" borderId="94" applyNumberFormat="1" applyFont="1" applyFill="1" applyBorder="1" applyAlignment="1" applyProtection="0">
      <alignment vertical="bottom"/>
    </xf>
    <xf numFmtId="0" fontId="0" borderId="170" applyNumberFormat="1" applyFont="1" applyFill="0" applyBorder="1" applyAlignment="1" applyProtection="0">
      <alignment vertical="bottom"/>
    </xf>
    <xf numFmtId="0" fontId="0" borderId="128" applyNumberFormat="0" applyFont="1" applyFill="0" applyBorder="1" applyAlignment="1" applyProtection="0">
      <alignment vertical="bottom"/>
    </xf>
    <xf numFmtId="1" fontId="0" fillId="3" borderId="60" applyNumberFormat="1" applyFont="1" applyFill="1" applyBorder="1" applyAlignment="1" applyProtection="0">
      <alignment vertical="bottom"/>
    </xf>
    <xf numFmtId="1" fontId="0" borderId="129" applyNumberFormat="1" applyFont="1" applyFill="0" applyBorder="1" applyAlignment="1" applyProtection="0">
      <alignment vertical="bottom"/>
    </xf>
    <xf numFmtId="1" fontId="0" fillId="3" borderId="3" applyNumberFormat="1" applyFont="1" applyFill="1" applyBorder="1" applyAlignment="1" applyProtection="0">
      <alignment vertical="bottom"/>
    </xf>
    <xf numFmtId="1" fontId="0" borderId="31" applyNumberFormat="1" applyFont="1" applyFill="0" applyBorder="1" applyAlignment="1" applyProtection="0">
      <alignment vertical="bottom"/>
    </xf>
    <xf numFmtId="0" fontId="0" borderId="131" applyNumberFormat="0" applyFont="1" applyFill="0" applyBorder="1" applyAlignment="1" applyProtection="0">
      <alignment vertical="bottom"/>
    </xf>
    <xf numFmtId="1" fontId="0" fillId="3" borderId="63" applyNumberFormat="1" applyFont="1" applyFill="1" applyBorder="1" applyAlignment="1" applyProtection="0">
      <alignment vertical="bottom"/>
    </xf>
    <xf numFmtId="1" fontId="0" borderId="132" applyNumberFormat="1" applyFont="1" applyFill="0" applyBorder="1" applyAlignment="1" applyProtection="0">
      <alignment vertical="bottom"/>
    </xf>
    <xf numFmtId="1" fontId="0" fillId="2" borderId="75" applyNumberFormat="1" applyFont="1" applyFill="1" applyBorder="1" applyAlignment="1" applyProtection="0">
      <alignment vertical="bottom"/>
    </xf>
    <xf numFmtId="1" fontId="0" borderId="75" applyNumberFormat="1" applyFont="1" applyFill="0" applyBorder="1" applyAlignment="1" applyProtection="0">
      <alignment vertical="bottom"/>
    </xf>
    <xf numFmtId="1" fontId="0" borderId="18" applyNumberFormat="1" applyFont="1" applyFill="0" applyBorder="1" applyAlignment="1" applyProtection="0">
      <alignment vertical="bottom"/>
    </xf>
    <xf numFmtId="1" fontId="0" fillId="2" borderId="5" applyNumberFormat="1" applyFont="1" applyFill="1" applyBorder="1" applyAlignment="1" applyProtection="0">
      <alignment vertical="bottom"/>
    </xf>
    <xf numFmtId="1" fontId="0" borderId="5" applyNumberFormat="1" applyFont="1" applyFill="0" applyBorder="1" applyAlignment="1" applyProtection="0">
      <alignment vertical="bottom"/>
    </xf>
    <xf numFmtId="0" fontId="0" fillId="2" borderId="27" applyNumberFormat="1" applyFont="1" applyFill="1" applyBorder="1" applyAlignment="1" applyProtection="0">
      <alignment vertical="bottom"/>
    </xf>
    <xf numFmtId="0" fontId="0" fillId="2" borderId="6" applyNumberFormat="1" applyFont="1" applyFill="1" applyBorder="1" applyAlignment="1" applyProtection="0">
      <alignment vertical="bottom"/>
    </xf>
    <xf numFmtId="49" fontId="0" fillId="2" borderId="45" applyNumberFormat="1" applyFont="1" applyFill="1" applyBorder="1" applyAlignment="1" applyProtection="0">
      <alignment vertical="bottom"/>
    </xf>
    <xf numFmtId="0" fontId="0" fillId="2" borderId="45" applyNumberFormat="0" applyFont="1" applyFill="1" applyBorder="1" applyAlignment="1" applyProtection="0">
      <alignment vertical="bottom"/>
    </xf>
    <xf numFmtId="49" fontId="15" fillId="2" borderId="13" applyNumberFormat="1" applyFont="1" applyFill="1" applyBorder="1" applyAlignment="1" applyProtection="0">
      <alignment horizontal="center" vertical="bottom"/>
    </xf>
    <xf numFmtId="0" fontId="16" fillId="2" borderId="12" applyNumberFormat="0" applyFont="1" applyFill="1" applyBorder="1" applyAlignment="1" applyProtection="0">
      <alignment vertical="bottom" wrapText="1"/>
    </xf>
    <xf numFmtId="49" fontId="15" fillId="2" borderId="27" applyNumberFormat="1" applyFont="1" applyFill="1" applyBorder="1" applyAlignment="1" applyProtection="0">
      <alignment horizontal="center" vertical="bottom"/>
    </xf>
    <xf numFmtId="0" fontId="0" borderId="26" applyNumberFormat="0" applyFont="1" applyFill="0" applyBorder="1" applyAlignment="1" applyProtection="0">
      <alignment vertical="bottom"/>
    </xf>
    <xf numFmtId="49" fontId="3" fillId="2" borderId="7" applyNumberFormat="1" applyFont="1" applyFill="1" applyBorder="1" applyAlignment="1" applyProtection="0">
      <alignment horizontal="center" vertical="bottom"/>
    </xf>
    <xf numFmtId="0" fontId="0" fillId="3" borderId="5" applyNumberFormat="1" applyFont="1" applyFill="1" applyBorder="1" applyAlignment="1" applyProtection="0">
      <alignment vertical="bottom"/>
    </xf>
    <xf numFmtId="0" fontId="0" borderId="136" applyNumberFormat="0" applyFont="1" applyFill="0" applyBorder="1" applyAlignment="1" applyProtection="0">
      <alignment vertical="bottom"/>
    </xf>
    <xf numFmtId="1" fontId="14" borderId="13" applyNumberFormat="1" applyFont="1" applyFill="0" applyBorder="1" applyAlignment="1" applyProtection="0">
      <alignment vertical="bottom"/>
    </xf>
    <xf numFmtId="0" fontId="14" borderId="13" applyNumberFormat="0" applyFont="1" applyFill="0" applyBorder="1" applyAlignment="1" applyProtection="0">
      <alignment vertical="bottom"/>
    </xf>
    <xf numFmtId="0" fontId="14" borderId="16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1" fontId="0" borderId="82" applyNumberFormat="1" applyFont="1" applyFill="0" applyBorder="1" applyAlignment="1" applyProtection="0">
      <alignment vertical="bottom"/>
    </xf>
    <xf numFmtId="9" fontId="0" borderId="96" applyNumberFormat="1" applyFont="1" applyFill="0" applyBorder="1" applyAlignment="1" applyProtection="0">
      <alignment vertical="bottom"/>
    </xf>
    <xf numFmtId="9" fontId="0" fillId="3" borderId="13" applyNumberFormat="1" applyFont="1" applyFill="1" applyBorder="1" applyAlignment="1" applyProtection="0">
      <alignment vertical="bottom"/>
    </xf>
    <xf numFmtId="0" fontId="0" fillId="3" borderId="88" applyNumberFormat="0" applyFont="1" applyFill="1" applyBorder="1" applyAlignment="1" applyProtection="0">
      <alignment vertical="bottom"/>
    </xf>
    <xf numFmtId="49" fontId="3" borderId="65" applyNumberFormat="1" applyFont="1" applyFill="0" applyBorder="1" applyAlignment="1" applyProtection="0">
      <alignment vertical="bottom"/>
    </xf>
    <xf numFmtId="0" fontId="0" borderId="171" applyNumberFormat="0" applyFont="1" applyFill="0" applyBorder="1" applyAlignment="1" applyProtection="0">
      <alignment vertical="bottom"/>
    </xf>
    <xf numFmtId="9" fontId="0" borderId="20" applyNumberFormat="1" applyFont="1" applyFill="0" applyBorder="1" applyAlignment="1" applyProtection="0">
      <alignment vertical="bottom"/>
    </xf>
    <xf numFmtId="0" fontId="0" borderId="155" applyNumberFormat="0" applyFont="1" applyFill="0" applyBorder="1" applyAlignment="1" applyProtection="0">
      <alignment vertical="bottom"/>
    </xf>
    <xf numFmtId="9" fontId="0" borderId="65" applyNumberFormat="1" applyFont="1" applyFill="0" applyBorder="1" applyAlignment="1" applyProtection="0">
      <alignment vertical="bottom"/>
    </xf>
    <xf numFmtId="0" fontId="0" borderId="132" applyNumberFormat="0" applyFont="1" applyFill="0" applyBorder="1" applyAlignment="1" applyProtection="0">
      <alignment vertical="bottom"/>
    </xf>
    <xf numFmtId="0" fontId="0" borderId="172" applyNumberFormat="0" applyFont="1" applyFill="0" applyBorder="1" applyAlignment="1" applyProtection="0">
      <alignment vertical="bottom"/>
    </xf>
    <xf numFmtId="49" fontId="5" borderId="97" applyNumberFormat="1" applyFont="1" applyFill="0" applyBorder="1" applyAlignment="1" applyProtection="0">
      <alignment vertical="bottom"/>
    </xf>
    <xf numFmtId="0" fontId="3" borderId="7" applyNumberFormat="0" applyFont="1" applyFill="0" applyBorder="1" applyAlignment="1" applyProtection="0">
      <alignment vertical="bottom"/>
    </xf>
    <xf numFmtId="0" fontId="0" borderId="123" applyNumberFormat="1" applyFont="1" applyFill="0" applyBorder="1" applyAlignment="1" applyProtection="0">
      <alignment vertical="bottom"/>
    </xf>
    <xf numFmtId="9" fontId="0" borderId="127" applyNumberFormat="1" applyFont="1" applyFill="0" applyBorder="1" applyAlignment="1" applyProtection="0">
      <alignment vertical="bottom"/>
    </xf>
    <xf numFmtId="0" fontId="0" fillId="2" borderId="99" applyNumberFormat="0" applyFont="1" applyFill="1" applyBorder="1" applyAlignment="1" applyProtection="0">
      <alignment vertical="bottom" wrapText="1"/>
    </xf>
    <xf numFmtId="9" fontId="0" borderId="97" applyNumberFormat="1" applyFont="1" applyFill="0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0000ff"/>
      <rgbColor rgb="ffffffff"/>
      <rgbColor rgb="ffff0000"/>
      <rgbColor rgb="ffffff00"/>
      <rgbColor rgb="ffff9cf3"/>
      <rgbColor rgb="fffbe4d5"/>
      <rgbColor rgb="ff70ad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Relationship Id="rId20" Type="http://schemas.openxmlformats.org/officeDocument/2006/relationships/worksheet" Target="worksheets/sheet16.xml"/><Relationship Id="rId21" Type="http://schemas.openxmlformats.org/officeDocument/2006/relationships/worksheet" Target="worksheets/sheet17.xml"/><Relationship Id="rId22" Type="http://schemas.openxmlformats.org/officeDocument/2006/relationships/worksheet" Target="worksheets/sheet18.xml"/><Relationship Id="rId23" Type="http://schemas.openxmlformats.org/officeDocument/2006/relationships/worksheet" Target="worksheets/sheet19.xml"/><Relationship Id="rId24" Type="http://schemas.openxmlformats.org/officeDocument/2006/relationships/worksheet" Target="worksheets/sheet20.xml"/><Relationship Id="rId25" Type="http://schemas.openxmlformats.org/officeDocument/2006/relationships/worksheet" Target="worksheets/sheet21.xml"/><Relationship Id="rId26" Type="http://schemas.openxmlformats.org/officeDocument/2006/relationships/worksheet" Target="worksheets/sheet22.xml"/><Relationship Id="rId27" Type="http://schemas.openxmlformats.org/officeDocument/2006/relationships/worksheet" Target="worksheets/sheet23.xml"/><Relationship Id="rId28" Type="http://schemas.openxmlformats.org/officeDocument/2006/relationships/worksheet" Target="worksheets/sheet24.xml"/><Relationship Id="rId29" Type="http://schemas.openxmlformats.org/officeDocument/2006/relationships/worksheet" Target="worksheets/sheet25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Relationship Id="rId32" Type="http://schemas.openxmlformats.org/officeDocument/2006/relationships/worksheet" Target="worksheets/sheet28.xml"/><Relationship Id="rId33" Type="http://schemas.openxmlformats.org/officeDocument/2006/relationships/worksheet" Target="worksheets/sheet29.xml"/><Relationship Id="rId34" Type="http://schemas.openxmlformats.org/officeDocument/2006/relationships/worksheet" Target="worksheets/sheet30.xml"/><Relationship Id="rId35" Type="http://schemas.openxmlformats.org/officeDocument/2006/relationships/worksheet" Target="worksheets/sheet31.xml"/><Relationship Id="rId36" Type="http://schemas.openxmlformats.org/officeDocument/2006/relationships/worksheet" Target="worksheets/sheet32.xml"/><Relationship Id="rId37" Type="http://schemas.openxmlformats.org/officeDocument/2006/relationships/worksheet" Target="worksheets/sheet33.xml"/><Relationship Id="rId38" Type="http://schemas.openxmlformats.org/officeDocument/2006/relationships/worksheet" Target="worksheets/sheet34.xml"/><Relationship Id="rId39" Type="http://schemas.openxmlformats.org/officeDocument/2006/relationships/worksheet" Target="worksheets/sheet35.xml"/><Relationship Id="rId40" Type="http://schemas.openxmlformats.org/officeDocument/2006/relationships/worksheet" Target="worksheets/sheet36.xml"/><Relationship Id="rId41" Type="http://schemas.openxmlformats.org/officeDocument/2006/relationships/worksheet" Target="worksheets/sheet37.xml"/><Relationship Id="rId42" Type="http://schemas.openxmlformats.org/officeDocument/2006/relationships/worksheet" Target="worksheets/sheet38.xml"/><Relationship Id="rId43" Type="http://schemas.openxmlformats.org/officeDocument/2006/relationships/worksheet" Target="worksheets/sheet39.xml"/><Relationship Id="rId44" Type="http://schemas.openxmlformats.org/officeDocument/2006/relationships/worksheet" Target="worksheets/sheet40.xml"/><Relationship Id="rId45" Type="http://schemas.openxmlformats.org/officeDocument/2006/relationships/worksheet" Target="worksheets/sheet41.xml"/><Relationship Id="rId46" Type="http://schemas.openxmlformats.org/officeDocument/2006/relationships/worksheet" Target="worksheets/sheet42.xml"/><Relationship Id="rId47" Type="http://schemas.openxmlformats.org/officeDocument/2006/relationships/worksheet" Target="worksheets/sheet43.xml"/><Relationship Id="rId48" Type="http://schemas.openxmlformats.org/officeDocument/2006/relationships/worksheet" Target="worksheets/sheet44.xml"/><Relationship Id="rId49" Type="http://schemas.openxmlformats.org/officeDocument/2006/relationships/worksheet" Target="worksheets/sheet45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L133"/>
  <sheetViews>
    <sheetView workbookViewId="0" showGridLines="0" defaultGridColor="1"/>
  </sheetViews>
  <sheetFormatPr defaultColWidth="10.8333" defaultRowHeight="16" customHeight="1" outlineLevelRow="0" outlineLevelCol="0"/>
  <cols>
    <col min="1" max="12" width="10.8516" style="1" customWidth="1"/>
    <col min="13" max="16384" width="10.8516" style="1" customWidth="1"/>
  </cols>
  <sheetData>
    <row r="1" ht="15.3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  <c r="J1" s="3"/>
      <c r="K1" s="3"/>
      <c r="L1" s="3"/>
    </row>
    <row r="2" ht="15.35" customHeight="1">
      <c r="A2" t="s" s="4">
        <v>9</v>
      </c>
      <c r="B2" t="s" s="5">
        <v>10</v>
      </c>
      <c r="C2" t="s" s="5">
        <v>11</v>
      </c>
      <c r="D2" t="s" s="5">
        <v>12</v>
      </c>
      <c r="E2" s="6">
        <v>1875</v>
      </c>
      <c r="F2" s="6">
        <v>46</v>
      </c>
      <c r="G2" t="s" s="5">
        <v>13</v>
      </c>
      <c r="H2" t="s" s="5">
        <v>14</v>
      </c>
      <c r="I2" t="s" s="5">
        <v>15</v>
      </c>
      <c r="J2" s="7">
        <v>11</v>
      </c>
      <c r="K2" t="s" s="8">
        <v>16</v>
      </c>
      <c r="L2" s="9"/>
    </row>
    <row r="3" ht="15.35" customHeight="1">
      <c r="A3" t="s" s="4">
        <v>17</v>
      </c>
      <c r="B3" t="s" s="5">
        <v>18</v>
      </c>
      <c r="C3" t="s" s="5">
        <v>11</v>
      </c>
      <c r="D3" t="s" s="5">
        <v>12</v>
      </c>
      <c r="E3" s="6">
        <v>1892</v>
      </c>
      <c r="F3" s="6">
        <v>28</v>
      </c>
      <c r="G3" t="s" s="5">
        <v>19</v>
      </c>
      <c r="H3" t="s" s="5">
        <v>14</v>
      </c>
      <c r="I3" t="s" s="5">
        <v>15</v>
      </c>
      <c r="J3" s="7">
        <v>11</v>
      </c>
      <c r="K3" t="s" s="8">
        <v>16</v>
      </c>
      <c r="L3" s="10"/>
    </row>
    <row r="4" ht="15.35" customHeight="1">
      <c r="A4" t="s" s="4">
        <v>20</v>
      </c>
      <c r="B4" t="s" s="5">
        <v>21</v>
      </c>
      <c r="C4" t="s" s="5">
        <v>11</v>
      </c>
      <c r="D4" t="s" s="5">
        <v>12</v>
      </c>
      <c r="E4" s="6">
        <v>1901</v>
      </c>
      <c r="F4" s="6">
        <v>19</v>
      </c>
      <c r="G4" t="s" s="5">
        <v>22</v>
      </c>
      <c r="H4" t="s" s="5">
        <v>14</v>
      </c>
      <c r="I4" t="s" s="5">
        <v>15</v>
      </c>
      <c r="J4" s="7">
        <v>11</v>
      </c>
      <c r="K4" t="s" s="8">
        <v>16</v>
      </c>
      <c r="L4" s="10"/>
    </row>
    <row r="5" ht="15.35" customHeight="1">
      <c r="A5" t="s" s="4">
        <v>23</v>
      </c>
      <c r="B5" t="s" s="5">
        <v>24</v>
      </c>
      <c r="C5" t="s" s="5">
        <v>11</v>
      </c>
      <c r="D5" t="s" s="5">
        <v>12</v>
      </c>
      <c r="E5" s="6">
        <v>1904</v>
      </c>
      <c r="F5" s="6">
        <v>16</v>
      </c>
      <c r="G5" t="s" s="5">
        <v>25</v>
      </c>
      <c r="H5" t="s" s="5">
        <v>14</v>
      </c>
      <c r="I5" t="s" s="5">
        <v>15</v>
      </c>
      <c r="J5" s="7">
        <v>11</v>
      </c>
      <c r="K5" t="s" s="8">
        <v>16</v>
      </c>
      <c r="L5" s="10"/>
    </row>
    <row r="6" ht="15.35" customHeight="1">
      <c r="A6" t="s" s="4">
        <v>26</v>
      </c>
      <c r="B6" t="s" s="5">
        <v>27</v>
      </c>
      <c r="C6" t="s" s="5">
        <v>11</v>
      </c>
      <c r="D6" t="s" s="5">
        <v>12</v>
      </c>
      <c r="E6" s="6">
        <v>1906</v>
      </c>
      <c r="F6" s="6">
        <v>14</v>
      </c>
      <c r="G6" t="s" s="5">
        <v>28</v>
      </c>
      <c r="H6" t="s" s="5">
        <v>14</v>
      </c>
      <c r="I6" t="s" s="5">
        <v>15</v>
      </c>
      <c r="J6" s="7">
        <v>11</v>
      </c>
      <c r="K6" t="s" s="8">
        <v>16</v>
      </c>
      <c r="L6" s="10"/>
    </row>
    <row r="7" ht="15.35" customHeight="1">
      <c r="A7" s="11"/>
      <c r="B7" s="11"/>
      <c r="C7" s="11"/>
      <c r="D7" s="11"/>
      <c r="E7" s="11"/>
      <c r="F7" s="11"/>
      <c r="G7" s="11"/>
      <c r="H7" s="11"/>
      <c r="I7" s="11"/>
      <c r="J7" s="12"/>
      <c r="K7" s="12"/>
      <c r="L7" s="11"/>
    </row>
    <row r="8" ht="15.35" customHeight="1">
      <c r="A8" t="s" s="4">
        <v>29</v>
      </c>
      <c r="B8" t="s" s="5">
        <v>30</v>
      </c>
      <c r="C8" t="s" s="5">
        <v>31</v>
      </c>
      <c r="D8" t="s" s="5">
        <v>12</v>
      </c>
      <c r="E8" s="6">
        <v>1876</v>
      </c>
      <c r="F8" s="6">
        <v>44</v>
      </c>
      <c r="G8" t="s" s="5">
        <v>32</v>
      </c>
      <c r="H8" t="s" s="5">
        <v>33</v>
      </c>
      <c r="I8" t="s" s="5">
        <v>34</v>
      </c>
      <c r="J8" s="13"/>
      <c r="K8" t="s" s="8">
        <v>16</v>
      </c>
      <c r="L8" s="10"/>
    </row>
    <row r="9" ht="15.35" customHeight="1">
      <c r="A9" t="s" s="4">
        <v>35</v>
      </c>
      <c r="B9" t="s" s="5">
        <v>30</v>
      </c>
      <c r="C9" t="s" s="5">
        <v>36</v>
      </c>
      <c r="D9" t="s" s="5">
        <v>37</v>
      </c>
      <c r="E9" s="6">
        <v>1908</v>
      </c>
      <c r="F9" s="6">
        <v>13</v>
      </c>
      <c r="G9" t="s" s="5">
        <v>13</v>
      </c>
      <c r="H9" t="s" s="5">
        <v>34</v>
      </c>
      <c r="I9" t="s" s="5">
        <v>34</v>
      </c>
      <c r="J9" s="13"/>
      <c r="K9" t="s" s="8">
        <v>16</v>
      </c>
      <c r="L9" s="10"/>
    </row>
    <row r="10" ht="15.35" customHeight="1">
      <c r="A10" t="s" s="4">
        <v>38</v>
      </c>
      <c r="B10" t="s" s="5">
        <v>30</v>
      </c>
      <c r="C10" t="s" s="5">
        <v>36</v>
      </c>
      <c r="D10" t="s" s="5">
        <v>37</v>
      </c>
      <c r="E10" s="6">
        <v>1910</v>
      </c>
      <c r="F10" s="6">
        <v>10</v>
      </c>
      <c r="G10" t="s" s="5">
        <v>13</v>
      </c>
      <c r="H10" t="s" s="5">
        <v>34</v>
      </c>
      <c r="I10" t="s" s="5">
        <v>34</v>
      </c>
      <c r="J10" s="13"/>
      <c r="K10" t="s" s="8">
        <v>16</v>
      </c>
      <c r="L10" s="10"/>
    </row>
    <row r="11" ht="15.35" customHeight="1">
      <c r="A11" t="s" s="4">
        <v>39</v>
      </c>
      <c r="B11" t="s" s="5">
        <v>40</v>
      </c>
      <c r="C11" t="s" s="5">
        <v>41</v>
      </c>
      <c r="D11" t="s" s="5">
        <v>12</v>
      </c>
      <c r="E11" s="6">
        <v>1848</v>
      </c>
      <c r="F11" s="6">
        <v>72</v>
      </c>
      <c r="G11" t="s" s="5">
        <v>42</v>
      </c>
      <c r="H11" t="s" s="5">
        <v>34</v>
      </c>
      <c r="I11" t="s" s="5">
        <v>34</v>
      </c>
      <c r="J11" s="13"/>
      <c r="K11" t="s" s="8">
        <v>16</v>
      </c>
      <c r="L11" s="10"/>
    </row>
    <row r="12" ht="15.35" customHeight="1">
      <c r="A12" t="s" s="4">
        <v>43</v>
      </c>
      <c r="B12" t="s" s="5">
        <v>44</v>
      </c>
      <c r="C12" t="s" s="5">
        <v>45</v>
      </c>
      <c r="D12" t="s" s="5">
        <v>12</v>
      </c>
      <c r="E12" s="6">
        <v>1900</v>
      </c>
      <c r="F12" s="6">
        <v>20</v>
      </c>
      <c r="G12" t="s" s="5">
        <v>46</v>
      </c>
      <c r="H12" t="s" s="5">
        <v>45</v>
      </c>
      <c r="I12" t="s" s="5">
        <v>15</v>
      </c>
      <c r="J12" s="13"/>
      <c r="K12" t="s" s="8">
        <v>16</v>
      </c>
      <c r="L12" s="10"/>
    </row>
    <row r="13" ht="15.35" customHeight="1">
      <c r="A13" t="s" s="4">
        <v>47</v>
      </c>
      <c r="B13" t="s" s="5">
        <v>40</v>
      </c>
      <c r="C13" t="s" s="5">
        <v>41</v>
      </c>
      <c r="D13" t="s" s="5">
        <v>12</v>
      </c>
      <c r="E13" s="6">
        <v>1884</v>
      </c>
      <c r="F13" s="6">
        <v>37</v>
      </c>
      <c r="G13" t="s" s="5">
        <v>42</v>
      </c>
      <c r="H13" t="s" s="5">
        <v>34</v>
      </c>
      <c r="I13" t="s" s="5">
        <v>34</v>
      </c>
      <c r="J13" s="13"/>
      <c r="K13" t="s" s="8">
        <v>16</v>
      </c>
      <c r="L13" s="10"/>
    </row>
    <row r="14" ht="15.35" customHeight="1">
      <c r="A14" t="s" s="4">
        <v>48</v>
      </c>
      <c r="B14" t="s" s="5">
        <v>49</v>
      </c>
      <c r="C14" t="s" s="5">
        <v>11</v>
      </c>
      <c r="D14" t="s" s="5">
        <v>12</v>
      </c>
      <c r="E14" s="6">
        <v>1888</v>
      </c>
      <c r="F14" s="6">
        <v>33</v>
      </c>
      <c r="G14" t="s" s="5">
        <v>50</v>
      </c>
      <c r="H14" t="s" s="5">
        <v>51</v>
      </c>
      <c r="I14" t="s" s="5">
        <v>15</v>
      </c>
      <c r="J14" s="13"/>
      <c r="K14" t="s" s="8">
        <v>16</v>
      </c>
      <c r="L14" s="10"/>
    </row>
    <row r="15" ht="15.35" customHeight="1">
      <c r="A15" t="s" s="4">
        <v>52</v>
      </c>
      <c r="B15" t="s" s="5">
        <v>53</v>
      </c>
      <c r="C15" t="s" s="5">
        <v>11</v>
      </c>
      <c r="D15" t="s" s="5">
        <v>12</v>
      </c>
      <c r="E15" s="6">
        <v>1896</v>
      </c>
      <c r="F15" s="6">
        <v>24</v>
      </c>
      <c r="G15" t="s" s="5">
        <v>54</v>
      </c>
      <c r="H15" t="s" s="5">
        <v>55</v>
      </c>
      <c r="I15" t="s" s="5">
        <v>15</v>
      </c>
      <c r="J15" s="13"/>
      <c r="K15" t="s" s="8">
        <v>16</v>
      </c>
      <c r="L15" s="10"/>
    </row>
    <row r="16" ht="15.3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2"/>
      <c r="L16" s="11"/>
    </row>
    <row r="17" ht="15.35" customHeight="1">
      <c r="A17" t="s" s="4">
        <v>56</v>
      </c>
      <c r="B17" t="s" s="5">
        <v>57</v>
      </c>
      <c r="C17" t="s" s="5">
        <v>41</v>
      </c>
      <c r="D17" t="s" s="5">
        <v>37</v>
      </c>
      <c r="E17" s="6">
        <v>1879</v>
      </c>
      <c r="F17" s="6">
        <v>42</v>
      </c>
      <c r="G17" t="s" s="5">
        <v>58</v>
      </c>
      <c r="H17" t="s" s="5">
        <v>59</v>
      </c>
      <c r="I17" t="s" s="5">
        <v>60</v>
      </c>
      <c r="J17" s="6">
        <v>19</v>
      </c>
      <c r="K17" t="s" s="8">
        <v>16</v>
      </c>
      <c r="L17" s="10"/>
    </row>
    <row r="18" ht="15.35" customHeight="1">
      <c r="A18" t="s" s="4">
        <v>61</v>
      </c>
      <c r="B18" t="s" s="5">
        <v>57</v>
      </c>
      <c r="C18" t="s" s="5">
        <v>11</v>
      </c>
      <c r="D18" t="s" s="5">
        <v>12</v>
      </c>
      <c r="E18" s="6">
        <v>1891</v>
      </c>
      <c r="F18" s="6">
        <v>30</v>
      </c>
      <c r="G18" t="s" s="5">
        <v>62</v>
      </c>
      <c r="H18" t="s" s="5">
        <v>45</v>
      </c>
      <c r="I18" t="s" s="5">
        <v>15</v>
      </c>
      <c r="J18" s="6">
        <v>19</v>
      </c>
      <c r="K18" t="s" s="8">
        <v>16</v>
      </c>
      <c r="L18" s="10"/>
    </row>
    <row r="19" ht="15.35" customHeight="1">
      <c r="A19" t="s" s="4">
        <v>63</v>
      </c>
      <c r="B19" t="s" s="5">
        <v>64</v>
      </c>
      <c r="C19" t="s" s="5">
        <v>65</v>
      </c>
      <c r="D19" t="s" s="5">
        <v>12</v>
      </c>
      <c r="E19" s="6">
        <v>1884</v>
      </c>
      <c r="F19" s="6">
        <v>37</v>
      </c>
      <c r="G19" t="s" s="5">
        <v>34</v>
      </c>
      <c r="H19" t="s" s="5">
        <v>66</v>
      </c>
      <c r="I19" t="s" s="5">
        <v>67</v>
      </c>
      <c r="J19" s="6">
        <v>191</v>
      </c>
      <c r="K19" t="s" s="8">
        <v>16</v>
      </c>
      <c r="L19" s="10"/>
    </row>
    <row r="20" ht="15.3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ht="15.35" customHeight="1">
      <c r="A21" t="s" s="4">
        <v>0</v>
      </c>
      <c r="B21" t="s" s="5">
        <v>1</v>
      </c>
      <c r="C21" t="s" s="5">
        <v>2</v>
      </c>
      <c r="D21" t="s" s="5">
        <v>3</v>
      </c>
      <c r="E21" t="s" s="5">
        <v>4</v>
      </c>
      <c r="F21" t="s" s="5">
        <v>5</v>
      </c>
      <c r="G21" t="s" s="5">
        <v>6</v>
      </c>
      <c r="H21" t="s" s="5">
        <v>7</v>
      </c>
      <c r="I21" t="s" s="5">
        <v>8</v>
      </c>
      <c r="J21" s="13"/>
      <c r="K21" s="13"/>
      <c r="L21" s="10"/>
    </row>
    <row r="22" ht="15.35" customHeight="1">
      <c r="A22" t="s" s="4">
        <v>68</v>
      </c>
      <c r="B22" t="s" s="5">
        <v>69</v>
      </c>
      <c r="C22" t="s" s="5">
        <v>31</v>
      </c>
      <c r="D22" t="s" s="5">
        <v>37</v>
      </c>
      <c r="E22" s="6">
        <v>1857</v>
      </c>
      <c r="F22" s="6">
        <v>63</v>
      </c>
      <c r="G22" t="s" s="5">
        <v>13</v>
      </c>
      <c r="H22" t="s" s="5">
        <v>70</v>
      </c>
      <c r="I22" t="s" s="5">
        <v>34</v>
      </c>
      <c r="J22" s="13"/>
      <c r="K22" s="13"/>
      <c r="L22" s="10"/>
    </row>
    <row r="23" ht="15.35" customHeight="1">
      <c r="A23" t="s" s="4">
        <v>71</v>
      </c>
      <c r="B23" t="s" s="5">
        <v>69</v>
      </c>
      <c r="C23" t="s" s="5">
        <v>72</v>
      </c>
      <c r="D23" t="s" s="5">
        <v>12</v>
      </c>
      <c r="E23" s="6">
        <v>1866</v>
      </c>
      <c r="F23" s="6">
        <v>54</v>
      </c>
      <c r="G23" t="s" s="5">
        <v>73</v>
      </c>
      <c r="H23" t="s" s="5">
        <v>33</v>
      </c>
      <c r="I23" t="s" s="5">
        <v>34</v>
      </c>
      <c r="J23" s="13"/>
      <c r="K23" s="13"/>
      <c r="L23" s="10"/>
    </row>
    <row r="24" ht="15.35" customHeight="1">
      <c r="A24" t="s" s="4">
        <v>74</v>
      </c>
      <c r="B24" t="s" s="5">
        <v>69</v>
      </c>
      <c r="C24" t="s" s="5">
        <v>36</v>
      </c>
      <c r="D24" t="s" s="5">
        <v>37</v>
      </c>
      <c r="E24" s="6">
        <v>1896</v>
      </c>
      <c r="F24" s="6">
        <v>24</v>
      </c>
      <c r="G24" t="s" s="5">
        <v>13</v>
      </c>
      <c r="H24" t="s" s="5">
        <v>75</v>
      </c>
      <c r="I24" t="s" s="5">
        <v>76</v>
      </c>
      <c r="J24" s="13"/>
      <c r="K24" s="13"/>
      <c r="L24" s="10"/>
    </row>
    <row r="25" ht="15.35" customHeight="1">
      <c r="A25" t="s" s="4">
        <v>77</v>
      </c>
      <c r="B25" t="s" s="5">
        <v>69</v>
      </c>
      <c r="C25" t="s" s="5">
        <v>78</v>
      </c>
      <c r="D25" t="s" s="5">
        <v>12</v>
      </c>
      <c r="E25" s="6">
        <v>1898</v>
      </c>
      <c r="F25" s="6">
        <v>22</v>
      </c>
      <c r="G25" t="s" s="5">
        <v>13</v>
      </c>
      <c r="H25" t="s" s="5">
        <v>34</v>
      </c>
      <c r="I25" t="s" s="5">
        <v>34</v>
      </c>
      <c r="J25" s="13"/>
      <c r="K25" s="13"/>
      <c r="L25" s="10"/>
    </row>
    <row r="26" ht="15.35" customHeight="1">
      <c r="A26" t="s" s="4">
        <v>79</v>
      </c>
      <c r="B26" t="s" s="5">
        <v>69</v>
      </c>
      <c r="C26" t="s" s="5">
        <v>78</v>
      </c>
      <c r="D26" t="s" s="5">
        <v>12</v>
      </c>
      <c r="E26" s="6">
        <v>1900</v>
      </c>
      <c r="F26" s="6">
        <v>20</v>
      </c>
      <c r="G26" t="s" s="5">
        <v>80</v>
      </c>
      <c r="H26" t="s" s="5">
        <v>34</v>
      </c>
      <c r="I26" t="s" s="5">
        <v>34</v>
      </c>
      <c r="J26" s="13"/>
      <c r="K26" s="13"/>
      <c r="L26" s="10"/>
    </row>
    <row r="27" ht="15.35" customHeight="1">
      <c r="A27" t="s" s="4">
        <v>81</v>
      </c>
      <c r="B27" t="s" s="5">
        <v>69</v>
      </c>
      <c r="C27" t="s" s="5">
        <v>78</v>
      </c>
      <c r="D27" t="s" s="5">
        <v>12</v>
      </c>
      <c r="E27" s="6">
        <v>1902</v>
      </c>
      <c r="F27" s="6">
        <v>19</v>
      </c>
      <c r="G27" t="s" s="5">
        <v>80</v>
      </c>
      <c r="H27" t="s" s="5">
        <v>34</v>
      </c>
      <c r="I27" t="s" s="5">
        <v>34</v>
      </c>
      <c r="J27" s="13"/>
      <c r="K27" s="13"/>
      <c r="L27" s="10"/>
    </row>
    <row r="28" ht="15.35" customHeight="1">
      <c r="A28" t="s" s="4">
        <v>82</v>
      </c>
      <c r="B28" t="s" s="5">
        <v>83</v>
      </c>
      <c r="C28" t="s" s="5">
        <v>11</v>
      </c>
      <c r="D28" t="s" s="5">
        <v>12</v>
      </c>
      <c r="E28" s="6">
        <v>1900</v>
      </c>
      <c r="F28" s="6">
        <v>20</v>
      </c>
      <c r="G28" t="s" s="5">
        <v>84</v>
      </c>
      <c r="H28" t="s" s="5">
        <v>85</v>
      </c>
      <c r="I28" t="s" s="5">
        <v>15</v>
      </c>
      <c r="J28" s="13"/>
      <c r="K28" s="13"/>
      <c r="L28" s="10"/>
    </row>
    <row r="29" ht="15.35" customHeight="1">
      <c r="A29" t="s" s="4">
        <v>86</v>
      </c>
      <c r="B29" t="s" s="5">
        <v>87</v>
      </c>
      <c r="C29" t="s" s="5">
        <v>11</v>
      </c>
      <c r="D29" t="s" s="5">
        <v>12</v>
      </c>
      <c r="E29" s="6">
        <v>1896</v>
      </c>
      <c r="F29" s="6">
        <v>24</v>
      </c>
      <c r="G29" t="s" s="5">
        <v>88</v>
      </c>
      <c r="H29" t="s" s="5">
        <v>89</v>
      </c>
      <c r="I29" t="s" s="5">
        <v>15</v>
      </c>
      <c r="J29" s="13"/>
      <c r="K29" s="13"/>
      <c r="L29" s="10"/>
    </row>
    <row r="30" ht="15.35" customHeight="1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</row>
    <row r="31" ht="15.35" customHeight="1">
      <c r="A31" t="s" s="2">
        <v>0</v>
      </c>
      <c r="B31" t="s" s="2">
        <v>1</v>
      </c>
      <c r="C31" t="s" s="2">
        <v>2</v>
      </c>
      <c r="D31" t="s" s="2">
        <v>3</v>
      </c>
      <c r="E31" t="s" s="2">
        <v>4</v>
      </c>
      <c r="F31" t="s" s="2">
        <v>5</v>
      </c>
      <c r="G31" t="s" s="2">
        <v>6</v>
      </c>
      <c r="H31" t="s" s="2">
        <v>7</v>
      </c>
      <c r="I31" t="s" s="2">
        <v>8</v>
      </c>
      <c r="J31" s="3"/>
      <c r="K31" s="3"/>
      <c r="L31" s="3"/>
    </row>
    <row r="32" ht="15.35" customHeight="1">
      <c r="A32" t="s" s="4">
        <v>90</v>
      </c>
      <c r="B32" t="s" s="5">
        <v>91</v>
      </c>
      <c r="C32" t="s" s="5">
        <v>31</v>
      </c>
      <c r="D32" t="s" s="5">
        <v>37</v>
      </c>
      <c r="E32" s="6">
        <v>1876</v>
      </c>
      <c r="F32" s="6">
        <v>45</v>
      </c>
      <c r="G32" t="s" s="5">
        <v>54</v>
      </c>
      <c r="H32" t="s" s="5">
        <v>92</v>
      </c>
      <c r="I32" t="s" s="5">
        <v>8</v>
      </c>
      <c r="J32" s="13"/>
      <c r="K32" s="13"/>
      <c r="L32" s="10"/>
    </row>
    <row r="33" ht="15.35" customHeight="1">
      <c r="A33" t="s" s="4">
        <v>93</v>
      </c>
      <c r="B33" t="s" s="5">
        <v>91</v>
      </c>
      <c r="C33" t="s" s="5">
        <v>78</v>
      </c>
      <c r="D33" t="s" s="5">
        <v>12</v>
      </c>
      <c r="E33" s="6">
        <v>1902</v>
      </c>
      <c r="F33" s="6">
        <v>18</v>
      </c>
      <c r="G33" t="s" s="5">
        <v>54</v>
      </c>
      <c r="H33" t="s" s="5">
        <v>94</v>
      </c>
      <c r="I33" t="s" s="5">
        <v>34</v>
      </c>
      <c r="J33" s="13"/>
      <c r="K33" s="13"/>
      <c r="L33" s="10"/>
    </row>
    <row r="34" ht="15.35" customHeight="1">
      <c r="A34" t="s" s="4">
        <v>95</v>
      </c>
      <c r="B34" t="s" s="5">
        <v>96</v>
      </c>
      <c r="C34" t="s" s="5">
        <v>11</v>
      </c>
      <c r="D34" t="s" s="5">
        <v>12</v>
      </c>
      <c r="E34" s="6">
        <v>1891</v>
      </c>
      <c r="F34" s="6">
        <v>29</v>
      </c>
      <c r="G34" t="s" s="5">
        <v>97</v>
      </c>
      <c r="H34" t="s" s="5">
        <v>45</v>
      </c>
      <c r="I34" t="s" s="5">
        <v>15</v>
      </c>
      <c r="J34" s="13"/>
      <c r="K34" s="13"/>
      <c r="L34" s="10"/>
    </row>
    <row r="35" ht="15.35" customHeight="1">
      <c r="A35" t="s" s="4">
        <v>98</v>
      </c>
      <c r="B35" t="s" s="5">
        <v>99</v>
      </c>
      <c r="C35" t="s" s="5">
        <v>11</v>
      </c>
      <c r="D35" t="s" s="5">
        <v>12</v>
      </c>
      <c r="E35" s="6">
        <v>1896</v>
      </c>
      <c r="F35" s="6">
        <v>24</v>
      </c>
      <c r="G35" t="s" s="5">
        <v>100</v>
      </c>
      <c r="H35" t="s" s="5">
        <v>101</v>
      </c>
      <c r="I35" t="s" s="5">
        <v>15</v>
      </c>
      <c r="J35" s="13"/>
      <c r="K35" s="13"/>
      <c r="L35" s="10"/>
    </row>
    <row r="36" ht="15.35" customHeight="1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ht="15.35" customHeight="1">
      <c r="A37" t="s" s="2">
        <v>0</v>
      </c>
      <c r="B37" t="s" s="2">
        <v>1</v>
      </c>
      <c r="C37" t="s" s="2">
        <v>2</v>
      </c>
      <c r="D37" t="s" s="2">
        <v>3</v>
      </c>
      <c r="E37" t="s" s="2">
        <v>4</v>
      </c>
      <c r="F37" t="s" s="2">
        <v>5</v>
      </c>
      <c r="G37" t="s" s="2">
        <v>6</v>
      </c>
      <c r="H37" t="s" s="2">
        <v>7</v>
      </c>
      <c r="I37" t="s" s="2">
        <v>8</v>
      </c>
      <c r="J37" s="3"/>
      <c r="K37" s="3"/>
      <c r="L37" s="3"/>
    </row>
    <row r="38" ht="15.35" customHeight="1">
      <c r="A38" t="s" s="4">
        <v>102</v>
      </c>
      <c r="B38" t="s" s="5">
        <v>103</v>
      </c>
      <c r="C38" t="s" s="5">
        <v>11</v>
      </c>
      <c r="D38" t="s" s="5">
        <v>12</v>
      </c>
      <c r="E38" s="6">
        <v>1896</v>
      </c>
      <c r="F38" s="6">
        <v>24</v>
      </c>
      <c r="G38" t="s" s="5">
        <v>104</v>
      </c>
      <c r="H38" t="s" s="5">
        <v>105</v>
      </c>
      <c r="I38" t="s" s="5">
        <v>15</v>
      </c>
      <c r="J38" s="13"/>
      <c r="K38" s="13"/>
      <c r="L38" s="10"/>
    </row>
    <row r="39" ht="15.35" customHeight="1">
      <c r="A39" t="s" s="4">
        <v>106</v>
      </c>
      <c r="B39" t="s" s="5">
        <v>103</v>
      </c>
      <c r="C39" t="s" s="5">
        <v>11</v>
      </c>
      <c r="D39" t="s" s="5">
        <v>12</v>
      </c>
      <c r="E39" s="6">
        <v>1899</v>
      </c>
      <c r="F39" s="6">
        <v>21</v>
      </c>
      <c r="G39" t="s" s="5">
        <v>107</v>
      </c>
      <c r="H39" t="s" s="5">
        <v>105</v>
      </c>
      <c r="I39" t="s" s="5">
        <v>15</v>
      </c>
      <c r="J39" s="13"/>
      <c r="K39" s="13"/>
      <c r="L39" s="10"/>
    </row>
    <row r="40" ht="15.35" customHeight="1">
      <c r="A40" t="s" s="4">
        <v>108</v>
      </c>
      <c r="B40" t="s" s="5">
        <v>103</v>
      </c>
      <c r="C40" t="s" s="5">
        <v>78</v>
      </c>
      <c r="D40" t="s" s="5">
        <v>12</v>
      </c>
      <c r="E40" s="6">
        <v>1914</v>
      </c>
      <c r="F40" s="6">
        <v>7</v>
      </c>
      <c r="G40" t="s" s="5">
        <v>13</v>
      </c>
      <c r="H40" t="s" s="5">
        <v>34</v>
      </c>
      <c r="I40" t="s" s="5">
        <v>34</v>
      </c>
      <c r="J40" s="13"/>
      <c r="K40" s="13"/>
      <c r="L40" s="10"/>
    </row>
    <row r="41" ht="15.35" customHeight="1">
      <c r="A41" t="s" s="4">
        <v>109</v>
      </c>
      <c r="B41" t="s" s="5">
        <v>110</v>
      </c>
      <c r="C41" t="s" s="5">
        <v>41</v>
      </c>
      <c r="D41" t="s" s="5">
        <v>12</v>
      </c>
      <c r="E41" s="6">
        <v>1870</v>
      </c>
      <c r="F41" s="6">
        <v>51</v>
      </c>
      <c r="G41" t="s" s="5">
        <v>111</v>
      </c>
      <c r="H41" t="s" s="5">
        <v>33</v>
      </c>
      <c r="I41" t="s" s="5">
        <v>34</v>
      </c>
      <c r="J41" s="13"/>
      <c r="K41" s="13"/>
      <c r="L41" s="10"/>
    </row>
    <row r="42" ht="15.35" customHeight="1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</row>
    <row r="43" ht="15.35" customHeight="1">
      <c r="A43" t="s" s="2">
        <v>0</v>
      </c>
      <c r="B43" t="s" s="2">
        <v>1</v>
      </c>
      <c r="C43" t="s" s="2">
        <v>2</v>
      </c>
      <c r="D43" t="s" s="2">
        <v>3</v>
      </c>
      <c r="E43" t="s" s="2">
        <v>4</v>
      </c>
      <c r="F43" t="s" s="2">
        <v>5</v>
      </c>
      <c r="G43" t="s" s="2">
        <v>6</v>
      </c>
      <c r="H43" t="s" s="2">
        <v>7</v>
      </c>
      <c r="I43" t="s" s="2">
        <v>8</v>
      </c>
      <c r="J43" s="3"/>
      <c r="K43" s="3"/>
      <c r="L43" s="3"/>
    </row>
    <row r="44" ht="15.35" customHeight="1">
      <c r="A44" t="s" s="4">
        <v>112</v>
      </c>
      <c r="B44" t="s" s="5">
        <v>113</v>
      </c>
      <c r="C44" t="s" s="5">
        <v>31</v>
      </c>
      <c r="D44" t="s" s="5">
        <v>37</v>
      </c>
      <c r="E44" s="6">
        <v>1855</v>
      </c>
      <c r="F44" s="6">
        <v>65</v>
      </c>
      <c r="G44" t="s" s="5">
        <v>13</v>
      </c>
      <c r="H44" t="s" s="5">
        <v>114</v>
      </c>
      <c r="I44" t="s" s="5">
        <v>8</v>
      </c>
      <c r="J44" s="13"/>
      <c r="K44" s="13"/>
      <c r="L44" s="10"/>
    </row>
    <row r="45" ht="15.35" customHeight="1">
      <c r="A45" t="s" s="4">
        <v>115</v>
      </c>
      <c r="B45" t="s" s="5">
        <v>113</v>
      </c>
      <c r="C45" t="s" s="5">
        <v>72</v>
      </c>
      <c r="D45" t="s" s="5">
        <v>12</v>
      </c>
      <c r="E45" s="6">
        <v>1862</v>
      </c>
      <c r="F45" s="6">
        <v>58</v>
      </c>
      <c r="G45" t="s" s="5">
        <v>13</v>
      </c>
      <c r="H45" t="s" s="5">
        <v>33</v>
      </c>
      <c r="I45" t="s" s="5">
        <v>34</v>
      </c>
      <c r="J45" s="13"/>
      <c r="K45" s="13"/>
      <c r="L45" s="10"/>
    </row>
    <row r="46" ht="15.35" customHeight="1">
      <c r="A46" t="s" s="4">
        <v>116</v>
      </c>
      <c r="B46" t="s" s="5">
        <v>117</v>
      </c>
      <c r="C46" t="s" s="5">
        <v>11</v>
      </c>
      <c r="D46" t="s" s="5">
        <v>12</v>
      </c>
      <c r="E46" s="6">
        <v>1892</v>
      </c>
      <c r="F46" s="6">
        <v>29</v>
      </c>
      <c r="G46" t="s" s="5">
        <v>118</v>
      </c>
      <c r="H46" t="s" s="5">
        <v>55</v>
      </c>
      <c r="I46" t="s" s="5">
        <v>15</v>
      </c>
      <c r="J46" s="13"/>
      <c r="K46" s="13"/>
      <c r="L46" s="10"/>
    </row>
    <row r="47" ht="15.35" customHeight="1">
      <c r="A47" t="s" s="4">
        <v>119</v>
      </c>
      <c r="B47" t="s" s="5">
        <v>120</v>
      </c>
      <c r="C47" t="s" s="5">
        <v>11</v>
      </c>
      <c r="D47" t="s" s="5">
        <v>12</v>
      </c>
      <c r="E47" s="6">
        <v>1905</v>
      </c>
      <c r="F47" s="6">
        <v>15</v>
      </c>
      <c r="G47" t="s" s="5">
        <v>121</v>
      </c>
      <c r="H47" t="s" s="5">
        <v>122</v>
      </c>
      <c r="I47" t="s" s="5">
        <v>15</v>
      </c>
      <c r="J47" s="13"/>
      <c r="K47" s="13"/>
      <c r="L47" s="10"/>
    </row>
    <row r="48" ht="15.35" customHeight="1">
      <c r="A48" t="s" s="4">
        <v>123</v>
      </c>
      <c r="B48" t="s" s="5">
        <v>124</v>
      </c>
      <c r="C48" t="s" s="5">
        <v>11</v>
      </c>
      <c r="D48" t="s" s="5">
        <v>12</v>
      </c>
      <c r="E48" s="6">
        <v>1888</v>
      </c>
      <c r="F48" s="6">
        <v>32</v>
      </c>
      <c r="G48" t="s" s="5">
        <v>125</v>
      </c>
      <c r="H48" t="s" s="5">
        <v>126</v>
      </c>
      <c r="I48" t="s" s="5">
        <v>15</v>
      </c>
      <c r="J48" s="13"/>
      <c r="K48" s="13"/>
      <c r="L48" s="10"/>
    </row>
    <row r="49" ht="15.35" customHeight="1">
      <c r="A49" t="s" s="4">
        <v>127</v>
      </c>
      <c r="B49" t="s" s="5">
        <v>128</v>
      </c>
      <c r="C49" t="s" s="5">
        <v>11</v>
      </c>
      <c r="D49" t="s" s="5">
        <v>12</v>
      </c>
      <c r="E49" s="6">
        <v>1890</v>
      </c>
      <c r="F49" s="6">
        <v>31</v>
      </c>
      <c r="G49" t="s" s="5">
        <v>54</v>
      </c>
      <c r="H49" t="s" s="5">
        <v>45</v>
      </c>
      <c r="I49" t="s" s="5">
        <v>15</v>
      </c>
      <c r="J49" s="13"/>
      <c r="K49" s="13"/>
      <c r="L49" s="10"/>
    </row>
    <row r="50" ht="15.35" customHeight="1">
      <c r="A50" s="15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0"/>
    </row>
    <row r="51" ht="15.35" customHeight="1">
      <c r="A51" t="s" s="4">
        <v>0</v>
      </c>
      <c r="B51" t="s" s="5">
        <v>1</v>
      </c>
      <c r="C51" t="s" s="5">
        <v>2</v>
      </c>
      <c r="D51" t="s" s="5">
        <v>3</v>
      </c>
      <c r="E51" t="s" s="5">
        <v>4</v>
      </c>
      <c r="F51" t="s" s="5">
        <v>5</v>
      </c>
      <c r="G51" t="s" s="5">
        <v>6</v>
      </c>
      <c r="H51" t="s" s="5">
        <v>7</v>
      </c>
      <c r="I51" t="s" s="5">
        <v>8</v>
      </c>
      <c r="J51" s="13"/>
      <c r="K51" s="13"/>
      <c r="L51" s="10"/>
    </row>
    <row r="52" ht="15.35" customHeight="1">
      <c r="A52" t="s" s="4">
        <v>95</v>
      </c>
      <c r="B52" t="s" s="5">
        <v>129</v>
      </c>
      <c r="C52" t="s" s="5">
        <v>31</v>
      </c>
      <c r="D52" t="s" s="5">
        <v>12</v>
      </c>
      <c r="E52" s="6">
        <v>1856</v>
      </c>
      <c r="F52" s="6">
        <v>65</v>
      </c>
      <c r="G52" t="s" s="5">
        <v>13</v>
      </c>
      <c r="H52" t="s" s="5">
        <v>33</v>
      </c>
      <c r="I52" t="s" s="5">
        <v>34</v>
      </c>
      <c r="J52" s="13"/>
      <c r="K52" s="13"/>
      <c r="L52" s="10"/>
    </row>
    <row r="53" ht="15.35" customHeight="1">
      <c r="A53" t="s" s="4">
        <v>79</v>
      </c>
      <c r="B53" t="s" s="5">
        <v>130</v>
      </c>
      <c r="C53" t="s" s="5">
        <v>41</v>
      </c>
      <c r="D53" t="s" s="5">
        <v>12</v>
      </c>
      <c r="E53" s="6">
        <v>1861</v>
      </c>
      <c r="F53" s="6">
        <v>60</v>
      </c>
      <c r="G53" t="s" s="5">
        <v>131</v>
      </c>
      <c r="H53" t="s" s="5">
        <v>34</v>
      </c>
      <c r="I53" t="s" s="5">
        <v>15</v>
      </c>
      <c r="J53" s="13"/>
      <c r="K53" s="13"/>
      <c r="L53" s="10"/>
    </row>
    <row r="54" ht="15.35" customHeight="1">
      <c r="A54" t="s" s="4">
        <v>132</v>
      </c>
      <c r="B54" t="s" s="5">
        <v>133</v>
      </c>
      <c r="C54" t="s" s="5">
        <v>11</v>
      </c>
      <c r="D54" t="s" s="5">
        <v>12</v>
      </c>
      <c r="E54" s="6">
        <v>1861</v>
      </c>
      <c r="F54" s="6">
        <v>60</v>
      </c>
      <c r="G54" t="s" s="5">
        <v>134</v>
      </c>
      <c r="H54" t="s" s="5">
        <v>126</v>
      </c>
      <c r="I54" t="s" s="5">
        <v>15</v>
      </c>
      <c r="J54" s="13"/>
      <c r="K54" s="13"/>
      <c r="L54" s="10"/>
    </row>
    <row r="55" ht="15.35" customHeight="1">
      <c r="A55" t="s" s="4">
        <v>79</v>
      </c>
      <c r="B55" t="s" s="5">
        <v>135</v>
      </c>
      <c r="C55" t="s" s="5">
        <v>11</v>
      </c>
      <c r="D55" t="s" s="5">
        <v>12</v>
      </c>
      <c r="E55" s="6">
        <v>1872</v>
      </c>
      <c r="F55" s="6">
        <v>48</v>
      </c>
      <c r="G55" t="s" s="5">
        <v>136</v>
      </c>
      <c r="H55" t="s" s="5">
        <v>45</v>
      </c>
      <c r="I55" t="s" s="5">
        <v>15</v>
      </c>
      <c r="J55" s="13"/>
      <c r="K55" s="13"/>
      <c r="L55" s="10"/>
    </row>
    <row r="56" ht="15.35" customHeight="1">
      <c r="A56" t="s" s="4">
        <v>95</v>
      </c>
      <c r="B56" t="s" s="5">
        <v>137</v>
      </c>
      <c r="C56" t="s" s="5">
        <v>11</v>
      </c>
      <c r="D56" t="s" s="5">
        <v>12</v>
      </c>
      <c r="E56" s="6">
        <v>1904</v>
      </c>
      <c r="F56" s="6">
        <v>17</v>
      </c>
      <c r="G56" t="s" s="5">
        <v>138</v>
      </c>
      <c r="H56" t="s" s="5">
        <v>89</v>
      </c>
      <c r="I56" t="s" s="5">
        <v>15</v>
      </c>
      <c r="J56" s="13"/>
      <c r="K56" s="13"/>
      <c r="L56" s="10"/>
    </row>
    <row r="57" ht="15.35" customHeight="1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</row>
    <row r="58" ht="15.35" customHeight="1">
      <c r="A58" t="s" s="2">
        <v>0</v>
      </c>
      <c r="B58" t="s" s="2">
        <v>1</v>
      </c>
      <c r="C58" t="s" s="2">
        <v>2</v>
      </c>
      <c r="D58" t="s" s="2">
        <v>3</v>
      </c>
      <c r="E58" t="s" s="2">
        <v>4</v>
      </c>
      <c r="F58" t="s" s="2">
        <v>5</v>
      </c>
      <c r="G58" t="s" s="2">
        <v>6</v>
      </c>
      <c r="H58" t="s" s="2">
        <v>7</v>
      </c>
      <c r="I58" t="s" s="2">
        <v>8</v>
      </c>
      <c r="J58" s="3"/>
      <c r="K58" s="3"/>
      <c r="L58" s="3"/>
    </row>
    <row r="59" ht="15.35" customHeight="1">
      <c r="A59" t="s" s="4">
        <v>95</v>
      </c>
      <c r="B59" t="s" s="5">
        <v>139</v>
      </c>
      <c r="C59" t="s" s="5">
        <v>11</v>
      </c>
      <c r="D59" t="s" s="5">
        <v>12</v>
      </c>
      <c r="E59" s="6">
        <v>1871</v>
      </c>
      <c r="F59" s="6">
        <v>50</v>
      </c>
      <c r="G59" t="s" s="5">
        <v>34</v>
      </c>
      <c r="H59" t="s" s="5">
        <v>45</v>
      </c>
      <c r="I59" t="s" s="5">
        <v>15</v>
      </c>
      <c r="J59" s="13"/>
      <c r="K59" s="13"/>
      <c r="L59" s="10"/>
    </row>
    <row r="60" ht="15.35" customHeight="1">
      <c r="A60" t="s" s="4">
        <v>140</v>
      </c>
      <c r="B60" t="s" s="5">
        <v>141</v>
      </c>
      <c r="C60" t="s" s="5">
        <v>11</v>
      </c>
      <c r="D60" t="s" s="5">
        <v>12</v>
      </c>
      <c r="E60" s="6">
        <v>1893</v>
      </c>
      <c r="F60" s="6">
        <v>28</v>
      </c>
      <c r="G60" t="s" s="5">
        <v>142</v>
      </c>
      <c r="H60" t="s" s="5">
        <v>55</v>
      </c>
      <c r="I60" t="s" s="5">
        <v>15</v>
      </c>
      <c r="J60" s="13"/>
      <c r="K60" s="13"/>
      <c r="L60" s="10"/>
    </row>
    <row r="61" ht="15.35" customHeight="1">
      <c r="A61" t="s" s="4">
        <v>143</v>
      </c>
      <c r="B61" t="s" s="5">
        <v>144</v>
      </c>
      <c r="C61" t="s" s="5">
        <v>145</v>
      </c>
      <c r="D61" t="s" s="5">
        <v>12</v>
      </c>
      <c r="E61" s="6">
        <v>1882</v>
      </c>
      <c r="F61" s="6">
        <v>39</v>
      </c>
      <c r="G61" t="s" s="5">
        <v>13</v>
      </c>
      <c r="H61" t="s" s="5">
        <v>146</v>
      </c>
      <c r="I61" t="s" s="5">
        <v>15</v>
      </c>
      <c r="J61" s="13"/>
      <c r="K61" s="13"/>
      <c r="L61" s="10"/>
    </row>
    <row r="62" ht="15.35" customHeight="1">
      <c r="A62" t="s" s="4">
        <v>147</v>
      </c>
      <c r="B62" t="s" s="5">
        <v>148</v>
      </c>
      <c r="C62" t="s" s="5">
        <v>78</v>
      </c>
      <c r="D62" t="s" s="5">
        <v>12</v>
      </c>
      <c r="E62" s="6">
        <v>1909</v>
      </c>
      <c r="F62" s="6">
        <v>12</v>
      </c>
      <c r="G62" t="s" s="5">
        <v>13</v>
      </c>
      <c r="H62" t="s" s="5">
        <v>34</v>
      </c>
      <c r="I62" t="s" s="5">
        <v>34</v>
      </c>
      <c r="J62" s="13"/>
      <c r="K62" s="13"/>
      <c r="L62" s="10"/>
    </row>
    <row r="63" ht="15.35" customHeight="1">
      <c r="A63" t="s" s="4">
        <v>149</v>
      </c>
      <c r="B63" t="s" s="5">
        <v>148</v>
      </c>
      <c r="C63" t="s" s="5">
        <v>72</v>
      </c>
      <c r="D63" t="s" s="5">
        <v>12</v>
      </c>
      <c r="E63" s="6">
        <v>1880</v>
      </c>
      <c r="F63" s="6">
        <v>40</v>
      </c>
      <c r="G63" t="s" s="5">
        <v>150</v>
      </c>
      <c r="H63" t="s" s="5">
        <v>33</v>
      </c>
      <c r="I63" t="s" s="5">
        <v>34</v>
      </c>
      <c r="J63" s="13"/>
      <c r="K63" s="13"/>
      <c r="L63" s="10"/>
    </row>
    <row r="64" ht="15.35" customHeight="1">
      <c r="A64" t="s" s="4">
        <v>151</v>
      </c>
      <c r="B64" t="s" s="5">
        <v>148</v>
      </c>
      <c r="C64" t="s" s="5">
        <v>31</v>
      </c>
      <c r="D64" t="s" s="5">
        <v>37</v>
      </c>
      <c r="E64" s="6">
        <v>1869</v>
      </c>
      <c r="F64" s="6">
        <v>52</v>
      </c>
      <c r="G64" t="s" s="5">
        <v>13</v>
      </c>
      <c r="H64" t="s" s="5">
        <v>152</v>
      </c>
      <c r="I64" t="s" s="5">
        <v>8</v>
      </c>
      <c r="J64" s="13"/>
      <c r="K64" s="13"/>
      <c r="L64" s="10"/>
    </row>
    <row r="65" ht="15.35" customHeight="1">
      <c r="A65" s="15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0"/>
    </row>
    <row r="66" ht="15.35" customHeight="1">
      <c r="A66" t="s" s="4">
        <v>0</v>
      </c>
      <c r="B66" t="s" s="5">
        <v>1</v>
      </c>
      <c r="C66" t="s" s="5">
        <v>2</v>
      </c>
      <c r="D66" t="s" s="5">
        <v>3</v>
      </c>
      <c r="E66" t="s" s="5">
        <v>4</v>
      </c>
      <c r="F66" t="s" s="5">
        <v>5</v>
      </c>
      <c r="G66" t="s" s="5">
        <v>6</v>
      </c>
      <c r="H66" t="s" s="5">
        <v>7</v>
      </c>
      <c r="I66" t="s" s="5">
        <v>8</v>
      </c>
      <c r="J66" s="13"/>
      <c r="K66" s="13"/>
      <c r="L66" s="10"/>
    </row>
    <row r="67" ht="15.35" customHeight="1">
      <c r="A67" t="s" s="4">
        <v>153</v>
      </c>
      <c r="B67" t="s" s="5">
        <v>154</v>
      </c>
      <c r="C67" t="s" s="5">
        <v>31</v>
      </c>
      <c r="D67" t="s" s="5">
        <v>37</v>
      </c>
      <c r="E67" s="6">
        <v>1882</v>
      </c>
      <c r="F67" s="6">
        <v>38</v>
      </c>
      <c r="G67" t="s" s="5">
        <v>155</v>
      </c>
      <c r="H67" t="s" s="5">
        <v>156</v>
      </c>
      <c r="I67" t="s" s="5">
        <v>8</v>
      </c>
      <c r="J67" s="13"/>
      <c r="K67" s="13"/>
      <c r="L67" s="10"/>
    </row>
    <row r="68" ht="15.35" customHeight="1">
      <c r="A68" t="s" s="4">
        <v>157</v>
      </c>
      <c r="B68" t="s" s="5">
        <v>154</v>
      </c>
      <c r="C68" t="s" s="5">
        <v>78</v>
      </c>
      <c r="D68" t="s" s="5">
        <v>12</v>
      </c>
      <c r="E68" s="6">
        <v>1906</v>
      </c>
      <c r="F68" s="6">
        <v>14</v>
      </c>
      <c r="G68" t="s" s="5">
        <v>13</v>
      </c>
      <c r="H68" t="s" s="5">
        <v>34</v>
      </c>
      <c r="I68" t="s" s="5">
        <v>34</v>
      </c>
      <c r="J68" s="13"/>
      <c r="K68" s="13"/>
      <c r="L68" s="10"/>
    </row>
    <row r="69" ht="15.35" customHeight="1">
      <c r="A69" t="s" s="4">
        <v>158</v>
      </c>
      <c r="B69" t="s" s="5">
        <v>154</v>
      </c>
      <c r="C69" t="s" s="5">
        <v>78</v>
      </c>
      <c r="D69" t="s" s="5">
        <v>12</v>
      </c>
      <c r="E69" s="6">
        <v>1908</v>
      </c>
      <c r="F69" s="6">
        <v>13</v>
      </c>
      <c r="G69" t="s" s="5">
        <v>13</v>
      </c>
      <c r="H69" t="s" s="5">
        <v>34</v>
      </c>
      <c r="I69" t="s" s="5">
        <v>34</v>
      </c>
      <c r="J69" s="13"/>
      <c r="K69" s="13"/>
      <c r="L69" s="10"/>
    </row>
    <row r="70" ht="15.35" customHeight="1">
      <c r="A70" t="s" s="4">
        <v>159</v>
      </c>
      <c r="B70" t="s" s="5">
        <v>154</v>
      </c>
      <c r="C70" t="s" s="5">
        <v>78</v>
      </c>
      <c r="D70" t="s" s="5">
        <v>37</v>
      </c>
      <c r="E70" s="6">
        <v>1911</v>
      </c>
      <c r="F70" s="6">
        <v>10</v>
      </c>
      <c r="G70" t="s" s="5">
        <v>13</v>
      </c>
      <c r="H70" t="s" s="5">
        <v>34</v>
      </c>
      <c r="I70" t="s" s="5">
        <v>34</v>
      </c>
      <c r="J70" s="13"/>
      <c r="K70" s="13"/>
      <c r="L70" s="10"/>
    </row>
    <row r="71" ht="15.35" customHeight="1">
      <c r="A71" t="s" s="4">
        <v>160</v>
      </c>
      <c r="B71" t="s" s="5">
        <v>154</v>
      </c>
      <c r="C71" t="s" s="5">
        <v>36</v>
      </c>
      <c r="D71" t="s" s="5">
        <v>37</v>
      </c>
      <c r="E71" s="6">
        <v>1913</v>
      </c>
      <c r="F71" s="6">
        <v>8</v>
      </c>
      <c r="G71" t="s" s="5">
        <v>13</v>
      </c>
      <c r="H71" t="s" s="5">
        <v>34</v>
      </c>
      <c r="I71" t="s" s="5">
        <v>34</v>
      </c>
      <c r="J71" s="13"/>
      <c r="K71" s="13"/>
      <c r="L71" s="10"/>
    </row>
    <row r="72" ht="15.35" customHeight="1">
      <c r="A72" t="s" s="4">
        <v>102</v>
      </c>
      <c r="B72" t="s" s="5">
        <v>161</v>
      </c>
      <c r="C72" t="s" s="5">
        <v>11</v>
      </c>
      <c r="D72" t="s" s="5">
        <v>12</v>
      </c>
      <c r="E72" s="6">
        <v>1890</v>
      </c>
      <c r="F72" s="6">
        <v>31</v>
      </c>
      <c r="G72" t="s" s="5">
        <v>162</v>
      </c>
      <c r="H72" t="s" s="5">
        <v>163</v>
      </c>
      <c r="I72" t="s" s="5">
        <v>15</v>
      </c>
      <c r="J72" s="13"/>
      <c r="K72" s="13"/>
      <c r="L72" s="10"/>
    </row>
    <row r="73" ht="15.35" customHeight="1">
      <c r="A73" t="s" s="4">
        <v>109</v>
      </c>
      <c r="B73" t="s" s="5">
        <v>164</v>
      </c>
      <c r="C73" t="s" s="5">
        <v>11</v>
      </c>
      <c r="D73" t="s" s="5">
        <v>12</v>
      </c>
      <c r="E73" s="6">
        <v>1894</v>
      </c>
      <c r="F73" s="6">
        <v>26</v>
      </c>
      <c r="G73" t="s" s="5">
        <v>165</v>
      </c>
      <c r="H73" t="s" s="5">
        <v>45</v>
      </c>
      <c r="I73" t="s" s="5">
        <v>15</v>
      </c>
      <c r="J73" s="13"/>
      <c r="K73" s="13"/>
      <c r="L73" s="10"/>
    </row>
    <row r="74" ht="15.35" customHeight="1">
      <c r="A74" t="s" s="4">
        <v>166</v>
      </c>
      <c r="B74" t="s" s="5">
        <v>167</v>
      </c>
      <c r="C74" t="s" s="5">
        <v>11</v>
      </c>
      <c r="D74" t="s" s="5">
        <v>12</v>
      </c>
      <c r="E74" s="6">
        <v>1903</v>
      </c>
      <c r="F74" s="6">
        <v>18</v>
      </c>
      <c r="G74" t="s" s="5">
        <v>168</v>
      </c>
      <c r="H74" t="s" s="5">
        <v>55</v>
      </c>
      <c r="I74" t="s" s="5">
        <v>15</v>
      </c>
      <c r="J74" s="13"/>
      <c r="K74" s="13"/>
      <c r="L74" s="10"/>
    </row>
    <row r="75" ht="15.35" customHeight="1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ht="15.35" customHeight="1">
      <c r="A76" t="s" s="2">
        <v>0</v>
      </c>
      <c r="B76" t="s" s="2">
        <v>1</v>
      </c>
      <c r="C76" t="s" s="2">
        <v>2</v>
      </c>
      <c r="D76" t="s" s="2">
        <v>3</v>
      </c>
      <c r="E76" t="s" s="2">
        <v>4</v>
      </c>
      <c r="F76" t="s" s="2">
        <v>5</v>
      </c>
      <c r="G76" t="s" s="2">
        <v>6</v>
      </c>
      <c r="H76" t="s" s="2">
        <v>7</v>
      </c>
      <c r="I76" t="s" s="2">
        <v>8</v>
      </c>
      <c r="J76" s="3"/>
      <c r="K76" s="3"/>
      <c r="L76" s="3"/>
    </row>
    <row r="77" ht="15.35" customHeight="1">
      <c r="A77" t="s" s="4">
        <v>169</v>
      </c>
      <c r="B77" t="s" s="5">
        <v>170</v>
      </c>
      <c r="C77" t="s" s="5">
        <v>31</v>
      </c>
      <c r="D77" t="s" s="5">
        <v>37</v>
      </c>
      <c r="E77" s="6">
        <v>1880</v>
      </c>
      <c r="F77" s="6">
        <v>41</v>
      </c>
      <c r="G77" t="s" s="5">
        <v>13</v>
      </c>
      <c r="H77" t="s" s="5">
        <v>171</v>
      </c>
      <c r="I77" t="s" s="5">
        <v>8</v>
      </c>
      <c r="J77" s="13"/>
      <c r="K77" s="13"/>
      <c r="L77" s="10"/>
    </row>
    <row r="78" ht="15.35" customHeight="1">
      <c r="A78" t="s" s="4">
        <v>172</v>
      </c>
      <c r="B78" t="s" s="5">
        <v>173</v>
      </c>
      <c r="C78" t="s" s="5">
        <v>163</v>
      </c>
      <c r="D78" t="s" s="5">
        <v>12</v>
      </c>
      <c r="E78" s="6">
        <v>1853</v>
      </c>
      <c r="F78" s="6">
        <v>67</v>
      </c>
      <c r="G78" t="s" s="5">
        <v>174</v>
      </c>
      <c r="H78" t="s" s="5">
        <v>175</v>
      </c>
      <c r="I78" t="s" s="5">
        <v>15</v>
      </c>
      <c r="J78" s="13"/>
      <c r="K78" s="13"/>
      <c r="L78" s="10"/>
    </row>
    <row r="79" ht="15.35" customHeight="1">
      <c r="A79" t="s" s="4">
        <v>176</v>
      </c>
      <c r="B79" t="s" s="5">
        <v>177</v>
      </c>
      <c r="C79" t="s" s="5">
        <v>11</v>
      </c>
      <c r="D79" t="s" s="5">
        <v>12</v>
      </c>
      <c r="E79" s="6">
        <v>1897</v>
      </c>
      <c r="F79" s="6">
        <v>23</v>
      </c>
      <c r="G79" t="s" s="5">
        <v>178</v>
      </c>
      <c r="H79" t="s" s="5">
        <v>55</v>
      </c>
      <c r="I79" t="s" s="5">
        <v>15</v>
      </c>
      <c r="J79" s="13"/>
      <c r="K79" s="13"/>
      <c r="L79" s="10"/>
    </row>
    <row r="80" ht="15.35" customHeight="1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</row>
    <row r="81" ht="15.35" customHeight="1">
      <c r="A81" t="s" s="2">
        <v>0</v>
      </c>
      <c r="B81" t="s" s="2">
        <v>1</v>
      </c>
      <c r="C81" t="s" s="2">
        <v>2</v>
      </c>
      <c r="D81" t="s" s="2">
        <v>3</v>
      </c>
      <c r="E81" t="s" s="2">
        <v>4</v>
      </c>
      <c r="F81" t="s" s="2">
        <v>5</v>
      </c>
      <c r="G81" t="s" s="2">
        <v>6</v>
      </c>
      <c r="H81" t="s" s="2">
        <v>7</v>
      </c>
      <c r="I81" t="s" s="2">
        <v>8</v>
      </c>
      <c r="J81" s="3"/>
      <c r="K81" s="3"/>
      <c r="L81" s="3"/>
    </row>
    <row r="82" ht="15.35" customHeight="1">
      <c r="A82" t="s" s="4">
        <v>153</v>
      </c>
      <c r="B82" t="s" s="5">
        <v>179</v>
      </c>
      <c r="C82" t="s" s="5">
        <v>31</v>
      </c>
      <c r="D82" t="s" s="5">
        <v>37</v>
      </c>
      <c r="E82" s="6">
        <v>1860</v>
      </c>
      <c r="F82" s="6">
        <v>61</v>
      </c>
      <c r="G82" t="s" s="5">
        <v>54</v>
      </c>
      <c r="H82" t="s" s="5">
        <v>180</v>
      </c>
      <c r="I82" t="s" s="5">
        <v>34</v>
      </c>
      <c r="J82" s="13"/>
      <c r="K82" s="13"/>
      <c r="L82" s="10"/>
    </row>
    <row r="83" ht="15.35" customHeight="1">
      <c r="A83" t="s" s="4">
        <v>181</v>
      </c>
      <c r="B83" t="s" s="5">
        <v>182</v>
      </c>
      <c r="C83" t="s" s="5">
        <v>163</v>
      </c>
      <c r="D83" t="s" s="5">
        <v>12</v>
      </c>
      <c r="E83" s="6">
        <v>1876</v>
      </c>
      <c r="F83" s="6">
        <v>45</v>
      </c>
      <c r="G83" t="s" s="5">
        <v>183</v>
      </c>
      <c r="H83" t="s" s="5">
        <v>163</v>
      </c>
      <c r="I83" t="s" s="5">
        <v>15</v>
      </c>
      <c r="J83" s="13"/>
      <c r="K83" s="13"/>
      <c r="L83" s="10"/>
    </row>
    <row r="84" ht="15.35" customHeight="1">
      <c r="A84" t="s" s="4">
        <v>184</v>
      </c>
      <c r="B84" t="s" s="5">
        <v>185</v>
      </c>
      <c r="C84" t="s" s="5">
        <v>186</v>
      </c>
      <c r="D84" t="s" s="5">
        <v>12</v>
      </c>
      <c r="E84" s="6">
        <v>1899</v>
      </c>
      <c r="F84" s="6">
        <v>22</v>
      </c>
      <c r="G84" t="s" s="5">
        <v>187</v>
      </c>
      <c r="H84" t="s" s="5">
        <v>188</v>
      </c>
      <c r="I84" t="s" s="5">
        <v>15</v>
      </c>
      <c r="J84" s="13"/>
      <c r="K84" s="13"/>
      <c r="L84" s="10"/>
    </row>
    <row r="85" ht="15.35" customHeight="1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</row>
    <row r="86" ht="15.35" customHeight="1">
      <c r="A86" t="s" s="2">
        <v>0</v>
      </c>
      <c r="B86" t="s" s="2">
        <v>1</v>
      </c>
      <c r="C86" t="s" s="2">
        <v>2</v>
      </c>
      <c r="D86" t="s" s="2">
        <v>3</v>
      </c>
      <c r="E86" t="s" s="2">
        <v>4</v>
      </c>
      <c r="F86" t="s" s="2">
        <v>5</v>
      </c>
      <c r="G86" t="s" s="2">
        <v>6</v>
      </c>
      <c r="H86" t="s" s="2">
        <v>7</v>
      </c>
      <c r="I86" t="s" s="2">
        <v>8</v>
      </c>
      <c r="J86" s="3"/>
      <c r="K86" s="3"/>
      <c r="L86" s="3"/>
    </row>
    <row r="87" ht="15.35" customHeight="1">
      <c r="A87" t="s" s="4">
        <v>189</v>
      </c>
      <c r="B87" t="s" s="5">
        <v>190</v>
      </c>
      <c r="C87" t="s" s="5">
        <v>31</v>
      </c>
      <c r="D87" t="s" s="5">
        <v>37</v>
      </c>
      <c r="E87" s="6">
        <v>1849</v>
      </c>
      <c r="F87" s="6">
        <v>71</v>
      </c>
      <c r="G87" t="s" s="5">
        <v>13</v>
      </c>
      <c r="H87" t="s" s="5">
        <v>191</v>
      </c>
      <c r="I87" t="s" s="5">
        <v>34</v>
      </c>
      <c r="J87" s="13"/>
      <c r="K87" s="13"/>
      <c r="L87" s="10"/>
    </row>
    <row r="88" ht="15.35" customHeight="1">
      <c r="A88" t="s" s="4">
        <v>192</v>
      </c>
      <c r="B88" t="s" s="5">
        <v>190</v>
      </c>
      <c r="C88" t="s" s="5">
        <v>72</v>
      </c>
      <c r="D88" t="s" s="5">
        <v>12</v>
      </c>
      <c r="E88" s="6">
        <v>1862</v>
      </c>
      <c r="F88" s="6">
        <v>58</v>
      </c>
      <c r="G88" t="s" s="5">
        <v>13</v>
      </c>
      <c r="H88" t="s" s="5">
        <v>34</v>
      </c>
      <c r="I88" t="s" s="5">
        <v>34</v>
      </c>
      <c r="J88" s="13"/>
      <c r="K88" s="13"/>
      <c r="L88" s="10"/>
    </row>
    <row r="89" ht="15.35" customHeight="1">
      <c r="A89" t="s" s="4">
        <v>193</v>
      </c>
      <c r="B89" t="s" s="5">
        <v>190</v>
      </c>
      <c r="C89" t="s" s="5">
        <v>36</v>
      </c>
      <c r="D89" t="s" s="5">
        <v>37</v>
      </c>
      <c r="E89" s="6">
        <v>1896</v>
      </c>
      <c r="F89" s="6">
        <v>25</v>
      </c>
      <c r="G89" t="s" s="5">
        <v>13</v>
      </c>
      <c r="H89" t="s" s="5">
        <v>194</v>
      </c>
      <c r="I89" t="s" s="5">
        <v>195</v>
      </c>
      <c r="J89" s="13"/>
      <c r="K89" s="13"/>
      <c r="L89" s="10"/>
    </row>
    <row r="90" ht="15.35" customHeight="1">
      <c r="A90" t="s" s="4">
        <v>196</v>
      </c>
      <c r="B90" t="s" s="5">
        <v>190</v>
      </c>
      <c r="C90" t="s" s="5">
        <v>36</v>
      </c>
      <c r="D90" t="s" s="5">
        <v>37</v>
      </c>
      <c r="E90" s="6">
        <v>1898</v>
      </c>
      <c r="F90" s="6">
        <v>23</v>
      </c>
      <c r="G90" t="s" s="5">
        <v>13</v>
      </c>
      <c r="H90" t="s" s="5">
        <v>197</v>
      </c>
      <c r="I90" t="s" s="5">
        <v>195</v>
      </c>
      <c r="J90" s="13"/>
      <c r="K90" s="13"/>
      <c r="L90" s="10"/>
    </row>
    <row r="91" ht="15.35" customHeight="1">
      <c r="A91" t="s" s="4">
        <v>198</v>
      </c>
      <c r="B91" t="s" s="5">
        <v>190</v>
      </c>
      <c r="C91" t="s" s="5">
        <v>78</v>
      </c>
      <c r="D91" t="s" s="5">
        <v>12</v>
      </c>
      <c r="E91" s="6">
        <v>1900</v>
      </c>
      <c r="F91" s="6">
        <v>21</v>
      </c>
      <c r="G91" t="s" s="5">
        <v>13</v>
      </c>
      <c r="H91" t="s" s="5">
        <v>34</v>
      </c>
      <c r="I91" t="s" s="5">
        <v>34</v>
      </c>
      <c r="J91" s="13"/>
      <c r="K91" s="13"/>
      <c r="L91" s="10"/>
    </row>
    <row r="92" ht="15.35" customHeight="1">
      <c r="A92" t="s" s="4">
        <v>199</v>
      </c>
      <c r="B92" t="s" s="5">
        <v>200</v>
      </c>
      <c r="C92" t="s" s="5">
        <v>11</v>
      </c>
      <c r="D92" t="s" s="5">
        <v>12</v>
      </c>
      <c r="E92" s="6">
        <v>1886</v>
      </c>
      <c r="F92" s="6">
        <v>34</v>
      </c>
      <c r="G92" t="s" s="5">
        <v>183</v>
      </c>
      <c r="H92" t="s" s="5">
        <v>45</v>
      </c>
      <c r="I92" t="s" s="5">
        <v>15</v>
      </c>
      <c r="J92" s="13"/>
      <c r="K92" s="13"/>
      <c r="L92" s="10"/>
    </row>
    <row r="93" ht="15.35" customHeight="1">
      <c r="A93" t="s" s="4">
        <v>115</v>
      </c>
      <c r="B93" t="s" s="5">
        <v>201</v>
      </c>
      <c r="C93" t="s" s="5">
        <v>11</v>
      </c>
      <c r="D93" t="s" s="5">
        <v>12</v>
      </c>
      <c r="E93" s="6">
        <v>1901</v>
      </c>
      <c r="F93" s="6">
        <v>20</v>
      </c>
      <c r="G93" t="s" s="5">
        <v>202</v>
      </c>
      <c r="H93" t="s" s="5">
        <v>89</v>
      </c>
      <c r="I93" t="s" s="5">
        <v>15</v>
      </c>
      <c r="J93" s="13"/>
      <c r="K93" s="13"/>
      <c r="L93" s="10"/>
    </row>
    <row r="94" ht="15.35" customHeight="1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</row>
    <row r="95" ht="15.35" customHeight="1">
      <c r="A95" t="s" s="2">
        <v>0</v>
      </c>
      <c r="B95" t="s" s="2">
        <v>1</v>
      </c>
      <c r="C95" t="s" s="2">
        <v>2</v>
      </c>
      <c r="D95" t="s" s="2">
        <v>3</v>
      </c>
      <c r="E95" t="s" s="2">
        <v>4</v>
      </c>
      <c r="F95" t="s" s="2">
        <v>5</v>
      </c>
      <c r="G95" t="s" s="2">
        <v>6</v>
      </c>
      <c r="H95" t="s" s="2">
        <v>7</v>
      </c>
      <c r="I95" t="s" s="2">
        <v>8</v>
      </c>
      <c r="J95" s="3"/>
      <c r="K95" s="3"/>
      <c r="L95" s="3"/>
    </row>
    <row r="96" ht="15.35" customHeight="1">
      <c r="A96" t="s" s="4">
        <v>203</v>
      </c>
      <c r="B96" t="s" s="5">
        <v>204</v>
      </c>
      <c r="C96" t="s" s="5">
        <v>31</v>
      </c>
      <c r="D96" t="s" s="5">
        <v>12</v>
      </c>
      <c r="E96" s="6">
        <v>1859</v>
      </c>
      <c r="F96" s="6">
        <v>62</v>
      </c>
      <c r="G96" t="s" s="5">
        <v>54</v>
      </c>
      <c r="H96" t="s" s="5">
        <v>94</v>
      </c>
      <c r="I96" t="s" s="5">
        <v>34</v>
      </c>
      <c r="J96" s="13"/>
      <c r="K96" s="13"/>
      <c r="L96" s="10"/>
    </row>
    <row r="97" ht="15.35" customHeight="1">
      <c r="A97" t="s" s="4">
        <v>205</v>
      </c>
      <c r="B97" t="s" s="5">
        <v>206</v>
      </c>
      <c r="C97" t="s" s="5">
        <v>207</v>
      </c>
      <c r="D97" t="s" s="5">
        <v>12</v>
      </c>
      <c r="E97" s="6">
        <v>1854</v>
      </c>
      <c r="F97" s="6">
        <v>67</v>
      </c>
      <c r="G97" t="s" s="5">
        <v>208</v>
      </c>
      <c r="H97" t="s" s="5">
        <v>45</v>
      </c>
      <c r="I97" t="s" s="5">
        <v>15</v>
      </c>
      <c r="J97" s="13"/>
      <c r="K97" s="13"/>
      <c r="L97" s="10"/>
    </row>
    <row r="98" ht="15.35" customHeight="1">
      <c r="A98" t="s" s="4">
        <v>209</v>
      </c>
      <c r="B98" t="s" s="5">
        <v>45</v>
      </c>
      <c r="C98" t="s" s="5">
        <v>207</v>
      </c>
      <c r="D98" t="s" s="5">
        <v>12</v>
      </c>
      <c r="E98" s="6">
        <v>1893</v>
      </c>
      <c r="F98" s="6">
        <v>28</v>
      </c>
      <c r="G98" t="s" s="5">
        <v>210</v>
      </c>
      <c r="H98" t="s" s="5">
        <v>126</v>
      </c>
      <c r="I98" t="s" s="5">
        <v>15</v>
      </c>
      <c r="J98" s="13"/>
      <c r="K98" s="13"/>
      <c r="L98" s="10"/>
    </row>
    <row r="99" ht="15.35" customHeight="1">
      <c r="A99" t="s" s="4">
        <v>211</v>
      </c>
      <c r="B99" t="s" s="5">
        <v>212</v>
      </c>
      <c r="C99" t="s" s="5">
        <v>207</v>
      </c>
      <c r="D99" t="s" s="5">
        <v>12</v>
      </c>
      <c r="E99" s="6">
        <v>1899</v>
      </c>
      <c r="F99" s="6">
        <v>22</v>
      </c>
      <c r="G99" t="s" s="5">
        <v>213</v>
      </c>
      <c r="H99" t="s" s="5">
        <v>55</v>
      </c>
      <c r="I99" t="s" s="5">
        <v>15</v>
      </c>
      <c r="J99" s="13"/>
      <c r="K99" s="13"/>
      <c r="L99" s="10"/>
    </row>
    <row r="100" ht="15.35" customHeight="1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</row>
    <row r="101" ht="15.35" customHeight="1">
      <c r="A101" t="s" s="2">
        <v>0</v>
      </c>
      <c r="B101" t="s" s="2">
        <v>1</v>
      </c>
      <c r="C101" t="s" s="2">
        <v>2</v>
      </c>
      <c r="D101" t="s" s="2">
        <v>3</v>
      </c>
      <c r="E101" t="s" s="2">
        <v>4</v>
      </c>
      <c r="F101" t="s" s="2">
        <v>5</v>
      </c>
      <c r="G101" t="s" s="2">
        <v>6</v>
      </c>
      <c r="H101" t="s" s="2">
        <v>7</v>
      </c>
      <c r="I101" t="s" s="2">
        <v>8</v>
      </c>
      <c r="J101" s="3"/>
      <c r="K101" s="3"/>
      <c r="L101" s="3"/>
    </row>
    <row r="102" ht="15.35" customHeight="1">
      <c r="A102" t="s" s="4">
        <v>214</v>
      </c>
      <c r="B102" t="s" s="5">
        <v>215</v>
      </c>
      <c r="C102" t="s" s="5">
        <v>31</v>
      </c>
      <c r="D102" t="s" s="5">
        <v>37</v>
      </c>
      <c r="E102" s="6">
        <v>1873</v>
      </c>
      <c r="F102" s="6">
        <v>48</v>
      </c>
      <c r="G102" t="s" s="5">
        <v>54</v>
      </c>
      <c r="H102" t="s" s="5">
        <v>216</v>
      </c>
      <c r="I102" t="s" s="5">
        <v>8</v>
      </c>
      <c r="J102" s="13"/>
      <c r="K102" s="13"/>
      <c r="L102" s="10"/>
    </row>
    <row r="103" ht="15.35" customHeight="1">
      <c r="A103" t="s" s="4">
        <v>217</v>
      </c>
      <c r="B103" t="s" s="5">
        <v>218</v>
      </c>
      <c r="C103" t="s" s="5">
        <v>11</v>
      </c>
      <c r="D103" t="s" s="5">
        <v>12</v>
      </c>
      <c r="E103" s="6">
        <v>1892</v>
      </c>
      <c r="F103" s="6">
        <v>29</v>
      </c>
      <c r="G103" t="s" s="5">
        <v>219</v>
      </c>
      <c r="H103" t="s" s="5">
        <v>45</v>
      </c>
      <c r="I103" t="s" s="5">
        <v>15</v>
      </c>
      <c r="J103" s="13"/>
      <c r="K103" s="13"/>
      <c r="L103" s="10"/>
    </row>
    <row r="104" ht="15.35" customHeight="1">
      <c r="A104" t="s" s="4">
        <v>220</v>
      </c>
      <c r="B104" t="s" s="5">
        <v>221</v>
      </c>
      <c r="C104" t="s" s="5">
        <v>11</v>
      </c>
      <c r="D104" t="s" s="5">
        <v>12</v>
      </c>
      <c r="E104" s="6">
        <v>1889</v>
      </c>
      <c r="F104" s="6">
        <v>32</v>
      </c>
      <c r="G104" t="s" s="5">
        <v>222</v>
      </c>
      <c r="H104" t="s" s="5">
        <v>55</v>
      </c>
      <c r="I104" t="s" s="5">
        <v>15</v>
      </c>
      <c r="J104" s="13"/>
      <c r="K104" s="13"/>
      <c r="L104" s="10"/>
    </row>
    <row r="105" ht="15.35" customHeight="1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</row>
    <row r="106" ht="15.3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</row>
    <row r="107" ht="15.35" customHeight="1">
      <c r="A107" t="s" s="2">
        <v>0</v>
      </c>
      <c r="B107" t="s" s="2">
        <v>1</v>
      </c>
      <c r="C107" t="s" s="2">
        <v>2</v>
      </c>
      <c r="D107" t="s" s="2">
        <v>3</v>
      </c>
      <c r="E107" t="s" s="2">
        <v>4</v>
      </c>
      <c r="F107" t="s" s="2">
        <v>5</v>
      </c>
      <c r="G107" t="s" s="2">
        <v>6</v>
      </c>
      <c r="H107" t="s" s="2">
        <v>7</v>
      </c>
      <c r="I107" t="s" s="2">
        <v>8</v>
      </c>
      <c r="J107" s="3"/>
      <c r="K107" s="3"/>
      <c r="L107" s="3"/>
    </row>
    <row r="108" ht="15.35" customHeight="1">
      <c r="A108" t="s" s="4">
        <v>223</v>
      </c>
      <c r="B108" t="s" s="5">
        <v>224</v>
      </c>
      <c r="C108" t="s" s="5">
        <v>31</v>
      </c>
      <c r="D108" t="s" s="5">
        <v>37</v>
      </c>
      <c r="E108" s="6">
        <v>1869</v>
      </c>
      <c r="F108" s="6">
        <v>52</v>
      </c>
      <c r="G108" t="s" s="5">
        <v>54</v>
      </c>
      <c r="H108" t="s" s="5">
        <v>225</v>
      </c>
      <c r="I108" t="s" s="5">
        <v>226</v>
      </c>
      <c r="J108" s="13"/>
      <c r="K108" s="13"/>
      <c r="L108" s="10"/>
    </row>
    <row r="109" ht="15.35" customHeight="1">
      <c r="A109" t="s" s="4">
        <v>227</v>
      </c>
      <c r="B109" t="s" s="5">
        <v>224</v>
      </c>
      <c r="C109" t="s" s="5">
        <v>228</v>
      </c>
      <c r="D109" t="s" s="5">
        <v>37</v>
      </c>
      <c r="E109" s="6">
        <v>1870</v>
      </c>
      <c r="F109" s="6">
        <v>51</v>
      </c>
      <c r="G109" t="s" s="5">
        <v>54</v>
      </c>
      <c r="H109" t="s" s="5">
        <v>225</v>
      </c>
      <c r="I109" t="s" s="5">
        <v>226</v>
      </c>
      <c r="J109" s="13"/>
      <c r="K109" s="13"/>
      <c r="L109" s="10"/>
    </row>
    <row r="110" ht="15.35" customHeight="1">
      <c r="A110" t="s" s="4">
        <v>229</v>
      </c>
      <c r="B110" t="s" s="5">
        <v>224</v>
      </c>
      <c r="C110" t="s" s="5">
        <v>228</v>
      </c>
      <c r="D110" t="s" s="5">
        <v>37</v>
      </c>
      <c r="E110" s="6">
        <v>1874</v>
      </c>
      <c r="F110" s="6">
        <v>47</v>
      </c>
      <c r="G110" t="s" s="5">
        <v>54</v>
      </c>
      <c r="H110" t="s" s="5">
        <v>225</v>
      </c>
      <c r="I110" t="s" s="5">
        <v>226</v>
      </c>
      <c r="J110" s="13"/>
      <c r="K110" s="13"/>
      <c r="L110" s="10"/>
    </row>
    <row r="111" ht="15.35" customHeight="1">
      <c r="A111" t="s" s="4">
        <v>230</v>
      </c>
      <c r="B111" t="s" s="5">
        <v>224</v>
      </c>
      <c r="C111" t="s" s="5">
        <v>228</v>
      </c>
      <c r="D111" t="s" s="5">
        <v>37</v>
      </c>
      <c r="E111" s="6">
        <v>1878</v>
      </c>
      <c r="F111" s="6">
        <v>43</v>
      </c>
      <c r="G111" t="s" s="5">
        <v>54</v>
      </c>
      <c r="H111" t="s" s="5">
        <v>225</v>
      </c>
      <c r="I111" t="s" s="5">
        <v>226</v>
      </c>
      <c r="J111" s="13"/>
      <c r="K111" s="13"/>
      <c r="L111" s="10"/>
    </row>
    <row r="112" ht="15.35" customHeight="1">
      <c r="A112" t="s" s="4">
        <v>231</v>
      </c>
      <c r="B112" t="s" s="5">
        <v>232</v>
      </c>
      <c r="C112" t="s" s="5">
        <v>163</v>
      </c>
      <c r="D112" t="s" s="5">
        <v>12</v>
      </c>
      <c r="E112" s="6">
        <v>1850</v>
      </c>
      <c r="F112" s="6">
        <v>70</v>
      </c>
      <c r="G112" t="s" s="5">
        <v>233</v>
      </c>
      <c r="H112" t="s" s="5">
        <v>175</v>
      </c>
      <c r="I112" t="s" s="5">
        <v>234</v>
      </c>
      <c r="J112" s="13"/>
      <c r="K112" s="13"/>
      <c r="L112" s="10"/>
    </row>
    <row r="113" ht="15.35" customHeight="1">
      <c r="A113" t="s" s="4">
        <v>235</v>
      </c>
      <c r="B113" t="s" s="5">
        <v>236</v>
      </c>
      <c r="C113" t="s" s="5">
        <v>207</v>
      </c>
      <c r="D113" t="s" s="5">
        <v>12</v>
      </c>
      <c r="E113" s="6">
        <v>1891</v>
      </c>
      <c r="F113" s="6">
        <v>30</v>
      </c>
      <c r="G113" t="s" s="5">
        <v>134</v>
      </c>
      <c r="H113" t="s" s="5">
        <v>51</v>
      </c>
      <c r="I113" t="s" s="5">
        <v>15</v>
      </c>
      <c r="J113" s="13"/>
      <c r="K113" s="13"/>
      <c r="L113" s="10"/>
    </row>
    <row r="114" ht="15.35" customHeight="1">
      <c r="A114" t="s" s="4">
        <v>237</v>
      </c>
      <c r="B114" t="s" s="5">
        <v>238</v>
      </c>
      <c r="C114" t="s" s="5">
        <v>207</v>
      </c>
      <c r="D114" t="s" s="5">
        <v>12</v>
      </c>
      <c r="E114" s="6">
        <v>1893</v>
      </c>
      <c r="F114" s="6">
        <v>28</v>
      </c>
      <c r="G114" t="s" s="5">
        <v>239</v>
      </c>
      <c r="H114" t="s" s="5">
        <v>45</v>
      </c>
      <c r="I114" t="s" s="5">
        <v>15</v>
      </c>
      <c r="J114" s="13"/>
      <c r="K114" s="13"/>
      <c r="L114" s="10"/>
    </row>
    <row r="115" ht="15.35" customHeight="1">
      <c r="A115" t="s" s="4">
        <v>240</v>
      </c>
      <c r="B115" t="s" s="5">
        <v>241</v>
      </c>
      <c r="C115" t="s" s="5">
        <v>207</v>
      </c>
      <c r="D115" t="s" s="5">
        <v>12</v>
      </c>
      <c r="E115" s="6">
        <v>1898</v>
      </c>
      <c r="F115" s="6">
        <v>22</v>
      </c>
      <c r="G115" t="s" s="5">
        <v>165</v>
      </c>
      <c r="H115" t="s" s="5">
        <v>55</v>
      </c>
      <c r="I115" t="s" s="5">
        <v>15</v>
      </c>
      <c r="J115" s="13"/>
      <c r="K115" s="13"/>
      <c r="L115" s="10"/>
    </row>
    <row r="116" ht="15.35" customHeight="1">
      <c r="A116" s="15"/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0"/>
    </row>
    <row r="117" ht="15.35" customHeight="1">
      <c r="A117" t="s" s="4">
        <v>0</v>
      </c>
      <c r="B117" t="s" s="5">
        <v>1</v>
      </c>
      <c r="C117" t="s" s="5">
        <v>2</v>
      </c>
      <c r="D117" t="s" s="5">
        <v>3</v>
      </c>
      <c r="E117" t="s" s="5">
        <v>4</v>
      </c>
      <c r="F117" t="s" s="5">
        <v>5</v>
      </c>
      <c r="G117" t="s" s="5">
        <v>6</v>
      </c>
      <c r="H117" t="s" s="5">
        <v>7</v>
      </c>
      <c r="I117" t="s" s="5">
        <v>8</v>
      </c>
      <c r="J117" s="13"/>
      <c r="K117" s="13"/>
      <c r="L117" s="10"/>
    </row>
    <row r="118" ht="15.35" customHeight="1">
      <c r="A118" t="s" s="4">
        <v>56</v>
      </c>
      <c r="B118" t="s" s="5">
        <v>57</v>
      </c>
      <c r="C118" t="s" s="5">
        <v>41</v>
      </c>
      <c r="D118" t="s" s="5">
        <v>37</v>
      </c>
      <c r="E118" s="6">
        <v>1879</v>
      </c>
      <c r="F118" s="6">
        <v>42</v>
      </c>
      <c r="G118" t="s" s="5">
        <v>58</v>
      </c>
      <c r="H118" t="s" s="5">
        <v>59</v>
      </c>
      <c r="I118" t="s" s="5">
        <v>60</v>
      </c>
      <c r="J118" s="13"/>
      <c r="K118" s="13"/>
      <c r="L118" s="10"/>
    </row>
    <row r="119" ht="15.35" customHeight="1">
      <c r="A119" t="s" s="4">
        <v>61</v>
      </c>
      <c r="B119" t="s" s="5">
        <v>57</v>
      </c>
      <c r="C119" t="s" s="5">
        <v>11</v>
      </c>
      <c r="D119" t="s" s="5">
        <v>12</v>
      </c>
      <c r="E119" s="6">
        <v>1891</v>
      </c>
      <c r="F119" s="6">
        <v>30</v>
      </c>
      <c r="G119" t="s" s="5">
        <v>62</v>
      </c>
      <c r="H119" t="s" s="5">
        <v>45</v>
      </c>
      <c r="I119" t="s" s="5">
        <v>15</v>
      </c>
      <c r="J119" s="13"/>
      <c r="K119" s="13"/>
      <c r="L119" s="10"/>
    </row>
    <row r="120" ht="15.35" customHeight="1">
      <c r="A120" t="s" s="4">
        <v>63</v>
      </c>
      <c r="B120" t="s" s="5">
        <v>64</v>
      </c>
      <c r="C120" t="s" s="5">
        <v>65</v>
      </c>
      <c r="D120" t="s" s="5">
        <v>12</v>
      </c>
      <c r="E120" s="6">
        <v>1884</v>
      </c>
      <c r="F120" s="6">
        <v>37</v>
      </c>
      <c r="G120" t="s" s="5">
        <v>34</v>
      </c>
      <c r="H120" t="s" s="5">
        <v>66</v>
      </c>
      <c r="I120" t="s" s="5">
        <v>67</v>
      </c>
      <c r="J120" s="13"/>
      <c r="K120" s="13"/>
      <c r="L120" s="10"/>
    </row>
    <row r="121" ht="15.3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</row>
    <row r="122" ht="15.35" customHeight="1">
      <c r="A122" t="s" s="2">
        <v>0</v>
      </c>
      <c r="B122" t="s" s="2">
        <v>1</v>
      </c>
      <c r="C122" t="s" s="2">
        <v>2</v>
      </c>
      <c r="D122" t="s" s="2">
        <v>3</v>
      </c>
      <c r="E122" t="s" s="2">
        <v>4</v>
      </c>
      <c r="F122" t="s" s="2">
        <v>5</v>
      </c>
      <c r="G122" t="s" s="2">
        <v>6</v>
      </c>
      <c r="H122" t="s" s="2">
        <v>7</v>
      </c>
      <c r="I122" t="s" s="2">
        <v>8</v>
      </c>
      <c r="J122" s="3"/>
      <c r="K122" s="3"/>
      <c r="L122" s="3"/>
    </row>
    <row r="123" ht="15.35" customHeight="1">
      <c r="A123" t="s" s="4">
        <v>242</v>
      </c>
      <c r="B123" t="s" s="5">
        <v>243</v>
      </c>
      <c r="C123" t="s" s="5">
        <v>31</v>
      </c>
      <c r="D123" t="s" s="5">
        <v>37</v>
      </c>
      <c r="E123" s="6">
        <v>1875</v>
      </c>
      <c r="F123" s="6">
        <v>46</v>
      </c>
      <c r="G123" t="s" s="5">
        <v>54</v>
      </c>
      <c r="H123" t="s" s="5">
        <v>244</v>
      </c>
      <c r="I123" t="s" s="5">
        <v>8</v>
      </c>
      <c r="J123" s="13"/>
      <c r="K123" s="13"/>
      <c r="L123" s="10"/>
    </row>
    <row r="124" ht="15.35" customHeight="1">
      <c r="A124" t="s" s="4">
        <v>245</v>
      </c>
      <c r="B124" t="s" s="5">
        <v>243</v>
      </c>
      <c r="C124" t="s" s="5">
        <v>246</v>
      </c>
      <c r="D124" t="s" s="5">
        <v>12</v>
      </c>
      <c r="E124" s="6">
        <v>1868</v>
      </c>
      <c r="F124" s="6">
        <v>53</v>
      </c>
      <c r="G124" t="s" s="5">
        <v>54</v>
      </c>
      <c r="H124" t="s" s="5">
        <v>33</v>
      </c>
      <c r="I124" t="s" s="5">
        <v>34</v>
      </c>
      <c r="J124" s="13"/>
      <c r="K124" s="13"/>
      <c r="L124" s="10"/>
    </row>
    <row r="125" ht="15.35" customHeight="1">
      <c r="A125" t="s" s="4">
        <v>109</v>
      </c>
      <c r="B125" t="s" s="5">
        <v>247</v>
      </c>
      <c r="C125" t="s" s="5">
        <v>11</v>
      </c>
      <c r="D125" t="s" s="5">
        <v>12</v>
      </c>
      <c r="E125" s="6">
        <v>1884</v>
      </c>
      <c r="F125" s="6">
        <v>37</v>
      </c>
      <c r="G125" t="s" s="5">
        <v>54</v>
      </c>
      <c r="H125" t="s" s="5">
        <v>105</v>
      </c>
      <c r="I125" t="s" s="5">
        <v>15</v>
      </c>
      <c r="J125" s="13"/>
      <c r="K125" s="13"/>
      <c r="L125" s="10"/>
    </row>
    <row r="126" ht="15.35" customHeight="1">
      <c r="A126" t="s" s="4">
        <v>248</v>
      </c>
      <c r="B126" t="s" s="5">
        <v>249</v>
      </c>
      <c r="C126" t="s" s="5">
        <v>11</v>
      </c>
      <c r="D126" t="s" s="5">
        <v>12</v>
      </c>
      <c r="E126" s="6">
        <v>1900</v>
      </c>
      <c r="F126" s="6">
        <v>20</v>
      </c>
      <c r="G126" t="s" s="5">
        <v>250</v>
      </c>
      <c r="H126" t="s" s="5">
        <v>105</v>
      </c>
      <c r="I126" t="s" s="5">
        <v>15</v>
      </c>
      <c r="J126" s="13"/>
      <c r="K126" s="13"/>
      <c r="L126" s="10"/>
    </row>
    <row r="127" ht="15.35" customHeight="1">
      <c r="A127" t="s" s="4">
        <v>251</v>
      </c>
      <c r="B127" t="s" s="5">
        <v>252</v>
      </c>
      <c r="C127" t="s" s="5">
        <v>11</v>
      </c>
      <c r="D127" t="s" s="5">
        <v>12</v>
      </c>
      <c r="E127" s="6">
        <v>1876</v>
      </c>
      <c r="F127" s="6">
        <v>45</v>
      </c>
      <c r="G127" t="s" s="5">
        <v>253</v>
      </c>
      <c r="H127" t="s" s="5">
        <v>254</v>
      </c>
      <c r="I127" t="s" s="5">
        <v>15</v>
      </c>
      <c r="J127" s="13"/>
      <c r="K127" s="13"/>
      <c r="L127" s="10"/>
    </row>
    <row r="128" ht="15.35" customHeight="1">
      <c r="A128" s="15"/>
      <c r="B128" s="13"/>
      <c r="C128" s="13"/>
      <c r="D128" s="13"/>
      <c r="E128" s="13"/>
      <c r="F128" s="13"/>
      <c r="G128" s="13"/>
      <c r="H128" s="13"/>
      <c r="I128" s="13"/>
      <c r="J128" s="13"/>
      <c r="K128" s="13"/>
      <c r="L128" s="10"/>
    </row>
    <row r="129" ht="15.35" customHeight="1">
      <c r="A129" t="s" s="4">
        <v>0</v>
      </c>
      <c r="B129" t="s" s="5">
        <v>1</v>
      </c>
      <c r="C129" t="s" s="5">
        <v>2</v>
      </c>
      <c r="D129" t="s" s="5">
        <v>3</v>
      </c>
      <c r="E129" t="s" s="5">
        <v>4</v>
      </c>
      <c r="F129" t="s" s="5">
        <v>5</v>
      </c>
      <c r="G129" t="s" s="5">
        <v>6</v>
      </c>
      <c r="H129" t="s" s="5">
        <v>7</v>
      </c>
      <c r="I129" t="s" s="5">
        <v>8</v>
      </c>
      <c r="J129" s="13"/>
      <c r="K129" s="13"/>
      <c r="L129" s="10"/>
    </row>
    <row r="130" ht="15.35" customHeight="1">
      <c r="A130" t="s" s="4">
        <v>214</v>
      </c>
      <c r="B130" t="s" s="5">
        <v>255</v>
      </c>
      <c r="C130" t="s" s="5">
        <v>31</v>
      </c>
      <c r="D130" t="s" s="5">
        <v>37</v>
      </c>
      <c r="E130" s="6">
        <v>1861</v>
      </c>
      <c r="F130" s="6">
        <v>60</v>
      </c>
      <c r="G130" t="s" s="5">
        <v>256</v>
      </c>
      <c r="H130" t="s" s="5">
        <v>257</v>
      </c>
      <c r="I130" t="s" s="5">
        <v>258</v>
      </c>
      <c r="J130" s="13"/>
      <c r="K130" s="13"/>
      <c r="L130" s="10"/>
    </row>
    <row r="131" ht="15.35" customHeight="1">
      <c r="A131" t="s" s="4">
        <v>259</v>
      </c>
      <c r="B131" t="s" s="5">
        <v>260</v>
      </c>
      <c r="C131" t="s" s="5">
        <v>41</v>
      </c>
      <c r="D131" t="s" s="5">
        <v>12</v>
      </c>
      <c r="E131" s="6">
        <v>1880</v>
      </c>
      <c r="F131" s="6">
        <v>40</v>
      </c>
      <c r="G131" t="s" s="5">
        <v>118</v>
      </c>
      <c r="H131" t="s" s="5">
        <v>261</v>
      </c>
      <c r="I131" t="s" s="5">
        <v>34</v>
      </c>
      <c r="J131" s="13"/>
      <c r="K131" s="13"/>
      <c r="L131" s="10"/>
    </row>
    <row r="132" ht="15.35" customHeight="1">
      <c r="A132" t="s" s="4">
        <v>262</v>
      </c>
      <c r="B132" t="s" s="5">
        <v>263</v>
      </c>
      <c r="C132" t="s" s="5">
        <v>11</v>
      </c>
      <c r="D132" t="s" s="5">
        <v>12</v>
      </c>
      <c r="E132" s="6">
        <v>1874</v>
      </c>
      <c r="F132" s="6">
        <v>46</v>
      </c>
      <c r="G132" t="s" s="5">
        <v>264</v>
      </c>
      <c r="H132" t="s" s="5">
        <v>45</v>
      </c>
      <c r="I132" t="s" s="5">
        <v>15</v>
      </c>
      <c r="J132" s="13"/>
      <c r="K132" s="13"/>
      <c r="L132" s="10"/>
    </row>
    <row r="133" ht="15.35" customHeight="1">
      <c r="A133" t="s" s="17">
        <v>265</v>
      </c>
      <c r="B133" t="s" s="18">
        <v>266</v>
      </c>
      <c r="C133" t="s" s="18">
        <v>11</v>
      </c>
      <c r="D133" t="s" s="18">
        <v>12</v>
      </c>
      <c r="E133" s="19">
        <v>1901</v>
      </c>
      <c r="F133" s="19">
        <v>19</v>
      </c>
      <c r="G133" t="s" s="18">
        <v>267</v>
      </c>
      <c r="H133" t="s" s="18">
        <v>55</v>
      </c>
      <c r="I133" t="s" s="18">
        <v>15</v>
      </c>
      <c r="J133" s="20"/>
      <c r="K133" s="20"/>
      <c r="L133" s="21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AZ72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22" customWidth="1"/>
    <col min="4" max="4" width="17.8516" style="22" customWidth="1"/>
    <col min="5" max="5" width="20.1719" style="22" customWidth="1"/>
    <col min="6" max="7" width="22.8516" style="22" customWidth="1"/>
    <col min="8" max="8" width="11.5" style="22" customWidth="1"/>
    <col min="9" max="9" width="7.67188" style="22" customWidth="1"/>
    <col min="10" max="10" width="6.5" style="22" customWidth="1"/>
    <col min="11" max="11" width="7" style="22" customWidth="1"/>
    <col min="12" max="12" width="19.1719" style="22" customWidth="1"/>
    <col min="13" max="13" width="7.85156" style="22" customWidth="1"/>
    <col min="14" max="14" width="10" style="22" customWidth="1"/>
    <col min="15" max="15" width="8.67188" style="22" customWidth="1"/>
    <col min="16" max="16" width="6.85156" style="22" customWidth="1"/>
    <col min="17" max="17" width="11.5" style="22" customWidth="1"/>
    <col min="18" max="18" width="11.6719" style="22" customWidth="1"/>
    <col min="19" max="19" width="19.3516" style="22" customWidth="1"/>
    <col min="20" max="20" width="10.8516" style="22" customWidth="1"/>
    <col min="21" max="21" width="15.1719" style="22" customWidth="1"/>
    <col min="22" max="24" width="10.8516" style="22" customWidth="1"/>
    <col min="25" max="25" width="31" style="22" customWidth="1"/>
    <col min="26" max="26" width="19.8516" style="22" customWidth="1"/>
    <col min="27" max="27" width="12.1719" style="22" customWidth="1"/>
    <col min="28" max="28" width="17.5" style="22" customWidth="1"/>
    <col min="29" max="31" width="16.5" style="22" customWidth="1"/>
    <col min="32" max="32" width="23.8516" style="22" customWidth="1"/>
    <col min="33" max="33" width="15.1719" style="22" customWidth="1"/>
    <col min="34" max="34" width="11" style="22" customWidth="1"/>
    <col min="35" max="35" width="11.1719" style="22" customWidth="1"/>
    <col min="36" max="36" width="7.85156" style="22" customWidth="1"/>
    <col min="37" max="38" width="10.8516" style="22" customWidth="1"/>
    <col min="39" max="39" width="7.35156" style="22" customWidth="1"/>
    <col min="40" max="40" width="10.8516" style="22" customWidth="1"/>
    <col min="41" max="41" width="9.17188" style="22" customWidth="1"/>
    <col min="42" max="42" width="10.8516" style="22" customWidth="1"/>
    <col min="43" max="43" width="12.5" style="22" customWidth="1"/>
    <col min="44" max="44" width="13" style="22" customWidth="1"/>
    <col min="45" max="52" width="10.8516" style="22" customWidth="1"/>
    <col min="53" max="16384" width="10.8516" style="22" customWidth="1"/>
  </cols>
  <sheetData>
    <row r="1" ht="34" customHeight="1">
      <c r="A1" t="s" s="23">
        <v>268</v>
      </c>
      <c r="B1" t="s" s="23">
        <v>269</v>
      </c>
      <c r="C1" t="s" s="23">
        <v>270</v>
      </c>
      <c r="D1" t="s" s="24">
        <v>271</v>
      </c>
      <c r="E1" t="s" s="23">
        <v>272</v>
      </c>
      <c r="F1" t="s" s="24">
        <v>273</v>
      </c>
      <c r="G1" s="25"/>
      <c r="H1" t="s" s="24">
        <v>274</v>
      </c>
      <c r="I1" s="26"/>
      <c r="J1" s="26"/>
      <c r="K1" s="26"/>
      <c r="L1" t="s" s="24">
        <v>275</v>
      </c>
      <c r="M1" s="26"/>
      <c r="N1" s="26"/>
      <c r="O1" s="26"/>
      <c r="P1" s="26"/>
      <c r="Q1" s="26"/>
      <c r="R1" t="s" s="24">
        <v>276</v>
      </c>
      <c r="S1" t="s" s="24">
        <v>277</v>
      </c>
      <c r="T1" t="s" s="24">
        <v>278</v>
      </c>
      <c r="U1" t="s" s="24">
        <v>279</v>
      </c>
      <c r="V1" t="s" s="24">
        <v>280</v>
      </c>
      <c r="W1" t="s" s="24">
        <v>281</v>
      </c>
      <c r="X1" t="s" s="24">
        <v>282</v>
      </c>
      <c r="Y1" t="s" s="24">
        <v>283</v>
      </c>
      <c r="Z1" t="s" s="24">
        <v>284</v>
      </c>
      <c r="AA1" t="s" s="24">
        <v>285</v>
      </c>
      <c r="AB1" t="s" s="24">
        <v>286</v>
      </c>
      <c r="AC1" s="26"/>
      <c r="AD1" t="s" s="24">
        <v>287</v>
      </c>
      <c r="AE1" s="26"/>
      <c r="AF1" t="s" s="23">
        <v>288</v>
      </c>
      <c r="AG1" t="s" s="27">
        <v>289</v>
      </c>
      <c r="AH1" s="28"/>
      <c r="AI1" s="28"/>
      <c r="AJ1" s="29"/>
      <c r="AK1" s="29"/>
      <c r="AL1" s="30"/>
      <c r="AM1" s="29"/>
      <c r="AN1" s="29"/>
      <c r="AO1" s="29"/>
      <c r="AP1" s="30"/>
      <c r="AQ1" s="28"/>
      <c r="AR1" s="28"/>
      <c r="AS1" s="28"/>
      <c r="AT1" s="28"/>
      <c r="AU1" s="28"/>
      <c r="AV1" s="28"/>
      <c r="AW1" s="28"/>
      <c r="AX1" s="29"/>
      <c r="AY1" s="30"/>
      <c r="AZ1" s="30"/>
    </row>
    <row r="2" ht="34" customHeight="1">
      <c r="A2" t="s" s="31">
        <v>290</v>
      </c>
      <c r="B2" t="s" s="31">
        <v>291</v>
      </c>
      <c r="C2" s="32"/>
      <c r="D2" s="33"/>
      <c r="E2" s="32"/>
      <c r="F2" s="33"/>
      <c r="G2" s="34"/>
      <c r="H2" t="s" s="35">
        <v>292</v>
      </c>
      <c r="I2" t="s" s="35">
        <v>293</v>
      </c>
      <c r="J2" t="s" s="35">
        <v>294</v>
      </c>
      <c r="K2" t="s" s="35">
        <v>295</v>
      </c>
      <c r="L2" t="s" s="35">
        <v>296</v>
      </c>
      <c r="M2" t="s" s="35">
        <v>297</v>
      </c>
      <c r="N2" t="s" s="35">
        <v>298</v>
      </c>
      <c r="O2" t="s" s="35">
        <v>299</v>
      </c>
      <c r="P2" t="s" s="35">
        <v>300</v>
      </c>
      <c r="Q2" t="s" s="35">
        <v>11</v>
      </c>
      <c r="R2" t="s" s="35">
        <v>301</v>
      </c>
      <c r="S2" t="s" s="35">
        <v>302</v>
      </c>
      <c r="T2" t="s" s="35">
        <v>303</v>
      </c>
      <c r="U2" t="s" s="36">
        <v>304</v>
      </c>
      <c r="V2" s="33"/>
      <c r="W2" s="33"/>
      <c r="X2" s="33"/>
      <c r="Y2" s="33"/>
      <c r="Z2" s="33"/>
      <c r="AA2" s="33"/>
      <c r="AB2" t="s" s="35">
        <v>8</v>
      </c>
      <c r="AC2" t="s" s="35">
        <v>305</v>
      </c>
      <c r="AD2" t="s" s="35">
        <v>306</v>
      </c>
      <c r="AE2" t="s" s="37">
        <v>300</v>
      </c>
      <c r="AF2" s="32"/>
      <c r="AG2" s="38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</row>
    <row r="3" ht="19" customHeight="1">
      <c r="A3" t="s" s="37">
        <v>307</v>
      </c>
      <c r="B3" s="32"/>
      <c r="C3" s="39">
        <v>3</v>
      </c>
      <c r="D3" t="s" s="37">
        <v>308</v>
      </c>
      <c r="E3" t="s" s="37">
        <v>309</v>
      </c>
      <c r="F3" t="s" s="35">
        <v>64</v>
      </c>
      <c r="G3" s="34"/>
      <c r="H3" s="33"/>
      <c r="I3" s="40">
        <v>1</v>
      </c>
      <c r="J3" s="33"/>
      <c r="K3" s="33"/>
      <c r="L3" s="40">
        <v>1</v>
      </c>
      <c r="M3" s="33"/>
      <c r="N3" s="33"/>
      <c r="O3" s="33"/>
      <c r="P3" s="33"/>
      <c r="Q3" s="33"/>
      <c r="R3" s="40">
        <v>50</v>
      </c>
      <c r="S3" s="40">
        <v>1</v>
      </c>
      <c r="T3" s="33"/>
      <c r="U3" s="33"/>
      <c r="V3" s="33"/>
      <c r="W3" s="33"/>
      <c r="X3" s="33"/>
      <c r="Y3" t="s" s="35">
        <v>310</v>
      </c>
      <c r="Z3" t="s" s="35">
        <v>311</v>
      </c>
      <c r="AA3" s="40">
        <v>1</v>
      </c>
      <c r="AB3" s="40">
        <v>1</v>
      </c>
      <c r="AC3" s="33"/>
      <c r="AD3" t="s" s="35">
        <v>312</v>
      </c>
      <c r="AE3" s="33"/>
      <c r="AF3" s="32"/>
      <c r="AG3" s="38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</row>
    <row r="4" ht="17.5" customHeight="1">
      <c r="A4" t="s" s="37">
        <v>307</v>
      </c>
      <c r="B4" s="32"/>
      <c r="C4" s="39">
        <v>3</v>
      </c>
      <c r="D4" t="s" s="37">
        <v>308</v>
      </c>
      <c r="E4" t="s" s="37">
        <v>309</v>
      </c>
      <c r="F4" t="s" s="37">
        <v>102</v>
      </c>
      <c r="G4" s="41"/>
      <c r="H4" s="39">
        <v>1</v>
      </c>
      <c r="I4" s="32"/>
      <c r="J4" s="32"/>
      <c r="K4" s="32"/>
      <c r="L4" s="32"/>
      <c r="M4" s="39">
        <v>1</v>
      </c>
      <c r="N4" s="42"/>
      <c r="O4" s="42"/>
      <c r="P4" s="42"/>
      <c r="Q4" s="42"/>
      <c r="R4" s="39">
        <v>32</v>
      </c>
      <c r="S4" s="43">
        <v>1</v>
      </c>
      <c r="T4" s="42"/>
      <c r="U4" s="32"/>
      <c r="V4" s="32"/>
      <c r="W4" s="32"/>
      <c r="X4" s="32"/>
      <c r="Y4" t="s" s="37">
        <v>313</v>
      </c>
      <c r="Z4" s="32"/>
      <c r="AA4" s="39">
        <v>0</v>
      </c>
      <c r="AB4" s="32"/>
      <c r="AC4" s="32"/>
      <c r="AD4" t="s" s="37">
        <v>314</v>
      </c>
      <c r="AE4" s="39">
        <v>1</v>
      </c>
      <c r="AF4" s="32"/>
      <c r="AG4" s="38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</row>
    <row r="5" ht="17.5" customHeight="1">
      <c r="A5" t="s" s="37">
        <v>307</v>
      </c>
      <c r="B5" s="32"/>
      <c r="C5" s="39">
        <v>3</v>
      </c>
      <c r="D5" t="s" s="37">
        <v>308</v>
      </c>
      <c r="E5" t="s" s="37">
        <v>309</v>
      </c>
      <c r="F5" t="s" s="37">
        <v>315</v>
      </c>
      <c r="G5" s="41"/>
      <c r="H5" s="32"/>
      <c r="I5" s="32"/>
      <c r="J5" s="39">
        <v>1</v>
      </c>
      <c r="K5" s="32"/>
      <c r="L5" s="32"/>
      <c r="M5" s="32"/>
      <c r="N5" s="43">
        <v>1</v>
      </c>
      <c r="O5" s="42"/>
      <c r="P5" s="42"/>
      <c r="Q5" s="42"/>
      <c r="R5" s="43">
        <v>1</v>
      </c>
      <c r="S5" s="42"/>
      <c r="T5" s="42"/>
      <c r="U5" s="42"/>
      <c r="V5" s="32"/>
      <c r="W5" s="32"/>
      <c r="X5" s="32"/>
      <c r="Y5" s="32"/>
      <c r="Z5" s="32"/>
      <c r="AA5" s="32"/>
      <c r="AB5" s="32"/>
      <c r="AC5" s="32"/>
      <c r="AD5" t="s" s="37">
        <v>316</v>
      </c>
      <c r="AE5" s="32"/>
      <c r="AF5" s="32"/>
      <c r="AG5" s="38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</row>
    <row r="6" ht="17.5" customHeight="1">
      <c r="A6" t="s" s="37">
        <v>307</v>
      </c>
      <c r="B6" s="32"/>
      <c r="C6" s="39">
        <v>3</v>
      </c>
      <c r="D6" t="s" s="37">
        <v>308</v>
      </c>
      <c r="E6" t="s" s="37">
        <v>317</v>
      </c>
      <c r="F6" t="s" s="37">
        <v>48</v>
      </c>
      <c r="G6" s="41"/>
      <c r="H6" s="39">
        <v>1</v>
      </c>
      <c r="I6" s="32"/>
      <c r="J6" s="32"/>
      <c r="K6" s="32"/>
      <c r="L6" s="32"/>
      <c r="M6" s="32"/>
      <c r="N6" s="42"/>
      <c r="O6" s="42"/>
      <c r="P6" s="42"/>
      <c r="Q6" s="43">
        <v>1</v>
      </c>
      <c r="R6" s="43">
        <v>39</v>
      </c>
      <c r="S6" s="42"/>
      <c r="T6" s="42"/>
      <c r="U6" s="42"/>
      <c r="V6" s="32"/>
      <c r="W6" s="32"/>
      <c r="X6" s="32"/>
      <c r="Y6" t="s" s="37">
        <v>318</v>
      </c>
      <c r="Z6" s="32"/>
      <c r="AA6" s="39">
        <v>1</v>
      </c>
      <c r="AB6" s="32"/>
      <c r="AC6" s="39">
        <v>1</v>
      </c>
      <c r="AD6" t="s" s="37">
        <v>319</v>
      </c>
      <c r="AE6" s="39">
        <v>1</v>
      </c>
      <c r="AF6" s="32"/>
      <c r="AG6" s="38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</row>
    <row r="7" ht="17.5" customHeight="1">
      <c r="A7" t="s" s="37">
        <v>307</v>
      </c>
      <c r="B7" s="32"/>
      <c r="C7" s="39">
        <v>3</v>
      </c>
      <c r="D7" t="s" s="37">
        <v>308</v>
      </c>
      <c r="E7" t="s" s="37">
        <v>320</v>
      </c>
      <c r="F7" t="s" s="37">
        <v>109</v>
      </c>
      <c r="G7" s="41"/>
      <c r="H7" s="39">
        <v>1</v>
      </c>
      <c r="I7" s="32"/>
      <c r="J7" s="32"/>
      <c r="K7" s="32"/>
      <c r="L7" s="32"/>
      <c r="M7" s="32"/>
      <c r="N7" s="42"/>
      <c r="O7" s="42"/>
      <c r="P7" s="42"/>
      <c r="Q7" s="43">
        <v>1</v>
      </c>
      <c r="R7" s="43">
        <v>42</v>
      </c>
      <c r="S7" s="42"/>
      <c r="T7" s="42"/>
      <c r="U7" s="42"/>
      <c r="V7" s="32"/>
      <c r="W7" s="32"/>
      <c r="X7" s="32"/>
      <c r="Y7" t="s" s="37">
        <v>45</v>
      </c>
      <c r="Z7" s="32"/>
      <c r="AA7" s="39">
        <v>1</v>
      </c>
      <c r="AB7" s="32"/>
      <c r="AC7" s="39">
        <v>1</v>
      </c>
      <c r="AD7" t="s" s="37">
        <v>312</v>
      </c>
      <c r="AE7" s="32"/>
      <c r="AF7" s="32"/>
      <c r="AG7" s="38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</row>
    <row r="8" ht="17.5" customHeight="1">
      <c r="A8" t="s" s="37">
        <v>307</v>
      </c>
      <c r="B8" s="32"/>
      <c r="C8" s="39">
        <v>3</v>
      </c>
      <c r="D8" t="s" s="37">
        <v>308</v>
      </c>
      <c r="E8" t="s" s="37">
        <v>321</v>
      </c>
      <c r="F8" t="s" s="37">
        <v>259</v>
      </c>
      <c r="G8" s="41"/>
      <c r="H8" s="39">
        <v>1</v>
      </c>
      <c r="I8" s="32"/>
      <c r="J8" s="32"/>
      <c r="K8" s="32"/>
      <c r="L8" s="32"/>
      <c r="M8" s="32"/>
      <c r="N8" s="42"/>
      <c r="O8" s="42"/>
      <c r="P8" s="42"/>
      <c r="Q8" s="43">
        <v>1</v>
      </c>
      <c r="R8" s="43">
        <v>33</v>
      </c>
      <c r="S8" s="42"/>
      <c r="T8" s="42"/>
      <c r="U8" s="42"/>
      <c r="V8" s="32"/>
      <c r="W8" s="32"/>
      <c r="X8" s="32"/>
      <c r="Y8" t="s" s="37">
        <v>322</v>
      </c>
      <c r="Z8" s="32"/>
      <c r="AA8" s="39">
        <v>1</v>
      </c>
      <c r="AB8" s="32"/>
      <c r="AC8" s="39">
        <v>1</v>
      </c>
      <c r="AD8" t="s" s="37">
        <v>323</v>
      </c>
      <c r="AE8" s="39">
        <v>1</v>
      </c>
      <c r="AF8" s="32"/>
      <c r="AG8" s="38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</row>
    <row r="9" ht="17.5" customHeight="1">
      <c r="A9" t="s" s="37">
        <v>324</v>
      </c>
      <c r="B9" s="32"/>
      <c r="C9" s="39">
        <v>5</v>
      </c>
      <c r="D9" t="s" s="37">
        <v>308</v>
      </c>
      <c r="E9" t="s" s="37">
        <v>91</v>
      </c>
      <c r="F9" t="s" s="37">
        <v>325</v>
      </c>
      <c r="G9" s="41"/>
      <c r="H9" s="32"/>
      <c r="I9" s="39">
        <v>1</v>
      </c>
      <c r="J9" s="32"/>
      <c r="K9" s="32"/>
      <c r="L9" s="39">
        <v>1</v>
      </c>
      <c r="M9" s="32"/>
      <c r="N9" s="42"/>
      <c r="O9" s="42"/>
      <c r="P9" s="42"/>
      <c r="Q9" s="42"/>
      <c r="R9" s="39">
        <v>64</v>
      </c>
      <c r="S9" s="42"/>
      <c r="T9" s="42"/>
      <c r="U9" s="32"/>
      <c r="V9" s="32"/>
      <c r="W9" s="32"/>
      <c r="X9" s="32"/>
      <c r="Y9" t="s" s="37">
        <v>326</v>
      </c>
      <c r="Z9" t="s" s="37">
        <v>327</v>
      </c>
      <c r="AA9" s="39">
        <v>1</v>
      </c>
      <c r="AB9" s="39">
        <v>1</v>
      </c>
      <c r="AC9" s="32"/>
      <c r="AD9" t="s" s="37">
        <v>316</v>
      </c>
      <c r="AE9" s="32"/>
      <c r="AF9" s="32"/>
      <c r="AG9" s="44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</row>
    <row r="10" ht="17.5" customHeight="1">
      <c r="A10" t="s" s="37">
        <v>324</v>
      </c>
      <c r="B10" s="32"/>
      <c r="C10" s="39">
        <v>5</v>
      </c>
      <c r="D10" t="s" s="37">
        <v>308</v>
      </c>
      <c r="E10" t="s" s="37">
        <v>91</v>
      </c>
      <c r="F10" t="s" s="37">
        <v>328</v>
      </c>
      <c r="G10" s="41"/>
      <c r="H10" s="39">
        <v>1</v>
      </c>
      <c r="I10" s="32"/>
      <c r="J10" s="32"/>
      <c r="K10" s="32"/>
      <c r="L10" s="32"/>
      <c r="M10" s="32"/>
      <c r="N10" s="42"/>
      <c r="O10" s="42"/>
      <c r="P10" s="43">
        <v>1</v>
      </c>
      <c r="Q10" s="42"/>
      <c r="R10" s="43">
        <v>51</v>
      </c>
      <c r="S10" s="42"/>
      <c r="T10" s="42"/>
      <c r="U10" s="42"/>
      <c r="V10" s="32"/>
      <c r="W10" s="32"/>
      <c r="X10" s="32"/>
      <c r="Y10" s="32"/>
      <c r="Z10" s="32"/>
      <c r="AA10" s="32"/>
      <c r="AB10" s="32"/>
      <c r="AC10" s="32"/>
      <c r="AD10" t="s" s="37">
        <v>316</v>
      </c>
      <c r="AE10" s="32"/>
      <c r="AF10" s="32"/>
      <c r="AG10" t="s" s="45">
        <v>329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</row>
    <row r="11" ht="17.5" customHeight="1">
      <c r="A11" t="s" s="37">
        <v>324</v>
      </c>
      <c r="B11" s="32"/>
      <c r="C11" s="39">
        <v>5</v>
      </c>
      <c r="D11" t="s" s="37">
        <v>308</v>
      </c>
      <c r="E11" t="s" s="37">
        <v>330</v>
      </c>
      <c r="F11" t="s" s="37">
        <v>331</v>
      </c>
      <c r="G11" s="41"/>
      <c r="H11" s="39">
        <v>1</v>
      </c>
      <c r="I11" s="32"/>
      <c r="J11" s="32"/>
      <c r="K11" s="32"/>
      <c r="L11" s="32"/>
      <c r="M11" s="32"/>
      <c r="N11" s="42"/>
      <c r="O11" s="42"/>
      <c r="P11" s="32"/>
      <c r="Q11" s="43">
        <v>1</v>
      </c>
      <c r="R11" s="43">
        <v>21</v>
      </c>
      <c r="S11" s="42"/>
      <c r="T11" s="42"/>
      <c r="U11" s="42"/>
      <c r="V11" s="32"/>
      <c r="W11" s="32"/>
      <c r="X11" s="32"/>
      <c r="Y11" t="s" s="37">
        <v>186</v>
      </c>
      <c r="Z11" s="32"/>
      <c r="AA11" s="39">
        <v>1</v>
      </c>
      <c r="AB11" s="32"/>
      <c r="AC11" s="39">
        <v>1</v>
      </c>
      <c r="AD11" t="s" s="37">
        <v>332</v>
      </c>
      <c r="AE11" s="39">
        <v>1</v>
      </c>
      <c r="AF11" s="32"/>
      <c r="AG11" s="46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</row>
    <row r="12" ht="17.5" customHeight="1">
      <c r="A12" t="s" s="37">
        <v>333</v>
      </c>
      <c r="B12" s="32"/>
      <c r="C12" s="39">
        <v>7</v>
      </c>
      <c r="D12" t="s" s="37">
        <v>308</v>
      </c>
      <c r="E12" t="s" s="37">
        <v>334</v>
      </c>
      <c r="F12" t="s" s="37">
        <v>335</v>
      </c>
      <c r="G12" s="41"/>
      <c r="H12" s="32"/>
      <c r="I12" s="39">
        <v>1</v>
      </c>
      <c r="J12" s="32"/>
      <c r="K12" s="32"/>
      <c r="L12" s="39">
        <v>1</v>
      </c>
      <c r="M12" s="32"/>
      <c r="N12" s="42"/>
      <c r="O12" s="42"/>
      <c r="P12" s="32"/>
      <c r="Q12" s="42"/>
      <c r="R12" s="39">
        <v>43</v>
      </c>
      <c r="S12" s="42"/>
      <c r="T12" s="42"/>
      <c r="U12" s="42"/>
      <c r="V12" s="32"/>
      <c r="W12" s="32"/>
      <c r="X12" s="32"/>
      <c r="Y12" t="s" s="37">
        <v>92</v>
      </c>
      <c r="Z12" t="s" s="37">
        <v>336</v>
      </c>
      <c r="AA12" s="39">
        <v>1</v>
      </c>
      <c r="AB12" s="32"/>
      <c r="AC12" s="39">
        <v>1</v>
      </c>
      <c r="AD12" t="s" s="37">
        <v>316</v>
      </c>
      <c r="AE12" s="32"/>
      <c r="AF12" t="s" s="37">
        <v>337</v>
      </c>
      <c r="AG12" s="46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</row>
    <row r="13" ht="17.5" customHeight="1">
      <c r="A13" t="s" s="37">
        <v>333</v>
      </c>
      <c r="B13" s="32"/>
      <c r="C13" s="39">
        <v>7</v>
      </c>
      <c r="D13" t="s" s="37">
        <v>308</v>
      </c>
      <c r="E13" t="s" s="37">
        <v>334</v>
      </c>
      <c r="F13" t="s" s="37">
        <v>338</v>
      </c>
      <c r="G13" s="41"/>
      <c r="H13" s="39">
        <v>1</v>
      </c>
      <c r="I13" s="32"/>
      <c r="J13" s="32"/>
      <c r="K13" s="32"/>
      <c r="L13" s="32"/>
      <c r="M13" s="39">
        <v>1</v>
      </c>
      <c r="N13" s="42"/>
      <c r="O13" s="42"/>
      <c r="P13" s="32"/>
      <c r="Q13" t="s" s="31">
        <v>34</v>
      </c>
      <c r="R13" s="39">
        <v>42</v>
      </c>
      <c r="S13" s="42"/>
      <c r="T13" s="42"/>
      <c r="U13" s="42"/>
      <c r="V13" s="32"/>
      <c r="W13" s="32"/>
      <c r="X13" s="32"/>
      <c r="Y13" s="32"/>
      <c r="Z13" s="32"/>
      <c r="AA13" s="32"/>
      <c r="AB13" s="32"/>
      <c r="AC13" s="32"/>
      <c r="AD13" t="s" s="37">
        <v>316</v>
      </c>
      <c r="AE13" s="32"/>
      <c r="AF13" s="32"/>
      <c r="AG13" s="46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</row>
    <row r="14" ht="17.5" customHeight="1">
      <c r="A14" t="s" s="37">
        <v>333</v>
      </c>
      <c r="B14" s="32"/>
      <c r="C14" s="39">
        <v>7</v>
      </c>
      <c r="D14" t="s" s="37">
        <v>308</v>
      </c>
      <c r="E14" t="s" s="37">
        <v>334</v>
      </c>
      <c r="F14" t="s" s="37">
        <v>339</v>
      </c>
      <c r="G14" s="41"/>
      <c r="H14" s="39">
        <v>1</v>
      </c>
      <c r="I14" s="32"/>
      <c r="J14" s="32"/>
      <c r="K14" s="32"/>
      <c r="L14" s="32"/>
      <c r="M14" s="32"/>
      <c r="N14" s="43">
        <v>1</v>
      </c>
      <c r="O14" s="42"/>
      <c r="P14" s="32"/>
      <c r="Q14" s="42"/>
      <c r="R14" s="39">
        <v>13</v>
      </c>
      <c r="S14" s="42"/>
      <c r="T14" s="42"/>
      <c r="U14" s="42"/>
      <c r="V14" s="32"/>
      <c r="W14" s="32"/>
      <c r="X14" s="32"/>
      <c r="Y14" s="32"/>
      <c r="Z14" s="32"/>
      <c r="AA14" s="32"/>
      <c r="AB14" s="32"/>
      <c r="AC14" s="32"/>
      <c r="AD14" t="s" s="37">
        <v>316</v>
      </c>
      <c r="AE14" s="32"/>
      <c r="AF14" s="32"/>
      <c r="AG14" s="46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</row>
    <row r="15" ht="17.5" customHeight="1">
      <c r="A15" t="s" s="37">
        <v>333</v>
      </c>
      <c r="B15" s="32"/>
      <c r="C15" s="39">
        <v>7</v>
      </c>
      <c r="D15" t="s" s="37">
        <v>308</v>
      </c>
      <c r="E15" t="s" s="37">
        <v>334</v>
      </c>
      <c r="F15" t="s" s="37">
        <v>340</v>
      </c>
      <c r="G15" s="41"/>
      <c r="H15" s="32"/>
      <c r="I15" s="32"/>
      <c r="J15" s="39">
        <v>1</v>
      </c>
      <c r="K15" s="32"/>
      <c r="L15" s="32"/>
      <c r="M15" s="32"/>
      <c r="N15" s="43">
        <v>1</v>
      </c>
      <c r="O15" s="42"/>
      <c r="P15" s="32"/>
      <c r="Q15" s="42"/>
      <c r="R15" s="39">
        <v>8</v>
      </c>
      <c r="S15" s="42"/>
      <c r="T15" s="42"/>
      <c r="U15" s="42"/>
      <c r="V15" s="32"/>
      <c r="W15" s="32"/>
      <c r="X15" s="32"/>
      <c r="Y15" s="32"/>
      <c r="Z15" s="32"/>
      <c r="AA15" s="32"/>
      <c r="AB15" s="32"/>
      <c r="AC15" s="32"/>
      <c r="AD15" t="s" s="37">
        <v>316</v>
      </c>
      <c r="AE15" s="32"/>
      <c r="AF15" s="32"/>
      <c r="AG15" s="46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</row>
    <row r="16" ht="17.5" customHeight="1">
      <c r="A16" t="s" s="37">
        <v>333</v>
      </c>
      <c r="B16" s="32"/>
      <c r="C16" s="39">
        <v>7</v>
      </c>
      <c r="D16" t="s" s="37">
        <v>308</v>
      </c>
      <c r="E16" t="s" s="37">
        <v>341</v>
      </c>
      <c r="F16" t="s" s="37">
        <v>109</v>
      </c>
      <c r="G16" s="41"/>
      <c r="H16" s="39">
        <v>1</v>
      </c>
      <c r="I16" s="32"/>
      <c r="J16" s="32"/>
      <c r="K16" s="32"/>
      <c r="L16" s="32"/>
      <c r="M16" s="32"/>
      <c r="N16" s="42"/>
      <c r="O16" s="42"/>
      <c r="P16" s="32"/>
      <c r="Q16" s="43">
        <v>1</v>
      </c>
      <c r="R16" s="39">
        <v>28</v>
      </c>
      <c r="S16" s="42"/>
      <c r="T16" s="42"/>
      <c r="U16" s="42"/>
      <c r="V16" s="32"/>
      <c r="W16" s="32"/>
      <c r="X16" s="32"/>
      <c r="Y16" t="s" s="37">
        <v>55</v>
      </c>
      <c r="Z16" s="32"/>
      <c r="AA16" s="39">
        <v>1</v>
      </c>
      <c r="AB16" s="32"/>
      <c r="AC16" s="39">
        <v>1</v>
      </c>
      <c r="AD16" t="s" s="37">
        <v>319</v>
      </c>
      <c r="AE16" s="39">
        <v>1</v>
      </c>
      <c r="AF16" s="32"/>
      <c r="AG16" s="46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ht="17.5" customHeight="1">
      <c r="A17" t="s" s="37">
        <v>333</v>
      </c>
      <c r="B17" s="32"/>
      <c r="C17" s="39">
        <v>7</v>
      </c>
      <c r="D17" t="s" s="37">
        <v>308</v>
      </c>
      <c r="E17" t="s" s="37">
        <v>342</v>
      </c>
      <c r="F17" t="s" s="37">
        <v>343</v>
      </c>
      <c r="G17" s="41"/>
      <c r="H17" s="39">
        <v>1</v>
      </c>
      <c r="I17" s="32"/>
      <c r="J17" s="32"/>
      <c r="K17" s="32"/>
      <c r="L17" s="32"/>
      <c r="M17" s="32"/>
      <c r="N17" s="42"/>
      <c r="O17" s="42"/>
      <c r="P17" s="32"/>
      <c r="Q17" s="43">
        <v>1</v>
      </c>
      <c r="R17" s="39">
        <v>62</v>
      </c>
      <c r="S17" s="42"/>
      <c r="T17" s="42"/>
      <c r="U17" s="42"/>
      <c r="V17" s="32"/>
      <c r="W17" s="32"/>
      <c r="X17" s="32"/>
      <c r="Y17" t="s" s="37">
        <v>45</v>
      </c>
      <c r="Z17" s="32"/>
      <c r="AA17" s="39">
        <v>1</v>
      </c>
      <c r="AB17" s="32"/>
      <c r="AC17" s="39">
        <v>1</v>
      </c>
      <c r="AD17" t="s" s="37">
        <v>34</v>
      </c>
      <c r="AE17" s="32"/>
      <c r="AF17" s="32"/>
      <c r="AG17" s="46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ht="17.5" customHeight="1">
      <c r="A18" t="s" s="37">
        <v>344</v>
      </c>
      <c r="B18" s="32"/>
      <c r="C18" s="39">
        <v>9</v>
      </c>
      <c r="D18" t="s" s="37">
        <v>308</v>
      </c>
      <c r="E18" t="s" s="37">
        <v>345</v>
      </c>
      <c r="F18" t="s" s="37">
        <v>346</v>
      </c>
      <c r="G18" s="41"/>
      <c r="H18" s="32"/>
      <c r="I18" s="39">
        <v>1</v>
      </c>
      <c r="J18" s="32"/>
      <c r="K18" s="32"/>
      <c r="L18" s="39">
        <v>1</v>
      </c>
      <c r="M18" s="32"/>
      <c r="N18" s="42"/>
      <c r="O18" s="42"/>
      <c r="P18" s="42"/>
      <c r="Q18" s="42"/>
      <c r="R18" s="39">
        <v>38</v>
      </c>
      <c r="S18" s="42"/>
      <c r="T18" s="42"/>
      <c r="U18" s="42"/>
      <c r="V18" s="32"/>
      <c r="W18" s="32"/>
      <c r="X18" s="32"/>
      <c r="Y18" t="s" s="37">
        <v>347</v>
      </c>
      <c r="Z18" t="s" s="37">
        <v>348</v>
      </c>
      <c r="AA18" s="39">
        <v>1</v>
      </c>
      <c r="AB18" s="39">
        <v>1</v>
      </c>
      <c r="AC18" s="32"/>
      <c r="AD18" s="32"/>
      <c r="AE18" s="32"/>
      <c r="AF18" s="32"/>
      <c r="AG18" s="47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ht="17.5" customHeight="1">
      <c r="A19" t="s" s="37">
        <v>344</v>
      </c>
      <c r="B19" s="32"/>
      <c r="C19" s="39">
        <v>9</v>
      </c>
      <c r="D19" t="s" s="37">
        <v>308</v>
      </c>
      <c r="E19" t="s" s="37">
        <v>345</v>
      </c>
      <c r="F19" t="s" s="37">
        <v>349</v>
      </c>
      <c r="G19" s="41"/>
      <c r="H19" s="39">
        <v>1</v>
      </c>
      <c r="I19" s="32"/>
      <c r="J19" s="32"/>
      <c r="K19" s="32"/>
      <c r="L19" s="32"/>
      <c r="M19" s="39">
        <v>1</v>
      </c>
      <c r="N19" s="42"/>
      <c r="O19" s="42"/>
      <c r="P19" s="42"/>
      <c r="Q19" s="42"/>
      <c r="R19" s="39">
        <v>38</v>
      </c>
      <c r="S19" s="42"/>
      <c r="T19" s="42"/>
      <c r="U19" s="4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47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ht="17.5" customHeight="1">
      <c r="A20" t="s" s="37">
        <v>344</v>
      </c>
      <c r="B20" s="32"/>
      <c r="C20" s="39">
        <v>9</v>
      </c>
      <c r="D20" t="s" s="37">
        <v>308</v>
      </c>
      <c r="E20" t="s" s="37">
        <v>345</v>
      </c>
      <c r="F20" t="s" s="37">
        <v>350</v>
      </c>
      <c r="G20" s="41"/>
      <c r="H20" s="32"/>
      <c r="I20" s="32"/>
      <c r="J20" s="39">
        <v>1</v>
      </c>
      <c r="K20" s="32"/>
      <c r="L20" s="32"/>
      <c r="M20" s="32"/>
      <c r="N20" s="43">
        <v>1</v>
      </c>
      <c r="O20" s="42"/>
      <c r="P20" s="42"/>
      <c r="Q20" s="42"/>
      <c r="R20" s="39">
        <v>4</v>
      </c>
      <c r="S20" s="42"/>
      <c r="T20" s="42"/>
      <c r="U20" s="4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47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ht="17.5" customHeight="1">
      <c r="A21" t="s" s="37">
        <v>344</v>
      </c>
      <c r="B21" s="32"/>
      <c r="C21" s="39">
        <v>9</v>
      </c>
      <c r="D21" t="s" s="37">
        <v>308</v>
      </c>
      <c r="E21" t="s" s="37">
        <v>351</v>
      </c>
      <c r="F21" t="s" s="37">
        <v>352</v>
      </c>
      <c r="G21" s="41"/>
      <c r="H21" s="39">
        <v>1</v>
      </c>
      <c r="I21" s="32"/>
      <c r="J21" s="32"/>
      <c r="K21" s="32"/>
      <c r="L21" s="32"/>
      <c r="M21" s="32"/>
      <c r="N21" s="42"/>
      <c r="O21" s="42"/>
      <c r="P21" s="42"/>
      <c r="Q21" s="43">
        <v>1</v>
      </c>
      <c r="R21" s="39">
        <v>20</v>
      </c>
      <c r="S21" s="42"/>
      <c r="T21" s="42"/>
      <c r="U21" s="42"/>
      <c r="V21" s="32"/>
      <c r="W21" s="32"/>
      <c r="X21" s="32"/>
      <c r="Y21" t="s" s="37">
        <v>353</v>
      </c>
      <c r="Z21" s="32"/>
      <c r="AA21" s="39">
        <v>1</v>
      </c>
      <c r="AB21" s="32"/>
      <c r="AC21" s="39">
        <v>1</v>
      </c>
      <c r="AD21" t="s" s="37">
        <v>354</v>
      </c>
      <c r="AE21" s="39">
        <v>1</v>
      </c>
      <c r="AF21" s="32"/>
      <c r="AG21" s="47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ht="17.5" customHeight="1">
      <c r="A22" t="s" s="37">
        <v>344</v>
      </c>
      <c r="B22" s="32"/>
      <c r="C22" s="39">
        <v>9</v>
      </c>
      <c r="D22" t="s" s="37">
        <v>308</v>
      </c>
      <c r="E22" t="s" s="37">
        <v>34</v>
      </c>
      <c r="F22" t="s" s="37">
        <v>355</v>
      </c>
      <c r="G22" s="41"/>
      <c r="H22" s="39">
        <v>1</v>
      </c>
      <c r="I22" s="32"/>
      <c r="J22" s="32"/>
      <c r="K22" s="32"/>
      <c r="L22" s="32"/>
      <c r="M22" s="32"/>
      <c r="N22" s="42"/>
      <c r="O22" s="42"/>
      <c r="P22" s="42"/>
      <c r="Q22" s="43">
        <v>1</v>
      </c>
      <c r="R22" s="39">
        <v>27</v>
      </c>
      <c r="S22" s="42"/>
      <c r="T22" s="42"/>
      <c r="U22" s="42"/>
      <c r="V22" s="32"/>
      <c r="W22" s="32"/>
      <c r="X22" s="32"/>
      <c r="Y22" t="s" s="37">
        <v>45</v>
      </c>
      <c r="Z22" s="32"/>
      <c r="AA22" s="39">
        <v>1</v>
      </c>
      <c r="AB22" s="32"/>
      <c r="AC22" s="39">
        <v>1</v>
      </c>
      <c r="AD22" t="s" s="37">
        <v>356</v>
      </c>
      <c r="AE22" s="39">
        <v>1</v>
      </c>
      <c r="AF22" s="32"/>
      <c r="AG22" s="47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ht="17.5" customHeight="1">
      <c r="A23" t="s" s="37">
        <v>357</v>
      </c>
      <c r="B23" s="32"/>
      <c r="C23" s="39">
        <v>13</v>
      </c>
      <c r="D23" t="s" s="37">
        <v>308</v>
      </c>
      <c r="E23" t="s" s="37">
        <v>113</v>
      </c>
      <c r="F23" t="s" s="37">
        <v>358</v>
      </c>
      <c r="G23" s="41"/>
      <c r="H23" s="32"/>
      <c r="I23" s="39">
        <v>1</v>
      </c>
      <c r="J23" s="32"/>
      <c r="K23" s="32"/>
      <c r="L23" s="39">
        <v>1</v>
      </c>
      <c r="M23" s="32"/>
      <c r="N23" s="42"/>
      <c r="O23" s="42"/>
      <c r="P23" s="42"/>
      <c r="Q23" s="42"/>
      <c r="R23" s="43">
        <v>34</v>
      </c>
      <c r="S23" s="42"/>
      <c r="T23" s="42"/>
      <c r="U23" s="42"/>
      <c r="V23" s="32"/>
      <c r="W23" s="32"/>
      <c r="X23" s="32"/>
      <c r="Y23" t="s" s="37">
        <v>114</v>
      </c>
      <c r="Z23" t="s" s="37">
        <v>359</v>
      </c>
      <c r="AA23" s="39">
        <v>1</v>
      </c>
      <c r="AB23" s="39">
        <v>1</v>
      </c>
      <c r="AC23" s="32"/>
      <c r="AD23" s="32"/>
      <c r="AE23" s="32"/>
      <c r="AF23" s="32"/>
      <c r="AG23" s="47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</row>
    <row r="24" ht="17" customHeight="1">
      <c r="A24" t="s" s="37">
        <v>357</v>
      </c>
      <c r="B24" s="32"/>
      <c r="C24" s="39">
        <v>13</v>
      </c>
      <c r="D24" t="s" s="37">
        <v>308</v>
      </c>
      <c r="E24" t="s" s="37">
        <v>113</v>
      </c>
      <c r="F24" t="s" s="37">
        <v>360</v>
      </c>
      <c r="G24" s="41"/>
      <c r="H24" s="39">
        <v>1</v>
      </c>
      <c r="I24" s="32"/>
      <c r="J24" s="32"/>
      <c r="K24" s="32"/>
      <c r="L24" s="32"/>
      <c r="M24" s="39">
        <v>1</v>
      </c>
      <c r="N24" s="32"/>
      <c r="O24" s="32"/>
      <c r="P24" s="32"/>
      <c r="Q24" s="32"/>
      <c r="R24" s="39">
        <v>36</v>
      </c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46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</row>
    <row r="25" ht="17.5" customHeight="1">
      <c r="A25" t="s" s="37">
        <v>357</v>
      </c>
      <c r="B25" s="32"/>
      <c r="C25" s="39">
        <v>13</v>
      </c>
      <c r="D25" t="s" s="37">
        <v>308</v>
      </c>
      <c r="E25" t="s" s="37">
        <v>361</v>
      </c>
      <c r="F25" t="s" s="37">
        <v>362</v>
      </c>
      <c r="G25" s="41"/>
      <c r="H25" s="39">
        <v>1</v>
      </c>
      <c r="I25" s="32"/>
      <c r="J25" s="32"/>
      <c r="K25" s="32"/>
      <c r="L25" s="32"/>
      <c r="M25" s="32"/>
      <c r="N25" s="42"/>
      <c r="O25" s="42"/>
      <c r="P25" s="42"/>
      <c r="Q25" s="43">
        <v>1</v>
      </c>
      <c r="R25" s="43">
        <v>23</v>
      </c>
      <c r="S25" s="42"/>
      <c r="T25" s="42"/>
      <c r="U25" s="42"/>
      <c r="V25" s="32"/>
      <c r="W25" s="32"/>
      <c r="X25" s="32"/>
      <c r="Y25" t="s" s="37">
        <v>363</v>
      </c>
      <c r="Z25" s="32"/>
      <c r="AA25" s="39">
        <v>1</v>
      </c>
      <c r="AB25" s="32"/>
      <c r="AC25" s="39">
        <v>1</v>
      </c>
      <c r="AD25" t="s" s="37">
        <v>364</v>
      </c>
      <c r="AE25" s="39">
        <v>1</v>
      </c>
      <c r="AF25" s="32"/>
      <c r="AG25" s="47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ht="17.5" customHeight="1">
      <c r="A26" t="s" s="37">
        <v>357</v>
      </c>
      <c r="B26" s="32"/>
      <c r="C26" s="39">
        <v>13</v>
      </c>
      <c r="D26" t="s" s="37">
        <v>308</v>
      </c>
      <c r="E26" t="s" s="37">
        <v>365</v>
      </c>
      <c r="F26" t="s" s="37">
        <v>366</v>
      </c>
      <c r="G26" s="41"/>
      <c r="H26" s="39">
        <v>1</v>
      </c>
      <c r="I26" s="32"/>
      <c r="J26" s="32"/>
      <c r="K26" s="32"/>
      <c r="L26" s="32"/>
      <c r="M26" s="32"/>
      <c r="N26" s="42"/>
      <c r="O26" s="42"/>
      <c r="P26" s="42"/>
      <c r="Q26" s="43">
        <v>1</v>
      </c>
      <c r="R26" s="43">
        <v>31</v>
      </c>
      <c r="S26" s="42"/>
      <c r="T26" s="42"/>
      <c r="U26" s="42"/>
      <c r="V26" s="32"/>
      <c r="W26" s="32"/>
      <c r="X26" s="32"/>
      <c r="Y26" t="s" s="37">
        <v>353</v>
      </c>
      <c r="Z26" s="32"/>
      <c r="AA26" s="39">
        <v>1</v>
      </c>
      <c r="AB26" s="32"/>
      <c r="AC26" s="39">
        <v>1</v>
      </c>
      <c r="AD26" t="s" s="37">
        <v>364</v>
      </c>
      <c r="AE26" s="39">
        <v>1</v>
      </c>
      <c r="AF26" s="32"/>
      <c r="AG26" s="47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</row>
    <row r="27" ht="17.5" customHeight="1">
      <c r="A27" t="s" s="37">
        <v>367</v>
      </c>
      <c r="B27" s="48"/>
      <c r="C27" s="49">
        <v>15</v>
      </c>
      <c r="D27" t="s" s="37">
        <v>308</v>
      </c>
      <c r="E27" t="s" s="37">
        <v>368</v>
      </c>
      <c r="F27" t="s" s="37">
        <v>369</v>
      </c>
      <c r="G27" s="41"/>
      <c r="H27" s="50">
        <v>1</v>
      </c>
      <c r="I27" s="51"/>
      <c r="J27" s="51"/>
      <c r="K27" s="51"/>
      <c r="L27" s="50">
        <v>1</v>
      </c>
      <c r="M27" s="51"/>
      <c r="N27" s="51"/>
      <c r="O27" s="51"/>
      <c r="P27" s="51"/>
      <c r="Q27" s="51"/>
      <c r="R27" s="50">
        <v>84</v>
      </c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t="s" s="52">
        <v>370</v>
      </c>
      <c r="AE27" s="39">
        <v>1</v>
      </c>
      <c r="AF27" s="32"/>
      <c r="AG27" s="53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</row>
    <row r="28" ht="28" customHeight="1">
      <c r="A28" t="s" s="37">
        <v>367</v>
      </c>
      <c r="B28" s="48"/>
      <c r="C28" s="49">
        <v>15</v>
      </c>
      <c r="D28" t="s" s="37">
        <v>308</v>
      </c>
      <c r="E28" t="s" s="37">
        <v>371</v>
      </c>
      <c r="F28" t="s" s="37">
        <v>372</v>
      </c>
      <c r="G28" s="41"/>
      <c r="H28" s="50">
        <v>1</v>
      </c>
      <c r="I28" s="51"/>
      <c r="J28" s="51"/>
      <c r="K28" s="51"/>
      <c r="L28" s="51"/>
      <c r="M28" s="51"/>
      <c r="N28" s="51"/>
      <c r="O28" s="51"/>
      <c r="P28" s="50">
        <v>1</v>
      </c>
      <c r="Q28" s="51"/>
      <c r="R28" s="50">
        <v>78</v>
      </c>
      <c r="S28" s="51"/>
      <c r="T28" s="51"/>
      <c r="U28" s="54"/>
      <c r="V28" s="51"/>
      <c r="W28" s="51"/>
      <c r="X28" s="51"/>
      <c r="Y28" s="51"/>
      <c r="Z28" s="51"/>
      <c r="AA28" s="51"/>
      <c r="AB28" s="51"/>
      <c r="AC28" s="51"/>
      <c r="AD28" t="s" s="52">
        <v>373</v>
      </c>
      <c r="AE28" s="39">
        <v>1</v>
      </c>
      <c r="AF28" s="32"/>
      <c r="AG28" t="s" s="55">
        <v>374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</row>
    <row r="29" ht="28" customHeight="1">
      <c r="A29" t="s" s="37">
        <v>367</v>
      </c>
      <c r="B29" s="48"/>
      <c r="C29" s="49">
        <v>15</v>
      </c>
      <c r="D29" t="s" s="37">
        <v>308</v>
      </c>
      <c r="E29" t="s" s="37">
        <v>375</v>
      </c>
      <c r="F29" t="s" s="37">
        <v>376</v>
      </c>
      <c r="G29" s="41"/>
      <c r="H29" s="50">
        <v>1</v>
      </c>
      <c r="I29" s="51"/>
      <c r="J29" s="51"/>
      <c r="K29" s="51"/>
      <c r="L29" s="51"/>
      <c r="M29" s="51"/>
      <c r="N29" s="51"/>
      <c r="O29" s="51"/>
      <c r="P29" s="50">
        <v>1</v>
      </c>
      <c r="Q29" s="51"/>
      <c r="R29" s="50">
        <v>60</v>
      </c>
      <c r="S29" s="51"/>
      <c r="T29" s="51"/>
      <c r="U29" s="54"/>
      <c r="V29" s="51"/>
      <c r="W29" s="51"/>
      <c r="X29" s="51"/>
      <c r="Y29" s="51"/>
      <c r="Z29" s="51"/>
      <c r="AA29" s="51"/>
      <c r="AB29" s="51"/>
      <c r="AC29" s="51"/>
      <c r="AD29" t="s" s="52">
        <v>377</v>
      </c>
      <c r="AE29" s="39">
        <v>1</v>
      </c>
      <c r="AF29" s="32"/>
      <c r="AG29" t="s" s="55">
        <v>378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</row>
    <row r="30" ht="17" customHeight="1">
      <c r="A30" t="s" s="37">
        <v>367</v>
      </c>
      <c r="B30" s="32"/>
      <c r="C30" s="49">
        <v>15</v>
      </c>
      <c r="D30" t="s" s="37">
        <v>308</v>
      </c>
      <c r="E30" t="s" s="37">
        <v>375</v>
      </c>
      <c r="F30" t="s" s="37">
        <v>379</v>
      </c>
      <c r="G30" s="41"/>
      <c r="H30" s="50">
        <v>1</v>
      </c>
      <c r="I30" s="32"/>
      <c r="J30" s="32"/>
      <c r="K30" s="32"/>
      <c r="L30" s="32"/>
      <c r="M30" s="32"/>
      <c r="N30" s="32"/>
      <c r="O30" s="32"/>
      <c r="P30" s="39">
        <v>1</v>
      </c>
      <c r="Q30" s="32"/>
      <c r="R30" s="56">
        <v>58</v>
      </c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t="s" s="37">
        <v>377</v>
      </c>
      <c r="AE30" s="39">
        <v>1</v>
      </c>
      <c r="AF30" s="32"/>
      <c r="AG30" t="s" s="57">
        <v>378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</row>
    <row r="31" ht="17" customHeight="1">
      <c r="A31" t="s" s="37">
        <v>367</v>
      </c>
      <c r="B31" s="32"/>
      <c r="C31" s="49">
        <v>15</v>
      </c>
      <c r="D31" t="s" s="37">
        <v>308</v>
      </c>
      <c r="E31" t="s" s="37">
        <v>380</v>
      </c>
      <c r="F31" t="s" s="37">
        <v>331</v>
      </c>
      <c r="G31" s="41"/>
      <c r="H31" s="50">
        <v>1</v>
      </c>
      <c r="I31" s="32"/>
      <c r="J31" s="32"/>
      <c r="K31" s="32"/>
      <c r="L31" s="32"/>
      <c r="M31" s="32"/>
      <c r="N31" s="32"/>
      <c r="O31" s="32"/>
      <c r="P31" s="32"/>
      <c r="Q31" s="39">
        <v>1</v>
      </c>
      <c r="R31" s="56">
        <v>42</v>
      </c>
      <c r="S31" s="58"/>
      <c r="T31" s="58"/>
      <c r="U31" s="58"/>
      <c r="V31" s="32"/>
      <c r="W31" s="32"/>
      <c r="X31" s="32"/>
      <c r="Y31" t="s" s="37">
        <v>322</v>
      </c>
      <c r="Z31" s="32"/>
      <c r="AA31" s="39">
        <v>1</v>
      </c>
      <c r="AB31" s="32"/>
      <c r="AC31" s="39">
        <v>1</v>
      </c>
      <c r="AD31" t="s" s="37">
        <v>381</v>
      </c>
      <c r="AE31" s="39">
        <v>1</v>
      </c>
      <c r="AF31" s="32"/>
      <c r="AG31" s="46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</row>
    <row r="32" ht="17.5" customHeight="1">
      <c r="A32" t="s" s="37">
        <v>367</v>
      </c>
      <c r="B32" s="32"/>
      <c r="C32" s="49">
        <v>15</v>
      </c>
      <c r="D32" t="s" s="37">
        <v>308</v>
      </c>
      <c r="E32" t="s" s="37">
        <v>382</v>
      </c>
      <c r="F32" t="s" s="37">
        <v>383</v>
      </c>
      <c r="G32" s="41"/>
      <c r="H32" s="50">
        <v>1</v>
      </c>
      <c r="I32" s="32"/>
      <c r="J32" s="32"/>
      <c r="K32" s="32"/>
      <c r="L32" s="32"/>
      <c r="M32" s="32"/>
      <c r="N32" s="32"/>
      <c r="O32" s="32"/>
      <c r="P32" s="32"/>
      <c r="Q32" s="39">
        <v>1</v>
      </c>
      <c r="R32" s="39">
        <v>24</v>
      </c>
      <c r="S32" s="42"/>
      <c r="T32" s="42"/>
      <c r="U32" s="59"/>
      <c r="V32" s="32"/>
      <c r="W32" s="32"/>
      <c r="X32" s="32"/>
      <c r="Y32" t="s" s="37">
        <v>322</v>
      </c>
      <c r="Z32" s="32"/>
      <c r="AA32" s="39">
        <v>1</v>
      </c>
      <c r="AB32" s="32"/>
      <c r="AC32" s="39">
        <v>1</v>
      </c>
      <c r="AD32" s="32"/>
      <c r="AE32" s="32"/>
      <c r="AF32" s="32"/>
      <c r="AG32" s="46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</row>
    <row r="33" ht="17" customHeight="1">
      <c r="A33" t="s" s="37">
        <v>384</v>
      </c>
      <c r="B33" s="32"/>
      <c r="C33" s="49">
        <v>17</v>
      </c>
      <c r="D33" t="s" s="37">
        <v>308</v>
      </c>
      <c r="E33" t="s" s="37">
        <v>385</v>
      </c>
      <c r="F33" t="s" s="37">
        <v>48</v>
      </c>
      <c r="G33" s="41"/>
      <c r="H33" s="50">
        <v>1</v>
      </c>
      <c r="I33" s="32"/>
      <c r="J33" s="32"/>
      <c r="K33" s="32"/>
      <c r="L33" s="32"/>
      <c r="M33" s="32"/>
      <c r="N33" s="32"/>
      <c r="O33" s="32"/>
      <c r="P33" s="32"/>
      <c r="Q33" s="39">
        <v>1</v>
      </c>
      <c r="R33" s="39">
        <v>20</v>
      </c>
      <c r="S33" s="58"/>
      <c r="T33" s="58"/>
      <c r="U33" s="58"/>
      <c r="V33" s="32"/>
      <c r="W33" s="32"/>
      <c r="X33" s="32"/>
      <c r="Y33" t="s" s="37">
        <v>363</v>
      </c>
      <c r="Z33" s="32"/>
      <c r="AA33" s="39">
        <v>1</v>
      </c>
      <c r="AB33" s="32"/>
      <c r="AC33" s="39">
        <v>1</v>
      </c>
      <c r="AD33" s="60"/>
      <c r="AE33" s="60"/>
      <c r="AF33" s="32"/>
      <c r="AG33" s="46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</row>
    <row r="34" ht="17.5" customHeight="1">
      <c r="A34" t="s" s="37">
        <v>384</v>
      </c>
      <c r="B34" s="32"/>
      <c r="C34" s="49">
        <v>17</v>
      </c>
      <c r="D34" t="s" s="37">
        <v>308</v>
      </c>
      <c r="E34" t="s" s="37">
        <v>386</v>
      </c>
      <c r="F34" t="s" s="37">
        <v>387</v>
      </c>
      <c r="G34" s="41"/>
      <c r="H34" s="50">
        <v>1</v>
      </c>
      <c r="I34" s="32"/>
      <c r="J34" s="32"/>
      <c r="K34" s="32"/>
      <c r="L34" s="32"/>
      <c r="M34" s="32"/>
      <c r="N34" s="39">
        <v>1</v>
      </c>
      <c r="O34" s="32"/>
      <c r="P34" s="32"/>
      <c r="Q34" s="32"/>
      <c r="R34" s="39">
        <v>5</v>
      </c>
      <c r="S34" s="4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46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</row>
    <row r="35" ht="17.45" customHeight="1">
      <c r="A35" t="s" s="37">
        <v>384</v>
      </c>
      <c r="B35" s="32"/>
      <c r="C35" s="49">
        <v>17</v>
      </c>
      <c r="D35" t="s" s="37">
        <v>308</v>
      </c>
      <c r="E35" t="s" s="37">
        <v>388</v>
      </c>
      <c r="F35" t="s" s="37">
        <v>389</v>
      </c>
      <c r="G35" s="41"/>
      <c r="H35" s="32"/>
      <c r="I35" s="39">
        <v>1</v>
      </c>
      <c r="J35" s="32"/>
      <c r="K35" s="32"/>
      <c r="L35" s="39">
        <v>1</v>
      </c>
      <c r="M35" s="32"/>
      <c r="N35" s="32"/>
      <c r="O35" s="32"/>
      <c r="P35" s="32"/>
      <c r="Q35" s="32"/>
      <c r="R35" s="39">
        <v>72</v>
      </c>
      <c r="S35" s="32"/>
      <c r="T35" s="32"/>
      <c r="U35" s="32"/>
      <c r="V35" s="32"/>
      <c r="W35" s="32"/>
      <c r="X35" s="32"/>
      <c r="Y35" t="s" s="37">
        <v>390</v>
      </c>
      <c r="Z35" t="s" s="37">
        <v>390</v>
      </c>
      <c r="AA35" s="39">
        <v>1</v>
      </c>
      <c r="AB35" s="39">
        <v>1</v>
      </c>
      <c r="AC35" s="32"/>
      <c r="AD35" t="s" s="37">
        <v>391</v>
      </c>
      <c r="AE35" s="39">
        <v>1</v>
      </c>
      <c r="AF35" s="32"/>
      <c r="AG35" s="32"/>
      <c r="AH35" s="61"/>
      <c r="AI35" s="62"/>
      <c r="AJ35" s="62"/>
      <c r="AK35" s="62"/>
      <c r="AL35" s="62"/>
      <c r="AM35" s="62"/>
      <c r="AN35" s="62"/>
      <c r="AO35" s="62"/>
      <c r="AP35" s="62"/>
      <c r="AQ35" s="62"/>
      <c r="AR35" s="62"/>
      <c r="AS35" s="62"/>
      <c r="AT35" s="62"/>
      <c r="AU35" s="62"/>
      <c r="AV35" s="62"/>
      <c r="AW35" s="62"/>
      <c r="AX35" s="62"/>
      <c r="AY35" s="62"/>
      <c r="AZ35" s="62"/>
    </row>
    <row r="36" ht="17.45" customHeight="1">
      <c r="A36" t="s" s="37">
        <v>384</v>
      </c>
      <c r="B36" s="32"/>
      <c r="C36" s="49">
        <v>17</v>
      </c>
      <c r="D36" t="s" s="37">
        <v>308</v>
      </c>
      <c r="E36" t="s" s="37">
        <v>388</v>
      </c>
      <c r="F36" t="s" s="37">
        <v>392</v>
      </c>
      <c r="G36" s="41"/>
      <c r="H36" s="32"/>
      <c r="I36" s="39">
        <v>1</v>
      </c>
      <c r="J36" s="32"/>
      <c r="K36" s="32"/>
      <c r="L36" s="32"/>
      <c r="M36" s="32"/>
      <c r="N36" s="32"/>
      <c r="O36" s="39">
        <v>1</v>
      </c>
      <c r="P36" s="32"/>
      <c r="Q36" s="32"/>
      <c r="R36" s="39">
        <v>31</v>
      </c>
      <c r="S36" s="32"/>
      <c r="T36" s="32"/>
      <c r="U36" s="32"/>
      <c r="V36" s="32"/>
      <c r="W36" s="32"/>
      <c r="X36" s="32"/>
      <c r="Y36" t="s" s="37">
        <v>390</v>
      </c>
      <c r="Z36" t="s" s="37">
        <v>390</v>
      </c>
      <c r="AA36" s="39">
        <v>1</v>
      </c>
      <c r="AB36" s="32"/>
      <c r="AC36" s="39">
        <v>1</v>
      </c>
      <c r="AD36" s="32"/>
      <c r="AE36" s="32"/>
      <c r="AF36" t="s" s="37">
        <v>393</v>
      </c>
      <c r="AG36" s="32"/>
      <c r="AH36" s="63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</row>
    <row r="37" ht="17.45" customHeight="1">
      <c r="A37" t="s" s="37">
        <v>384</v>
      </c>
      <c r="B37" s="32"/>
      <c r="C37" s="49">
        <v>17</v>
      </c>
      <c r="D37" t="s" s="37">
        <v>308</v>
      </c>
      <c r="E37" t="s" s="37">
        <v>394</v>
      </c>
      <c r="F37" t="s" s="37">
        <v>395</v>
      </c>
      <c r="G37" s="41"/>
      <c r="H37" s="50">
        <v>1</v>
      </c>
      <c r="I37" s="32"/>
      <c r="J37" s="32"/>
      <c r="K37" s="32"/>
      <c r="L37" s="32"/>
      <c r="M37" s="32"/>
      <c r="N37" s="32"/>
      <c r="O37" s="32"/>
      <c r="P37" s="39">
        <v>1</v>
      </c>
      <c r="Q37" s="32"/>
      <c r="R37" s="39">
        <v>59</v>
      </c>
      <c r="S37" s="32"/>
      <c r="T37" s="32"/>
      <c r="U37" s="32"/>
      <c r="V37" s="32"/>
      <c r="W37" s="32"/>
      <c r="X37" s="32"/>
      <c r="Y37" t="s" s="37">
        <v>396</v>
      </c>
      <c r="Z37" t="s" s="37">
        <v>397</v>
      </c>
      <c r="AA37" s="39">
        <v>1</v>
      </c>
      <c r="AB37" s="32"/>
      <c r="AC37" s="39">
        <v>1</v>
      </c>
      <c r="AD37" t="s" s="37">
        <v>398</v>
      </c>
      <c r="AE37" s="39">
        <v>1</v>
      </c>
      <c r="AF37" t="s" s="37">
        <v>399</v>
      </c>
      <c r="AG37" t="s" s="37">
        <v>329</v>
      </c>
      <c r="AH37" s="63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</row>
    <row r="38" ht="17.45" customHeight="1">
      <c r="A38" t="s" s="37">
        <v>384</v>
      </c>
      <c r="B38" s="32"/>
      <c r="C38" s="49">
        <v>17</v>
      </c>
      <c r="D38" t="s" s="37">
        <v>308</v>
      </c>
      <c r="E38" t="s" s="37">
        <v>394</v>
      </c>
      <c r="F38" t="s" s="37">
        <v>400</v>
      </c>
      <c r="G38" s="41"/>
      <c r="H38" s="50">
        <v>1</v>
      </c>
      <c r="I38" s="32"/>
      <c r="J38" s="32"/>
      <c r="K38" s="32"/>
      <c r="L38" s="32"/>
      <c r="M38" s="32"/>
      <c r="N38" s="32"/>
      <c r="O38" s="32"/>
      <c r="P38" s="39">
        <v>1</v>
      </c>
      <c r="Q38" s="32"/>
      <c r="R38" s="39">
        <v>46</v>
      </c>
      <c r="S38" s="32"/>
      <c r="T38" s="32"/>
      <c r="U38" s="32"/>
      <c r="V38" s="32"/>
      <c r="W38" s="32"/>
      <c r="X38" s="32"/>
      <c r="Y38" t="s" s="37">
        <v>401</v>
      </c>
      <c r="Z38" s="32"/>
      <c r="AA38" s="32"/>
      <c r="AB38" s="32"/>
      <c r="AC38" s="32"/>
      <c r="AD38" t="s" s="37">
        <v>402</v>
      </c>
      <c r="AE38" s="39">
        <v>1</v>
      </c>
      <c r="AF38" s="32"/>
      <c r="AG38" t="s" s="37">
        <v>329</v>
      </c>
      <c r="AH38" s="63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</row>
    <row r="39" ht="17.45" customHeight="1">
      <c r="A39" t="s" s="37">
        <v>384</v>
      </c>
      <c r="B39" s="32"/>
      <c r="C39" s="49">
        <v>17</v>
      </c>
      <c r="D39" t="s" s="37">
        <v>308</v>
      </c>
      <c r="E39" t="s" s="37">
        <v>394</v>
      </c>
      <c r="F39" t="s" s="37">
        <v>403</v>
      </c>
      <c r="G39" s="41"/>
      <c r="H39" s="51"/>
      <c r="I39" s="32"/>
      <c r="J39" s="39">
        <v>1</v>
      </c>
      <c r="K39" s="32"/>
      <c r="L39" s="32"/>
      <c r="M39" s="32"/>
      <c r="N39" s="32"/>
      <c r="O39" s="32"/>
      <c r="P39" s="39">
        <v>1</v>
      </c>
      <c r="Q39" s="32"/>
      <c r="R39" s="39">
        <v>10</v>
      </c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t="s" s="37">
        <v>404</v>
      </c>
      <c r="AE39" s="39">
        <v>1</v>
      </c>
      <c r="AF39" s="32"/>
      <c r="AG39" t="s" s="37">
        <v>329</v>
      </c>
      <c r="AH39" s="63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</row>
    <row r="40" ht="17.45" customHeight="1">
      <c r="A40" t="s" s="37">
        <v>384</v>
      </c>
      <c r="B40" s="32"/>
      <c r="C40" s="49">
        <v>17</v>
      </c>
      <c r="D40" t="s" s="37">
        <v>308</v>
      </c>
      <c r="E40" t="s" s="37">
        <v>405</v>
      </c>
      <c r="F40" t="s" s="37">
        <v>406</v>
      </c>
      <c r="G40" s="41"/>
      <c r="H40" s="50">
        <v>1</v>
      </c>
      <c r="I40" s="32"/>
      <c r="J40" s="32"/>
      <c r="K40" s="32"/>
      <c r="L40" s="32"/>
      <c r="M40" s="32"/>
      <c r="N40" s="32"/>
      <c r="O40" s="32"/>
      <c r="P40" s="32"/>
      <c r="Q40" s="39">
        <v>1</v>
      </c>
      <c r="R40" s="39">
        <v>28</v>
      </c>
      <c r="S40" s="32"/>
      <c r="T40" s="32"/>
      <c r="U40" s="32"/>
      <c r="V40" s="32"/>
      <c r="W40" s="32"/>
      <c r="X40" s="32"/>
      <c r="Y40" t="s" s="37">
        <v>407</v>
      </c>
      <c r="Z40" s="32"/>
      <c r="AA40" s="39">
        <v>1</v>
      </c>
      <c r="AB40" s="32"/>
      <c r="AC40" s="39">
        <v>1</v>
      </c>
      <c r="AD40" t="s" s="37">
        <v>408</v>
      </c>
      <c r="AE40" s="39">
        <v>1</v>
      </c>
      <c r="AF40" s="32"/>
      <c r="AG40" s="32"/>
      <c r="AH40" s="63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</row>
    <row r="41" ht="17.45" customHeight="1">
      <c r="A41" t="s" s="37">
        <v>384</v>
      </c>
      <c r="B41" s="32"/>
      <c r="C41" s="49">
        <v>17</v>
      </c>
      <c r="D41" t="s" s="37">
        <v>308</v>
      </c>
      <c r="E41" t="s" s="37">
        <v>409</v>
      </c>
      <c r="F41" t="s" s="37">
        <v>410</v>
      </c>
      <c r="G41" s="41"/>
      <c r="H41" s="50">
        <v>1</v>
      </c>
      <c r="I41" s="32"/>
      <c r="J41" s="32"/>
      <c r="K41" s="32"/>
      <c r="L41" s="32"/>
      <c r="M41" s="32"/>
      <c r="N41" s="32"/>
      <c r="O41" s="32"/>
      <c r="P41" s="32"/>
      <c r="Q41" s="39">
        <v>1</v>
      </c>
      <c r="R41" s="39">
        <v>27</v>
      </c>
      <c r="S41" s="32"/>
      <c r="T41" s="32"/>
      <c r="U41" s="32"/>
      <c r="V41" s="32"/>
      <c r="W41" s="32"/>
      <c r="X41" s="32"/>
      <c r="Y41" t="s" s="37">
        <v>353</v>
      </c>
      <c r="Z41" s="32"/>
      <c r="AA41" s="39">
        <v>1</v>
      </c>
      <c r="AB41" s="32"/>
      <c r="AC41" s="39">
        <v>1</v>
      </c>
      <c r="AD41" t="s" s="37">
        <v>411</v>
      </c>
      <c r="AE41" s="39">
        <v>1</v>
      </c>
      <c r="AF41" s="32"/>
      <c r="AG41" s="32"/>
      <c r="AH41" s="63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</row>
    <row r="42" ht="17.45" customHeight="1">
      <c r="A42" t="s" s="37">
        <v>384</v>
      </c>
      <c r="B42" s="32"/>
      <c r="C42" s="49">
        <v>17</v>
      </c>
      <c r="D42" t="s" s="37">
        <v>308</v>
      </c>
      <c r="E42" t="s" s="37">
        <v>412</v>
      </c>
      <c r="F42" t="s" s="37">
        <v>48</v>
      </c>
      <c r="G42" s="41"/>
      <c r="H42" s="50">
        <v>1</v>
      </c>
      <c r="I42" s="32"/>
      <c r="J42" s="32"/>
      <c r="K42" s="32"/>
      <c r="L42" s="32"/>
      <c r="M42" s="32"/>
      <c r="N42" s="32"/>
      <c r="O42" s="32"/>
      <c r="P42" s="32"/>
      <c r="Q42" s="39">
        <v>1</v>
      </c>
      <c r="R42" s="39">
        <v>21</v>
      </c>
      <c r="S42" s="32"/>
      <c r="T42" s="32"/>
      <c r="U42" s="32"/>
      <c r="V42" s="32"/>
      <c r="W42" s="32"/>
      <c r="X42" s="32"/>
      <c r="Y42" t="s" s="37">
        <v>51</v>
      </c>
      <c r="Z42" s="32"/>
      <c r="AA42" s="39">
        <v>1</v>
      </c>
      <c r="AB42" s="32"/>
      <c r="AC42" s="39">
        <v>1</v>
      </c>
      <c r="AD42" s="32"/>
      <c r="AE42" s="32"/>
      <c r="AF42" s="32"/>
      <c r="AG42" s="32"/>
      <c r="AH42" s="63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</row>
    <row r="43" ht="17.45" customHeight="1">
      <c r="A43" t="s" s="37">
        <v>413</v>
      </c>
      <c r="B43" s="32"/>
      <c r="C43" s="39">
        <v>10</v>
      </c>
      <c r="D43" t="s" s="37">
        <v>308</v>
      </c>
      <c r="E43" t="s" s="37">
        <v>414</v>
      </c>
      <c r="F43" t="s" s="37">
        <v>369</v>
      </c>
      <c r="G43" s="41"/>
      <c r="H43" s="50">
        <v>1</v>
      </c>
      <c r="I43" s="32"/>
      <c r="J43" s="32"/>
      <c r="K43" s="32"/>
      <c r="L43" s="39">
        <v>1</v>
      </c>
      <c r="M43" s="32"/>
      <c r="N43" s="32"/>
      <c r="O43" s="32"/>
      <c r="P43" s="32"/>
      <c r="Q43" s="32"/>
      <c r="R43" s="39">
        <v>53</v>
      </c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63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</row>
    <row r="44" ht="17.45" customHeight="1">
      <c r="A44" t="s" s="37">
        <v>413</v>
      </c>
      <c r="B44" s="32"/>
      <c r="C44" s="39">
        <v>10</v>
      </c>
      <c r="D44" t="s" s="37">
        <v>308</v>
      </c>
      <c r="E44" t="s" s="37">
        <v>414</v>
      </c>
      <c r="F44" t="s" s="37">
        <v>259</v>
      </c>
      <c r="G44" s="41"/>
      <c r="H44" s="50">
        <v>1</v>
      </c>
      <c r="I44" s="32"/>
      <c r="J44" s="32"/>
      <c r="K44" s="32"/>
      <c r="L44" s="32"/>
      <c r="M44" s="32"/>
      <c r="N44" s="32"/>
      <c r="O44" s="32"/>
      <c r="P44" s="39">
        <v>1</v>
      </c>
      <c r="Q44" s="32"/>
      <c r="R44" s="39">
        <v>42</v>
      </c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t="s" s="37">
        <v>374</v>
      </c>
      <c r="AH44" s="63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</row>
    <row r="45" ht="17.45" customHeight="1">
      <c r="A45" t="s" s="37">
        <v>415</v>
      </c>
      <c r="B45" s="32"/>
      <c r="C45" s="49">
        <v>14</v>
      </c>
      <c r="D45" t="s" s="37">
        <v>308</v>
      </c>
      <c r="E45" t="s" s="37">
        <v>416</v>
      </c>
      <c r="F45" t="s" s="37">
        <v>417</v>
      </c>
      <c r="G45" s="41"/>
      <c r="H45" s="50">
        <v>1</v>
      </c>
      <c r="I45" s="32"/>
      <c r="J45" s="32"/>
      <c r="K45" s="32"/>
      <c r="L45" s="39">
        <v>1</v>
      </c>
      <c r="M45" s="32"/>
      <c r="N45" s="32"/>
      <c r="O45" s="32"/>
      <c r="P45" s="32"/>
      <c r="Q45" s="32"/>
      <c r="R45" s="39">
        <v>47</v>
      </c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63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</row>
    <row r="46" ht="15.35" customHeight="1">
      <c r="A46" t="s" s="37">
        <v>415</v>
      </c>
      <c r="B46" s="32"/>
      <c r="C46" s="39">
        <v>14</v>
      </c>
      <c r="D46" t="s" s="37">
        <v>308</v>
      </c>
      <c r="E46" t="s" s="37">
        <v>416</v>
      </c>
      <c r="F46" t="s" s="37">
        <v>418</v>
      </c>
      <c r="G46" s="41"/>
      <c r="H46" s="32"/>
      <c r="I46" s="39">
        <v>1</v>
      </c>
      <c r="J46" s="32"/>
      <c r="K46" s="32"/>
      <c r="L46" s="32"/>
      <c r="M46" s="32"/>
      <c r="N46" s="32"/>
      <c r="O46" s="39">
        <v>1</v>
      </c>
      <c r="P46" s="32"/>
      <c r="Q46" s="32"/>
      <c r="R46" s="39">
        <v>29</v>
      </c>
      <c r="S46" s="32"/>
      <c r="T46" s="32"/>
      <c r="U46" s="32"/>
      <c r="V46" s="32"/>
      <c r="W46" s="32"/>
      <c r="X46" s="32"/>
      <c r="Y46" t="s" s="37">
        <v>419</v>
      </c>
      <c r="Z46" t="s" s="37">
        <v>420</v>
      </c>
      <c r="AA46" s="39">
        <v>1</v>
      </c>
      <c r="AB46" s="32"/>
      <c r="AC46" s="39">
        <v>1</v>
      </c>
      <c r="AD46" s="32"/>
      <c r="AE46" s="32"/>
      <c r="AF46" t="s" s="37">
        <v>421</v>
      </c>
      <c r="AG46" s="32"/>
      <c r="AH46" s="63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</row>
    <row r="47" ht="17.45" customHeight="1">
      <c r="A47" t="s" s="37">
        <v>415</v>
      </c>
      <c r="B47" s="32"/>
      <c r="C47" s="39">
        <v>14</v>
      </c>
      <c r="D47" t="s" s="37">
        <v>308</v>
      </c>
      <c r="E47" t="s" s="37">
        <v>422</v>
      </c>
      <c r="F47" t="s" s="37">
        <v>423</v>
      </c>
      <c r="G47" s="41"/>
      <c r="H47" s="50">
        <v>1</v>
      </c>
      <c r="I47" s="32"/>
      <c r="J47" s="32"/>
      <c r="K47" s="32"/>
      <c r="L47" s="32"/>
      <c r="M47" s="32"/>
      <c r="N47" s="32"/>
      <c r="O47" s="32"/>
      <c r="P47" s="32"/>
      <c r="Q47" s="39">
        <v>1</v>
      </c>
      <c r="R47" s="39">
        <v>56</v>
      </c>
      <c r="S47" s="32"/>
      <c r="T47" s="32"/>
      <c r="U47" s="32"/>
      <c r="V47" s="32"/>
      <c r="W47" s="32"/>
      <c r="X47" s="32"/>
      <c r="Y47" t="s" s="37">
        <v>424</v>
      </c>
      <c r="Z47" s="32"/>
      <c r="AA47" s="39">
        <v>1</v>
      </c>
      <c r="AB47" s="32"/>
      <c r="AC47" s="39">
        <v>1</v>
      </c>
      <c r="AD47" t="s" s="37">
        <v>425</v>
      </c>
      <c r="AE47" s="39">
        <v>1</v>
      </c>
      <c r="AF47" s="32"/>
      <c r="AG47" s="32"/>
      <c r="AH47" s="63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</row>
    <row r="48" ht="15.35" customHeight="1">
      <c r="A48" t="s" s="37">
        <v>426</v>
      </c>
      <c r="B48" s="32"/>
      <c r="C48" s="39">
        <v>19</v>
      </c>
      <c r="D48" t="s" s="37">
        <v>308</v>
      </c>
      <c r="E48" t="s" s="37">
        <v>309</v>
      </c>
      <c r="F48" t="s" s="37">
        <v>427</v>
      </c>
      <c r="G48" s="41"/>
      <c r="H48" s="32"/>
      <c r="I48" s="39">
        <v>1</v>
      </c>
      <c r="J48" s="32"/>
      <c r="K48" s="32"/>
      <c r="L48" s="39">
        <v>1</v>
      </c>
      <c r="M48" s="32"/>
      <c r="N48" s="32"/>
      <c r="O48" s="32"/>
      <c r="P48" s="32"/>
      <c r="Q48" s="32"/>
      <c r="R48" s="39">
        <v>36</v>
      </c>
      <c r="S48" s="32"/>
      <c r="T48" s="32"/>
      <c r="U48" s="32"/>
      <c r="V48" s="32"/>
      <c r="W48" s="32"/>
      <c r="X48" s="32"/>
      <c r="Y48" t="s" s="37">
        <v>428</v>
      </c>
      <c r="Z48" s="32"/>
      <c r="AA48" s="39">
        <v>1</v>
      </c>
      <c r="AB48" s="39">
        <v>1</v>
      </c>
      <c r="AC48" s="32"/>
      <c r="AD48" s="32"/>
      <c r="AE48" s="32"/>
      <c r="AF48" s="32"/>
      <c r="AG48" s="32"/>
      <c r="AH48" s="63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</row>
    <row r="49" ht="17.45" customHeight="1">
      <c r="A49" t="s" s="37">
        <v>426</v>
      </c>
      <c r="B49" s="32"/>
      <c r="C49" s="39">
        <v>19</v>
      </c>
      <c r="D49" t="s" s="37">
        <v>308</v>
      </c>
      <c r="E49" t="s" s="37">
        <v>309</v>
      </c>
      <c r="F49" t="s" s="37">
        <v>429</v>
      </c>
      <c r="G49" s="41"/>
      <c r="H49" s="50">
        <v>1</v>
      </c>
      <c r="I49" s="32"/>
      <c r="J49" s="32"/>
      <c r="K49" s="32"/>
      <c r="L49" s="32"/>
      <c r="M49" s="39">
        <v>1</v>
      </c>
      <c r="N49" s="32"/>
      <c r="O49" s="32"/>
      <c r="P49" s="32"/>
      <c r="Q49" s="32"/>
      <c r="R49" s="39">
        <v>30</v>
      </c>
      <c r="S49" s="32"/>
      <c r="T49" s="32"/>
      <c r="U49" s="32"/>
      <c r="V49" s="32"/>
      <c r="W49" s="32"/>
      <c r="X49" s="32"/>
      <c r="Y49" t="s" s="37">
        <v>401</v>
      </c>
      <c r="Z49" s="32"/>
      <c r="AA49" s="32"/>
      <c r="AB49" s="32"/>
      <c r="AC49" s="32"/>
      <c r="AD49" s="32"/>
      <c r="AE49" s="32"/>
      <c r="AF49" s="32"/>
      <c r="AG49" s="32"/>
      <c r="AH49" s="63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</row>
    <row r="50" ht="15.35" customHeight="1">
      <c r="A50" t="s" s="37">
        <v>426</v>
      </c>
      <c r="B50" s="32"/>
      <c r="C50" s="39">
        <v>19</v>
      </c>
      <c r="D50" t="s" s="37">
        <v>308</v>
      </c>
      <c r="E50" t="s" s="37">
        <v>309</v>
      </c>
      <c r="F50" t="s" s="37">
        <v>430</v>
      </c>
      <c r="G50" s="41"/>
      <c r="H50" s="32"/>
      <c r="I50" s="39">
        <v>1</v>
      </c>
      <c r="J50" s="32"/>
      <c r="K50" s="32"/>
      <c r="L50" s="32"/>
      <c r="M50" s="32"/>
      <c r="N50" s="32"/>
      <c r="O50" s="39">
        <v>1</v>
      </c>
      <c r="P50" s="32"/>
      <c r="Q50" s="32"/>
      <c r="R50" s="39">
        <v>6</v>
      </c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63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</row>
    <row r="51" ht="15.35" customHeight="1">
      <c r="A51" t="s" s="37">
        <v>426</v>
      </c>
      <c r="B51" s="32"/>
      <c r="C51" s="39">
        <v>19</v>
      </c>
      <c r="D51" t="s" s="37">
        <v>308</v>
      </c>
      <c r="E51" t="s" s="37">
        <v>309</v>
      </c>
      <c r="F51" t="s" s="37">
        <v>431</v>
      </c>
      <c r="G51" s="41"/>
      <c r="H51" s="39">
        <v>1</v>
      </c>
      <c r="I51" s="32"/>
      <c r="J51" s="32"/>
      <c r="K51" s="32"/>
      <c r="L51" s="32"/>
      <c r="M51" s="32"/>
      <c r="N51" s="39">
        <v>1</v>
      </c>
      <c r="O51" s="32"/>
      <c r="P51" s="32"/>
      <c r="Q51" s="32"/>
      <c r="R51" s="39">
        <v>4</v>
      </c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63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</row>
    <row r="52" ht="15.35" customHeight="1">
      <c r="A52" t="s" s="37">
        <v>426</v>
      </c>
      <c r="B52" s="32"/>
      <c r="C52" s="39">
        <v>19</v>
      </c>
      <c r="D52" t="s" s="37">
        <v>308</v>
      </c>
      <c r="E52" t="s" s="37">
        <v>309</v>
      </c>
      <c r="F52" t="s" s="37">
        <v>432</v>
      </c>
      <c r="G52" s="41"/>
      <c r="H52" s="39">
        <v>1</v>
      </c>
      <c r="I52" s="32"/>
      <c r="J52" s="32"/>
      <c r="K52" s="32"/>
      <c r="L52" s="32"/>
      <c r="M52" s="32"/>
      <c r="N52" s="39">
        <v>1</v>
      </c>
      <c r="O52" s="32"/>
      <c r="P52" s="32"/>
      <c r="Q52" s="32"/>
      <c r="R52" s="39">
        <v>1</v>
      </c>
      <c r="S52" s="32"/>
      <c r="T52" s="32"/>
      <c r="U52" s="32"/>
      <c r="V52" s="32"/>
      <c r="W52" s="32"/>
      <c r="X52" s="32"/>
      <c r="Y52" s="32"/>
      <c r="Z52" s="32"/>
      <c r="AA52" s="39">
        <v>1</v>
      </c>
      <c r="AB52" s="32"/>
      <c r="AC52" s="39">
        <v>1</v>
      </c>
      <c r="AD52" s="32"/>
      <c r="AE52" s="32"/>
      <c r="AF52" s="32"/>
      <c r="AG52" s="32"/>
      <c r="AH52" s="63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</row>
    <row r="53" ht="15.35" customHeight="1">
      <c r="A53" t="s" s="37">
        <v>426</v>
      </c>
      <c r="B53" s="32"/>
      <c r="C53" s="39">
        <v>19</v>
      </c>
      <c r="D53" t="s" s="37">
        <v>308</v>
      </c>
      <c r="E53" t="s" s="37">
        <v>433</v>
      </c>
      <c r="F53" t="s" s="37">
        <v>434</v>
      </c>
      <c r="G53" s="41"/>
      <c r="H53" s="39">
        <v>1</v>
      </c>
      <c r="I53" s="32"/>
      <c r="J53" s="32"/>
      <c r="K53" s="32"/>
      <c r="L53" s="32"/>
      <c r="M53" s="32"/>
      <c r="N53" s="32"/>
      <c r="O53" s="32"/>
      <c r="P53" s="32"/>
      <c r="Q53" s="39">
        <v>1</v>
      </c>
      <c r="R53" s="39">
        <v>29</v>
      </c>
      <c r="S53" s="32"/>
      <c r="T53" s="32"/>
      <c r="U53" s="32"/>
      <c r="V53" s="32"/>
      <c r="W53" s="32"/>
      <c r="X53" s="32"/>
      <c r="Y53" t="s" s="37">
        <v>435</v>
      </c>
      <c r="Z53" s="32"/>
      <c r="AA53" s="32"/>
      <c r="AB53" s="32"/>
      <c r="AC53" s="32"/>
      <c r="AD53" s="32"/>
      <c r="AE53" s="32"/>
      <c r="AF53" s="32"/>
      <c r="AG53" s="32"/>
      <c r="AH53" s="63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</row>
    <row r="54" ht="15.35" customHeight="1">
      <c r="A54" t="s" s="37">
        <v>426</v>
      </c>
      <c r="B54" s="32"/>
      <c r="C54" s="39">
        <v>19</v>
      </c>
      <c r="D54" t="s" s="37">
        <v>308</v>
      </c>
      <c r="E54" t="s" s="37">
        <v>436</v>
      </c>
      <c r="F54" t="s" s="37">
        <v>437</v>
      </c>
      <c r="G54" s="41"/>
      <c r="H54" s="39">
        <v>1</v>
      </c>
      <c r="I54" s="32"/>
      <c r="J54" s="32"/>
      <c r="K54" s="32"/>
      <c r="L54" s="32"/>
      <c r="M54" s="32"/>
      <c r="N54" s="32"/>
      <c r="O54" s="32"/>
      <c r="P54" s="32"/>
      <c r="Q54" s="39">
        <v>1</v>
      </c>
      <c r="R54" s="39">
        <v>23</v>
      </c>
      <c r="S54" s="32"/>
      <c r="T54" s="32"/>
      <c r="U54" s="32"/>
      <c r="V54" s="32"/>
      <c r="W54" s="32"/>
      <c r="X54" s="32"/>
      <c r="Y54" t="s" s="37">
        <v>438</v>
      </c>
      <c r="Z54" s="32"/>
      <c r="AA54" s="39">
        <v>1</v>
      </c>
      <c r="AB54" s="32"/>
      <c r="AC54" s="39">
        <v>1</v>
      </c>
      <c r="AD54" s="32"/>
      <c r="AE54" s="32"/>
      <c r="AF54" s="32"/>
      <c r="AG54" s="32"/>
      <c r="AH54" s="63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</row>
    <row r="55" ht="15.35" customHeight="1">
      <c r="A55" t="s" s="37">
        <v>439</v>
      </c>
      <c r="B55" s="32"/>
      <c r="C55" s="39">
        <v>12</v>
      </c>
      <c r="D55" t="s" s="37">
        <v>308</v>
      </c>
      <c r="E55" t="s" s="37">
        <v>440</v>
      </c>
      <c r="F55" t="s" s="37">
        <v>441</v>
      </c>
      <c r="G55" s="41"/>
      <c r="H55" s="32"/>
      <c r="I55" s="39">
        <v>1</v>
      </c>
      <c r="J55" s="32"/>
      <c r="K55" s="32"/>
      <c r="L55" s="39">
        <v>1</v>
      </c>
      <c r="M55" s="32"/>
      <c r="N55" s="32"/>
      <c r="O55" s="32"/>
      <c r="P55" s="32"/>
      <c r="Q55" s="32"/>
      <c r="R55" s="39">
        <v>36</v>
      </c>
      <c r="S55" s="32"/>
      <c r="T55" s="32"/>
      <c r="U55" s="32"/>
      <c r="V55" s="32"/>
      <c r="W55" s="32"/>
      <c r="X55" s="32"/>
      <c r="Y55" t="s" s="37">
        <v>419</v>
      </c>
      <c r="Z55" s="32"/>
      <c r="AA55" s="39">
        <v>1</v>
      </c>
      <c r="AB55" s="32"/>
      <c r="AC55" s="39">
        <v>1</v>
      </c>
      <c r="AD55" s="32"/>
      <c r="AE55" s="32"/>
      <c r="AF55" t="s" s="37">
        <v>442</v>
      </c>
      <c r="AG55" s="32"/>
      <c r="AH55" s="63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</row>
    <row r="56" ht="15.35" customHeight="1">
      <c r="A56" t="s" s="37">
        <v>439</v>
      </c>
      <c r="B56" s="32"/>
      <c r="C56" s="39">
        <v>12</v>
      </c>
      <c r="D56" t="s" s="37">
        <v>308</v>
      </c>
      <c r="E56" t="s" s="37">
        <v>440</v>
      </c>
      <c r="F56" t="s" s="37">
        <v>360</v>
      </c>
      <c r="G56" s="41"/>
      <c r="H56" s="39">
        <v>1</v>
      </c>
      <c r="I56" s="32"/>
      <c r="J56" s="32"/>
      <c r="K56" s="32"/>
      <c r="L56" s="32"/>
      <c r="M56" s="39">
        <v>1</v>
      </c>
      <c r="N56" s="32"/>
      <c r="O56" s="32"/>
      <c r="P56" s="32"/>
      <c r="Q56" s="32"/>
      <c r="R56" s="39">
        <v>27</v>
      </c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63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</row>
    <row r="57" ht="15.35" customHeight="1">
      <c r="A57" t="s" s="37">
        <v>439</v>
      </c>
      <c r="B57" s="32"/>
      <c r="C57" s="39">
        <v>12</v>
      </c>
      <c r="D57" t="s" s="37">
        <v>308</v>
      </c>
      <c r="E57" t="s" s="37">
        <v>440</v>
      </c>
      <c r="F57" t="s" s="37">
        <v>123</v>
      </c>
      <c r="G57" s="41"/>
      <c r="H57" s="39">
        <v>1</v>
      </c>
      <c r="I57" s="32"/>
      <c r="J57" s="32"/>
      <c r="K57" s="32"/>
      <c r="L57" s="32"/>
      <c r="M57" s="32"/>
      <c r="N57" s="39">
        <v>1</v>
      </c>
      <c r="O57" s="32"/>
      <c r="P57" s="32"/>
      <c r="Q57" s="32"/>
      <c r="R57" s="39">
        <v>1</v>
      </c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63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</row>
    <row r="58" ht="15.35" customHeight="1">
      <c r="A58" t="s" s="37">
        <v>439</v>
      </c>
      <c r="B58" s="32"/>
      <c r="C58" s="39">
        <v>12</v>
      </c>
      <c r="D58" t="s" s="37">
        <v>308</v>
      </c>
      <c r="E58" t="s" s="37">
        <v>443</v>
      </c>
      <c r="F58" t="s" s="37">
        <v>259</v>
      </c>
      <c r="G58" s="41"/>
      <c r="H58" s="39">
        <v>1</v>
      </c>
      <c r="I58" s="32"/>
      <c r="J58" s="32"/>
      <c r="K58" s="32"/>
      <c r="L58" s="32"/>
      <c r="M58" s="32"/>
      <c r="N58" s="32"/>
      <c r="O58" s="32"/>
      <c r="P58" s="32"/>
      <c r="Q58" s="39">
        <v>1</v>
      </c>
      <c r="R58" s="39">
        <v>32</v>
      </c>
      <c r="S58" s="32"/>
      <c r="T58" s="32"/>
      <c r="U58" s="32"/>
      <c r="V58" s="32"/>
      <c r="W58" s="32"/>
      <c r="X58" s="32"/>
      <c r="Y58" t="s" s="37">
        <v>353</v>
      </c>
      <c r="Z58" s="32"/>
      <c r="AA58" s="39">
        <v>1</v>
      </c>
      <c r="AB58" s="32"/>
      <c r="AC58" s="39">
        <v>1</v>
      </c>
      <c r="AD58" t="s" s="37">
        <v>444</v>
      </c>
      <c r="AE58" s="39">
        <v>1</v>
      </c>
      <c r="AF58" s="32"/>
      <c r="AG58" s="32"/>
      <c r="AH58" s="63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</row>
    <row r="59" ht="15.35" customHeight="1">
      <c r="A59" t="s" s="37">
        <v>439</v>
      </c>
      <c r="B59" s="32"/>
      <c r="C59" s="39">
        <v>12</v>
      </c>
      <c r="D59" t="s" s="37">
        <v>308</v>
      </c>
      <c r="E59" t="s" s="37">
        <v>445</v>
      </c>
      <c r="F59" t="s" s="37">
        <v>446</v>
      </c>
      <c r="G59" s="41"/>
      <c r="H59" s="39">
        <v>1</v>
      </c>
      <c r="I59" s="32"/>
      <c r="J59" s="32"/>
      <c r="K59" s="32"/>
      <c r="L59" s="32"/>
      <c r="M59" s="32"/>
      <c r="N59" s="32"/>
      <c r="O59" s="32"/>
      <c r="P59" s="32"/>
      <c r="Q59" s="39">
        <v>1</v>
      </c>
      <c r="R59" s="39">
        <v>33</v>
      </c>
      <c r="S59" s="32"/>
      <c r="T59" s="32"/>
      <c r="U59" s="32"/>
      <c r="V59" s="32"/>
      <c r="W59" s="32"/>
      <c r="X59" s="32"/>
      <c r="Y59" t="s" s="37">
        <v>447</v>
      </c>
      <c r="Z59" s="32"/>
      <c r="AA59" s="39">
        <v>1</v>
      </c>
      <c r="AB59" s="32"/>
      <c r="AC59" s="39">
        <v>1</v>
      </c>
      <c r="AD59" s="32"/>
      <c r="AE59" s="32"/>
      <c r="AF59" t="s" s="37">
        <v>448</v>
      </c>
      <c r="AG59" s="32"/>
      <c r="AH59" s="63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</row>
    <row r="60" ht="15.35" customHeight="1">
      <c r="A60" t="s" s="37">
        <v>439</v>
      </c>
      <c r="B60" s="32"/>
      <c r="C60" s="39">
        <v>12</v>
      </c>
      <c r="D60" t="s" s="37">
        <v>308</v>
      </c>
      <c r="E60" t="s" s="37">
        <v>449</v>
      </c>
      <c r="F60" t="s" s="37">
        <v>231</v>
      </c>
      <c r="G60" s="41"/>
      <c r="H60" s="39">
        <v>1</v>
      </c>
      <c r="I60" s="32"/>
      <c r="J60" s="32"/>
      <c r="K60" s="32"/>
      <c r="L60" s="32"/>
      <c r="M60" s="32"/>
      <c r="N60" s="32"/>
      <c r="O60" s="32"/>
      <c r="P60" s="32"/>
      <c r="Q60" s="39">
        <v>1</v>
      </c>
      <c r="R60" s="39">
        <v>38</v>
      </c>
      <c r="S60" s="32"/>
      <c r="T60" s="32"/>
      <c r="U60" s="32"/>
      <c r="V60" s="32"/>
      <c r="W60" s="32"/>
      <c r="X60" s="32"/>
      <c r="Y60" t="s" s="37">
        <v>450</v>
      </c>
      <c r="Z60" s="32"/>
      <c r="AA60" s="39">
        <v>1</v>
      </c>
      <c r="AB60" s="32"/>
      <c r="AC60" s="39">
        <v>1</v>
      </c>
      <c r="AD60" t="s" s="37">
        <v>451</v>
      </c>
      <c r="AE60" s="39">
        <v>1</v>
      </c>
      <c r="AF60" s="32"/>
      <c r="AG60" s="32"/>
      <c r="AH60" s="63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</row>
    <row r="61" ht="15.35" customHeight="1">
      <c r="A61" s="32"/>
      <c r="B61" s="32"/>
      <c r="C61" s="39">
        <v>11</v>
      </c>
      <c r="D61" t="s" s="37">
        <v>308</v>
      </c>
      <c r="E61" s="32"/>
      <c r="F61" s="39">
        <v>59</v>
      </c>
      <c r="G61" s="41"/>
      <c r="H61" s="39" cm="1">
        <f t="array" ref="H61">SUM(H3:H60)</f>
        <v>43</v>
      </c>
      <c r="I61" s="39" cm="1">
        <f t="array" ref="I61">SUM(I3:I60)</f>
        <v>11</v>
      </c>
      <c r="J61" s="39" cm="1">
        <f t="array" ref="J61">SUM(J3:J60)</f>
        <v>4</v>
      </c>
      <c r="K61" s="39" cm="1">
        <f t="array" ref="K61">SUM(K3:K60)</f>
        <v>0</v>
      </c>
      <c r="L61" s="39" cm="1">
        <f t="array" ref="L61">SUM(L3:L60)</f>
        <v>11</v>
      </c>
      <c r="M61" s="39" cm="1">
        <f t="array" ref="M61">SUM(M3:M60)</f>
        <v>6</v>
      </c>
      <c r="N61" s="39" cm="1">
        <f t="array" ref="N61">SUM(N3:N60)</f>
        <v>8</v>
      </c>
      <c r="O61" s="39" cm="1">
        <f t="array" ref="O61">SUM(O3:O60)</f>
        <v>3</v>
      </c>
      <c r="P61" s="39" cm="1">
        <f t="array" ref="P61">SUM(P3:P60)</f>
        <v>8</v>
      </c>
      <c r="Q61" s="39" cm="1">
        <f t="array" ref="Q61">SUM(Q3:Q60)</f>
        <v>22</v>
      </c>
      <c r="R61" s="56" cm="1">
        <f t="array" ref="R61">SUM(R1:R60)</f>
        <v>1968</v>
      </c>
      <c r="S61" s="32"/>
      <c r="T61" s="32"/>
      <c r="U61" s="32"/>
      <c r="V61" s="32"/>
      <c r="W61" s="32"/>
      <c r="X61" s="32"/>
      <c r="Y61" s="32"/>
      <c r="Z61" s="32"/>
      <c r="AA61" s="39" cm="1">
        <f t="array" ref="AA61">SUM(AA1:AA60)</f>
        <v>33</v>
      </c>
      <c r="AB61" s="39" cm="1">
        <f t="array" ref="AB61">SUM(AB1:AB60)</f>
        <v>6</v>
      </c>
      <c r="AC61" s="39" cm="1">
        <f t="array" ref="AC61">SUM(AC1:AC60)</f>
        <v>27</v>
      </c>
      <c r="AD61" t="s" s="37">
        <v>452</v>
      </c>
      <c r="AE61" s="39" cm="1">
        <f t="array" ref="AE61">SUM(AE1:AE60)</f>
        <v>23</v>
      </c>
      <c r="AF61" s="32"/>
      <c r="AG61" s="64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</row>
    <row r="62" ht="15.35" customHeight="1">
      <c r="A62" s="65"/>
      <c r="B62" s="66"/>
      <c r="C62" s="67"/>
      <c r="D62" s="65"/>
      <c r="E62" s="66"/>
      <c r="F62" s="68"/>
      <c r="G62" s="69"/>
      <c r="H62" s="70" cm="1">
        <f t="array" ref="H62">H61+I61+J61+K61</f>
        <v>58</v>
      </c>
      <c r="I62" s="71"/>
      <c r="J62" s="71"/>
      <c r="K62" s="71"/>
      <c r="L62" s="72" cm="1">
        <f t="array" ref="L62">L61+M61+N61+O61+P61+Q61</f>
        <v>58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2" cm="1">
        <f t="array" ref="AB62">AB61+AC61</f>
        <v>33</v>
      </c>
      <c r="AC62" s="71"/>
      <c r="AD62" t="s" s="73">
        <v>312</v>
      </c>
      <c r="AE62" s="71"/>
      <c r="AF62" s="71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</row>
    <row r="63" ht="15.35" customHeight="1">
      <c r="A63" s="30"/>
      <c r="B63" s="74"/>
      <c r="C63" s="75"/>
      <c r="D63" s="30"/>
      <c r="E63" s="74"/>
      <c r="F63" s="76"/>
      <c r="G63" s="77"/>
      <c r="H63" s="78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79" cm="1">
        <f t="array" ref="AD63">H62-AE62</f>
        <v>58</v>
      </c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</row>
    <row r="64" ht="15.35" customHeight="1">
      <c r="A64" s="30"/>
      <c r="B64" s="74"/>
      <c r="C64" s="75"/>
      <c r="D64" s="30"/>
      <c r="E64" s="74"/>
      <c r="F64" s="76"/>
      <c r="G64" s="77"/>
      <c r="H64" s="78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</row>
    <row r="65" ht="15.35" customHeight="1">
      <c r="A65" s="30"/>
      <c r="B65" s="74"/>
      <c r="C65" s="75"/>
      <c r="D65" s="30"/>
      <c r="E65" s="74"/>
      <c r="F65" s="76"/>
      <c r="G65" s="77"/>
      <c r="H65" s="78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</row>
    <row r="66" ht="15.35" customHeight="1">
      <c r="A66" s="30"/>
      <c r="B66" s="74"/>
      <c r="C66" s="75"/>
      <c r="D66" s="30"/>
      <c r="E66" s="74"/>
      <c r="F66" s="76"/>
      <c r="G66" s="77"/>
      <c r="H66" s="78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</row>
    <row r="67" ht="15.35" customHeight="1">
      <c r="A67" s="30"/>
      <c r="B67" s="74"/>
      <c r="C67" s="75"/>
      <c r="D67" s="30"/>
      <c r="E67" s="74"/>
      <c r="F67" s="76"/>
      <c r="G67" s="77"/>
      <c r="H67" s="78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</row>
    <row r="68" ht="15.35" customHeight="1">
      <c r="A68" s="30"/>
      <c r="B68" s="74"/>
      <c r="C68" s="75"/>
      <c r="D68" s="30"/>
      <c r="E68" s="74"/>
      <c r="F68" s="76"/>
      <c r="G68" s="77"/>
      <c r="H68" s="78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</row>
    <row r="69" ht="15.35" customHeight="1">
      <c r="A69" s="30"/>
      <c r="B69" s="74"/>
      <c r="C69" s="75"/>
      <c r="D69" s="30"/>
      <c r="E69" s="74"/>
      <c r="F69" s="76"/>
      <c r="G69" s="77"/>
      <c r="H69" s="78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</row>
    <row r="70" ht="15.35" customHeight="1">
      <c r="A70" s="30"/>
      <c r="B70" s="74"/>
      <c r="C70" s="75"/>
      <c r="D70" s="30"/>
      <c r="E70" s="74"/>
      <c r="F70" s="76"/>
      <c r="G70" s="77"/>
      <c r="H70" s="78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</row>
    <row r="71" ht="15.35" customHeight="1">
      <c r="A71" s="30"/>
      <c r="B71" s="74"/>
      <c r="C71" s="75"/>
      <c r="D71" s="30"/>
      <c r="E71" s="74"/>
      <c r="F71" s="76"/>
      <c r="G71" s="77"/>
      <c r="H71" s="78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</row>
    <row r="72" ht="15.35" customHeight="1">
      <c r="A72" s="30"/>
      <c r="B72" s="74"/>
      <c r="C72" s="75"/>
      <c r="D72" s="30"/>
      <c r="E72" s="74"/>
      <c r="F72" s="76"/>
      <c r="G72" s="80"/>
      <c r="H72" s="78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BC129"/>
  <sheetViews>
    <sheetView workbookViewId="0" showGridLines="0" defaultGridColor="1"/>
  </sheetViews>
  <sheetFormatPr defaultColWidth="10.8333" defaultRowHeight="16" customHeight="1" outlineLevelRow="0" outlineLevelCol="0"/>
  <cols>
    <col min="1" max="5" width="10.8516" style="81" customWidth="1"/>
    <col min="6" max="6" width="20.6719" style="81" customWidth="1"/>
    <col min="7" max="7" width="20.1719" style="81" customWidth="1"/>
    <col min="8" max="13" width="10.8516" style="81" customWidth="1"/>
    <col min="14" max="14" width="13.8516" style="81" customWidth="1"/>
    <col min="15" max="19" width="10.8516" style="81" customWidth="1"/>
    <col min="20" max="20" width="12.6719" style="81" customWidth="1"/>
    <col min="21" max="26" width="10.8516" style="81" customWidth="1"/>
    <col min="27" max="27" width="13.8516" style="81" customWidth="1"/>
    <col min="28" max="55" width="10.8516" style="81" customWidth="1"/>
    <col min="56" max="16384" width="10.8516" style="81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34" customHeight="1">
      <c r="A2" t="s" s="88">
        <v>290</v>
      </c>
      <c r="B2" s="89"/>
      <c r="C2" s="89"/>
      <c r="D2" s="89"/>
      <c r="E2" t="s" s="90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5.35" customHeight="1">
      <c r="A3" t="s" s="96">
        <v>460</v>
      </c>
      <c r="B3" s="16"/>
      <c r="C3" s="79">
        <v>1</v>
      </c>
      <c r="D3" t="s" s="96">
        <v>461</v>
      </c>
      <c r="E3" t="s" s="96">
        <v>462</v>
      </c>
      <c r="F3" s="97">
        <v>11</v>
      </c>
      <c r="G3" t="s" s="98">
        <v>463</v>
      </c>
      <c r="H3" t="s" s="98">
        <v>464</v>
      </c>
      <c r="I3" s="97">
        <v>1</v>
      </c>
      <c r="J3" s="62"/>
      <c r="K3" s="97">
        <v>1</v>
      </c>
      <c r="L3" s="62"/>
      <c r="M3" s="62"/>
      <c r="N3" s="79">
        <v>1</v>
      </c>
      <c r="O3" s="62"/>
      <c r="P3" s="62"/>
      <c r="Q3" s="62"/>
      <c r="R3" s="62"/>
      <c r="S3" s="62"/>
      <c r="T3" s="79">
        <v>40</v>
      </c>
      <c r="U3" s="16"/>
      <c r="V3" s="16"/>
      <c r="W3" s="62"/>
      <c r="X3" s="62"/>
      <c r="Y3" s="62"/>
      <c r="Z3" s="62"/>
      <c r="AA3" t="s" s="98">
        <v>92</v>
      </c>
      <c r="AB3" s="62"/>
      <c r="AC3" s="97">
        <v>1</v>
      </c>
      <c r="AD3" s="97">
        <v>1</v>
      </c>
      <c r="AE3" s="62"/>
      <c r="AF3" s="97">
        <v>1</v>
      </c>
      <c r="AG3" t="s" s="98">
        <v>13</v>
      </c>
      <c r="AH3" s="62"/>
      <c r="AI3" s="97">
        <v>1</v>
      </c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</row>
    <row r="4" ht="15.35" customHeight="1">
      <c r="A4" t="s" s="96">
        <v>465</v>
      </c>
      <c r="B4" s="16"/>
      <c r="C4" s="79">
        <v>1</v>
      </c>
      <c r="D4" t="s" s="96">
        <v>461</v>
      </c>
      <c r="E4" t="s" s="96">
        <v>462</v>
      </c>
      <c r="F4" s="79">
        <v>11</v>
      </c>
      <c r="G4" t="s" s="96">
        <v>463</v>
      </c>
      <c r="H4" t="s" s="96">
        <v>466</v>
      </c>
      <c r="I4" s="79">
        <v>2</v>
      </c>
      <c r="J4" s="16"/>
      <c r="K4" s="79">
        <v>1</v>
      </c>
      <c r="L4" s="16"/>
      <c r="M4" s="16"/>
      <c r="N4" s="79">
        <v>1</v>
      </c>
      <c r="O4" s="16"/>
      <c r="P4" s="16"/>
      <c r="Q4" s="16"/>
      <c r="R4" s="16"/>
      <c r="S4" s="16"/>
      <c r="T4" s="79">
        <v>38</v>
      </c>
      <c r="U4" s="16"/>
      <c r="V4" s="16"/>
      <c r="W4" s="16"/>
      <c r="X4" s="16"/>
      <c r="Y4" s="16"/>
      <c r="Z4" s="16"/>
      <c r="AA4" t="s" s="96">
        <v>92</v>
      </c>
      <c r="AB4" s="16"/>
      <c r="AC4" s="79">
        <v>1</v>
      </c>
      <c r="AD4" s="79">
        <v>1</v>
      </c>
      <c r="AE4" s="16"/>
      <c r="AF4" s="79">
        <v>1</v>
      </c>
      <c r="AG4" t="s" s="96">
        <v>13</v>
      </c>
      <c r="AH4" s="16"/>
      <c r="AI4" s="79">
        <v>1</v>
      </c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</row>
    <row r="5" ht="15.35" customHeight="1">
      <c r="A5" t="s" s="96">
        <v>465</v>
      </c>
      <c r="B5" s="16"/>
      <c r="C5" s="79">
        <v>1</v>
      </c>
      <c r="D5" t="s" s="96">
        <v>461</v>
      </c>
      <c r="E5" t="s" s="96">
        <v>462</v>
      </c>
      <c r="F5" s="79">
        <v>11</v>
      </c>
      <c r="G5" t="s" s="96">
        <v>463</v>
      </c>
      <c r="H5" t="s" s="96">
        <v>467</v>
      </c>
      <c r="I5" s="79">
        <v>3</v>
      </c>
      <c r="J5" s="79">
        <v>1</v>
      </c>
      <c r="K5" s="16"/>
      <c r="L5" s="16"/>
      <c r="M5" s="16"/>
      <c r="N5" t="s" s="96">
        <v>246</v>
      </c>
      <c r="O5" s="16"/>
      <c r="P5" s="16"/>
      <c r="Q5" s="16"/>
      <c r="R5" s="79">
        <v>1</v>
      </c>
      <c r="S5" s="16"/>
      <c r="T5" s="79">
        <v>37</v>
      </c>
      <c r="U5" s="16"/>
      <c r="V5" s="16"/>
      <c r="W5" s="16"/>
      <c r="X5" s="16"/>
      <c r="Y5" s="16"/>
      <c r="Z5" s="16"/>
      <c r="AA5" t="s" s="96">
        <v>33</v>
      </c>
      <c r="AB5" s="16"/>
      <c r="AC5" s="16"/>
      <c r="AD5" t="s" s="96">
        <v>34</v>
      </c>
      <c r="AE5" s="16"/>
      <c r="AF5" s="79">
        <v>1</v>
      </c>
      <c r="AG5" t="s" s="96">
        <v>13</v>
      </c>
      <c r="AH5" s="16"/>
      <c r="AI5" t="s" s="96">
        <v>246</v>
      </c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</row>
    <row r="6" ht="15.35" customHeight="1">
      <c r="A6" t="s" s="96">
        <v>465</v>
      </c>
      <c r="B6" s="16"/>
      <c r="C6" s="79">
        <v>1</v>
      </c>
      <c r="D6" t="s" s="96">
        <v>461</v>
      </c>
      <c r="E6" t="s" s="96">
        <v>462</v>
      </c>
      <c r="F6" s="79">
        <v>11</v>
      </c>
      <c r="G6" t="s" s="96">
        <v>468</v>
      </c>
      <c r="H6" t="s" s="96">
        <v>469</v>
      </c>
      <c r="I6" s="79">
        <v>4</v>
      </c>
      <c r="J6" s="79">
        <v>1</v>
      </c>
      <c r="K6" s="16"/>
      <c r="L6" s="16"/>
      <c r="M6" s="16"/>
      <c r="N6" t="s" s="96">
        <v>11</v>
      </c>
      <c r="O6" s="16"/>
      <c r="P6" s="16"/>
      <c r="Q6" s="16"/>
      <c r="R6" s="16"/>
      <c r="S6" s="79">
        <v>1</v>
      </c>
      <c r="T6" s="79">
        <v>53</v>
      </c>
      <c r="U6" s="16"/>
      <c r="V6" s="16"/>
      <c r="W6" s="16"/>
      <c r="X6" s="16"/>
      <c r="Y6" s="16"/>
      <c r="Z6" s="16"/>
      <c r="AA6" t="s" s="96">
        <v>45</v>
      </c>
      <c r="AB6" s="16"/>
      <c r="AC6" s="79">
        <v>1</v>
      </c>
      <c r="AD6" t="s" s="96">
        <v>15</v>
      </c>
      <c r="AE6" s="16"/>
      <c r="AF6" s="79">
        <v>1</v>
      </c>
      <c r="AG6" t="s" s="96">
        <v>13</v>
      </c>
      <c r="AH6" s="16"/>
      <c r="AI6" t="s" s="96">
        <v>11</v>
      </c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</row>
    <row r="7" ht="15.35" customHeight="1">
      <c r="A7" t="s" s="96">
        <v>465</v>
      </c>
      <c r="B7" s="16"/>
      <c r="C7" s="79">
        <v>1</v>
      </c>
      <c r="D7" t="s" s="96">
        <v>461</v>
      </c>
      <c r="E7" t="s" s="96">
        <v>462</v>
      </c>
      <c r="F7" s="79">
        <v>11</v>
      </c>
      <c r="G7" t="s" s="96">
        <v>470</v>
      </c>
      <c r="H7" t="s" s="96">
        <v>471</v>
      </c>
      <c r="I7" s="79">
        <v>5</v>
      </c>
      <c r="J7" s="79">
        <v>1</v>
      </c>
      <c r="K7" s="16"/>
      <c r="L7" s="16"/>
      <c r="M7" s="16"/>
      <c r="N7" t="s" s="96">
        <v>11</v>
      </c>
      <c r="O7" s="16"/>
      <c r="P7" s="16"/>
      <c r="Q7" s="16"/>
      <c r="R7" s="16"/>
      <c r="S7" s="79">
        <v>1</v>
      </c>
      <c r="T7" s="79">
        <v>37</v>
      </c>
      <c r="U7" s="16"/>
      <c r="V7" s="16"/>
      <c r="W7" s="16"/>
      <c r="X7" s="16"/>
      <c r="Y7" s="16"/>
      <c r="Z7" s="16"/>
      <c r="AA7" t="s" s="96">
        <v>51</v>
      </c>
      <c r="AB7" s="16"/>
      <c r="AC7" s="79">
        <v>1</v>
      </c>
      <c r="AD7" t="s" s="96">
        <v>15</v>
      </c>
      <c r="AE7" s="16"/>
      <c r="AF7" s="79">
        <v>1</v>
      </c>
      <c r="AG7" t="s" s="96">
        <v>13</v>
      </c>
      <c r="AH7" s="16"/>
      <c r="AI7" t="s" s="96">
        <v>11</v>
      </c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</row>
    <row r="8" ht="15.35" customHeight="1">
      <c r="A8" t="s" s="96">
        <v>465</v>
      </c>
      <c r="B8" s="16"/>
      <c r="C8" s="79">
        <v>1</v>
      </c>
      <c r="D8" t="s" s="96">
        <v>461</v>
      </c>
      <c r="E8" t="s" s="96">
        <v>462</v>
      </c>
      <c r="F8" s="79">
        <v>11</v>
      </c>
      <c r="G8" t="s" s="96">
        <v>45</v>
      </c>
      <c r="H8" t="s" s="96">
        <v>251</v>
      </c>
      <c r="I8" s="79">
        <v>6</v>
      </c>
      <c r="J8" s="79">
        <v>1</v>
      </c>
      <c r="K8" s="16"/>
      <c r="L8" s="16"/>
      <c r="M8" s="16"/>
      <c r="N8" t="s" s="96">
        <v>11</v>
      </c>
      <c r="O8" s="16"/>
      <c r="P8" s="16"/>
      <c r="Q8" s="16"/>
      <c r="R8" s="16"/>
      <c r="S8" s="79">
        <v>1</v>
      </c>
      <c r="T8" s="79">
        <v>34</v>
      </c>
      <c r="U8" s="16"/>
      <c r="V8" s="16"/>
      <c r="W8" s="16"/>
      <c r="X8" s="16"/>
      <c r="Y8" s="16"/>
      <c r="Z8" s="16"/>
      <c r="AA8" t="s" s="96">
        <v>55</v>
      </c>
      <c r="AB8" s="16"/>
      <c r="AC8" s="79">
        <v>1</v>
      </c>
      <c r="AD8" t="s" s="96">
        <v>15</v>
      </c>
      <c r="AE8" s="16"/>
      <c r="AF8" s="16"/>
      <c r="AG8" t="s" s="96">
        <v>472</v>
      </c>
      <c r="AH8" s="16"/>
      <c r="AI8" t="s" s="96">
        <v>11</v>
      </c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</row>
    <row r="9" ht="15.35" customHeight="1">
      <c r="A9" t="s" s="96">
        <v>465</v>
      </c>
      <c r="B9" s="16"/>
      <c r="C9" s="79">
        <v>1</v>
      </c>
      <c r="D9" t="s" s="96">
        <v>461</v>
      </c>
      <c r="E9" t="s" s="96">
        <v>462</v>
      </c>
      <c r="F9" s="79">
        <v>11</v>
      </c>
      <c r="G9" t="s" s="96">
        <v>473</v>
      </c>
      <c r="H9" t="s" s="96">
        <v>474</v>
      </c>
      <c r="I9" s="79">
        <v>7</v>
      </c>
      <c r="J9" s="79">
        <v>1</v>
      </c>
      <c r="K9" s="16"/>
      <c r="L9" s="16"/>
      <c r="M9" s="16"/>
      <c r="N9" t="s" s="96">
        <v>11</v>
      </c>
      <c r="O9" s="16"/>
      <c r="P9" s="16"/>
      <c r="Q9" s="16"/>
      <c r="R9" s="16"/>
      <c r="S9" s="79">
        <v>1</v>
      </c>
      <c r="T9" s="79">
        <v>16</v>
      </c>
      <c r="U9" s="16"/>
      <c r="V9" s="16"/>
      <c r="W9" s="16"/>
      <c r="X9" s="16"/>
      <c r="Y9" s="16"/>
      <c r="Z9" s="16"/>
      <c r="AA9" t="s" s="96">
        <v>475</v>
      </c>
      <c r="AB9" s="16"/>
      <c r="AC9" s="79">
        <v>1</v>
      </c>
      <c r="AD9" t="s" s="96">
        <v>15</v>
      </c>
      <c r="AE9" s="16"/>
      <c r="AF9" s="16"/>
      <c r="AG9" t="s" s="96">
        <v>118</v>
      </c>
      <c r="AH9" s="16"/>
      <c r="AI9" t="s" s="96">
        <v>11</v>
      </c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</row>
    <row r="10" ht="15.35" customHeight="1">
      <c r="A10" t="s" s="96">
        <v>465</v>
      </c>
      <c r="B10" s="16"/>
      <c r="C10" s="79">
        <v>1</v>
      </c>
      <c r="D10" t="s" s="96">
        <v>461</v>
      </c>
      <c r="E10" t="s" s="96">
        <v>462</v>
      </c>
      <c r="F10" s="79">
        <v>11</v>
      </c>
      <c r="G10" t="s" s="96">
        <v>476</v>
      </c>
      <c r="H10" t="s" s="96">
        <v>477</v>
      </c>
      <c r="I10" s="79">
        <v>8</v>
      </c>
      <c r="J10" s="79">
        <v>1</v>
      </c>
      <c r="K10" s="16"/>
      <c r="L10" s="16"/>
      <c r="M10" s="16"/>
      <c r="N10" t="s" s="96">
        <v>11</v>
      </c>
      <c r="O10" s="16"/>
      <c r="P10" s="16"/>
      <c r="Q10" s="16"/>
      <c r="R10" s="16"/>
      <c r="S10" s="79">
        <v>1</v>
      </c>
      <c r="T10" s="79">
        <v>15</v>
      </c>
      <c r="U10" s="16"/>
      <c r="V10" s="16"/>
      <c r="W10" s="16"/>
      <c r="X10" s="16"/>
      <c r="Y10" s="16"/>
      <c r="Z10" s="16"/>
      <c r="AA10" t="s" s="96">
        <v>55</v>
      </c>
      <c r="AB10" s="16"/>
      <c r="AC10" s="79">
        <v>1</v>
      </c>
      <c r="AD10" t="s" s="96">
        <v>15</v>
      </c>
      <c r="AE10" s="16"/>
      <c r="AF10" s="16"/>
      <c r="AG10" t="s" s="96">
        <v>121</v>
      </c>
      <c r="AH10" s="16"/>
      <c r="AI10" t="s" s="96">
        <v>11</v>
      </c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</row>
    <row r="11" ht="15.35" customHeight="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</row>
    <row r="12" ht="15.35" customHeight="1">
      <c r="A12" t="s" s="96">
        <v>478</v>
      </c>
      <c r="B12" s="16"/>
      <c r="C12" s="79">
        <v>2</v>
      </c>
      <c r="D12" t="s" s="96">
        <v>461</v>
      </c>
      <c r="E12" s="16"/>
      <c r="F12" s="79">
        <v>3</v>
      </c>
      <c r="G12" t="s" s="96">
        <v>433</v>
      </c>
      <c r="H12" t="s" s="96">
        <v>479</v>
      </c>
      <c r="I12" s="79">
        <v>9</v>
      </c>
      <c r="J12" s="16"/>
      <c r="K12" s="79">
        <v>1</v>
      </c>
      <c r="L12" s="16"/>
      <c r="M12" s="16"/>
      <c r="N12" s="79">
        <v>1</v>
      </c>
      <c r="O12" s="16"/>
      <c r="P12" s="16"/>
      <c r="Q12" s="16"/>
      <c r="R12" s="16"/>
      <c r="S12" s="16"/>
      <c r="T12" s="79">
        <v>67</v>
      </c>
      <c r="U12" s="16"/>
      <c r="V12" s="16"/>
      <c r="W12" s="16"/>
      <c r="X12" s="16"/>
      <c r="Y12" s="16"/>
      <c r="Z12" s="16"/>
      <c r="AA12" t="s" s="96">
        <v>480</v>
      </c>
      <c r="AB12" s="16"/>
      <c r="AC12" s="79">
        <v>1</v>
      </c>
      <c r="AD12" s="16"/>
      <c r="AE12" s="16"/>
      <c r="AF12" s="79">
        <v>1</v>
      </c>
      <c r="AG12" t="s" s="96">
        <v>13</v>
      </c>
      <c r="AH12" s="16"/>
      <c r="AI12" s="79">
        <v>1</v>
      </c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</row>
    <row r="13" ht="15.35" customHeight="1">
      <c r="A13" t="s" s="96">
        <v>465</v>
      </c>
      <c r="B13" s="16"/>
      <c r="C13" s="79">
        <v>2</v>
      </c>
      <c r="D13" t="s" s="96">
        <v>461</v>
      </c>
      <c r="E13" s="16"/>
      <c r="F13" s="79">
        <v>3</v>
      </c>
      <c r="G13" t="s" s="96">
        <v>433</v>
      </c>
      <c r="H13" t="s" s="96">
        <v>481</v>
      </c>
      <c r="I13" s="79">
        <v>10</v>
      </c>
      <c r="J13" s="79">
        <v>1</v>
      </c>
      <c r="K13" s="16"/>
      <c r="L13" s="16"/>
      <c r="M13" s="16"/>
      <c r="N13" s="16"/>
      <c r="O13" s="79">
        <v>1</v>
      </c>
      <c r="P13" s="16"/>
      <c r="Q13" s="16"/>
      <c r="R13" s="16"/>
      <c r="S13" s="16"/>
      <c r="T13" s="79">
        <v>69</v>
      </c>
      <c r="U13" s="16"/>
      <c r="V13" s="16"/>
      <c r="W13" s="16"/>
      <c r="X13" s="16"/>
      <c r="Y13" s="16"/>
      <c r="Z13" s="16"/>
      <c r="AA13" t="s" s="96">
        <v>33</v>
      </c>
      <c r="AB13" s="16"/>
      <c r="AC13" s="16"/>
      <c r="AD13" s="16"/>
      <c r="AE13" s="16"/>
      <c r="AF13" s="79">
        <v>1</v>
      </c>
      <c r="AG13" t="s" s="96">
        <v>13</v>
      </c>
      <c r="AH13" s="16"/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</row>
    <row r="14" ht="15.35" customHeight="1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</row>
    <row r="15" ht="15.35" customHeight="1">
      <c r="A15" t="s" s="96">
        <v>482</v>
      </c>
      <c r="B15" s="16"/>
      <c r="C15" s="79">
        <v>3</v>
      </c>
      <c r="D15" t="s" s="96">
        <v>461</v>
      </c>
      <c r="E15" s="16"/>
      <c r="F15" s="79">
        <v>7</v>
      </c>
      <c r="G15" t="s" s="96">
        <v>483</v>
      </c>
      <c r="H15" t="s" s="96">
        <v>484</v>
      </c>
      <c r="I15" s="79">
        <v>11</v>
      </c>
      <c r="J15" s="16"/>
      <c r="K15" s="79">
        <v>1</v>
      </c>
      <c r="L15" s="16"/>
      <c r="M15" s="16"/>
      <c r="N15" s="79">
        <v>1</v>
      </c>
      <c r="O15" s="16"/>
      <c r="P15" s="16"/>
      <c r="Q15" s="16"/>
      <c r="R15" s="16"/>
      <c r="S15" s="16"/>
      <c r="T15" s="79">
        <v>65</v>
      </c>
      <c r="U15" s="16"/>
      <c r="V15" s="16"/>
      <c r="W15" s="16"/>
      <c r="X15" s="16"/>
      <c r="Y15" s="16"/>
      <c r="Z15" s="16"/>
      <c r="AA15" t="s" s="96">
        <v>485</v>
      </c>
      <c r="AB15" t="s" s="96">
        <v>486</v>
      </c>
      <c r="AC15" s="79">
        <v>1</v>
      </c>
      <c r="AD15" s="16"/>
      <c r="AE15" s="16"/>
      <c r="AF15" s="16"/>
      <c r="AG15" t="s" s="96">
        <v>25</v>
      </c>
      <c r="AH15" s="16"/>
      <c r="AI15" s="79">
        <v>1</v>
      </c>
      <c r="AJ15" t="s" s="96">
        <v>487</v>
      </c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</row>
    <row r="16" ht="15.35" customHeight="1">
      <c r="A16" t="s" s="96">
        <v>465</v>
      </c>
      <c r="B16" s="16"/>
      <c r="C16" s="79">
        <v>3</v>
      </c>
      <c r="D16" t="s" s="96">
        <v>461</v>
      </c>
      <c r="E16" s="16"/>
      <c r="F16" s="79">
        <v>7</v>
      </c>
      <c r="G16" t="s" s="96">
        <v>483</v>
      </c>
      <c r="H16" t="s" s="96">
        <v>488</v>
      </c>
      <c r="I16" s="79">
        <v>12</v>
      </c>
      <c r="J16" s="79">
        <v>1</v>
      </c>
      <c r="K16" s="16"/>
      <c r="L16" s="16"/>
      <c r="M16" s="16"/>
      <c r="N16" t="s" s="96">
        <v>72</v>
      </c>
      <c r="O16" s="79">
        <v>1</v>
      </c>
      <c r="P16" s="16"/>
      <c r="Q16" s="16"/>
      <c r="R16" s="79">
        <v>1</v>
      </c>
      <c r="S16" s="16"/>
      <c r="T16" s="79">
        <v>57</v>
      </c>
      <c r="U16" s="16"/>
      <c r="V16" s="16"/>
      <c r="W16" s="16"/>
      <c r="X16" s="16"/>
      <c r="Y16" s="16"/>
      <c r="Z16" s="16"/>
      <c r="AA16" t="s" s="96">
        <v>33</v>
      </c>
      <c r="AB16" s="16"/>
      <c r="AC16" s="16"/>
      <c r="AD16" t="s" s="96">
        <v>34</v>
      </c>
      <c r="AE16" s="16"/>
      <c r="AF16" s="16"/>
      <c r="AG16" t="s" s="96">
        <v>489</v>
      </c>
      <c r="AH16" s="16"/>
      <c r="AI16" t="s" s="96">
        <v>72</v>
      </c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</row>
    <row r="17" ht="15.35" customHeight="1">
      <c r="A17" t="s" s="96">
        <v>465</v>
      </c>
      <c r="B17" s="16"/>
      <c r="C17" s="79">
        <v>3</v>
      </c>
      <c r="D17" t="s" s="96">
        <v>461</v>
      </c>
      <c r="E17" s="16"/>
      <c r="F17" s="79">
        <v>7</v>
      </c>
      <c r="G17" t="s" s="96">
        <v>490</v>
      </c>
      <c r="H17" t="s" s="96">
        <v>491</v>
      </c>
      <c r="I17" s="79">
        <v>13</v>
      </c>
      <c r="J17" s="79">
        <v>1</v>
      </c>
      <c r="K17" s="16"/>
      <c r="L17" s="16"/>
      <c r="M17" s="16"/>
      <c r="N17" t="s" s="96">
        <v>492</v>
      </c>
      <c r="O17" s="16"/>
      <c r="P17" s="16"/>
      <c r="Q17" s="16"/>
      <c r="R17" s="16"/>
      <c r="S17" s="16"/>
      <c r="T17" s="79">
        <v>46</v>
      </c>
      <c r="U17" s="16"/>
      <c r="V17" s="16"/>
      <c r="W17" s="16"/>
      <c r="X17" s="16"/>
      <c r="Y17" s="16"/>
      <c r="Z17" s="16"/>
      <c r="AA17" t="s" s="96">
        <v>33</v>
      </c>
      <c r="AB17" s="16"/>
      <c r="AC17" s="16"/>
      <c r="AD17" t="s" s="96">
        <v>34</v>
      </c>
      <c r="AE17" s="16"/>
      <c r="AF17" s="16"/>
      <c r="AG17" t="s" s="96">
        <v>493</v>
      </c>
      <c r="AH17" s="16"/>
      <c r="AI17" t="s" s="96">
        <v>492</v>
      </c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</row>
    <row r="18" ht="15.35" customHeight="1">
      <c r="A18" t="s" s="96">
        <v>465</v>
      </c>
      <c r="B18" s="16"/>
      <c r="C18" s="79">
        <v>3</v>
      </c>
      <c r="D18" t="s" s="96">
        <v>461</v>
      </c>
      <c r="E18" s="16"/>
      <c r="F18" s="79">
        <v>7</v>
      </c>
      <c r="G18" t="s" s="96">
        <v>494</v>
      </c>
      <c r="H18" t="s" s="96">
        <v>495</v>
      </c>
      <c r="I18" s="79">
        <v>14</v>
      </c>
      <c r="J18" s="16"/>
      <c r="K18" s="79">
        <v>1</v>
      </c>
      <c r="L18" s="16"/>
      <c r="M18" s="16"/>
      <c r="N18" t="s" s="96">
        <v>65</v>
      </c>
      <c r="O18" s="16"/>
      <c r="P18" s="16"/>
      <c r="Q18" s="16"/>
      <c r="R18" s="79">
        <v>1</v>
      </c>
      <c r="S18" s="16"/>
      <c r="T18" s="79">
        <v>27</v>
      </c>
      <c r="U18" s="16"/>
      <c r="V18" s="16"/>
      <c r="W18" s="16"/>
      <c r="X18" s="16"/>
      <c r="Y18" s="16"/>
      <c r="Z18" s="16"/>
      <c r="AA18" t="s" s="96">
        <v>496</v>
      </c>
      <c r="AB18" t="s" s="96">
        <v>497</v>
      </c>
      <c r="AC18" s="79">
        <v>1</v>
      </c>
      <c r="AD18" s="16"/>
      <c r="AE18" s="16"/>
      <c r="AF18" s="16"/>
      <c r="AG18" t="s" s="96">
        <v>498</v>
      </c>
      <c r="AH18" s="16"/>
      <c r="AI18" t="s" s="96">
        <v>65</v>
      </c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</row>
    <row r="19" ht="15.35" customHeight="1">
      <c r="A19" t="s" s="96">
        <v>465</v>
      </c>
      <c r="B19" s="16"/>
      <c r="C19" s="79">
        <v>3</v>
      </c>
      <c r="D19" t="s" s="96">
        <v>461</v>
      </c>
      <c r="E19" s="16"/>
      <c r="F19" s="79">
        <v>7</v>
      </c>
      <c r="G19" t="s" s="96">
        <v>499</v>
      </c>
      <c r="H19" t="s" s="96">
        <v>500</v>
      </c>
      <c r="I19" s="79">
        <v>15</v>
      </c>
      <c r="J19" s="79">
        <v>1</v>
      </c>
      <c r="K19" s="16"/>
      <c r="L19" s="16"/>
      <c r="M19" s="16"/>
      <c r="N19" t="s" s="96">
        <v>65</v>
      </c>
      <c r="O19" s="16"/>
      <c r="P19" s="16"/>
      <c r="Q19" s="16"/>
      <c r="R19" s="79">
        <v>1</v>
      </c>
      <c r="S19" s="16"/>
      <c r="T19" s="79">
        <v>48</v>
      </c>
      <c r="U19" s="16"/>
      <c r="V19" s="16"/>
      <c r="W19" s="16"/>
      <c r="X19" s="16"/>
      <c r="Y19" s="16"/>
      <c r="Z19" s="16"/>
      <c r="AA19" t="s" s="96">
        <v>34</v>
      </c>
      <c r="AB19" s="16"/>
      <c r="AC19" s="16"/>
      <c r="AD19" t="s" s="96">
        <v>34</v>
      </c>
      <c r="AE19" s="16"/>
      <c r="AF19" s="79">
        <v>1</v>
      </c>
      <c r="AG19" t="s" s="96">
        <v>54</v>
      </c>
      <c r="AH19" s="16"/>
      <c r="AI19" t="s" s="96">
        <v>65</v>
      </c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</row>
    <row r="20" ht="15.35" customHeight="1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</row>
    <row r="21" ht="15.35" customHeight="1">
      <c r="A21" t="s" s="96">
        <v>501</v>
      </c>
      <c r="B21" s="16"/>
      <c r="C21" s="79">
        <v>4</v>
      </c>
      <c r="D21" t="s" s="96">
        <v>461</v>
      </c>
      <c r="E21" s="16"/>
      <c r="F21" s="79">
        <v>8</v>
      </c>
      <c r="G21" t="s" s="96">
        <v>502</v>
      </c>
      <c r="H21" t="s" s="96">
        <v>503</v>
      </c>
      <c r="I21" s="79">
        <v>16</v>
      </c>
      <c r="J21" s="16"/>
      <c r="K21" s="79">
        <v>1</v>
      </c>
      <c r="L21" s="16"/>
      <c r="M21" s="16"/>
      <c r="N21" s="79">
        <v>1</v>
      </c>
      <c r="O21" s="16"/>
      <c r="P21" s="16"/>
      <c r="Q21" s="16"/>
      <c r="R21" s="16"/>
      <c r="S21" s="16"/>
      <c r="T21" s="79">
        <v>75</v>
      </c>
      <c r="U21" s="16"/>
      <c r="V21" s="16"/>
      <c r="W21" s="16"/>
      <c r="X21" s="16"/>
      <c r="Y21" s="16"/>
      <c r="Z21" s="16"/>
      <c r="AA21" t="s" s="96">
        <v>504</v>
      </c>
      <c r="AB21" s="16"/>
      <c r="AC21" s="79">
        <v>1</v>
      </c>
      <c r="AD21" s="79">
        <v>1</v>
      </c>
      <c r="AE21" s="16"/>
      <c r="AF21" s="79">
        <v>1</v>
      </c>
      <c r="AG21" t="s" s="96">
        <v>54</v>
      </c>
      <c r="AH21" s="16"/>
      <c r="AI21" s="79">
        <v>1</v>
      </c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</row>
    <row r="22" ht="15.35" customHeight="1">
      <c r="A22" t="s" s="96">
        <v>465</v>
      </c>
      <c r="B22" s="16"/>
      <c r="C22" s="79">
        <v>4</v>
      </c>
      <c r="D22" t="s" s="96">
        <v>461</v>
      </c>
      <c r="E22" s="16"/>
      <c r="F22" s="79">
        <v>8</v>
      </c>
      <c r="G22" t="s" s="96">
        <v>502</v>
      </c>
      <c r="H22" t="s" s="96">
        <v>505</v>
      </c>
      <c r="I22" s="79">
        <v>17</v>
      </c>
      <c r="J22" s="79">
        <v>1</v>
      </c>
      <c r="K22" s="16"/>
      <c r="L22" s="16"/>
      <c r="M22" s="16"/>
      <c r="N22" t="s" s="96">
        <v>78</v>
      </c>
      <c r="O22" s="16"/>
      <c r="P22" s="79">
        <v>1</v>
      </c>
      <c r="Q22" s="16"/>
      <c r="R22" s="16"/>
      <c r="S22" s="16"/>
      <c r="T22" s="79">
        <v>40</v>
      </c>
      <c r="U22" s="16"/>
      <c r="V22" s="16"/>
      <c r="W22" s="16"/>
      <c r="X22" s="16"/>
      <c r="Y22" s="16"/>
      <c r="Z22" s="16"/>
      <c r="AA22" t="s" s="96">
        <v>506</v>
      </c>
      <c r="AB22" s="16"/>
      <c r="AC22" s="79">
        <v>1</v>
      </c>
      <c r="AD22" s="79">
        <v>1</v>
      </c>
      <c r="AE22" s="16"/>
      <c r="AF22" s="16"/>
      <c r="AG22" t="s" s="96">
        <v>507</v>
      </c>
      <c r="AH22" s="16"/>
      <c r="AI22" t="s" s="96">
        <v>78</v>
      </c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</row>
    <row r="23" ht="15.35" customHeight="1">
      <c r="A23" t="s" s="96">
        <v>465</v>
      </c>
      <c r="B23" s="16"/>
      <c r="C23" s="79">
        <v>4</v>
      </c>
      <c r="D23" t="s" s="96">
        <v>461</v>
      </c>
      <c r="E23" s="16"/>
      <c r="F23" s="79">
        <v>8</v>
      </c>
      <c r="G23" t="s" s="96">
        <v>508</v>
      </c>
      <c r="H23" t="s" s="96">
        <v>417</v>
      </c>
      <c r="I23" s="79">
        <v>18</v>
      </c>
      <c r="J23" s="79">
        <v>1</v>
      </c>
      <c r="K23" s="16"/>
      <c r="L23" s="16"/>
      <c r="M23" s="16"/>
      <c r="N23" t="s" s="96">
        <v>186</v>
      </c>
      <c r="O23" s="16"/>
      <c r="P23" s="16"/>
      <c r="Q23" s="16"/>
      <c r="R23" s="16"/>
      <c r="S23" s="79">
        <v>1</v>
      </c>
      <c r="T23" s="79">
        <v>33</v>
      </c>
      <c r="U23" s="16"/>
      <c r="V23" s="16"/>
      <c r="W23" s="16"/>
      <c r="X23" s="16"/>
      <c r="Y23" s="16"/>
      <c r="Z23" s="16"/>
      <c r="AA23" t="s" s="96">
        <v>11</v>
      </c>
      <c r="AB23" s="16"/>
      <c r="AC23" s="79">
        <v>1</v>
      </c>
      <c r="AD23" t="s" s="96">
        <v>15</v>
      </c>
      <c r="AE23" s="16"/>
      <c r="AF23" s="16"/>
      <c r="AG23" t="s" s="96">
        <v>509</v>
      </c>
      <c r="AH23" s="16"/>
      <c r="AI23" t="s" s="96">
        <v>186</v>
      </c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</row>
    <row r="24" ht="15.35" customHeight="1">
      <c r="A24" t="s" s="96">
        <v>465</v>
      </c>
      <c r="B24" s="16"/>
      <c r="C24" s="79">
        <v>4</v>
      </c>
      <c r="D24" t="s" s="96">
        <v>461</v>
      </c>
      <c r="E24" s="16"/>
      <c r="F24" s="79">
        <v>8</v>
      </c>
      <c r="G24" t="s" s="96">
        <v>510</v>
      </c>
      <c r="H24" t="s" s="96">
        <v>511</v>
      </c>
      <c r="I24" s="79">
        <v>19</v>
      </c>
      <c r="J24" s="79">
        <v>1</v>
      </c>
      <c r="K24" s="16"/>
      <c r="L24" s="16"/>
      <c r="M24" s="16"/>
      <c r="N24" t="s" s="96">
        <v>186</v>
      </c>
      <c r="O24" s="16"/>
      <c r="P24" s="16"/>
      <c r="Q24" s="16"/>
      <c r="R24" s="16"/>
      <c r="S24" s="79">
        <v>1</v>
      </c>
      <c r="T24" s="79">
        <v>31</v>
      </c>
      <c r="U24" s="16"/>
      <c r="V24" s="16"/>
      <c r="W24" s="16"/>
      <c r="X24" s="16"/>
      <c r="Y24" s="16"/>
      <c r="Z24" s="16"/>
      <c r="AA24" t="s" s="96">
        <v>11</v>
      </c>
      <c r="AB24" s="16"/>
      <c r="AC24" s="79">
        <v>1</v>
      </c>
      <c r="AD24" t="s" s="96">
        <v>15</v>
      </c>
      <c r="AE24" s="16"/>
      <c r="AF24" s="16"/>
      <c r="AG24" t="s" s="96">
        <v>512</v>
      </c>
      <c r="AH24" s="16"/>
      <c r="AI24" t="s" s="96">
        <v>186</v>
      </c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</row>
    <row r="25" ht="15.35" customHeight="1">
      <c r="A25" t="s" s="96">
        <v>465</v>
      </c>
      <c r="B25" s="16"/>
      <c r="C25" s="79">
        <v>4</v>
      </c>
      <c r="D25" t="s" s="96">
        <v>461</v>
      </c>
      <c r="E25" s="16"/>
      <c r="F25" s="79">
        <v>8</v>
      </c>
      <c r="G25" t="s" s="96">
        <v>513</v>
      </c>
      <c r="H25" t="s" s="96">
        <v>331</v>
      </c>
      <c r="I25" s="79">
        <v>20</v>
      </c>
      <c r="J25" s="79">
        <v>1</v>
      </c>
      <c r="K25" s="16"/>
      <c r="L25" s="16"/>
      <c r="M25" s="16"/>
      <c r="N25" t="s" s="96">
        <v>186</v>
      </c>
      <c r="O25" s="16"/>
      <c r="P25" s="16"/>
      <c r="Q25" s="16"/>
      <c r="R25" s="16"/>
      <c r="S25" s="79">
        <v>1</v>
      </c>
      <c r="T25" s="79">
        <v>58</v>
      </c>
      <c r="U25" s="16"/>
      <c r="V25" s="16"/>
      <c r="W25" s="16"/>
      <c r="X25" s="16"/>
      <c r="Y25" s="16"/>
      <c r="Z25" s="16"/>
      <c r="AA25" t="s" s="96">
        <v>11</v>
      </c>
      <c r="AB25" s="16"/>
      <c r="AC25" s="79">
        <v>1</v>
      </c>
      <c r="AD25" t="s" s="96">
        <v>15</v>
      </c>
      <c r="AE25" s="16"/>
      <c r="AF25" s="16"/>
      <c r="AG25" t="s" s="96">
        <v>514</v>
      </c>
      <c r="AH25" s="16"/>
      <c r="AI25" t="s" s="96">
        <v>186</v>
      </c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</row>
    <row r="26" ht="15.35" customHeigh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</row>
    <row r="27" ht="15.35" customHeight="1">
      <c r="A27" t="s" s="96">
        <v>465</v>
      </c>
      <c r="B27" s="16"/>
      <c r="C27" s="79">
        <v>5</v>
      </c>
      <c r="D27" t="s" s="96">
        <v>461</v>
      </c>
      <c r="E27" s="16"/>
      <c r="F27" s="79">
        <v>9</v>
      </c>
      <c r="G27" t="s" s="96">
        <v>515</v>
      </c>
      <c r="H27" t="s" s="96">
        <v>516</v>
      </c>
      <c r="I27" s="79">
        <v>21</v>
      </c>
      <c r="J27" s="16"/>
      <c r="K27" s="79">
        <v>1</v>
      </c>
      <c r="L27" s="16"/>
      <c r="M27" s="16"/>
      <c r="N27" s="79">
        <v>1</v>
      </c>
      <c r="O27" s="16"/>
      <c r="P27" s="16"/>
      <c r="Q27" s="16"/>
      <c r="R27" s="16"/>
      <c r="S27" s="16"/>
      <c r="T27" s="79">
        <v>43</v>
      </c>
      <c r="U27" s="16"/>
      <c r="V27" s="16"/>
      <c r="W27" s="16"/>
      <c r="X27" s="16"/>
      <c r="Y27" s="16"/>
      <c r="Z27" s="16"/>
      <c r="AA27" t="s" s="96">
        <v>517</v>
      </c>
      <c r="AB27" t="s" s="96">
        <v>518</v>
      </c>
      <c r="AC27" s="79">
        <v>1</v>
      </c>
      <c r="AD27" s="16"/>
      <c r="AE27" s="16"/>
      <c r="AF27" s="79">
        <v>1</v>
      </c>
      <c r="AG27" t="s" s="96">
        <v>13</v>
      </c>
      <c r="AH27" s="16"/>
      <c r="AI27" s="79">
        <v>1</v>
      </c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</row>
    <row r="28" ht="15.35" customHeight="1">
      <c r="A28" t="s" s="96">
        <v>465</v>
      </c>
      <c r="B28" s="16"/>
      <c r="C28" s="79">
        <v>5</v>
      </c>
      <c r="D28" t="s" s="96">
        <v>461</v>
      </c>
      <c r="E28" s="16"/>
      <c r="F28" s="79">
        <v>9</v>
      </c>
      <c r="G28" t="s" s="96">
        <v>515</v>
      </c>
      <c r="H28" t="s" s="96">
        <v>519</v>
      </c>
      <c r="I28" s="79">
        <v>22</v>
      </c>
      <c r="J28" s="79">
        <v>1</v>
      </c>
      <c r="K28" s="16"/>
      <c r="L28" s="16"/>
      <c r="M28" s="16"/>
      <c r="N28" t="s" s="96">
        <v>72</v>
      </c>
      <c r="O28" s="79">
        <v>1</v>
      </c>
      <c r="P28" s="16"/>
      <c r="Q28" s="16"/>
      <c r="R28" s="16"/>
      <c r="S28" s="16"/>
      <c r="T28" s="79">
        <v>40</v>
      </c>
      <c r="U28" s="16"/>
      <c r="V28" s="16"/>
      <c r="W28" s="16"/>
      <c r="X28" s="16"/>
      <c r="Y28" s="16"/>
      <c r="Z28" s="16"/>
      <c r="AA28" t="s" s="96">
        <v>34</v>
      </c>
      <c r="AB28" s="16"/>
      <c r="AC28" s="16"/>
      <c r="AD28" t="s" s="96">
        <v>34</v>
      </c>
      <c r="AE28" s="16"/>
      <c r="AF28" s="16"/>
      <c r="AG28" t="s" s="96">
        <v>34</v>
      </c>
      <c r="AH28" s="16"/>
      <c r="AI28" t="s" s="96">
        <v>72</v>
      </c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</row>
    <row r="29" ht="15.35" customHeight="1">
      <c r="A29" t="s" s="96">
        <v>465</v>
      </c>
      <c r="B29" s="16"/>
      <c r="C29" s="79">
        <v>5</v>
      </c>
      <c r="D29" t="s" s="96">
        <v>461</v>
      </c>
      <c r="E29" s="16"/>
      <c r="F29" s="79">
        <v>9</v>
      </c>
      <c r="G29" t="s" s="96">
        <v>520</v>
      </c>
      <c r="H29" t="s" s="96">
        <v>521</v>
      </c>
      <c r="I29" s="79">
        <v>23</v>
      </c>
      <c r="J29" s="79">
        <v>1</v>
      </c>
      <c r="K29" s="16"/>
      <c r="L29" s="16"/>
      <c r="M29" s="16"/>
      <c r="N29" t="s" s="96">
        <v>11</v>
      </c>
      <c r="O29" s="16"/>
      <c r="P29" s="16"/>
      <c r="Q29" s="16"/>
      <c r="R29" s="16"/>
      <c r="S29" s="79">
        <v>1</v>
      </c>
      <c r="T29" s="79">
        <v>17</v>
      </c>
      <c r="U29" s="16"/>
      <c r="V29" s="16"/>
      <c r="W29" s="16"/>
      <c r="X29" s="16"/>
      <c r="Y29" s="16"/>
      <c r="Z29" s="16"/>
      <c r="AA29" t="s" s="96">
        <v>89</v>
      </c>
      <c r="AB29" t="s" s="96">
        <v>522</v>
      </c>
      <c r="AC29" s="79">
        <v>1</v>
      </c>
      <c r="AD29" s="16"/>
      <c r="AE29" s="16"/>
      <c r="AF29" s="79">
        <v>1</v>
      </c>
      <c r="AG29" t="s" s="96">
        <v>523</v>
      </c>
      <c r="AH29" s="16"/>
      <c r="AI29" t="s" s="96">
        <v>11</v>
      </c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</row>
    <row r="30" ht="15.35" customHeight="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</row>
    <row r="31" ht="15.35" customHeight="1">
      <c r="A31" t="s" s="96">
        <v>465</v>
      </c>
      <c r="B31" s="16"/>
      <c r="C31" s="79">
        <v>6</v>
      </c>
      <c r="D31" t="s" s="96">
        <v>461</v>
      </c>
      <c r="E31" s="16"/>
      <c r="F31" s="79">
        <v>10</v>
      </c>
      <c r="G31" t="s" s="96">
        <v>524</v>
      </c>
      <c r="H31" t="s" s="96">
        <v>525</v>
      </c>
      <c r="I31" s="79">
        <v>24</v>
      </c>
      <c r="J31" s="16"/>
      <c r="K31" s="79">
        <v>1</v>
      </c>
      <c r="L31" s="16"/>
      <c r="M31" s="16"/>
      <c r="N31" s="79">
        <v>1</v>
      </c>
      <c r="O31" s="16"/>
      <c r="P31" s="16"/>
      <c r="Q31" s="16"/>
      <c r="R31" s="16"/>
      <c r="S31" s="16"/>
      <c r="T31" s="79">
        <v>73</v>
      </c>
      <c r="U31" s="16"/>
      <c r="V31" s="16"/>
      <c r="W31" s="16"/>
      <c r="X31" s="16"/>
      <c r="Y31" s="16"/>
      <c r="Z31" s="16"/>
      <c r="AA31" t="s" s="96">
        <v>526</v>
      </c>
      <c r="AB31" s="16"/>
      <c r="AC31" s="79">
        <v>1</v>
      </c>
      <c r="AD31" t="s" s="96">
        <v>34</v>
      </c>
      <c r="AE31" s="16"/>
      <c r="AF31" s="79">
        <v>1</v>
      </c>
      <c r="AG31" t="s" s="96">
        <v>13</v>
      </c>
      <c r="AH31" s="16"/>
      <c r="AI31" s="79">
        <v>1</v>
      </c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</row>
    <row r="32" ht="15.35" customHeight="1">
      <c r="A32" t="s" s="96">
        <v>465</v>
      </c>
      <c r="B32" s="16"/>
      <c r="C32" s="79">
        <v>6</v>
      </c>
      <c r="D32" t="s" s="96">
        <v>461</v>
      </c>
      <c r="E32" s="16"/>
      <c r="F32" s="79">
        <v>10</v>
      </c>
      <c r="G32" t="s" s="96">
        <v>524</v>
      </c>
      <c r="H32" t="s" s="96">
        <v>527</v>
      </c>
      <c r="I32" s="79">
        <v>25</v>
      </c>
      <c r="J32" s="79">
        <v>1</v>
      </c>
      <c r="K32" s="16"/>
      <c r="L32" s="16"/>
      <c r="M32" s="16"/>
      <c r="N32" t="s" s="96">
        <v>246</v>
      </c>
      <c r="O32" s="16"/>
      <c r="P32" s="16"/>
      <c r="Q32" s="16"/>
      <c r="R32" s="79">
        <v>1</v>
      </c>
      <c r="S32" s="16"/>
      <c r="T32" s="79">
        <v>66</v>
      </c>
      <c r="U32" s="16"/>
      <c r="V32" s="16"/>
      <c r="W32" s="16"/>
      <c r="X32" s="16"/>
      <c r="Y32" s="16"/>
      <c r="Z32" s="16"/>
      <c r="AA32" t="s" s="96">
        <v>34</v>
      </c>
      <c r="AB32" s="16"/>
      <c r="AC32" s="16"/>
      <c r="AD32" t="s" s="96">
        <v>34</v>
      </c>
      <c r="AE32" s="16"/>
      <c r="AF32" s="79">
        <v>1</v>
      </c>
      <c r="AG32" t="s" s="96">
        <v>528</v>
      </c>
      <c r="AH32" s="16"/>
      <c r="AI32" t="s" s="96">
        <v>246</v>
      </c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</row>
    <row r="33" ht="15.35" customHeight="1">
      <c r="A33" t="s" s="96">
        <v>465</v>
      </c>
      <c r="B33" s="16"/>
      <c r="C33" s="79">
        <v>6</v>
      </c>
      <c r="D33" t="s" s="96">
        <v>461</v>
      </c>
      <c r="E33" s="16"/>
      <c r="F33" s="79">
        <v>10</v>
      </c>
      <c r="G33" t="s" s="96">
        <v>529</v>
      </c>
      <c r="H33" t="s" s="96">
        <v>530</v>
      </c>
      <c r="I33" s="79">
        <v>26</v>
      </c>
      <c r="J33" s="79">
        <v>1</v>
      </c>
      <c r="K33" s="16"/>
      <c r="L33" s="16"/>
      <c r="M33" s="16"/>
      <c r="N33" t="s" s="96">
        <v>11</v>
      </c>
      <c r="O33" s="16"/>
      <c r="P33" s="16"/>
      <c r="Q33" s="16"/>
      <c r="R33" s="16"/>
      <c r="S33" s="79">
        <v>1</v>
      </c>
      <c r="T33" s="79">
        <v>19</v>
      </c>
      <c r="U33" s="16"/>
      <c r="V33" s="16"/>
      <c r="W33" s="16"/>
      <c r="X33" s="16"/>
      <c r="Y33" s="16"/>
      <c r="Z33" s="16"/>
      <c r="AA33" t="s" s="96">
        <v>188</v>
      </c>
      <c r="AB33" s="16"/>
      <c r="AC33" s="79">
        <v>1</v>
      </c>
      <c r="AD33" t="s" s="96">
        <v>15</v>
      </c>
      <c r="AE33" s="16"/>
      <c r="AF33" s="16"/>
      <c r="AG33" t="s" s="96">
        <v>202</v>
      </c>
      <c r="AH33" s="16"/>
      <c r="AI33" t="s" s="96">
        <v>11</v>
      </c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</row>
    <row r="34" ht="15.35" customHeight="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</row>
    <row r="35" ht="15.35" customHeight="1">
      <c r="A35" t="s" s="96">
        <v>465</v>
      </c>
      <c r="B35" s="16"/>
      <c r="C35" s="79">
        <v>7</v>
      </c>
      <c r="D35" t="s" s="96">
        <v>461</v>
      </c>
      <c r="E35" s="16"/>
      <c r="F35" t="s" s="96">
        <v>531</v>
      </c>
      <c r="G35" t="s" s="96">
        <v>532</v>
      </c>
      <c r="H35" t="s" s="96">
        <v>533</v>
      </c>
      <c r="I35" s="79">
        <v>27</v>
      </c>
      <c r="J35" s="16"/>
      <c r="K35" s="79">
        <v>1</v>
      </c>
      <c r="L35" s="16"/>
      <c r="M35" s="16"/>
      <c r="N35" s="79">
        <v>1</v>
      </c>
      <c r="O35" s="16"/>
      <c r="P35" s="16"/>
      <c r="Q35" s="16"/>
      <c r="R35" s="16"/>
      <c r="S35" s="16"/>
      <c r="T35" s="79">
        <v>43</v>
      </c>
      <c r="U35" s="16"/>
      <c r="V35" s="16"/>
      <c r="W35" s="16"/>
      <c r="X35" s="16"/>
      <c r="Y35" s="16"/>
      <c r="Z35" s="16"/>
      <c r="AA35" t="s" s="96">
        <v>534</v>
      </c>
      <c r="AB35" t="s" s="96">
        <v>535</v>
      </c>
      <c r="AC35" s="79">
        <v>1</v>
      </c>
      <c r="AD35" s="16"/>
      <c r="AE35" s="16"/>
      <c r="AF35" s="79">
        <v>1</v>
      </c>
      <c r="AG35" t="s" s="96">
        <v>536</v>
      </c>
      <c r="AH35" s="16"/>
      <c r="AI35" s="79">
        <v>1</v>
      </c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</row>
    <row r="36" ht="15.35" customHeight="1">
      <c r="A36" t="s" s="96">
        <v>465</v>
      </c>
      <c r="B36" s="16"/>
      <c r="C36" s="79">
        <v>7</v>
      </c>
      <c r="D36" t="s" s="96">
        <v>461</v>
      </c>
      <c r="E36" s="16"/>
      <c r="F36" t="s" s="96">
        <v>531</v>
      </c>
      <c r="G36" t="s" s="96">
        <v>532</v>
      </c>
      <c r="H36" t="s" s="96">
        <v>537</v>
      </c>
      <c r="I36" s="79">
        <v>28</v>
      </c>
      <c r="J36" s="79">
        <v>1</v>
      </c>
      <c r="K36" s="16"/>
      <c r="L36" s="16"/>
      <c r="M36" s="16"/>
      <c r="N36" t="s" s="96">
        <v>72</v>
      </c>
      <c r="O36" s="79">
        <v>1</v>
      </c>
      <c r="P36" s="16"/>
      <c r="Q36" s="16"/>
      <c r="R36" s="16"/>
      <c r="S36" s="16"/>
      <c r="T36" s="79">
        <v>48</v>
      </c>
      <c r="U36" s="16"/>
      <c r="V36" s="16"/>
      <c r="W36" s="16"/>
      <c r="X36" s="16"/>
      <c r="Y36" s="16"/>
      <c r="Z36" s="16"/>
      <c r="AA36" t="s" s="96">
        <v>534</v>
      </c>
      <c r="AB36" t="s" s="96">
        <v>535</v>
      </c>
      <c r="AC36" s="79">
        <v>1</v>
      </c>
      <c r="AD36" s="16"/>
      <c r="AE36" s="16"/>
      <c r="AF36" s="79">
        <v>1</v>
      </c>
      <c r="AG36" t="s" s="96">
        <v>528</v>
      </c>
      <c r="AH36" s="16"/>
      <c r="AI36" t="s" s="96">
        <v>72</v>
      </c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</row>
    <row r="37" ht="15.35" customHeight="1">
      <c r="A37" t="s" s="96">
        <v>465</v>
      </c>
      <c r="B37" s="16"/>
      <c r="C37" s="79">
        <v>7</v>
      </c>
      <c r="D37" t="s" s="96">
        <v>461</v>
      </c>
      <c r="E37" s="16"/>
      <c r="F37" t="s" s="96">
        <v>531</v>
      </c>
      <c r="G37" t="s" s="96">
        <v>538</v>
      </c>
      <c r="H37" t="s" s="96">
        <v>109</v>
      </c>
      <c r="I37" s="79">
        <v>29</v>
      </c>
      <c r="J37" s="79">
        <v>1</v>
      </c>
      <c r="K37" s="16"/>
      <c r="L37" s="16"/>
      <c r="M37" s="16"/>
      <c r="N37" t="s" s="96">
        <v>11</v>
      </c>
      <c r="O37" s="16"/>
      <c r="P37" s="16"/>
      <c r="Q37" s="16"/>
      <c r="R37" s="16"/>
      <c r="S37" s="79">
        <v>1</v>
      </c>
      <c r="T37" s="79">
        <v>17</v>
      </c>
      <c r="U37" s="16"/>
      <c r="V37" s="16"/>
      <c r="W37" s="16"/>
      <c r="X37" s="16"/>
      <c r="Y37" s="16"/>
      <c r="Z37" s="16"/>
      <c r="AA37" t="s" s="96">
        <v>539</v>
      </c>
      <c r="AB37" s="16"/>
      <c r="AC37" s="79">
        <v>1</v>
      </c>
      <c r="AD37" t="s" s="96">
        <v>15</v>
      </c>
      <c r="AE37" s="16"/>
      <c r="AF37" s="16"/>
      <c r="AG37" t="s" s="96">
        <v>540</v>
      </c>
      <c r="AH37" s="16"/>
      <c r="AI37" t="s" s="96">
        <v>11</v>
      </c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</row>
    <row r="38" ht="15.35" customHeight="1">
      <c r="A38" t="s" s="96">
        <v>465</v>
      </c>
      <c r="B38" s="16"/>
      <c r="C38" s="79">
        <v>7</v>
      </c>
      <c r="D38" t="s" s="96">
        <v>461</v>
      </c>
      <c r="E38" s="16"/>
      <c r="F38" t="s" s="96">
        <v>531</v>
      </c>
      <c r="G38" t="s" s="96">
        <v>541</v>
      </c>
      <c r="H38" t="s" s="96">
        <v>542</v>
      </c>
      <c r="I38" s="79">
        <v>30</v>
      </c>
      <c r="J38" s="79">
        <v>1</v>
      </c>
      <c r="K38" s="16"/>
      <c r="L38" s="16"/>
      <c r="M38" s="16"/>
      <c r="N38" s="79">
        <v>1</v>
      </c>
      <c r="O38" s="16"/>
      <c r="P38" s="16"/>
      <c r="Q38" s="16"/>
      <c r="R38" s="16"/>
      <c r="S38" s="16"/>
      <c r="T38" s="79">
        <v>45</v>
      </c>
      <c r="U38" s="16"/>
      <c r="V38" s="16"/>
      <c r="W38" s="16"/>
      <c r="X38" s="16"/>
      <c r="Y38" s="16"/>
      <c r="Z38" s="16"/>
      <c r="AA38" t="s" s="96">
        <v>543</v>
      </c>
      <c r="AB38" s="16"/>
      <c r="AC38" s="79">
        <v>1</v>
      </c>
      <c r="AD38" s="79">
        <v>1</v>
      </c>
      <c r="AE38" s="16"/>
      <c r="AF38" s="16"/>
      <c r="AG38" t="s" s="96">
        <v>208</v>
      </c>
      <c r="AH38" s="16"/>
      <c r="AI38" s="79">
        <v>1</v>
      </c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</row>
    <row r="39" ht="15.35" customHeight="1">
      <c r="A39" t="s" s="96">
        <v>465</v>
      </c>
      <c r="B39" s="16"/>
      <c r="C39" s="79">
        <v>7</v>
      </c>
      <c r="D39" t="s" s="96">
        <v>461</v>
      </c>
      <c r="E39" s="16"/>
      <c r="F39" t="s" s="96">
        <v>531</v>
      </c>
      <c r="G39" t="s" s="96">
        <v>544</v>
      </c>
      <c r="H39" t="s" s="96">
        <v>545</v>
      </c>
      <c r="I39" s="79">
        <v>31</v>
      </c>
      <c r="J39" s="79">
        <v>1</v>
      </c>
      <c r="K39" s="16"/>
      <c r="L39" s="16"/>
      <c r="M39" s="16"/>
      <c r="N39" t="s" s="96">
        <v>546</v>
      </c>
      <c r="O39" s="16"/>
      <c r="P39" s="16"/>
      <c r="Q39" s="16"/>
      <c r="R39" s="79">
        <v>1</v>
      </c>
      <c r="S39" s="16"/>
      <c r="T39" s="79">
        <v>55</v>
      </c>
      <c r="U39" s="16"/>
      <c r="V39" s="16"/>
      <c r="W39" s="16"/>
      <c r="X39" s="16"/>
      <c r="Y39" s="16"/>
      <c r="Z39" s="16"/>
      <c r="AA39" t="s" s="96">
        <v>547</v>
      </c>
      <c r="AB39" t="s" s="96">
        <v>548</v>
      </c>
      <c r="AC39" s="79">
        <v>1</v>
      </c>
      <c r="AD39" s="16"/>
      <c r="AE39" s="16"/>
      <c r="AF39" s="16"/>
      <c r="AG39" t="s" s="96">
        <v>549</v>
      </c>
      <c r="AH39" s="16"/>
      <c r="AI39" t="s" s="96">
        <v>546</v>
      </c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</row>
    <row r="40" ht="15.35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5.35" customHeight="1">
      <c r="A41" t="s" s="96">
        <v>465</v>
      </c>
      <c r="B41" s="16"/>
      <c r="C41" s="79">
        <v>8</v>
      </c>
      <c r="D41" t="s" s="96">
        <v>461</v>
      </c>
      <c r="E41" s="16"/>
      <c r="F41" s="79">
        <v>3</v>
      </c>
      <c r="G41" t="s" s="96">
        <v>550</v>
      </c>
      <c r="H41" t="s" s="96">
        <v>551</v>
      </c>
      <c r="I41" s="79">
        <v>32</v>
      </c>
      <c r="J41" s="16"/>
      <c r="K41" s="79">
        <v>1</v>
      </c>
      <c r="L41" s="16"/>
      <c r="M41" s="16"/>
      <c r="N41" s="79">
        <v>1</v>
      </c>
      <c r="O41" s="16"/>
      <c r="P41" s="16"/>
      <c r="Q41" s="16"/>
      <c r="R41" s="16"/>
      <c r="S41" s="16"/>
      <c r="T41" s="79">
        <v>47</v>
      </c>
      <c r="U41" s="16"/>
      <c r="V41" s="16"/>
      <c r="W41" s="16"/>
      <c r="X41" s="16"/>
      <c r="Y41" s="16"/>
      <c r="Z41" s="16"/>
      <c r="AA41" t="s" s="96">
        <v>94</v>
      </c>
      <c r="AB41" s="16"/>
      <c r="AC41" s="16"/>
      <c r="AD41" t="s" s="96">
        <v>34</v>
      </c>
      <c r="AE41" s="16"/>
      <c r="AF41" s="16"/>
      <c r="AG41" t="s" s="96">
        <v>34</v>
      </c>
      <c r="AH41" s="16"/>
      <c r="AI41" s="79">
        <v>1</v>
      </c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5.35" customHeight="1">
      <c r="A42" t="s" s="96">
        <v>465</v>
      </c>
      <c r="B42" s="16"/>
      <c r="C42" s="79">
        <v>8</v>
      </c>
      <c r="D42" t="s" s="96">
        <v>461</v>
      </c>
      <c r="E42" s="16"/>
      <c r="F42" s="79">
        <v>3</v>
      </c>
      <c r="G42" t="s" s="96">
        <v>550</v>
      </c>
      <c r="H42" t="s" s="96">
        <v>552</v>
      </c>
      <c r="I42" s="79">
        <v>33</v>
      </c>
      <c r="J42" s="79">
        <v>1</v>
      </c>
      <c r="K42" s="16"/>
      <c r="L42" s="16"/>
      <c r="M42" s="16"/>
      <c r="N42" t="s" s="96">
        <v>72</v>
      </c>
      <c r="O42" s="79">
        <v>1</v>
      </c>
      <c r="P42" s="16"/>
      <c r="Q42" s="16"/>
      <c r="R42" s="16"/>
      <c r="S42" s="16"/>
      <c r="T42" s="79">
        <v>38</v>
      </c>
      <c r="U42" s="16"/>
      <c r="V42" s="16"/>
      <c r="W42" s="16"/>
      <c r="X42" s="16"/>
      <c r="Y42" s="16"/>
      <c r="Z42" s="16"/>
      <c r="AA42" t="s" s="96">
        <v>33</v>
      </c>
      <c r="AB42" s="16"/>
      <c r="AC42" s="16"/>
      <c r="AD42" t="s" s="96">
        <v>34</v>
      </c>
      <c r="AE42" s="16"/>
      <c r="AF42" s="16"/>
      <c r="AG42" t="s" s="96">
        <v>553</v>
      </c>
      <c r="AH42" s="16"/>
      <c r="AI42" t="s" s="96">
        <v>72</v>
      </c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5.35" customHeight="1">
      <c r="A43" t="s" s="96">
        <v>465</v>
      </c>
      <c r="B43" s="16"/>
      <c r="C43" s="79">
        <v>8</v>
      </c>
      <c r="D43" t="s" s="96">
        <v>461</v>
      </c>
      <c r="E43" s="16"/>
      <c r="F43" s="79">
        <v>3</v>
      </c>
      <c r="G43" t="s" s="96">
        <v>550</v>
      </c>
      <c r="H43" t="s" s="96">
        <v>554</v>
      </c>
      <c r="I43" s="79">
        <v>34</v>
      </c>
      <c r="J43" s="16"/>
      <c r="K43" s="16"/>
      <c r="L43" s="16"/>
      <c r="M43" s="79">
        <v>1</v>
      </c>
      <c r="N43" t="s" s="96">
        <v>36</v>
      </c>
      <c r="O43" s="16"/>
      <c r="P43" s="16"/>
      <c r="Q43" s="79">
        <v>1</v>
      </c>
      <c r="R43" s="16"/>
      <c r="S43" s="16"/>
      <c r="T43" s="79">
        <v>9</v>
      </c>
      <c r="U43" s="16"/>
      <c r="V43" s="16"/>
      <c r="W43" s="16"/>
      <c r="X43" s="16"/>
      <c r="Y43" s="16"/>
      <c r="Z43" s="16"/>
      <c r="AA43" t="s" s="96">
        <v>34</v>
      </c>
      <c r="AB43" s="16"/>
      <c r="AC43" s="16"/>
      <c r="AD43" t="s" s="96">
        <v>34</v>
      </c>
      <c r="AE43" s="16"/>
      <c r="AF43" s="16"/>
      <c r="AG43" t="s" s="96">
        <v>555</v>
      </c>
      <c r="AH43" s="16"/>
      <c r="AI43" t="s" s="96">
        <v>36</v>
      </c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</row>
    <row r="44" ht="15.35" customHeight="1">
      <c r="A44" t="s" s="96">
        <v>465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</row>
    <row r="45" ht="15.35" customHeight="1">
      <c r="A45" t="s" s="96">
        <v>465</v>
      </c>
      <c r="B45" s="16"/>
      <c r="C45" s="79">
        <v>9</v>
      </c>
      <c r="D45" t="s" s="96">
        <v>461</v>
      </c>
      <c r="E45" s="16"/>
      <c r="F45" s="79">
        <v>5</v>
      </c>
      <c r="G45" t="s" s="96">
        <v>556</v>
      </c>
      <c r="H45" t="s" s="96">
        <v>557</v>
      </c>
      <c r="I45" s="79">
        <v>35</v>
      </c>
      <c r="J45" s="79">
        <v>1</v>
      </c>
      <c r="K45" s="16"/>
      <c r="L45" s="16"/>
      <c r="M45" s="16"/>
      <c r="N45" s="79">
        <v>1</v>
      </c>
      <c r="O45" s="16"/>
      <c r="P45" s="16"/>
      <c r="Q45" s="16"/>
      <c r="R45" s="16"/>
      <c r="S45" s="16"/>
      <c r="T45" s="79">
        <v>40</v>
      </c>
      <c r="U45" s="16"/>
      <c r="V45" s="16"/>
      <c r="W45" s="79">
        <v>1</v>
      </c>
      <c r="X45" s="16"/>
      <c r="Y45" s="16"/>
      <c r="Z45" s="16"/>
      <c r="AA45" t="s" s="96">
        <v>33</v>
      </c>
      <c r="AB45" s="16"/>
      <c r="AC45" s="16"/>
      <c r="AD45" s="16"/>
      <c r="AE45" s="16"/>
      <c r="AF45" s="16"/>
      <c r="AG45" t="s" s="96">
        <v>558</v>
      </c>
      <c r="AH45" s="16"/>
      <c r="AI45" t="s" s="96">
        <v>559</v>
      </c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</row>
    <row r="46" ht="15.35" customHeight="1">
      <c r="A46" t="s" s="96">
        <v>465</v>
      </c>
      <c r="B46" s="16"/>
      <c r="C46" s="79">
        <v>9</v>
      </c>
      <c r="D46" t="s" s="96">
        <v>461</v>
      </c>
      <c r="E46" s="16"/>
      <c r="F46" s="79">
        <v>5</v>
      </c>
      <c r="G46" t="s" s="96">
        <v>556</v>
      </c>
      <c r="H46" t="s" s="96">
        <v>560</v>
      </c>
      <c r="I46" s="79">
        <v>36</v>
      </c>
      <c r="J46" s="16"/>
      <c r="K46" s="16"/>
      <c r="L46" s="16"/>
      <c r="M46" s="79">
        <v>1</v>
      </c>
      <c r="N46" t="s" s="96">
        <v>36</v>
      </c>
      <c r="O46" s="16"/>
      <c r="P46" s="16"/>
      <c r="Q46" s="79">
        <v>1</v>
      </c>
      <c r="R46" s="16"/>
      <c r="S46" s="16"/>
      <c r="T46" s="79">
        <v>9</v>
      </c>
      <c r="U46" s="16"/>
      <c r="V46" s="16"/>
      <c r="W46" s="16"/>
      <c r="X46" s="16"/>
      <c r="Y46" s="16"/>
      <c r="Z46" s="16"/>
      <c r="AA46" t="s" s="96">
        <v>34</v>
      </c>
      <c r="AB46" s="16"/>
      <c r="AC46" s="16"/>
      <c r="AD46" t="s" s="96">
        <v>34</v>
      </c>
      <c r="AE46" s="16"/>
      <c r="AF46" s="79">
        <v>1</v>
      </c>
      <c r="AG46" t="s" s="96">
        <v>13</v>
      </c>
      <c r="AH46" s="16"/>
      <c r="AI46" t="s" s="96">
        <v>36</v>
      </c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5.35" customHeight="1">
      <c r="A47" t="s" s="96">
        <v>465</v>
      </c>
      <c r="B47" s="16"/>
      <c r="C47" s="79">
        <v>9</v>
      </c>
      <c r="D47" t="s" s="96">
        <v>461</v>
      </c>
      <c r="E47" s="16"/>
      <c r="F47" s="79">
        <v>5</v>
      </c>
      <c r="G47" t="s" s="96">
        <v>556</v>
      </c>
      <c r="H47" t="s" s="96">
        <v>561</v>
      </c>
      <c r="I47" s="79">
        <v>37</v>
      </c>
      <c r="J47" s="79">
        <v>1</v>
      </c>
      <c r="K47" s="16"/>
      <c r="L47" s="16"/>
      <c r="M47" s="79">
        <v>1</v>
      </c>
      <c r="N47" t="s" s="96">
        <v>78</v>
      </c>
      <c r="O47" s="16"/>
      <c r="P47" s="79">
        <v>1</v>
      </c>
      <c r="Q47" s="16"/>
      <c r="R47" s="16"/>
      <c r="S47" s="16"/>
      <c r="T47" s="79">
        <v>8</v>
      </c>
      <c r="U47" s="16"/>
      <c r="V47" s="16"/>
      <c r="W47" s="16"/>
      <c r="X47" s="16"/>
      <c r="Y47" s="16"/>
      <c r="Z47" s="16"/>
      <c r="AA47" t="s" s="96">
        <v>34</v>
      </c>
      <c r="AB47" s="16"/>
      <c r="AC47" s="16"/>
      <c r="AD47" t="s" s="96">
        <v>34</v>
      </c>
      <c r="AE47" s="16"/>
      <c r="AF47" s="79">
        <v>1</v>
      </c>
      <c r="AG47" t="s" s="96">
        <v>13</v>
      </c>
      <c r="AH47" s="16"/>
      <c r="AI47" t="s" s="96">
        <v>78</v>
      </c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</row>
    <row r="48" ht="15.35" customHeight="1">
      <c r="A48" t="s" s="96">
        <v>465</v>
      </c>
      <c r="B48" s="16"/>
      <c r="C48" s="79">
        <v>9</v>
      </c>
      <c r="D48" t="s" s="96">
        <v>461</v>
      </c>
      <c r="E48" s="16"/>
      <c r="F48" s="79">
        <v>5</v>
      </c>
      <c r="G48" t="s" s="96">
        <v>562</v>
      </c>
      <c r="H48" t="s" s="96">
        <v>563</v>
      </c>
      <c r="I48" s="79">
        <v>38</v>
      </c>
      <c r="J48" s="79">
        <v>1</v>
      </c>
      <c r="K48" s="16"/>
      <c r="L48" s="16"/>
      <c r="M48" s="16"/>
      <c r="N48" t="s" s="96">
        <v>41</v>
      </c>
      <c r="O48" s="16"/>
      <c r="P48" s="16"/>
      <c r="Q48" s="16"/>
      <c r="R48" s="79">
        <v>1</v>
      </c>
      <c r="S48" s="16"/>
      <c r="T48" s="79">
        <v>78</v>
      </c>
      <c r="U48" s="16"/>
      <c r="V48" s="16"/>
      <c r="W48" s="16"/>
      <c r="X48" s="16"/>
      <c r="Y48" s="16"/>
      <c r="Z48" s="16"/>
      <c r="AA48" t="s" s="96">
        <v>34</v>
      </c>
      <c r="AB48" s="16"/>
      <c r="AC48" s="16"/>
      <c r="AD48" t="s" s="96">
        <v>34</v>
      </c>
      <c r="AE48" s="16"/>
      <c r="AF48" s="16"/>
      <c r="AG48" t="s" s="96">
        <v>564</v>
      </c>
      <c r="AH48" s="16"/>
      <c r="AI48" t="s" s="96">
        <v>41</v>
      </c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5.35" customHeight="1">
      <c r="A49" t="s" s="96">
        <v>465</v>
      </c>
      <c r="B49" s="16"/>
      <c r="C49" s="79">
        <v>9</v>
      </c>
      <c r="D49" t="s" s="96">
        <v>461</v>
      </c>
      <c r="E49" s="16"/>
      <c r="F49" s="79">
        <v>5</v>
      </c>
      <c r="G49" t="s" s="96">
        <v>565</v>
      </c>
      <c r="H49" t="s" s="96">
        <v>566</v>
      </c>
      <c r="I49" s="79">
        <v>39</v>
      </c>
      <c r="J49" s="79">
        <v>1</v>
      </c>
      <c r="K49" s="16"/>
      <c r="L49" s="16"/>
      <c r="M49" s="16"/>
      <c r="N49" t="s" s="96">
        <v>146</v>
      </c>
      <c r="O49" s="16"/>
      <c r="P49" s="16"/>
      <c r="Q49" s="16"/>
      <c r="R49" s="16"/>
      <c r="S49" s="79">
        <v>1</v>
      </c>
      <c r="T49" s="79">
        <v>26</v>
      </c>
      <c r="U49" s="16"/>
      <c r="V49" s="16"/>
      <c r="W49" s="16"/>
      <c r="X49" s="16"/>
      <c r="Y49" s="16"/>
      <c r="Z49" s="16"/>
      <c r="AA49" t="s" s="96">
        <v>146</v>
      </c>
      <c r="AB49" s="16"/>
      <c r="AC49" s="79">
        <v>1</v>
      </c>
      <c r="AD49" t="s" s="96">
        <v>15</v>
      </c>
      <c r="AE49" s="16"/>
      <c r="AF49" s="16"/>
      <c r="AG49" t="s" s="96">
        <v>567</v>
      </c>
      <c r="AH49" s="16"/>
      <c r="AI49" t="s" s="96">
        <v>146</v>
      </c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t="s" s="96">
        <v>465</v>
      </c>
      <c r="B50" s="16"/>
      <c r="C50" s="79">
        <v>9</v>
      </c>
      <c r="D50" t="s" s="96">
        <v>461</v>
      </c>
      <c r="E50" s="16"/>
      <c r="F50" s="79">
        <v>5</v>
      </c>
      <c r="G50" t="s" s="96">
        <v>568</v>
      </c>
      <c r="H50" t="s" s="96">
        <v>251</v>
      </c>
      <c r="I50" s="79">
        <v>40</v>
      </c>
      <c r="J50" s="79">
        <v>1</v>
      </c>
      <c r="K50" s="16"/>
      <c r="L50" s="16"/>
      <c r="M50" s="16"/>
      <c r="N50" t="s" s="96">
        <v>41</v>
      </c>
      <c r="O50" s="16"/>
      <c r="P50" s="16"/>
      <c r="Q50" s="16"/>
      <c r="R50" s="79">
        <v>1</v>
      </c>
      <c r="S50" s="16"/>
      <c r="T50" s="79">
        <v>58</v>
      </c>
      <c r="U50" s="16"/>
      <c r="V50" s="16"/>
      <c r="W50" s="16"/>
      <c r="X50" s="16"/>
      <c r="Y50" s="16"/>
      <c r="Z50" s="16"/>
      <c r="AA50" t="s" s="96">
        <v>105</v>
      </c>
      <c r="AB50" s="16"/>
      <c r="AC50" s="79">
        <v>1</v>
      </c>
      <c r="AD50" t="s" s="96">
        <v>15</v>
      </c>
      <c r="AE50" s="16"/>
      <c r="AF50" s="16"/>
      <c r="AG50" t="s" s="96">
        <v>569</v>
      </c>
      <c r="AH50" s="16"/>
      <c r="AI50" t="s" s="96">
        <v>41</v>
      </c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5.35" customHeight="1">
      <c r="A51" t="s" s="96">
        <v>465</v>
      </c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15.35" customHeight="1">
      <c r="A52" t="s" s="96">
        <v>465</v>
      </c>
      <c r="B52" s="16"/>
      <c r="C52" s="79">
        <v>10</v>
      </c>
      <c r="D52" t="s" s="96">
        <v>461</v>
      </c>
      <c r="E52" s="16"/>
      <c r="F52" s="79">
        <v>6</v>
      </c>
      <c r="G52" t="s" s="96">
        <v>570</v>
      </c>
      <c r="H52" t="s" s="96">
        <v>366</v>
      </c>
      <c r="I52" s="79">
        <v>41</v>
      </c>
      <c r="J52" s="79">
        <v>1</v>
      </c>
      <c r="K52" s="16"/>
      <c r="L52" s="16"/>
      <c r="M52" s="16"/>
      <c r="N52" t="s" s="96">
        <v>11</v>
      </c>
      <c r="O52" s="16"/>
      <c r="P52" s="16"/>
      <c r="Q52" s="16"/>
      <c r="R52" s="16"/>
      <c r="S52" s="79">
        <v>1</v>
      </c>
      <c r="T52" s="79">
        <v>32</v>
      </c>
      <c r="U52" s="16"/>
      <c r="V52" s="16"/>
      <c r="W52" s="16"/>
      <c r="X52" s="16"/>
      <c r="Y52" s="16"/>
      <c r="Z52" s="16"/>
      <c r="AA52" t="s" s="96">
        <v>45</v>
      </c>
      <c r="AB52" s="16"/>
      <c r="AC52" s="79">
        <v>1</v>
      </c>
      <c r="AD52" t="s" s="96">
        <v>15</v>
      </c>
      <c r="AE52" s="16"/>
      <c r="AF52" s="16"/>
      <c r="AG52" t="s" s="96">
        <v>118</v>
      </c>
      <c r="AH52" s="16"/>
      <c r="AI52" t="s" s="96">
        <v>11</v>
      </c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5.35" customHeight="1">
      <c r="A53" t="s" s="96">
        <v>465</v>
      </c>
      <c r="B53" s="16"/>
      <c r="C53" s="79">
        <v>10</v>
      </c>
      <c r="D53" t="s" s="96">
        <v>461</v>
      </c>
      <c r="E53" s="16"/>
      <c r="F53" s="79">
        <v>6</v>
      </c>
      <c r="G53" t="s" s="96">
        <v>570</v>
      </c>
      <c r="H53" t="s" s="96">
        <v>321</v>
      </c>
      <c r="I53" s="79">
        <v>42</v>
      </c>
      <c r="J53" s="16"/>
      <c r="K53" s="16"/>
      <c r="L53" s="16"/>
      <c r="M53" s="16"/>
      <c r="N53" t="s" s="96">
        <v>11</v>
      </c>
      <c r="O53" s="16"/>
      <c r="P53" s="16"/>
      <c r="Q53" s="16"/>
      <c r="R53" s="16"/>
      <c r="S53" s="79">
        <v>1</v>
      </c>
      <c r="T53" s="79">
        <v>21</v>
      </c>
      <c r="U53" s="16"/>
      <c r="V53" s="16"/>
      <c r="W53" s="16"/>
      <c r="X53" s="16"/>
      <c r="Y53" s="16"/>
      <c r="Z53" s="16"/>
      <c r="AA53" t="s" s="96">
        <v>89</v>
      </c>
      <c r="AB53" s="16"/>
      <c r="AC53" s="79">
        <v>1</v>
      </c>
      <c r="AD53" t="s" s="96">
        <v>15</v>
      </c>
      <c r="AE53" s="16"/>
      <c r="AF53" s="16"/>
      <c r="AG53" t="s" s="96">
        <v>118</v>
      </c>
      <c r="AH53" s="16"/>
      <c r="AI53" t="s" s="96">
        <v>11</v>
      </c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15.35" customHeight="1">
      <c r="A54" t="s" s="96">
        <v>465</v>
      </c>
      <c r="B54" s="16"/>
      <c r="C54" s="79">
        <v>10</v>
      </c>
      <c r="D54" s="16"/>
      <c r="E54" s="16"/>
      <c r="F54" s="16"/>
      <c r="G54" s="16"/>
      <c r="H54" s="16"/>
      <c r="I54" s="79" cm="1">
        <f t="array" ref="I54">I53</f>
        <v>42</v>
      </c>
      <c r="J54" s="79" cm="1">
        <f t="array" ref="J54">SUM(J3:J53)</f>
        <v>29</v>
      </c>
      <c r="K54" s="79" cm="1">
        <f t="array" ref="K54">SUM(K3:K53)</f>
        <v>10</v>
      </c>
      <c r="L54" s="79" cm="1">
        <f t="array" ref="L54">SUM(L3:L53)</f>
        <v>0</v>
      </c>
      <c r="M54" s="79" cm="1">
        <f t="array" ref="M54">SUM(M3:M53)</f>
        <v>3</v>
      </c>
      <c r="N54" s="79" cm="1">
        <f t="array" ref="N54">SUM(N3:N53)</f>
        <v>11</v>
      </c>
      <c r="O54" s="79" cm="1">
        <f t="array" ref="O54">SUM(O3:O53)</f>
        <v>5</v>
      </c>
      <c r="P54" s="79" cm="1">
        <f t="array" ref="P54">SUM(P3:P53)</f>
        <v>2</v>
      </c>
      <c r="Q54" s="79" cm="1">
        <f t="array" ref="Q54">SUM(Q3:Q53)</f>
        <v>2</v>
      </c>
      <c r="R54" s="79" cm="1">
        <f t="array" ref="R54">SUM(R3:R53)</f>
        <v>8</v>
      </c>
      <c r="S54" s="79" cm="1">
        <f t="array" ref="S54">SUM(S3:S53)</f>
        <v>14</v>
      </c>
      <c r="T54" s="79" cm="1">
        <f t="array" ref="T54">SUM(T3:T53)</f>
        <v>1718</v>
      </c>
      <c r="U54" s="79" cm="1">
        <f t="array" ref="U54">SUM(AG3:AG53)</f>
        <v>0</v>
      </c>
      <c r="V54" s="79" cm="1">
        <f t="array" ref="V54">SUM(AA3:AA53)</f>
        <v>0</v>
      </c>
      <c r="W54" s="79" cm="1">
        <f t="array" ref="W54">SUM(AD3:AD53)</f>
        <v>5</v>
      </c>
      <c r="X54" s="79" cm="1">
        <f t="array" ref="X54">SUM(X3:X53)</f>
        <v>0</v>
      </c>
      <c r="Y54" s="79" cm="1">
        <f t="array" ref="Y54">SUM(Y3:Y53)</f>
        <v>0</v>
      </c>
      <c r="Z54" s="79" cm="1">
        <f t="array" ref="Z54">SUM(Z3:Z53)</f>
        <v>0</v>
      </c>
      <c r="AA54" s="16"/>
      <c r="AB54" s="79" cm="1">
        <f t="array" ref="AB54">SUM(AB3:AB53)</f>
        <v>0</v>
      </c>
      <c r="AC54" s="79" cm="1">
        <f t="array" ref="AC54">SUM(AC3:AC53)</f>
        <v>28</v>
      </c>
      <c r="AD54" s="79" cm="1">
        <f t="array" ref="AD54">SUM(AD3:AD53)</f>
        <v>5</v>
      </c>
      <c r="AE54" s="79" cm="1">
        <f t="array" ref="AE54">AC54-AD54</f>
        <v>23</v>
      </c>
      <c r="AF54" s="79" cm="1">
        <f t="array" ref="AF54">SUM(AF3:AF53)</f>
        <v>17</v>
      </c>
      <c r="AG54" s="79" cm="1">
        <f t="array" ref="AG54">N55-AF54</f>
        <v>-17</v>
      </c>
      <c r="AH54" s="16"/>
      <c r="AI54" s="99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15.35" customHeight="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99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</row>
    <row r="56" ht="15.3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</row>
    <row r="57" ht="15.35" customHeight="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</row>
    <row r="58" ht="15.3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</row>
    <row r="59" ht="15.35" customHeight="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</row>
    <row r="60" ht="15.35" customHeight="1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5.35" customHeight="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15.3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15.3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</row>
    <row r="65" ht="15.3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</row>
    <row r="66" ht="15.3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15.3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15.3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15.3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15.3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15.3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15.3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</row>
    <row r="73" ht="15.3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</row>
    <row r="74" ht="15.3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</row>
    <row r="75" ht="15.3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</row>
    <row r="76" ht="15.3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</row>
    <row r="77" ht="15.3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</row>
    <row r="78" ht="15.3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</row>
    <row r="79" ht="15.3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</row>
    <row r="80" ht="15.3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</row>
    <row r="81" ht="15.3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</row>
    <row r="82" ht="15.3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</row>
    <row r="83" ht="15.3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</row>
    <row r="84" ht="15.3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</row>
    <row r="85" ht="15.3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</row>
    <row r="86" ht="15.3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5.3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</row>
    <row r="88" ht="15.3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15.3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15.3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</row>
    <row r="91" ht="15.3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5.3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15.3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</row>
    <row r="94" ht="15.3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</row>
    <row r="95" ht="15.3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</row>
    <row r="96" ht="15.3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</row>
    <row r="97" ht="15.3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</row>
    <row r="98" ht="15.3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</row>
    <row r="99" ht="15.3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</row>
    <row r="100" ht="15.3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</row>
    <row r="101" ht="15.3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</row>
    <row r="102" ht="15.3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</row>
    <row r="103" ht="15.3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</row>
    <row r="104" ht="15.3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</row>
    <row r="105" ht="15.3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</row>
    <row r="106" ht="15.3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</row>
    <row r="107" ht="15.3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</row>
    <row r="108" ht="15.3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</row>
    <row r="109" ht="15.3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</row>
    <row r="110" ht="15.3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</row>
    <row r="111" ht="15.3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</row>
    <row r="112" ht="15.3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</row>
    <row r="113" ht="15.3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</row>
    <row r="114" ht="15.3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</row>
    <row r="115" ht="15.3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</row>
    <row r="116" ht="15.3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</row>
    <row r="117" ht="15.3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</row>
    <row r="118" ht="15.3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</row>
    <row r="119" ht="15.3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</row>
    <row r="120" ht="15.3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</row>
    <row r="121" ht="15.3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</row>
    <row r="122" ht="15.3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</row>
    <row r="123" ht="15.3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</row>
    <row r="124" ht="15.3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</row>
    <row r="125" ht="15.3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</row>
    <row r="126" ht="15.3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</row>
    <row r="127" ht="15.3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</row>
    <row r="128" ht="15.3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</row>
    <row r="129" ht="15.3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BC169"/>
  <sheetViews>
    <sheetView workbookViewId="0" showGridLines="0" defaultGridColor="1"/>
  </sheetViews>
  <sheetFormatPr defaultColWidth="10.8333" defaultRowHeight="16" customHeight="1" outlineLevelRow="0" outlineLevelCol="0"/>
  <cols>
    <col min="1" max="55" width="10.8516" style="100" customWidth="1"/>
    <col min="56" max="16384" width="10.8516" style="100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89"/>
      <c r="D2" s="89"/>
      <c r="E2" t="s" s="90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5.35" customHeight="1">
      <c r="A3" t="s" s="96">
        <v>571</v>
      </c>
      <c r="B3" s="79">
        <v>1921</v>
      </c>
      <c r="C3" s="79">
        <v>1</v>
      </c>
      <c r="D3" t="s" s="96">
        <v>572</v>
      </c>
      <c r="E3" s="16"/>
      <c r="F3" t="s" s="98">
        <v>573</v>
      </c>
      <c r="G3" t="s" s="98">
        <v>524</v>
      </c>
      <c r="H3" t="s" s="98">
        <v>574</v>
      </c>
      <c r="I3" s="97">
        <v>1</v>
      </c>
      <c r="J3" t="s" s="98">
        <v>37</v>
      </c>
      <c r="K3" s="97">
        <v>1</v>
      </c>
      <c r="L3" s="62"/>
      <c r="M3" s="62"/>
      <c r="N3" s="79">
        <v>1</v>
      </c>
      <c r="O3" s="62"/>
      <c r="P3" s="62"/>
      <c r="Q3" s="62"/>
      <c r="R3" s="62"/>
      <c r="S3" s="62"/>
      <c r="T3" s="79">
        <v>54</v>
      </c>
      <c r="U3" s="16"/>
      <c r="V3" s="16"/>
      <c r="W3" s="62"/>
      <c r="X3" s="62"/>
      <c r="Y3" s="62"/>
      <c r="Z3" s="62"/>
      <c r="AA3" t="s" s="98">
        <v>575</v>
      </c>
      <c r="AB3" t="s" s="98">
        <v>576</v>
      </c>
      <c r="AC3" s="97">
        <v>1</v>
      </c>
      <c r="AD3" s="62"/>
      <c r="AE3" s="62"/>
      <c r="AF3" t="s" s="98">
        <v>54</v>
      </c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/>
      <c r="AW3" s="62"/>
      <c r="AX3" s="62"/>
      <c r="AY3" s="62"/>
      <c r="AZ3" s="62"/>
      <c r="BA3" s="62"/>
      <c r="BB3" s="62"/>
      <c r="BC3" s="62"/>
    </row>
    <row r="4" ht="15.35" customHeight="1">
      <c r="A4" t="s" s="96">
        <v>571</v>
      </c>
      <c r="B4" s="79">
        <v>1921</v>
      </c>
      <c r="C4" s="16"/>
      <c r="D4" t="s" s="96">
        <v>572</v>
      </c>
      <c r="E4" s="16"/>
      <c r="F4" t="s" s="96">
        <v>573</v>
      </c>
      <c r="G4" t="s" s="96">
        <v>524</v>
      </c>
      <c r="H4" t="s" s="96">
        <v>577</v>
      </c>
      <c r="I4" s="79">
        <v>2</v>
      </c>
      <c r="J4" s="79">
        <v>1</v>
      </c>
      <c r="K4" s="16"/>
      <c r="L4" s="16"/>
      <c r="M4" s="16"/>
      <c r="N4" t="s" s="96">
        <v>72</v>
      </c>
      <c r="O4" s="79">
        <v>1</v>
      </c>
      <c r="P4" s="16"/>
      <c r="Q4" s="16"/>
      <c r="R4" s="16"/>
      <c r="S4" s="16"/>
      <c r="T4" s="79">
        <v>49</v>
      </c>
      <c r="U4" s="16"/>
      <c r="V4" s="16"/>
      <c r="W4" s="16"/>
      <c r="X4" s="16"/>
      <c r="Y4" s="16"/>
      <c r="Z4" s="16"/>
      <c r="AA4" t="s" s="96">
        <v>33</v>
      </c>
      <c r="AB4" t="s" s="96">
        <v>34</v>
      </c>
      <c r="AC4" s="16"/>
      <c r="AD4" s="16"/>
      <c r="AE4" s="16"/>
      <c r="AF4" t="s" s="96">
        <v>54</v>
      </c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</row>
    <row r="5" ht="15.35" customHeight="1">
      <c r="A5" t="s" s="96">
        <v>571</v>
      </c>
      <c r="B5" s="79">
        <v>1921</v>
      </c>
      <c r="C5" s="16"/>
      <c r="D5" t="s" s="96">
        <v>572</v>
      </c>
      <c r="E5" s="16"/>
      <c r="F5" t="s" s="96">
        <v>573</v>
      </c>
      <c r="G5" t="s" s="96">
        <v>524</v>
      </c>
      <c r="H5" t="s" s="96">
        <v>578</v>
      </c>
      <c r="I5" s="79">
        <v>3</v>
      </c>
      <c r="J5" s="79">
        <v>1</v>
      </c>
      <c r="K5" s="16"/>
      <c r="L5" s="16"/>
      <c r="M5" s="16"/>
      <c r="N5" t="s" s="96">
        <v>78</v>
      </c>
      <c r="O5" s="16"/>
      <c r="P5" s="79">
        <v>1</v>
      </c>
      <c r="Q5" s="16"/>
      <c r="R5" s="16"/>
      <c r="S5" s="16"/>
      <c r="T5" s="79">
        <v>18</v>
      </c>
      <c r="U5" s="16"/>
      <c r="V5" s="16"/>
      <c r="W5" s="16"/>
      <c r="X5" s="16"/>
      <c r="Y5" s="16"/>
      <c r="Z5" s="16"/>
      <c r="AA5" t="s" s="96">
        <v>33</v>
      </c>
      <c r="AB5" t="s" s="96">
        <v>34</v>
      </c>
      <c r="AC5" s="16"/>
      <c r="AD5" s="16"/>
      <c r="AE5" s="16"/>
      <c r="AF5" t="s" s="96">
        <v>54</v>
      </c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</row>
    <row r="6" ht="15.35" customHeight="1">
      <c r="A6" t="s" s="96">
        <v>571</v>
      </c>
      <c r="B6" s="79">
        <v>1921</v>
      </c>
      <c r="C6" s="16"/>
      <c r="D6" t="s" s="96">
        <v>572</v>
      </c>
      <c r="E6" s="79">
        <v>4</v>
      </c>
      <c r="F6" t="s" s="96">
        <v>573</v>
      </c>
      <c r="G6" t="s" s="96">
        <v>579</v>
      </c>
      <c r="H6" t="s" s="96">
        <v>580</v>
      </c>
      <c r="I6" s="79">
        <v>4</v>
      </c>
      <c r="J6" s="79">
        <v>1</v>
      </c>
      <c r="K6" s="16"/>
      <c r="L6" s="16"/>
      <c r="M6" s="16"/>
      <c r="N6" t="s" s="96">
        <v>11</v>
      </c>
      <c r="O6" s="16"/>
      <c r="P6" s="16"/>
      <c r="Q6" s="16"/>
      <c r="R6" s="16"/>
      <c r="S6" s="79">
        <v>1</v>
      </c>
      <c r="T6" s="79">
        <v>23</v>
      </c>
      <c r="U6" s="16"/>
      <c r="V6" s="16"/>
      <c r="W6" s="16"/>
      <c r="X6" s="16"/>
      <c r="Y6" s="16"/>
      <c r="Z6" s="16"/>
      <c r="AA6" t="s" s="96">
        <v>105</v>
      </c>
      <c r="AB6" t="s" s="96">
        <v>15</v>
      </c>
      <c r="AC6" s="79">
        <v>1</v>
      </c>
      <c r="AD6" s="16"/>
      <c r="AE6" s="16"/>
      <c r="AF6" t="s" s="96">
        <v>472</v>
      </c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</row>
    <row r="7" ht="15.35" customHeight="1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</row>
    <row r="8" ht="15.35" customHeight="1">
      <c r="A8" t="s" s="96">
        <v>571</v>
      </c>
      <c r="B8" s="79">
        <v>1921</v>
      </c>
      <c r="C8" s="79">
        <v>2</v>
      </c>
      <c r="D8" t="s" s="96">
        <v>572</v>
      </c>
      <c r="E8" s="16"/>
      <c r="F8" s="79">
        <v>1</v>
      </c>
      <c r="G8" t="s" s="96">
        <v>581</v>
      </c>
      <c r="H8" t="s" s="96">
        <v>582</v>
      </c>
      <c r="I8" s="79">
        <v>5</v>
      </c>
      <c r="J8" s="79">
        <v>1</v>
      </c>
      <c r="K8" s="16"/>
      <c r="L8" s="16"/>
      <c r="M8" s="16"/>
      <c r="N8" s="79">
        <v>1</v>
      </c>
      <c r="O8" s="16"/>
      <c r="P8" s="16"/>
      <c r="Q8" s="16"/>
      <c r="R8" s="16"/>
      <c r="S8" s="16"/>
      <c r="T8" s="79">
        <v>33</v>
      </c>
      <c r="U8" s="16"/>
      <c r="V8" s="16"/>
      <c r="W8" s="16"/>
      <c r="X8" s="16"/>
      <c r="Y8" s="16"/>
      <c r="Z8" s="16"/>
      <c r="AA8" t="s" s="96">
        <v>583</v>
      </c>
      <c r="AB8" t="s" s="96">
        <v>584</v>
      </c>
      <c r="AC8" s="79">
        <v>1</v>
      </c>
      <c r="AD8" s="16"/>
      <c r="AE8" s="16"/>
      <c r="AF8" t="s" s="96">
        <v>54</v>
      </c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</row>
    <row r="9" ht="15.35" customHeight="1">
      <c r="A9" t="s" s="96">
        <v>571</v>
      </c>
      <c r="B9" s="79">
        <v>1921</v>
      </c>
      <c r="C9" s="16"/>
      <c r="D9" t="s" s="96">
        <v>572</v>
      </c>
      <c r="E9" s="79">
        <v>2</v>
      </c>
      <c r="F9" s="79">
        <v>1</v>
      </c>
      <c r="G9" t="s" s="96">
        <v>585</v>
      </c>
      <c r="H9" t="s" s="96">
        <v>586</v>
      </c>
      <c r="I9" s="79">
        <v>6</v>
      </c>
      <c r="J9" s="79">
        <v>1</v>
      </c>
      <c r="K9" s="16"/>
      <c r="L9" s="16"/>
      <c r="M9" s="16"/>
      <c r="N9" t="s" s="96">
        <v>41</v>
      </c>
      <c r="O9" s="16"/>
      <c r="P9" s="16"/>
      <c r="Q9" s="16"/>
      <c r="R9" s="79">
        <v>1</v>
      </c>
      <c r="S9" s="16"/>
      <c r="T9" s="79">
        <v>32</v>
      </c>
      <c r="U9" s="16"/>
      <c r="V9" s="16"/>
      <c r="W9" s="16"/>
      <c r="X9" s="16"/>
      <c r="Y9" s="16"/>
      <c r="Z9" s="16"/>
      <c r="AA9" t="s" s="96">
        <v>583</v>
      </c>
      <c r="AB9" t="s" s="96">
        <v>587</v>
      </c>
      <c r="AC9" s="79">
        <v>1</v>
      </c>
      <c r="AD9" s="16"/>
      <c r="AE9" s="16"/>
      <c r="AF9" t="s" s="96">
        <v>54</v>
      </c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</row>
    <row r="10" ht="15.35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</row>
    <row r="11" ht="15.35" customHeight="1">
      <c r="A11" t="s" s="96">
        <v>571</v>
      </c>
      <c r="B11" s="79">
        <v>1921</v>
      </c>
      <c r="C11" s="79">
        <v>3</v>
      </c>
      <c r="D11" t="s" s="96">
        <v>572</v>
      </c>
      <c r="E11" s="16"/>
      <c r="F11" s="79">
        <v>2</v>
      </c>
      <c r="G11" t="s" s="96">
        <v>386</v>
      </c>
      <c r="H11" t="s" s="96">
        <v>588</v>
      </c>
      <c r="I11" s="79">
        <v>7</v>
      </c>
      <c r="J11" t="s" s="96">
        <v>37</v>
      </c>
      <c r="K11" s="79">
        <v>1</v>
      </c>
      <c r="L11" s="16"/>
      <c r="M11" s="16"/>
      <c r="N11" s="79">
        <v>1</v>
      </c>
      <c r="O11" s="16"/>
      <c r="P11" s="16"/>
      <c r="Q11" s="16"/>
      <c r="R11" s="16"/>
      <c r="S11" s="16"/>
      <c r="T11" s="79">
        <v>52</v>
      </c>
      <c r="U11" s="16"/>
      <c r="V11" s="16"/>
      <c r="W11" s="16"/>
      <c r="X11" s="16"/>
      <c r="Y11" s="16"/>
      <c r="Z11" s="16"/>
      <c r="AA11" t="s" s="96">
        <v>589</v>
      </c>
      <c r="AB11" t="s" s="96">
        <v>590</v>
      </c>
      <c r="AC11" s="79">
        <v>1</v>
      </c>
      <c r="AD11" s="16"/>
      <c r="AE11" s="16"/>
      <c r="AF11" t="s" s="96">
        <v>13</v>
      </c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</row>
    <row r="12" ht="15.35" customHeight="1">
      <c r="A12" t="s" s="96">
        <v>571</v>
      </c>
      <c r="B12" s="79">
        <v>1921</v>
      </c>
      <c r="C12" s="16"/>
      <c r="D12" t="s" s="96">
        <v>572</v>
      </c>
      <c r="E12" s="79">
        <v>2</v>
      </c>
      <c r="F12" s="16"/>
      <c r="G12" t="s" s="96">
        <v>386</v>
      </c>
      <c r="H12" t="s" s="96">
        <v>591</v>
      </c>
      <c r="I12" s="79">
        <v>8</v>
      </c>
      <c r="J12" s="79">
        <v>1</v>
      </c>
      <c r="K12" s="16"/>
      <c r="L12" s="16"/>
      <c r="M12" s="16"/>
      <c r="N12" t="s" s="96">
        <v>72</v>
      </c>
      <c r="O12" s="79">
        <v>1</v>
      </c>
      <c r="P12" s="16"/>
      <c r="Q12" s="16"/>
      <c r="R12" s="16"/>
      <c r="S12" s="16"/>
      <c r="T12" s="79">
        <v>53</v>
      </c>
      <c r="U12" s="16"/>
      <c r="V12" s="16"/>
      <c r="W12" s="16"/>
      <c r="X12" s="16"/>
      <c r="Y12" s="16"/>
      <c r="Z12" s="16"/>
      <c r="AA12" t="s" s="96">
        <v>33</v>
      </c>
      <c r="AB12" t="s" s="96">
        <v>34</v>
      </c>
      <c r="AC12" s="16"/>
      <c r="AD12" s="16"/>
      <c r="AE12" s="16"/>
      <c r="AF12" t="s" s="96">
        <v>13</v>
      </c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</row>
    <row r="13" ht="15.35" customHeight="1">
      <c r="A13" s="16"/>
      <c r="B13" s="16"/>
      <c r="C13" s="3"/>
      <c r="D13" s="16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16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ht="15.35" customHeight="1">
      <c r="A14" t="s" s="101">
        <v>571</v>
      </c>
      <c r="B14" s="102">
        <v>1921</v>
      </c>
      <c r="C14" s="6">
        <v>4</v>
      </c>
      <c r="D14" t="s" s="103">
        <v>572</v>
      </c>
      <c r="E14" s="6">
        <v>1</v>
      </c>
      <c r="F14" s="6">
        <v>3</v>
      </c>
      <c r="G14" t="s" s="5">
        <v>592</v>
      </c>
      <c r="H14" t="s" s="5">
        <v>593</v>
      </c>
      <c r="I14" s="6">
        <v>9</v>
      </c>
      <c r="J14" s="6">
        <v>1</v>
      </c>
      <c r="K14" s="13"/>
      <c r="L14" s="13"/>
      <c r="M14" s="13"/>
      <c r="N14" s="6">
        <v>1</v>
      </c>
      <c r="O14" s="13"/>
      <c r="P14" s="13"/>
      <c r="Q14" s="13"/>
      <c r="R14" s="13"/>
      <c r="S14" s="13"/>
      <c r="T14" s="6">
        <v>42</v>
      </c>
      <c r="U14" s="13"/>
      <c r="V14" s="6">
        <v>1</v>
      </c>
      <c r="W14" s="13"/>
      <c r="X14" s="13"/>
      <c r="Y14" s="13"/>
      <c r="Z14" s="13"/>
      <c r="AA14" t="s" s="103">
        <v>594</v>
      </c>
      <c r="AB14" s="13"/>
      <c r="AC14" s="6">
        <v>1</v>
      </c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A14" s="13"/>
      <c r="BB14" s="13"/>
      <c r="BC14" s="10"/>
    </row>
    <row r="15" ht="15.35" customHeight="1">
      <c r="A15" s="16"/>
      <c r="B15" s="16"/>
      <c r="C15" s="14"/>
      <c r="D15" s="16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6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</row>
    <row r="16" ht="15.35" customHeight="1">
      <c r="A16" t="s" s="96">
        <v>571</v>
      </c>
      <c r="B16" s="79">
        <v>1921</v>
      </c>
      <c r="C16" s="79">
        <v>5</v>
      </c>
      <c r="D16" t="s" s="96">
        <v>572</v>
      </c>
      <c r="E16" s="16"/>
      <c r="F16" s="79">
        <v>6</v>
      </c>
      <c r="G16" t="s" s="96">
        <v>595</v>
      </c>
      <c r="H16" t="s" s="96">
        <v>406</v>
      </c>
      <c r="I16" s="79">
        <v>10</v>
      </c>
      <c r="J16" s="79">
        <v>1</v>
      </c>
      <c r="K16" s="16"/>
      <c r="L16" s="16"/>
      <c r="M16" s="16"/>
      <c r="N16" s="79">
        <v>1</v>
      </c>
      <c r="O16" s="16"/>
      <c r="P16" s="16"/>
      <c r="Q16" s="16"/>
      <c r="R16" s="16"/>
      <c r="S16" s="16"/>
      <c r="T16" s="79">
        <v>86</v>
      </c>
      <c r="U16" s="16"/>
      <c r="V16" s="16"/>
      <c r="W16" s="16"/>
      <c r="X16" s="16"/>
      <c r="Y16" s="16"/>
      <c r="Z16" s="16"/>
      <c r="AA16" t="s" s="96">
        <v>596</v>
      </c>
      <c r="AB16" t="s" s="96">
        <v>34</v>
      </c>
      <c r="AC16" s="16"/>
      <c r="AD16" s="16"/>
      <c r="AE16" s="16"/>
      <c r="AF16" t="s" s="96">
        <v>54</v>
      </c>
      <c r="AG16" s="16"/>
      <c r="AH16" s="16"/>
      <c r="AI16" s="16"/>
      <c r="AJ16" s="16"/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</row>
    <row r="17" ht="15.35" customHeight="1">
      <c r="A17" t="s" s="96">
        <v>571</v>
      </c>
      <c r="B17" s="79">
        <v>1921</v>
      </c>
      <c r="C17" s="16"/>
      <c r="D17" t="s" s="96">
        <v>572</v>
      </c>
      <c r="E17" s="79">
        <v>2</v>
      </c>
      <c r="F17" s="79">
        <v>6</v>
      </c>
      <c r="G17" t="s" s="96">
        <v>597</v>
      </c>
      <c r="H17" t="s" s="96">
        <v>598</v>
      </c>
      <c r="I17" s="79">
        <v>11</v>
      </c>
      <c r="J17" s="79">
        <v>1</v>
      </c>
      <c r="K17" s="16"/>
      <c r="L17" s="16"/>
      <c r="M17" s="16"/>
      <c r="N17" t="s" s="96">
        <v>11</v>
      </c>
      <c r="O17" s="16"/>
      <c r="P17" s="16"/>
      <c r="Q17" s="16"/>
      <c r="R17" s="16"/>
      <c r="S17" s="79">
        <v>1</v>
      </c>
      <c r="T17" s="79">
        <v>46</v>
      </c>
      <c r="U17" s="16"/>
      <c r="V17" s="16"/>
      <c r="W17" s="16"/>
      <c r="X17" s="16"/>
      <c r="Y17" s="16"/>
      <c r="Z17" s="16"/>
      <c r="AA17" t="s" s="96">
        <v>11</v>
      </c>
      <c r="AB17" t="s" s="96">
        <v>15</v>
      </c>
      <c r="AC17" s="79">
        <v>1</v>
      </c>
      <c r="AD17" s="16"/>
      <c r="AE17" s="16"/>
      <c r="AF17" t="s" s="96">
        <v>599</v>
      </c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</row>
    <row r="18" ht="15.35" customHeight="1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</row>
    <row r="19" ht="15.35" customHeight="1">
      <c r="A19" t="s" s="96">
        <v>571</v>
      </c>
      <c r="B19" s="79">
        <v>1921</v>
      </c>
      <c r="C19" s="79">
        <v>6</v>
      </c>
      <c r="D19" t="s" s="96">
        <v>572</v>
      </c>
      <c r="E19" s="16"/>
      <c r="F19" s="79">
        <v>8</v>
      </c>
      <c r="G19" t="s" s="96">
        <v>600</v>
      </c>
      <c r="H19" t="s" s="96">
        <v>601</v>
      </c>
      <c r="I19" s="79">
        <v>12</v>
      </c>
      <c r="J19" t="s" s="96">
        <v>37</v>
      </c>
      <c r="K19" s="79">
        <v>1</v>
      </c>
      <c r="L19" s="16"/>
      <c r="M19" s="16"/>
      <c r="N19" s="79">
        <v>1</v>
      </c>
      <c r="O19" s="16"/>
      <c r="P19" s="16"/>
      <c r="Q19" s="16"/>
      <c r="R19" s="16"/>
      <c r="S19" s="16"/>
      <c r="T19" s="79">
        <v>54</v>
      </c>
      <c r="U19" s="16"/>
      <c r="V19" s="16"/>
      <c r="W19" s="16"/>
      <c r="X19" s="16"/>
      <c r="Y19" s="16"/>
      <c r="Z19" s="16"/>
      <c r="AA19" t="s" s="96">
        <v>602</v>
      </c>
      <c r="AB19" t="s" s="96">
        <v>603</v>
      </c>
      <c r="AC19" s="79">
        <v>1</v>
      </c>
      <c r="AD19" s="16"/>
      <c r="AE19" s="16"/>
      <c r="AF19" t="s" s="96">
        <v>84</v>
      </c>
      <c r="AG19" s="79">
        <v>1</v>
      </c>
      <c r="AH19" s="16"/>
      <c r="AI19" s="16"/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</row>
    <row r="20" ht="15.35" customHeight="1">
      <c r="A20" t="s" s="96">
        <v>571</v>
      </c>
      <c r="B20" s="79">
        <v>1921</v>
      </c>
      <c r="C20" s="16"/>
      <c r="D20" t="s" s="96">
        <v>572</v>
      </c>
      <c r="E20" s="16"/>
      <c r="F20" s="79">
        <v>8</v>
      </c>
      <c r="G20" t="s" s="96">
        <v>600</v>
      </c>
      <c r="H20" t="s" s="96">
        <v>406</v>
      </c>
      <c r="I20" s="79">
        <v>13</v>
      </c>
      <c r="J20" s="79">
        <v>1</v>
      </c>
      <c r="K20" s="16"/>
      <c r="L20" s="16"/>
      <c r="M20" s="16"/>
      <c r="N20" t="s" s="96">
        <v>72</v>
      </c>
      <c r="O20" s="79">
        <v>1</v>
      </c>
      <c r="P20" s="16"/>
      <c r="Q20" s="16"/>
      <c r="R20" s="16"/>
      <c r="S20" s="16"/>
      <c r="T20" s="79">
        <v>56</v>
      </c>
      <c r="U20" s="16"/>
      <c r="V20" s="16"/>
      <c r="W20" s="16"/>
      <c r="X20" s="16"/>
      <c r="Y20" s="16"/>
      <c r="Z20" s="16"/>
      <c r="AA20" t="s" s="96">
        <v>33</v>
      </c>
      <c r="AB20" t="s" s="96">
        <v>34</v>
      </c>
      <c r="AC20" s="16"/>
      <c r="AD20" s="16"/>
      <c r="AE20" s="16"/>
      <c r="AF20" t="s" s="96">
        <v>13</v>
      </c>
      <c r="AG20" s="16"/>
      <c r="AH20" s="16"/>
      <c r="AI20" s="16"/>
      <c r="AJ20" s="16"/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</row>
    <row r="21" ht="15.35" customHeight="1">
      <c r="A21" t="s" s="96">
        <v>571</v>
      </c>
      <c r="B21" s="79">
        <v>1921</v>
      </c>
      <c r="C21" s="16"/>
      <c r="D21" t="s" s="96">
        <v>572</v>
      </c>
      <c r="E21" s="79">
        <v>3</v>
      </c>
      <c r="F21" s="79">
        <v>8</v>
      </c>
      <c r="G21" t="s" s="96">
        <v>604</v>
      </c>
      <c r="H21" t="s" s="96">
        <v>605</v>
      </c>
      <c r="I21" s="79">
        <v>14</v>
      </c>
      <c r="J21" s="79">
        <v>1</v>
      </c>
      <c r="K21" s="16"/>
      <c r="L21" s="16"/>
      <c r="M21" s="16"/>
      <c r="N21" t="s" s="96">
        <v>11</v>
      </c>
      <c r="O21" s="16"/>
      <c r="P21" s="16"/>
      <c r="Q21" s="16"/>
      <c r="R21" s="16"/>
      <c r="S21" s="79">
        <v>1</v>
      </c>
      <c r="T21" s="79">
        <v>19</v>
      </c>
      <c r="U21" s="16"/>
      <c r="V21" s="16"/>
      <c r="W21" s="16"/>
      <c r="X21" s="16"/>
      <c r="Y21" s="16"/>
      <c r="Z21" s="16"/>
      <c r="AA21" t="s" s="96">
        <v>606</v>
      </c>
      <c r="AB21" t="s" s="96">
        <v>15</v>
      </c>
      <c r="AC21" s="79">
        <v>1</v>
      </c>
      <c r="AD21" s="16"/>
      <c r="AE21" s="16"/>
      <c r="AF21" t="s" s="96">
        <v>607</v>
      </c>
      <c r="AG21" s="79">
        <v>1</v>
      </c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</row>
    <row r="22" ht="15.35" customHeight="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</row>
    <row r="23" ht="15.35" customHeight="1">
      <c r="A23" t="s" s="96">
        <v>571</v>
      </c>
      <c r="B23" s="79">
        <v>1921</v>
      </c>
      <c r="C23" s="79">
        <v>7</v>
      </c>
      <c r="D23" t="s" s="96">
        <v>572</v>
      </c>
      <c r="E23" s="16"/>
      <c r="F23" s="79">
        <v>10</v>
      </c>
      <c r="G23" t="s" s="96">
        <v>608</v>
      </c>
      <c r="H23" t="s" s="96">
        <v>95</v>
      </c>
      <c r="I23" s="79">
        <v>15</v>
      </c>
      <c r="J23" s="79">
        <v>1</v>
      </c>
      <c r="K23" s="16"/>
      <c r="L23" s="16"/>
      <c r="M23" s="16"/>
      <c r="N23" t="s" s="96">
        <v>609</v>
      </c>
      <c r="O23" s="16"/>
      <c r="P23" s="16"/>
      <c r="Q23" s="16"/>
      <c r="R23" s="79">
        <v>1</v>
      </c>
      <c r="S23" s="16"/>
      <c r="T23" s="79">
        <v>59</v>
      </c>
      <c r="U23" s="16"/>
      <c r="V23" s="16"/>
      <c r="W23" s="16"/>
      <c r="X23" s="16"/>
      <c r="Y23" s="16"/>
      <c r="Z23" s="16"/>
      <c r="AA23" t="s" s="96">
        <v>596</v>
      </c>
      <c r="AB23" t="s" s="96">
        <v>34</v>
      </c>
      <c r="AC23" s="16"/>
      <c r="AD23" s="16"/>
      <c r="AE23" s="16"/>
      <c r="AF23" t="s" s="96">
        <v>536</v>
      </c>
      <c r="AG23" s="16"/>
      <c r="AH23" s="16"/>
      <c r="AI23" t="s" s="96">
        <v>610</v>
      </c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</row>
    <row r="24" ht="15.35" customHeight="1">
      <c r="A24" t="s" s="96">
        <v>571</v>
      </c>
      <c r="B24" s="79">
        <v>1921</v>
      </c>
      <c r="C24" s="16"/>
      <c r="D24" t="s" s="96">
        <v>572</v>
      </c>
      <c r="E24" s="16"/>
      <c r="F24" s="79">
        <v>10</v>
      </c>
      <c r="G24" t="s" s="96">
        <v>608</v>
      </c>
      <c r="H24" t="s" s="96">
        <v>611</v>
      </c>
      <c r="I24" s="79">
        <v>16</v>
      </c>
      <c r="J24" t="s" s="96">
        <v>37</v>
      </c>
      <c r="K24" s="79">
        <v>1</v>
      </c>
      <c r="L24" s="16"/>
      <c r="M24" s="16"/>
      <c r="N24" t="s" s="96">
        <v>36</v>
      </c>
      <c r="O24" s="16"/>
      <c r="P24" s="16"/>
      <c r="Q24" s="79">
        <v>1</v>
      </c>
      <c r="R24" s="16"/>
      <c r="S24" s="16"/>
      <c r="T24" s="79">
        <v>27</v>
      </c>
      <c r="U24" s="16"/>
      <c r="V24" s="16"/>
      <c r="W24" s="16"/>
      <c r="X24" s="16"/>
      <c r="Y24" s="16"/>
      <c r="Z24" s="16"/>
      <c r="AA24" t="s" s="96">
        <v>612</v>
      </c>
      <c r="AB24" t="s" s="96">
        <v>613</v>
      </c>
      <c r="AC24" s="79">
        <v>1</v>
      </c>
      <c r="AD24" s="16"/>
      <c r="AE24" s="16"/>
      <c r="AF24" t="s" s="96">
        <v>599</v>
      </c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</row>
    <row r="25" ht="15.35" customHeight="1">
      <c r="A25" t="s" s="96">
        <v>571</v>
      </c>
      <c r="B25" s="79">
        <v>1921</v>
      </c>
      <c r="C25" s="16"/>
      <c r="D25" t="s" s="96">
        <v>572</v>
      </c>
      <c r="E25" s="79">
        <v>3</v>
      </c>
      <c r="F25" s="79">
        <v>10</v>
      </c>
      <c r="G25" t="s" s="96">
        <v>614</v>
      </c>
      <c r="H25" t="s" s="96">
        <v>259</v>
      </c>
      <c r="I25" s="79">
        <v>17</v>
      </c>
      <c r="J25" s="79">
        <v>1</v>
      </c>
      <c r="K25" s="16"/>
      <c r="L25" s="16"/>
      <c r="M25" s="16"/>
      <c r="N25" t="s" s="96">
        <v>11</v>
      </c>
      <c r="O25" s="16"/>
      <c r="P25" s="16"/>
      <c r="Q25" s="16"/>
      <c r="R25" s="16"/>
      <c r="S25" s="79">
        <v>1</v>
      </c>
      <c r="T25" s="79">
        <v>35</v>
      </c>
      <c r="U25" s="16"/>
      <c r="V25" s="16"/>
      <c r="W25" s="16"/>
      <c r="X25" s="16"/>
      <c r="Y25" s="16"/>
      <c r="Z25" s="16"/>
      <c r="AA25" t="s" s="96">
        <v>34</v>
      </c>
      <c r="AB25" t="s" s="96">
        <v>15</v>
      </c>
      <c r="AC25" s="79">
        <v>1</v>
      </c>
      <c r="AD25" s="16"/>
      <c r="AE25" s="16"/>
      <c r="AF25" t="s" s="96">
        <v>615</v>
      </c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</row>
    <row r="26" ht="15.35" customHeight="1">
      <c r="A26" t="s" s="96">
        <v>571</v>
      </c>
      <c r="B26" s="79">
        <v>1921</v>
      </c>
      <c r="C26" s="16"/>
      <c r="D26" t="s" s="96">
        <v>572</v>
      </c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</row>
    <row r="27" ht="15.35" customHeight="1">
      <c r="A27" t="s" s="96">
        <v>571</v>
      </c>
      <c r="B27" s="79">
        <v>1921</v>
      </c>
      <c r="C27" s="16"/>
      <c r="D27" t="s" s="96">
        <v>572</v>
      </c>
      <c r="E27" s="16"/>
      <c r="F27" s="79">
        <v>10</v>
      </c>
      <c r="G27" t="s" s="96">
        <v>616</v>
      </c>
      <c r="H27" t="s" s="96">
        <v>193</v>
      </c>
      <c r="I27" s="79">
        <v>18</v>
      </c>
      <c r="J27" t="s" s="96">
        <v>37</v>
      </c>
      <c r="K27" s="79">
        <v>1</v>
      </c>
      <c r="L27" s="16"/>
      <c r="M27" s="16"/>
      <c r="N27" s="79">
        <v>1</v>
      </c>
      <c r="O27" s="16"/>
      <c r="P27" s="16"/>
      <c r="Q27" s="16"/>
      <c r="R27" s="16"/>
      <c r="S27" s="16"/>
      <c r="T27" s="79">
        <v>56</v>
      </c>
      <c r="U27" s="16"/>
      <c r="V27" s="16"/>
      <c r="W27" s="16"/>
      <c r="X27" s="16"/>
      <c r="Y27" s="16"/>
      <c r="Z27" s="16"/>
      <c r="AA27" t="s" s="96">
        <v>617</v>
      </c>
      <c r="AB27" t="s" s="96">
        <v>618</v>
      </c>
      <c r="AC27" s="79">
        <v>1</v>
      </c>
      <c r="AD27" s="16"/>
      <c r="AE27" s="16"/>
      <c r="AF27" t="s" s="96">
        <v>134</v>
      </c>
      <c r="AG27" s="79">
        <v>1</v>
      </c>
      <c r="AH27" s="16"/>
      <c r="AI27" t="s" s="96">
        <v>610</v>
      </c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</row>
    <row r="28" ht="15.35" customHeight="1">
      <c r="A28" t="s" s="96">
        <v>571</v>
      </c>
      <c r="B28" s="79">
        <v>1921</v>
      </c>
      <c r="C28" s="16"/>
      <c r="D28" t="s" s="96">
        <v>572</v>
      </c>
      <c r="E28" s="16"/>
      <c r="F28" s="79">
        <v>10</v>
      </c>
      <c r="G28" t="s" s="96">
        <v>386</v>
      </c>
      <c r="H28" t="s" s="96">
        <v>259</v>
      </c>
      <c r="I28" s="79">
        <v>19</v>
      </c>
      <c r="J28" s="79">
        <v>1</v>
      </c>
      <c r="K28" s="16"/>
      <c r="L28" s="16"/>
      <c r="M28" s="16"/>
      <c r="N28" t="s" s="96">
        <v>492</v>
      </c>
      <c r="O28" s="16"/>
      <c r="P28" s="16"/>
      <c r="Q28" s="16"/>
      <c r="R28" s="79">
        <v>1</v>
      </c>
      <c r="S28" s="16"/>
      <c r="T28" s="79">
        <v>34</v>
      </c>
      <c r="U28" s="16"/>
      <c r="V28" s="16"/>
      <c r="W28" t="s" s="96">
        <v>34</v>
      </c>
      <c r="X28" s="16"/>
      <c r="Y28" s="16"/>
      <c r="Z28" s="16"/>
      <c r="AA28" t="s" s="96">
        <v>33</v>
      </c>
      <c r="AB28" s="16"/>
      <c r="AC28" s="16"/>
      <c r="AD28" s="16"/>
      <c r="AE28" s="16"/>
      <c r="AF28" t="s" s="96">
        <v>54</v>
      </c>
      <c r="AG28" s="16"/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</row>
    <row r="29" ht="15.35" customHeight="1">
      <c r="A29" t="s" s="96">
        <v>571</v>
      </c>
      <c r="B29" s="79">
        <v>1921</v>
      </c>
      <c r="C29" s="16"/>
      <c r="D29" t="s" s="96">
        <v>572</v>
      </c>
      <c r="E29" s="16"/>
      <c r="F29" s="79">
        <v>10</v>
      </c>
      <c r="G29" t="s" s="96">
        <v>386</v>
      </c>
      <c r="H29" t="s" s="96">
        <v>619</v>
      </c>
      <c r="I29" s="79">
        <v>20</v>
      </c>
      <c r="J29" t="s" s="96">
        <v>37</v>
      </c>
      <c r="K29" s="16"/>
      <c r="L29" s="16"/>
      <c r="M29" s="79">
        <v>1</v>
      </c>
      <c r="N29" t="s" s="96">
        <v>36</v>
      </c>
      <c r="O29" s="16"/>
      <c r="P29" s="16"/>
      <c r="Q29" s="79">
        <v>1</v>
      </c>
      <c r="R29" s="16"/>
      <c r="S29" s="16"/>
      <c r="T29" s="79">
        <v>3</v>
      </c>
      <c r="U29" s="16"/>
      <c r="V29" t="s" s="96">
        <v>34</v>
      </c>
      <c r="W29" t="s" s="96">
        <v>34</v>
      </c>
      <c r="X29" s="16"/>
      <c r="Y29" s="16"/>
      <c r="Z29" s="16"/>
      <c r="AA29" s="16"/>
      <c r="AB29" s="16"/>
      <c r="AC29" s="16"/>
      <c r="AD29" s="16"/>
      <c r="AE29" s="16"/>
      <c r="AF29" t="s" s="96">
        <v>13</v>
      </c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</row>
    <row r="30" ht="15.35" customHeight="1">
      <c r="A30" t="s" s="96">
        <v>571</v>
      </c>
      <c r="B30" s="79">
        <v>1921</v>
      </c>
      <c r="C30" s="16"/>
      <c r="D30" t="s" s="96">
        <v>572</v>
      </c>
      <c r="E30" s="79">
        <v>4</v>
      </c>
      <c r="F30" s="79">
        <v>10</v>
      </c>
      <c r="G30" t="s" s="96">
        <v>386</v>
      </c>
      <c r="H30" t="s" s="96">
        <v>86</v>
      </c>
      <c r="I30" s="79">
        <v>21</v>
      </c>
      <c r="J30" s="16"/>
      <c r="K30" s="16"/>
      <c r="L30" s="79">
        <v>1</v>
      </c>
      <c r="M30" s="16"/>
      <c r="N30" t="s" s="96">
        <v>78</v>
      </c>
      <c r="O30" s="16"/>
      <c r="P30" s="79">
        <v>1</v>
      </c>
      <c r="Q30" s="16"/>
      <c r="R30" s="16"/>
      <c r="S30" s="16"/>
      <c r="T30" s="79">
        <v>1</v>
      </c>
      <c r="U30" s="16"/>
      <c r="V30" t="s" s="96">
        <v>34</v>
      </c>
      <c r="W30" t="s" s="96">
        <v>34</v>
      </c>
      <c r="X30" s="16"/>
      <c r="Y30" s="16"/>
      <c r="Z30" s="16"/>
      <c r="AA30" s="16"/>
      <c r="AB30" s="16"/>
      <c r="AC30" s="16"/>
      <c r="AD30" s="16"/>
      <c r="AE30" s="16"/>
      <c r="AF30" t="s" s="96">
        <v>13</v>
      </c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</row>
    <row r="31" ht="15.35" customHeight="1">
      <c r="A31" t="s" s="96">
        <v>571</v>
      </c>
      <c r="B31" s="79">
        <v>1921</v>
      </c>
      <c r="C31" s="79">
        <v>7</v>
      </c>
      <c r="D31" t="s" s="96">
        <v>572</v>
      </c>
      <c r="E31" s="16"/>
      <c r="F31" s="16"/>
      <c r="G31" s="16"/>
      <c r="H31" s="16"/>
      <c r="I31" s="79" cm="1">
        <f t="array" ref="I31">I30</f>
        <v>21</v>
      </c>
      <c r="J31" s="79" cm="1">
        <f t="array" ref="J31">SUM(J3:J30)</f>
        <v>14</v>
      </c>
      <c r="K31" s="79" cm="1">
        <f t="array" ref="K31">SUM(K3:K30)</f>
        <v>5</v>
      </c>
      <c r="L31" s="79" cm="1">
        <f t="array" ref="L31">SUM(L3:L30)</f>
        <v>1</v>
      </c>
      <c r="M31" s="79" cm="1">
        <f t="array" ref="M31">SUM(M3:M30)</f>
        <v>1</v>
      </c>
      <c r="N31" s="79" cm="1">
        <f t="array" ref="N31">SUM(N3:N30)</f>
        <v>7</v>
      </c>
      <c r="O31" s="79" cm="1">
        <f t="array" ref="O31">SUM(O3:O30)</f>
        <v>3</v>
      </c>
      <c r="P31" s="79" cm="1">
        <f t="array" ref="P31">SUM(P3:P30)</f>
        <v>2</v>
      </c>
      <c r="Q31" s="79" cm="1">
        <f t="array" ref="Q31">SUM(Q3:Q30)</f>
        <v>2</v>
      </c>
      <c r="R31" s="79" cm="1">
        <f t="array" ref="R31">SUM(R3:R30)</f>
        <v>3</v>
      </c>
      <c r="S31" s="79" cm="1">
        <f t="array" ref="S31">SUM(S3:S30)</f>
        <v>4</v>
      </c>
      <c r="T31" s="79" cm="1">
        <f t="array" ref="T31">SUM(T3:T30)</f>
        <v>832</v>
      </c>
      <c r="U31" s="79" cm="1">
        <f t="array" ref="U31">SUM(AF3:AF30)</f>
        <v>0</v>
      </c>
      <c r="V31" s="79" cm="1">
        <f t="array" ref="V31">SUM(V3:V30)</f>
        <v>1</v>
      </c>
      <c r="W31" s="79" cm="1">
        <f t="array" ref="W31">SUM(W3:W30)</f>
        <v>0</v>
      </c>
      <c r="X31" s="79" cm="1">
        <f t="array" ref="X31">SUM(X3:X30)</f>
        <v>0</v>
      </c>
      <c r="Y31" s="79" cm="1">
        <f t="array" ref="Y31">SUM(Y3:Y30)</f>
        <v>0</v>
      </c>
      <c r="Z31" s="79" cm="1">
        <f t="array" ref="Z31">SUM(Z3:Z30)</f>
        <v>0</v>
      </c>
      <c r="AA31" s="79" cm="1">
        <f t="array" ref="AA31">SUM(AA3:AA30)</f>
        <v>0</v>
      </c>
      <c r="AB31" s="79" cm="1">
        <f t="array" ref="AB31">SUM(AB3:AB30)</f>
        <v>0</v>
      </c>
      <c r="AC31" s="79" cm="1">
        <f t="array" ref="AC31">SUM(AC3:AC30)</f>
        <v>12</v>
      </c>
      <c r="AD31" s="79" cm="1">
        <f t="array" ref="AD31">SUM(AD3:AD30)</f>
        <v>0</v>
      </c>
      <c r="AE31" s="79" cm="1">
        <f t="array" ref="AE31">SUM(AE3:AE30)</f>
        <v>0</v>
      </c>
      <c r="AF31" s="79" cm="1">
        <f t="array" ref="AF31">N32-AG31</f>
        <v>18</v>
      </c>
      <c r="AG31" s="79" cm="1">
        <f t="array" ref="AG31">SUM(AG3:AG30)</f>
        <v>3</v>
      </c>
      <c r="AH31" s="79" cm="1">
        <f t="array" ref="AH31">SUM(AH3:AH30)</f>
        <v>0</v>
      </c>
      <c r="AI31" s="79" cm="1">
        <f t="array" ref="AI31">SUM(AI3:AI30)</f>
        <v>0</v>
      </c>
      <c r="AJ31" s="79" cm="1">
        <f t="array" ref="AJ31">SUM(AJ3:AJ30)</f>
        <v>0</v>
      </c>
      <c r="AK31" s="79" cm="1">
        <f t="array" ref="AK31">SUM(AK3:AK30)</f>
        <v>0</v>
      </c>
      <c r="AL31" s="79" cm="1">
        <f t="array" ref="AL31">SUM(AL3:AL30)</f>
        <v>0</v>
      </c>
      <c r="AM31" s="79" cm="1">
        <f t="array" ref="AM31">SUM(AM3:AM30)</f>
        <v>0</v>
      </c>
      <c r="AN31" s="79" cm="1">
        <f t="array" ref="AN31">SUM(AN3:AN30)</f>
        <v>0</v>
      </c>
      <c r="AO31" s="79" cm="1">
        <f t="array" ref="AO31">SUM(AO3:AO30)</f>
        <v>0</v>
      </c>
      <c r="AP31" s="79" cm="1">
        <f t="array" ref="AP31">SUM(AP3:AP30)</f>
        <v>0</v>
      </c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</row>
    <row r="32" ht="15.35" customHeight="1">
      <c r="A32" t="s" s="96">
        <v>571</v>
      </c>
      <c r="B32" s="79">
        <v>1921</v>
      </c>
      <c r="C32" s="79">
        <v>7</v>
      </c>
      <c r="D32" t="s" s="96">
        <v>572</v>
      </c>
      <c r="E32" s="16"/>
      <c r="F32" s="16"/>
      <c r="G32" s="16"/>
      <c r="H32" s="16"/>
      <c r="I32" s="16"/>
      <c r="J32" s="79" cm="1">
        <f t="array" ref="J32">SUM(J31:M31)</f>
        <v>21</v>
      </c>
      <c r="K32" s="16"/>
      <c r="L32" s="16"/>
      <c r="M32" s="16"/>
      <c r="N32" s="79" cm="1">
        <f t="array" ref="N32">SUM(N31:S31)</f>
        <v>21</v>
      </c>
      <c r="O32" s="16"/>
      <c r="P32" s="16"/>
      <c r="Q32" s="16"/>
      <c r="R32" s="16"/>
      <c r="S32" s="16"/>
      <c r="T32" s="99" cm="1">
        <f t="array" ref="T32">T31/J32</f>
        <v>39.6190476190476</v>
      </c>
      <c r="U32" s="79" cm="1">
        <f t="array" ref="U32">SUM(V31:Y31)</f>
        <v>1</v>
      </c>
      <c r="V32" s="79" cm="1">
        <f t="array" ref="V32">SUM(W31:Z31)</f>
        <v>0</v>
      </c>
      <c r="W32" s="79" cm="1">
        <f t="array" ref="W32">SUM(X31:AA31)</f>
        <v>0</v>
      </c>
      <c r="X32" s="79" cm="1">
        <f t="array" ref="X32">SUM(Y31:AB31)</f>
        <v>0</v>
      </c>
      <c r="Y32" s="16"/>
      <c r="Z32" s="16"/>
      <c r="AA32" s="16"/>
      <c r="AB32" s="16"/>
      <c r="AC32" s="104" cm="1">
        <f t="array" ref="AC32">AC31/J32</f>
        <v>0.571428571428571</v>
      </c>
      <c r="AD32" s="16"/>
      <c r="AE32" s="16"/>
      <c r="AF32" s="104" cm="1">
        <f t="array" ref="AF32">AF31/N32</f>
        <v>0.857142857142857</v>
      </c>
      <c r="AG32" s="104" cm="1">
        <f t="array" ref="AG32">AG31/N32</f>
        <v>0.142857142857143</v>
      </c>
      <c r="AH32" s="79" cm="1">
        <f t="array" ref="AH32">SUM(AI31:AL31)</f>
        <v>0</v>
      </c>
      <c r="AI32" s="79" cm="1">
        <f t="array" ref="AI32">SUM(AJ31:AM31)</f>
        <v>0</v>
      </c>
      <c r="AJ32" s="79" cm="1">
        <f t="array" ref="AJ32">SUM(AK31:AN31)</f>
        <v>0</v>
      </c>
      <c r="AK32" s="79" cm="1">
        <f t="array" ref="AK32">SUM(AL31:AO31)</f>
        <v>0</v>
      </c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</row>
    <row r="33" ht="15.3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04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</row>
    <row r="34" ht="15.35" customHeight="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</row>
    <row r="35" ht="15.35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</row>
    <row r="36" ht="15.35" customHeight="1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</row>
    <row r="37" ht="15.35" customHeigh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</row>
    <row r="38" ht="15.35" customHeight="1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</row>
    <row r="39" ht="15.3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</row>
    <row r="40" ht="15.35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5.35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5.35" customHeight="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5.35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</row>
    <row r="44" ht="15.35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</row>
    <row r="45" ht="15.35" customHeight="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</row>
    <row r="46" ht="15.3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5.35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</row>
    <row r="48" ht="15.3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5.35" customHeight="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5.35" customHeight="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15.35" customHeight="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5.35" customHeight="1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15.35" customHeight="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15.35" customHeight="1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</row>
    <row r="56" ht="15.35" customHeight="1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</row>
    <row r="57" ht="15.35" customHeight="1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</row>
    <row r="58" ht="15.35" customHeight="1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</row>
    <row r="59" ht="15.35" customHeight="1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</row>
    <row r="60" ht="15.35" customHeight="1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5.35" customHeight="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15.3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15.3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</row>
    <row r="65" ht="15.3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</row>
    <row r="66" ht="15.3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15.3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15.3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15.3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15.3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15.3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15.3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</row>
    <row r="73" ht="15.3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</row>
    <row r="74" ht="15.3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</row>
    <row r="75" ht="15.3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</row>
    <row r="76" ht="15.3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</row>
    <row r="77" ht="15.3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</row>
    <row r="78" ht="15.3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</row>
    <row r="79" ht="15.3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</row>
    <row r="80" ht="15.3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</row>
    <row r="81" ht="15.3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</row>
    <row r="82" ht="15.3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</row>
    <row r="83" ht="15.3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</row>
    <row r="84" ht="15.35" customHeight="1">
      <c r="A84" s="16"/>
      <c r="B84" s="16"/>
      <c r="C84" s="16"/>
      <c r="D84" s="16"/>
      <c r="E84" s="16"/>
      <c r="F84" s="16"/>
      <c r="G84" s="16"/>
      <c r="H84" t="s" s="96">
        <v>0</v>
      </c>
      <c r="I84" t="s" s="96">
        <v>1</v>
      </c>
      <c r="J84" t="s" s="96">
        <v>2</v>
      </c>
      <c r="K84" t="s" s="96">
        <v>3</v>
      </c>
      <c r="L84" t="s" s="96">
        <v>4</v>
      </c>
      <c r="M84" t="s" s="96">
        <v>5</v>
      </c>
      <c r="N84" t="s" s="96">
        <v>6</v>
      </c>
      <c r="O84" t="s" s="96">
        <v>7</v>
      </c>
      <c r="P84" t="s" s="96">
        <v>8</v>
      </c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</row>
    <row r="85" ht="15.35" customHeight="1">
      <c r="A85" s="16"/>
      <c r="B85" s="16"/>
      <c r="C85" s="16"/>
      <c r="D85" s="16"/>
      <c r="E85" s="16"/>
      <c r="F85" t="s" s="96">
        <v>573</v>
      </c>
      <c r="G85" s="16"/>
      <c r="H85" t="s" s="96">
        <v>574</v>
      </c>
      <c r="I85" t="s" s="96">
        <v>524</v>
      </c>
      <c r="J85" t="s" s="96">
        <v>31</v>
      </c>
      <c r="K85" t="s" s="96">
        <v>37</v>
      </c>
      <c r="L85" s="79">
        <v>1867</v>
      </c>
      <c r="M85" s="79">
        <v>54</v>
      </c>
      <c r="N85" t="s" s="96">
        <v>54</v>
      </c>
      <c r="O85" t="s" s="96">
        <v>575</v>
      </c>
      <c r="P85" t="s" s="96">
        <v>576</v>
      </c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</row>
    <row r="86" ht="15.35" customHeight="1">
      <c r="A86" s="16"/>
      <c r="B86" s="16"/>
      <c r="C86" s="16"/>
      <c r="D86" s="16"/>
      <c r="E86" s="16"/>
      <c r="F86" s="16"/>
      <c r="G86" s="16"/>
      <c r="H86" t="s" s="96">
        <v>577</v>
      </c>
      <c r="I86" t="s" s="96">
        <v>524</v>
      </c>
      <c r="J86" t="s" s="96">
        <v>72</v>
      </c>
      <c r="K86" t="s" s="96">
        <v>12</v>
      </c>
      <c r="L86" s="79">
        <v>1871</v>
      </c>
      <c r="M86" s="79">
        <v>49</v>
      </c>
      <c r="N86" t="s" s="96">
        <v>54</v>
      </c>
      <c r="O86" t="s" s="96">
        <v>33</v>
      </c>
      <c r="P86" t="s" s="96">
        <v>34</v>
      </c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5.35" customHeight="1">
      <c r="A87" s="16"/>
      <c r="B87" s="16"/>
      <c r="C87" s="16"/>
      <c r="D87" s="16"/>
      <c r="E87" s="16"/>
      <c r="F87" s="16"/>
      <c r="G87" s="16"/>
      <c r="H87" t="s" s="96">
        <v>578</v>
      </c>
      <c r="I87" t="s" s="96">
        <v>524</v>
      </c>
      <c r="J87" t="s" s="96">
        <v>78</v>
      </c>
      <c r="K87" t="s" s="96">
        <v>12</v>
      </c>
      <c r="L87" s="79">
        <v>1902</v>
      </c>
      <c r="M87" s="79">
        <v>18</v>
      </c>
      <c r="N87" t="s" s="96">
        <v>54</v>
      </c>
      <c r="O87" t="s" s="96">
        <v>33</v>
      </c>
      <c r="P87" t="s" s="96">
        <v>34</v>
      </c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</row>
    <row r="88" ht="15.35" customHeight="1">
      <c r="A88" s="16"/>
      <c r="B88" s="16"/>
      <c r="C88" s="16"/>
      <c r="D88" s="16"/>
      <c r="E88" s="16"/>
      <c r="F88" s="16"/>
      <c r="G88" s="16"/>
      <c r="H88" t="s" s="96">
        <v>580</v>
      </c>
      <c r="I88" t="s" s="96">
        <v>579</v>
      </c>
      <c r="J88" t="s" s="96">
        <v>11</v>
      </c>
      <c r="K88" t="s" s="96">
        <v>12</v>
      </c>
      <c r="L88" s="79">
        <v>1898</v>
      </c>
      <c r="M88" s="79">
        <v>23</v>
      </c>
      <c r="N88" t="s" s="96">
        <v>472</v>
      </c>
      <c r="O88" t="s" s="96">
        <v>105</v>
      </c>
      <c r="P88" t="s" s="96">
        <v>15</v>
      </c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15.3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15.35" customHeight="1">
      <c r="A90" s="16"/>
      <c r="B90" s="16"/>
      <c r="C90" s="16"/>
      <c r="D90" s="16"/>
      <c r="E90" s="16"/>
      <c r="F90" s="16"/>
      <c r="G90" s="16"/>
      <c r="H90" t="s" s="96">
        <v>0</v>
      </c>
      <c r="I90" t="s" s="96">
        <v>1</v>
      </c>
      <c r="J90" t="s" s="96">
        <v>2</v>
      </c>
      <c r="K90" t="s" s="96">
        <v>3</v>
      </c>
      <c r="L90" t="s" s="96">
        <v>4</v>
      </c>
      <c r="M90" t="s" s="96">
        <v>5</v>
      </c>
      <c r="N90" t="s" s="96">
        <v>6</v>
      </c>
      <c r="O90" t="s" s="96">
        <v>7</v>
      </c>
      <c r="P90" t="s" s="96">
        <v>8</v>
      </c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</row>
    <row r="91" ht="15.35" customHeight="1">
      <c r="A91" s="16"/>
      <c r="B91" s="16"/>
      <c r="C91" s="16"/>
      <c r="D91" s="16"/>
      <c r="E91" s="16"/>
      <c r="F91" s="79">
        <v>1</v>
      </c>
      <c r="G91" s="16"/>
      <c r="H91" t="s" s="96">
        <v>582</v>
      </c>
      <c r="I91" t="s" s="96">
        <v>581</v>
      </c>
      <c r="J91" t="s" s="96">
        <v>31</v>
      </c>
      <c r="K91" t="s" s="96">
        <v>12</v>
      </c>
      <c r="L91" s="79">
        <v>1888</v>
      </c>
      <c r="M91" s="79">
        <v>33</v>
      </c>
      <c r="N91" t="s" s="96">
        <v>54</v>
      </c>
      <c r="O91" t="s" s="96">
        <v>583</v>
      </c>
      <c r="P91" t="s" s="96">
        <v>584</v>
      </c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5.35" customHeight="1">
      <c r="A92" s="16"/>
      <c r="B92" s="16"/>
      <c r="C92" s="16"/>
      <c r="D92" s="16"/>
      <c r="E92" s="16"/>
      <c r="F92" s="16"/>
      <c r="G92" s="16"/>
      <c r="H92" t="s" s="96">
        <v>586</v>
      </c>
      <c r="I92" t="s" s="96">
        <v>585</v>
      </c>
      <c r="J92" t="s" s="96">
        <v>41</v>
      </c>
      <c r="K92" t="s" s="96">
        <v>12</v>
      </c>
      <c r="L92" s="79">
        <v>1889</v>
      </c>
      <c r="M92" s="79">
        <v>32</v>
      </c>
      <c r="N92" t="s" s="96">
        <v>54</v>
      </c>
      <c r="O92" t="s" s="96">
        <v>583</v>
      </c>
      <c r="P92" t="s" s="96">
        <v>587</v>
      </c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15.3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</row>
    <row r="94" ht="15.35" customHeight="1">
      <c r="A94" s="16"/>
      <c r="B94" s="16"/>
      <c r="C94" s="16"/>
      <c r="D94" s="16"/>
      <c r="E94" s="16"/>
      <c r="F94" s="16"/>
      <c r="G94" s="16"/>
      <c r="H94" t="s" s="96">
        <v>0</v>
      </c>
      <c r="I94" t="s" s="96">
        <v>1</v>
      </c>
      <c r="J94" t="s" s="96">
        <v>2</v>
      </c>
      <c r="K94" t="s" s="96">
        <v>3</v>
      </c>
      <c r="L94" t="s" s="96">
        <v>4</v>
      </c>
      <c r="M94" t="s" s="96">
        <v>5</v>
      </c>
      <c r="N94" t="s" s="96">
        <v>6</v>
      </c>
      <c r="O94" t="s" s="96">
        <v>7</v>
      </c>
      <c r="P94" t="s" s="96">
        <v>8</v>
      </c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</row>
    <row r="95" ht="15.35" customHeight="1">
      <c r="A95" s="16"/>
      <c r="B95" s="16"/>
      <c r="C95" s="16"/>
      <c r="D95" s="16"/>
      <c r="E95" s="16"/>
      <c r="F95" s="79">
        <v>2</v>
      </c>
      <c r="G95" s="16"/>
      <c r="H95" t="s" s="96">
        <v>588</v>
      </c>
      <c r="I95" t="s" s="96">
        <v>386</v>
      </c>
      <c r="J95" t="s" s="96">
        <v>31</v>
      </c>
      <c r="K95" t="s" s="96">
        <v>37</v>
      </c>
      <c r="L95" s="79">
        <v>1869</v>
      </c>
      <c r="M95" s="79">
        <v>52</v>
      </c>
      <c r="N95" t="s" s="96">
        <v>13</v>
      </c>
      <c r="O95" t="s" s="96">
        <v>589</v>
      </c>
      <c r="P95" t="s" s="96">
        <v>590</v>
      </c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</row>
    <row r="96" ht="15.35" customHeight="1">
      <c r="A96" s="16"/>
      <c r="B96" s="16"/>
      <c r="C96" s="16"/>
      <c r="D96" s="16"/>
      <c r="E96" s="16"/>
      <c r="F96" s="16"/>
      <c r="G96" s="16"/>
      <c r="H96" t="s" s="96">
        <v>591</v>
      </c>
      <c r="I96" t="s" s="96">
        <v>386</v>
      </c>
      <c r="J96" t="s" s="96">
        <v>72</v>
      </c>
      <c r="K96" t="s" s="96">
        <v>12</v>
      </c>
      <c r="L96" s="79">
        <v>1867</v>
      </c>
      <c r="M96" s="79">
        <v>53</v>
      </c>
      <c r="N96" t="s" s="96">
        <v>13</v>
      </c>
      <c r="O96" t="s" s="96">
        <v>33</v>
      </c>
      <c r="P96" t="s" s="96">
        <v>34</v>
      </c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</row>
    <row r="97" ht="15.3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</row>
    <row r="98" ht="15.35" customHeight="1">
      <c r="A98" s="16"/>
      <c r="B98" s="16"/>
      <c r="C98" s="16"/>
      <c r="D98" s="16"/>
      <c r="E98" s="16"/>
      <c r="F98" s="16"/>
      <c r="G98" s="16"/>
      <c r="H98" t="s" s="96">
        <v>0</v>
      </c>
      <c r="I98" t="s" s="96">
        <v>593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</row>
    <row r="99" ht="15.35" customHeight="1">
      <c r="A99" s="16"/>
      <c r="B99" s="16"/>
      <c r="C99" s="16"/>
      <c r="D99" s="16"/>
      <c r="E99" s="16"/>
      <c r="F99" s="16"/>
      <c r="G99" s="16"/>
      <c r="H99" t="s" s="96">
        <v>1</v>
      </c>
      <c r="I99" t="s" s="96">
        <v>592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</row>
    <row r="100" ht="15.35" customHeight="1">
      <c r="A100" s="16"/>
      <c r="B100" s="16"/>
      <c r="C100" s="16"/>
      <c r="D100" s="16"/>
      <c r="E100" s="16"/>
      <c r="F100" s="79">
        <v>3</v>
      </c>
      <c r="G100" s="16"/>
      <c r="H100" t="s" s="96">
        <v>3</v>
      </c>
      <c r="I100" t="s" s="96">
        <v>12</v>
      </c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</row>
    <row r="101" ht="15.35" customHeight="1">
      <c r="A101" s="16"/>
      <c r="B101" s="16"/>
      <c r="C101" s="16"/>
      <c r="D101" s="16"/>
      <c r="E101" s="16"/>
      <c r="F101" s="16"/>
      <c r="G101" s="16"/>
      <c r="H101" t="s" s="96">
        <v>4</v>
      </c>
      <c r="I101" s="79">
        <v>1879</v>
      </c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</row>
    <row r="102" ht="15.35" customHeight="1">
      <c r="A102" s="16"/>
      <c r="B102" s="16"/>
      <c r="C102" s="16"/>
      <c r="D102" s="16"/>
      <c r="E102" s="16"/>
      <c r="F102" s="16"/>
      <c r="G102" s="16"/>
      <c r="H102" t="s" s="96">
        <v>620</v>
      </c>
      <c r="I102" s="105">
        <v>7841</v>
      </c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</row>
    <row r="103" ht="15.35" customHeight="1">
      <c r="A103" s="16"/>
      <c r="B103" s="16"/>
      <c r="C103" s="16"/>
      <c r="D103" s="16"/>
      <c r="E103" s="16"/>
      <c r="F103" s="16"/>
      <c r="G103" s="16"/>
      <c r="H103" t="s" s="96">
        <v>5</v>
      </c>
      <c r="I103" s="79">
        <v>42</v>
      </c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</row>
    <row r="104" ht="15.35" customHeight="1">
      <c r="A104" s="16"/>
      <c r="B104" s="16"/>
      <c r="C104" s="16"/>
      <c r="D104" s="16"/>
      <c r="E104" s="16"/>
      <c r="F104" s="16"/>
      <c r="G104" s="16"/>
      <c r="H104" t="s" s="96">
        <v>621</v>
      </c>
      <c r="I104" s="79">
        <v>6</v>
      </c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</row>
    <row r="105" ht="15.35" customHeight="1">
      <c r="A105" s="16"/>
      <c r="B105" s="16"/>
      <c r="C105" s="16"/>
      <c r="D105" s="16"/>
      <c r="E105" s="16"/>
      <c r="F105" s="16"/>
      <c r="G105" s="16"/>
      <c r="H105" t="s" s="96">
        <v>622</v>
      </c>
      <c r="I105" t="s" s="96">
        <v>623</v>
      </c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</row>
    <row r="106" ht="15.35" customHeight="1">
      <c r="A106" s="16"/>
      <c r="B106" s="16"/>
      <c r="C106" s="16"/>
      <c r="D106" s="16"/>
      <c r="E106" s="16"/>
      <c r="F106" s="16"/>
      <c r="G106" s="16"/>
      <c r="H106" t="s" s="96">
        <v>2</v>
      </c>
      <c r="I106" t="s" s="96">
        <v>31</v>
      </c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</row>
    <row r="107" ht="15.35" customHeight="1">
      <c r="A107" s="16"/>
      <c r="B107" s="16"/>
      <c r="C107" s="16"/>
      <c r="D107" s="16"/>
      <c r="E107" s="16"/>
      <c r="F107" s="16"/>
      <c r="G107" s="16"/>
      <c r="H107" t="s" s="96">
        <v>624</v>
      </c>
      <c r="I107" t="s" s="96">
        <v>625</v>
      </c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</row>
    <row r="108" ht="15.35" customHeight="1">
      <c r="A108" s="16"/>
      <c r="B108" s="16"/>
      <c r="C108" s="16"/>
      <c r="D108" s="16"/>
      <c r="E108" s="16"/>
      <c r="F108" s="16"/>
      <c r="G108" s="16"/>
      <c r="H108" t="s" s="96">
        <v>6</v>
      </c>
      <c r="I108" t="s" s="96">
        <v>13</v>
      </c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</row>
    <row r="109" ht="15.35" customHeight="1">
      <c r="A109" s="16"/>
      <c r="B109" s="16"/>
      <c r="C109" s="16"/>
      <c r="D109" s="16"/>
      <c r="E109" s="16"/>
      <c r="F109" s="16"/>
      <c r="G109" s="16"/>
      <c r="H109" t="s" s="96">
        <v>626</v>
      </c>
      <c r="I109" t="s" s="96">
        <v>627</v>
      </c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</row>
    <row r="110" ht="15.35" customHeight="1">
      <c r="A110" s="16"/>
      <c r="B110" s="16"/>
      <c r="C110" s="16"/>
      <c r="D110" s="16"/>
      <c r="E110" s="16"/>
      <c r="F110" s="16"/>
      <c r="G110" s="16"/>
      <c r="H110" t="s" s="96">
        <v>628</v>
      </c>
      <c r="I110" t="s" s="96">
        <v>306</v>
      </c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</row>
    <row r="111" ht="15.35" customHeight="1">
      <c r="A111" s="16"/>
      <c r="B111" s="16"/>
      <c r="C111" s="16"/>
      <c r="D111" s="16"/>
      <c r="E111" s="16"/>
      <c r="F111" s="16"/>
      <c r="G111" s="16"/>
      <c r="H111" t="s" s="96">
        <v>629</v>
      </c>
      <c r="I111" t="s" s="96">
        <v>630</v>
      </c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</row>
    <row r="112" ht="15.35" customHeight="1">
      <c r="A112" s="16"/>
      <c r="B112" s="16"/>
      <c r="C112" s="16"/>
      <c r="D112" s="16"/>
      <c r="E112" s="16"/>
      <c r="F112" s="16"/>
      <c r="G112" s="16"/>
      <c r="H112" t="s" s="96">
        <v>631</v>
      </c>
      <c r="I112" t="s" s="96">
        <v>632</v>
      </c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</row>
    <row r="113" ht="15.35" customHeight="1">
      <c r="A113" s="16"/>
      <c r="B113" s="16"/>
      <c r="C113" s="16"/>
      <c r="D113" s="16"/>
      <c r="E113" s="16"/>
      <c r="F113" s="16"/>
      <c r="G113" s="16"/>
      <c r="H113" t="s" s="96">
        <v>7</v>
      </c>
      <c r="I113" t="s" s="96">
        <v>594</v>
      </c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</row>
    <row r="114" ht="15.35" customHeight="1">
      <c r="A114" s="16"/>
      <c r="B114" s="16"/>
      <c r="C114" s="16"/>
      <c r="D114" s="16"/>
      <c r="E114" s="16"/>
      <c r="F114" s="16"/>
      <c r="G114" s="16"/>
      <c r="H114" t="s" s="96">
        <v>633</v>
      </c>
      <c r="I114" s="79">
        <v>419</v>
      </c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</row>
    <row r="115" ht="15.35" customHeight="1">
      <c r="A115" s="16"/>
      <c r="B115" s="16"/>
      <c r="C115" s="16"/>
      <c r="D115" s="16"/>
      <c r="E115" s="16"/>
      <c r="F115" s="16"/>
      <c r="G115" s="16"/>
      <c r="H115" t="s" s="96">
        <v>634</v>
      </c>
      <c r="I115" t="s" s="96">
        <v>635</v>
      </c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</row>
    <row r="116" ht="15.35" customHeight="1">
      <c r="A116" s="16"/>
      <c r="B116" s="16"/>
      <c r="C116" s="16"/>
      <c r="D116" s="16"/>
      <c r="E116" s="16"/>
      <c r="F116" s="16"/>
      <c r="G116" s="16"/>
      <c r="H116" t="s" s="96">
        <v>8</v>
      </c>
      <c r="I116" t="s" s="96">
        <v>636</v>
      </c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</row>
    <row r="117" ht="15.35" customHeight="1">
      <c r="A117" s="16"/>
      <c r="B117" s="16"/>
      <c r="C117" s="16"/>
      <c r="D117" s="16"/>
      <c r="E117" s="16"/>
      <c r="F117" s="16"/>
      <c r="G117" s="16"/>
      <c r="H117" t="s" s="96">
        <v>637</v>
      </c>
      <c r="I117" s="79">
        <v>300</v>
      </c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</row>
    <row r="118" ht="15.35" customHeight="1">
      <c r="A118" s="16"/>
      <c r="B118" s="16"/>
      <c r="C118" s="16"/>
      <c r="D118" s="16"/>
      <c r="E118" s="16"/>
      <c r="F118" s="16"/>
      <c r="G118" s="16"/>
      <c r="H118" t="s" s="96">
        <v>638</v>
      </c>
      <c r="I118" t="s" s="96">
        <v>639</v>
      </c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</row>
    <row r="119" ht="15.35" customHeight="1">
      <c r="A119" s="16"/>
      <c r="B119" s="16"/>
      <c r="C119" s="16"/>
      <c r="D119" s="16"/>
      <c r="E119" s="16"/>
      <c r="F119" s="16"/>
      <c r="G119" s="16"/>
      <c r="H119" t="s" s="96">
        <v>640</v>
      </c>
      <c r="I119" s="79">
        <v>0</v>
      </c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</row>
    <row r="120" ht="15.35" customHeight="1">
      <c r="A120" s="16"/>
      <c r="B120" s="16"/>
      <c r="C120" s="16"/>
      <c r="D120" s="16"/>
      <c r="E120" s="16"/>
      <c r="F120" s="16"/>
      <c r="G120" s="16"/>
      <c r="H120" t="s" s="96">
        <v>641</v>
      </c>
      <c r="I120" t="s" s="96">
        <v>642</v>
      </c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</row>
    <row r="121" ht="15.35" customHeight="1">
      <c r="A121" s="16"/>
      <c r="B121" s="16"/>
      <c r="C121" s="16"/>
      <c r="D121" s="16"/>
      <c r="E121" s="16"/>
      <c r="F121" s="16"/>
      <c r="G121" s="16"/>
      <c r="H121" t="s" s="96">
        <v>643</v>
      </c>
      <c r="I121" t="s" s="96">
        <v>644</v>
      </c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</row>
    <row r="122" ht="15.35" customHeight="1">
      <c r="A122" s="16"/>
      <c r="B122" s="16"/>
      <c r="C122" s="16"/>
      <c r="D122" s="16"/>
      <c r="E122" s="16"/>
      <c r="F122" s="16"/>
      <c r="G122" s="16"/>
      <c r="H122" t="s" s="96">
        <v>645</v>
      </c>
      <c r="I122" s="79">
        <v>3</v>
      </c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</row>
    <row r="123" ht="15.35" customHeight="1">
      <c r="A123" s="16"/>
      <c r="B123" s="16"/>
      <c r="C123" s="16"/>
      <c r="D123" s="16"/>
      <c r="E123" s="16"/>
      <c r="F123" s="16"/>
      <c r="G123" s="16"/>
      <c r="H123" t="s" s="96">
        <v>646</v>
      </c>
      <c r="I123" t="s" s="96">
        <v>572</v>
      </c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</row>
    <row r="124" ht="15.35" customHeight="1">
      <c r="A124" s="16"/>
      <c r="B124" s="16"/>
      <c r="C124" s="16"/>
      <c r="D124" s="16"/>
      <c r="E124" s="16"/>
      <c r="F124" s="16"/>
      <c r="G124" s="16"/>
      <c r="H124" t="s" s="96">
        <v>271</v>
      </c>
      <c r="I124" t="s" s="96">
        <v>647</v>
      </c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</row>
    <row r="125" ht="15.35" customHeight="1">
      <c r="A125" s="16"/>
      <c r="B125" s="16"/>
      <c r="C125" s="16"/>
      <c r="D125" s="16"/>
      <c r="E125" s="16"/>
      <c r="F125" s="16"/>
      <c r="G125" s="16"/>
      <c r="H125" t="s" s="96">
        <v>648</v>
      </c>
      <c r="I125" t="s" s="96">
        <v>649</v>
      </c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</row>
    <row r="126" ht="15.35" customHeight="1">
      <c r="A126" s="16"/>
      <c r="B126" s="16"/>
      <c r="C126" s="16"/>
      <c r="D126" s="16"/>
      <c r="E126" s="16"/>
      <c r="F126" s="16"/>
      <c r="G126" s="16"/>
      <c r="H126" t="s" s="96">
        <v>650</v>
      </c>
      <c r="I126" t="s" s="96">
        <v>627</v>
      </c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</row>
    <row r="127" ht="15.35" customHeight="1">
      <c r="A127" s="16"/>
      <c r="B127" s="16"/>
      <c r="C127" s="16"/>
      <c r="D127" s="16"/>
      <c r="E127" s="16"/>
      <c r="F127" s="16"/>
      <c r="G127" s="16"/>
      <c r="H127" t="s" s="96">
        <v>651</v>
      </c>
      <c r="I127" t="s" s="96">
        <v>627</v>
      </c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</row>
    <row r="128" ht="15.35" customHeight="1">
      <c r="A128" s="16"/>
      <c r="B128" s="16"/>
      <c r="C128" s="16"/>
      <c r="D128" s="16"/>
      <c r="E128" s="16"/>
      <c r="F128" s="16"/>
      <c r="G128" s="16"/>
      <c r="H128" t="s" s="96">
        <v>652</v>
      </c>
      <c r="I128" s="79">
        <v>430</v>
      </c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</row>
    <row r="129" ht="15.35" customHeight="1">
      <c r="A129" s="16"/>
      <c r="B129" s="16"/>
      <c r="C129" s="16"/>
      <c r="D129" s="16"/>
      <c r="E129" s="16"/>
      <c r="F129" s="16"/>
      <c r="G129" s="16"/>
      <c r="H129" t="s" s="96">
        <v>653</v>
      </c>
      <c r="I129" t="s" s="96">
        <v>654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</row>
    <row r="130" ht="15.35" customHeight="1">
      <c r="A130" s="16"/>
      <c r="B130" s="16"/>
      <c r="C130" s="16"/>
      <c r="D130" s="16"/>
      <c r="E130" s="16"/>
      <c r="F130" s="16"/>
      <c r="G130" s="16"/>
      <c r="H130" t="s" s="96">
        <v>655</v>
      </c>
      <c r="I130" s="79">
        <v>1</v>
      </c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</row>
    <row r="131" ht="15.35" customHeight="1">
      <c r="A131" s="16"/>
      <c r="B131" s="16"/>
      <c r="C131" s="16"/>
      <c r="D131" s="16"/>
      <c r="E131" s="16"/>
      <c r="F131" s="16"/>
      <c r="G131" s="16"/>
      <c r="H131" t="s" s="96">
        <v>656</v>
      </c>
      <c r="I131" s="79">
        <v>15</v>
      </c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</row>
    <row r="132" ht="15.35" customHeight="1">
      <c r="A132" s="16"/>
      <c r="B132" s="16"/>
      <c r="C132" s="16"/>
      <c r="D132" s="16"/>
      <c r="E132" s="16"/>
      <c r="F132" s="16"/>
      <c r="G132" s="16"/>
      <c r="H132" t="s" s="96">
        <v>657</v>
      </c>
      <c r="I132" t="s" s="96">
        <v>306</v>
      </c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</row>
    <row r="133" ht="15.35" customHeight="1">
      <c r="A133" s="16"/>
      <c r="B133" s="16"/>
      <c r="C133" s="16"/>
      <c r="D133" s="16"/>
      <c r="E133" s="16"/>
      <c r="F133" s="16"/>
      <c r="G133" s="16"/>
      <c r="H133" t="s" s="96">
        <v>658</v>
      </c>
      <c r="I133" t="s" s="96">
        <v>630</v>
      </c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</row>
    <row r="134" ht="15.35" customHeight="1">
      <c r="A134" s="16"/>
      <c r="B134" s="16"/>
      <c r="C134" s="16"/>
      <c r="D134" s="16"/>
      <c r="E134" s="16"/>
      <c r="F134" s="16"/>
      <c r="G134" s="16"/>
      <c r="H134" t="s" s="96">
        <v>659</v>
      </c>
      <c r="I134" t="s" s="96">
        <v>660</v>
      </c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</row>
    <row r="135" ht="15.35" customHeight="1">
      <c r="A135" s="16"/>
      <c r="B135" s="16"/>
      <c r="C135" s="16"/>
      <c r="D135" s="16"/>
      <c r="E135" s="16"/>
      <c r="F135" s="16"/>
      <c r="G135" s="16"/>
      <c r="H135" t="s" s="96">
        <v>661</v>
      </c>
      <c r="I135" t="s" s="96">
        <v>662</v>
      </c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</row>
    <row r="136" ht="15.35" customHeight="1">
      <c r="A136" s="16"/>
      <c r="B136" s="16"/>
      <c r="C136" s="16"/>
      <c r="D136" s="16"/>
      <c r="E136" s="16"/>
      <c r="F136" s="16"/>
      <c r="G136" s="16"/>
      <c r="H136" t="s" s="96">
        <v>663</v>
      </c>
      <c r="I136" t="s" s="96">
        <v>664</v>
      </c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</row>
    <row r="137" ht="15.35" customHeight="1">
      <c r="A137" s="16"/>
      <c r="B137" s="16"/>
      <c r="C137" s="16"/>
      <c r="D137" s="16"/>
      <c r="E137" s="16"/>
      <c r="F137" s="16"/>
      <c r="G137" s="16"/>
      <c r="H137" t="s" s="96">
        <v>665</v>
      </c>
      <c r="I137" t="s" s="96">
        <v>666</v>
      </c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</row>
    <row r="138" ht="15.35" customHeight="1">
      <c r="A138" s="16"/>
      <c r="B138" s="16"/>
      <c r="C138" s="16"/>
      <c r="D138" s="16"/>
      <c r="E138" s="16"/>
      <c r="F138" s="16"/>
      <c r="G138" s="16"/>
      <c r="H138" t="s" s="96">
        <v>667</v>
      </c>
      <c r="I138" s="79">
        <v>15945</v>
      </c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</row>
    <row r="139" ht="15.35" customHeight="1">
      <c r="A139" s="16"/>
      <c r="B139" s="16"/>
      <c r="C139" s="16"/>
      <c r="D139" s="16"/>
      <c r="E139" s="16"/>
      <c r="F139" s="16"/>
      <c r="G139" s="16"/>
      <c r="H139" t="s" s="96">
        <v>668</v>
      </c>
      <c r="I139" s="79">
        <v>4</v>
      </c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</row>
    <row r="140" ht="15.35" customHeight="1">
      <c r="A140" s="16"/>
      <c r="B140" s="16"/>
      <c r="C140" s="16"/>
      <c r="D140" s="16"/>
      <c r="E140" s="16"/>
      <c r="F140" s="16"/>
      <c r="G140" s="16"/>
      <c r="H140" t="s" s="96">
        <v>669</v>
      </c>
      <c r="I140" t="s" s="96">
        <v>670</v>
      </c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</row>
    <row r="141" ht="15.35" customHeight="1">
      <c r="A141" s="16"/>
      <c r="B141" s="16"/>
      <c r="C141" s="16"/>
      <c r="D141" s="16"/>
      <c r="E141" s="16"/>
      <c r="F141" s="16"/>
      <c r="G141" s="16"/>
      <c r="H141" t="s" s="96">
        <v>671</v>
      </c>
      <c r="I141" t="s" s="96">
        <v>672</v>
      </c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</row>
    <row r="142" ht="15.35" customHeight="1">
      <c r="A142" s="16"/>
      <c r="B142" s="16"/>
      <c r="C142" s="16"/>
      <c r="D142" s="16"/>
      <c r="E142" s="16"/>
      <c r="F142" s="16"/>
      <c r="G142" s="16"/>
      <c r="H142" t="s" s="96">
        <v>673</v>
      </c>
      <c r="I142" t="s" s="96">
        <v>674</v>
      </c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</row>
    <row r="143" ht="15.35" customHeight="1">
      <c r="A143" s="16"/>
      <c r="B143" s="16"/>
      <c r="C143" s="16"/>
      <c r="D143" s="16"/>
      <c r="E143" s="16"/>
      <c r="F143" s="16"/>
      <c r="G143" s="16"/>
      <c r="H143" t="s" s="96">
        <v>675</v>
      </c>
      <c r="I143" t="s" s="96">
        <v>34</v>
      </c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</row>
    <row r="144" ht="15.35" customHeight="1">
      <c r="A144" s="16"/>
      <c r="B144" s="16"/>
      <c r="C144" s="16"/>
      <c r="D144" s="16"/>
      <c r="E144" s="16"/>
      <c r="F144" s="16"/>
      <c r="G144" s="16"/>
      <c r="H144" t="s" s="96">
        <v>676</v>
      </c>
      <c r="I144" t="s" s="96">
        <v>34</v>
      </c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</row>
    <row r="145" ht="15.35" customHeight="1">
      <c r="A145" s="16"/>
      <c r="B145" s="16"/>
      <c r="C145" s="16"/>
      <c r="D145" s="16"/>
      <c r="E145" s="16"/>
      <c r="F145" s="16"/>
      <c r="G145" s="16"/>
      <c r="H145" t="s" s="96">
        <v>677</v>
      </c>
      <c r="I145" t="s" s="96">
        <v>678</v>
      </c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</row>
    <row r="146" ht="15.35" customHeight="1">
      <c r="A146" s="16"/>
      <c r="B146" s="16"/>
      <c r="C146" s="16"/>
      <c r="D146" s="16"/>
      <c r="E146" s="16"/>
      <c r="F146" s="16"/>
      <c r="G146" s="16"/>
      <c r="H146" t="s" s="96">
        <v>679</v>
      </c>
      <c r="I146" t="s" s="96">
        <v>680</v>
      </c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</row>
    <row r="147" ht="15.35" customHeight="1">
      <c r="A147" s="16"/>
      <c r="B147" s="16"/>
      <c r="C147" s="16"/>
      <c r="D147" s="16"/>
      <c r="E147" s="16"/>
      <c r="F147" s="16"/>
      <c r="G147" s="16"/>
      <c r="H147" t="s" s="96">
        <v>681</v>
      </c>
      <c r="I147" t="s" s="96">
        <v>682</v>
      </c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</row>
    <row r="148" ht="15.35" customHeight="1">
      <c r="A148" s="16"/>
      <c r="B148" s="16"/>
      <c r="C148" s="16"/>
      <c r="D148" s="16"/>
      <c r="E148" s="16"/>
      <c r="F148" s="16"/>
      <c r="G148" s="16"/>
      <c r="H148" t="s" s="96">
        <v>683</v>
      </c>
      <c r="I148" t="s" s="96">
        <v>684</v>
      </c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</row>
    <row r="149" ht="15.3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</row>
    <row r="150" ht="15.35" customHeight="1">
      <c r="A150" s="16"/>
      <c r="B150" s="16"/>
      <c r="C150" s="16"/>
      <c r="D150" s="16"/>
      <c r="E150" s="16"/>
      <c r="F150" s="16"/>
      <c r="G150" s="16"/>
      <c r="H150" t="s" s="96">
        <v>0</v>
      </c>
      <c r="I150" t="s" s="96">
        <v>1</v>
      </c>
      <c r="J150" t="s" s="96">
        <v>2</v>
      </c>
      <c r="K150" t="s" s="96">
        <v>3</v>
      </c>
      <c r="L150" t="s" s="96">
        <v>4</v>
      </c>
      <c r="M150" t="s" s="96">
        <v>5</v>
      </c>
      <c r="N150" t="s" s="96">
        <v>6</v>
      </c>
      <c r="O150" t="s" s="96">
        <v>7</v>
      </c>
      <c r="P150" t="s" s="96">
        <v>8</v>
      </c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</row>
    <row r="151" ht="15.35" customHeight="1">
      <c r="A151" s="16"/>
      <c r="B151" s="16"/>
      <c r="C151" s="16"/>
      <c r="D151" s="16"/>
      <c r="E151" s="16"/>
      <c r="F151" s="79">
        <v>6</v>
      </c>
      <c r="G151" s="16"/>
      <c r="H151" t="s" s="96">
        <v>406</v>
      </c>
      <c r="I151" t="s" s="96">
        <v>595</v>
      </c>
      <c r="J151" t="s" s="96">
        <v>31</v>
      </c>
      <c r="K151" t="s" s="96">
        <v>12</v>
      </c>
      <c r="L151" s="79">
        <v>1835</v>
      </c>
      <c r="M151" s="79">
        <v>86</v>
      </c>
      <c r="N151" t="s" s="96">
        <v>54</v>
      </c>
      <c r="O151" t="s" s="96">
        <v>596</v>
      </c>
      <c r="P151" t="s" s="96">
        <v>34</v>
      </c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</row>
    <row r="152" ht="15.35" customHeight="1">
      <c r="A152" s="16"/>
      <c r="B152" s="16"/>
      <c r="C152" s="16"/>
      <c r="D152" s="16"/>
      <c r="E152" s="16"/>
      <c r="F152" s="16"/>
      <c r="G152" s="16"/>
      <c r="H152" t="s" s="96">
        <v>598</v>
      </c>
      <c r="I152" t="s" s="96">
        <v>597</v>
      </c>
      <c r="J152" t="s" s="96">
        <v>11</v>
      </c>
      <c r="K152" t="s" s="96">
        <v>12</v>
      </c>
      <c r="L152" s="79">
        <v>1875</v>
      </c>
      <c r="M152" s="79">
        <v>46</v>
      </c>
      <c r="N152" t="s" s="96">
        <v>599</v>
      </c>
      <c r="O152" t="s" s="96">
        <v>11</v>
      </c>
      <c r="P152" t="s" s="96">
        <v>15</v>
      </c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</row>
    <row r="153" ht="15.3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</row>
    <row r="154" ht="15.3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</row>
    <row r="155" ht="15.35" customHeight="1">
      <c r="A155" s="16"/>
      <c r="B155" s="16"/>
      <c r="C155" s="16"/>
      <c r="D155" s="16"/>
      <c r="E155" s="16"/>
      <c r="F155" s="79">
        <v>8</v>
      </c>
      <c r="G155" s="16"/>
      <c r="H155" t="s" s="96">
        <v>0</v>
      </c>
      <c r="I155" t="s" s="96">
        <v>1</v>
      </c>
      <c r="J155" t="s" s="96">
        <v>2</v>
      </c>
      <c r="K155" t="s" s="96">
        <v>3</v>
      </c>
      <c r="L155" t="s" s="96">
        <v>4</v>
      </c>
      <c r="M155" t="s" s="96">
        <v>5</v>
      </c>
      <c r="N155" t="s" s="96">
        <v>6</v>
      </c>
      <c r="O155" t="s" s="96">
        <v>7</v>
      </c>
      <c r="P155" t="s" s="96">
        <v>8</v>
      </c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</row>
    <row r="156" ht="15.35" customHeight="1">
      <c r="A156" s="16"/>
      <c r="B156" s="16"/>
      <c r="C156" s="16"/>
      <c r="D156" s="16"/>
      <c r="E156" s="16"/>
      <c r="F156" s="16"/>
      <c r="G156" s="16"/>
      <c r="H156" t="s" s="96">
        <v>601</v>
      </c>
      <c r="I156" t="s" s="96">
        <v>600</v>
      </c>
      <c r="J156" t="s" s="96">
        <v>31</v>
      </c>
      <c r="K156" t="s" s="96">
        <v>37</v>
      </c>
      <c r="L156" s="79">
        <v>1866</v>
      </c>
      <c r="M156" s="79">
        <v>54</v>
      </c>
      <c r="N156" t="s" s="96">
        <v>84</v>
      </c>
      <c r="O156" t="s" s="96">
        <v>602</v>
      </c>
      <c r="P156" t="s" s="96">
        <v>603</v>
      </c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</row>
    <row r="157" ht="15.35" customHeight="1">
      <c r="A157" s="16"/>
      <c r="B157" s="16"/>
      <c r="C157" s="16"/>
      <c r="D157" s="16"/>
      <c r="E157" s="16"/>
      <c r="F157" s="16"/>
      <c r="G157" s="16"/>
      <c r="H157" t="s" s="96">
        <v>406</v>
      </c>
      <c r="I157" t="s" s="96">
        <v>600</v>
      </c>
      <c r="J157" t="s" s="96">
        <v>72</v>
      </c>
      <c r="K157" t="s" s="96">
        <v>12</v>
      </c>
      <c r="L157" s="79">
        <v>1865</v>
      </c>
      <c r="M157" s="79">
        <v>56</v>
      </c>
      <c r="N157" t="s" s="96">
        <v>13</v>
      </c>
      <c r="O157" t="s" s="96">
        <v>33</v>
      </c>
      <c r="P157" t="s" s="96">
        <v>34</v>
      </c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</row>
    <row r="158" ht="15.35" customHeight="1">
      <c r="A158" s="16"/>
      <c r="B158" s="16"/>
      <c r="C158" s="16"/>
      <c r="D158" s="16"/>
      <c r="E158" s="16"/>
      <c r="F158" s="16"/>
      <c r="G158" s="16"/>
      <c r="H158" t="s" s="96">
        <v>605</v>
      </c>
      <c r="I158" t="s" s="96">
        <v>604</v>
      </c>
      <c r="J158" t="s" s="96">
        <v>11</v>
      </c>
      <c r="K158" t="s" s="96">
        <v>12</v>
      </c>
      <c r="L158" s="79">
        <v>1901</v>
      </c>
      <c r="M158" s="79">
        <v>19</v>
      </c>
      <c r="N158" t="s" s="96">
        <v>607</v>
      </c>
      <c r="O158" t="s" s="96">
        <v>606</v>
      </c>
      <c r="P158" t="s" s="96">
        <v>15</v>
      </c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</row>
    <row r="159" ht="15.3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</row>
    <row r="160" ht="15.35" customHeight="1">
      <c r="A160" s="16"/>
      <c r="B160" s="16"/>
      <c r="C160" s="16"/>
      <c r="D160" s="16"/>
      <c r="E160" s="16"/>
      <c r="F160" s="16"/>
      <c r="G160" s="16"/>
      <c r="H160" t="s" s="96">
        <v>0</v>
      </c>
      <c r="I160" t="s" s="96">
        <v>1</v>
      </c>
      <c r="J160" t="s" s="96">
        <v>2</v>
      </c>
      <c r="K160" t="s" s="96">
        <v>3</v>
      </c>
      <c r="L160" t="s" s="96">
        <v>4</v>
      </c>
      <c r="M160" t="s" s="96">
        <v>5</v>
      </c>
      <c r="N160" t="s" s="96">
        <v>6</v>
      </c>
      <c r="O160" t="s" s="96">
        <v>7</v>
      </c>
      <c r="P160" t="s" s="96">
        <v>8</v>
      </c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</row>
    <row r="161" ht="15.35" customHeight="1">
      <c r="A161" s="16"/>
      <c r="B161" s="16"/>
      <c r="C161" s="16"/>
      <c r="D161" s="16"/>
      <c r="E161" s="16"/>
      <c r="F161" s="79">
        <v>10</v>
      </c>
      <c r="G161" s="16"/>
      <c r="H161" t="s" s="96">
        <v>95</v>
      </c>
      <c r="I161" t="s" s="96">
        <v>608</v>
      </c>
      <c r="J161" t="s" s="96">
        <v>609</v>
      </c>
      <c r="K161" t="s" s="96">
        <v>12</v>
      </c>
      <c r="L161" s="79">
        <v>1862</v>
      </c>
      <c r="M161" s="79">
        <v>59</v>
      </c>
      <c r="N161" t="s" s="96">
        <v>536</v>
      </c>
      <c r="O161" t="s" s="96">
        <v>596</v>
      </c>
      <c r="P161" t="s" s="96">
        <v>34</v>
      </c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</row>
    <row r="162" ht="15.35" customHeight="1">
      <c r="A162" s="16"/>
      <c r="B162" s="16"/>
      <c r="C162" s="16"/>
      <c r="D162" s="16"/>
      <c r="E162" s="16"/>
      <c r="F162" s="16"/>
      <c r="G162" s="16"/>
      <c r="H162" t="s" s="96">
        <v>611</v>
      </c>
      <c r="I162" t="s" s="96">
        <v>608</v>
      </c>
      <c r="J162" t="s" s="96">
        <v>36</v>
      </c>
      <c r="K162" t="s" s="96">
        <v>37</v>
      </c>
      <c r="L162" s="79">
        <v>1894</v>
      </c>
      <c r="M162" s="79">
        <v>27</v>
      </c>
      <c r="N162" t="s" s="96">
        <v>599</v>
      </c>
      <c r="O162" t="s" s="96">
        <v>612</v>
      </c>
      <c r="P162" t="s" s="96">
        <v>613</v>
      </c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</row>
    <row r="163" ht="15.35" customHeight="1">
      <c r="A163" s="16"/>
      <c r="B163" s="16"/>
      <c r="C163" s="16"/>
      <c r="D163" s="16"/>
      <c r="E163" s="16"/>
      <c r="F163" s="16"/>
      <c r="G163" s="16"/>
      <c r="H163" t="s" s="96">
        <v>259</v>
      </c>
      <c r="I163" t="s" s="96">
        <v>614</v>
      </c>
      <c r="J163" t="s" s="96">
        <v>11</v>
      </c>
      <c r="K163" t="s" s="96">
        <v>12</v>
      </c>
      <c r="L163" s="79">
        <v>1886</v>
      </c>
      <c r="M163" s="79">
        <v>35</v>
      </c>
      <c r="N163" t="s" s="96">
        <v>615</v>
      </c>
      <c r="O163" t="s" s="96">
        <v>34</v>
      </c>
      <c r="P163" t="s" s="96">
        <v>15</v>
      </c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</row>
    <row r="164" ht="15.3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</row>
    <row r="165" ht="15.35" customHeight="1">
      <c r="A165" s="16"/>
      <c r="B165" s="16"/>
      <c r="C165" s="16"/>
      <c r="D165" s="16"/>
      <c r="E165" s="16"/>
      <c r="F165" s="16"/>
      <c r="G165" s="16"/>
      <c r="H165" t="s" s="96">
        <v>0</v>
      </c>
      <c r="I165" t="s" s="96">
        <v>1</v>
      </c>
      <c r="J165" t="s" s="96">
        <v>2</v>
      </c>
      <c r="K165" t="s" s="96">
        <v>3</v>
      </c>
      <c r="L165" t="s" s="96">
        <v>4</v>
      </c>
      <c r="M165" t="s" s="96">
        <v>5</v>
      </c>
      <c r="N165" t="s" s="96">
        <v>6</v>
      </c>
      <c r="O165" t="s" s="96">
        <v>7</v>
      </c>
      <c r="P165" t="s" s="96">
        <v>8</v>
      </c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</row>
    <row r="166" ht="15.35" customHeight="1">
      <c r="A166" s="16"/>
      <c r="B166" s="16"/>
      <c r="C166" s="16"/>
      <c r="D166" s="16"/>
      <c r="E166" s="16"/>
      <c r="F166" s="79">
        <v>10</v>
      </c>
      <c r="G166" s="16"/>
      <c r="H166" t="s" s="96">
        <v>193</v>
      </c>
      <c r="I166" t="s" s="96">
        <v>616</v>
      </c>
      <c r="J166" t="s" s="96">
        <v>31</v>
      </c>
      <c r="K166" t="s" s="96">
        <v>37</v>
      </c>
      <c r="L166" s="79">
        <v>1864</v>
      </c>
      <c r="M166" s="79">
        <v>56</v>
      </c>
      <c r="N166" t="s" s="96">
        <v>134</v>
      </c>
      <c r="O166" t="s" s="96">
        <v>617</v>
      </c>
      <c r="P166" t="s" s="96">
        <v>618</v>
      </c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</row>
    <row r="167" ht="15.35" customHeight="1">
      <c r="A167" s="16"/>
      <c r="B167" s="16"/>
      <c r="C167" s="16"/>
      <c r="D167" s="16"/>
      <c r="E167" s="16"/>
      <c r="F167" s="16"/>
      <c r="G167" s="16"/>
      <c r="H167" t="s" s="96">
        <v>259</v>
      </c>
      <c r="I167" t="s" s="96">
        <v>386</v>
      </c>
      <c r="J167" t="s" s="96">
        <v>492</v>
      </c>
      <c r="K167" t="s" s="96">
        <v>12</v>
      </c>
      <c r="L167" s="79">
        <v>1887</v>
      </c>
      <c r="M167" s="79">
        <v>34</v>
      </c>
      <c r="N167" t="s" s="96">
        <v>54</v>
      </c>
      <c r="O167" t="s" s="96">
        <v>33</v>
      </c>
      <c r="P167" t="s" s="96">
        <v>34</v>
      </c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</row>
    <row r="168" ht="15.35" customHeight="1">
      <c r="A168" s="16"/>
      <c r="B168" s="16"/>
      <c r="C168" s="16"/>
      <c r="D168" s="16"/>
      <c r="E168" s="16"/>
      <c r="F168" s="16"/>
      <c r="G168" s="16"/>
      <c r="H168" t="s" s="96">
        <v>619</v>
      </c>
      <c r="I168" t="s" s="96">
        <v>386</v>
      </c>
      <c r="J168" t="s" s="96">
        <v>36</v>
      </c>
      <c r="K168" t="s" s="96">
        <v>37</v>
      </c>
      <c r="L168" s="79">
        <v>1918</v>
      </c>
      <c r="M168" s="79">
        <v>3</v>
      </c>
      <c r="N168" t="s" s="96">
        <v>13</v>
      </c>
      <c r="O168" t="s" s="96">
        <v>34</v>
      </c>
      <c r="P168" t="s" s="96">
        <v>34</v>
      </c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</row>
    <row r="169" ht="15.35" customHeight="1">
      <c r="A169" s="16"/>
      <c r="B169" s="16"/>
      <c r="C169" s="16"/>
      <c r="D169" s="16"/>
      <c r="E169" s="16"/>
      <c r="F169" s="16"/>
      <c r="G169" s="16"/>
      <c r="H169" t="s" s="96">
        <v>86</v>
      </c>
      <c r="I169" t="s" s="96">
        <v>386</v>
      </c>
      <c r="J169" t="s" s="96">
        <v>78</v>
      </c>
      <c r="K169" t="s" s="96">
        <v>12</v>
      </c>
      <c r="L169" s="79">
        <v>1919</v>
      </c>
      <c r="M169" s="79">
        <v>1</v>
      </c>
      <c r="N169" t="s" s="96">
        <v>13</v>
      </c>
      <c r="O169" t="s" s="96">
        <v>34</v>
      </c>
      <c r="P169" t="s" s="96">
        <v>34</v>
      </c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BC72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106" customWidth="1"/>
    <col min="4" max="4" width="13.5" style="106" customWidth="1"/>
    <col min="5" max="5" width="20.1719" style="106" customWidth="1"/>
    <col min="6" max="6" width="10.6719" style="106" customWidth="1"/>
    <col min="7" max="10" width="10.8516" style="106" customWidth="1"/>
    <col min="11" max="11" width="19.1719" style="106" customWidth="1"/>
    <col min="12" max="12" width="7.85156" style="106" customWidth="1"/>
    <col min="13" max="13" width="10" style="106" customWidth="1"/>
    <col min="14" max="14" width="8.67188" style="106" customWidth="1"/>
    <col min="15" max="15" width="18.5" style="106" customWidth="1"/>
    <col min="16" max="16" width="11.5" style="106" customWidth="1"/>
    <col min="17" max="17" width="11.6719" style="106" customWidth="1"/>
    <col min="18" max="18" width="12.3516" style="106" customWidth="1"/>
    <col min="19" max="19" width="10.8516" style="106" customWidth="1"/>
    <col min="20" max="20" width="15.1719" style="106" customWidth="1"/>
    <col min="21" max="23" width="10.8516" style="106" customWidth="1"/>
    <col min="24" max="24" width="31" style="106" customWidth="1"/>
    <col min="25" max="25" width="19.8516" style="106" customWidth="1"/>
    <col min="26" max="26" width="12.1719" style="106" customWidth="1"/>
    <col min="27" max="30" width="16.5" style="106" customWidth="1"/>
    <col min="31" max="31" width="14.6719" style="106" customWidth="1"/>
    <col min="32" max="32" width="10.8516" style="106" customWidth="1"/>
    <col min="33" max="33" width="11" style="106" customWidth="1"/>
    <col min="34" max="34" width="11.1719" style="106" customWidth="1"/>
    <col min="35" max="35" width="7.85156" style="106" customWidth="1"/>
    <col min="36" max="37" width="10.8516" style="106" customWidth="1"/>
    <col min="38" max="38" width="7.35156" style="106" customWidth="1"/>
    <col min="39" max="39" width="10.8516" style="106" customWidth="1"/>
    <col min="40" max="40" width="9.17188" style="106" customWidth="1"/>
    <col min="41" max="41" width="10.8516" style="106" customWidth="1"/>
    <col min="42" max="42" width="12.5" style="106" customWidth="1"/>
    <col min="43" max="43" width="13" style="106" customWidth="1"/>
    <col min="44" max="55" width="10.8516" style="106" customWidth="1"/>
    <col min="56" max="16384" width="10.8516" style="106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685</v>
      </c>
      <c r="B3" s="111">
        <v>1921</v>
      </c>
      <c r="C3" s="112">
        <v>1</v>
      </c>
      <c r="D3" t="s" s="83">
        <v>686</v>
      </c>
      <c r="E3" s="30"/>
      <c r="F3" s="29"/>
      <c r="G3" t="s" s="83">
        <v>687</v>
      </c>
      <c r="H3" t="s" s="83">
        <v>688</v>
      </c>
      <c r="I3" s="113">
        <v>1</v>
      </c>
      <c r="J3" t="s" s="83">
        <v>37</v>
      </c>
      <c r="K3" s="114">
        <v>1</v>
      </c>
      <c r="L3" s="29"/>
      <c r="M3" s="29"/>
      <c r="N3" s="112">
        <v>1</v>
      </c>
      <c r="O3" s="115"/>
      <c r="P3" s="30"/>
      <c r="Q3" s="116"/>
      <c r="R3" s="62"/>
      <c r="S3" s="117"/>
      <c r="T3" s="118">
        <v>49</v>
      </c>
      <c r="U3" s="74"/>
      <c r="V3" s="16"/>
      <c r="W3" s="117"/>
      <c r="X3" s="29"/>
      <c r="Y3" s="29"/>
      <c r="Z3" s="29"/>
      <c r="AA3" t="s" s="119">
        <v>689</v>
      </c>
      <c r="AB3" s="29"/>
      <c r="AC3" s="114">
        <v>1</v>
      </c>
      <c r="AD3" s="118">
        <v>1</v>
      </c>
      <c r="AE3" s="30"/>
      <c r="AF3" t="s" s="119">
        <v>13</v>
      </c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685</v>
      </c>
      <c r="B4" s="112">
        <v>1921</v>
      </c>
      <c r="C4" s="112">
        <v>1</v>
      </c>
      <c r="D4" t="s" s="83">
        <v>686</v>
      </c>
      <c r="E4" s="30"/>
      <c r="F4" s="30"/>
      <c r="G4" t="s" s="83">
        <v>687</v>
      </c>
      <c r="H4" t="s" s="83">
        <v>690</v>
      </c>
      <c r="I4" s="120">
        <v>2</v>
      </c>
      <c r="J4" s="112">
        <v>1</v>
      </c>
      <c r="K4" s="30"/>
      <c r="L4" s="30"/>
      <c r="M4" s="121"/>
      <c r="N4" t="s" s="83">
        <v>72</v>
      </c>
      <c r="O4" s="120">
        <v>1</v>
      </c>
      <c r="P4" s="30"/>
      <c r="Q4" s="74"/>
      <c r="R4" s="16"/>
      <c r="S4" s="75"/>
      <c r="T4" s="118">
        <v>38</v>
      </c>
      <c r="U4" s="74"/>
      <c r="V4" s="16"/>
      <c r="W4" s="75"/>
      <c r="X4" s="30"/>
      <c r="Y4" s="30"/>
      <c r="Z4" s="30"/>
      <c r="AA4" t="s" s="119">
        <v>33</v>
      </c>
      <c r="AB4" s="30"/>
      <c r="AC4" s="29"/>
      <c r="AD4" t="s" s="119">
        <v>34</v>
      </c>
      <c r="AE4" s="30"/>
      <c r="AF4" t="s" s="119">
        <v>691</v>
      </c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685</v>
      </c>
      <c r="B5" s="112">
        <v>1921</v>
      </c>
      <c r="C5" s="112">
        <v>1</v>
      </c>
      <c r="D5" t="s" s="83">
        <v>686</v>
      </c>
      <c r="E5" s="30"/>
      <c r="F5" s="30"/>
      <c r="G5" t="s" s="83">
        <v>692</v>
      </c>
      <c r="H5" t="s" s="83">
        <v>591</v>
      </c>
      <c r="I5" s="120">
        <v>3</v>
      </c>
      <c r="J5" s="112">
        <v>1</v>
      </c>
      <c r="K5" s="30"/>
      <c r="L5" s="30"/>
      <c r="M5" s="121"/>
      <c r="N5" t="s" s="83">
        <v>11</v>
      </c>
      <c r="O5" s="122"/>
      <c r="P5" s="30"/>
      <c r="Q5" s="74"/>
      <c r="R5" s="16"/>
      <c r="S5" s="123">
        <v>1</v>
      </c>
      <c r="T5" s="118">
        <v>38</v>
      </c>
      <c r="U5" s="74"/>
      <c r="V5" s="16"/>
      <c r="W5" s="75"/>
      <c r="X5" s="30"/>
      <c r="Y5" s="30"/>
      <c r="Z5" s="30"/>
      <c r="AA5" t="s" s="119">
        <v>188</v>
      </c>
      <c r="AB5" s="30"/>
      <c r="AC5" s="114">
        <v>1</v>
      </c>
      <c r="AD5" t="s" s="119">
        <v>15</v>
      </c>
      <c r="AE5" s="30"/>
      <c r="AF5" t="s" s="119">
        <v>118</v>
      </c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685</v>
      </c>
      <c r="B6" s="112">
        <v>1921</v>
      </c>
      <c r="C6" s="112">
        <v>1</v>
      </c>
      <c r="D6" t="s" s="83">
        <v>686</v>
      </c>
      <c r="E6" s="30"/>
      <c r="F6" s="30"/>
      <c r="G6" t="s" s="83">
        <v>693</v>
      </c>
      <c r="H6" t="s" s="83">
        <v>694</v>
      </c>
      <c r="I6" s="120">
        <v>4</v>
      </c>
      <c r="J6" s="112">
        <v>1</v>
      </c>
      <c r="K6" s="30"/>
      <c r="L6" s="30"/>
      <c r="M6" s="121"/>
      <c r="N6" t="s" s="83">
        <v>11</v>
      </c>
      <c r="O6" s="122"/>
      <c r="P6" s="30"/>
      <c r="Q6" s="74"/>
      <c r="R6" s="16"/>
      <c r="S6" s="123">
        <v>1</v>
      </c>
      <c r="T6" s="118">
        <v>21</v>
      </c>
      <c r="U6" s="74"/>
      <c r="V6" s="16"/>
      <c r="W6" s="75"/>
      <c r="X6" s="30"/>
      <c r="Y6" s="30"/>
      <c r="Z6" s="30"/>
      <c r="AA6" t="s" s="119">
        <v>188</v>
      </c>
      <c r="AB6" s="30"/>
      <c r="AC6" s="114">
        <v>1</v>
      </c>
      <c r="AD6" t="s" s="119">
        <v>15</v>
      </c>
      <c r="AE6" s="30"/>
      <c r="AF6" t="s" s="119">
        <v>695</v>
      </c>
      <c r="AG6" s="112">
        <v>1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685</v>
      </c>
      <c r="B7" s="112">
        <v>1921</v>
      </c>
      <c r="C7" s="112">
        <v>1</v>
      </c>
      <c r="D7" t="s" s="83">
        <v>686</v>
      </c>
      <c r="E7" s="30"/>
      <c r="F7" s="30"/>
      <c r="G7" t="s" s="83">
        <v>696</v>
      </c>
      <c r="H7" t="s" s="83">
        <v>251</v>
      </c>
      <c r="I7" s="120">
        <v>5</v>
      </c>
      <c r="J7" s="112">
        <v>1</v>
      </c>
      <c r="K7" s="30"/>
      <c r="L7" s="30"/>
      <c r="M7" s="121"/>
      <c r="N7" t="s" s="83">
        <v>11</v>
      </c>
      <c r="O7" s="122"/>
      <c r="P7" s="30"/>
      <c r="Q7" s="74"/>
      <c r="R7" s="16"/>
      <c r="S7" s="123">
        <v>1</v>
      </c>
      <c r="T7" s="118">
        <v>29</v>
      </c>
      <c r="U7" s="74"/>
      <c r="V7" s="16"/>
      <c r="W7" s="75"/>
      <c r="X7" s="30"/>
      <c r="Y7" s="30"/>
      <c r="Z7" s="30"/>
      <c r="AA7" t="s" s="119">
        <v>188</v>
      </c>
      <c r="AB7" s="30"/>
      <c r="AC7" s="114">
        <v>1</v>
      </c>
      <c r="AD7" t="s" s="119">
        <v>15</v>
      </c>
      <c r="AE7" s="30"/>
      <c r="AF7" t="s" s="119">
        <v>697</v>
      </c>
      <c r="AG7" s="112">
        <v>1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685</v>
      </c>
      <c r="B8" s="112">
        <v>1921</v>
      </c>
      <c r="C8" s="112">
        <v>1</v>
      </c>
      <c r="D8" t="s" s="83">
        <v>686</v>
      </c>
      <c r="E8" s="30"/>
      <c r="F8" s="30"/>
      <c r="G8" t="s" s="83">
        <v>698</v>
      </c>
      <c r="H8" t="s" s="83">
        <v>369</v>
      </c>
      <c r="I8" s="120">
        <v>6</v>
      </c>
      <c r="J8" s="112">
        <v>1</v>
      </c>
      <c r="K8" s="30"/>
      <c r="L8" s="30"/>
      <c r="M8" s="121"/>
      <c r="N8" t="s" s="83">
        <v>11</v>
      </c>
      <c r="O8" s="122"/>
      <c r="P8" s="30"/>
      <c r="Q8" s="74"/>
      <c r="R8" s="16"/>
      <c r="S8" s="123">
        <v>1</v>
      </c>
      <c r="T8" s="118">
        <v>43</v>
      </c>
      <c r="U8" s="74"/>
      <c r="V8" s="16"/>
      <c r="W8" s="75"/>
      <c r="X8" s="30"/>
      <c r="Y8" s="30"/>
      <c r="Z8" s="30"/>
      <c r="AA8" t="s" s="119">
        <v>699</v>
      </c>
      <c r="AB8" s="30"/>
      <c r="AC8" s="114">
        <v>1</v>
      </c>
      <c r="AD8" t="s" s="119">
        <v>15</v>
      </c>
      <c r="AE8" s="30"/>
      <c r="AF8" t="s" s="119">
        <v>700</v>
      </c>
      <c r="AG8" s="112">
        <v>1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685</v>
      </c>
      <c r="B9" s="112">
        <v>1921</v>
      </c>
      <c r="C9" s="112">
        <v>1</v>
      </c>
      <c r="D9" t="s" s="83">
        <v>686</v>
      </c>
      <c r="E9" s="30"/>
      <c r="F9" s="30"/>
      <c r="G9" t="s" s="83">
        <v>701</v>
      </c>
      <c r="H9" t="s" s="83">
        <v>702</v>
      </c>
      <c r="I9" s="120">
        <v>7</v>
      </c>
      <c r="J9" s="112">
        <v>1</v>
      </c>
      <c r="K9" s="30"/>
      <c r="L9" s="30"/>
      <c r="M9" s="121"/>
      <c r="N9" t="s" s="83">
        <v>11</v>
      </c>
      <c r="O9" s="122"/>
      <c r="P9" s="30"/>
      <c r="Q9" s="74"/>
      <c r="R9" s="16"/>
      <c r="S9" s="123">
        <v>1</v>
      </c>
      <c r="T9" s="118">
        <v>25</v>
      </c>
      <c r="U9" s="74"/>
      <c r="V9" s="16"/>
      <c r="W9" s="75"/>
      <c r="X9" s="30"/>
      <c r="Y9" s="30"/>
      <c r="Z9" s="30"/>
      <c r="AA9" t="s" s="119">
        <v>188</v>
      </c>
      <c r="AB9" s="30"/>
      <c r="AC9" s="114">
        <v>1</v>
      </c>
      <c r="AD9" t="s" s="119">
        <v>15</v>
      </c>
      <c r="AE9" s="30"/>
      <c r="AF9" t="s" s="119">
        <v>34</v>
      </c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685</v>
      </c>
      <c r="B10" s="112">
        <v>1921</v>
      </c>
      <c r="C10" s="112">
        <v>1</v>
      </c>
      <c r="D10" t="s" s="83">
        <v>686</v>
      </c>
      <c r="E10" s="112">
        <v>8</v>
      </c>
      <c r="F10" s="30"/>
      <c r="G10" t="s" s="83">
        <v>703</v>
      </c>
      <c r="H10" t="s" s="83">
        <v>704</v>
      </c>
      <c r="I10" s="120">
        <v>8</v>
      </c>
      <c r="J10" s="112">
        <v>1</v>
      </c>
      <c r="K10" s="30"/>
      <c r="L10" s="30"/>
      <c r="M10" s="121"/>
      <c r="N10" t="s" s="83">
        <v>11</v>
      </c>
      <c r="O10" s="122"/>
      <c r="P10" s="30"/>
      <c r="Q10" s="74"/>
      <c r="R10" s="16"/>
      <c r="S10" s="123">
        <v>1</v>
      </c>
      <c r="T10" s="112">
        <v>19</v>
      </c>
      <c r="U10" s="74"/>
      <c r="V10" s="16"/>
      <c r="W10" s="75"/>
      <c r="X10" s="30"/>
      <c r="Y10" s="30"/>
      <c r="Z10" s="30"/>
      <c r="AA10" t="s" s="83">
        <v>188</v>
      </c>
      <c r="AB10" s="30"/>
      <c r="AC10" s="114">
        <v>1</v>
      </c>
      <c r="AD10" t="s" s="83">
        <v>15</v>
      </c>
      <c r="AE10" s="30"/>
      <c r="AF10" t="s" s="83">
        <v>121</v>
      </c>
      <c r="AG10" s="112">
        <v>1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83">
        <v>685</v>
      </c>
      <c r="B11" s="112">
        <v>1921</v>
      </c>
      <c r="C11" s="30"/>
      <c r="D11" t="s" s="83">
        <v>686</v>
      </c>
      <c r="E11" s="30"/>
      <c r="F11" s="30"/>
      <c r="G11" s="30"/>
      <c r="H11" s="30"/>
      <c r="I11" s="122"/>
      <c r="J11" s="30"/>
      <c r="K11" s="30"/>
      <c r="L11" s="30"/>
      <c r="M11" s="121"/>
      <c r="N11" s="30"/>
      <c r="O11" s="122"/>
      <c r="P11" s="30"/>
      <c r="Q11" s="74"/>
      <c r="R11" s="16"/>
      <c r="S11" s="75"/>
      <c r="T11" s="121"/>
      <c r="U11" s="74"/>
      <c r="V11" s="16"/>
      <c r="W11" s="75"/>
      <c r="X11" s="30"/>
      <c r="Y11" s="30"/>
      <c r="Z11" s="30"/>
      <c r="AA11" s="121"/>
      <c r="AB11" s="30"/>
      <c r="AC11" s="29"/>
      <c r="AD11" s="121"/>
      <c r="AE11" s="30"/>
      <c r="AF11" s="121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.5" customHeight="1">
      <c r="A12" t="s" s="83">
        <v>685</v>
      </c>
      <c r="B12" s="112">
        <v>1921</v>
      </c>
      <c r="C12" s="112">
        <v>2</v>
      </c>
      <c r="D12" t="s" s="83">
        <v>686</v>
      </c>
      <c r="E12" s="30"/>
      <c r="F12" s="30"/>
      <c r="G12" t="s" s="83">
        <v>705</v>
      </c>
      <c r="H12" t="s" s="83">
        <v>706</v>
      </c>
      <c r="I12" s="120">
        <v>9</v>
      </c>
      <c r="J12" t="s" s="83">
        <v>37</v>
      </c>
      <c r="K12" s="112">
        <v>1</v>
      </c>
      <c r="L12" s="30"/>
      <c r="M12" s="121"/>
      <c r="N12" s="112">
        <v>1</v>
      </c>
      <c r="O12" s="122"/>
      <c r="P12" s="30"/>
      <c r="Q12" s="74"/>
      <c r="R12" s="16"/>
      <c r="S12" s="75"/>
      <c r="T12" s="118">
        <v>57</v>
      </c>
      <c r="U12" s="74"/>
      <c r="V12" s="16"/>
      <c r="W12" s="75"/>
      <c r="X12" s="30"/>
      <c r="Y12" s="30"/>
      <c r="Z12" s="30"/>
      <c r="AA12" t="s" s="119">
        <v>707</v>
      </c>
      <c r="AB12" s="30"/>
      <c r="AC12" s="114">
        <v>1</v>
      </c>
      <c r="AD12" t="s" s="119">
        <v>15</v>
      </c>
      <c r="AE12" s="30"/>
      <c r="AF12" t="s" s="119">
        <v>708</v>
      </c>
      <c r="AG12" s="112">
        <v>1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685</v>
      </c>
      <c r="B13" s="112">
        <v>1921</v>
      </c>
      <c r="C13" s="112">
        <v>2</v>
      </c>
      <c r="D13" t="s" s="83">
        <v>686</v>
      </c>
      <c r="E13" s="112">
        <v>2</v>
      </c>
      <c r="F13" s="30"/>
      <c r="G13" t="s" s="83">
        <v>705</v>
      </c>
      <c r="H13" t="s" s="83">
        <v>251</v>
      </c>
      <c r="I13" s="120">
        <v>10</v>
      </c>
      <c r="J13" s="112">
        <v>1</v>
      </c>
      <c r="K13" s="30"/>
      <c r="L13" s="30"/>
      <c r="M13" s="121"/>
      <c r="N13" t="s" s="83">
        <v>72</v>
      </c>
      <c r="O13" s="120">
        <v>1</v>
      </c>
      <c r="P13" s="30"/>
      <c r="Q13" s="74"/>
      <c r="R13" s="16"/>
      <c r="S13" s="75"/>
      <c r="T13" s="118">
        <v>60</v>
      </c>
      <c r="U13" s="74"/>
      <c r="V13" s="16"/>
      <c r="W13" s="75"/>
      <c r="X13" s="30"/>
      <c r="Y13" s="30"/>
      <c r="Z13" s="30"/>
      <c r="AA13" t="s" s="119">
        <v>33</v>
      </c>
      <c r="AB13" s="30"/>
      <c r="AC13" s="29"/>
      <c r="AD13" t="s" s="119">
        <v>34</v>
      </c>
      <c r="AE13" s="30"/>
      <c r="AF13" t="s" s="119">
        <v>709</v>
      </c>
      <c r="AG13" s="112">
        <v>1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685</v>
      </c>
      <c r="B14" s="112">
        <v>1921</v>
      </c>
      <c r="C14" s="124"/>
      <c r="D14" t="s" s="83">
        <v>686</v>
      </c>
      <c r="E14" s="124"/>
      <c r="F14" s="28"/>
      <c r="G14" s="30"/>
      <c r="H14" s="30"/>
      <c r="I14" s="122"/>
      <c r="J14" s="30"/>
      <c r="K14" s="125"/>
      <c r="L14" s="28"/>
      <c r="M14" s="28"/>
      <c r="N14" s="30"/>
      <c r="O14" s="122"/>
      <c r="P14" s="30"/>
      <c r="Q14" s="74"/>
      <c r="R14" s="16"/>
      <c r="S14" s="75"/>
      <c r="T14" s="121"/>
      <c r="U14" s="74"/>
      <c r="V14" s="16"/>
      <c r="W14" s="75"/>
      <c r="X14" s="28"/>
      <c r="Y14" s="28"/>
      <c r="Z14" s="28"/>
      <c r="AA14" s="121"/>
      <c r="AB14" s="28"/>
      <c r="AC14" s="29"/>
      <c r="AD14" s="121"/>
      <c r="AE14" s="30"/>
      <c r="AF14" s="121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685</v>
      </c>
      <c r="B15" s="112">
        <v>1921</v>
      </c>
      <c r="C15" s="112">
        <v>3</v>
      </c>
      <c r="D15" t="s" s="83">
        <v>686</v>
      </c>
      <c r="E15" s="30"/>
      <c r="F15" s="30"/>
      <c r="G15" t="s" s="83">
        <v>710</v>
      </c>
      <c r="H15" t="s" s="83">
        <v>711</v>
      </c>
      <c r="I15" s="120">
        <v>11</v>
      </c>
      <c r="J15" t="s" s="83">
        <v>37</v>
      </c>
      <c r="K15" s="111">
        <v>1</v>
      </c>
      <c r="L15" s="30"/>
      <c r="M15" s="121"/>
      <c r="N15" s="112">
        <v>1</v>
      </c>
      <c r="O15" s="122"/>
      <c r="P15" s="30"/>
      <c r="Q15" s="74"/>
      <c r="R15" s="16"/>
      <c r="S15" s="75"/>
      <c r="T15" s="118">
        <v>56</v>
      </c>
      <c r="U15" s="74"/>
      <c r="V15" s="16"/>
      <c r="W15" s="75"/>
      <c r="X15" s="30"/>
      <c r="Y15" s="30"/>
      <c r="Z15" s="30"/>
      <c r="AA15" t="s" s="119">
        <v>712</v>
      </c>
      <c r="AB15" s="30"/>
      <c r="AC15" s="114">
        <v>1</v>
      </c>
      <c r="AD15" s="118">
        <v>1</v>
      </c>
      <c r="AE15" s="30"/>
      <c r="AF15" t="s" s="119">
        <v>507</v>
      </c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83">
        <v>685</v>
      </c>
      <c r="B16" s="112">
        <v>1921</v>
      </c>
      <c r="C16" s="112">
        <v>3</v>
      </c>
      <c r="D16" t="s" s="83">
        <v>686</v>
      </c>
      <c r="E16" s="30"/>
      <c r="F16" s="30"/>
      <c r="G16" t="s" s="83">
        <v>710</v>
      </c>
      <c r="H16" t="s" s="83">
        <v>417</v>
      </c>
      <c r="I16" s="120">
        <v>12</v>
      </c>
      <c r="J16" s="112">
        <v>1</v>
      </c>
      <c r="K16" s="116"/>
      <c r="L16" s="62"/>
      <c r="M16" s="117"/>
      <c r="N16" s="30"/>
      <c r="O16" s="120">
        <v>1</v>
      </c>
      <c r="P16" s="30"/>
      <c r="Q16" s="74"/>
      <c r="R16" s="16"/>
      <c r="S16" s="75"/>
      <c r="T16" s="112">
        <v>53</v>
      </c>
      <c r="U16" s="74"/>
      <c r="V16" s="16"/>
      <c r="W16" s="75"/>
      <c r="X16" s="30"/>
      <c r="Y16" s="30"/>
      <c r="Z16" s="30"/>
      <c r="AA16" t="s" s="83">
        <v>34</v>
      </c>
      <c r="AB16" s="30"/>
      <c r="AC16" s="29"/>
      <c r="AD16" t="s" s="83">
        <v>34</v>
      </c>
      <c r="AE16" s="30"/>
      <c r="AF16" t="s" s="83">
        <v>84</v>
      </c>
      <c r="AG16" s="112">
        <v>1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685</v>
      </c>
      <c r="B17" s="112">
        <v>1921</v>
      </c>
      <c r="C17" s="112">
        <v>3</v>
      </c>
      <c r="D17" t="s" s="83">
        <v>686</v>
      </c>
      <c r="E17" s="30"/>
      <c r="F17" s="30"/>
      <c r="G17" t="s" s="83">
        <v>710</v>
      </c>
      <c r="H17" t="s" s="83">
        <v>713</v>
      </c>
      <c r="I17" s="120">
        <v>13</v>
      </c>
      <c r="J17" s="112">
        <v>1</v>
      </c>
      <c r="K17" s="74"/>
      <c r="L17" s="16"/>
      <c r="M17" s="75"/>
      <c r="N17" t="s" s="83">
        <v>78</v>
      </c>
      <c r="O17" s="122"/>
      <c r="P17" s="112">
        <v>1</v>
      </c>
      <c r="Q17" s="74"/>
      <c r="R17" s="16"/>
      <c r="S17" s="75"/>
      <c r="T17" s="112">
        <v>23</v>
      </c>
      <c r="U17" s="74"/>
      <c r="V17" s="16"/>
      <c r="W17" s="75"/>
      <c r="X17" s="30"/>
      <c r="Y17" s="30"/>
      <c r="Z17" s="30"/>
      <c r="AA17" t="s" s="83">
        <v>34</v>
      </c>
      <c r="AB17" s="30"/>
      <c r="AC17" s="29"/>
      <c r="AD17" t="s" s="83">
        <v>34</v>
      </c>
      <c r="AE17" s="30"/>
      <c r="AF17" t="s" s="83">
        <v>536</v>
      </c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685</v>
      </c>
      <c r="B18" s="112">
        <v>1921</v>
      </c>
      <c r="C18" s="112">
        <v>3</v>
      </c>
      <c r="D18" t="s" s="83">
        <v>686</v>
      </c>
      <c r="E18" s="30"/>
      <c r="F18" s="30"/>
      <c r="G18" t="s" s="83">
        <v>714</v>
      </c>
      <c r="H18" t="s" s="83">
        <v>109</v>
      </c>
      <c r="I18" s="120">
        <v>14</v>
      </c>
      <c r="J18" s="112">
        <v>1</v>
      </c>
      <c r="K18" s="74"/>
      <c r="L18" s="16"/>
      <c r="M18" s="75"/>
      <c r="N18" t="s" s="83">
        <v>715</v>
      </c>
      <c r="O18" s="122"/>
      <c r="P18" s="30"/>
      <c r="Q18" s="74"/>
      <c r="R18" s="79">
        <v>1</v>
      </c>
      <c r="S18" s="75"/>
      <c r="T18" s="112">
        <v>38</v>
      </c>
      <c r="U18" s="74"/>
      <c r="V18" s="16"/>
      <c r="W18" s="75"/>
      <c r="X18" s="30"/>
      <c r="Y18" s="30"/>
      <c r="Z18" s="30"/>
      <c r="AA18" t="s" s="83">
        <v>716</v>
      </c>
      <c r="AB18" s="30"/>
      <c r="AC18" s="114">
        <v>1</v>
      </c>
      <c r="AD18" t="s" s="83">
        <v>15</v>
      </c>
      <c r="AE18" s="30"/>
      <c r="AF18" t="s" s="83">
        <v>536</v>
      </c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685</v>
      </c>
      <c r="B19" s="112">
        <v>1921</v>
      </c>
      <c r="C19" s="112">
        <v>3</v>
      </c>
      <c r="D19" t="s" s="83">
        <v>686</v>
      </c>
      <c r="E19" s="30"/>
      <c r="F19" s="30"/>
      <c r="G19" t="s" s="83">
        <v>717</v>
      </c>
      <c r="H19" t="s" s="83">
        <v>718</v>
      </c>
      <c r="I19" s="120">
        <v>15</v>
      </c>
      <c r="J19" s="112">
        <v>1</v>
      </c>
      <c r="K19" s="74"/>
      <c r="L19" s="16"/>
      <c r="M19" s="75"/>
      <c r="N19" t="s" s="83">
        <v>11</v>
      </c>
      <c r="O19" s="122"/>
      <c r="P19" s="30"/>
      <c r="Q19" s="74"/>
      <c r="R19" s="16"/>
      <c r="S19" s="123">
        <v>1</v>
      </c>
      <c r="T19" s="112">
        <v>29</v>
      </c>
      <c r="U19" s="74"/>
      <c r="V19" s="16"/>
      <c r="W19" s="75"/>
      <c r="X19" s="30"/>
      <c r="Y19" s="30"/>
      <c r="Z19" s="30"/>
      <c r="AA19" t="s" s="83">
        <v>45</v>
      </c>
      <c r="AB19" s="30"/>
      <c r="AC19" s="114">
        <v>1</v>
      </c>
      <c r="AD19" t="s" s="83">
        <v>15</v>
      </c>
      <c r="AE19" s="30"/>
      <c r="AF19" t="s" s="83">
        <v>719</v>
      </c>
      <c r="AG19" s="112">
        <v>1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685</v>
      </c>
      <c r="B20" s="112">
        <v>1921</v>
      </c>
      <c r="C20" s="112">
        <v>3</v>
      </c>
      <c r="D20" t="s" s="83">
        <v>686</v>
      </c>
      <c r="E20" s="112">
        <v>6</v>
      </c>
      <c r="F20" s="30"/>
      <c r="G20" t="s" s="83">
        <v>720</v>
      </c>
      <c r="H20" t="s" s="83">
        <v>721</v>
      </c>
      <c r="I20" s="120">
        <v>16</v>
      </c>
      <c r="J20" s="112">
        <v>1</v>
      </c>
      <c r="K20" s="74"/>
      <c r="L20" s="16"/>
      <c r="M20" s="75"/>
      <c r="N20" t="s" s="83">
        <v>11</v>
      </c>
      <c r="O20" s="122"/>
      <c r="P20" s="30"/>
      <c r="Q20" s="74"/>
      <c r="R20" s="16"/>
      <c r="S20" s="123">
        <v>1</v>
      </c>
      <c r="T20" s="112">
        <v>22</v>
      </c>
      <c r="U20" s="74"/>
      <c r="V20" s="16"/>
      <c r="W20" s="75"/>
      <c r="X20" s="30"/>
      <c r="Y20" s="30"/>
      <c r="Z20" s="30"/>
      <c r="AA20" t="s" s="83">
        <v>55</v>
      </c>
      <c r="AB20" s="30"/>
      <c r="AC20" s="114">
        <v>1</v>
      </c>
      <c r="AD20" t="s" s="83">
        <v>15</v>
      </c>
      <c r="AE20" s="30"/>
      <c r="AF20" t="s" s="83">
        <v>722</v>
      </c>
      <c r="AG20" s="112">
        <v>1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685</v>
      </c>
      <c r="B21" s="112">
        <v>1921</v>
      </c>
      <c r="C21" s="112">
        <v>3</v>
      </c>
      <c r="D21" t="s" s="83">
        <v>686</v>
      </c>
      <c r="E21" s="30"/>
      <c r="F21" s="30"/>
      <c r="G21" s="30"/>
      <c r="H21" s="116"/>
      <c r="I21" s="79">
        <v>16</v>
      </c>
      <c r="J21" s="97" cm="1">
        <f t="array" ref="J21">SUM(J3:J20)</f>
        <v>13</v>
      </c>
      <c r="K21" s="79" cm="1">
        <f t="array" ref="K21">SUM(K3:K20)</f>
        <v>3</v>
      </c>
      <c r="L21" s="79" cm="1">
        <f t="array" ref="L21">SUM(L3:L20)</f>
        <v>0</v>
      </c>
      <c r="M21" s="79" cm="1">
        <f t="array" ref="M21">SUM(M3:M20)</f>
        <v>0</v>
      </c>
      <c r="N21" s="97" cm="1">
        <f t="array" ref="N21">SUM(N3:N20)</f>
        <v>3</v>
      </c>
      <c r="O21" s="79" cm="1">
        <f t="array" ref="O21">SUM(O3:O20)</f>
        <v>3</v>
      </c>
      <c r="P21" s="97" cm="1">
        <f t="array" ref="P21">SUM(P3:P20)</f>
        <v>1</v>
      </c>
      <c r="Q21" s="126" cm="1">
        <f t="array" ref="Q21">SUM(Q3:Q20)</f>
        <v>0</v>
      </c>
      <c r="R21" s="126" cm="1">
        <f t="array" ref="R21">SUM(R3:R20)</f>
        <v>1</v>
      </c>
      <c r="S21" s="126" cm="1">
        <f t="array" ref="S21">SUM(S3:S20)</f>
        <v>8</v>
      </c>
      <c r="T21" s="127" cm="1">
        <f t="array" ref="T21">SUM(T3:T20)</f>
        <v>600</v>
      </c>
      <c r="U21" s="126" cm="1">
        <f t="array" ref="U21">SUM(U3:U20)</f>
        <v>0</v>
      </c>
      <c r="V21" s="126" cm="1">
        <f t="array" ref="V21">SUM(V3:V20)</f>
        <v>0</v>
      </c>
      <c r="W21" s="126" cm="1">
        <f t="array" ref="W21">SUM(W3:W20)</f>
        <v>0</v>
      </c>
      <c r="X21" s="127" cm="1">
        <f t="array" ref="X21">SUM(X3:X20)</f>
        <v>0</v>
      </c>
      <c r="Y21" s="127" cm="1">
        <f t="array" ref="Y21">SUM(Y3:Y20)</f>
        <v>0</v>
      </c>
      <c r="Z21" s="127" cm="1">
        <f t="array" ref="Z21">SUM(Z3:Z20)</f>
        <v>0</v>
      </c>
      <c r="AA21" s="127" cm="1">
        <f t="array" ref="AA21">SUM(AA3:AA20)</f>
        <v>0</v>
      </c>
      <c r="AB21" s="127" cm="1">
        <f t="array" ref="AB21">SUM(AB3:AB20)</f>
        <v>0</v>
      </c>
      <c r="AC21" s="127" cm="1">
        <f t="array" ref="AC21">SUM(AC3:AC20)</f>
        <v>12</v>
      </c>
      <c r="AD21" s="127" cm="1">
        <f t="array" ref="AD21">SUM(AD3:AD20)</f>
        <v>2</v>
      </c>
      <c r="AE21" s="127" cm="1">
        <f t="array" ref="AE21">AC21-AD21</f>
        <v>10</v>
      </c>
      <c r="AF21" s="127" cm="1">
        <f t="array" ref="AF21">N22-AG21</f>
        <v>7</v>
      </c>
      <c r="AG21" s="127" cm="1">
        <f t="array" ref="AG21">SUM(AG3:AG20)</f>
        <v>9</v>
      </c>
      <c r="AH21" s="128" cm="1">
        <f t="array" ref="AH21">AG21+AF21</f>
        <v>16</v>
      </c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s="30"/>
      <c r="B22" s="30"/>
      <c r="C22" s="30"/>
      <c r="D22" s="30"/>
      <c r="E22" s="30"/>
      <c r="F22" s="30"/>
      <c r="G22" s="30"/>
      <c r="H22" s="74"/>
      <c r="I22" s="16"/>
      <c r="J22" s="79" cm="1">
        <f t="array" ref="J22">SUM(J21:M21)</f>
        <v>16</v>
      </c>
      <c r="K22" s="16"/>
      <c r="L22" s="16"/>
      <c r="M22" s="16"/>
      <c r="N22" s="79" cm="1">
        <f t="array" ref="N22">SUM(N21:S21)</f>
        <v>16</v>
      </c>
      <c r="O22" s="16"/>
      <c r="P22" s="75"/>
      <c r="Q22" s="30"/>
      <c r="R22" s="121"/>
      <c r="S22" s="121"/>
      <c r="T22" s="87" cm="1">
        <f t="array" ref="T22">T21/N22</f>
        <v>37.5</v>
      </c>
      <c r="U22" s="121"/>
      <c r="V22" s="121"/>
      <c r="W22" s="121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" customHeight="1">
      <c r="A23" s="30"/>
      <c r="B23" s="30"/>
      <c r="C23" s="30"/>
      <c r="D23" s="30"/>
      <c r="E23" s="30"/>
      <c r="F23" s="30"/>
      <c r="G23" s="30"/>
      <c r="H23" s="74"/>
      <c r="I23" s="16"/>
      <c r="J23" s="16"/>
      <c r="K23" s="16"/>
      <c r="L23" s="16"/>
      <c r="M23" s="16"/>
      <c r="N23" s="16"/>
      <c r="O23" s="16"/>
      <c r="P23" s="75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s="30"/>
      <c r="B24" s="30"/>
      <c r="C24" s="30"/>
      <c r="D24" s="30"/>
      <c r="E24" s="30"/>
      <c r="F24" s="30"/>
      <c r="G24" s="30"/>
      <c r="H24" s="74"/>
      <c r="I24" s="16"/>
      <c r="J24" s="16"/>
      <c r="K24" s="16"/>
      <c r="L24" s="16"/>
      <c r="M24" s="16"/>
      <c r="N24" s="16"/>
      <c r="O24" s="16"/>
      <c r="P24" s="75"/>
      <c r="Q24" s="30"/>
      <c r="R24" s="121"/>
      <c r="S24" s="121"/>
      <c r="T24" s="129"/>
      <c r="U24" s="121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s="30"/>
      <c r="B25" s="30"/>
      <c r="C25" s="30"/>
      <c r="D25" s="30"/>
      <c r="E25" s="30"/>
      <c r="F25" s="30"/>
      <c r="G25" s="30"/>
      <c r="H25" s="74"/>
      <c r="I25" s="16"/>
      <c r="J25" s="16"/>
      <c r="K25" s="16"/>
      <c r="L25" s="16"/>
      <c r="M25" s="16"/>
      <c r="N25" s="16"/>
      <c r="O25" s="16"/>
      <c r="P25" s="75"/>
      <c r="Q25" s="30"/>
      <c r="R25" s="121"/>
      <c r="S25" s="121"/>
      <c r="T25" s="30"/>
      <c r="U25" s="121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30"/>
      <c r="F26" s="30"/>
      <c r="G26" s="30"/>
      <c r="H26" s="74"/>
      <c r="I26" s="16"/>
      <c r="J26" s="16"/>
      <c r="K26" s="16"/>
      <c r="L26" s="16"/>
      <c r="M26" s="16"/>
      <c r="N26" s="16"/>
      <c r="O26" s="16"/>
      <c r="P26" s="75"/>
      <c r="Q26" s="30"/>
      <c r="R26" s="121"/>
      <c r="S26" s="121"/>
      <c r="T26" s="30"/>
      <c r="U26" s="121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30"/>
      <c r="F27" s="30"/>
      <c r="G27" s="30"/>
      <c r="H27" s="74"/>
      <c r="I27" s="16"/>
      <c r="J27" s="16"/>
      <c r="K27" s="16"/>
      <c r="L27" s="16"/>
      <c r="M27" s="16"/>
      <c r="N27" s="16"/>
      <c r="O27" s="16"/>
      <c r="P27" s="75"/>
      <c r="Q27" s="30"/>
      <c r="R27" s="121"/>
      <c r="S27" s="121"/>
      <c r="T27" s="129"/>
      <c r="U27" s="121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30"/>
      <c r="G28" s="30"/>
      <c r="H28" s="74"/>
      <c r="I28" s="16"/>
      <c r="J28" s="16"/>
      <c r="K28" s="16"/>
      <c r="L28" s="16"/>
      <c r="M28" s="16"/>
      <c r="N28" s="16"/>
      <c r="O28" s="16"/>
      <c r="P28" s="75"/>
      <c r="Q28" s="30"/>
      <c r="R28" s="121"/>
      <c r="S28" s="121"/>
      <c r="T28" s="30"/>
      <c r="U28" s="121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30"/>
      <c r="G29" s="30"/>
      <c r="H29" s="74"/>
      <c r="I29" s="16"/>
      <c r="J29" s="16"/>
      <c r="K29" s="16"/>
      <c r="L29" s="16"/>
      <c r="M29" s="16"/>
      <c r="N29" s="16"/>
      <c r="O29" s="16"/>
      <c r="P29" s="75"/>
      <c r="Q29" s="30"/>
      <c r="R29" s="121"/>
      <c r="S29" s="121"/>
      <c r="T29" s="30"/>
      <c r="U29" s="121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74"/>
      <c r="I30" s="16"/>
      <c r="J30" s="16"/>
      <c r="K30" s="16"/>
      <c r="L30" s="16"/>
      <c r="M30" s="16"/>
      <c r="N30" s="16"/>
      <c r="O30" s="16"/>
      <c r="P30" s="75"/>
      <c r="Q30" s="30"/>
      <c r="R30" s="121"/>
      <c r="S30" s="121"/>
      <c r="T30" s="30"/>
      <c r="U30" s="121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" customHeight="1">
      <c r="A31" t="s" s="83">
        <v>723</v>
      </c>
      <c r="B31" s="30"/>
      <c r="C31" s="30"/>
      <c r="D31" s="30"/>
      <c r="E31" s="30"/>
      <c r="F31" s="30"/>
      <c r="G31" s="112" cm="1">
        <f t="array" ref="G31">SUM(G3:G30)</f>
        <v>0</v>
      </c>
      <c r="H31" s="74"/>
      <c r="I31" s="16"/>
      <c r="J31" s="16"/>
      <c r="K31" s="16"/>
      <c r="L31" s="16"/>
      <c r="M31" s="16"/>
      <c r="N31" s="16"/>
      <c r="O31" s="16"/>
      <c r="P31" s="75"/>
      <c r="Q31" s="112" cm="1">
        <f t="array" ref="Q31">SUM(Q3:Q30)</f>
        <v>0</v>
      </c>
      <c r="R31" s="112" cm="1">
        <f t="array" ref="R31">SUM(R3:R30)</f>
        <v>2</v>
      </c>
      <c r="S31" s="112" cm="1">
        <f t="array" ref="S31">SUM(S3:S30)</f>
        <v>16</v>
      </c>
      <c r="T31" s="112" cm="1">
        <f t="array" ref="T31">SUM(T3:T30)</f>
        <v>1237.5</v>
      </c>
      <c r="U31" s="112" cm="1">
        <f t="array" ref="U31">SUM(U3:U30)</f>
        <v>0</v>
      </c>
      <c r="V31" s="112" cm="1">
        <f t="array" ref="V31">SUM(V3:V30)</f>
        <v>0</v>
      </c>
      <c r="W31" s="112" cm="1">
        <f t="array" ref="W31">SUM(W3:W30)</f>
        <v>0</v>
      </c>
      <c r="X31" s="30"/>
      <c r="Y31" s="30"/>
      <c r="Z31" s="112" cm="1">
        <f t="array" ref="Z31">SUM(Z3:Z30)</f>
        <v>0</v>
      </c>
      <c r="AA31" s="112" cm="1">
        <f t="array" ref="AA31">SUM(AA3:AA30)</f>
        <v>0</v>
      </c>
      <c r="AB31" s="112" cm="1">
        <f t="array" ref="AB31">SUM(AB3:AB30)</f>
        <v>0</v>
      </c>
      <c r="AC31" s="112" cm="1">
        <f t="array" ref="AC31">SUM(AC3:AC30)</f>
        <v>24</v>
      </c>
      <c r="AD31" s="112" cm="1">
        <f t="array" ref="AD31">SUM(AD3:AD30)</f>
        <v>4</v>
      </c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" customHeight="1">
      <c r="A32" s="30"/>
      <c r="B32" s="30"/>
      <c r="C32" s="30"/>
      <c r="D32" s="30"/>
      <c r="E32" s="30"/>
      <c r="F32" s="30"/>
      <c r="G32" s="30"/>
      <c r="H32" s="74"/>
      <c r="I32" s="16"/>
      <c r="J32" s="16"/>
      <c r="K32" s="16"/>
      <c r="L32" s="16"/>
      <c r="M32" s="16"/>
      <c r="N32" s="16"/>
      <c r="O32" s="16"/>
      <c r="P32" s="75"/>
      <c r="Q32" s="87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s="30"/>
      <c r="B33" s="30"/>
      <c r="C33" s="30"/>
      <c r="D33" s="30"/>
      <c r="E33" s="30"/>
      <c r="F33" s="30"/>
      <c r="G33" s="130"/>
      <c r="H33" s="74"/>
      <c r="I33" s="16"/>
      <c r="J33" s="16"/>
      <c r="K33" s="16"/>
      <c r="L33" s="16"/>
      <c r="M33" s="16"/>
      <c r="N33" s="16"/>
      <c r="O33" s="16"/>
      <c r="P33" s="75"/>
      <c r="Q33" s="87"/>
      <c r="R33" s="130"/>
      <c r="S33" s="130"/>
      <c r="T33" s="1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.5" customHeight="1">
      <c r="A34" s="30"/>
      <c r="B34" s="30"/>
      <c r="C34" s="30"/>
      <c r="D34" s="30"/>
      <c r="E34" s="30"/>
      <c r="F34" s="30"/>
      <c r="G34" s="30"/>
      <c r="H34" s="74"/>
      <c r="I34" s="16"/>
      <c r="J34" s="16"/>
      <c r="K34" s="16"/>
      <c r="L34" s="16"/>
      <c r="M34" s="16"/>
      <c r="N34" s="16"/>
      <c r="O34" s="16"/>
      <c r="P34" s="75"/>
      <c r="Q34" s="30"/>
      <c r="R34" s="121"/>
      <c r="S34" s="121"/>
      <c r="T34" s="129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" customHeight="1">
      <c r="A35" s="30"/>
      <c r="B35" s="30"/>
      <c r="C35" s="30"/>
      <c r="D35" s="30"/>
      <c r="E35" s="30"/>
      <c r="F35" s="30"/>
      <c r="G35" s="30"/>
      <c r="H35" s="131"/>
      <c r="I35" s="132"/>
      <c r="J35" s="132"/>
      <c r="K35" s="132"/>
      <c r="L35" s="132"/>
      <c r="M35" s="132"/>
      <c r="N35" s="132"/>
      <c r="O35" s="132"/>
      <c r="P35" s="133"/>
      <c r="Q35" s="30"/>
      <c r="R35" s="130"/>
      <c r="S35" s="130"/>
      <c r="T35" s="130"/>
      <c r="U35" s="30"/>
      <c r="V35" s="30"/>
      <c r="W35" s="30"/>
      <c r="X35" s="30"/>
      <c r="Y35" s="30"/>
      <c r="Z35" s="30"/>
      <c r="AA35" s="30"/>
      <c r="AB35" s="30"/>
      <c r="AC35" s="134"/>
      <c r="AD35" s="134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121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5.35" customHeight="1">
      <c r="A37" s="62"/>
      <c r="B37" s="62"/>
      <c r="C37" s="62"/>
      <c r="D37" s="62"/>
      <c r="E37" s="62"/>
      <c r="F37" s="62"/>
      <c r="G37" s="62"/>
      <c r="H37" s="62"/>
      <c r="I37" s="62"/>
      <c r="J37" s="62"/>
      <c r="K37" s="62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  <c r="AK37" s="62"/>
      <c r="AL37" s="62"/>
      <c r="AM37" s="62"/>
      <c r="AN37" s="62"/>
      <c r="AO37" s="62"/>
      <c r="AP37" s="62"/>
      <c r="AQ37" s="62"/>
      <c r="AR37" s="62"/>
      <c r="AS37" s="62"/>
      <c r="AT37" s="62"/>
      <c r="AU37" s="62"/>
      <c r="AV37" s="62"/>
      <c r="AW37" s="62"/>
      <c r="AX37" s="62"/>
      <c r="AY37" s="62"/>
      <c r="AZ37" s="16"/>
      <c r="BA37" s="16"/>
      <c r="BB37" s="16"/>
      <c r="BC37" s="16"/>
    </row>
    <row r="38" ht="15.35" customHeight="1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</row>
    <row r="39" ht="15.3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</row>
    <row r="40" ht="15.35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5.35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5.35" customHeight="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5.35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</row>
    <row r="44" ht="15.35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</row>
    <row r="45" ht="15.35" customHeight="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</row>
    <row r="46" ht="15.3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5.35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</row>
    <row r="48" ht="15.3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5.35" customHeight="1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5.35" customHeight="1">
      <c r="A51" s="16"/>
      <c r="B51" s="16"/>
      <c r="C51" s="16"/>
      <c r="D51" s="16"/>
      <c r="E51" s="16"/>
      <c r="F51" s="16"/>
      <c r="G51" s="16"/>
      <c r="H51" s="132"/>
      <c r="I51" s="132"/>
      <c r="J51" s="132"/>
      <c r="K51" s="16"/>
      <c r="L51" s="132"/>
      <c r="M51" s="132"/>
      <c r="N51" s="132"/>
      <c r="O51" s="132"/>
      <c r="P51" s="132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34" customHeight="1">
      <c r="A52" s="16"/>
      <c r="B52" s="16"/>
      <c r="C52" s="16"/>
      <c r="D52" s="16"/>
      <c r="E52" s="16"/>
      <c r="F52" s="16"/>
      <c r="G52" s="75"/>
      <c r="H52" t="s" s="83">
        <v>0</v>
      </c>
      <c r="I52" t="s" s="83">
        <v>1</v>
      </c>
      <c r="J52" t="s" s="83">
        <v>2</v>
      </c>
      <c r="K52" t="s" s="110">
        <v>3</v>
      </c>
      <c r="L52" t="s" s="83">
        <v>4</v>
      </c>
      <c r="M52" t="s" s="119">
        <v>5</v>
      </c>
      <c r="N52" t="s" s="119">
        <v>6</v>
      </c>
      <c r="O52" t="s" s="119">
        <v>7</v>
      </c>
      <c r="P52" t="s" s="119">
        <v>8</v>
      </c>
      <c r="Q52" s="74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85" customHeight="1">
      <c r="A53" s="16"/>
      <c r="B53" s="16"/>
      <c r="C53" s="16"/>
      <c r="D53" s="16"/>
      <c r="E53" s="16"/>
      <c r="F53" s="16"/>
      <c r="G53" s="75"/>
      <c r="H53" t="s" s="83">
        <v>688</v>
      </c>
      <c r="I53" t="s" s="83">
        <v>687</v>
      </c>
      <c r="J53" t="s" s="83">
        <v>31</v>
      </c>
      <c r="K53" t="s" s="83">
        <v>37</v>
      </c>
      <c r="L53" s="112">
        <v>1872</v>
      </c>
      <c r="M53" s="118">
        <v>49</v>
      </c>
      <c r="N53" t="s" s="119">
        <v>13</v>
      </c>
      <c r="O53" t="s" s="119">
        <v>689</v>
      </c>
      <c r="P53" t="s" s="119">
        <v>8</v>
      </c>
      <c r="Q53" s="74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85" customHeight="1">
      <c r="A54" s="16"/>
      <c r="B54" s="16"/>
      <c r="C54" s="16"/>
      <c r="D54" s="16"/>
      <c r="E54" s="16"/>
      <c r="F54" s="16"/>
      <c r="G54" s="75"/>
      <c r="H54" t="s" s="83">
        <v>690</v>
      </c>
      <c r="I54" t="s" s="83">
        <v>687</v>
      </c>
      <c r="J54" t="s" s="83">
        <v>72</v>
      </c>
      <c r="K54" t="s" s="83">
        <v>12</v>
      </c>
      <c r="L54" s="112">
        <v>1882</v>
      </c>
      <c r="M54" s="118">
        <v>38</v>
      </c>
      <c r="N54" t="s" s="119">
        <v>691</v>
      </c>
      <c r="O54" t="s" s="119">
        <v>33</v>
      </c>
      <c r="P54" t="s" s="119">
        <v>34</v>
      </c>
      <c r="Q54" s="74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51" customHeight="1">
      <c r="A55" s="16"/>
      <c r="B55" s="16"/>
      <c r="C55" s="16"/>
      <c r="D55" s="16"/>
      <c r="E55" s="16"/>
      <c r="F55" s="16"/>
      <c r="G55" s="75"/>
      <c r="H55" t="s" s="83">
        <v>591</v>
      </c>
      <c r="I55" t="s" s="83">
        <v>692</v>
      </c>
      <c r="J55" t="s" s="83">
        <v>11</v>
      </c>
      <c r="K55" t="s" s="83">
        <v>12</v>
      </c>
      <c r="L55" s="112">
        <v>1883</v>
      </c>
      <c r="M55" s="118">
        <v>38</v>
      </c>
      <c r="N55" t="s" s="119">
        <v>118</v>
      </c>
      <c r="O55" t="s" s="119">
        <v>188</v>
      </c>
      <c r="P55" t="s" s="119">
        <v>15</v>
      </c>
      <c r="Q55" s="74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</row>
    <row r="56" ht="85" customHeight="1">
      <c r="A56" s="16"/>
      <c r="B56" s="16"/>
      <c r="C56" s="16"/>
      <c r="D56" s="16"/>
      <c r="E56" s="16"/>
      <c r="F56" s="16"/>
      <c r="G56" s="75"/>
      <c r="H56" t="s" s="83">
        <v>694</v>
      </c>
      <c r="I56" t="s" s="83">
        <v>693</v>
      </c>
      <c r="J56" t="s" s="83">
        <v>11</v>
      </c>
      <c r="K56" t="s" s="83">
        <v>12</v>
      </c>
      <c r="L56" s="112">
        <v>1899</v>
      </c>
      <c r="M56" s="118">
        <v>21</v>
      </c>
      <c r="N56" t="s" s="119">
        <v>695</v>
      </c>
      <c r="O56" t="s" s="119">
        <v>188</v>
      </c>
      <c r="P56" t="s" s="119">
        <v>15</v>
      </c>
      <c r="Q56" s="74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</row>
    <row r="57" ht="34" customHeight="1">
      <c r="A57" s="16"/>
      <c r="B57" s="16"/>
      <c r="C57" s="16"/>
      <c r="D57" s="16"/>
      <c r="E57" s="16"/>
      <c r="F57" s="16"/>
      <c r="G57" s="75"/>
      <c r="H57" t="s" s="83">
        <v>251</v>
      </c>
      <c r="I57" t="s" s="83">
        <v>696</v>
      </c>
      <c r="J57" t="s" s="83">
        <v>11</v>
      </c>
      <c r="K57" t="s" s="83">
        <v>12</v>
      </c>
      <c r="L57" s="112">
        <v>1892</v>
      </c>
      <c r="M57" s="118">
        <v>29</v>
      </c>
      <c r="N57" t="s" s="119">
        <v>697</v>
      </c>
      <c r="O57" t="s" s="119">
        <v>188</v>
      </c>
      <c r="P57" t="s" s="119">
        <v>15</v>
      </c>
      <c r="Q57" s="74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</row>
    <row r="58" ht="85" customHeight="1">
      <c r="A58" s="16"/>
      <c r="B58" s="16"/>
      <c r="C58" s="16"/>
      <c r="D58" s="16"/>
      <c r="E58" s="16"/>
      <c r="F58" s="16"/>
      <c r="G58" s="75"/>
      <c r="H58" t="s" s="83">
        <v>369</v>
      </c>
      <c r="I58" t="s" s="83">
        <v>698</v>
      </c>
      <c r="J58" t="s" s="83">
        <v>11</v>
      </c>
      <c r="K58" t="s" s="83">
        <v>12</v>
      </c>
      <c r="L58" s="112">
        <v>1878</v>
      </c>
      <c r="M58" s="118">
        <v>43</v>
      </c>
      <c r="N58" t="s" s="119">
        <v>700</v>
      </c>
      <c r="O58" t="s" s="119">
        <v>699</v>
      </c>
      <c r="P58" t="s" s="119">
        <v>15</v>
      </c>
      <c r="Q58" s="74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</row>
    <row r="59" ht="17" customHeight="1">
      <c r="A59" s="16"/>
      <c r="B59" s="16"/>
      <c r="C59" s="16"/>
      <c r="D59" s="16"/>
      <c r="E59" s="16"/>
      <c r="F59" s="16"/>
      <c r="G59" s="75"/>
      <c r="H59" t="s" s="83">
        <v>702</v>
      </c>
      <c r="I59" t="s" s="83">
        <v>701</v>
      </c>
      <c r="J59" t="s" s="83">
        <v>11</v>
      </c>
      <c r="K59" t="s" s="83">
        <v>12</v>
      </c>
      <c r="L59" s="112">
        <v>1895</v>
      </c>
      <c r="M59" s="118">
        <v>25</v>
      </c>
      <c r="N59" t="s" s="119">
        <v>34</v>
      </c>
      <c r="O59" t="s" s="119">
        <v>188</v>
      </c>
      <c r="P59" t="s" s="119">
        <v>15</v>
      </c>
      <c r="Q59" s="74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</row>
    <row r="60" ht="15.35" customHeight="1">
      <c r="A60" s="16"/>
      <c r="B60" s="16"/>
      <c r="C60" s="16"/>
      <c r="D60" s="16"/>
      <c r="E60" s="16"/>
      <c r="F60" s="16"/>
      <c r="G60" s="75"/>
      <c r="H60" t="s" s="83">
        <v>704</v>
      </c>
      <c r="I60" t="s" s="83">
        <v>703</v>
      </c>
      <c r="J60" t="s" s="83">
        <v>11</v>
      </c>
      <c r="K60" t="s" s="83">
        <v>12</v>
      </c>
      <c r="L60" s="112">
        <v>1901</v>
      </c>
      <c r="M60" s="112">
        <v>19</v>
      </c>
      <c r="N60" t="s" s="83">
        <v>121</v>
      </c>
      <c r="O60" t="s" s="83">
        <v>188</v>
      </c>
      <c r="P60" t="s" s="83">
        <v>15</v>
      </c>
      <c r="Q60" s="74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7.45" customHeight="1">
      <c r="A61" s="16"/>
      <c r="B61" s="16"/>
      <c r="C61" s="16"/>
      <c r="D61" s="16"/>
      <c r="E61" s="16"/>
      <c r="F61" s="16"/>
      <c r="G61" s="75"/>
      <c r="H61" s="30"/>
      <c r="I61" s="30"/>
      <c r="J61" s="30"/>
      <c r="K61" s="30"/>
      <c r="L61" s="30"/>
      <c r="M61" s="121"/>
      <c r="N61" s="121"/>
      <c r="O61" s="121"/>
      <c r="P61" s="121"/>
      <c r="Q61" s="74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34" customHeight="1">
      <c r="A62" s="16"/>
      <c r="B62" s="16"/>
      <c r="C62" s="16"/>
      <c r="D62" s="16"/>
      <c r="E62" s="16"/>
      <c r="F62" s="16"/>
      <c r="G62" s="75"/>
      <c r="H62" t="s" s="83">
        <v>0</v>
      </c>
      <c r="I62" t="s" s="83">
        <v>1</v>
      </c>
      <c r="J62" t="s" s="83">
        <v>2</v>
      </c>
      <c r="K62" t="s" s="83">
        <v>3</v>
      </c>
      <c r="L62" t="s" s="83">
        <v>4</v>
      </c>
      <c r="M62" t="s" s="119">
        <v>5</v>
      </c>
      <c r="N62" t="s" s="119">
        <v>6</v>
      </c>
      <c r="O62" t="s" s="119">
        <v>7</v>
      </c>
      <c r="P62" t="s" s="119">
        <v>8</v>
      </c>
      <c r="Q62" s="74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68" customHeight="1">
      <c r="A63" s="16"/>
      <c r="B63" s="16"/>
      <c r="C63" s="16"/>
      <c r="D63" s="16"/>
      <c r="E63" s="16"/>
      <c r="F63" s="16"/>
      <c r="G63" s="75"/>
      <c r="H63" t="s" s="83">
        <v>706</v>
      </c>
      <c r="I63" t="s" s="83">
        <v>705</v>
      </c>
      <c r="J63" t="s" s="83">
        <v>31</v>
      </c>
      <c r="K63" t="s" s="83">
        <v>37</v>
      </c>
      <c r="L63" s="112">
        <v>1864</v>
      </c>
      <c r="M63" s="118">
        <v>57</v>
      </c>
      <c r="N63" t="s" s="119">
        <v>708</v>
      </c>
      <c r="O63" t="s" s="119">
        <v>707</v>
      </c>
      <c r="P63" t="s" s="119">
        <v>15</v>
      </c>
      <c r="Q63" s="74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85" customHeight="1">
      <c r="A64" s="16"/>
      <c r="B64" s="16"/>
      <c r="C64" s="16"/>
      <c r="D64" s="16"/>
      <c r="E64" s="16"/>
      <c r="F64" s="16"/>
      <c r="G64" s="75"/>
      <c r="H64" t="s" s="83">
        <v>251</v>
      </c>
      <c r="I64" t="s" s="83">
        <v>705</v>
      </c>
      <c r="J64" t="s" s="83">
        <v>72</v>
      </c>
      <c r="K64" t="s" s="83">
        <v>12</v>
      </c>
      <c r="L64" s="112">
        <v>1861</v>
      </c>
      <c r="M64" s="118">
        <v>60</v>
      </c>
      <c r="N64" t="s" s="119">
        <v>709</v>
      </c>
      <c r="O64" t="s" s="119">
        <v>33</v>
      </c>
      <c r="P64" t="s" s="119">
        <v>34</v>
      </c>
      <c r="Q64" s="74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</row>
    <row r="65" ht="17.45" customHeight="1">
      <c r="A65" s="16"/>
      <c r="B65" s="16"/>
      <c r="C65" s="16"/>
      <c r="D65" s="16"/>
      <c r="E65" s="16"/>
      <c r="F65" s="16"/>
      <c r="G65" s="75"/>
      <c r="H65" s="30"/>
      <c r="I65" s="30"/>
      <c r="J65" s="30"/>
      <c r="K65" s="30"/>
      <c r="L65" s="30"/>
      <c r="M65" s="121"/>
      <c r="N65" s="121"/>
      <c r="O65" s="121"/>
      <c r="P65" s="121"/>
      <c r="Q65" s="74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</row>
    <row r="66" ht="34" customHeight="1">
      <c r="A66" s="16"/>
      <c r="B66" s="16"/>
      <c r="C66" s="16"/>
      <c r="D66" s="16"/>
      <c r="E66" s="16"/>
      <c r="F66" s="16"/>
      <c r="G66" s="75"/>
      <c r="H66" t="s" s="83">
        <v>0</v>
      </c>
      <c r="I66" t="s" s="83">
        <v>1</v>
      </c>
      <c r="J66" t="s" s="83">
        <v>2</v>
      </c>
      <c r="K66" t="s" s="83">
        <v>3</v>
      </c>
      <c r="L66" t="s" s="83">
        <v>4</v>
      </c>
      <c r="M66" t="s" s="119">
        <v>5</v>
      </c>
      <c r="N66" t="s" s="119">
        <v>6</v>
      </c>
      <c r="O66" t="s" s="119">
        <v>7</v>
      </c>
      <c r="P66" t="s" s="119">
        <v>8</v>
      </c>
      <c r="Q66" s="74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68" customHeight="1">
      <c r="A67" s="16"/>
      <c r="B67" s="16"/>
      <c r="C67" s="16"/>
      <c r="D67" s="16"/>
      <c r="E67" s="16"/>
      <c r="F67" s="16"/>
      <c r="G67" s="75"/>
      <c r="H67" t="s" s="83">
        <v>711</v>
      </c>
      <c r="I67" t="s" s="83">
        <v>710</v>
      </c>
      <c r="J67" t="s" s="83">
        <v>31</v>
      </c>
      <c r="K67" t="s" s="83">
        <v>37</v>
      </c>
      <c r="L67" s="112">
        <v>1865</v>
      </c>
      <c r="M67" s="118">
        <v>56</v>
      </c>
      <c r="N67" t="s" s="119">
        <v>507</v>
      </c>
      <c r="O67" t="s" s="119">
        <v>712</v>
      </c>
      <c r="P67" t="s" s="119">
        <v>8</v>
      </c>
      <c r="Q67" s="74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15.35" customHeight="1">
      <c r="A68" s="16"/>
      <c r="B68" s="16"/>
      <c r="C68" s="16"/>
      <c r="D68" s="16"/>
      <c r="E68" s="16"/>
      <c r="F68" s="16"/>
      <c r="G68" s="75"/>
      <c r="H68" t="s" s="83">
        <v>417</v>
      </c>
      <c r="I68" t="s" s="83">
        <v>710</v>
      </c>
      <c r="J68" t="s" s="83">
        <v>72</v>
      </c>
      <c r="K68" t="s" s="83">
        <v>12</v>
      </c>
      <c r="L68" s="112">
        <v>1867</v>
      </c>
      <c r="M68" s="112">
        <v>53</v>
      </c>
      <c r="N68" t="s" s="83">
        <v>84</v>
      </c>
      <c r="O68" t="s" s="83">
        <v>34</v>
      </c>
      <c r="P68" t="s" s="83">
        <v>34</v>
      </c>
      <c r="Q68" s="74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15.35" customHeight="1">
      <c r="A69" s="16"/>
      <c r="B69" s="16"/>
      <c r="C69" s="16"/>
      <c r="D69" s="16"/>
      <c r="E69" s="16"/>
      <c r="F69" s="16"/>
      <c r="G69" s="75"/>
      <c r="H69" t="s" s="83">
        <v>713</v>
      </c>
      <c r="I69" t="s" s="83">
        <v>710</v>
      </c>
      <c r="J69" t="s" s="83">
        <v>78</v>
      </c>
      <c r="K69" t="s" s="83">
        <v>12</v>
      </c>
      <c r="L69" s="112">
        <v>1897</v>
      </c>
      <c r="M69" s="112">
        <v>23</v>
      </c>
      <c r="N69" t="s" s="83">
        <v>536</v>
      </c>
      <c r="O69" t="s" s="83">
        <v>34</v>
      </c>
      <c r="P69" t="s" s="83">
        <v>34</v>
      </c>
      <c r="Q69" s="74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15.35" customHeight="1">
      <c r="A70" s="16"/>
      <c r="B70" s="16"/>
      <c r="C70" s="16"/>
      <c r="D70" s="16"/>
      <c r="E70" s="16"/>
      <c r="F70" s="16"/>
      <c r="G70" s="75"/>
      <c r="H70" t="s" s="83">
        <v>109</v>
      </c>
      <c r="I70" t="s" s="83">
        <v>714</v>
      </c>
      <c r="J70" t="s" s="83">
        <v>715</v>
      </c>
      <c r="K70" t="s" s="83">
        <v>12</v>
      </c>
      <c r="L70" s="112">
        <v>1882</v>
      </c>
      <c r="M70" s="112">
        <v>38</v>
      </c>
      <c r="N70" t="s" s="83">
        <v>536</v>
      </c>
      <c r="O70" t="s" s="83">
        <v>716</v>
      </c>
      <c r="P70" t="s" s="83">
        <v>15</v>
      </c>
      <c r="Q70" s="74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15.35" customHeight="1">
      <c r="A71" s="16"/>
      <c r="B71" s="16"/>
      <c r="C71" s="16"/>
      <c r="D71" s="16"/>
      <c r="E71" s="16"/>
      <c r="F71" s="16"/>
      <c r="G71" s="75"/>
      <c r="H71" t="s" s="83">
        <v>718</v>
      </c>
      <c r="I71" t="s" s="83">
        <v>717</v>
      </c>
      <c r="J71" t="s" s="83">
        <v>11</v>
      </c>
      <c r="K71" t="s" s="83">
        <v>12</v>
      </c>
      <c r="L71" s="112">
        <v>1892</v>
      </c>
      <c r="M71" s="112">
        <v>29</v>
      </c>
      <c r="N71" t="s" s="83">
        <v>719</v>
      </c>
      <c r="O71" t="s" s="83">
        <v>45</v>
      </c>
      <c r="P71" t="s" s="83">
        <v>15</v>
      </c>
      <c r="Q71" s="74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15.35" customHeight="1">
      <c r="A72" s="16"/>
      <c r="B72" s="16"/>
      <c r="C72" s="16"/>
      <c r="D72" s="16"/>
      <c r="E72" s="16"/>
      <c r="F72" s="16"/>
      <c r="G72" s="75"/>
      <c r="H72" t="s" s="83">
        <v>721</v>
      </c>
      <c r="I72" t="s" s="83">
        <v>720</v>
      </c>
      <c r="J72" t="s" s="83">
        <v>11</v>
      </c>
      <c r="K72" t="s" s="83">
        <v>12</v>
      </c>
      <c r="L72" s="112">
        <v>1899</v>
      </c>
      <c r="M72" s="112">
        <v>22</v>
      </c>
      <c r="N72" t="s" s="83">
        <v>722</v>
      </c>
      <c r="O72" t="s" s="83">
        <v>55</v>
      </c>
      <c r="P72" t="s" s="83">
        <v>15</v>
      </c>
      <c r="Q72" s="74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BC71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135" customWidth="1"/>
    <col min="4" max="4" width="17.8516" style="135" customWidth="1"/>
    <col min="5" max="5" width="16" style="135" customWidth="1"/>
    <col min="6" max="6" width="11.8516" style="135" customWidth="1"/>
    <col min="7" max="10" width="10.8516" style="135" customWidth="1"/>
    <col min="11" max="11" width="6" style="135" customWidth="1"/>
    <col min="12" max="12" width="7.85156" style="135" customWidth="1"/>
    <col min="13" max="13" width="10" style="135" customWidth="1"/>
    <col min="14" max="14" width="8.67188" style="135" customWidth="1"/>
    <col min="15" max="15" width="8.17188" style="135" customWidth="1"/>
    <col min="16" max="16" width="11.5" style="135" customWidth="1"/>
    <col min="17" max="17" width="11.6719" style="135" customWidth="1"/>
    <col min="18" max="18" width="12.3516" style="135" customWidth="1"/>
    <col min="19" max="19" width="10.8516" style="135" customWidth="1"/>
    <col min="20" max="20" width="10" style="135" customWidth="1"/>
    <col min="21" max="23" width="10.8516" style="135" customWidth="1"/>
    <col min="24" max="24" width="31" style="135" customWidth="1"/>
    <col min="25" max="25" width="19.8516" style="135" customWidth="1"/>
    <col min="26" max="26" width="12.1719" style="135" customWidth="1"/>
    <col min="27" max="30" width="16.5" style="135" customWidth="1"/>
    <col min="31" max="31" width="14.6719" style="135" customWidth="1"/>
    <col min="32" max="32" width="14.8516" style="135" customWidth="1"/>
    <col min="33" max="33" width="11" style="135" customWidth="1"/>
    <col min="34" max="34" width="11.1719" style="135" customWidth="1"/>
    <col min="35" max="35" width="7.85156" style="135" customWidth="1"/>
    <col min="36" max="37" width="10.8516" style="135" customWidth="1"/>
    <col min="38" max="38" width="7.35156" style="135" customWidth="1"/>
    <col min="39" max="39" width="10.8516" style="135" customWidth="1"/>
    <col min="40" max="40" width="9.17188" style="135" customWidth="1"/>
    <col min="41" max="41" width="10.8516" style="135" customWidth="1"/>
    <col min="42" max="42" width="12.5" style="135" customWidth="1"/>
    <col min="43" max="43" width="13" style="135" customWidth="1"/>
    <col min="44" max="55" width="10.8516" style="135" customWidth="1"/>
    <col min="56" max="16384" width="10.8516" style="135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136">
        <v>290</v>
      </c>
      <c r="B2" s="137"/>
      <c r="C2" s="137"/>
      <c r="D2" s="13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37">
        <v>724</v>
      </c>
      <c r="B3" t="s" s="37">
        <v>725</v>
      </c>
      <c r="C3" s="39">
        <v>1</v>
      </c>
      <c r="D3" t="s" s="138">
        <v>726</v>
      </c>
      <c r="E3" s="112">
        <v>1</v>
      </c>
      <c r="F3" s="29"/>
      <c r="G3" t="s" s="83">
        <v>592</v>
      </c>
      <c r="H3" t="s" s="83">
        <v>727</v>
      </c>
      <c r="I3" s="114">
        <v>1</v>
      </c>
      <c r="J3" t="s" s="83">
        <v>37</v>
      </c>
      <c r="K3" s="114">
        <v>1</v>
      </c>
      <c r="L3" s="29"/>
      <c r="M3" s="29"/>
      <c r="N3" s="112">
        <v>1</v>
      </c>
      <c r="O3" s="115"/>
      <c r="P3" s="30"/>
      <c r="Q3" s="116"/>
      <c r="R3" s="62"/>
      <c r="S3" s="117"/>
      <c r="T3" s="118">
        <v>54</v>
      </c>
      <c r="U3" s="74"/>
      <c r="V3" s="16"/>
      <c r="W3" s="117"/>
      <c r="X3" s="29"/>
      <c r="Y3" s="29"/>
      <c r="Z3" s="29"/>
      <c r="AA3" t="s" s="119">
        <v>194</v>
      </c>
      <c r="AB3" t="s" s="119">
        <v>8</v>
      </c>
      <c r="AC3" s="114">
        <v>1</v>
      </c>
      <c r="AD3" s="114">
        <v>1</v>
      </c>
      <c r="AE3" s="30"/>
      <c r="AF3" s="113">
        <v>1</v>
      </c>
      <c r="AG3" t="s" s="119">
        <v>13</v>
      </c>
      <c r="AH3" s="30"/>
      <c r="AI3" t="s" s="83">
        <v>31</v>
      </c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37">
        <v>724</v>
      </c>
      <c r="B4" t="s" s="37">
        <v>725</v>
      </c>
      <c r="C4" s="39">
        <v>1</v>
      </c>
      <c r="D4" t="s" s="138">
        <v>726</v>
      </c>
      <c r="E4" s="112">
        <v>2</v>
      </c>
      <c r="F4" s="30"/>
      <c r="G4" t="s" s="83">
        <v>592</v>
      </c>
      <c r="H4" t="s" s="83">
        <v>728</v>
      </c>
      <c r="I4" s="114">
        <v>2</v>
      </c>
      <c r="J4" s="112">
        <v>1</v>
      </c>
      <c r="K4" s="30"/>
      <c r="L4" s="30"/>
      <c r="M4" s="121"/>
      <c r="N4" t="s" s="83">
        <v>72</v>
      </c>
      <c r="O4" s="120">
        <v>1</v>
      </c>
      <c r="P4" s="30"/>
      <c r="Q4" s="74"/>
      <c r="R4" s="16"/>
      <c r="S4" s="75"/>
      <c r="T4" s="118">
        <v>52</v>
      </c>
      <c r="U4" s="74"/>
      <c r="V4" s="16"/>
      <c r="W4" s="75"/>
      <c r="X4" s="30"/>
      <c r="Y4" s="30"/>
      <c r="Z4" s="30"/>
      <c r="AA4" t="s" s="119">
        <v>34</v>
      </c>
      <c r="AB4" t="s" s="119">
        <v>34</v>
      </c>
      <c r="AC4" s="29"/>
      <c r="AD4" s="30"/>
      <c r="AE4" s="30"/>
      <c r="AF4" s="122"/>
      <c r="AG4" t="s" s="119">
        <v>729</v>
      </c>
      <c r="AH4" s="30"/>
      <c r="AI4" t="s" s="83">
        <v>72</v>
      </c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37">
        <v>724</v>
      </c>
      <c r="B5" t="s" s="37">
        <v>725</v>
      </c>
      <c r="C5" s="39">
        <v>1</v>
      </c>
      <c r="D5" t="s" s="138">
        <v>726</v>
      </c>
      <c r="E5" s="112">
        <v>3</v>
      </c>
      <c r="F5" s="30"/>
      <c r="G5" t="s" s="83">
        <v>730</v>
      </c>
      <c r="H5" t="s" s="83">
        <v>731</v>
      </c>
      <c r="I5" s="114">
        <v>3</v>
      </c>
      <c r="J5" s="112">
        <v>1</v>
      </c>
      <c r="K5" s="30"/>
      <c r="L5" s="30"/>
      <c r="M5" s="121"/>
      <c r="N5" t="s" s="83">
        <v>11</v>
      </c>
      <c r="O5" s="122"/>
      <c r="P5" s="30"/>
      <c r="Q5" s="74"/>
      <c r="R5" s="16"/>
      <c r="S5" s="123">
        <v>1</v>
      </c>
      <c r="T5" s="118">
        <v>28</v>
      </c>
      <c r="U5" s="74"/>
      <c r="V5" s="16"/>
      <c r="W5" s="75"/>
      <c r="X5" s="30"/>
      <c r="Y5" s="30"/>
      <c r="Z5" s="30"/>
      <c r="AA5" t="s" s="119">
        <v>188</v>
      </c>
      <c r="AB5" t="s" s="119">
        <v>15</v>
      </c>
      <c r="AC5" s="114">
        <v>1</v>
      </c>
      <c r="AD5" s="30"/>
      <c r="AE5" s="30"/>
      <c r="AF5" s="122"/>
      <c r="AG5" t="s" s="119">
        <v>732</v>
      </c>
      <c r="AH5" s="30"/>
      <c r="AI5" t="s" s="83">
        <v>11</v>
      </c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37">
        <v>724</v>
      </c>
      <c r="B6" t="s" s="37">
        <v>725</v>
      </c>
      <c r="C6" s="39">
        <v>1</v>
      </c>
      <c r="D6" t="s" s="138">
        <v>726</v>
      </c>
      <c r="E6" s="112">
        <v>4</v>
      </c>
      <c r="F6" s="30"/>
      <c r="G6" t="s" s="83">
        <v>733</v>
      </c>
      <c r="H6" t="s" s="83">
        <v>734</v>
      </c>
      <c r="I6" s="114">
        <v>4</v>
      </c>
      <c r="J6" s="112">
        <v>1</v>
      </c>
      <c r="K6" s="30"/>
      <c r="L6" s="30"/>
      <c r="M6" s="121"/>
      <c r="N6" t="s" s="83">
        <v>11</v>
      </c>
      <c r="O6" s="122"/>
      <c r="P6" s="30"/>
      <c r="Q6" s="74"/>
      <c r="R6" s="16"/>
      <c r="S6" s="123">
        <v>1</v>
      </c>
      <c r="T6" s="118">
        <v>28</v>
      </c>
      <c r="U6" s="74"/>
      <c r="V6" s="16"/>
      <c r="W6" s="75"/>
      <c r="X6" s="30"/>
      <c r="Y6" s="30"/>
      <c r="Z6" s="30"/>
      <c r="AA6" t="s" s="119">
        <v>188</v>
      </c>
      <c r="AB6" t="s" s="119">
        <v>15</v>
      </c>
      <c r="AC6" s="114">
        <v>1</v>
      </c>
      <c r="AD6" s="30"/>
      <c r="AE6" s="30"/>
      <c r="AF6" s="120">
        <v>1</v>
      </c>
      <c r="AG6" t="s" s="119">
        <v>13</v>
      </c>
      <c r="AH6" s="30"/>
      <c r="AI6" t="s" s="83">
        <v>11</v>
      </c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37">
        <v>724</v>
      </c>
      <c r="B7" t="s" s="37">
        <v>725</v>
      </c>
      <c r="C7" s="39">
        <v>1</v>
      </c>
      <c r="D7" t="s" s="138">
        <v>726</v>
      </c>
      <c r="E7" s="112">
        <v>5</v>
      </c>
      <c r="F7" s="30"/>
      <c r="G7" t="s" s="83">
        <v>735</v>
      </c>
      <c r="H7" t="s" s="83">
        <v>736</v>
      </c>
      <c r="I7" s="114">
        <v>5</v>
      </c>
      <c r="J7" s="112">
        <v>1</v>
      </c>
      <c r="K7" s="30"/>
      <c r="L7" s="30"/>
      <c r="M7" s="121"/>
      <c r="N7" t="s" s="83">
        <v>11</v>
      </c>
      <c r="O7" s="122"/>
      <c r="P7" s="30"/>
      <c r="Q7" s="74"/>
      <c r="R7" s="16"/>
      <c r="S7" s="123">
        <v>1</v>
      </c>
      <c r="T7" s="118">
        <v>45</v>
      </c>
      <c r="U7" s="74"/>
      <c r="V7" s="16"/>
      <c r="W7" s="75"/>
      <c r="X7" s="30"/>
      <c r="Y7" s="30"/>
      <c r="Z7" s="30"/>
      <c r="AA7" t="s" s="119">
        <v>188</v>
      </c>
      <c r="AB7" t="s" s="119">
        <v>15</v>
      </c>
      <c r="AC7" s="114">
        <v>1</v>
      </c>
      <c r="AD7" s="30"/>
      <c r="AE7" s="30"/>
      <c r="AF7" s="122"/>
      <c r="AG7" t="s" s="119">
        <v>737</v>
      </c>
      <c r="AH7" s="30"/>
      <c r="AI7" t="s" s="83">
        <v>11</v>
      </c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37">
        <v>724</v>
      </c>
      <c r="B8" t="s" s="37">
        <v>725</v>
      </c>
      <c r="C8" s="39">
        <v>1</v>
      </c>
      <c r="D8" t="s" s="138">
        <v>726</v>
      </c>
      <c r="E8" s="112">
        <v>6</v>
      </c>
      <c r="F8" s="30"/>
      <c r="G8" t="s" s="83">
        <v>738</v>
      </c>
      <c r="H8" t="s" s="83">
        <v>437</v>
      </c>
      <c r="I8" s="114">
        <v>6</v>
      </c>
      <c r="J8" s="112">
        <v>1</v>
      </c>
      <c r="K8" s="30"/>
      <c r="L8" s="30"/>
      <c r="M8" s="121"/>
      <c r="N8" t="s" s="83">
        <v>11</v>
      </c>
      <c r="O8" s="122"/>
      <c r="P8" s="30"/>
      <c r="Q8" s="74"/>
      <c r="R8" s="16"/>
      <c r="S8" s="123">
        <v>1</v>
      </c>
      <c r="T8" s="118">
        <v>25</v>
      </c>
      <c r="U8" s="74"/>
      <c r="V8" s="16"/>
      <c r="W8" s="75"/>
      <c r="X8" s="30"/>
      <c r="Y8" s="30"/>
      <c r="Z8" s="30"/>
      <c r="AA8" t="s" s="119">
        <v>188</v>
      </c>
      <c r="AB8" t="s" s="119">
        <v>15</v>
      </c>
      <c r="AC8" s="114">
        <v>1</v>
      </c>
      <c r="AD8" s="30"/>
      <c r="AE8" s="30"/>
      <c r="AF8" s="122"/>
      <c r="AG8" t="s" s="119">
        <v>739</v>
      </c>
      <c r="AH8" s="30"/>
      <c r="AI8" t="s" s="83">
        <v>11</v>
      </c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37">
        <v>724</v>
      </c>
      <c r="B9" t="s" s="37">
        <v>725</v>
      </c>
      <c r="C9" s="139">
        <v>1</v>
      </c>
      <c r="D9" t="s" s="138">
        <v>726</v>
      </c>
      <c r="E9" s="112">
        <v>7</v>
      </c>
      <c r="F9" s="30"/>
      <c r="G9" t="s" s="83">
        <v>740</v>
      </c>
      <c r="H9" t="s" s="83">
        <v>102</v>
      </c>
      <c r="I9" s="114">
        <v>7</v>
      </c>
      <c r="J9" s="30"/>
      <c r="K9" s="30"/>
      <c r="L9" s="112">
        <v>1</v>
      </c>
      <c r="M9" s="121"/>
      <c r="N9" t="s" s="83">
        <v>11</v>
      </c>
      <c r="O9" s="122"/>
      <c r="P9" s="30"/>
      <c r="Q9" s="74"/>
      <c r="R9" s="16"/>
      <c r="S9" s="123">
        <v>1</v>
      </c>
      <c r="T9" s="118">
        <v>16</v>
      </c>
      <c r="U9" s="74"/>
      <c r="V9" s="16"/>
      <c r="W9" s="75"/>
      <c r="X9" s="30"/>
      <c r="Y9" s="30"/>
      <c r="Z9" s="30"/>
      <c r="AA9" t="s" s="119">
        <v>188</v>
      </c>
      <c r="AB9" t="s" s="119">
        <v>15</v>
      </c>
      <c r="AC9" s="114">
        <v>1</v>
      </c>
      <c r="AD9" s="30"/>
      <c r="AE9" s="30"/>
      <c r="AF9" s="122"/>
      <c r="AG9" t="s" s="119">
        <v>22</v>
      </c>
      <c r="AH9" s="30"/>
      <c r="AI9" t="s" s="83">
        <v>11</v>
      </c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s="37"/>
      <c r="B10" s="57"/>
      <c r="C10" s="30"/>
      <c r="D10" s="140"/>
      <c r="E10" s="30"/>
      <c r="F10" s="30"/>
      <c r="G10" s="30"/>
      <c r="H10" s="30"/>
      <c r="I10" s="30"/>
      <c r="J10" s="30"/>
      <c r="K10" s="30"/>
      <c r="L10" s="30"/>
      <c r="M10" s="121"/>
      <c r="N10" s="30"/>
      <c r="O10" s="122"/>
      <c r="P10" s="30"/>
      <c r="Q10" s="74"/>
      <c r="R10" s="16"/>
      <c r="S10" s="75"/>
      <c r="T10" s="121"/>
      <c r="U10" s="74"/>
      <c r="V10" s="16"/>
      <c r="W10" s="75"/>
      <c r="X10" s="30"/>
      <c r="Y10" s="30"/>
      <c r="Z10" s="30"/>
      <c r="AA10" s="121"/>
      <c r="AB10" s="121"/>
      <c r="AC10" s="29"/>
      <c r="AD10" s="30"/>
      <c r="AE10" s="30"/>
      <c r="AF10" s="122"/>
      <c r="AG10" s="12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37">
        <v>724</v>
      </c>
      <c r="B11" t="s" s="57">
        <v>725</v>
      </c>
      <c r="C11" s="112">
        <v>2</v>
      </c>
      <c r="D11" t="s" s="140">
        <v>726</v>
      </c>
      <c r="E11" s="112">
        <v>2</v>
      </c>
      <c r="F11" s="30"/>
      <c r="G11" t="s" s="83">
        <v>741</v>
      </c>
      <c r="H11" t="s" s="83">
        <v>742</v>
      </c>
      <c r="I11" s="112">
        <v>8</v>
      </c>
      <c r="J11" s="30"/>
      <c r="K11" s="112">
        <v>1</v>
      </c>
      <c r="L11" s="30"/>
      <c r="M11" s="121"/>
      <c r="N11" s="112">
        <v>1</v>
      </c>
      <c r="O11" s="122"/>
      <c r="P11" s="30"/>
      <c r="Q11" s="74"/>
      <c r="R11" s="16"/>
      <c r="S11" s="75"/>
      <c r="T11" s="118">
        <v>52</v>
      </c>
      <c r="U11" s="74"/>
      <c r="V11" s="16"/>
      <c r="W11" s="75"/>
      <c r="X11" s="30"/>
      <c r="Y11" s="30"/>
      <c r="Z11" s="30"/>
      <c r="AA11" t="s" s="119">
        <v>743</v>
      </c>
      <c r="AB11" t="s" s="119">
        <v>744</v>
      </c>
      <c r="AC11" s="114">
        <v>1</v>
      </c>
      <c r="AD11" s="30"/>
      <c r="AE11" s="30"/>
      <c r="AF11" s="122"/>
      <c r="AG11" t="s" s="119">
        <v>745</v>
      </c>
      <c r="AH11" s="30"/>
      <c r="AI11" t="s" s="83">
        <v>31</v>
      </c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.5" customHeight="1">
      <c r="A12" t="s" s="37">
        <v>724</v>
      </c>
      <c r="B12" t="s" s="57">
        <v>725</v>
      </c>
      <c r="C12" s="112">
        <v>2</v>
      </c>
      <c r="D12" t="s" s="140">
        <v>726</v>
      </c>
      <c r="E12" s="112">
        <v>3</v>
      </c>
      <c r="F12" s="30"/>
      <c r="G12" t="s" s="83">
        <v>741</v>
      </c>
      <c r="H12" t="s" s="83">
        <v>746</v>
      </c>
      <c r="I12" s="112">
        <v>9</v>
      </c>
      <c r="J12" s="112">
        <v>1</v>
      </c>
      <c r="K12" s="30"/>
      <c r="L12" s="30"/>
      <c r="M12" s="121"/>
      <c r="N12" t="s" s="83">
        <v>72</v>
      </c>
      <c r="O12" s="120">
        <v>1</v>
      </c>
      <c r="P12" s="30"/>
      <c r="Q12" s="74"/>
      <c r="R12" s="16"/>
      <c r="S12" s="75"/>
      <c r="T12" s="118">
        <v>48</v>
      </c>
      <c r="U12" s="74"/>
      <c r="V12" s="16"/>
      <c r="W12" s="75"/>
      <c r="X12" s="30"/>
      <c r="Y12" s="30"/>
      <c r="Z12" s="30"/>
      <c r="AA12" t="s" s="119">
        <v>33</v>
      </c>
      <c r="AB12" t="s" s="119">
        <v>34</v>
      </c>
      <c r="AC12" s="29"/>
      <c r="AD12" s="30"/>
      <c r="AE12" s="30"/>
      <c r="AF12" s="122"/>
      <c r="AG12" t="s" s="119">
        <v>747</v>
      </c>
      <c r="AH12" s="30"/>
      <c r="AI12" t="s" s="83">
        <v>72</v>
      </c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37">
        <v>724</v>
      </c>
      <c r="B13" t="s" s="57">
        <v>725</v>
      </c>
      <c r="C13" s="112">
        <v>2</v>
      </c>
      <c r="D13" t="s" s="140">
        <v>726</v>
      </c>
      <c r="E13" s="112">
        <v>4</v>
      </c>
      <c r="F13" s="30"/>
      <c r="G13" t="s" s="83">
        <v>748</v>
      </c>
      <c r="H13" t="s" s="83">
        <v>749</v>
      </c>
      <c r="I13" s="112">
        <v>10</v>
      </c>
      <c r="J13" s="112">
        <v>1</v>
      </c>
      <c r="K13" s="30"/>
      <c r="L13" s="30"/>
      <c r="M13" s="121"/>
      <c r="N13" t="s" s="83">
        <v>750</v>
      </c>
      <c r="O13" s="122"/>
      <c r="P13" s="30"/>
      <c r="Q13" s="74"/>
      <c r="R13" s="79">
        <v>1</v>
      </c>
      <c r="S13" s="75"/>
      <c r="T13" s="118">
        <v>41</v>
      </c>
      <c r="U13" s="74"/>
      <c r="V13" s="16"/>
      <c r="W13" s="75"/>
      <c r="X13" s="30"/>
      <c r="Y13" s="30"/>
      <c r="Z13" s="30"/>
      <c r="AA13" t="s" s="119">
        <v>751</v>
      </c>
      <c r="AB13" t="s" s="119">
        <v>752</v>
      </c>
      <c r="AC13" s="114">
        <v>1</v>
      </c>
      <c r="AD13" s="30"/>
      <c r="AE13" s="30"/>
      <c r="AF13" s="122"/>
      <c r="AG13" t="s" s="119">
        <v>747</v>
      </c>
      <c r="AH13" s="30"/>
      <c r="AI13" t="s" s="83">
        <v>750</v>
      </c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37">
        <v>724</v>
      </c>
      <c r="B14" t="s" s="57">
        <v>725</v>
      </c>
      <c r="C14" s="112">
        <v>2</v>
      </c>
      <c r="D14" t="s" s="140">
        <v>726</v>
      </c>
      <c r="E14" s="112">
        <v>5</v>
      </c>
      <c r="F14" s="30"/>
      <c r="G14" t="s" s="83">
        <v>748</v>
      </c>
      <c r="H14" t="s" s="83">
        <v>753</v>
      </c>
      <c r="I14" s="112">
        <v>11</v>
      </c>
      <c r="J14" t="s" s="83">
        <v>37</v>
      </c>
      <c r="K14" s="30"/>
      <c r="L14" s="30"/>
      <c r="M14" s="118">
        <v>1</v>
      </c>
      <c r="N14" s="30"/>
      <c r="O14" s="122"/>
      <c r="P14" s="30"/>
      <c r="Q14" s="74"/>
      <c r="R14" s="79">
        <v>1</v>
      </c>
      <c r="S14" s="75"/>
      <c r="T14" s="118">
        <v>16</v>
      </c>
      <c r="U14" s="74"/>
      <c r="V14" s="16"/>
      <c r="W14" s="75"/>
      <c r="X14" s="30"/>
      <c r="Y14" s="30"/>
      <c r="Z14" s="30"/>
      <c r="AA14" t="s" s="119">
        <v>34</v>
      </c>
      <c r="AB14" t="s" s="119">
        <v>34</v>
      </c>
      <c r="AC14" s="29"/>
      <c r="AD14" s="30"/>
      <c r="AE14" s="30"/>
      <c r="AF14" s="122"/>
      <c r="AG14" t="s" s="119">
        <v>754</v>
      </c>
      <c r="AH14" s="30"/>
      <c r="AI14" t="s" s="83">
        <v>755</v>
      </c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37">
        <v>724</v>
      </c>
      <c r="B15" t="s" s="57">
        <v>725</v>
      </c>
      <c r="C15" s="112">
        <v>2</v>
      </c>
      <c r="D15" t="s" s="140">
        <v>726</v>
      </c>
      <c r="E15" s="112">
        <v>6</v>
      </c>
      <c r="F15" s="30"/>
      <c r="G15" t="s" s="83">
        <v>756</v>
      </c>
      <c r="H15" t="s" s="83">
        <v>757</v>
      </c>
      <c r="I15" s="112">
        <v>12</v>
      </c>
      <c r="J15" s="112">
        <v>1</v>
      </c>
      <c r="K15" s="30"/>
      <c r="L15" s="30"/>
      <c r="M15" s="121"/>
      <c r="N15" t="s" s="83">
        <v>11</v>
      </c>
      <c r="O15" s="122"/>
      <c r="P15" s="30"/>
      <c r="Q15" s="74"/>
      <c r="R15" s="16"/>
      <c r="S15" s="123">
        <v>1</v>
      </c>
      <c r="T15" s="118">
        <v>24</v>
      </c>
      <c r="U15" s="74"/>
      <c r="V15" s="16"/>
      <c r="W15" s="75"/>
      <c r="X15" s="30"/>
      <c r="Y15" s="30"/>
      <c r="Z15" s="30"/>
      <c r="AA15" t="s" s="119">
        <v>45</v>
      </c>
      <c r="AB15" t="s" s="119">
        <v>758</v>
      </c>
      <c r="AC15" s="114">
        <v>1</v>
      </c>
      <c r="AD15" s="30"/>
      <c r="AE15" s="30"/>
      <c r="AF15" s="122"/>
      <c r="AG15" t="s" s="119">
        <v>759</v>
      </c>
      <c r="AH15" s="30"/>
      <c r="AI15" t="s" s="83">
        <v>11</v>
      </c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37">
        <v>724</v>
      </c>
      <c r="B16" t="s" s="57">
        <v>725</v>
      </c>
      <c r="C16" s="112">
        <v>2</v>
      </c>
      <c r="D16" t="s" s="140">
        <v>726</v>
      </c>
      <c r="E16" s="112">
        <v>7</v>
      </c>
      <c r="F16" s="30"/>
      <c r="G16" t="s" s="83">
        <v>760</v>
      </c>
      <c r="H16" t="s" s="83">
        <v>86</v>
      </c>
      <c r="I16" s="112">
        <v>13</v>
      </c>
      <c r="J16" s="30"/>
      <c r="K16" s="30"/>
      <c r="L16" s="112">
        <v>1</v>
      </c>
      <c r="M16" s="121"/>
      <c r="N16" t="s" s="83">
        <v>11</v>
      </c>
      <c r="O16" s="122"/>
      <c r="P16" s="30"/>
      <c r="Q16" s="74"/>
      <c r="R16" s="16"/>
      <c r="S16" s="123">
        <v>1</v>
      </c>
      <c r="T16" s="118">
        <v>15</v>
      </c>
      <c r="U16" s="74"/>
      <c r="V16" s="16"/>
      <c r="W16" s="75"/>
      <c r="X16" s="30"/>
      <c r="Y16" s="30"/>
      <c r="Z16" s="30"/>
      <c r="AA16" t="s" s="119">
        <v>761</v>
      </c>
      <c r="AB16" t="s" s="119">
        <v>762</v>
      </c>
      <c r="AC16" s="114">
        <v>1</v>
      </c>
      <c r="AD16" s="30"/>
      <c r="AE16" s="30"/>
      <c r="AF16" s="122"/>
      <c r="AG16" t="s" s="119">
        <v>763</v>
      </c>
      <c r="AH16" s="30"/>
      <c r="AI16" t="s" s="83">
        <v>11</v>
      </c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37">
        <v>724</v>
      </c>
      <c r="B17" t="s" s="57">
        <v>725</v>
      </c>
      <c r="C17" s="112">
        <v>2</v>
      </c>
      <c r="D17" t="s" s="140">
        <v>726</v>
      </c>
      <c r="E17" s="112">
        <v>8</v>
      </c>
      <c r="F17" s="30"/>
      <c r="G17" t="s" s="83">
        <v>600</v>
      </c>
      <c r="H17" t="s" s="83">
        <v>764</v>
      </c>
      <c r="I17" s="112">
        <v>14</v>
      </c>
      <c r="J17" s="30"/>
      <c r="K17" s="30"/>
      <c r="L17" s="112">
        <v>1</v>
      </c>
      <c r="M17" s="121"/>
      <c r="N17" t="s" s="83">
        <v>11</v>
      </c>
      <c r="O17" s="141"/>
      <c r="P17" s="30"/>
      <c r="Q17" s="131"/>
      <c r="R17" s="132"/>
      <c r="S17" s="142">
        <v>1</v>
      </c>
      <c r="T17" s="118">
        <v>16</v>
      </c>
      <c r="U17" s="131"/>
      <c r="V17" s="132"/>
      <c r="W17" s="133"/>
      <c r="X17" s="30"/>
      <c r="Y17" s="30"/>
      <c r="Z17" s="30"/>
      <c r="AA17" t="s" s="119">
        <v>55</v>
      </c>
      <c r="AB17" t="s" s="119">
        <v>765</v>
      </c>
      <c r="AC17" s="114">
        <v>1</v>
      </c>
      <c r="AD17" s="30"/>
      <c r="AE17" s="30"/>
      <c r="AF17" s="141"/>
      <c r="AG17" t="s" s="119">
        <v>766</v>
      </c>
      <c r="AH17" s="30"/>
      <c r="AI17" t="s" s="83">
        <v>11</v>
      </c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143">
        <v>724</v>
      </c>
      <c r="B18" t="s" s="144">
        <v>725</v>
      </c>
      <c r="C18" s="112">
        <v>2</v>
      </c>
      <c r="D18" t="s" s="145">
        <v>726</v>
      </c>
      <c r="E18" s="30"/>
      <c r="F18" s="30"/>
      <c r="G18" s="30"/>
      <c r="H18" s="30"/>
      <c r="I18" s="112">
        <v>14</v>
      </c>
      <c r="J18" s="112" cm="1">
        <f t="array" ref="J18">SUM(J3:J17)</f>
        <v>8</v>
      </c>
      <c r="K18" s="112" cm="1">
        <f t="array" ref="K18">SUM(K3:K17)</f>
        <v>2</v>
      </c>
      <c r="L18" s="112" cm="1">
        <f t="array" ref="L18">SUM(L3:L17)</f>
        <v>3</v>
      </c>
      <c r="M18" s="112" cm="1">
        <f t="array" ref="M18">SUM(M3:M17)</f>
        <v>1</v>
      </c>
      <c r="N18" s="112" cm="1">
        <f t="array" ref="N18">SUM(N3:N17)</f>
        <v>2</v>
      </c>
      <c r="O18" s="112" cm="1">
        <f t="array" ref="O18">SUM(O3:O17)</f>
        <v>2</v>
      </c>
      <c r="P18" s="112" cm="1">
        <f t="array" ref="P18">SUM(P3:P17)</f>
        <v>0</v>
      </c>
      <c r="Q18" s="112" cm="1">
        <f t="array" ref="Q18">SUM(Q3:Q17)</f>
        <v>0</v>
      </c>
      <c r="R18" s="112" cm="1">
        <f t="array" ref="R18">SUM(R3:R17)</f>
        <v>2</v>
      </c>
      <c r="S18" s="112" cm="1">
        <f t="array" ref="S18">SUM(S3:S17)</f>
        <v>8</v>
      </c>
      <c r="T18" s="112" cm="1">
        <f t="array" ref="T18">SUM(T3:T17)</f>
        <v>460</v>
      </c>
      <c r="U18" s="112" cm="1">
        <f t="array" ref="U18">SUM(AG3:AG17)</f>
        <v>0</v>
      </c>
      <c r="V18" s="112" cm="1">
        <f t="array" ref="V18">SUM(AA3:AA17)</f>
        <v>0</v>
      </c>
      <c r="W18" s="112" cm="1">
        <f t="array" ref="W18">SUM(AB3:AB17)</f>
        <v>0</v>
      </c>
      <c r="X18" s="112" cm="1">
        <f t="array" ref="X18">SUM(X3:X17)</f>
        <v>0</v>
      </c>
      <c r="Y18" s="112" cm="1">
        <f t="array" ref="Y18">SUM(Y3:Y17)</f>
        <v>0</v>
      </c>
      <c r="Z18" s="112" cm="1">
        <f t="array" ref="Z18">SUM(Z3:Z17)</f>
        <v>0</v>
      </c>
      <c r="AA18" s="30"/>
      <c r="AB18" s="30"/>
      <c r="AC18" s="112" cm="1">
        <f t="array" ref="AC18">SUM(AC3:AC17)</f>
        <v>11</v>
      </c>
      <c r="AD18" s="112" cm="1">
        <f t="array" ref="AD18">SUM(AD3:AD17)</f>
        <v>1</v>
      </c>
      <c r="AE18" s="112" cm="1">
        <f t="array" ref="AE18">AC18-AD18</f>
        <v>10</v>
      </c>
      <c r="AF18" s="112" cm="1">
        <f t="array" ref="AF18">SUM(AF3:AF17)</f>
        <v>2</v>
      </c>
      <c r="AG18" s="112" cm="1">
        <f t="array" ref="AG18">N19-AF18</f>
        <v>12</v>
      </c>
      <c r="AH18" s="112" cm="1">
        <f t="array" ref="AH18">AG18+AF18</f>
        <v>14</v>
      </c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s="30"/>
      <c r="B19" s="30"/>
      <c r="C19" s="30"/>
      <c r="D19" s="30"/>
      <c r="E19" s="30"/>
      <c r="F19" s="30"/>
      <c r="G19" s="30"/>
      <c r="H19" s="30"/>
      <c r="I19" s="30"/>
      <c r="J19" s="112" cm="1">
        <f t="array" ref="J19">SUM(J18:M18)</f>
        <v>14</v>
      </c>
      <c r="K19" s="30"/>
      <c r="L19" s="30"/>
      <c r="M19" s="121"/>
      <c r="N19" s="118" cm="1">
        <f t="array" ref="N19">SUM(N18:S18)</f>
        <v>14</v>
      </c>
      <c r="O19" s="121"/>
      <c r="P19" s="121"/>
      <c r="Q19" s="121"/>
      <c r="R19" s="121"/>
      <c r="S19" s="121"/>
      <c r="T19" s="86" cm="1">
        <f t="array" ref="T19">T18/N19</f>
        <v>32.8571428571429</v>
      </c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121"/>
      <c r="N20" s="121"/>
      <c r="O20" s="121"/>
      <c r="P20" s="121"/>
      <c r="Q20" s="121"/>
      <c r="R20" s="121"/>
      <c r="S20" s="121"/>
      <c r="T20" s="121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121"/>
      <c r="N21" s="121"/>
      <c r="O21" s="121"/>
      <c r="P21" s="121"/>
      <c r="Q21" s="121"/>
      <c r="R21" s="121"/>
      <c r="S21" s="121"/>
      <c r="T21" s="121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121"/>
      <c r="N22" s="121"/>
      <c r="O22" s="121"/>
      <c r="P22" s="121"/>
      <c r="Q22" s="30"/>
      <c r="R22" s="121"/>
      <c r="S22" s="121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121"/>
      <c r="N23" s="121"/>
      <c r="O23" s="121"/>
      <c r="P23" s="121"/>
      <c r="Q23" s="121"/>
      <c r="R23" s="121"/>
      <c r="S23" s="121"/>
      <c r="T23" s="121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21"/>
      <c r="N24" s="121"/>
      <c r="O24" s="121"/>
      <c r="P24" s="121"/>
      <c r="Q24" s="121"/>
      <c r="R24" s="121"/>
      <c r="S24" s="121"/>
      <c r="T24" s="121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t="s" s="83">
        <v>723</v>
      </c>
      <c r="B25" s="30"/>
      <c r="C25" s="30"/>
      <c r="D25" s="30"/>
      <c r="E25" s="30"/>
      <c r="F25" s="30"/>
      <c r="G25" s="112" cm="1">
        <f t="array" ref="G25">SUM(G3:G24)</f>
        <v>0</v>
      </c>
      <c r="H25" s="112" cm="1">
        <f t="array" ref="H25">SUM(H3:H24)</f>
        <v>0</v>
      </c>
      <c r="I25" s="112" cm="1">
        <f t="array" ref="I25">SUM(I3:I24)</f>
        <v>119</v>
      </c>
      <c r="J25" s="112" cm="1">
        <f t="array" ref="J25">SUM(J3:J24)</f>
        <v>30</v>
      </c>
      <c r="K25" s="112" cm="1">
        <f t="array" ref="K25">SUM(K3:K24)</f>
        <v>4</v>
      </c>
      <c r="L25" s="112" cm="1">
        <f t="array" ref="L25">SUM(L3:L24)</f>
        <v>6</v>
      </c>
      <c r="M25" s="112" cm="1">
        <f t="array" ref="M25">SUM(M3:M24)</f>
        <v>2</v>
      </c>
      <c r="N25" s="112" cm="1">
        <f t="array" ref="N25">SUM(N3:N24)</f>
        <v>18</v>
      </c>
      <c r="O25" s="112" cm="1">
        <f t="array" ref="O25">SUM(O3:O24)</f>
        <v>4</v>
      </c>
      <c r="P25" s="112" cm="1">
        <f t="array" ref="P25">SUM(P3:P24)</f>
        <v>0</v>
      </c>
      <c r="Q25" s="112" cm="1">
        <f t="array" ref="Q25">SUM(Q3:Q24)</f>
        <v>0</v>
      </c>
      <c r="R25" s="112" cm="1">
        <f t="array" ref="R25">SUM(R3:R24)</f>
        <v>4</v>
      </c>
      <c r="S25" s="112" cm="1">
        <f t="array" ref="S25">SUM(S3:S24)</f>
        <v>16</v>
      </c>
      <c r="T25" s="112" cm="1">
        <f t="array" ref="T25">SUM(T3:T24)</f>
        <v>952.857142857143</v>
      </c>
      <c r="U25" s="112" cm="1">
        <f t="array" ref="U25">SUM(U3:U24)</f>
        <v>0</v>
      </c>
      <c r="V25" s="112" cm="1">
        <f t="array" ref="V25">SUM(V3:V24)</f>
        <v>0</v>
      </c>
      <c r="W25" s="112" cm="1">
        <f t="array" ref="W25">SUM(W3:W24)</f>
        <v>0</v>
      </c>
      <c r="X25" s="112" cm="1">
        <f t="array" ref="X25">SUM(X3:X24)</f>
        <v>0</v>
      </c>
      <c r="Y25" s="112" cm="1">
        <f t="array" ref="Y25">SUM(Y3:Y24)</f>
        <v>0</v>
      </c>
      <c r="Z25" s="112" cm="1">
        <f t="array" ref="Z25">SUM(Z3:Z24)</f>
        <v>0</v>
      </c>
      <c r="AA25" s="112" cm="1">
        <f t="array" ref="AA25">SUM(AA3:AA24)</f>
        <v>0</v>
      </c>
      <c r="AB25" s="112" cm="1">
        <f t="array" ref="AB25">SUM(AB3:AB24)</f>
        <v>0</v>
      </c>
      <c r="AC25" s="112" cm="1">
        <f t="array" ref="AC25">SUM(AC3:AC24)</f>
        <v>22</v>
      </c>
      <c r="AD25" s="112" cm="1">
        <f t="array" ref="AD25">SUM(AD3:AD24)</f>
        <v>2</v>
      </c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30"/>
      <c r="F26" s="30"/>
      <c r="G26" s="112" cm="1">
        <f t="array" ref="G26">G25+H25+I25+J25</f>
        <v>149</v>
      </c>
      <c r="H26" s="30"/>
      <c r="I26" s="30"/>
      <c r="J26" s="30"/>
      <c r="K26" s="112" cm="1">
        <f t="array" ref="K26">K25+L25+M25+N25+O25+P25</f>
        <v>34</v>
      </c>
      <c r="L26" s="30"/>
      <c r="M26" s="121"/>
      <c r="N26" s="121"/>
      <c r="O26" s="121"/>
      <c r="P26" s="121"/>
      <c r="Q26" s="118" cm="1">
        <f t="array" ref="Q26">Q25/K26</f>
        <v>0</v>
      </c>
      <c r="R26" s="121"/>
      <c r="S26" s="121"/>
      <c r="T26" s="121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121"/>
      <c r="N27" s="121"/>
      <c r="O27" s="121"/>
      <c r="P27" s="121"/>
      <c r="Q27" s="121"/>
      <c r="R27" s="121"/>
      <c r="S27" s="121"/>
      <c r="T27" s="121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124"/>
      <c r="B28" s="124"/>
      <c r="C28" s="124"/>
      <c r="D28" s="28"/>
      <c r="E28" s="124"/>
      <c r="F28" s="28"/>
      <c r="G28" s="28"/>
      <c r="H28" s="28"/>
      <c r="I28" s="28"/>
      <c r="J28" s="28"/>
      <c r="K28" s="125"/>
      <c r="L28" s="28"/>
      <c r="M28" s="28"/>
      <c r="N28" s="28"/>
      <c r="O28" s="28"/>
      <c r="P28" s="28"/>
      <c r="Q28" s="125"/>
      <c r="R28" s="125"/>
      <c r="S28" s="125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146"/>
      <c r="B29" s="30"/>
      <c r="C29" s="30"/>
      <c r="D29" s="30"/>
      <c r="E29" s="30"/>
      <c r="F29" s="30"/>
      <c r="G29" s="30"/>
      <c r="H29" s="116"/>
      <c r="I29" s="62"/>
      <c r="J29" s="62"/>
      <c r="K29" s="16"/>
      <c r="L29" s="62"/>
      <c r="M29" s="62"/>
      <c r="N29" s="62"/>
      <c r="O29" s="62"/>
      <c r="P29" s="117"/>
      <c r="Q29" s="147"/>
      <c r="R29" s="147"/>
      <c r="S29" s="147"/>
      <c r="T29" s="121"/>
      <c r="U29" s="121"/>
      <c r="V29" s="121"/>
      <c r="W29" s="121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74"/>
      <c r="I30" s="16"/>
      <c r="J30" s="16"/>
      <c r="K30" s="16"/>
      <c r="L30" s="16"/>
      <c r="M30" s="16"/>
      <c r="N30" s="16"/>
      <c r="O30" s="16"/>
      <c r="P30" s="75"/>
      <c r="Q30" s="30"/>
      <c r="R30" s="121"/>
      <c r="S30" s="121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74"/>
      <c r="I31" s="16"/>
      <c r="J31" s="16"/>
      <c r="K31" s="16"/>
      <c r="L31" s="16"/>
      <c r="M31" s="16"/>
      <c r="N31" s="16"/>
      <c r="O31" s="16"/>
      <c r="P31" s="75"/>
      <c r="Q31" s="121"/>
      <c r="R31" s="121"/>
      <c r="S31" s="121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74"/>
      <c r="I32" s="16"/>
      <c r="J32" s="16"/>
      <c r="K32" s="16"/>
      <c r="L32" s="16"/>
      <c r="M32" s="16"/>
      <c r="N32" s="16"/>
      <c r="O32" s="16"/>
      <c r="P32" s="75"/>
      <c r="Q32" s="121"/>
      <c r="R32" s="121"/>
      <c r="S32" s="121"/>
      <c r="T32" s="30"/>
      <c r="U32" s="121"/>
      <c r="V32" s="121"/>
      <c r="W32" s="121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.5" customHeight="1">
      <c r="A33" s="30"/>
      <c r="B33" s="30"/>
      <c r="C33" s="30"/>
      <c r="D33" s="30"/>
      <c r="E33" s="30"/>
      <c r="F33" s="30"/>
      <c r="G33" s="30"/>
      <c r="H33" s="74"/>
      <c r="I33" s="16"/>
      <c r="J33" s="16"/>
      <c r="K33" s="16"/>
      <c r="L33" s="16"/>
      <c r="M33" s="16"/>
      <c r="N33" s="16"/>
      <c r="O33" s="16"/>
      <c r="P33" s="75"/>
      <c r="Q33" s="30"/>
      <c r="R33" s="121"/>
      <c r="S33" s="121"/>
      <c r="T33" s="30"/>
      <c r="U33" s="121"/>
      <c r="V33" s="121"/>
      <c r="W33" s="121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.5" customHeight="1">
      <c r="A34" s="30"/>
      <c r="B34" s="30"/>
      <c r="C34" s="30"/>
      <c r="D34" s="30"/>
      <c r="E34" s="30"/>
      <c r="F34" s="30"/>
      <c r="G34" s="30"/>
      <c r="H34" s="74"/>
      <c r="I34" s="16"/>
      <c r="J34" s="16"/>
      <c r="K34" s="16"/>
      <c r="L34" s="16"/>
      <c r="M34" s="16"/>
      <c r="N34" s="16"/>
      <c r="O34" s="16"/>
      <c r="P34" s="75"/>
      <c r="Q34" s="30"/>
      <c r="R34" s="121"/>
      <c r="S34" s="121"/>
      <c r="T34" s="30"/>
      <c r="U34" s="121"/>
      <c r="V34" s="121"/>
      <c r="W34" s="121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s="30"/>
      <c r="B35" s="30"/>
      <c r="C35" s="30"/>
      <c r="D35" s="30"/>
      <c r="E35" s="30"/>
      <c r="F35" s="30"/>
      <c r="G35" s="30"/>
      <c r="H35" s="74"/>
      <c r="I35" s="16"/>
      <c r="J35" s="16"/>
      <c r="K35" s="16"/>
      <c r="L35" s="16"/>
      <c r="M35" s="16"/>
      <c r="N35" s="16"/>
      <c r="O35" s="16"/>
      <c r="P35" s="75"/>
      <c r="Q35" s="30"/>
      <c r="R35" s="121"/>
      <c r="S35" s="121"/>
      <c r="T35" s="30"/>
      <c r="U35" s="121"/>
      <c r="V35" s="121"/>
      <c r="W35" s="121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74"/>
      <c r="I36" s="16"/>
      <c r="J36" s="16"/>
      <c r="K36" s="16"/>
      <c r="L36" s="16"/>
      <c r="M36" s="16"/>
      <c r="N36" s="16"/>
      <c r="O36" s="16"/>
      <c r="P36" s="75"/>
      <c r="Q36" s="30"/>
      <c r="R36" s="121"/>
      <c r="S36" s="121"/>
      <c r="T36" s="30"/>
      <c r="U36" s="121"/>
      <c r="V36" s="121"/>
      <c r="W36" s="121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" customHeight="1">
      <c r="A37" s="30"/>
      <c r="B37" s="30"/>
      <c r="C37" s="30"/>
      <c r="D37" s="30"/>
      <c r="E37" s="30"/>
      <c r="F37" s="30"/>
      <c r="G37" s="30"/>
      <c r="H37" s="74"/>
      <c r="I37" s="16"/>
      <c r="J37" s="16"/>
      <c r="K37" s="16"/>
      <c r="L37" s="16"/>
      <c r="M37" s="16"/>
      <c r="N37" s="16"/>
      <c r="O37" s="16"/>
      <c r="P37" s="75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30"/>
      <c r="B38" s="30"/>
      <c r="C38" s="30"/>
      <c r="D38" s="30"/>
      <c r="E38" s="30"/>
      <c r="F38" s="30"/>
      <c r="G38" s="30"/>
      <c r="H38" s="74"/>
      <c r="I38" s="16"/>
      <c r="J38" s="16"/>
      <c r="K38" s="16"/>
      <c r="L38" s="16"/>
      <c r="M38" s="16"/>
      <c r="N38" s="16"/>
      <c r="O38" s="16"/>
      <c r="P38" s="75"/>
      <c r="Q38" s="30"/>
      <c r="R38" s="121"/>
      <c r="S38" s="121"/>
      <c r="T38" s="129"/>
      <c r="U38" s="121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s="30"/>
      <c r="B39" s="30"/>
      <c r="C39" s="30"/>
      <c r="D39" s="30"/>
      <c r="E39" s="30"/>
      <c r="F39" s="30"/>
      <c r="G39" s="30"/>
      <c r="H39" s="74"/>
      <c r="I39" s="16"/>
      <c r="J39" s="16"/>
      <c r="K39" s="16"/>
      <c r="L39" s="16"/>
      <c r="M39" s="16"/>
      <c r="N39" s="16"/>
      <c r="O39" s="16"/>
      <c r="P39" s="75"/>
      <c r="Q39" s="30"/>
      <c r="R39" s="121"/>
      <c r="S39" s="121"/>
      <c r="T39" s="30"/>
      <c r="U39" s="121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.5" customHeight="1">
      <c r="A40" s="30"/>
      <c r="B40" s="30"/>
      <c r="C40" s="30"/>
      <c r="D40" s="30"/>
      <c r="E40" s="30"/>
      <c r="F40" s="30"/>
      <c r="G40" s="30"/>
      <c r="H40" s="74"/>
      <c r="I40" s="16"/>
      <c r="J40" s="16"/>
      <c r="K40" s="16"/>
      <c r="L40" s="16"/>
      <c r="M40" s="16"/>
      <c r="N40" s="16"/>
      <c r="O40" s="16"/>
      <c r="P40" s="75"/>
      <c r="Q40" s="30"/>
      <c r="R40" s="121"/>
      <c r="S40" s="121"/>
      <c r="T40" s="30"/>
      <c r="U40" s="121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s="30"/>
      <c r="B41" s="30"/>
      <c r="C41" s="30"/>
      <c r="D41" s="30"/>
      <c r="E41" s="30"/>
      <c r="F41" s="30"/>
      <c r="G41" s="30"/>
      <c r="H41" s="74"/>
      <c r="I41" s="16"/>
      <c r="J41" s="16"/>
      <c r="K41" s="16"/>
      <c r="L41" s="16"/>
      <c r="M41" s="16"/>
      <c r="N41" s="16"/>
      <c r="O41" s="16"/>
      <c r="P41" s="75"/>
      <c r="Q41" s="30"/>
      <c r="R41" s="121"/>
      <c r="S41" s="121"/>
      <c r="T41" s="129"/>
      <c r="U41" s="121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.5" customHeight="1">
      <c r="A42" s="30"/>
      <c r="B42" s="30"/>
      <c r="C42" s="30"/>
      <c r="D42" s="30"/>
      <c r="E42" s="30"/>
      <c r="F42" s="30"/>
      <c r="G42" s="30"/>
      <c r="H42" s="74"/>
      <c r="I42" s="16"/>
      <c r="J42" s="16"/>
      <c r="K42" s="16"/>
      <c r="L42" s="16"/>
      <c r="M42" s="16"/>
      <c r="N42" s="16"/>
      <c r="O42" s="16"/>
      <c r="P42" s="75"/>
      <c r="Q42" s="30"/>
      <c r="R42" s="121"/>
      <c r="S42" s="121"/>
      <c r="T42" s="30"/>
      <c r="U42" s="121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7.5" customHeight="1">
      <c r="A43" s="30"/>
      <c r="B43" s="30"/>
      <c r="C43" s="30"/>
      <c r="D43" s="30"/>
      <c r="E43" s="30"/>
      <c r="F43" s="30"/>
      <c r="G43" s="30"/>
      <c r="H43" s="74"/>
      <c r="I43" s="16"/>
      <c r="J43" s="16"/>
      <c r="K43" s="16"/>
      <c r="L43" s="16"/>
      <c r="M43" s="16"/>
      <c r="N43" s="16"/>
      <c r="O43" s="16"/>
      <c r="P43" s="75"/>
      <c r="Q43" s="30"/>
      <c r="R43" s="121"/>
      <c r="S43" s="121"/>
      <c r="T43" s="30"/>
      <c r="U43" s="121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s="30"/>
      <c r="F44" s="30"/>
      <c r="G44" s="30"/>
      <c r="H44" s="131"/>
      <c r="I44" s="132"/>
      <c r="J44" s="132"/>
      <c r="K44" s="132"/>
      <c r="L44" s="132"/>
      <c r="M44" s="132"/>
      <c r="N44" s="132"/>
      <c r="O44" s="132"/>
      <c r="P44" s="133"/>
      <c r="Q44" s="30"/>
      <c r="R44" s="121"/>
      <c r="S44" s="121"/>
      <c r="T44" s="30"/>
      <c r="U44" s="121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" customHeight="1">
      <c r="A45" t="s" s="83">
        <v>723</v>
      </c>
      <c r="B45" s="30"/>
      <c r="C45" s="30"/>
      <c r="D45" s="30"/>
      <c r="E45" s="30"/>
      <c r="F45" s="30"/>
      <c r="G45" s="112" cm="1">
        <f t="array" ref="G45">SUM(G3:G44)</f>
        <v>149</v>
      </c>
      <c r="H45" s="112" cm="1">
        <f t="array" ref="H45">SUM(H3:H28)</f>
        <v>0</v>
      </c>
      <c r="I45" s="112" cm="1">
        <f t="array" ref="I45">SUM(I3:I44)</f>
        <v>238</v>
      </c>
      <c r="J45" s="112" cm="1">
        <f t="array" ref="J45">SUM(J3:J44)</f>
        <v>60</v>
      </c>
      <c r="K45" s="112" cm="1">
        <f t="array" ref="K45">SUM(K3:K44)</f>
        <v>42</v>
      </c>
      <c r="L45" s="112" cm="1">
        <f t="array" ref="L45">SUM(L3:L44)</f>
        <v>12</v>
      </c>
      <c r="M45" s="112" cm="1">
        <f t="array" ref="M45">SUM(M3:M44)</f>
        <v>4</v>
      </c>
      <c r="N45" s="112" cm="1">
        <f t="array" ref="N45">SUM(AG3:AG17)</f>
        <v>0</v>
      </c>
      <c r="O45" s="30"/>
      <c r="P45" s="112" cm="1">
        <f t="array" ref="P45">SUM(AB3:AB17)</f>
        <v>0</v>
      </c>
      <c r="Q45" s="112" cm="1">
        <f t="array" ref="Q45">SUM(Q3:Q44)</f>
        <v>0</v>
      </c>
      <c r="R45" s="112" cm="1">
        <f t="array" ref="R45">SUM(R3:R44)</f>
        <v>8</v>
      </c>
      <c r="S45" s="112" cm="1">
        <f t="array" ref="S45">SUM(S3:S44)</f>
        <v>32</v>
      </c>
      <c r="T45" s="112" cm="1">
        <f t="array" ref="T45">SUM(T3:T44)</f>
        <v>1905.714285714290</v>
      </c>
      <c r="U45" s="112" cm="1">
        <f t="array" ref="U45">SUM(U3:U44)</f>
        <v>0</v>
      </c>
      <c r="V45" s="112" cm="1">
        <f t="array" ref="V45">SUM(V3:V44)</f>
        <v>0</v>
      </c>
      <c r="W45" s="112" cm="1">
        <f t="array" ref="W45">SUM(W3:W44)</f>
        <v>0</v>
      </c>
      <c r="X45" s="30"/>
      <c r="Y45" s="30"/>
      <c r="Z45" s="112" cm="1">
        <f t="array" ref="Z45">SUM(Z3:Z44)</f>
        <v>0</v>
      </c>
      <c r="AA45" s="112" cm="1">
        <f t="array" ref="AA45">SUM(AA3:AA44)</f>
        <v>0</v>
      </c>
      <c r="AB45" s="112" cm="1">
        <f t="array" ref="AB45">SUM(AB3:AB44)</f>
        <v>0</v>
      </c>
      <c r="AC45" s="112" cm="1">
        <f t="array" ref="AC45">SUM(AC3:AC44)</f>
        <v>44</v>
      </c>
      <c r="AD45" s="112" cm="1">
        <f t="array" ref="AD45">SUM(AD3:AD44)</f>
        <v>4</v>
      </c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87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" customHeight="1">
      <c r="A47" s="30"/>
      <c r="B47" s="30"/>
      <c r="C47" s="30"/>
      <c r="D47" s="30"/>
      <c r="E47" s="30"/>
      <c r="F47" s="30"/>
      <c r="G47" s="130"/>
      <c r="H47" s="130"/>
      <c r="I47" s="130"/>
      <c r="J47" s="30"/>
      <c r="K47" s="30"/>
      <c r="L47" s="30"/>
      <c r="M47" s="30"/>
      <c r="N47" s="30"/>
      <c r="O47" s="30"/>
      <c r="P47" s="30"/>
      <c r="Q47" s="87"/>
      <c r="R47" s="130"/>
      <c r="S47" s="130"/>
      <c r="T47" s="1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.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121"/>
      <c r="S48" s="121"/>
      <c r="T48" s="129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130"/>
      <c r="S49" s="130"/>
      <c r="T49" s="130"/>
      <c r="U49" s="30"/>
      <c r="V49" s="30"/>
      <c r="W49" s="30"/>
      <c r="X49" s="30"/>
      <c r="Y49" s="30"/>
      <c r="Z49" s="30"/>
      <c r="AA49" s="30"/>
      <c r="AB49" s="30"/>
      <c r="AC49" s="134"/>
      <c r="AD49" s="134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121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5.35" customHeight="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  <c r="AK51" s="62"/>
      <c r="AL51" s="62"/>
      <c r="AM51" s="62"/>
      <c r="AN51" s="62"/>
      <c r="AO51" s="62"/>
      <c r="AP51" s="62"/>
      <c r="AQ51" s="62"/>
      <c r="AR51" s="62"/>
      <c r="AS51" s="62"/>
      <c r="AT51" s="62"/>
      <c r="AU51" s="62"/>
      <c r="AV51" s="62"/>
      <c r="AW51" s="62"/>
      <c r="AX51" s="62"/>
      <c r="AY51" s="62"/>
      <c r="AZ51" s="16"/>
      <c r="BA51" s="16"/>
      <c r="BB51" s="16"/>
      <c r="BC51" s="16"/>
    </row>
    <row r="52" ht="15.35" customHeight="1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5.35" customHeight="1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15.35" customHeight="1">
      <c r="A54" s="16"/>
      <c r="B54" s="16"/>
      <c r="C54" s="16"/>
      <c r="D54" s="16"/>
      <c r="E54" s="16"/>
      <c r="F54" s="16"/>
      <c r="G54" s="16"/>
      <c r="H54" s="132"/>
      <c r="I54" s="132"/>
      <c r="J54" s="132"/>
      <c r="K54" s="16"/>
      <c r="L54" s="132"/>
      <c r="M54" s="132"/>
      <c r="N54" s="132"/>
      <c r="O54" s="132"/>
      <c r="P54" s="132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34" customHeight="1">
      <c r="A55" s="16"/>
      <c r="B55" s="16"/>
      <c r="C55" s="16"/>
      <c r="D55" s="16"/>
      <c r="E55" s="16"/>
      <c r="F55" s="16"/>
      <c r="G55" s="75"/>
      <c r="H55" t="s" s="148">
        <v>0</v>
      </c>
      <c r="I55" t="s" s="148">
        <v>1</v>
      </c>
      <c r="J55" t="s" s="149">
        <v>2</v>
      </c>
      <c r="K55" t="s" s="150">
        <v>3</v>
      </c>
      <c r="L55" t="s" s="151">
        <v>4</v>
      </c>
      <c r="M55" t="s" s="148">
        <v>5</v>
      </c>
      <c r="N55" t="s" s="148">
        <v>6</v>
      </c>
      <c r="O55" t="s" s="148">
        <v>7</v>
      </c>
      <c r="P55" t="s" s="149">
        <v>8</v>
      </c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</row>
    <row r="56" ht="85" customHeight="1">
      <c r="A56" s="16"/>
      <c r="B56" s="16"/>
      <c r="C56" s="16"/>
      <c r="D56" s="16"/>
      <c r="E56" s="16"/>
      <c r="F56" s="16"/>
      <c r="G56" s="75"/>
      <c r="H56" t="s" s="83">
        <v>727</v>
      </c>
      <c r="I56" t="s" s="83">
        <v>592</v>
      </c>
      <c r="J56" t="s" s="83">
        <v>31</v>
      </c>
      <c r="K56" t="s" s="110">
        <v>37</v>
      </c>
      <c r="L56" s="112">
        <v>1866</v>
      </c>
      <c r="M56" s="118">
        <v>54</v>
      </c>
      <c r="N56" t="s" s="119">
        <v>13</v>
      </c>
      <c r="O56" t="s" s="119">
        <v>194</v>
      </c>
      <c r="P56" t="s" s="119">
        <v>8</v>
      </c>
      <c r="Q56" s="74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</row>
    <row r="57" ht="51" customHeight="1">
      <c r="A57" s="16"/>
      <c r="B57" s="16"/>
      <c r="C57" s="16"/>
      <c r="D57" s="16"/>
      <c r="E57" s="16"/>
      <c r="F57" s="16"/>
      <c r="G57" s="75"/>
      <c r="H57" t="s" s="83">
        <v>728</v>
      </c>
      <c r="I57" t="s" s="83">
        <v>592</v>
      </c>
      <c r="J57" t="s" s="83">
        <v>72</v>
      </c>
      <c r="K57" t="s" s="83">
        <v>12</v>
      </c>
      <c r="L57" s="112">
        <v>1868</v>
      </c>
      <c r="M57" s="118">
        <v>52</v>
      </c>
      <c r="N57" t="s" s="119">
        <v>729</v>
      </c>
      <c r="O57" t="s" s="119">
        <v>34</v>
      </c>
      <c r="P57" t="s" s="119">
        <v>34</v>
      </c>
      <c r="Q57" s="74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</row>
    <row r="58" ht="85" customHeight="1">
      <c r="A58" s="16"/>
      <c r="B58" s="16"/>
      <c r="C58" s="16"/>
      <c r="D58" s="16"/>
      <c r="E58" s="16"/>
      <c r="F58" s="16"/>
      <c r="G58" s="75"/>
      <c r="H58" t="s" s="83">
        <v>731</v>
      </c>
      <c r="I58" t="s" s="83">
        <v>730</v>
      </c>
      <c r="J58" t="s" s="83">
        <v>11</v>
      </c>
      <c r="K58" t="s" s="83">
        <v>12</v>
      </c>
      <c r="L58" s="112">
        <v>1892</v>
      </c>
      <c r="M58" s="118">
        <v>28</v>
      </c>
      <c r="N58" t="s" s="119">
        <v>732</v>
      </c>
      <c r="O58" t="s" s="119">
        <v>188</v>
      </c>
      <c r="P58" t="s" s="119">
        <v>15</v>
      </c>
      <c r="Q58" s="74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</row>
    <row r="59" ht="85" customHeight="1">
      <c r="A59" s="16"/>
      <c r="B59" s="16"/>
      <c r="C59" s="16"/>
      <c r="D59" s="16"/>
      <c r="E59" s="16"/>
      <c r="F59" s="16"/>
      <c r="G59" s="75"/>
      <c r="H59" t="s" s="83">
        <v>734</v>
      </c>
      <c r="I59" t="s" s="83">
        <v>733</v>
      </c>
      <c r="J59" t="s" s="83">
        <v>11</v>
      </c>
      <c r="K59" t="s" s="83">
        <v>12</v>
      </c>
      <c r="L59" s="112">
        <v>1893</v>
      </c>
      <c r="M59" s="118">
        <v>28</v>
      </c>
      <c r="N59" t="s" s="119">
        <v>13</v>
      </c>
      <c r="O59" t="s" s="119">
        <v>188</v>
      </c>
      <c r="P59" t="s" s="119">
        <v>15</v>
      </c>
      <c r="Q59" s="74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</row>
    <row r="60" ht="68" customHeight="1">
      <c r="A60" s="16"/>
      <c r="B60" s="16"/>
      <c r="C60" s="16"/>
      <c r="D60" s="16"/>
      <c r="E60" s="16"/>
      <c r="F60" s="16"/>
      <c r="G60" s="75"/>
      <c r="H60" t="s" s="83">
        <v>736</v>
      </c>
      <c r="I60" t="s" s="83">
        <v>735</v>
      </c>
      <c r="J60" t="s" s="83">
        <v>11</v>
      </c>
      <c r="K60" t="s" s="83">
        <v>12</v>
      </c>
      <c r="L60" s="112">
        <v>1875</v>
      </c>
      <c r="M60" s="118">
        <v>45</v>
      </c>
      <c r="N60" t="s" s="119">
        <v>737</v>
      </c>
      <c r="O60" t="s" s="119">
        <v>188</v>
      </c>
      <c r="P60" t="s" s="119">
        <v>15</v>
      </c>
      <c r="Q60" s="74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02" customHeight="1">
      <c r="A61" s="16"/>
      <c r="B61" s="16"/>
      <c r="C61" s="16"/>
      <c r="D61" s="16"/>
      <c r="E61" s="16"/>
      <c r="F61" s="16"/>
      <c r="G61" s="75"/>
      <c r="H61" t="s" s="83">
        <v>437</v>
      </c>
      <c r="I61" t="s" s="83">
        <v>738</v>
      </c>
      <c r="J61" t="s" s="83">
        <v>11</v>
      </c>
      <c r="K61" t="s" s="83">
        <v>12</v>
      </c>
      <c r="L61" s="112">
        <v>1896</v>
      </c>
      <c r="M61" s="118">
        <v>25</v>
      </c>
      <c r="N61" t="s" s="119">
        <v>739</v>
      </c>
      <c r="O61" t="s" s="119">
        <v>188</v>
      </c>
      <c r="P61" t="s" s="119">
        <v>15</v>
      </c>
      <c r="Q61" s="74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85" customHeight="1">
      <c r="A62" s="16"/>
      <c r="B62" s="16"/>
      <c r="C62" s="16"/>
      <c r="D62" s="16"/>
      <c r="E62" s="16"/>
      <c r="F62" s="16"/>
      <c r="G62" s="75"/>
      <c r="H62" t="s" s="83">
        <v>102</v>
      </c>
      <c r="I62" t="s" s="83">
        <v>740</v>
      </c>
      <c r="J62" t="s" s="83">
        <v>11</v>
      </c>
      <c r="K62" t="s" s="83">
        <v>12</v>
      </c>
      <c r="L62" s="112">
        <v>1904</v>
      </c>
      <c r="M62" s="118">
        <v>16</v>
      </c>
      <c r="N62" t="s" s="119">
        <v>22</v>
      </c>
      <c r="O62" t="s" s="119">
        <v>188</v>
      </c>
      <c r="P62" t="s" s="119">
        <v>15</v>
      </c>
      <c r="Q62" s="74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7.45" customHeight="1">
      <c r="A63" s="16"/>
      <c r="B63" s="16"/>
      <c r="C63" s="16"/>
      <c r="D63" s="16"/>
      <c r="E63" s="16"/>
      <c r="F63" s="16"/>
      <c r="G63" s="75"/>
      <c r="H63" s="30"/>
      <c r="I63" s="30"/>
      <c r="J63" s="30"/>
      <c r="K63" s="30"/>
      <c r="L63" s="30"/>
      <c r="M63" s="121"/>
      <c r="N63" s="121"/>
      <c r="O63" s="121"/>
      <c r="P63" s="121"/>
      <c r="Q63" s="74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15.35" customHeight="1">
      <c r="A64" s="16"/>
      <c r="B64" s="16"/>
      <c r="C64" s="16"/>
      <c r="D64" s="16"/>
      <c r="E64" s="16"/>
      <c r="F64" s="16"/>
      <c r="G64" s="75"/>
      <c r="H64" t="s" s="83">
        <v>0</v>
      </c>
      <c r="I64" t="s" s="83">
        <v>1</v>
      </c>
      <c r="J64" t="s" s="83">
        <v>2</v>
      </c>
      <c r="K64" t="s" s="83">
        <v>3</v>
      </c>
      <c r="L64" t="s" s="83">
        <v>4</v>
      </c>
      <c r="M64" t="s" s="83">
        <v>5</v>
      </c>
      <c r="N64" t="s" s="83">
        <v>6</v>
      </c>
      <c r="O64" t="s" s="83">
        <v>7</v>
      </c>
      <c r="P64" t="s" s="83">
        <v>8</v>
      </c>
      <c r="Q64" s="74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</row>
    <row r="65" ht="170" customHeight="1">
      <c r="A65" s="16"/>
      <c r="B65" s="16"/>
      <c r="C65" s="16"/>
      <c r="D65" s="16"/>
      <c r="E65" s="16"/>
      <c r="F65" s="16"/>
      <c r="G65" s="75"/>
      <c r="H65" t="s" s="83">
        <v>742</v>
      </c>
      <c r="I65" t="s" s="83">
        <v>741</v>
      </c>
      <c r="J65" t="s" s="83">
        <v>31</v>
      </c>
      <c r="K65" t="s" s="83">
        <v>37</v>
      </c>
      <c r="L65" s="112">
        <v>1869</v>
      </c>
      <c r="M65" s="118">
        <v>52</v>
      </c>
      <c r="N65" t="s" s="119">
        <v>745</v>
      </c>
      <c r="O65" t="s" s="119">
        <v>743</v>
      </c>
      <c r="P65" t="s" s="119">
        <v>744</v>
      </c>
      <c r="Q65" s="74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</row>
    <row r="66" ht="68" customHeight="1">
      <c r="A66" s="16"/>
      <c r="B66" s="16"/>
      <c r="C66" s="16"/>
      <c r="D66" s="16"/>
      <c r="E66" s="16"/>
      <c r="F66" s="16"/>
      <c r="G66" s="75"/>
      <c r="H66" t="s" s="83">
        <v>746</v>
      </c>
      <c r="I66" t="s" s="83">
        <v>741</v>
      </c>
      <c r="J66" t="s" s="83">
        <v>72</v>
      </c>
      <c r="K66" t="s" s="83">
        <v>12</v>
      </c>
      <c r="L66" s="112">
        <v>1872</v>
      </c>
      <c r="M66" s="118">
        <v>48</v>
      </c>
      <c r="N66" t="s" s="119">
        <v>747</v>
      </c>
      <c r="O66" t="s" s="119">
        <v>33</v>
      </c>
      <c r="P66" t="s" s="119">
        <v>34</v>
      </c>
      <c r="Q66" s="74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68" customHeight="1">
      <c r="A67" s="16"/>
      <c r="B67" s="16"/>
      <c r="C67" s="16"/>
      <c r="D67" s="16"/>
      <c r="E67" s="16"/>
      <c r="F67" s="16"/>
      <c r="G67" s="75"/>
      <c r="H67" t="s" s="83">
        <v>749</v>
      </c>
      <c r="I67" t="s" s="83">
        <v>748</v>
      </c>
      <c r="J67" t="s" s="83">
        <v>750</v>
      </c>
      <c r="K67" t="s" s="83">
        <v>12</v>
      </c>
      <c r="L67" s="112">
        <v>1879</v>
      </c>
      <c r="M67" s="118">
        <v>41</v>
      </c>
      <c r="N67" t="s" s="119">
        <v>747</v>
      </c>
      <c r="O67" t="s" s="119">
        <v>751</v>
      </c>
      <c r="P67" t="s" s="119">
        <v>752</v>
      </c>
      <c r="Q67" s="74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68" customHeight="1">
      <c r="A68" s="16"/>
      <c r="B68" s="16"/>
      <c r="C68" s="16"/>
      <c r="D68" s="16"/>
      <c r="E68" s="16"/>
      <c r="F68" s="16"/>
      <c r="G68" s="75"/>
      <c r="H68" t="s" s="83">
        <v>753</v>
      </c>
      <c r="I68" t="s" s="83">
        <v>748</v>
      </c>
      <c r="J68" t="s" s="83">
        <v>755</v>
      </c>
      <c r="K68" t="s" s="83">
        <v>37</v>
      </c>
      <c r="L68" s="112">
        <v>1905</v>
      </c>
      <c r="M68" s="118">
        <v>16</v>
      </c>
      <c r="N68" t="s" s="119">
        <v>754</v>
      </c>
      <c r="O68" t="s" s="119">
        <v>34</v>
      </c>
      <c r="P68" t="s" s="119">
        <v>34</v>
      </c>
      <c r="Q68" s="74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68" customHeight="1">
      <c r="A69" s="16"/>
      <c r="B69" s="16"/>
      <c r="C69" s="16"/>
      <c r="D69" s="16"/>
      <c r="E69" s="16"/>
      <c r="F69" s="16"/>
      <c r="G69" s="75"/>
      <c r="H69" t="s" s="83">
        <v>757</v>
      </c>
      <c r="I69" t="s" s="83">
        <v>756</v>
      </c>
      <c r="J69" t="s" s="83">
        <v>11</v>
      </c>
      <c r="K69" t="s" s="83">
        <v>12</v>
      </c>
      <c r="L69" s="112">
        <v>1896</v>
      </c>
      <c r="M69" s="118">
        <v>24</v>
      </c>
      <c r="N69" t="s" s="119">
        <v>759</v>
      </c>
      <c r="O69" t="s" s="119">
        <v>45</v>
      </c>
      <c r="P69" t="s" s="119">
        <v>758</v>
      </c>
      <c r="Q69" s="74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68" customHeight="1">
      <c r="A70" s="16"/>
      <c r="B70" s="16"/>
      <c r="C70" s="16"/>
      <c r="D70" s="16"/>
      <c r="E70" s="16"/>
      <c r="F70" s="16"/>
      <c r="G70" s="75"/>
      <c r="H70" t="s" s="83">
        <v>86</v>
      </c>
      <c r="I70" t="s" s="83">
        <v>760</v>
      </c>
      <c r="J70" t="s" s="83">
        <v>11</v>
      </c>
      <c r="K70" t="s" s="83">
        <v>12</v>
      </c>
      <c r="L70" s="112">
        <v>1906</v>
      </c>
      <c r="M70" s="118">
        <v>15</v>
      </c>
      <c r="N70" t="s" s="119">
        <v>763</v>
      </c>
      <c r="O70" t="s" s="119">
        <v>761</v>
      </c>
      <c r="P70" t="s" s="119">
        <v>762</v>
      </c>
      <c r="Q70" s="74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85" customHeight="1">
      <c r="A71" s="16"/>
      <c r="B71" s="16"/>
      <c r="C71" s="16"/>
      <c r="D71" s="16"/>
      <c r="E71" s="16"/>
      <c r="F71" s="16"/>
      <c r="G71" s="75"/>
      <c r="H71" t="s" s="83">
        <v>764</v>
      </c>
      <c r="I71" t="s" s="83">
        <v>600</v>
      </c>
      <c r="J71" t="s" s="83">
        <v>11</v>
      </c>
      <c r="K71" t="s" s="83">
        <v>12</v>
      </c>
      <c r="L71" s="112">
        <v>1905</v>
      </c>
      <c r="M71" s="118">
        <v>16</v>
      </c>
      <c r="N71" t="s" s="119">
        <v>766</v>
      </c>
      <c r="O71" t="s" s="119">
        <v>55</v>
      </c>
      <c r="P71" t="s" s="119">
        <v>765</v>
      </c>
      <c r="Q71" s="74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dimension ref="A1:BC94"/>
  <sheetViews>
    <sheetView workbookViewId="0" showGridLines="0" defaultGridColor="1"/>
  </sheetViews>
  <sheetFormatPr defaultColWidth="10.8333" defaultRowHeight="16" customHeight="1" outlineLevelRow="0" outlineLevelCol="0"/>
  <cols>
    <col min="1" max="1" width="10.8516" style="152" customWidth="1"/>
    <col min="2" max="2" width="6.5" style="152" customWidth="1"/>
    <col min="3" max="3" width="10.8516" style="152" customWidth="1"/>
    <col min="4" max="4" width="10" style="152" customWidth="1"/>
    <col min="5" max="5" width="12.1719" style="152" customWidth="1"/>
    <col min="6" max="6" width="11.6719" style="152" customWidth="1"/>
    <col min="7" max="10" width="10.8516" style="152" customWidth="1"/>
    <col min="11" max="11" width="6.17188" style="152" customWidth="1"/>
    <col min="12" max="12" width="7.85156" style="152" customWidth="1"/>
    <col min="13" max="13" width="10" style="152" customWidth="1"/>
    <col min="14" max="14" width="8.67188" style="152" customWidth="1"/>
    <col min="15" max="15" width="18.5" style="152" customWidth="1"/>
    <col min="16" max="16" width="11.5" style="152" customWidth="1"/>
    <col min="17" max="17" width="11.6719" style="152" customWidth="1"/>
    <col min="18" max="18" width="12.3516" style="152" customWidth="1"/>
    <col min="19" max="19" width="10.8516" style="152" customWidth="1"/>
    <col min="20" max="20" width="15.1719" style="152" customWidth="1"/>
    <col min="21" max="23" width="10.8516" style="152" customWidth="1"/>
    <col min="24" max="24" width="31" style="152" customWidth="1"/>
    <col min="25" max="25" width="19.8516" style="152" customWidth="1"/>
    <col min="26" max="26" width="12.1719" style="152" customWidth="1"/>
    <col min="27" max="30" width="16.5" style="152" customWidth="1"/>
    <col min="31" max="31" width="14.6719" style="152" customWidth="1"/>
    <col min="32" max="32" width="10.8516" style="152" customWidth="1"/>
    <col min="33" max="33" width="11" style="152" customWidth="1"/>
    <col min="34" max="34" width="11.1719" style="152" customWidth="1"/>
    <col min="35" max="35" width="7.85156" style="152" customWidth="1"/>
    <col min="36" max="37" width="10.8516" style="152" customWidth="1"/>
    <col min="38" max="38" width="7.35156" style="152" customWidth="1"/>
    <col min="39" max="39" width="10.8516" style="152" customWidth="1"/>
    <col min="40" max="40" width="9.17188" style="152" customWidth="1"/>
    <col min="41" max="41" width="10.8516" style="152" customWidth="1"/>
    <col min="42" max="42" width="12.5" style="152" customWidth="1"/>
    <col min="43" max="43" width="13" style="152" customWidth="1"/>
    <col min="44" max="55" width="10.8516" style="152" customWidth="1"/>
    <col min="56" max="16384" width="10.8516" style="152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109">
        <v>302</v>
      </c>
      <c r="V2" t="s" s="109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767</v>
      </c>
      <c r="B3" s="111">
        <v>1921</v>
      </c>
      <c r="C3" s="112">
        <v>1</v>
      </c>
      <c r="D3" t="s" s="83">
        <v>768</v>
      </c>
      <c r="E3" s="30"/>
      <c r="F3" s="29"/>
      <c r="G3" t="s" s="83">
        <v>698</v>
      </c>
      <c r="H3" t="s" s="83">
        <v>214</v>
      </c>
      <c r="I3" s="114">
        <v>1</v>
      </c>
      <c r="J3" t="s" s="83">
        <v>37</v>
      </c>
      <c r="K3" s="114">
        <v>1</v>
      </c>
      <c r="L3" s="29"/>
      <c r="M3" s="29"/>
      <c r="N3" s="112">
        <v>1</v>
      </c>
      <c r="O3" s="115"/>
      <c r="P3" s="30"/>
      <c r="Q3" s="116"/>
      <c r="R3" s="62"/>
      <c r="S3" s="117"/>
      <c r="T3" s="118">
        <v>36</v>
      </c>
      <c r="U3" s="29"/>
      <c r="V3" s="29"/>
      <c r="W3" s="29"/>
      <c r="X3" s="29"/>
      <c r="Y3" s="29"/>
      <c r="Z3" s="29"/>
      <c r="AA3" t="s" s="119">
        <v>769</v>
      </c>
      <c r="AB3" s="29"/>
      <c r="AC3" s="114">
        <v>1</v>
      </c>
      <c r="AD3" s="118">
        <v>1</v>
      </c>
      <c r="AE3" s="30"/>
      <c r="AF3" s="113">
        <v>1</v>
      </c>
      <c r="AG3" t="s" s="119">
        <v>13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9" customHeight="1">
      <c r="A4" t="s" s="83">
        <v>767</v>
      </c>
      <c r="B4" s="112">
        <v>1921</v>
      </c>
      <c r="C4" s="112">
        <v>1</v>
      </c>
      <c r="D4" t="s" s="83">
        <v>768</v>
      </c>
      <c r="E4" s="30"/>
      <c r="F4" s="29"/>
      <c r="G4" t="s" s="83">
        <v>698</v>
      </c>
      <c r="H4" t="s" s="83">
        <v>770</v>
      </c>
      <c r="I4" s="114">
        <v>2</v>
      </c>
      <c r="J4" s="112">
        <v>1</v>
      </c>
      <c r="K4" s="29"/>
      <c r="L4" s="29"/>
      <c r="M4" s="29"/>
      <c r="N4" t="s" s="83">
        <v>246</v>
      </c>
      <c r="O4" s="122"/>
      <c r="P4" s="30"/>
      <c r="Q4" s="74"/>
      <c r="R4" s="79">
        <v>1</v>
      </c>
      <c r="S4" s="75"/>
      <c r="T4" s="118">
        <v>40</v>
      </c>
      <c r="U4" s="29"/>
      <c r="V4" s="29"/>
      <c r="W4" s="29"/>
      <c r="X4" s="29"/>
      <c r="Y4" s="29"/>
      <c r="Z4" s="29"/>
      <c r="AA4" t="s" s="119">
        <v>33</v>
      </c>
      <c r="AB4" s="29"/>
      <c r="AC4" s="29"/>
      <c r="AD4" t="s" s="119">
        <v>34</v>
      </c>
      <c r="AE4" s="30"/>
      <c r="AF4" s="120">
        <v>1</v>
      </c>
      <c r="AG4" t="s" s="119">
        <v>13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9" customHeight="1">
      <c r="A5" t="s" s="83">
        <v>767</v>
      </c>
      <c r="B5" s="112">
        <v>1921</v>
      </c>
      <c r="C5" s="112">
        <v>1</v>
      </c>
      <c r="D5" t="s" s="83">
        <v>768</v>
      </c>
      <c r="E5" s="30"/>
      <c r="F5" s="29"/>
      <c r="G5" t="s" s="83">
        <v>698</v>
      </c>
      <c r="H5" t="s" s="83">
        <v>771</v>
      </c>
      <c r="I5" s="114">
        <v>3</v>
      </c>
      <c r="J5" s="112">
        <v>1</v>
      </c>
      <c r="K5" s="29"/>
      <c r="L5" s="29"/>
      <c r="M5" s="29"/>
      <c r="N5" t="s" s="83">
        <v>246</v>
      </c>
      <c r="O5" s="122"/>
      <c r="P5" s="30"/>
      <c r="Q5" s="74"/>
      <c r="R5" s="79">
        <v>1</v>
      </c>
      <c r="S5" s="75"/>
      <c r="T5" s="118">
        <v>27</v>
      </c>
      <c r="U5" s="29"/>
      <c r="V5" s="29"/>
      <c r="W5" s="29"/>
      <c r="X5" s="29"/>
      <c r="Y5" s="29"/>
      <c r="Z5" s="29"/>
      <c r="AA5" t="s" s="119">
        <v>772</v>
      </c>
      <c r="AB5" s="29"/>
      <c r="AC5" s="114">
        <v>1</v>
      </c>
      <c r="AD5" t="s" s="119">
        <v>34</v>
      </c>
      <c r="AE5" s="30"/>
      <c r="AF5" s="120">
        <v>1</v>
      </c>
      <c r="AG5" t="s" s="119">
        <v>13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9" customHeight="1">
      <c r="A6" t="s" s="83">
        <v>767</v>
      </c>
      <c r="B6" s="112">
        <v>1921</v>
      </c>
      <c r="C6" s="112">
        <v>1</v>
      </c>
      <c r="D6" t="s" s="83">
        <v>768</v>
      </c>
      <c r="E6" s="30"/>
      <c r="F6" s="29"/>
      <c r="G6" t="s" s="83">
        <v>773</v>
      </c>
      <c r="H6" t="s" s="83">
        <v>774</v>
      </c>
      <c r="I6" s="114">
        <v>4</v>
      </c>
      <c r="J6" s="112">
        <v>1</v>
      </c>
      <c r="K6" s="29"/>
      <c r="L6" s="29"/>
      <c r="M6" s="29"/>
      <c r="N6" t="s" s="83">
        <v>11</v>
      </c>
      <c r="O6" s="122"/>
      <c r="P6" s="30"/>
      <c r="Q6" s="74"/>
      <c r="R6" s="16"/>
      <c r="S6" s="123">
        <v>1</v>
      </c>
      <c r="T6" s="118">
        <v>16</v>
      </c>
      <c r="U6" s="29"/>
      <c r="V6" s="29"/>
      <c r="W6" s="29"/>
      <c r="X6" s="29"/>
      <c r="Y6" s="29"/>
      <c r="Z6" s="29"/>
      <c r="AA6" t="s" s="119">
        <v>188</v>
      </c>
      <c r="AB6" s="29"/>
      <c r="AC6" s="114">
        <v>1</v>
      </c>
      <c r="AD6" t="s" s="119">
        <v>15</v>
      </c>
      <c r="AE6" s="30"/>
      <c r="AF6" s="120">
        <v>1</v>
      </c>
      <c r="AG6" t="s" s="119">
        <v>775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9" customHeight="1">
      <c r="A7" t="s" s="83">
        <v>767</v>
      </c>
      <c r="B7" s="112">
        <v>1921</v>
      </c>
      <c r="C7" s="30"/>
      <c r="D7" t="s" s="83">
        <v>768</v>
      </c>
      <c r="E7" s="30"/>
      <c r="F7" s="29"/>
      <c r="G7" s="30"/>
      <c r="H7" s="112">
        <v>4</v>
      </c>
      <c r="I7" s="29"/>
      <c r="J7" s="30"/>
      <c r="K7" s="29"/>
      <c r="L7" s="29"/>
      <c r="M7" s="29"/>
      <c r="N7" s="30"/>
      <c r="O7" s="122"/>
      <c r="P7" s="30"/>
      <c r="Q7" s="74"/>
      <c r="R7" s="16"/>
      <c r="S7" s="75"/>
      <c r="T7" s="30"/>
      <c r="U7" s="29"/>
      <c r="V7" s="29"/>
      <c r="W7" s="29"/>
      <c r="X7" s="29"/>
      <c r="Y7" s="29"/>
      <c r="Z7" s="29"/>
      <c r="AA7" s="30"/>
      <c r="AB7" s="29"/>
      <c r="AC7" s="29"/>
      <c r="AD7" s="30"/>
      <c r="AE7" s="30"/>
      <c r="AF7" s="122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9" customHeight="1">
      <c r="A8" t="s" s="83">
        <v>767</v>
      </c>
      <c r="B8" s="112">
        <v>1921</v>
      </c>
      <c r="C8" s="112">
        <v>2</v>
      </c>
      <c r="D8" t="s" s="83">
        <v>768</v>
      </c>
      <c r="E8" t="s" s="83">
        <v>776</v>
      </c>
      <c r="F8" s="30"/>
      <c r="G8" t="s" s="83">
        <v>777</v>
      </c>
      <c r="H8" t="s" s="83">
        <v>778</v>
      </c>
      <c r="I8" s="114">
        <v>5</v>
      </c>
      <c r="J8" t="s" s="83">
        <v>37</v>
      </c>
      <c r="K8" s="114">
        <v>1</v>
      </c>
      <c r="L8" s="29"/>
      <c r="M8" s="29"/>
      <c r="N8" s="112">
        <v>1</v>
      </c>
      <c r="O8" s="122"/>
      <c r="P8" s="30"/>
      <c r="Q8" s="74"/>
      <c r="R8" s="16"/>
      <c r="S8" s="75"/>
      <c r="T8" s="118">
        <v>43</v>
      </c>
      <c r="U8" s="29"/>
      <c r="V8" s="29"/>
      <c r="W8" s="29"/>
      <c r="X8" s="29"/>
      <c r="Y8" s="29"/>
      <c r="Z8" s="29"/>
      <c r="AA8" t="s" s="119">
        <v>92</v>
      </c>
      <c r="AB8" s="29"/>
      <c r="AC8" s="114">
        <v>1</v>
      </c>
      <c r="AD8" s="118">
        <v>1</v>
      </c>
      <c r="AE8" s="30"/>
      <c r="AF8" s="120">
        <v>1</v>
      </c>
      <c r="AG8" t="s" s="119">
        <v>13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9" customHeight="1">
      <c r="A9" t="s" s="83">
        <v>767</v>
      </c>
      <c r="B9" s="112">
        <v>1921</v>
      </c>
      <c r="C9" s="112">
        <v>2</v>
      </c>
      <c r="D9" t="s" s="83">
        <v>768</v>
      </c>
      <c r="E9" t="s" s="83">
        <v>776</v>
      </c>
      <c r="F9" s="30"/>
      <c r="G9" t="s" s="83">
        <v>777</v>
      </c>
      <c r="H9" t="s" s="83">
        <v>779</v>
      </c>
      <c r="I9" s="114">
        <v>6</v>
      </c>
      <c r="J9" s="112">
        <v>1</v>
      </c>
      <c r="K9" s="29"/>
      <c r="L9" s="29"/>
      <c r="M9" s="29"/>
      <c r="N9" t="s" s="83">
        <v>72</v>
      </c>
      <c r="O9" s="120">
        <v>1</v>
      </c>
      <c r="P9" s="30"/>
      <c r="Q9" s="74"/>
      <c r="R9" s="16"/>
      <c r="S9" s="75"/>
      <c r="T9" s="118">
        <v>26</v>
      </c>
      <c r="U9" s="29"/>
      <c r="V9" s="29"/>
      <c r="W9" s="29"/>
      <c r="X9" s="29"/>
      <c r="Y9" s="29"/>
      <c r="Z9" s="29"/>
      <c r="AA9" t="s" s="119">
        <v>33</v>
      </c>
      <c r="AB9" s="29"/>
      <c r="AC9" s="29"/>
      <c r="AD9" t="s" s="119">
        <v>34</v>
      </c>
      <c r="AE9" s="30"/>
      <c r="AF9" s="122"/>
      <c r="AG9" t="s" s="119">
        <v>780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9" customHeight="1">
      <c r="A10" t="s" s="83">
        <v>767</v>
      </c>
      <c r="B10" s="112">
        <v>1921</v>
      </c>
      <c r="C10" s="112">
        <v>2</v>
      </c>
      <c r="D10" t="s" s="83">
        <v>768</v>
      </c>
      <c r="E10" t="s" s="83">
        <v>776</v>
      </c>
      <c r="F10" s="30"/>
      <c r="G10" t="s" s="83">
        <v>781</v>
      </c>
      <c r="H10" t="s" s="83">
        <v>782</v>
      </c>
      <c r="I10" s="114">
        <v>7</v>
      </c>
      <c r="J10" s="112">
        <v>1</v>
      </c>
      <c r="K10" s="29"/>
      <c r="L10" s="29"/>
      <c r="M10" s="29"/>
      <c r="N10" t="s" s="83">
        <v>11</v>
      </c>
      <c r="O10" s="122"/>
      <c r="P10" s="30"/>
      <c r="Q10" s="74"/>
      <c r="R10" s="16"/>
      <c r="S10" s="123">
        <v>1</v>
      </c>
      <c r="T10" s="118">
        <v>55</v>
      </c>
      <c r="U10" s="29"/>
      <c r="V10" s="29"/>
      <c r="W10" s="29"/>
      <c r="X10" s="29"/>
      <c r="Y10" s="29"/>
      <c r="Z10" s="29"/>
      <c r="AA10" t="s" s="119">
        <v>45</v>
      </c>
      <c r="AB10" s="29"/>
      <c r="AC10" s="114">
        <v>1</v>
      </c>
      <c r="AD10" t="s" s="119">
        <v>15</v>
      </c>
      <c r="AE10" s="30"/>
      <c r="AF10" s="122"/>
      <c r="AG10" t="s" s="119">
        <v>783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9" customHeight="1">
      <c r="A11" t="s" s="83">
        <v>767</v>
      </c>
      <c r="B11" s="112">
        <v>1921</v>
      </c>
      <c r="C11" s="112">
        <v>2</v>
      </c>
      <c r="D11" t="s" s="83">
        <v>768</v>
      </c>
      <c r="E11" t="s" s="83">
        <v>776</v>
      </c>
      <c r="F11" s="30"/>
      <c r="G11" t="s" s="83">
        <v>784</v>
      </c>
      <c r="H11" t="s" s="83">
        <v>192</v>
      </c>
      <c r="I11" s="114">
        <v>8</v>
      </c>
      <c r="J11" s="112">
        <v>1</v>
      </c>
      <c r="K11" s="29"/>
      <c r="L11" s="29"/>
      <c r="M11" s="29"/>
      <c r="N11" t="s" s="83">
        <v>11</v>
      </c>
      <c r="O11" s="122"/>
      <c r="P11" s="30"/>
      <c r="Q11" s="74"/>
      <c r="R11" s="16"/>
      <c r="S11" s="123">
        <v>1</v>
      </c>
      <c r="T11" s="118">
        <v>25</v>
      </c>
      <c r="U11" s="29"/>
      <c r="V11" s="29"/>
      <c r="W11" s="29"/>
      <c r="X11" s="29"/>
      <c r="Y11" s="29"/>
      <c r="Z11" s="29"/>
      <c r="AA11" t="s" s="119">
        <v>126</v>
      </c>
      <c r="AB11" s="29"/>
      <c r="AC11" s="114">
        <v>1</v>
      </c>
      <c r="AD11" t="s" s="119">
        <v>15</v>
      </c>
      <c r="AE11" s="30"/>
      <c r="AF11" s="122"/>
      <c r="AG11" t="s" s="119">
        <v>785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9" customHeight="1">
      <c r="A12" t="s" s="83">
        <v>767</v>
      </c>
      <c r="B12" s="112">
        <v>1921</v>
      </c>
      <c r="C12" s="30"/>
      <c r="D12" t="s" s="83">
        <v>768</v>
      </c>
      <c r="E12" s="30"/>
      <c r="F12" s="30"/>
      <c r="G12" s="30"/>
      <c r="H12" s="112">
        <v>4</v>
      </c>
      <c r="I12" s="29"/>
      <c r="J12" s="30"/>
      <c r="K12" s="29"/>
      <c r="L12" s="29"/>
      <c r="M12" s="29"/>
      <c r="N12" s="30"/>
      <c r="O12" s="122"/>
      <c r="P12" s="30"/>
      <c r="Q12" s="74"/>
      <c r="R12" s="16"/>
      <c r="S12" s="75"/>
      <c r="T12" s="121"/>
      <c r="U12" s="29"/>
      <c r="V12" s="29"/>
      <c r="W12" s="29"/>
      <c r="X12" s="29"/>
      <c r="Y12" s="29"/>
      <c r="Z12" s="29"/>
      <c r="AA12" s="121"/>
      <c r="AB12" s="29"/>
      <c r="AC12" s="29"/>
      <c r="AD12" s="121"/>
      <c r="AE12" s="30"/>
      <c r="AF12" s="122"/>
      <c r="AG12" s="121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9" customHeight="1">
      <c r="A13" t="s" s="83">
        <v>767</v>
      </c>
      <c r="B13" s="112">
        <v>1921</v>
      </c>
      <c r="C13" s="112">
        <v>3</v>
      </c>
      <c r="D13" t="s" s="83">
        <v>768</v>
      </c>
      <c r="E13" s="30"/>
      <c r="F13" s="112">
        <v>1</v>
      </c>
      <c r="G13" t="s" s="83">
        <v>786</v>
      </c>
      <c r="H13" t="s" s="83">
        <v>787</v>
      </c>
      <c r="I13" s="114">
        <v>9</v>
      </c>
      <c r="J13" t="s" s="83">
        <v>37</v>
      </c>
      <c r="K13" s="114">
        <v>1</v>
      </c>
      <c r="L13" s="29"/>
      <c r="M13" s="29"/>
      <c r="N13" s="112">
        <v>1</v>
      </c>
      <c r="O13" s="122"/>
      <c r="P13" s="30"/>
      <c r="Q13" s="74"/>
      <c r="R13" s="16"/>
      <c r="S13" s="75"/>
      <c r="T13" s="112">
        <v>63</v>
      </c>
      <c r="U13" s="29"/>
      <c r="V13" s="29"/>
      <c r="W13" s="29"/>
      <c r="X13" s="29"/>
      <c r="Y13" s="29"/>
      <c r="Z13" s="29"/>
      <c r="AA13" t="s" s="83">
        <v>788</v>
      </c>
      <c r="AB13" s="29"/>
      <c r="AC13" s="114">
        <v>1</v>
      </c>
      <c r="AD13" t="s" s="83">
        <v>789</v>
      </c>
      <c r="AE13" s="30"/>
      <c r="AF13" s="122"/>
      <c r="AG13" t="s" s="83">
        <v>790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9" customHeight="1">
      <c r="A14" t="s" s="83">
        <v>767</v>
      </c>
      <c r="B14" s="112">
        <v>1921</v>
      </c>
      <c r="C14" s="112">
        <v>3</v>
      </c>
      <c r="D14" t="s" s="83">
        <v>768</v>
      </c>
      <c r="E14" s="30"/>
      <c r="F14" s="112">
        <v>1</v>
      </c>
      <c r="G14" t="s" s="83">
        <v>786</v>
      </c>
      <c r="H14" t="s" s="83">
        <v>437</v>
      </c>
      <c r="I14" s="114">
        <v>10</v>
      </c>
      <c r="J14" s="112">
        <v>1</v>
      </c>
      <c r="K14" s="29"/>
      <c r="L14" s="29"/>
      <c r="M14" s="29"/>
      <c r="N14" t="s" s="83">
        <v>72</v>
      </c>
      <c r="O14" s="120">
        <v>1</v>
      </c>
      <c r="P14" s="30"/>
      <c r="Q14" s="74"/>
      <c r="R14" s="16"/>
      <c r="S14" s="75"/>
      <c r="T14" s="112">
        <v>54</v>
      </c>
      <c r="U14" s="29"/>
      <c r="V14" s="29"/>
      <c r="W14" s="29"/>
      <c r="X14" s="29"/>
      <c r="Y14" s="29"/>
      <c r="Z14" s="29"/>
      <c r="AA14" t="s" s="83">
        <v>34</v>
      </c>
      <c r="AB14" s="29"/>
      <c r="AC14" s="29"/>
      <c r="AD14" t="s" s="83">
        <v>34</v>
      </c>
      <c r="AE14" s="30"/>
      <c r="AF14" s="122"/>
      <c r="AG14" t="s" s="83">
        <v>791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9" customHeight="1">
      <c r="A15" t="s" s="83">
        <v>767</v>
      </c>
      <c r="B15" s="112">
        <v>1921</v>
      </c>
      <c r="C15" s="30"/>
      <c r="D15" t="s" s="83">
        <v>768</v>
      </c>
      <c r="E15" s="30"/>
      <c r="F15" s="130"/>
      <c r="G15" s="130"/>
      <c r="H15" s="112">
        <v>2</v>
      </c>
      <c r="I15" s="29"/>
      <c r="J15" s="30"/>
      <c r="K15" s="29"/>
      <c r="L15" s="29"/>
      <c r="M15" s="29"/>
      <c r="N15" s="30"/>
      <c r="O15" s="122"/>
      <c r="P15" s="30"/>
      <c r="Q15" s="74"/>
      <c r="R15" s="16"/>
      <c r="S15" s="75"/>
      <c r="T15" s="30"/>
      <c r="U15" s="29"/>
      <c r="V15" s="29"/>
      <c r="W15" s="29"/>
      <c r="X15" s="29"/>
      <c r="Y15" s="29"/>
      <c r="Z15" s="29"/>
      <c r="AA15" s="30"/>
      <c r="AB15" s="29"/>
      <c r="AC15" s="29"/>
      <c r="AD15" s="30"/>
      <c r="AE15" s="30"/>
      <c r="AF15" s="122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9" customHeight="1">
      <c r="A16" t="s" s="83">
        <v>767</v>
      </c>
      <c r="B16" s="112">
        <v>1921</v>
      </c>
      <c r="C16" s="112">
        <v>4</v>
      </c>
      <c r="D16" t="s" s="83">
        <v>768</v>
      </c>
      <c r="E16" s="30"/>
      <c r="F16" s="112">
        <v>7</v>
      </c>
      <c r="G16" t="s" s="83">
        <v>386</v>
      </c>
      <c r="H16" t="s" s="83">
        <v>792</v>
      </c>
      <c r="I16" s="114">
        <v>11</v>
      </c>
      <c r="J16" t="s" s="83">
        <v>37</v>
      </c>
      <c r="K16" s="114">
        <v>1</v>
      </c>
      <c r="L16" s="29"/>
      <c r="M16" s="29"/>
      <c r="N16" s="112">
        <v>1</v>
      </c>
      <c r="O16" s="122"/>
      <c r="P16" s="30"/>
      <c r="Q16" s="74"/>
      <c r="R16" s="16"/>
      <c r="S16" s="75"/>
      <c r="T16" s="112">
        <v>37</v>
      </c>
      <c r="U16" s="29"/>
      <c r="V16" s="29"/>
      <c r="W16" s="29"/>
      <c r="X16" s="29"/>
      <c r="Y16" s="29"/>
      <c r="Z16" s="29"/>
      <c r="AA16" t="s" s="83">
        <v>793</v>
      </c>
      <c r="AB16" s="29"/>
      <c r="AC16" s="114">
        <v>1</v>
      </c>
      <c r="AD16" t="s" s="83">
        <v>34</v>
      </c>
      <c r="AE16" s="30"/>
      <c r="AF16" s="120">
        <v>1</v>
      </c>
      <c r="AG16" t="s" s="83">
        <v>54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9" customHeight="1">
      <c r="A17" t="s" s="83">
        <v>767</v>
      </c>
      <c r="B17" s="112">
        <v>1921</v>
      </c>
      <c r="C17" s="112">
        <v>4</v>
      </c>
      <c r="D17" t="s" s="83">
        <v>768</v>
      </c>
      <c r="E17" s="30"/>
      <c r="F17" s="112">
        <v>7</v>
      </c>
      <c r="G17" t="s" s="83">
        <v>386</v>
      </c>
      <c r="H17" t="s" s="83">
        <v>794</v>
      </c>
      <c r="I17" s="114">
        <v>12</v>
      </c>
      <c r="J17" s="112">
        <v>1</v>
      </c>
      <c r="K17" s="29"/>
      <c r="L17" s="29"/>
      <c r="M17" s="29"/>
      <c r="N17" t="s" s="83">
        <v>72</v>
      </c>
      <c r="O17" s="120">
        <v>1</v>
      </c>
      <c r="P17" s="30"/>
      <c r="Q17" s="74"/>
      <c r="R17" s="16"/>
      <c r="S17" s="75"/>
      <c r="T17" s="112">
        <v>36</v>
      </c>
      <c r="U17" s="29"/>
      <c r="V17" s="29"/>
      <c r="W17" s="29"/>
      <c r="X17" s="29"/>
      <c r="Y17" s="29"/>
      <c r="Z17" s="29"/>
      <c r="AA17" t="s" s="83">
        <v>33</v>
      </c>
      <c r="AB17" s="29"/>
      <c r="AC17" s="29"/>
      <c r="AD17" t="s" s="83">
        <v>34</v>
      </c>
      <c r="AE17" s="30"/>
      <c r="AF17" s="120">
        <v>1</v>
      </c>
      <c r="AG17" t="s" s="83">
        <v>25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9" customHeight="1">
      <c r="A18" t="s" s="83">
        <v>767</v>
      </c>
      <c r="B18" s="112">
        <v>1921</v>
      </c>
      <c r="C18" s="112">
        <v>4</v>
      </c>
      <c r="D18" t="s" s="83">
        <v>768</v>
      </c>
      <c r="E18" s="115"/>
      <c r="F18" s="112">
        <v>7</v>
      </c>
      <c r="G18" t="s" s="153">
        <v>386</v>
      </c>
      <c r="H18" t="s" s="154">
        <v>792</v>
      </c>
      <c r="I18" s="114">
        <v>13</v>
      </c>
      <c r="J18" t="s" s="82">
        <v>37</v>
      </c>
      <c r="K18" s="29"/>
      <c r="L18" s="29"/>
      <c r="M18" s="114">
        <v>1</v>
      </c>
      <c r="N18" t="s" s="153">
        <v>36</v>
      </c>
      <c r="O18" s="16"/>
      <c r="P18" s="62"/>
      <c r="Q18" s="79">
        <v>1</v>
      </c>
      <c r="R18" s="16"/>
      <c r="S18" s="16"/>
      <c r="T18" s="155">
        <v>10</v>
      </c>
      <c r="U18" s="29"/>
      <c r="V18" s="29"/>
      <c r="W18" s="29"/>
      <c r="X18" s="29"/>
      <c r="Y18" s="29"/>
      <c r="Z18" s="29"/>
      <c r="AA18" t="s" s="82">
        <v>34</v>
      </c>
      <c r="AB18" s="29"/>
      <c r="AC18" s="29"/>
      <c r="AD18" t="s" s="82">
        <v>34</v>
      </c>
      <c r="AE18" s="30"/>
      <c r="AF18" s="156">
        <v>1</v>
      </c>
      <c r="AG18" t="s" s="154">
        <v>795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9" customHeight="1">
      <c r="A19" t="s" s="83">
        <v>767</v>
      </c>
      <c r="B19" s="112">
        <v>1921</v>
      </c>
      <c r="C19" s="112">
        <v>4</v>
      </c>
      <c r="D19" t="s" s="83">
        <v>768</v>
      </c>
      <c r="E19" s="122"/>
      <c r="F19" s="112">
        <v>7</v>
      </c>
      <c r="G19" t="s" s="157">
        <v>386</v>
      </c>
      <c r="H19" t="s" s="158">
        <v>796</v>
      </c>
      <c r="I19" s="114">
        <v>14</v>
      </c>
      <c r="J19" s="122"/>
      <c r="K19" s="29"/>
      <c r="L19" s="114">
        <v>1</v>
      </c>
      <c r="M19" s="29"/>
      <c r="N19" t="s" s="157">
        <v>78</v>
      </c>
      <c r="O19" s="16"/>
      <c r="P19" s="79">
        <v>1</v>
      </c>
      <c r="Q19" s="16"/>
      <c r="R19" s="16"/>
      <c r="S19" s="16"/>
      <c r="T19" s="123">
        <v>13</v>
      </c>
      <c r="U19" s="29"/>
      <c r="V19" s="29"/>
      <c r="W19" s="29"/>
      <c r="X19" s="29"/>
      <c r="Y19" s="29"/>
      <c r="Z19" s="29"/>
      <c r="AA19" t="s" s="159">
        <v>34</v>
      </c>
      <c r="AB19" s="29"/>
      <c r="AC19" s="29"/>
      <c r="AD19" t="s" s="159">
        <v>34</v>
      </c>
      <c r="AE19" s="30"/>
      <c r="AF19" s="156">
        <v>1</v>
      </c>
      <c r="AG19" t="s" s="158">
        <v>795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9" customHeight="1">
      <c r="A20" t="s" s="83">
        <v>767</v>
      </c>
      <c r="B20" s="112">
        <v>1921</v>
      </c>
      <c r="C20" s="112">
        <v>4</v>
      </c>
      <c r="D20" t="s" s="83">
        <v>768</v>
      </c>
      <c r="E20" s="122"/>
      <c r="F20" s="112">
        <v>7</v>
      </c>
      <c r="G20" t="s" s="157">
        <v>386</v>
      </c>
      <c r="H20" t="s" s="158">
        <v>774</v>
      </c>
      <c r="I20" s="114">
        <v>15</v>
      </c>
      <c r="J20" s="122"/>
      <c r="K20" s="29"/>
      <c r="L20" s="114">
        <v>1</v>
      </c>
      <c r="M20" s="29"/>
      <c r="N20" t="s" s="157">
        <v>78</v>
      </c>
      <c r="O20" s="16"/>
      <c r="P20" s="79">
        <v>1</v>
      </c>
      <c r="Q20" s="16"/>
      <c r="R20" s="16"/>
      <c r="S20" s="16"/>
      <c r="T20" s="123">
        <v>12</v>
      </c>
      <c r="U20" s="29"/>
      <c r="V20" s="29"/>
      <c r="W20" s="29"/>
      <c r="X20" s="29"/>
      <c r="Y20" s="29"/>
      <c r="Z20" s="29"/>
      <c r="AA20" t="s" s="159">
        <v>34</v>
      </c>
      <c r="AB20" s="29"/>
      <c r="AC20" s="29"/>
      <c r="AD20" t="s" s="159">
        <v>34</v>
      </c>
      <c r="AE20" s="30"/>
      <c r="AF20" s="156">
        <v>1</v>
      </c>
      <c r="AG20" t="s" s="158">
        <v>795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9" customHeight="1">
      <c r="A21" t="s" s="83">
        <v>767</v>
      </c>
      <c r="B21" s="112">
        <v>1921</v>
      </c>
      <c r="C21" s="112">
        <v>4</v>
      </c>
      <c r="D21" t="s" s="83">
        <v>768</v>
      </c>
      <c r="E21" s="122"/>
      <c r="F21" s="112">
        <v>7</v>
      </c>
      <c r="G21" t="s" s="157">
        <v>386</v>
      </c>
      <c r="H21" t="s" s="158">
        <v>797</v>
      </c>
      <c r="I21" s="114">
        <v>16</v>
      </c>
      <c r="J21" s="122"/>
      <c r="K21" s="29"/>
      <c r="L21" s="114">
        <v>1</v>
      </c>
      <c r="M21" s="29"/>
      <c r="N21" t="s" s="157">
        <v>78</v>
      </c>
      <c r="O21" s="16"/>
      <c r="P21" s="79">
        <v>1</v>
      </c>
      <c r="Q21" s="16"/>
      <c r="R21" s="16"/>
      <c r="S21" s="16"/>
      <c r="T21" s="123">
        <v>8</v>
      </c>
      <c r="U21" s="29"/>
      <c r="V21" s="29"/>
      <c r="W21" s="29"/>
      <c r="X21" s="29"/>
      <c r="Y21" s="29"/>
      <c r="Z21" s="29"/>
      <c r="AA21" t="s" s="159">
        <v>34</v>
      </c>
      <c r="AB21" s="29"/>
      <c r="AC21" s="29"/>
      <c r="AD21" t="s" s="159">
        <v>34</v>
      </c>
      <c r="AE21" s="30"/>
      <c r="AF21" s="156">
        <v>1</v>
      </c>
      <c r="AG21" t="s" s="158">
        <v>798</v>
      </c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9" customHeight="1">
      <c r="A22" t="s" s="83">
        <v>767</v>
      </c>
      <c r="B22" s="112">
        <v>1921</v>
      </c>
      <c r="C22" s="112">
        <v>4</v>
      </c>
      <c r="D22" t="s" s="83">
        <v>768</v>
      </c>
      <c r="E22" s="122"/>
      <c r="F22" s="112">
        <v>7</v>
      </c>
      <c r="G22" t="s" s="157">
        <v>386</v>
      </c>
      <c r="H22" t="s" s="158">
        <v>799</v>
      </c>
      <c r="I22" s="114">
        <v>17</v>
      </c>
      <c r="J22" s="120">
        <v>1</v>
      </c>
      <c r="K22" s="29"/>
      <c r="L22" s="29"/>
      <c r="M22" s="29"/>
      <c r="N22" t="s" s="157">
        <v>11</v>
      </c>
      <c r="O22" s="16"/>
      <c r="P22" s="16"/>
      <c r="Q22" s="16"/>
      <c r="R22" s="16"/>
      <c r="S22" s="79">
        <v>1</v>
      </c>
      <c r="T22" s="123">
        <v>33</v>
      </c>
      <c r="U22" s="29"/>
      <c r="V22" s="29"/>
      <c r="W22" s="29"/>
      <c r="X22" s="29"/>
      <c r="Y22" s="29"/>
      <c r="Z22" s="29"/>
      <c r="AA22" t="s" s="159">
        <v>45</v>
      </c>
      <c r="AB22" s="29"/>
      <c r="AC22" s="114">
        <v>1</v>
      </c>
      <c r="AD22" t="s" s="159">
        <v>15</v>
      </c>
      <c r="AE22" s="30"/>
      <c r="AF22" s="74"/>
      <c r="AG22" t="s" s="158">
        <v>118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9" customHeight="1">
      <c r="A23" t="s" s="83">
        <v>767</v>
      </c>
      <c r="B23" s="112">
        <v>1921</v>
      </c>
      <c r="C23" s="112">
        <v>4</v>
      </c>
      <c r="D23" t="s" s="83">
        <v>768</v>
      </c>
      <c r="E23" s="122"/>
      <c r="F23" s="112">
        <v>7</v>
      </c>
      <c r="G23" t="s" s="157">
        <v>800</v>
      </c>
      <c r="H23" t="s" s="158">
        <v>109</v>
      </c>
      <c r="I23" s="114">
        <v>18</v>
      </c>
      <c r="J23" s="120">
        <v>1</v>
      </c>
      <c r="K23" s="29"/>
      <c r="L23" s="29"/>
      <c r="M23" s="29"/>
      <c r="N23" t="s" s="157">
        <v>11</v>
      </c>
      <c r="O23" s="16"/>
      <c r="P23" s="16"/>
      <c r="Q23" s="16"/>
      <c r="R23" s="16"/>
      <c r="S23" s="79">
        <v>1</v>
      </c>
      <c r="T23" s="123">
        <v>19</v>
      </c>
      <c r="U23" s="29"/>
      <c r="V23" s="29"/>
      <c r="W23" s="29"/>
      <c r="X23" s="29"/>
      <c r="Y23" s="29"/>
      <c r="Z23" s="29"/>
      <c r="AA23" t="s" s="159">
        <v>55</v>
      </c>
      <c r="AB23" s="29"/>
      <c r="AC23" s="114">
        <v>1</v>
      </c>
      <c r="AD23" t="s" s="159">
        <v>15</v>
      </c>
      <c r="AE23" s="30"/>
      <c r="AF23" s="74"/>
      <c r="AG23" t="s" s="158">
        <v>54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9" customHeight="1">
      <c r="A24" t="s" s="83">
        <v>767</v>
      </c>
      <c r="B24" s="112">
        <v>1921</v>
      </c>
      <c r="C24" s="30"/>
      <c r="D24" t="s" s="83">
        <v>768</v>
      </c>
      <c r="E24" s="74"/>
      <c r="F24" s="62"/>
      <c r="G24" s="16"/>
      <c r="H24" s="123">
        <v>8</v>
      </c>
      <c r="I24" s="29"/>
      <c r="J24" s="122"/>
      <c r="K24" s="29"/>
      <c r="L24" s="29"/>
      <c r="M24" s="29"/>
      <c r="N24" s="74"/>
      <c r="O24" s="16"/>
      <c r="P24" s="16"/>
      <c r="Q24" s="16"/>
      <c r="R24" s="16"/>
      <c r="S24" s="16"/>
      <c r="T24" s="75"/>
      <c r="U24" s="29"/>
      <c r="V24" s="29"/>
      <c r="W24" s="29"/>
      <c r="X24" s="29"/>
      <c r="Y24" s="29"/>
      <c r="Z24" s="29"/>
      <c r="AA24" s="122"/>
      <c r="AB24" s="29"/>
      <c r="AC24" s="29"/>
      <c r="AD24" s="122"/>
      <c r="AE24" s="30"/>
      <c r="AF24" s="74"/>
      <c r="AG24" s="75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9" customHeight="1">
      <c r="A25" t="s" s="83">
        <v>767</v>
      </c>
      <c r="B25" s="112">
        <v>1921</v>
      </c>
      <c r="C25" s="112">
        <v>5</v>
      </c>
      <c r="D25" t="s" s="83">
        <v>768</v>
      </c>
      <c r="E25" s="74"/>
      <c r="F25" s="79">
        <v>4</v>
      </c>
      <c r="G25" t="s" s="96">
        <v>309</v>
      </c>
      <c r="H25" t="s" s="158">
        <v>801</v>
      </c>
      <c r="I25" s="114">
        <v>19</v>
      </c>
      <c r="J25" t="s" s="159">
        <v>37</v>
      </c>
      <c r="K25" s="114">
        <v>1</v>
      </c>
      <c r="L25" s="29"/>
      <c r="M25" s="29"/>
      <c r="N25" s="156">
        <v>1</v>
      </c>
      <c r="O25" s="16"/>
      <c r="P25" s="16"/>
      <c r="Q25" s="16"/>
      <c r="R25" s="16"/>
      <c r="S25" s="16"/>
      <c r="T25" s="123">
        <v>53</v>
      </c>
      <c r="U25" s="29"/>
      <c r="V25" s="29"/>
      <c r="W25" s="29"/>
      <c r="X25" s="29"/>
      <c r="Y25" s="29"/>
      <c r="Z25" s="29"/>
      <c r="AA25" t="s" s="159">
        <v>802</v>
      </c>
      <c r="AB25" s="29"/>
      <c r="AC25" s="114">
        <v>1</v>
      </c>
      <c r="AD25" t="s" s="159">
        <v>803</v>
      </c>
      <c r="AE25" s="30"/>
      <c r="AF25" s="74"/>
      <c r="AG25" t="s" s="158">
        <v>804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9" customHeight="1">
      <c r="A26" t="s" s="83">
        <v>767</v>
      </c>
      <c r="B26" s="112">
        <v>1921</v>
      </c>
      <c r="C26" s="112">
        <v>5</v>
      </c>
      <c r="D26" t="s" s="83">
        <v>768</v>
      </c>
      <c r="E26" s="74"/>
      <c r="F26" s="79">
        <v>4</v>
      </c>
      <c r="G26" t="s" s="96">
        <v>309</v>
      </c>
      <c r="H26" t="s" s="158">
        <v>199</v>
      </c>
      <c r="I26" s="114">
        <v>20</v>
      </c>
      <c r="J26" s="120">
        <v>1</v>
      </c>
      <c r="K26" s="29"/>
      <c r="L26" s="29"/>
      <c r="M26" s="29"/>
      <c r="N26" t="s" s="157">
        <v>72</v>
      </c>
      <c r="O26" s="79">
        <v>1</v>
      </c>
      <c r="P26" s="16"/>
      <c r="Q26" s="16"/>
      <c r="R26" s="16"/>
      <c r="S26" s="16"/>
      <c r="T26" s="123">
        <v>47</v>
      </c>
      <c r="U26" s="29"/>
      <c r="V26" s="29"/>
      <c r="W26" s="29"/>
      <c r="X26" s="29"/>
      <c r="Y26" s="29"/>
      <c r="Z26" s="29"/>
      <c r="AA26" t="s" s="159">
        <v>34</v>
      </c>
      <c r="AB26" s="29"/>
      <c r="AC26" s="29"/>
      <c r="AD26" t="s" s="159">
        <v>34</v>
      </c>
      <c r="AE26" s="30"/>
      <c r="AF26" s="74"/>
      <c r="AG26" t="s" s="158">
        <v>805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9" customHeight="1">
      <c r="A27" t="s" s="83">
        <v>767</v>
      </c>
      <c r="B27" s="112">
        <v>1921</v>
      </c>
      <c r="C27" s="112">
        <v>5</v>
      </c>
      <c r="D27" t="s" s="83">
        <v>768</v>
      </c>
      <c r="E27" s="74"/>
      <c r="F27" s="79">
        <v>4</v>
      </c>
      <c r="G27" t="s" s="96">
        <v>806</v>
      </c>
      <c r="H27" t="s" s="158">
        <v>807</v>
      </c>
      <c r="I27" s="114">
        <v>21</v>
      </c>
      <c r="J27" s="120">
        <v>1</v>
      </c>
      <c r="K27" s="29"/>
      <c r="L27" s="29"/>
      <c r="M27" s="29"/>
      <c r="N27" t="s" s="157">
        <v>11</v>
      </c>
      <c r="O27" s="16"/>
      <c r="P27" s="16"/>
      <c r="Q27" s="16"/>
      <c r="R27" s="16"/>
      <c r="S27" s="79">
        <v>1</v>
      </c>
      <c r="T27" s="123">
        <v>24</v>
      </c>
      <c r="U27" s="29"/>
      <c r="V27" s="29"/>
      <c r="W27" s="29"/>
      <c r="X27" s="29"/>
      <c r="Y27" s="29"/>
      <c r="Z27" s="29"/>
      <c r="AA27" t="s" s="159">
        <v>105</v>
      </c>
      <c r="AB27" s="29"/>
      <c r="AC27" s="114">
        <v>1</v>
      </c>
      <c r="AD27" t="s" s="159">
        <v>15</v>
      </c>
      <c r="AE27" s="30"/>
      <c r="AF27" s="74"/>
      <c r="AG27" t="s" s="158">
        <v>54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9" customHeight="1">
      <c r="A28" t="s" s="83">
        <v>767</v>
      </c>
      <c r="B28" s="112">
        <v>1921</v>
      </c>
      <c r="C28" s="30"/>
      <c r="D28" t="s" s="83">
        <v>768</v>
      </c>
      <c r="E28" s="74"/>
      <c r="F28" s="16"/>
      <c r="G28" s="16"/>
      <c r="H28" s="123">
        <v>3</v>
      </c>
      <c r="I28" s="29"/>
      <c r="J28" s="122"/>
      <c r="K28" s="29"/>
      <c r="L28" s="29"/>
      <c r="M28" s="29"/>
      <c r="N28" s="74"/>
      <c r="O28" s="16"/>
      <c r="P28" s="16"/>
      <c r="Q28" s="16"/>
      <c r="R28" s="16"/>
      <c r="S28" s="16"/>
      <c r="T28" s="75"/>
      <c r="U28" s="29"/>
      <c r="V28" s="29"/>
      <c r="W28" s="29"/>
      <c r="X28" s="29"/>
      <c r="Y28" s="29"/>
      <c r="Z28" s="29"/>
      <c r="AA28" s="122"/>
      <c r="AB28" s="29"/>
      <c r="AC28" s="29"/>
      <c r="AD28" s="122"/>
      <c r="AE28" s="30"/>
      <c r="AF28" s="74"/>
      <c r="AG28" s="75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9" customHeight="1">
      <c r="A29" t="s" s="83">
        <v>767</v>
      </c>
      <c r="B29" s="112">
        <v>1921</v>
      </c>
      <c r="C29" s="112">
        <v>6</v>
      </c>
      <c r="D29" t="s" s="83">
        <v>768</v>
      </c>
      <c r="E29" s="131"/>
      <c r="F29" s="126">
        <v>9</v>
      </c>
      <c r="G29" t="s" s="96">
        <v>808</v>
      </c>
      <c r="H29" t="s" s="158">
        <v>809</v>
      </c>
      <c r="I29" s="114">
        <v>22</v>
      </c>
      <c r="J29" t="s" s="159">
        <v>37</v>
      </c>
      <c r="K29" s="114">
        <v>1</v>
      </c>
      <c r="L29" s="29"/>
      <c r="M29" s="29"/>
      <c r="N29" s="156">
        <v>1</v>
      </c>
      <c r="O29" s="16"/>
      <c r="P29" s="16"/>
      <c r="Q29" s="16"/>
      <c r="R29" s="16"/>
      <c r="S29" s="16"/>
      <c r="T29" s="123">
        <v>74</v>
      </c>
      <c r="U29" s="29"/>
      <c r="V29" s="29"/>
      <c r="W29" s="29"/>
      <c r="X29" s="29"/>
      <c r="Y29" s="29"/>
      <c r="Z29" s="29"/>
      <c r="AA29" t="s" s="159">
        <v>689</v>
      </c>
      <c r="AB29" s="29"/>
      <c r="AC29" s="114">
        <v>1</v>
      </c>
      <c r="AD29" s="120">
        <v>1</v>
      </c>
      <c r="AE29" s="30"/>
      <c r="AF29" s="156">
        <v>1</v>
      </c>
      <c r="AG29" t="s" s="158">
        <v>13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9" customHeight="1">
      <c r="A30" t="s" s="83">
        <v>767</v>
      </c>
      <c r="B30" s="112">
        <v>1921</v>
      </c>
      <c r="C30" s="112">
        <v>6</v>
      </c>
      <c r="D30" t="s" s="83">
        <v>768</v>
      </c>
      <c r="E30" s="30"/>
      <c r="F30" s="112">
        <v>9</v>
      </c>
      <c r="G30" t="s" s="157">
        <v>808</v>
      </c>
      <c r="H30" t="s" s="158">
        <v>95</v>
      </c>
      <c r="I30" s="114">
        <v>23</v>
      </c>
      <c r="J30" s="120">
        <v>1</v>
      </c>
      <c r="K30" s="29"/>
      <c r="L30" s="29"/>
      <c r="M30" s="29"/>
      <c r="N30" t="s" s="157">
        <v>72</v>
      </c>
      <c r="O30" s="79">
        <v>1</v>
      </c>
      <c r="P30" s="16"/>
      <c r="Q30" s="16"/>
      <c r="R30" s="16"/>
      <c r="S30" s="16"/>
      <c r="T30" s="123">
        <v>77</v>
      </c>
      <c r="U30" s="29"/>
      <c r="V30" s="29"/>
      <c r="W30" s="29"/>
      <c r="X30" s="29"/>
      <c r="Y30" s="29"/>
      <c r="Z30" s="29"/>
      <c r="AA30" t="s" s="159">
        <v>34</v>
      </c>
      <c r="AB30" s="29"/>
      <c r="AC30" s="29"/>
      <c r="AD30" t="s" s="159">
        <v>34</v>
      </c>
      <c r="AE30" s="30"/>
      <c r="AF30" s="156">
        <v>1</v>
      </c>
      <c r="AG30" t="s" s="158">
        <v>13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9" customHeight="1">
      <c r="A31" t="s" s="83">
        <v>767</v>
      </c>
      <c r="B31" s="112">
        <v>1921</v>
      </c>
      <c r="C31" s="112">
        <v>6</v>
      </c>
      <c r="D31" t="s" s="83">
        <v>768</v>
      </c>
      <c r="E31" s="30"/>
      <c r="F31" s="112">
        <v>9</v>
      </c>
      <c r="G31" t="s" s="157">
        <v>808</v>
      </c>
      <c r="H31" t="s" s="158">
        <v>810</v>
      </c>
      <c r="I31" s="114">
        <v>24</v>
      </c>
      <c r="J31" t="s" s="159">
        <v>37</v>
      </c>
      <c r="K31" s="114">
        <v>1</v>
      </c>
      <c r="L31" s="29"/>
      <c r="M31" s="29"/>
      <c r="N31" t="s" s="157">
        <v>36</v>
      </c>
      <c r="O31" s="16"/>
      <c r="P31" s="16"/>
      <c r="Q31" s="79">
        <v>1</v>
      </c>
      <c r="R31" s="16"/>
      <c r="S31" s="16"/>
      <c r="T31" s="123">
        <v>46</v>
      </c>
      <c r="U31" s="29"/>
      <c r="V31" s="29"/>
      <c r="W31" s="29"/>
      <c r="X31" s="29"/>
      <c r="Y31" s="29"/>
      <c r="Z31" s="29"/>
      <c r="AA31" t="s" s="159">
        <v>811</v>
      </c>
      <c r="AB31" s="29"/>
      <c r="AC31" s="114">
        <v>1</v>
      </c>
      <c r="AD31" t="s" s="159">
        <v>812</v>
      </c>
      <c r="AE31" s="30"/>
      <c r="AF31" s="156">
        <v>1</v>
      </c>
      <c r="AG31" t="s" s="158">
        <v>13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9" customHeight="1">
      <c r="A32" t="s" s="83">
        <v>767</v>
      </c>
      <c r="B32" s="112">
        <v>1921</v>
      </c>
      <c r="C32" s="112">
        <v>6</v>
      </c>
      <c r="D32" t="s" s="83">
        <v>768</v>
      </c>
      <c r="E32" s="30"/>
      <c r="F32" s="112">
        <v>9</v>
      </c>
      <c r="G32" t="s" s="157">
        <v>808</v>
      </c>
      <c r="H32" t="s" s="158">
        <v>813</v>
      </c>
      <c r="I32" s="114">
        <v>25</v>
      </c>
      <c r="J32" s="120">
        <v>1</v>
      </c>
      <c r="K32" s="29"/>
      <c r="L32" s="29"/>
      <c r="M32" s="29"/>
      <c r="N32" t="s" s="157">
        <v>78</v>
      </c>
      <c r="O32" s="16"/>
      <c r="P32" s="79">
        <v>1</v>
      </c>
      <c r="Q32" s="16"/>
      <c r="R32" s="16"/>
      <c r="S32" s="16"/>
      <c r="T32" s="123">
        <v>37</v>
      </c>
      <c r="U32" s="29"/>
      <c r="V32" s="29"/>
      <c r="W32" s="29"/>
      <c r="X32" s="29"/>
      <c r="Y32" s="29"/>
      <c r="Z32" s="29"/>
      <c r="AA32" t="s" s="159">
        <v>34</v>
      </c>
      <c r="AB32" s="29"/>
      <c r="AC32" s="29"/>
      <c r="AD32" t="s" s="159">
        <v>34</v>
      </c>
      <c r="AE32" s="30"/>
      <c r="AF32" s="156">
        <v>1</v>
      </c>
      <c r="AG32" t="s" s="158">
        <v>13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9" customHeight="1">
      <c r="A33" t="s" s="83">
        <v>767</v>
      </c>
      <c r="B33" s="112">
        <v>1921</v>
      </c>
      <c r="C33" s="112">
        <v>6</v>
      </c>
      <c r="D33" t="s" s="83">
        <v>768</v>
      </c>
      <c r="E33" s="30"/>
      <c r="F33" s="112">
        <v>9</v>
      </c>
      <c r="G33" t="s" s="157">
        <v>814</v>
      </c>
      <c r="H33" t="s" s="158">
        <v>815</v>
      </c>
      <c r="I33" s="114">
        <v>26</v>
      </c>
      <c r="J33" s="120">
        <v>1</v>
      </c>
      <c r="K33" s="29"/>
      <c r="L33" s="29"/>
      <c r="M33" s="29"/>
      <c r="N33" t="s" s="157">
        <v>11</v>
      </c>
      <c r="O33" s="16"/>
      <c r="P33" s="16"/>
      <c r="Q33" s="16"/>
      <c r="R33" s="16"/>
      <c r="S33" s="79">
        <v>1</v>
      </c>
      <c r="T33" s="123">
        <v>44</v>
      </c>
      <c r="U33" s="29"/>
      <c r="V33" s="29"/>
      <c r="W33" s="29"/>
      <c r="X33" s="29"/>
      <c r="Y33" s="29"/>
      <c r="Z33" s="29"/>
      <c r="AA33" t="s" s="159">
        <v>816</v>
      </c>
      <c r="AB33" s="29"/>
      <c r="AC33" s="114">
        <v>1</v>
      </c>
      <c r="AD33" t="s" s="159">
        <v>34</v>
      </c>
      <c r="AE33" s="30"/>
      <c r="AF33" s="74"/>
      <c r="AG33" t="s" s="158">
        <v>817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9" customHeight="1">
      <c r="A34" t="s" s="83">
        <v>767</v>
      </c>
      <c r="B34" s="112">
        <v>1921</v>
      </c>
      <c r="C34" s="112">
        <v>6</v>
      </c>
      <c r="D34" t="s" s="83">
        <v>768</v>
      </c>
      <c r="E34" s="30"/>
      <c r="F34" s="112">
        <v>9</v>
      </c>
      <c r="G34" t="s" s="157">
        <v>818</v>
      </c>
      <c r="H34" t="s" s="158">
        <v>819</v>
      </c>
      <c r="I34" s="114">
        <v>27</v>
      </c>
      <c r="J34" s="120">
        <v>1</v>
      </c>
      <c r="K34" s="29"/>
      <c r="L34" s="29"/>
      <c r="M34" s="29"/>
      <c r="N34" t="s" s="157">
        <v>11</v>
      </c>
      <c r="O34" s="16"/>
      <c r="P34" s="16"/>
      <c r="Q34" s="16"/>
      <c r="R34" s="16"/>
      <c r="S34" s="79">
        <v>1</v>
      </c>
      <c r="T34" s="123">
        <v>52</v>
      </c>
      <c r="U34" s="29"/>
      <c r="V34" s="29"/>
      <c r="W34" s="29"/>
      <c r="X34" s="29"/>
      <c r="Y34" s="29"/>
      <c r="Z34" s="29"/>
      <c r="AA34" t="s" s="159">
        <v>816</v>
      </c>
      <c r="AB34" s="29"/>
      <c r="AC34" s="114">
        <v>1</v>
      </c>
      <c r="AD34" t="s" s="159">
        <v>34</v>
      </c>
      <c r="AE34" s="30"/>
      <c r="AF34" s="74"/>
      <c r="AG34" t="s" s="158">
        <v>820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t="s" s="83">
        <v>767</v>
      </c>
      <c r="B35" s="112">
        <v>1921</v>
      </c>
      <c r="C35" s="112">
        <v>6</v>
      </c>
      <c r="D35" t="s" s="83">
        <v>768</v>
      </c>
      <c r="E35" s="30"/>
      <c r="F35" s="112">
        <v>9</v>
      </c>
      <c r="G35" t="s" s="157">
        <v>821</v>
      </c>
      <c r="H35" t="s" s="158">
        <v>704</v>
      </c>
      <c r="I35" s="114">
        <v>28</v>
      </c>
      <c r="J35" s="120">
        <v>1</v>
      </c>
      <c r="K35" s="30"/>
      <c r="L35" s="30"/>
      <c r="M35" s="121"/>
      <c r="N35" t="s" s="157">
        <v>11</v>
      </c>
      <c r="O35" s="16"/>
      <c r="P35" s="16"/>
      <c r="Q35" s="16"/>
      <c r="R35" s="16"/>
      <c r="S35" s="79">
        <v>1</v>
      </c>
      <c r="T35" s="123">
        <v>28</v>
      </c>
      <c r="U35" s="30"/>
      <c r="V35" s="30"/>
      <c r="W35" s="30"/>
      <c r="X35" s="30"/>
      <c r="Y35" s="30"/>
      <c r="Z35" s="30"/>
      <c r="AA35" t="s" s="159">
        <v>188</v>
      </c>
      <c r="AB35" s="30"/>
      <c r="AC35" s="114">
        <v>1</v>
      </c>
      <c r="AD35" t="s" s="159">
        <v>15</v>
      </c>
      <c r="AE35" s="30"/>
      <c r="AF35" s="74"/>
      <c r="AG35" t="s" s="158">
        <v>540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t="s" s="83">
        <v>767</v>
      </c>
      <c r="B36" s="112">
        <v>1921</v>
      </c>
      <c r="C36" s="112">
        <v>6</v>
      </c>
      <c r="D36" t="s" s="83">
        <v>768</v>
      </c>
      <c r="E36" s="30"/>
      <c r="F36" s="112">
        <v>9</v>
      </c>
      <c r="G36" t="s" s="157">
        <v>821</v>
      </c>
      <c r="H36" t="s" s="158">
        <v>251</v>
      </c>
      <c r="I36" s="114">
        <v>29</v>
      </c>
      <c r="J36" s="120">
        <v>1</v>
      </c>
      <c r="K36" s="30"/>
      <c r="L36" s="30"/>
      <c r="M36" s="121"/>
      <c r="N36" t="s" s="157">
        <v>11</v>
      </c>
      <c r="O36" s="16"/>
      <c r="P36" s="16"/>
      <c r="Q36" s="16"/>
      <c r="R36" s="16"/>
      <c r="S36" s="79">
        <v>1</v>
      </c>
      <c r="T36" s="123">
        <v>19</v>
      </c>
      <c r="U36" s="30"/>
      <c r="V36" s="30"/>
      <c r="W36" s="30"/>
      <c r="X36" s="30"/>
      <c r="Y36" s="30"/>
      <c r="Z36" s="30"/>
      <c r="AA36" t="s" s="159">
        <v>188</v>
      </c>
      <c r="AB36" s="30"/>
      <c r="AC36" s="114">
        <v>1</v>
      </c>
      <c r="AD36" t="s" s="159">
        <v>15</v>
      </c>
      <c r="AE36" s="30"/>
      <c r="AF36" s="74"/>
      <c r="AG36" t="s" s="158">
        <v>540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t="s" s="83">
        <v>767</v>
      </c>
      <c r="B37" s="112">
        <v>1921</v>
      </c>
      <c r="C37" s="112">
        <v>6</v>
      </c>
      <c r="D37" t="s" s="83">
        <v>768</v>
      </c>
      <c r="E37" s="30"/>
      <c r="F37" s="112">
        <v>9</v>
      </c>
      <c r="G37" t="s" s="157">
        <v>822</v>
      </c>
      <c r="H37" t="s" s="158">
        <v>406</v>
      </c>
      <c r="I37" s="114">
        <v>30</v>
      </c>
      <c r="J37" s="120">
        <v>1</v>
      </c>
      <c r="K37" s="30"/>
      <c r="L37" s="30"/>
      <c r="M37" s="121"/>
      <c r="N37" t="s" s="157">
        <v>11</v>
      </c>
      <c r="O37" s="16"/>
      <c r="P37" s="16"/>
      <c r="Q37" s="16"/>
      <c r="R37" s="16"/>
      <c r="S37" s="79">
        <v>1</v>
      </c>
      <c r="T37" s="123">
        <v>24</v>
      </c>
      <c r="U37" s="30"/>
      <c r="V37" s="30"/>
      <c r="W37" s="30"/>
      <c r="X37" s="30"/>
      <c r="Y37" s="30"/>
      <c r="Z37" s="30"/>
      <c r="AA37" t="s" s="159">
        <v>188</v>
      </c>
      <c r="AB37" s="30"/>
      <c r="AC37" s="114">
        <v>1</v>
      </c>
      <c r="AD37" t="s" s="159">
        <v>15</v>
      </c>
      <c r="AE37" s="30"/>
      <c r="AF37" s="74"/>
      <c r="AG37" t="s" s="158">
        <v>823</v>
      </c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t="s" s="83">
        <v>767</v>
      </c>
      <c r="B38" s="112">
        <v>1921</v>
      </c>
      <c r="C38" s="112">
        <v>6</v>
      </c>
      <c r="D38" t="s" s="83">
        <v>768</v>
      </c>
      <c r="E38" s="30"/>
      <c r="F38" s="112">
        <v>9</v>
      </c>
      <c r="G38" t="s" s="157">
        <v>642</v>
      </c>
      <c r="H38" t="s" s="158">
        <v>824</v>
      </c>
      <c r="I38" s="114">
        <v>31</v>
      </c>
      <c r="J38" s="120">
        <v>1</v>
      </c>
      <c r="K38" s="30"/>
      <c r="L38" s="30"/>
      <c r="M38" s="121"/>
      <c r="N38" t="s" s="157">
        <v>78</v>
      </c>
      <c r="O38" s="16"/>
      <c r="P38" s="79">
        <v>1</v>
      </c>
      <c r="Q38" s="16"/>
      <c r="R38" s="16"/>
      <c r="S38" s="16"/>
      <c r="T38" s="123">
        <v>40</v>
      </c>
      <c r="U38" s="30"/>
      <c r="V38" s="30"/>
      <c r="W38" s="30"/>
      <c r="X38" s="30"/>
      <c r="Y38" s="30"/>
      <c r="Z38" s="30"/>
      <c r="AA38" t="s" s="159">
        <v>34</v>
      </c>
      <c r="AB38" s="30"/>
      <c r="AC38" s="29"/>
      <c r="AD38" t="s" s="159">
        <v>34</v>
      </c>
      <c r="AE38" s="30"/>
      <c r="AF38" s="156">
        <v>1</v>
      </c>
      <c r="AG38" t="s" s="158">
        <v>13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t="s" s="83">
        <v>767</v>
      </c>
      <c r="B39" s="112">
        <v>1921</v>
      </c>
      <c r="C39" s="112">
        <v>6</v>
      </c>
      <c r="D39" t="s" s="83">
        <v>768</v>
      </c>
      <c r="E39" s="30"/>
      <c r="F39" s="112">
        <v>9</v>
      </c>
      <c r="G39" t="s" s="157">
        <v>642</v>
      </c>
      <c r="H39" t="s" s="158">
        <v>825</v>
      </c>
      <c r="I39" s="114">
        <v>32</v>
      </c>
      <c r="J39" t="s" s="159">
        <v>37</v>
      </c>
      <c r="K39" s="30"/>
      <c r="L39" s="30"/>
      <c r="M39" s="118">
        <v>1</v>
      </c>
      <c r="N39" t="s" s="157">
        <v>826</v>
      </c>
      <c r="O39" s="16"/>
      <c r="P39" s="16"/>
      <c r="Q39" s="16"/>
      <c r="R39" s="79">
        <v>1</v>
      </c>
      <c r="S39" s="16"/>
      <c r="T39" s="123">
        <v>2</v>
      </c>
      <c r="U39" s="30"/>
      <c r="V39" s="30"/>
      <c r="W39" s="30"/>
      <c r="X39" s="30"/>
      <c r="Y39" s="30"/>
      <c r="Z39" s="30"/>
      <c r="AA39" t="s" s="159">
        <v>34</v>
      </c>
      <c r="AB39" s="30"/>
      <c r="AC39" s="29"/>
      <c r="AD39" t="s" s="159">
        <v>34</v>
      </c>
      <c r="AE39" s="30"/>
      <c r="AF39" s="74"/>
      <c r="AG39" t="s" s="158">
        <v>827</v>
      </c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.5" customHeight="1">
      <c r="A40" t="s" s="83">
        <v>767</v>
      </c>
      <c r="B40" s="112">
        <v>1921</v>
      </c>
      <c r="C40" s="112">
        <v>6</v>
      </c>
      <c r="D40" t="s" s="83">
        <v>768</v>
      </c>
      <c r="E40" s="30"/>
      <c r="F40" s="112">
        <v>9</v>
      </c>
      <c r="G40" t="s" s="160">
        <v>828</v>
      </c>
      <c r="H40" t="s" s="161">
        <v>829</v>
      </c>
      <c r="I40" s="114">
        <v>33</v>
      </c>
      <c r="J40" s="111">
        <v>1</v>
      </c>
      <c r="K40" s="30"/>
      <c r="L40" s="30"/>
      <c r="M40" s="121"/>
      <c r="N40" t="s" s="160">
        <v>11</v>
      </c>
      <c r="O40" s="132"/>
      <c r="P40" s="132"/>
      <c r="Q40" s="132"/>
      <c r="R40" s="132"/>
      <c r="S40" s="126">
        <v>1</v>
      </c>
      <c r="T40" s="142">
        <v>19</v>
      </c>
      <c r="U40" s="30"/>
      <c r="V40" s="30"/>
      <c r="W40" s="30"/>
      <c r="X40" s="30"/>
      <c r="Y40" s="30"/>
      <c r="Z40" s="30"/>
      <c r="AA40" t="s" s="110">
        <v>699</v>
      </c>
      <c r="AB40" s="30"/>
      <c r="AC40" s="114">
        <v>1</v>
      </c>
      <c r="AD40" t="s" s="110">
        <v>15</v>
      </c>
      <c r="AE40" s="30"/>
      <c r="AF40" s="162">
        <v>1</v>
      </c>
      <c r="AG40" t="s" s="161">
        <v>830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t="s" s="83">
        <v>767</v>
      </c>
      <c r="B41" s="112">
        <v>1921</v>
      </c>
      <c r="C41" s="112">
        <v>6</v>
      </c>
      <c r="D41" t="s" s="83">
        <v>768</v>
      </c>
      <c r="E41" s="30"/>
      <c r="F41" s="30"/>
      <c r="G41" s="30"/>
      <c r="H41" s="112">
        <v>12</v>
      </c>
      <c r="I41" s="112">
        <v>33</v>
      </c>
      <c r="J41" s="112" cm="1">
        <f t="array" ref="J41">SUM(J3:J40)</f>
        <v>21</v>
      </c>
      <c r="K41" s="112" cm="1">
        <f t="array" ref="K41">SUM(K3:K40)</f>
        <v>7</v>
      </c>
      <c r="L41" s="112" cm="1">
        <f t="array" ref="L41">SUM(L3:L40)</f>
        <v>3</v>
      </c>
      <c r="M41" s="112" cm="1">
        <f t="array" ref="M41">SUM(M3:M40)</f>
        <v>2</v>
      </c>
      <c r="N41" s="112" cm="1">
        <f t="array" ref="N41">SUM(N3:N40)</f>
        <v>6</v>
      </c>
      <c r="O41" s="112" cm="1">
        <f t="array" ref="O41">SUM(O3:O40)</f>
        <v>5</v>
      </c>
      <c r="P41" s="112" cm="1">
        <f t="array" ref="P41">SUM(P3:P40)</f>
        <v>5</v>
      </c>
      <c r="Q41" s="112" cm="1">
        <f t="array" ref="Q41">SUM(Q3:Q40)</f>
        <v>2</v>
      </c>
      <c r="R41" s="112" cm="1">
        <f t="array" ref="R41">SUM(R3:R40)</f>
        <v>3</v>
      </c>
      <c r="S41" s="112" cm="1">
        <f t="array" ref="S41">SUM(S3:S40)</f>
        <v>12</v>
      </c>
      <c r="T41" s="112" cm="1">
        <f t="array" ref="T41">SUM(T3:T40)</f>
        <v>1139</v>
      </c>
      <c r="U41" s="112" cm="1">
        <f t="array" ref="U41">SUM(U3:U40)</f>
        <v>0</v>
      </c>
      <c r="V41" s="112" cm="1">
        <f t="array" ref="V41">SUM(V3:V40)</f>
        <v>0</v>
      </c>
      <c r="W41" s="112" cm="1">
        <f t="array" ref="W41">SUM(W3:W40)</f>
        <v>0</v>
      </c>
      <c r="X41" s="112" cm="1">
        <f t="array" ref="X41">SUM(X3:X40)</f>
        <v>0</v>
      </c>
      <c r="Y41" s="112" cm="1">
        <f t="array" ref="Y41">SUM(Y3:Y40)</f>
        <v>0</v>
      </c>
      <c r="Z41" s="112" cm="1">
        <f t="array" ref="Z41">SUM(Z3:Z40)</f>
        <v>0</v>
      </c>
      <c r="AA41" s="112" cm="1">
        <f t="array" ref="AA41">SUM(AA3:AA40)</f>
        <v>0</v>
      </c>
      <c r="AB41" s="112" cm="1">
        <f t="array" ref="AB41">SUM(AB3:AB40)</f>
        <v>0</v>
      </c>
      <c r="AC41" s="112" cm="1">
        <f t="array" ref="AC41">SUM(AC3:AC40)</f>
        <v>20</v>
      </c>
      <c r="AD41" s="112" cm="1">
        <f t="array" ref="AD41">SUM(AD3:AD40)</f>
        <v>3</v>
      </c>
      <c r="AE41" s="112" cm="1">
        <f t="array" ref="AE41">AC41-AD41</f>
        <v>17</v>
      </c>
      <c r="AF41" s="112" cm="1">
        <f t="array" ref="AF41">SUM(AF3:AF40)</f>
        <v>17</v>
      </c>
      <c r="AG41" s="112" cm="1">
        <f t="array" ref="AG41">J42-AF41</f>
        <v>16</v>
      </c>
      <c r="AH41" s="112" cm="1">
        <f t="array" ref="AH41">SUM(AH3:AH40)</f>
        <v>0</v>
      </c>
      <c r="AI41" s="112" cm="1">
        <f t="array" ref="AI41">SUM(AI3:AI40)</f>
        <v>0</v>
      </c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.5" customHeight="1">
      <c r="A42" s="30"/>
      <c r="B42" s="30"/>
      <c r="C42" s="30"/>
      <c r="D42" s="30"/>
      <c r="E42" s="30"/>
      <c r="F42" s="30"/>
      <c r="G42" s="30"/>
      <c r="H42" s="30"/>
      <c r="I42" s="30"/>
      <c r="J42" s="112" cm="1">
        <f t="array" ref="J42">SUM(J41:M41)</f>
        <v>33</v>
      </c>
      <c r="K42" s="30"/>
      <c r="L42" s="30"/>
      <c r="M42" s="121"/>
      <c r="N42" s="118" cm="1">
        <f t="array" ref="N42">SUM(N41:S41)</f>
        <v>33</v>
      </c>
      <c r="O42" s="121"/>
      <c r="P42" s="121"/>
      <c r="Q42" s="121"/>
      <c r="R42" s="121"/>
      <c r="S42" s="121"/>
      <c r="T42" s="86" cm="1">
        <f t="array" ref="T42">T41/N42</f>
        <v>34.5151515151515</v>
      </c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7" customHeight="1">
      <c r="A43" s="83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121"/>
      <c r="N44" s="121"/>
      <c r="O44" s="121"/>
      <c r="P44" s="121"/>
      <c r="Q44" s="121"/>
      <c r="R44" s="121"/>
      <c r="S44" s="121"/>
      <c r="T44" s="121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121"/>
      <c r="N45" s="121"/>
      <c r="O45" s="121"/>
      <c r="P45" s="121"/>
      <c r="Q45" s="121"/>
      <c r="R45" s="121"/>
      <c r="S45" s="121"/>
      <c r="T45" s="121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s="124"/>
      <c r="B46" s="124"/>
      <c r="C46" s="124"/>
      <c r="D46" s="28"/>
      <c r="E46" s="124"/>
      <c r="F46" s="28"/>
      <c r="G46" s="28"/>
      <c r="H46" s="28"/>
      <c r="I46" s="28"/>
      <c r="J46" s="28"/>
      <c r="K46" s="125"/>
      <c r="L46" s="28"/>
      <c r="M46" s="28"/>
      <c r="N46" s="28"/>
      <c r="O46" s="28"/>
      <c r="P46" s="28"/>
      <c r="Q46" s="125"/>
      <c r="R46" s="125"/>
      <c r="S46" s="125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28" customHeight="1">
      <c r="A47" s="124"/>
      <c r="B47" s="124"/>
      <c r="C47" s="124"/>
      <c r="D47" s="28"/>
      <c r="E47" s="124"/>
      <c r="F47" s="28"/>
      <c r="G47" s="28"/>
      <c r="H47" s="28"/>
      <c r="I47" s="28"/>
      <c r="J47" s="163"/>
      <c r="K47" s="164"/>
      <c r="L47" s="165"/>
      <c r="M47" s="28"/>
      <c r="N47" s="28"/>
      <c r="O47" s="28"/>
      <c r="P47" s="163"/>
      <c r="Q47" s="164"/>
      <c r="R47" s="164"/>
      <c r="S47" s="164"/>
      <c r="T47" s="166"/>
      <c r="U47" s="28"/>
      <c r="V47" s="28"/>
      <c r="W47" s="28"/>
      <c r="X47" s="28"/>
      <c r="Y47" s="28"/>
      <c r="Z47" s="28"/>
      <c r="AA47" s="28"/>
      <c r="AB47" s="28"/>
      <c r="AC47" s="28"/>
      <c r="AD47" s="124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.5" customHeight="1">
      <c r="A48" s="146"/>
      <c r="B48" s="30"/>
      <c r="C48" s="30"/>
      <c r="D48" s="30"/>
      <c r="E48" s="30"/>
      <c r="F48" s="30"/>
      <c r="G48" s="30"/>
      <c r="H48" s="30"/>
      <c r="I48" s="30"/>
      <c r="J48" s="30"/>
      <c r="K48" s="141"/>
      <c r="L48" s="30"/>
      <c r="M48" s="121"/>
      <c r="N48" s="121"/>
      <c r="O48" s="121"/>
      <c r="P48" s="121"/>
      <c r="Q48" s="147"/>
      <c r="R48" s="147"/>
      <c r="S48" s="147"/>
      <c r="T48" s="121"/>
      <c r="U48" s="121"/>
      <c r="V48" s="121"/>
      <c r="W48" s="121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.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121"/>
      <c r="N49" s="121"/>
      <c r="O49" s="121"/>
      <c r="P49" s="121"/>
      <c r="Q49" s="30"/>
      <c r="R49" s="121"/>
      <c r="S49" s="121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121"/>
      <c r="N50" s="121"/>
      <c r="O50" s="121"/>
      <c r="P50" s="121"/>
      <c r="Q50" s="121"/>
      <c r="R50" s="121"/>
      <c r="S50" s="121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121"/>
      <c r="N51" s="121"/>
      <c r="O51" s="121"/>
      <c r="P51" s="121"/>
      <c r="Q51" s="121"/>
      <c r="R51" s="121"/>
      <c r="S51" s="121"/>
      <c r="T51" s="30"/>
      <c r="U51" s="121"/>
      <c r="V51" s="121"/>
      <c r="W51" s="121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.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121"/>
      <c r="N52" s="121"/>
      <c r="O52" s="121"/>
      <c r="P52" s="121"/>
      <c r="Q52" s="30"/>
      <c r="R52" s="121"/>
      <c r="S52" s="121"/>
      <c r="T52" s="30"/>
      <c r="U52" s="121"/>
      <c r="V52" s="121"/>
      <c r="W52" s="121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121"/>
      <c r="N53" s="121"/>
      <c r="O53" s="121"/>
      <c r="P53" s="121"/>
      <c r="Q53" s="30"/>
      <c r="R53" s="121"/>
      <c r="S53" s="121"/>
      <c r="T53" s="30"/>
      <c r="U53" s="121"/>
      <c r="V53" s="121"/>
      <c r="W53" s="121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121"/>
      <c r="N54" s="121"/>
      <c r="O54" s="121"/>
      <c r="P54" s="121"/>
      <c r="Q54" s="30"/>
      <c r="R54" s="121"/>
      <c r="S54" s="121"/>
      <c r="T54" s="30"/>
      <c r="U54" s="121"/>
      <c r="V54" s="121"/>
      <c r="W54" s="121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.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121"/>
      <c r="N55" s="121"/>
      <c r="O55" s="121"/>
      <c r="P55" s="121"/>
      <c r="Q55" s="30"/>
      <c r="R55" s="121"/>
      <c r="S55" s="121"/>
      <c r="T55" s="30"/>
      <c r="U55" s="121"/>
      <c r="V55" s="121"/>
      <c r="W55" s="121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.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121"/>
      <c r="N57" s="121"/>
      <c r="O57" s="121"/>
      <c r="P57" s="121"/>
      <c r="Q57" s="30"/>
      <c r="R57" s="121"/>
      <c r="S57" s="121"/>
      <c r="T57" s="129"/>
      <c r="U57" s="121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.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121"/>
      <c r="N58" s="121"/>
      <c r="O58" s="121"/>
      <c r="P58" s="121"/>
      <c r="Q58" s="30"/>
      <c r="R58" s="121"/>
      <c r="S58" s="121"/>
      <c r="T58" s="30"/>
      <c r="U58" s="121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.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121"/>
      <c r="N59" s="121"/>
      <c r="O59" s="121"/>
      <c r="P59" s="121"/>
      <c r="Q59" s="30"/>
      <c r="R59" s="121"/>
      <c r="S59" s="121"/>
      <c r="T59" s="30"/>
      <c r="U59" s="121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.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121"/>
      <c r="N60" s="121"/>
      <c r="O60" s="121"/>
      <c r="P60" s="121"/>
      <c r="Q60" s="30"/>
      <c r="R60" s="121"/>
      <c r="S60" s="121"/>
      <c r="T60" s="129"/>
      <c r="U60" s="121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.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121"/>
      <c r="N61" s="121"/>
      <c r="O61" s="121"/>
      <c r="P61" s="121"/>
      <c r="Q61" s="30"/>
      <c r="R61" s="121"/>
      <c r="S61" s="121"/>
      <c r="T61" s="30"/>
      <c r="U61" s="121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7.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121"/>
      <c r="N62" s="121"/>
      <c r="O62" s="121"/>
      <c r="P62" s="121"/>
      <c r="Q62" s="30"/>
      <c r="R62" s="121"/>
      <c r="S62" s="121"/>
      <c r="T62" s="30"/>
      <c r="U62" s="121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7.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121"/>
      <c r="N63" s="121"/>
      <c r="O63" s="121"/>
      <c r="P63" s="121"/>
      <c r="Q63" s="30"/>
      <c r="R63" s="121"/>
      <c r="S63" s="121"/>
      <c r="T63" s="30"/>
      <c r="U63" s="121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</row>
    <row r="64" ht="17" customHeight="1">
      <c r="A64" t="s" s="83">
        <v>723</v>
      </c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</row>
    <row r="65" ht="17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87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</row>
    <row r="66" ht="17" customHeight="1">
      <c r="A66" s="30"/>
      <c r="B66" s="30"/>
      <c r="C66" s="30"/>
      <c r="D66" s="30"/>
      <c r="E66" s="30"/>
      <c r="F66" s="30"/>
      <c r="G66" s="130"/>
      <c r="H66" s="130"/>
      <c r="I66" s="130"/>
      <c r="J66" s="30"/>
      <c r="K66" s="30"/>
      <c r="L66" s="30"/>
      <c r="M66" s="30"/>
      <c r="N66" s="30"/>
      <c r="O66" s="30"/>
      <c r="P66" s="30"/>
      <c r="Q66" s="87"/>
      <c r="R66" s="130"/>
      <c r="S66" s="130"/>
      <c r="T66" s="1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74"/>
      <c r="BA66" s="16"/>
      <c r="BB66" s="16"/>
      <c r="BC66" s="16"/>
    </row>
    <row r="67" ht="17.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121"/>
      <c r="S67" s="121"/>
      <c r="T67" s="129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</row>
    <row r="68" ht="17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130"/>
      <c r="S68" s="130"/>
      <c r="T68" s="130"/>
      <c r="U68" s="30"/>
      <c r="V68" s="30"/>
      <c r="W68" s="30"/>
      <c r="X68" s="30"/>
      <c r="Y68" s="30"/>
      <c r="Z68" s="30"/>
      <c r="AA68" s="30"/>
      <c r="AB68" s="30"/>
      <c r="AC68" s="134"/>
      <c r="AD68" s="134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74"/>
      <c r="BA68" s="16"/>
      <c r="BB68" s="16"/>
      <c r="BC68" s="16"/>
    </row>
    <row r="69" ht="17.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121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74"/>
      <c r="BA69" s="16"/>
      <c r="BB69" s="16"/>
      <c r="BC69" s="16"/>
    </row>
    <row r="70" ht="15.35" customHeight="1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62"/>
      <c r="AE70" s="62"/>
      <c r="AF70" s="62"/>
      <c r="AG70" s="62"/>
      <c r="AH70" s="62"/>
      <c r="AI70" s="62"/>
      <c r="AJ70" s="62"/>
      <c r="AK70" s="62"/>
      <c r="AL70" s="62"/>
      <c r="AM70" s="62"/>
      <c r="AN70" s="62"/>
      <c r="AO70" s="62"/>
      <c r="AP70" s="62"/>
      <c r="AQ70" s="62"/>
      <c r="AR70" s="62"/>
      <c r="AS70" s="62"/>
      <c r="AT70" s="62"/>
      <c r="AU70" s="62"/>
      <c r="AV70" s="62"/>
      <c r="AW70" s="62"/>
      <c r="AX70" s="62"/>
      <c r="AY70" s="62"/>
      <c r="AZ70" s="16"/>
      <c r="BA70" s="16"/>
      <c r="BB70" s="16"/>
      <c r="BC70" s="16"/>
    </row>
    <row r="71" ht="15.3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15.3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</row>
    <row r="73" ht="15.3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</row>
    <row r="74" ht="15.35" customHeight="1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</row>
    <row r="75" ht="15.35" customHeight="1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</row>
    <row r="76" ht="15.35" customHeight="1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</row>
    <row r="77" ht="15.35" customHeight="1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</row>
    <row r="78" ht="15.35" customHeight="1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</row>
    <row r="79" ht="15.35" customHeight="1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</row>
    <row r="80" ht="15.3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</row>
    <row r="81" ht="15.35" customHeight="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</row>
    <row r="82" ht="15.35" customHeight="1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</row>
    <row r="83" ht="15.35" customHeight="1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</row>
    <row r="84" ht="15.3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</row>
    <row r="85" ht="15.3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</row>
    <row r="86" ht="15.3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5.3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</row>
    <row r="88" ht="15.3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15.3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15.3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</row>
    <row r="91" ht="15.3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5.3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15.3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</row>
    <row r="94" ht="15.3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8.xml><?xml version="1.0" encoding="utf-8"?>
<worksheet xmlns:r="http://schemas.openxmlformats.org/officeDocument/2006/relationships" xmlns="http://schemas.openxmlformats.org/spreadsheetml/2006/main">
  <dimension ref="A1:BC175"/>
  <sheetViews>
    <sheetView workbookViewId="0" showGridLines="0" defaultGridColor="1"/>
  </sheetViews>
  <sheetFormatPr defaultColWidth="10.8333" defaultRowHeight="16" customHeight="1" outlineLevelRow="0" outlineLevelCol="0"/>
  <cols>
    <col min="1" max="2" width="10.8516" style="167" customWidth="1"/>
    <col min="3" max="3" width="7.35156" style="167" customWidth="1"/>
    <col min="4" max="4" width="17.8516" style="167" customWidth="1"/>
    <col min="5" max="5" width="16.3516" style="167" customWidth="1"/>
    <col min="6" max="6" width="10.3516" style="167" customWidth="1"/>
    <col min="7" max="10" width="10.8516" style="167" customWidth="1"/>
    <col min="11" max="11" width="19.1719" style="167" customWidth="1"/>
    <col min="12" max="12" width="7.85156" style="167" customWidth="1"/>
    <col min="13" max="13" width="10" style="167" customWidth="1"/>
    <col min="14" max="14" width="8.67188" style="167" customWidth="1"/>
    <col min="15" max="15" width="6.85156" style="167" customWidth="1"/>
    <col min="16" max="16" width="11.5" style="167" customWidth="1"/>
    <col min="17" max="17" width="5.85156" style="167" customWidth="1"/>
    <col min="18" max="18" width="7.35156" style="167" customWidth="1"/>
    <col min="19" max="19" width="10.8516" style="167" customWidth="1"/>
    <col min="20" max="20" width="10" style="167" customWidth="1"/>
    <col min="21" max="23" width="10.8516" style="167" customWidth="1"/>
    <col min="24" max="24" width="31" style="167" customWidth="1"/>
    <col min="25" max="25" width="19.8516" style="167" customWidth="1"/>
    <col min="26" max="26" width="12.1719" style="167" customWidth="1"/>
    <col min="27" max="27" width="25.8516" style="167" customWidth="1"/>
    <col min="28" max="30" width="16.5" style="167" customWidth="1"/>
    <col min="31" max="31" width="14.6719" style="167" customWidth="1"/>
    <col min="32" max="32" width="10.8516" style="167" customWidth="1"/>
    <col min="33" max="33" width="11" style="167" customWidth="1"/>
    <col min="34" max="34" width="11.1719" style="167" customWidth="1"/>
    <col min="35" max="35" width="7.85156" style="167" customWidth="1"/>
    <col min="36" max="37" width="10.8516" style="167" customWidth="1"/>
    <col min="38" max="38" width="7.35156" style="167" customWidth="1"/>
    <col min="39" max="39" width="10.8516" style="167" customWidth="1"/>
    <col min="40" max="40" width="9.17188" style="167" customWidth="1"/>
    <col min="41" max="41" width="10.8516" style="167" customWidth="1"/>
    <col min="42" max="42" width="12.5" style="167" customWidth="1"/>
    <col min="43" max="43" width="13" style="167" customWidth="1"/>
    <col min="44" max="55" width="10.8516" style="167" customWidth="1"/>
    <col min="56" max="16384" width="10.8516" style="167" customWidth="1"/>
  </cols>
  <sheetData>
    <row r="1" ht="79" customHeight="1">
      <c r="A1" t="s" s="82">
        <v>268</v>
      </c>
      <c r="B1" t="s" s="82">
        <v>453</v>
      </c>
      <c r="C1" t="s" s="82">
        <v>831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89"/>
      <c r="D2" s="89"/>
      <c r="E2" t="s" s="90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7.45" customHeight="1">
      <c r="A3" s="168"/>
      <c r="B3" s="89"/>
      <c r="C3" s="89"/>
      <c r="D3" s="89"/>
      <c r="E3" s="89"/>
      <c r="F3" s="91"/>
      <c r="G3" s="87"/>
      <c r="H3" s="84"/>
      <c r="I3" s="84"/>
      <c r="J3" s="84"/>
      <c r="K3" s="84"/>
      <c r="L3" s="84"/>
      <c r="M3" s="169"/>
      <c r="N3" s="170"/>
      <c r="O3" s="171"/>
      <c r="P3" s="84"/>
      <c r="Q3" s="84"/>
      <c r="R3" s="84"/>
      <c r="S3" s="169"/>
      <c r="T3" s="170"/>
      <c r="U3" s="172"/>
      <c r="V3" s="172"/>
      <c r="W3" s="173"/>
      <c r="X3" s="84"/>
      <c r="Y3" s="84"/>
      <c r="Z3" s="84"/>
      <c r="AA3" s="84"/>
      <c r="AB3" s="84"/>
      <c r="AC3" s="84"/>
      <c r="AD3" s="84"/>
      <c r="AE3" s="84"/>
      <c r="AF3" s="84"/>
      <c r="AG3" s="87"/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116"/>
      <c r="BA3" s="62"/>
      <c r="BB3" s="62"/>
      <c r="BC3" s="62"/>
    </row>
    <row r="4" ht="34" customHeight="1">
      <c r="A4" t="s" s="88">
        <v>832</v>
      </c>
      <c r="B4" s="89">
        <v>1921</v>
      </c>
      <c r="C4" s="89">
        <v>1</v>
      </c>
      <c r="D4" t="s" s="90">
        <v>833</v>
      </c>
      <c r="E4" s="89"/>
      <c r="F4" s="91"/>
      <c r="G4" t="s" s="83">
        <v>834</v>
      </c>
      <c r="H4" t="s" s="83">
        <v>835</v>
      </c>
      <c r="I4" s="174">
        <v>1</v>
      </c>
      <c r="J4" t="s" s="83">
        <v>37</v>
      </c>
      <c r="K4" s="175">
        <v>1</v>
      </c>
      <c r="L4" s="62"/>
      <c r="M4" s="117"/>
      <c r="N4" s="112">
        <v>1</v>
      </c>
      <c r="O4" s="115"/>
      <c r="P4" s="30"/>
      <c r="Q4" s="116"/>
      <c r="R4" s="62"/>
      <c r="S4" s="117"/>
      <c r="T4" s="118">
        <v>41</v>
      </c>
      <c r="U4" s="74"/>
      <c r="V4" s="16"/>
      <c r="W4" s="62"/>
      <c r="X4" s="117"/>
      <c r="Y4" s="84"/>
      <c r="Z4" s="115"/>
      <c r="AA4" t="s" s="119">
        <v>836</v>
      </c>
      <c r="AB4" t="s" s="119">
        <v>8</v>
      </c>
      <c r="AC4" s="112">
        <v>1</v>
      </c>
      <c r="AD4" s="84">
        <v>1</v>
      </c>
      <c r="AE4" s="84"/>
      <c r="AF4" s="84"/>
      <c r="AG4" t="s" s="119">
        <v>837</v>
      </c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74"/>
      <c r="BA4" s="16"/>
      <c r="BB4" s="16"/>
      <c r="BC4" s="16"/>
    </row>
    <row r="5" ht="51" customHeight="1">
      <c r="A5" t="s" s="88">
        <v>832</v>
      </c>
      <c r="B5" s="89">
        <v>1921</v>
      </c>
      <c r="C5" s="89">
        <v>1</v>
      </c>
      <c r="D5" t="s" s="90">
        <v>833</v>
      </c>
      <c r="E5" s="89"/>
      <c r="F5" s="91"/>
      <c r="G5" t="s" s="83">
        <v>834</v>
      </c>
      <c r="H5" t="s" s="83">
        <v>81</v>
      </c>
      <c r="I5" s="176">
        <v>2</v>
      </c>
      <c r="J5" s="112">
        <v>1</v>
      </c>
      <c r="K5" s="74"/>
      <c r="L5" s="16"/>
      <c r="M5" s="75"/>
      <c r="N5" t="s" s="83">
        <v>72</v>
      </c>
      <c r="O5" s="176">
        <v>1</v>
      </c>
      <c r="P5" s="30"/>
      <c r="Q5" s="74"/>
      <c r="R5" s="16"/>
      <c r="S5" s="75"/>
      <c r="T5" s="118">
        <v>40</v>
      </c>
      <c r="U5" s="74"/>
      <c r="V5" s="16"/>
      <c r="W5" s="16"/>
      <c r="X5" s="75"/>
      <c r="Y5" s="84"/>
      <c r="Z5" s="122"/>
      <c r="AA5" t="s" s="119">
        <v>34</v>
      </c>
      <c r="AB5" t="s" s="119">
        <v>34</v>
      </c>
      <c r="AC5" s="30"/>
      <c r="AD5" s="84"/>
      <c r="AE5" s="84"/>
      <c r="AF5" s="84"/>
      <c r="AG5" t="s" s="119">
        <v>838</v>
      </c>
      <c r="AH5" s="87"/>
      <c r="AI5" s="87"/>
      <c r="AJ5" s="87"/>
      <c r="AK5" s="87"/>
      <c r="AL5" s="87"/>
      <c r="AM5" s="87"/>
      <c r="AN5" s="87"/>
      <c r="AO5" s="87"/>
      <c r="AP5" s="87"/>
      <c r="AQ5" s="87"/>
      <c r="AR5" s="87"/>
      <c r="AS5" s="87"/>
      <c r="AT5" s="87"/>
      <c r="AU5" s="87"/>
      <c r="AV5" s="87"/>
      <c r="AW5" s="87"/>
      <c r="AX5" s="87"/>
      <c r="AY5" s="87"/>
      <c r="AZ5" s="74"/>
      <c r="BA5" s="16"/>
      <c r="BB5" s="16"/>
      <c r="BC5" s="16"/>
    </row>
    <row r="6" ht="51" customHeight="1">
      <c r="A6" t="s" s="88">
        <v>832</v>
      </c>
      <c r="B6" s="89">
        <v>1921</v>
      </c>
      <c r="C6" s="89">
        <v>1</v>
      </c>
      <c r="D6" t="s" s="90">
        <v>833</v>
      </c>
      <c r="E6" s="89"/>
      <c r="F6" s="91"/>
      <c r="G6" t="s" s="83">
        <v>834</v>
      </c>
      <c r="H6" t="s" s="83">
        <v>839</v>
      </c>
      <c r="I6" s="176">
        <v>3</v>
      </c>
      <c r="J6" t="s" s="83">
        <v>37</v>
      </c>
      <c r="K6" s="177">
        <v>1</v>
      </c>
      <c r="L6" s="16"/>
      <c r="M6" s="75"/>
      <c r="N6" t="s" s="83">
        <v>36</v>
      </c>
      <c r="O6" s="122"/>
      <c r="P6" s="30"/>
      <c r="Q6" s="177">
        <v>1</v>
      </c>
      <c r="R6" s="16"/>
      <c r="S6" s="75"/>
      <c r="T6" s="118">
        <v>17</v>
      </c>
      <c r="U6" s="74"/>
      <c r="V6" s="16"/>
      <c r="W6" s="16"/>
      <c r="X6" s="75"/>
      <c r="Y6" s="84"/>
      <c r="Z6" s="122"/>
      <c r="AA6" t="s" s="119">
        <v>34</v>
      </c>
      <c r="AB6" t="s" s="119">
        <v>34</v>
      </c>
      <c r="AC6" s="30"/>
      <c r="AD6" s="84"/>
      <c r="AE6" s="84"/>
      <c r="AF6" s="84"/>
      <c r="AG6" t="s" s="119">
        <v>840</v>
      </c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87"/>
      <c r="AS6" s="87"/>
      <c r="AT6" s="87"/>
      <c r="AU6" s="87"/>
      <c r="AV6" s="87"/>
      <c r="AW6" s="87"/>
      <c r="AX6" s="87"/>
      <c r="AY6" s="87"/>
      <c r="AZ6" s="74"/>
      <c r="BA6" s="16"/>
      <c r="BB6" s="16"/>
      <c r="BC6" s="16"/>
    </row>
    <row r="7" ht="17" customHeight="1">
      <c r="A7" t="s" s="88">
        <v>832</v>
      </c>
      <c r="B7" s="89">
        <v>1921</v>
      </c>
      <c r="C7" s="89">
        <v>1</v>
      </c>
      <c r="D7" t="s" s="90">
        <v>833</v>
      </c>
      <c r="E7" s="89"/>
      <c r="F7" s="91"/>
      <c r="G7" t="s" s="83">
        <v>834</v>
      </c>
      <c r="H7" t="s" s="83">
        <v>109</v>
      </c>
      <c r="I7" s="176">
        <v>4</v>
      </c>
      <c r="J7" s="30"/>
      <c r="K7" s="74"/>
      <c r="L7" s="99">
        <v>1</v>
      </c>
      <c r="M7" s="75"/>
      <c r="N7" t="s" s="83">
        <v>78</v>
      </c>
      <c r="O7" s="122"/>
      <c r="P7" s="112">
        <v>1</v>
      </c>
      <c r="Q7" s="74"/>
      <c r="R7" s="16"/>
      <c r="S7" s="75"/>
      <c r="T7" s="112">
        <v>15</v>
      </c>
      <c r="U7" s="74"/>
      <c r="V7" s="16"/>
      <c r="W7" s="16"/>
      <c r="X7" s="75"/>
      <c r="Y7" s="84"/>
      <c r="Z7" s="122"/>
      <c r="AA7" t="s" s="83">
        <v>34</v>
      </c>
      <c r="AB7" t="s" s="83">
        <v>34</v>
      </c>
      <c r="AC7" s="30"/>
      <c r="AD7" s="84"/>
      <c r="AE7" s="84"/>
      <c r="AF7" s="84"/>
      <c r="AG7" t="s" s="83">
        <v>838</v>
      </c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74"/>
      <c r="BA7" s="16"/>
      <c r="BB7" s="16"/>
      <c r="BC7" s="16"/>
    </row>
    <row r="8" ht="51" customHeight="1">
      <c r="A8" t="s" s="88">
        <v>832</v>
      </c>
      <c r="B8" s="89">
        <v>1921</v>
      </c>
      <c r="C8" s="89">
        <v>1</v>
      </c>
      <c r="D8" t="s" s="90">
        <v>833</v>
      </c>
      <c r="E8" s="89"/>
      <c r="F8" s="91"/>
      <c r="G8" t="s" s="83">
        <v>834</v>
      </c>
      <c r="H8" t="s" s="83">
        <v>106</v>
      </c>
      <c r="I8" s="176">
        <v>5</v>
      </c>
      <c r="J8" s="30"/>
      <c r="K8" s="74"/>
      <c r="L8" s="99">
        <v>1</v>
      </c>
      <c r="M8" s="75"/>
      <c r="N8" t="s" s="83">
        <v>78</v>
      </c>
      <c r="O8" s="122"/>
      <c r="P8" s="112">
        <v>1</v>
      </c>
      <c r="Q8" s="74"/>
      <c r="R8" s="16"/>
      <c r="S8" s="75"/>
      <c r="T8" s="118">
        <v>14</v>
      </c>
      <c r="U8" s="74"/>
      <c r="V8" s="16"/>
      <c r="W8" s="16"/>
      <c r="X8" s="75"/>
      <c r="Y8" s="84"/>
      <c r="Z8" s="122"/>
      <c r="AA8" t="s" s="119">
        <v>34</v>
      </c>
      <c r="AB8" t="s" s="119">
        <v>34</v>
      </c>
      <c r="AC8" s="30"/>
      <c r="AD8" s="84"/>
      <c r="AE8" s="84"/>
      <c r="AF8" s="84"/>
      <c r="AG8" t="s" s="119">
        <v>838</v>
      </c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74"/>
      <c r="BA8" s="16"/>
      <c r="BB8" s="16"/>
      <c r="BC8" s="16"/>
    </row>
    <row r="9" ht="51" customHeight="1">
      <c r="A9" t="s" s="88">
        <v>832</v>
      </c>
      <c r="B9" s="89">
        <v>1921</v>
      </c>
      <c r="C9" s="89">
        <v>1</v>
      </c>
      <c r="D9" t="s" s="90">
        <v>833</v>
      </c>
      <c r="E9" s="89"/>
      <c r="F9" s="91"/>
      <c r="G9" t="s" s="83">
        <v>834</v>
      </c>
      <c r="H9" t="s" s="83">
        <v>841</v>
      </c>
      <c r="I9" s="176">
        <v>6</v>
      </c>
      <c r="J9" t="s" s="83">
        <v>37</v>
      </c>
      <c r="K9" s="74"/>
      <c r="L9" s="16"/>
      <c r="M9" s="178">
        <v>1</v>
      </c>
      <c r="N9" t="s" s="83">
        <v>36</v>
      </c>
      <c r="O9" s="122"/>
      <c r="P9" s="30"/>
      <c r="Q9" s="177">
        <v>1</v>
      </c>
      <c r="R9" s="16"/>
      <c r="S9" s="75"/>
      <c r="T9" s="118">
        <v>13</v>
      </c>
      <c r="U9" s="74"/>
      <c r="V9" s="16"/>
      <c r="W9" s="16"/>
      <c r="X9" s="75"/>
      <c r="Y9" s="84"/>
      <c r="Z9" s="122"/>
      <c r="AA9" t="s" s="119">
        <v>34</v>
      </c>
      <c r="AB9" t="s" s="119">
        <v>34</v>
      </c>
      <c r="AC9" s="30"/>
      <c r="AD9" s="84"/>
      <c r="AE9" s="84"/>
      <c r="AF9" s="84"/>
      <c r="AG9" t="s" s="119">
        <v>838</v>
      </c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87"/>
      <c r="AS9" s="87"/>
      <c r="AT9" s="87"/>
      <c r="AU9" s="87"/>
      <c r="AV9" s="87"/>
      <c r="AW9" s="87"/>
      <c r="AX9" s="87"/>
      <c r="AY9" s="87"/>
      <c r="AZ9" s="74"/>
      <c r="BA9" s="16"/>
      <c r="BB9" s="16"/>
      <c r="BC9" s="16"/>
    </row>
    <row r="10" ht="51" customHeight="1">
      <c r="A10" t="s" s="88">
        <v>832</v>
      </c>
      <c r="B10" s="89">
        <v>1921</v>
      </c>
      <c r="C10" s="89">
        <v>1</v>
      </c>
      <c r="D10" t="s" s="90">
        <v>833</v>
      </c>
      <c r="E10" s="89"/>
      <c r="F10" s="91"/>
      <c r="G10" t="s" s="83">
        <v>834</v>
      </c>
      <c r="H10" t="s" s="83">
        <v>619</v>
      </c>
      <c r="I10" s="176">
        <v>7</v>
      </c>
      <c r="J10" t="s" s="83">
        <v>37</v>
      </c>
      <c r="K10" s="74"/>
      <c r="L10" s="16"/>
      <c r="M10" s="178">
        <v>1</v>
      </c>
      <c r="N10" t="s" s="83">
        <v>36</v>
      </c>
      <c r="O10" s="122"/>
      <c r="P10" s="30"/>
      <c r="Q10" s="177">
        <v>1</v>
      </c>
      <c r="R10" s="16"/>
      <c r="S10" s="75"/>
      <c r="T10" s="118">
        <v>11</v>
      </c>
      <c r="U10" s="74"/>
      <c r="V10" s="16"/>
      <c r="W10" s="16"/>
      <c r="X10" s="75"/>
      <c r="Y10" s="84"/>
      <c r="Z10" s="122"/>
      <c r="AA10" t="s" s="119">
        <v>34</v>
      </c>
      <c r="AB10" t="s" s="119">
        <v>34</v>
      </c>
      <c r="AC10" s="30"/>
      <c r="AD10" s="84"/>
      <c r="AE10" s="84"/>
      <c r="AF10" s="84"/>
      <c r="AG10" t="s" s="119">
        <v>842</v>
      </c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74"/>
      <c r="BA10" s="16"/>
      <c r="BB10" s="16"/>
      <c r="BC10" s="16"/>
    </row>
    <row r="11" ht="68" customHeight="1">
      <c r="A11" t="s" s="88">
        <v>832</v>
      </c>
      <c r="B11" s="89">
        <v>1921</v>
      </c>
      <c r="C11" s="89">
        <v>1</v>
      </c>
      <c r="D11" t="s" s="90">
        <v>833</v>
      </c>
      <c r="E11" s="89"/>
      <c r="F11" s="91"/>
      <c r="G11" t="s" s="83">
        <v>834</v>
      </c>
      <c r="H11" t="s" s="83">
        <v>843</v>
      </c>
      <c r="I11" s="176">
        <v>8</v>
      </c>
      <c r="J11" t="s" s="83">
        <v>37</v>
      </c>
      <c r="K11" s="74"/>
      <c r="L11" s="16"/>
      <c r="M11" s="178">
        <v>1</v>
      </c>
      <c r="N11" t="s" s="83">
        <v>36</v>
      </c>
      <c r="O11" s="122"/>
      <c r="P11" s="30"/>
      <c r="Q11" s="177">
        <v>1</v>
      </c>
      <c r="R11" s="16"/>
      <c r="S11" s="75"/>
      <c r="T11" s="118">
        <v>9</v>
      </c>
      <c r="U11" s="74"/>
      <c r="V11" s="16"/>
      <c r="W11" s="16"/>
      <c r="X11" s="75"/>
      <c r="Y11" s="84"/>
      <c r="Z11" s="122"/>
      <c r="AA11" t="s" s="119">
        <v>34</v>
      </c>
      <c r="AB11" t="s" s="119">
        <v>34</v>
      </c>
      <c r="AC11" s="30"/>
      <c r="AD11" s="84"/>
      <c r="AE11" s="84"/>
      <c r="AF11" s="84">
        <v>1</v>
      </c>
      <c r="AG11" t="s" s="119">
        <v>13</v>
      </c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74"/>
      <c r="BA11" s="16"/>
      <c r="BB11" s="16"/>
      <c r="BC11" s="16"/>
    </row>
    <row r="12" ht="68" customHeight="1">
      <c r="A12" t="s" s="88">
        <v>832</v>
      </c>
      <c r="B12" s="89">
        <v>1921</v>
      </c>
      <c r="C12" s="89">
        <v>1</v>
      </c>
      <c r="D12" t="s" s="90">
        <v>833</v>
      </c>
      <c r="E12" s="89"/>
      <c r="F12" s="91"/>
      <c r="G12" t="s" s="83">
        <v>834</v>
      </c>
      <c r="H12" t="s" s="83">
        <v>844</v>
      </c>
      <c r="I12" s="176">
        <v>9</v>
      </c>
      <c r="J12" s="30"/>
      <c r="K12" s="74"/>
      <c r="L12" s="99">
        <v>1</v>
      </c>
      <c r="M12" s="75"/>
      <c r="N12" t="s" s="83">
        <v>78</v>
      </c>
      <c r="O12" s="122"/>
      <c r="P12" s="112">
        <v>1</v>
      </c>
      <c r="Q12" s="74"/>
      <c r="R12" s="16"/>
      <c r="S12" s="75"/>
      <c r="T12" s="118">
        <v>7</v>
      </c>
      <c r="U12" s="74"/>
      <c r="V12" s="16"/>
      <c r="W12" s="16"/>
      <c r="X12" s="75"/>
      <c r="Y12" s="84"/>
      <c r="Z12" s="122"/>
      <c r="AA12" t="s" s="119">
        <v>34</v>
      </c>
      <c r="AB12" t="s" s="119">
        <v>34</v>
      </c>
      <c r="AC12" s="30"/>
      <c r="AD12" s="84"/>
      <c r="AE12" s="84"/>
      <c r="AF12" s="84">
        <v>1</v>
      </c>
      <c r="AG12" t="s" s="119">
        <v>13</v>
      </c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74"/>
      <c r="BA12" s="16"/>
      <c r="BB12" s="16"/>
      <c r="BC12" s="16"/>
    </row>
    <row r="13" ht="68" customHeight="1">
      <c r="A13" t="s" s="88">
        <v>832</v>
      </c>
      <c r="B13" s="89">
        <v>1921</v>
      </c>
      <c r="C13" s="89">
        <v>1</v>
      </c>
      <c r="D13" t="s" s="90">
        <v>833</v>
      </c>
      <c r="E13" s="89"/>
      <c r="F13" s="91"/>
      <c r="G13" t="s" s="83">
        <v>834</v>
      </c>
      <c r="H13" t="s" s="83">
        <v>845</v>
      </c>
      <c r="I13" s="176">
        <v>10</v>
      </c>
      <c r="J13" s="30"/>
      <c r="K13" s="74"/>
      <c r="L13" s="99">
        <v>1</v>
      </c>
      <c r="M13" s="75"/>
      <c r="N13" t="s" s="83">
        <v>78</v>
      </c>
      <c r="O13" s="122"/>
      <c r="P13" s="112">
        <v>1</v>
      </c>
      <c r="Q13" s="74"/>
      <c r="R13" s="16"/>
      <c r="S13" s="75"/>
      <c r="T13" s="118">
        <v>1</v>
      </c>
      <c r="U13" s="74"/>
      <c r="V13" s="16"/>
      <c r="W13" s="16"/>
      <c r="X13" s="75"/>
      <c r="Y13" s="84"/>
      <c r="Z13" s="122"/>
      <c r="AA13" t="s" s="119">
        <v>34</v>
      </c>
      <c r="AB13" t="s" s="119">
        <v>34</v>
      </c>
      <c r="AC13" s="30"/>
      <c r="AD13" s="84"/>
      <c r="AE13" s="84"/>
      <c r="AF13" s="84">
        <v>1</v>
      </c>
      <c r="AG13" t="s" s="119">
        <v>13</v>
      </c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74"/>
      <c r="BA13" s="16"/>
      <c r="BB13" s="16"/>
      <c r="BC13" s="16"/>
    </row>
    <row r="14" ht="17" customHeight="1">
      <c r="A14" t="s" s="88">
        <v>832</v>
      </c>
      <c r="B14" s="89">
        <v>1921</v>
      </c>
      <c r="C14" s="89">
        <v>1</v>
      </c>
      <c r="D14" t="s" s="90">
        <v>833</v>
      </c>
      <c r="E14" s="89"/>
      <c r="F14" s="91"/>
      <c r="G14" t="s" s="83">
        <v>846</v>
      </c>
      <c r="H14" t="s" s="83">
        <v>593</v>
      </c>
      <c r="I14" s="176">
        <v>11</v>
      </c>
      <c r="J14" s="112">
        <v>1</v>
      </c>
      <c r="K14" s="74"/>
      <c r="L14" s="16"/>
      <c r="M14" s="75"/>
      <c r="N14" t="s" s="83">
        <v>11</v>
      </c>
      <c r="O14" s="122"/>
      <c r="P14" s="30"/>
      <c r="Q14" s="74"/>
      <c r="R14" s="16"/>
      <c r="S14" s="178">
        <v>1</v>
      </c>
      <c r="T14" s="118">
        <v>26</v>
      </c>
      <c r="U14" s="74"/>
      <c r="V14" s="16"/>
      <c r="W14" s="16"/>
      <c r="X14" s="75"/>
      <c r="Y14" s="84"/>
      <c r="Z14" s="122"/>
      <c r="AA14" t="s" s="119">
        <v>105</v>
      </c>
      <c r="AB14" t="s" s="119">
        <v>15</v>
      </c>
      <c r="AC14" s="112">
        <v>1</v>
      </c>
      <c r="AD14" s="84"/>
      <c r="AE14" s="84"/>
      <c r="AF14" s="84"/>
      <c r="AG14" t="s" s="119">
        <v>34</v>
      </c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74"/>
      <c r="BA14" s="16"/>
      <c r="BB14" s="16"/>
      <c r="BC14" s="16"/>
    </row>
    <row r="15" ht="17" customHeight="1">
      <c r="A15" t="s" s="88">
        <v>832</v>
      </c>
      <c r="B15" s="89">
        <v>1921</v>
      </c>
      <c r="C15" s="89"/>
      <c r="D15" t="s" s="90">
        <v>833</v>
      </c>
      <c r="E15" s="89"/>
      <c r="F15" s="91"/>
      <c r="G15" s="179"/>
      <c r="H15" s="127">
        <v>11</v>
      </c>
      <c r="I15" s="16"/>
      <c r="J15" s="180"/>
      <c r="K15" s="16"/>
      <c r="L15" s="16"/>
      <c r="M15" s="16"/>
      <c r="N15" s="180"/>
      <c r="O15" s="16"/>
      <c r="P15" s="180"/>
      <c r="Q15" s="16"/>
      <c r="R15" s="16"/>
      <c r="S15" s="16"/>
      <c r="T15" s="180"/>
      <c r="U15" s="16"/>
      <c r="V15" s="16"/>
      <c r="W15" s="16"/>
      <c r="X15" s="75"/>
      <c r="Y15" s="84"/>
      <c r="Z15" s="74"/>
      <c r="AA15" s="180"/>
      <c r="AB15" s="180"/>
      <c r="AC15" s="146"/>
      <c r="AD15" s="84"/>
      <c r="AE15" s="84"/>
      <c r="AF15" s="84"/>
      <c r="AG15" s="30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74"/>
      <c r="BA15" s="16"/>
      <c r="BB15" s="16"/>
      <c r="BC15" s="16"/>
    </row>
    <row r="16" ht="17" customHeight="1">
      <c r="A16" t="s" s="88">
        <v>832</v>
      </c>
      <c r="B16" s="89">
        <v>1921</v>
      </c>
      <c r="C16" s="89"/>
      <c r="D16" t="s" s="90">
        <v>833</v>
      </c>
      <c r="E16" s="89"/>
      <c r="F16" s="91"/>
      <c r="G16" t="s" s="83">
        <v>1</v>
      </c>
      <c r="H16" t="s" s="83">
        <v>0</v>
      </c>
      <c r="I16" s="122"/>
      <c r="J16" t="s" s="83">
        <v>3</v>
      </c>
      <c r="K16" s="74"/>
      <c r="L16" s="16"/>
      <c r="M16" s="75"/>
      <c r="N16" t="s" s="83">
        <v>2</v>
      </c>
      <c r="O16" s="122"/>
      <c r="P16" s="30"/>
      <c r="Q16" s="74"/>
      <c r="R16" s="16"/>
      <c r="S16" s="75"/>
      <c r="T16" t="s" s="83">
        <v>5</v>
      </c>
      <c r="U16" s="74"/>
      <c r="V16" s="16"/>
      <c r="W16" s="16"/>
      <c r="X16" s="75"/>
      <c r="Y16" s="84"/>
      <c r="Z16" s="122"/>
      <c r="AA16" t="s" s="83">
        <v>7</v>
      </c>
      <c r="AB16" t="s" s="83">
        <v>8</v>
      </c>
      <c r="AC16" s="30"/>
      <c r="AD16" s="84"/>
      <c r="AE16" s="84"/>
      <c r="AF16" s="84"/>
      <c r="AG16" t="s" s="83">
        <v>6</v>
      </c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74"/>
      <c r="BA16" s="16"/>
      <c r="BB16" s="16"/>
      <c r="BC16" s="16"/>
    </row>
    <row r="17" ht="17" customHeight="1">
      <c r="A17" t="s" s="88">
        <v>832</v>
      </c>
      <c r="B17" s="89">
        <v>1921</v>
      </c>
      <c r="C17" s="89">
        <v>2</v>
      </c>
      <c r="D17" t="s" s="90">
        <v>833</v>
      </c>
      <c r="E17" t="s" s="90">
        <v>847</v>
      </c>
      <c r="F17" s="91"/>
      <c r="G17" t="s" s="83">
        <v>848</v>
      </c>
      <c r="H17" t="s" s="83">
        <v>706</v>
      </c>
      <c r="I17" s="176">
        <v>12</v>
      </c>
      <c r="J17" t="s" s="83">
        <v>37</v>
      </c>
      <c r="K17" s="177">
        <v>1</v>
      </c>
      <c r="L17" s="16"/>
      <c r="M17" s="75"/>
      <c r="N17" s="112">
        <v>1</v>
      </c>
      <c r="O17" s="122"/>
      <c r="P17" s="30"/>
      <c r="Q17" s="74"/>
      <c r="R17" s="16"/>
      <c r="S17" s="75"/>
      <c r="T17" s="112">
        <v>41</v>
      </c>
      <c r="U17" s="74"/>
      <c r="V17" s="16"/>
      <c r="W17" s="16"/>
      <c r="X17" s="75"/>
      <c r="Y17" s="84"/>
      <c r="Z17" s="122"/>
      <c r="AA17" t="s" s="83">
        <v>849</v>
      </c>
      <c r="AB17" t="s" s="83">
        <v>850</v>
      </c>
      <c r="AC17" s="87">
        <v>1</v>
      </c>
      <c r="AD17" s="84"/>
      <c r="AE17" s="84"/>
      <c r="AF17" s="84"/>
      <c r="AG17" t="s" s="83">
        <v>851</v>
      </c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74"/>
      <c r="BA17" s="16"/>
      <c r="BB17" s="16"/>
      <c r="BC17" s="16"/>
    </row>
    <row r="18" ht="17" customHeight="1">
      <c r="A18" t="s" s="88">
        <v>832</v>
      </c>
      <c r="B18" s="89">
        <v>1921</v>
      </c>
      <c r="C18" s="89">
        <v>2</v>
      </c>
      <c r="D18" t="s" s="90">
        <v>833</v>
      </c>
      <c r="E18" t="s" s="90">
        <v>847</v>
      </c>
      <c r="F18" s="91"/>
      <c r="G18" t="s" s="83">
        <v>848</v>
      </c>
      <c r="H18" t="s" s="83">
        <v>852</v>
      </c>
      <c r="I18" s="176">
        <v>13</v>
      </c>
      <c r="J18" s="112">
        <v>1</v>
      </c>
      <c r="K18" s="74"/>
      <c r="L18" s="16"/>
      <c r="M18" s="75"/>
      <c r="N18" t="s" s="83">
        <v>72</v>
      </c>
      <c r="O18" s="176">
        <v>1</v>
      </c>
      <c r="P18" s="30"/>
      <c r="Q18" s="74"/>
      <c r="R18" s="16"/>
      <c r="S18" s="75"/>
      <c r="T18" s="112">
        <v>41</v>
      </c>
      <c r="U18" s="74"/>
      <c r="V18" s="16"/>
      <c r="W18" s="16"/>
      <c r="X18" s="75"/>
      <c r="Y18" s="84"/>
      <c r="Z18" s="122"/>
      <c r="AA18" t="s" s="83">
        <v>33</v>
      </c>
      <c r="AB18" t="s" s="83">
        <v>34</v>
      </c>
      <c r="AC18" s="30"/>
      <c r="AD18" s="84"/>
      <c r="AE18" s="84"/>
      <c r="AF18" s="84">
        <v>1</v>
      </c>
      <c r="AG18" t="s" s="83">
        <v>853</v>
      </c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74"/>
      <c r="BA18" s="16"/>
      <c r="BB18" s="16"/>
      <c r="BC18" s="16"/>
    </row>
    <row r="19" ht="17" customHeight="1">
      <c r="A19" t="s" s="88">
        <v>832</v>
      </c>
      <c r="B19" s="89">
        <v>1921</v>
      </c>
      <c r="C19" s="89">
        <v>2</v>
      </c>
      <c r="D19" t="s" s="90">
        <v>833</v>
      </c>
      <c r="E19" t="s" s="90">
        <v>847</v>
      </c>
      <c r="F19" s="91"/>
      <c r="G19" t="s" s="83">
        <v>854</v>
      </c>
      <c r="H19" t="s" s="83">
        <v>855</v>
      </c>
      <c r="I19" s="176">
        <v>14</v>
      </c>
      <c r="J19" s="112">
        <v>1</v>
      </c>
      <c r="K19" s="74"/>
      <c r="L19" s="16"/>
      <c r="M19" s="75"/>
      <c r="N19" t="s" s="83">
        <v>11</v>
      </c>
      <c r="O19" s="122"/>
      <c r="P19" s="30"/>
      <c r="Q19" s="74"/>
      <c r="R19" s="16"/>
      <c r="S19" s="178">
        <v>1</v>
      </c>
      <c r="T19" s="112">
        <v>18</v>
      </c>
      <c r="U19" s="74"/>
      <c r="V19" s="16"/>
      <c r="W19" s="16"/>
      <c r="X19" s="75"/>
      <c r="Y19" s="84"/>
      <c r="Z19" s="122"/>
      <c r="AA19" t="s" s="83">
        <v>188</v>
      </c>
      <c r="AB19" t="s" s="83">
        <v>856</v>
      </c>
      <c r="AC19" s="112">
        <v>1</v>
      </c>
      <c r="AD19" s="84"/>
      <c r="AE19" s="84"/>
      <c r="AF19" s="84">
        <v>1</v>
      </c>
      <c r="AG19" t="s" s="83">
        <v>54</v>
      </c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74"/>
      <c r="BA19" s="16"/>
      <c r="BB19" s="16"/>
      <c r="BC19" s="16"/>
    </row>
    <row r="20" ht="17" customHeight="1">
      <c r="A20" t="s" s="88">
        <v>832</v>
      </c>
      <c r="B20" s="89">
        <v>1921</v>
      </c>
      <c r="C20" s="89"/>
      <c r="D20" t="s" s="90">
        <v>833</v>
      </c>
      <c r="E20" s="89"/>
      <c r="F20" s="91"/>
      <c r="G20" s="30"/>
      <c r="H20" s="112">
        <v>3</v>
      </c>
      <c r="I20" s="122"/>
      <c r="J20" s="30"/>
      <c r="K20" s="74"/>
      <c r="L20" s="16"/>
      <c r="M20" s="75"/>
      <c r="N20" s="30"/>
      <c r="O20" s="122"/>
      <c r="P20" s="30"/>
      <c r="Q20" s="74"/>
      <c r="R20" s="16"/>
      <c r="S20" s="75"/>
      <c r="T20" s="30"/>
      <c r="U20" s="74"/>
      <c r="V20" s="16"/>
      <c r="W20" s="16"/>
      <c r="X20" s="75"/>
      <c r="Y20" s="84"/>
      <c r="Z20" s="122"/>
      <c r="AA20" s="30"/>
      <c r="AB20" s="30"/>
      <c r="AC20" s="30"/>
      <c r="AD20" s="84"/>
      <c r="AE20" s="84"/>
      <c r="AF20" s="84"/>
      <c r="AG20" s="30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74"/>
      <c r="BA20" s="16"/>
      <c r="BB20" s="16"/>
      <c r="BC20" s="16"/>
    </row>
    <row r="21" ht="17" customHeight="1">
      <c r="A21" t="s" s="88">
        <v>832</v>
      </c>
      <c r="B21" s="89">
        <v>1921</v>
      </c>
      <c r="C21" s="89"/>
      <c r="D21" t="s" s="90">
        <v>833</v>
      </c>
      <c r="E21" s="89"/>
      <c r="F21" s="91"/>
      <c r="G21" t="s" s="153">
        <v>1</v>
      </c>
      <c r="H21" t="s" s="98">
        <v>0</v>
      </c>
      <c r="I21" s="16"/>
      <c r="J21" t="s" s="98">
        <v>3</v>
      </c>
      <c r="K21" s="16"/>
      <c r="L21" s="16"/>
      <c r="M21" s="16"/>
      <c r="N21" t="s" s="98">
        <v>2</v>
      </c>
      <c r="O21" s="16"/>
      <c r="P21" s="62"/>
      <c r="Q21" s="16"/>
      <c r="R21" s="16"/>
      <c r="S21" s="16"/>
      <c r="T21" t="s" s="98">
        <v>5</v>
      </c>
      <c r="U21" s="16"/>
      <c r="V21" s="16"/>
      <c r="W21" s="16"/>
      <c r="X21" s="75"/>
      <c r="Y21" s="84"/>
      <c r="Z21" s="74"/>
      <c r="AA21" t="s" s="98">
        <v>7</v>
      </c>
      <c r="AB21" t="s" s="154">
        <v>8</v>
      </c>
      <c r="AC21" s="115"/>
      <c r="AD21" s="84"/>
      <c r="AE21" s="84"/>
      <c r="AF21" s="84"/>
      <c r="AG21" t="s" s="82">
        <v>6</v>
      </c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74"/>
      <c r="BA21" s="16"/>
      <c r="BB21" s="16"/>
      <c r="BC21" s="16"/>
    </row>
    <row r="22" ht="17" customHeight="1">
      <c r="A22" t="s" s="88">
        <v>832</v>
      </c>
      <c r="B22" s="89">
        <v>1921</v>
      </c>
      <c r="C22" s="89">
        <v>3</v>
      </c>
      <c r="D22" t="s" s="90">
        <v>833</v>
      </c>
      <c r="E22" s="89"/>
      <c r="F22" s="91"/>
      <c r="G22" t="s" s="157">
        <v>857</v>
      </c>
      <c r="H22" t="s" s="96">
        <v>362</v>
      </c>
      <c r="I22" s="99">
        <v>15</v>
      </c>
      <c r="J22" s="79">
        <v>1</v>
      </c>
      <c r="K22" s="16"/>
      <c r="L22" s="16"/>
      <c r="M22" s="16"/>
      <c r="N22" s="79">
        <v>1</v>
      </c>
      <c r="O22" s="16"/>
      <c r="P22" s="16"/>
      <c r="Q22" s="16"/>
      <c r="R22" s="16"/>
      <c r="S22" s="16"/>
      <c r="T22" s="79">
        <v>30</v>
      </c>
      <c r="U22" s="16"/>
      <c r="V22" s="16"/>
      <c r="W22" s="16"/>
      <c r="X22" s="75"/>
      <c r="Y22" s="84"/>
      <c r="Z22" s="74"/>
      <c r="AA22" t="s" s="96">
        <v>34</v>
      </c>
      <c r="AB22" t="s" s="96">
        <v>34</v>
      </c>
      <c r="AC22" s="75"/>
      <c r="AD22" s="84"/>
      <c r="AE22" s="84"/>
      <c r="AF22" s="84"/>
      <c r="AG22" t="s" s="159">
        <v>858</v>
      </c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74"/>
      <c r="BA22" s="16"/>
      <c r="BB22" s="16"/>
      <c r="BC22" s="16"/>
    </row>
    <row r="23" ht="17" customHeight="1">
      <c r="A23" t="s" s="88">
        <v>832</v>
      </c>
      <c r="B23" s="89">
        <v>1921</v>
      </c>
      <c r="C23" s="89">
        <v>3</v>
      </c>
      <c r="D23" t="s" s="90">
        <v>833</v>
      </c>
      <c r="E23" s="89"/>
      <c r="F23" s="91"/>
      <c r="G23" t="s" s="157">
        <v>857</v>
      </c>
      <c r="H23" t="s" s="96">
        <v>859</v>
      </c>
      <c r="I23" s="99">
        <v>16</v>
      </c>
      <c r="J23" t="s" s="96">
        <v>37</v>
      </c>
      <c r="K23" s="99">
        <v>1</v>
      </c>
      <c r="L23" s="16"/>
      <c r="M23" s="16"/>
      <c r="N23" t="s" s="96">
        <v>36</v>
      </c>
      <c r="O23" s="16"/>
      <c r="P23" s="16"/>
      <c r="Q23" s="99">
        <v>1</v>
      </c>
      <c r="R23" s="16"/>
      <c r="S23" s="16"/>
      <c r="T23" s="79">
        <v>3</v>
      </c>
      <c r="U23" s="16"/>
      <c r="V23" s="16"/>
      <c r="W23" s="16"/>
      <c r="X23" s="75"/>
      <c r="Y23" s="84"/>
      <c r="Z23" s="74"/>
      <c r="AA23" t="s" s="96">
        <v>34</v>
      </c>
      <c r="AB23" t="s" s="96">
        <v>34</v>
      </c>
      <c r="AC23" s="75"/>
      <c r="AD23" s="84"/>
      <c r="AE23" s="84"/>
      <c r="AF23" s="84"/>
      <c r="AG23" t="s" s="159">
        <v>754</v>
      </c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74"/>
      <c r="BA23" s="16"/>
      <c r="BB23" s="16"/>
      <c r="BC23" s="16"/>
    </row>
    <row r="24" ht="17" customHeight="1">
      <c r="A24" t="s" s="88">
        <v>832</v>
      </c>
      <c r="B24" s="89">
        <v>1921</v>
      </c>
      <c r="C24" s="89">
        <v>3</v>
      </c>
      <c r="D24" t="s" s="90">
        <v>833</v>
      </c>
      <c r="E24" s="89"/>
      <c r="F24" s="91"/>
      <c r="G24" t="s" s="157">
        <v>422</v>
      </c>
      <c r="H24" t="s" s="96">
        <v>792</v>
      </c>
      <c r="I24" s="99">
        <v>17</v>
      </c>
      <c r="J24" t="s" s="96">
        <v>37</v>
      </c>
      <c r="K24" s="99">
        <v>1</v>
      </c>
      <c r="L24" s="16"/>
      <c r="M24" s="16"/>
      <c r="N24" t="s" s="96">
        <v>41</v>
      </c>
      <c r="O24" s="16"/>
      <c r="P24" s="16"/>
      <c r="Q24" s="16"/>
      <c r="R24" s="99">
        <v>1</v>
      </c>
      <c r="S24" s="16"/>
      <c r="T24" s="79">
        <v>57</v>
      </c>
      <c r="U24" s="16"/>
      <c r="V24" s="16"/>
      <c r="W24" s="16"/>
      <c r="X24" s="75"/>
      <c r="Y24" s="84"/>
      <c r="Z24" s="74"/>
      <c r="AA24" t="s" s="96">
        <v>860</v>
      </c>
      <c r="AB24" t="s" s="96">
        <v>861</v>
      </c>
      <c r="AC24" s="123">
        <v>1</v>
      </c>
      <c r="AD24" s="84"/>
      <c r="AE24" s="84"/>
      <c r="AF24" s="84"/>
      <c r="AG24" t="s" s="159">
        <v>862</v>
      </c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74"/>
      <c r="BA24" s="16"/>
      <c r="BB24" s="16"/>
      <c r="BC24" s="16"/>
    </row>
    <row r="25" ht="17" customHeight="1">
      <c r="A25" t="s" s="88">
        <v>832</v>
      </c>
      <c r="B25" s="89">
        <v>1921</v>
      </c>
      <c r="C25" s="89">
        <v>3</v>
      </c>
      <c r="D25" t="s" s="90">
        <v>833</v>
      </c>
      <c r="E25" s="89"/>
      <c r="F25" s="91"/>
      <c r="G25" t="s" s="157">
        <v>863</v>
      </c>
      <c r="H25" t="s" s="96">
        <v>864</v>
      </c>
      <c r="I25" s="99">
        <v>18</v>
      </c>
      <c r="J25" s="79">
        <v>1</v>
      </c>
      <c r="K25" s="16"/>
      <c r="L25" s="16"/>
      <c r="M25" s="16"/>
      <c r="N25" t="s" s="96">
        <v>11</v>
      </c>
      <c r="O25" s="16"/>
      <c r="P25" s="16"/>
      <c r="Q25" s="16"/>
      <c r="R25" s="16"/>
      <c r="S25" s="99">
        <v>1</v>
      </c>
      <c r="T25" s="79">
        <v>28</v>
      </c>
      <c r="U25" s="16"/>
      <c r="V25" s="16"/>
      <c r="W25" s="16"/>
      <c r="X25" s="75"/>
      <c r="Y25" s="84"/>
      <c r="Z25" s="74"/>
      <c r="AA25" t="s" s="96">
        <v>699</v>
      </c>
      <c r="AB25" t="s" s="96">
        <v>15</v>
      </c>
      <c r="AC25" s="123">
        <v>1</v>
      </c>
      <c r="AD25" s="84"/>
      <c r="AE25" s="84"/>
      <c r="AF25" s="84"/>
      <c r="AG25" t="s" s="159">
        <v>865</v>
      </c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74"/>
      <c r="BA25" s="16"/>
      <c r="BB25" s="16"/>
      <c r="BC25" s="16"/>
    </row>
    <row r="26" ht="17" customHeight="1">
      <c r="A26" t="s" s="88">
        <v>832</v>
      </c>
      <c r="B26" s="89">
        <v>1921</v>
      </c>
      <c r="C26" s="89">
        <v>3</v>
      </c>
      <c r="D26" t="s" s="90">
        <v>833</v>
      </c>
      <c r="E26" s="89"/>
      <c r="F26" s="91"/>
      <c r="G26" t="s" s="157">
        <v>866</v>
      </c>
      <c r="H26" t="s" s="96">
        <v>867</v>
      </c>
      <c r="I26" s="99">
        <v>19</v>
      </c>
      <c r="J26" s="79">
        <v>1</v>
      </c>
      <c r="K26" s="16"/>
      <c r="L26" s="16"/>
      <c r="M26" s="16"/>
      <c r="N26" t="s" s="96">
        <v>11</v>
      </c>
      <c r="O26" s="16"/>
      <c r="P26" s="16"/>
      <c r="Q26" s="16"/>
      <c r="R26" s="16"/>
      <c r="S26" s="99">
        <v>1</v>
      </c>
      <c r="T26" s="79">
        <v>35</v>
      </c>
      <c r="U26" s="16"/>
      <c r="V26" s="16"/>
      <c r="W26" s="16"/>
      <c r="X26" s="75"/>
      <c r="Y26" s="84"/>
      <c r="Z26" s="74"/>
      <c r="AA26" t="s" s="96">
        <v>45</v>
      </c>
      <c r="AB26" t="s" s="96">
        <v>15</v>
      </c>
      <c r="AC26" s="123">
        <v>1</v>
      </c>
      <c r="AD26" s="84"/>
      <c r="AE26" s="84"/>
      <c r="AF26" s="84"/>
      <c r="AG26" t="s" s="159">
        <v>868</v>
      </c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87"/>
      <c r="AS26" s="87"/>
      <c r="AT26" s="87"/>
      <c r="AU26" s="87"/>
      <c r="AV26" s="87"/>
      <c r="AW26" s="87"/>
      <c r="AX26" s="87"/>
      <c r="AY26" s="87"/>
      <c r="AZ26" s="74"/>
      <c r="BA26" s="16"/>
      <c r="BB26" s="16"/>
      <c r="BC26" s="16"/>
    </row>
    <row r="27" ht="17" customHeight="1">
      <c r="A27" t="s" s="88">
        <v>832</v>
      </c>
      <c r="B27" s="89">
        <v>1921</v>
      </c>
      <c r="C27" s="89">
        <v>3</v>
      </c>
      <c r="D27" t="s" s="90">
        <v>833</v>
      </c>
      <c r="E27" s="89"/>
      <c r="F27" s="91"/>
      <c r="G27" t="s" s="157">
        <v>869</v>
      </c>
      <c r="H27" t="s" s="96">
        <v>471</v>
      </c>
      <c r="I27" s="99">
        <v>20</v>
      </c>
      <c r="J27" s="79">
        <v>1</v>
      </c>
      <c r="K27" s="16"/>
      <c r="L27" s="16"/>
      <c r="M27" s="16"/>
      <c r="N27" t="s" s="96">
        <v>11</v>
      </c>
      <c r="O27" s="16"/>
      <c r="P27" s="16"/>
      <c r="Q27" s="16"/>
      <c r="R27" s="16"/>
      <c r="S27" s="99">
        <v>1</v>
      </c>
      <c r="T27" s="79">
        <v>41</v>
      </c>
      <c r="U27" s="16"/>
      <c r="V27" s="16"/>
      <c r="W27" s="16"/>
      <c r="X27" s="75"/>
      <c r="Y27" s="84"/>
      <c r="Z27" s="74"/>
      <c r="AA27" t="s" s="96">
        <v>126</v>
      </c>
      <c r="AB27" t="s" s="96">
        <v>15</v>
      </c>
      <c r="AC27" s="123">
        <v>1</v>
      </c>
      <c r="AD27" s="84"/>
      <c r="AE27" s="84"/>
      <c r="AF27" s="84"/>
      <c r="AG27" t="s" s="159">
        <v>54</v>
      </c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87"/>
      <c r="AS27" s="87"/>
      <c r="AT27" s="87"/>
      <c r="AU27" s="87"/>
      <c r="AV27" s="87"/>
      <c r="AW27" s="87"/>
      <c r="AX27" s="87"/>
      <c r="AY27" s="87"/>
      <c r="AZ27" s="74"/>
      <c r="BA27" s="16"/>
      <c r="BB27" s="16"/>
      <c r="BC27" s="16"/>
    </row>
    <row r="28" ht="17" customHeight="1">
      <c r="A28" t="s" s="88">
        <v>832</v>
      </c>
      <c r="B28" s="89">
        <v>1921</v>
      </c>
      <c r="C28" s="89"/>
      <c r="D28" t="s" s="90">
        <v>833</v>
      </c>
      <c r="E28" s="89"/>
      <c r="F28" s="91"/>
      <c r="G28" s="74"/>
      <c r="H28" s="79">
        <v>6</v>
      </c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75"/>
      <c r="Y28" s="84"/>
      <c r="Z28" s="74"/>
      <c r="AA28" s="16"/>
      <c r="AB28" s="16"/>
      <c r="AC28" s="75"/>
      <c r="AD28" s="84"/>
      <c r="AE28" s="84"/>
      <c r="AF28" s="84"/>
      <c r="AG28" s="122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74"/>
      <c r="BA28" s="16"/>
      <c r="BB28" s="16"/>
      <c r="BC28" s="16"/>
    </row>
    <row r="29" ht="17" customHeight="1">
      <c r="A29" t="s" s="88">
        <v>832</v>
      </c>
      <c r="B29" s="89">
        <v>1921</v>
      </c>
      <c r="C29" s="89"/>
      <c r="D29" t="s" s="90">
        <v>833</v>
      </c>
      <c r="E29" s="89"/>
      <c r="F29" s="91"/>
      <c r="G29" t="s" s="157">
        <v>1</v>
      </c>
      <c r="H29" t="s" s="96">
        <v>0</v>
      </c>
      <c r="I29" s="16"/>
      <c r="J29" t="s" s="96">
        <v>3</v>
      </c>
      <c r="K29" s="16"/>
      <c r="L29" s="16"/>
      <c r="M29" s="16"/>
      <c r="N29" t="s" s="96">
        <v>2</v>
      </c>
      <c r="O29" s="16"/>
      <c r="P29" s="16"/>
      <c r="Q29" s="16"/>
      <c r="R29" s="16"/>
      <c r="S29" s="16"/>
      <c r="T29" t="s" s="96">
        <v>5</v>
      </c>
      <c r="U29" s="16"/>
      <c r="V29" s="16"/>
      <c r="W29" s="16"/>
      <c r="X29" s="75"/>
      <c r="Y29" s="84"/>
      <c r="Z29" s="74"/>
      <c r="AA29" t="s" s="96">
        <v>7</v>
      </c>
      <c r="AB29" t="s" s="96">
        <v>8</v>
      </c>
      <c r="AC29" s="75"/>
      <c r="AD29" s="84"/>
      <c r="AE29" s="84"/>
      <c r="AF29" s="84"/>
      <c r="AG29" t="s" s="159">
        <v>6</v>
      </c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87"/>
      <c r="AS29" s="87"/>
      <c r="AT29" s="87"/>
      <c r="AU29" s="87"/>
      <c r="AV29" s="87"/>
      <c r="AW29" s="87"/>
      <c r="AX29" s="87"/>
      <c r="AY29" s="87"/>
      <c r="AZ29" s="74"/>
      <c r="BA29" s="16"/>
      <c r="BB29" s="16"/>
      <c r="BC29" s="16"/>
    </row>
    <row r="30" ht="17" customHeight="1">
      <c r="A30" t="s" s="88">
        <v>832</v>
      </c>
      <c r="B30" s="89">
        <v>1921</v>
      </c>
      <c r="C30" s="89">
        <v>4</v>
      </c>
      <c r="D30" t="s" s="90">
        <v>833</v>
      </c>
      <c r="E30" s="89"/>
      <c r="F30" s="91"/>
      <c r="G30" t="s" s="157">
        <v>870</v>
      </c>
      <c r="H30" t="s" s="96">
        <v>871</v>
      </c>
      <c r="I30" s="99">
        <v>21</v>
      </c>
      <c r="J30" t="s" s="96">
        <v>37</v>
      </c>
      <c r="K30" s="99">
        <v>1</v>
      </c>
      <c r="L30" s="16"/>
      <c r="M30" s="16"/>
      <c r="N30" s="79">
        <v>1</v>
      </c>
      <c r="O30" s="16"/>
      <c r="P30" s="16"/>
      <c r="Q30" s="16"/>
      <c r="R30" s="16"/>
      <c r="S30" s="16"/>
      <c r="T30" s="79">
        <v>63</v>
      </c>
      <c r="U30" s="16"/>
      <c r="V30" s="16"/>
      <c r="W30" s="16"/>
      <c r="X30" s="75"/>
      <c r="Y30" s="84"/>
      <c r="Z30" s="74"/>
      <c r="AA30" t="s" s="96">
        <v>872</v>
      </c>
      <c r="AB30" t="s" s="96">
        <v>34</v>
      </c>
      <c r="AC30" s="123">
        <v>1</v>
      </c>
      <c r="AD30" s="84"/>
      <c r="AE30" s="84"/>
      <c r="AF30" s="84"/>
      <c r="AG30" t="s" s="159">
        <v>873</v>
      </c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74"/>
      <c r="BA30" s="16"/>
      <c r="BB30" s="16"/>
      <c r="BC30" s="16"/>
    </row>
    <row r="31" ht="17" customHeight="1">
      <c r="A31" t="s" s="88">
        <v>832</v>
      </c>
      <c r="B31" s="89">
        <v>1921</v>
      </c>
      <c r="C31" s="89">
        <v>4</v>
      </c>
      <c r="D31" t="s" s="90">
        <v>833</v>
      </c>
      <c r="E31" s="89"/>
      <c r="F31" s="91"/>
      <c r="G31" t="s" s="157">
        <v>870</v>
      </c>
      <c r="H31" t="s" s="96">
        <v>874</v>
      </c>
      <c r="I31" s="99">
        <v>22</v>
      </c>
      <c r="J31" s="79">
        <v>1</v>
      </c>
      <c r="K31" s="16"/>
      <c r="L31" s="16"/>
      <c r="M31" s="16"/>
      <c r="N31" t="s" s="96">
        <v>72</v>
      </c>
      <c r="O31" s="99">
        <v>1</v>
      </c>
      <c r="P31" s="16"/>
      <c r="Q31" s="16"/>
      <c r="R31" s="16"/>
      <c r="S31" s="16"/>
      <c r="T31" s="79">
        <v>65</v>
      </c>
      <c r="U31" s="16"/>
      <c r="V31" s="16"/>
      <c r="W31" s="16"/>
      <c r="X31" s="75"/>
      <c r="Y31" s="84"/>
      <c r="Z31" s="74"/>
      <c r="AA31" t="s" s="96">
        <v>261</v>
      </c>
      <c r="AB31" t="s" s="96">
        <v>34</v>
      </c>
      <c r="AC31" s="75"/>
      <c r="AD31" s="84"/>
      <c r="AE31" s="84"/>
      <c r="AF31" s="84">
        <v>1</v>
      </c>
      <c r="AG31" t="s" s="159">
        <v>54</v>
      </c>
      <c r="AH31" s="87"/>
      <c r="AI31" s="87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74"/>
      <c r="BA31" s="16"/>
      <c r="BB31" s="16"/>
      <c r="BC31" s="16"/>
    </row>
    <row r="32" ht="17" customHeight="1">
      <c r="A32" t="s" s="88">
        <v>832</v>
      </c>
      <c r="B32" s="89">
        <v>1921</v>
      </c>
      <c r="C32" s="89">
        <v>4</v>
      </c>
      <c r="D32" t="s" s="90">
        <v>833</v>
      </c>
      <c r="E32" s="89"/>
      <c r="F32" s="91"/>
      <c r="G32" t="s" s="157">
        <v>83</v>
      </c>
      <c r="H32" t="s" s="96">
        <v>875</v>
      </c>
      <c r="I32" s="99">
        <v>23</v>
      </c>
      <c r="J32" s="79">
        <v>1</v>
      </c>
      <c r="K32" s="16"/>
      <c r="L32" s="16"/>
      <c r="M32" s="16"/>
      <c r="N32" t="s" s="96">
        <v>609</v>
      </c>
      <c r="O32" s="16"/>
      <c r="P32" s="16"/>
      <c r="Q32" s="16"/>
      <c r="R32" s="99">
        <v>1</v>
      </c>
      <c r="S32" s="16"/>
      <c r="T32" s="79">
        <v>28</v>
      </c>
      <c r="U32" s="16"/>
      <c r="V32" s="16"/>
      <c r="W32" s="16"/>
      <c r="X32" s="75"/>
      <c r="Y32" s="84"/>
      <c r="Z32" s="74"/>
      <c r="AA32" t="s" s="96">
        <v>876</v>
      </c>
      <c r="AB32" t="s" s="96">
        <v>15</v>
      </c>
      <c r="AC32" s="123">
        <v>1</v>
      </c>
      <c r="AD32" s="84"/>
      <c r="AE32" s="84"/>
      <c r="AF32" s="84"/>
      <c r="AG32" t="s" s="159">
        <v>877</v>
      </c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74"/>
      <c r="BA32" s="16"/>
      <c r="BB32" s="16"/>
      <c r="BC32" s="16"/>
    </row>
    <row r="33" ht="17" customHeight="1">
      <c r="A33" t="s" s="88">
        <v>832</v>
      </c>
      <c r="B33" s="89">
        <v>1921</v>
      </c>
      <c r="C33" s="89">
        <v>4</v>
      </c>
      <c r="D33" t="s" s="90">
        <v>833</v>
      </c>
      <c r="E33" s="89"/>
      <c r="F33" s="91"/>
      <c r="G33" t="s" s="157">
        <v>878</v>
      </c>
      <c r="H33" t="s" s="96">
        <v>251</v>
      </c>
      <c r="I33" s="99">
        <v>24</v>
      </c>
      <c r="J33" s="79">
        <v>1</v>
      </c>
      <c r="K33" s="16"/>
      <c r="L33" s="16"/>
      <c r="M33" s="16"/>
      <c r="N33" t="s" s="96">
        <v>492</v>
      </c>
      <c r="O33" s="16"/>
      <c r="P33" s="16"/>
      <c r="Q33" s="16"/>
      <c r="R33" s="99">
        <v>1</v>
      </c>
      <c r="S33" s="16"/>
      <c r="T33" s="79">
        <v>17</v>
      </c>
      <c r="U33" s="16"/>
      <c r="V33" s="16"/>
      <c r="W33" s="16"/>
      <c r="X33" s="75"/>
      <c r="Y33" s="84"/>
      <c r="Z33" s="74"/>
      <c r="AA33" t="s" s="96">
        <v>89</v>
      </c>
      <c r="AB33" t="s" s="96">
        <v>15</v>
      </c>
      <c r="AC33" s="123">
        <v>1</v>
      </c>
      <c r="AD33" s="84"/>
      <c r="AE33" s="84"/>
      <c r="AF33" s="84"/>
      <c r="AG33" t="s" s="159">
        <v>118</v>
      </c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74"/>
      <c r="BA33" s="16"/>
      <c r="BB33" s="16"/>
      <c r="BC33" s="16"/>
    </row>
    <row r="34" ht="17" customHeight="1">
      <c r="A34" t="s" s="88">
        <v>832</v>
      </c>
      <c r="B34" s="89">
        <v>1921</v>
      </c>
      <c r="C34" s="89">
        <v>4</v>
      </c>
      <c r="D34" t="s" s="90">
        <v>833</v>
      </c>
      <c r="E34" s="89"/>
      <c r="F34" s="91"/>
      <c r="G34" t="s" s="157">
        <v>879</v>
      </c>
      <c r="H34" t="s" s="96">
        <v>880</v>
      </c>
      <c r="I34" s="99">
        <v>25</v>
      </c>
      <c r="J34" s="79">
        <v>1</v>
      </c>
      <c r="K34" s="16"/>
      <c r="L34" s="16"/>
      <c r="M34" s="16"/>
      <c r="N34" t="s" s="96">
        <v>207</v>
      </c>
      <c r="O34" s="16"/>
      <c r="P34" s="16"/>
      <c r="Q34" s="16"/>
      <c r="R34" s="16"/>
      <c r="S34" s="99">
        <v>1</v>
      </c>
      <c r="T34" s="79">
        <v>33</v>
      </c>
      <c r="U34" s="16"/>
      <c r="V34" s="16"/>
      <c r="W34" s="16"/>
      <c r="X34" s="75"/>
      <c r="Y34" s="84"/>
      <c r="Z34" s="74"/>
      <c r="AA34" t="s" s="96">
        <v>881</v>
      </c>
      <c r="AB34" t="s" s="96">
        <v>15</v>
      </c>
      <c r="AC34" s="123">
        <v>1</v>
      </c>
      <c r="AD34" s="84"/>
      <c r="AE34" s="84"/>
      <c r="AF34" s="84"/>
      <c r="AG34" t="s" s="159">
        <v>858</v>
      </c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74"/>
      <c r="BA34" s="16"/>
      <c r="BB34" s="16"/>
      <c r="BC34" s="16"/>
    </row>
    <row r="35" ht="17" customHeight="1">
      <c r="A35" t="s" s="88">
        <v>832</v>
      </c>
      <c r="B35" s="89">
        <v>1921</v>
      </c>
      <c r="C35" s="89"/>
      <c r="D35" t="s" s="90">
        <v>833</v>
      </c>
      <c r="E35" s="89"/>
      <c r="F35" s="91"/>
      <c r="G35" s="74"/>
      <c r="H35" s="79">
        <v>5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75"/>
      <c r="Y35" s="84"/>
      <c r="Z35" s="74"/>
      <c r="AA35" s="16"/>
      <c r="AB35" s="16"/>
      <c r="AC35" s="75"/>
      <c r="AD35" s="84"/>
      <c r="AE35" s="84"/>
      <c r="AF35" s="84"/>
      <c r="AG35" s="122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87"/>
      <c r="AS35" s="87"/>
      <c r="AT35" s="87"/>
      <c r="AU35" s="87"/>
      <c r="AV35" s="87"/>
      <c r="AW35" s="87"/>
      <c r="AX35" s="87"/>
      <c r="AY35" s="87"/>
      <c r="AZ35" s="74"/>
      <c r="BA35" s="16"/>
      <c r="BB35" s="16"/>
      <c r="BC35" s="16"/>
    </row>
    <row r="36" ht="17" customHeight="1">
      <c r="A36" t="s" s="88">
        <v>832</v>
      </c>
      <c r="B36" s="89">
        <v>1921</v>
      </c>
      <c r="C36" s="89"/>
      <c r="D36" t="s" s="90">
        <v>833</v>
      </c>
      <c r="E36" s="89"/>
      <c r="F36" s="91"/>
      <c r="G36" t="s" s="157">
        <v>1</v>
      </c>
      <c r="H36" t="s" s="96">
        <v>0</v>
      </c>
      <c r="I36" s="16"/>
      <c r="J36" t="s" s="96">
        <v>3</v>
      </c>
      <c r="K36" s="16"/>
      <c r="L36" s="16"/>
      <c r="M36" s="16"/>
      <c r="N36" t="s" s="96">
        <v>2</v>
      </c>
      <c r="O36" s="16"/>
      <c r="P36" s="16"/>
      <c r="Q36" s="16"/>
      <c r="R36" s="16"/>
      <c r="S36" s="16"/>
      <c r="T36" t="s" s="96">
        <v>5</v>
      </c>
      <c r="U36" s="16"/>
      <c r="V36" s="16"/>
      <c r="W36" s="16"/>
      <c r="X36" s="75"/>
      <c r="Y36" s="84"/>
      <c r="Z36" s="74"/>
      <c r="AA36" t="s" s="96">
        <v>7</v>
      </c>
      <c r="AB36" t="s" s="96">
        <v>8</v>
      </c>
      <c r="AC36" s="75"/>
      <c r="AD36" s="84"/>
      <c r="AE36" s="84"/>
      <c r="AF36" s="84"/>
      <c r="AG36" t="s" s="159">
        <v>6</v>
      </c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74"/>
      <c r="BA36" s="16"/>
      <c r="BB36" s="16"/>
      <c r="BC36" s="16"/>
    </row>
    <row r="37" ht="17" customHeight="1">
      <c r="A37" t="s" s="88">
        <v>832</v>
      </c>
      <c r="B37" s="89">
        <v>1921</v>
      </c>
      <c r="C37" s="89">
        <v>5</v>
      </c>
      <c r="D37" t="s" s="90">
        <v>833</v>
      </c>
      <c r="E37" s="89"/>
      <c r="F37" s="91"/>
      <c r="G37" t="s" s="157">
        <v>882</v>
      </c>
      <c r="H37" t="s" s="96">
        <v>883</v>
      </c>
      <c r="I37" s="99">
        <v>26</v>
      </c>
      <c r="J37" s="79">
        <v>1</v>
      </c>
      <c r="K37" s="16"/>
      <c r="L37" s="16"/>
      <c r="M37" s="16"/>
      <c r="N37" s="79">
        <v>1</v>
      </c>
      <c r="O37" s="16"/>
      <c r="P37" s="16"/>
      <c r="Q37" s="16"/>
      <c r="R37" s="16"/>
      <c r="S37" s="16"/>
      <c r="T37" s="79">
        <v>85</v>
      </c>
      <c r="U37" s="16"/>
      <c r="V37" s="16"/>
      <c r="W37" s="16"/>
      <c r="X37" s="75"/>
      <c r="Y37" s="84"/>
      <c r="Z37" s="74"/>
      <c r="AA37" t="s" s="96">
        <v>34</v>
      </c>
      <c r="AB37" t="s" s="96">
        <v>34</v>
      </c>
      <c r="AC37" s="75"/>
      <c r="AD37" s="84"/>
      <c r="AE37" s="84"/>
      <c r="AF37" s="84"/>
      <c r="AG37" t="s" s="159">
        <v>695</v>
      </c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74"/>
      <c r="BA37" s="16"/>
      <c r="BB37" s="16"/>
      <c r="BC37" s="16"/>
    </row>
    <row r="38" ht="17" customHeight="1">
      <c r="A38" t="s" s="88">
        <v>832</v>
      </c>
      <c r="B38" s="89">
        <v>1921</v>
      </c>
      <c r="C38" s="89">
        <v>5</v>
      </c>
      <c r="D38" t="s" s="90">
        <v>833</v>
      </c>
      <c r="E38" s="89"/>
      <c r="F38" s="91"/>
      <c r="G38" t="s" s="157">
        <v>884</v>
      </c>
      <c r="H38" t="s" s="96">
        <v>885</v>
      </c>
      <c r="I38" s="99">
        <v>27</v>
      </c>
      <c r="J38" s="79">
        <v>1</v>
      </c>
      <c r="K38" s="16"/>
      <c r="L38" s="16"/>
      <c r="M38" s="16"/>
      <c r="N38" t="s" s="96">
        <v>11</v>
      </c>
      <c r="O38" s="16"/>
      <c r="P38" s="16"/>
      <c r="Q38" s="16"/>
      <c r="R38" s="16"/>
      <c r="S38" s="99">
        <v>1</v>
      </c>
      <c r="T38" s="79">
        <v>53</v>
      </c>
      <c r="U38" s="16"/>
      <c r="V38" s="16"/>
      <c r="W38" s="16"/>
      <c r="X38" s="75"/>
      <c r="Y38" s="84"/>
      <c r="Z38" s="74"/>
      <c r="AA38" t="s" s="96">
        <v>886</v>
      </c>
      <c r="AB38" t="s" s="96">
        <v>15</v>
      </c>
      <c r="AC38" s="123">
        <v>1</v>
      </c>
      <c r="AD38" s="84"/>
      <c r="AE38" s="84"/>
      <c r="AF38" s="84"/>
      <c r="AG38" t="s" s="159">
        <v>887</v>
      </c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74"/>
      <c r="BA38" s="16"/>
      <c r="BB38" s="16"/>
      <c r="BC38" s="16"/>
    </row>
    <row r="39" ht="17" customHeight="1">
      <c r="A39" t="s" s="88">
        <v>832</v>
      </c>
      <c r="B39" s="89">
        <v>1921</v>
      </c>
      <c r="C39" s="89"/>
      <c r="D39" t="s" s="90">
        <v>833</v>
      </c>
      <c r="E39" s="89"/>
      <c r="F39" s="91"/>
      <c r="G39" s="74"/>
      <c r="H39" s="79">
        <v>2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75"/>
      <c r="Y39" s="84"/>
      <c r="Z39" s="74"/>
      <c r="AA39" s="16"/>
      <c r="AB39" s="16"/>
      <c r="AC39" s="75"/>
      <c r="AD39" s="84"/>
      <c r="AE39" s="84"/>
      <c r="AF39" s="84"/>
      <c r="AG39" s="122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74"/>
      <c r="BA39" s="16"/>
      <c r="BB39" s="16"/>
      <c r="BC39" s="16"/>
    </row>
    <row r="40" ht="17" customHeight="1">
      <c r="A40" t="s" s="88">
        <v>832</v>
      </c>
      <c r="B40" s="89">
        <v>1921</v>
      </c>
      <c r="C40" s="89"/>
      <c r="D40" t="s" s="90">
        <v>833</v>
      </c>
      <c r="E40" s="89"/>
      <c r="F40" s="91"/>
      <c r="G40" t="s" s="157">
        <v>1</v>
      </c>
      <c r="H40" t="s" s="96">
        <v>0</v>
      </c>
      <c r="I40" s="16"/>
      <c r="J40" t="s" s="96">
        <v>3</v>
      </c>
      <c r="K40" s="16"/>
      <c r="L40" s="16"/>
      <c r="M40" s="16"/>
      <c r="N40" t="s" s="96">
        <v>2</v>
      </c>
      <c r="O40" s="16"/>
      <c r="P40" s="16"/>
      <c r="Q40" s="16"/>
      <c r="R40" s="16"/>
      <c r="S40" s="16"/>
      <c r="T40" t="s" s="96">
        <v>5</v>
      </c>
      <c r="U40" s="16"/>
      <c r="V40" s="16"/>
      <c r="W40" s="16"/>
      <c r="X40" s="75"/>
      <c r="Y40" s="84"/>
      <c r="Z40" s="74"/>
      <c r="AA40" t="s" s="96">
        <v>7</v>
      </c>
      <c r="AB40" t="s" s="96">
        <v>8</v>
      </c>
      <c r="AC40" s="75"/>
      <c r="AD40" s="84"/>
      <c r="AE40" s="84"/>
      <c r="AF40" s="84"/>
      <c r="AG40" t="s" s="159">
        <v>6</v>
      </c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74"/>
      <c r="BA40" s="16"/>
      <c r="BB40" s="16"/>
      <c r="BC40" s="16"/>
    </row>
    <row r="41" ht="17" customHeight="1">
      <c r="A41" t="s" s="88">
        <v>832</v>
      </c>
      <c r="B41" s="89">
        <v>1921</v>
      </c>
      <c r="C41" s="89">
        <v>6</v>
      </c>
      <c r="D41" t="s" s="90">
        <v>833</v>
      </c>
      <c r="E41" s="89"/>
      <c r="F41" s="91"/>
      <c r="G41" t="s" s="157">
        <v>888</v>
      </c>
      <c r="H41" t="s" s="96">
        <v>153</v>
      </c>
      <c r="I41" s="99">
        <v>28</v>
      </c>
      <c r="J41" t="s" s="96">
        <v>37</v>
      </c>
      <c r="K41" s="99">
        <v>1</v>
      </c>
      <c r="L41" s="16"/>
      <c r="M41" s="16"/>
      <c r="N41" s="79">
        <v>1</v>
      </c>
      <c r="O41" s="16"/>
      <c r="P41" s="16"/>
      <c r="Q41" s="16"/>
      <c r="R41" s="16"/>
      <c r="S41" s="16"/>
      <c r="T41" s="79">
        <v>64</v>
      </c>
      <c r="U41" s="16"/>
      <c r="V41" s="16"/>
      <c r="W41" s="16"/>
      <c r="X41" s="75"/>
      <c r="Y41" s="84"/>
      <c r="Z41" s="74"/>
      <c r="AA41" t="s" s="96">
        <v>889</v>
      </c>
      <c r="AB41" t="s" s="96">
        <v>890</v>
      </c>
      <c r="AC41" s="123">
        <v>1</v>
      </c>
      <c r="AD41" s="84">
        <v>1</v>
      </c>
      <c r="AE41" s="84"/>
      <c r="AF41" s="84">
        <v>1</v>
      </c>
      <c r="AG41" t="s" s="159">
        <v>13</v>
      </c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87"/>
      <c r="AS41" s="87"/>
      <c r="AT41" s="87"/>
      <c r="AU41" s="87"/>
      <c r="AV41" s="87"/>
      <c r="AW41" s="87"/>
      <c r="AX41" s="87"/>
      <c r="AY41" s="87"/>
      <c r="AZ41" s="74"/>
      <c r="BA41" s="16"/>
      <c r="BB41" s="16"/>
      <c r="BC41" s="16"/>
    </row>
    <row r="42" ht="17" customHeight="1">
      <c r="A42" t="s" s="88">
        <v>832</v>
      </c>
      <c r="B42" s="89">
        <v>1921</v>
      </c>
      <c r="C42" s="89">
        <v>6</v>
      </c>
      <c r="D42" t="s" s="90">
        <v>833</v>
      </c>
      <c r="E42" s="89"/>
      <c r="F42" s="91"/>
      <c r="G42" t="s" s="157">
        <v>888</v>
      </c>
      <c r="H42" t="s" s="96">
        <v>891</v>
      </c>
      <c r="I42" s="99">
        <v>29</v>
      </c>
      <c r="J42" s="79">
        <v>1</v>
      </c>
      <c r="K42" s="16"/>
      <c r="L42" s="16"/>
      <c r="M42" s="16"/>
      <c r="N42" t="s" s="96">
        <v>72</v>
      </c>
      <c r="O42" s="99">
        <v>1</v>
      </c>
      <c r="P42" s="16"/>
      <c r="Q42" s="16"/>
      <c r="R42" s="16"/>
      <c r="S42" s="16"/>
      <c r="T42" s="79">
        <v>67</v>
      </c>
      <c r="U42" s="16"/>
      <c r="V42" s="16"/>
      <c r="W42" s="16"/>
      <c r="X42" s="75"/>
      <c r="Y42" s="84"/>
      <c r="Z42" s="74"/>
      <c r="AA42" t="s" s="96">
        <v>34</v>
      </c>
      <c r="AB42" t="s" s="96">
        <v>34</v>
      </c>
      <c r="AC42" s="75"/>
      <c r="AD42" s="84"/>
      <c r="AE42" s="84"/>
      <c r="AF42" s="84">
        <v>1</v>
      </c>
      <c r="AG42" t="s" s="159">
        <v>13</v>
      </c>
      <c r="AH42" s="87"/>
      <c r="AI42" s="87"/>
      <c r="AJ42" s="87"/>
      <c r="AK42" s="87"/>
      <c r="AL42" s="87"/>
      <c r="AM42" s="87"/>
      <c r="AN42" s="87"/>
      <c r="AO42" s="87"/>
      <c r="AP42" s="87"/>
      <c r="AQ42" s="87"/>
      <c r="AR42" s="87"/>
      <c r="AS42" s="87"/>
      <c r="AT42" s="87"/>
      <c r="AU42" s="87"/>
      <c r="AV42" s="87"/>
      <c r="AW42" s="87"/>
      <c r="AX42" s="87"/>
      <c r="AY42" s="87"/>
      <c r="AZ42" s="74"/>
      <c r="BA42" s="16"/>
      <c r="BB42" s="16"/>
      <c r="BC42" s="16"/>
    </row>
    <row r="43" ht="17" customHeight="1">
      <c r="A43" t="s" s="88">
        <v>832</v>
      </c>
      <c r="B43" s="89">
        <v>1921</v>
      </c>
      <c r="C43" s="89">
        <v>6</v>
      </c>
      <c r="D43" t="s" s="90">
        <v>833</v>
      </c>
      <c r="E43" s="89"/>
      <c r="F43" s="91"/>
      <c r="G43" t="s" s="157">
        <v>888</v>
      </c>
      <c r="H43" t="s" s="96">
        <v>106</v>
      </c>
      <c r="I43" s="99">
        <v>30</v>
      </c>
      <c r="J43" s="79">
        <v>1</v>
      </c>
      <c r="K43" s="16"/>
      <c r="L43" s="16"/>
      <c r="M43" s="16"/>
      <c r="N43" t="s" s="96">
        <v>78</v>
      </c>
      <c r="O43" s="16"/>
      <c r="P43" s="79">
        <v>1</v>
      </c>
      <c r="Q43" s="16"/>
      <c r="R43" s="16"/>
      <c r="S43" s="16"/>
      <c r="T43" s="79">
        <v>40</v>
      </c>
      <c r="U43" s="16"/>
      <c r="V43" s="16"/>
      <c r="W43" s="16"/>
      <c r="X43" s="75"/>
      <c r="Y43" s="84"/>
      <c r="Z43" s="74"/>
      <c r="AA43" t="s" s="96">
        <v>751</v>
      </c>
      <c r="AB43" t="s" s="96">
        <v>892</v>
      </c>
      <c r="AC43" s="123">
        <v>1</v>
      </c>
      <c r="AD43" s="84"/>
      <c r="AE43" s="84"/>
      <c r="AF43" s="84">
        <v>1</v>
      </c>
      <c r="AG43" t="s" s="159">
        <v>13</v>
      </c>
      <c r="AH43" s="87"/>
      <c r="AI43" s="87"/>
      <c r="AJ43" s="87"/>
      <c r="AK43" s="87"/>
      <c r="AL43" s="87"/>
      <c r="AM43" s="87"/>
      <c r="AN43" s="87"/>
      <c r="AO43" s="87"/>
      <c r="AP43" s="87"/>
      <c r="AQ43" s="87"/>
      <c r="AR43" s="87"/>
      <c r="AS43" s="87"/>
      <c r="AT43" s="87"/>
      <c r="AU43" s="87"/>
      <c r="AV43" s="87"/>
      <c r="AW43" s="87"/>
      <c r="AX43" s="87"/>
      <c r="AY43" s="87"/>
      <c r="AZ43" s="74"/>
      <c r="BA43" s="16"/>
      <c r="BB43" s="16"/>
      <c r="BC43" s="16"/>
    </row>
    <row r="44" ht="17" customHeight="1">
      <c r="A44" t="s" s="88">
        <v>832</v>
      </c>
      <c r="B44" s="89">
        <v>1921</v>
      </c>
      <c r="C44" s="89">
        <v>6</v>
      </c>
      <c r="D44" t="s" s="90">
        <v>833</v>
      </c>
      <c r="E44" s="89"/>
      <c r="F44" s="91"/>
      <c r="G44" t="s" s="157">
        <v>888</v>
      </c>
      <c r="H44" t="s" s="96">
        <v>893</v>
      </c>
      <c r="I44" s="99">
        <v>31</v>
      </c>
      <c r="J44" s="79">
        <v>1</v>
      </c>
      <c r="K44" s="16"/>
      <c r="L44" s="16"/>
      <c r="M44" s="16"/>
      <c r="N44" t="s" s="96">
        <v>78</v>
      </c>
      <c r="O44" s="16"/>
      <c r="P44" s="79">
        <v>1</v>
      </c>
      <c r="Q44" s="16"/>
      <c r="R44" s="16"/>
      <c r="S44" s="16"/>
      <c r="T44" s="79">
        <v>29</v>
      </c>
      <c r="U44" s="16"/>
      <c r="V44" s="16"/>
      <c r="W44" s="16"/>
      <c r="X44" s="75"/>
      <c r="Y44" s="84"/>
      <c r="Z44" s="74"/>
      <c r="AA44" t="s" s="96">
        <v>894</v>
      </c>
      <c r="AB44" t="s" s="96">
        <v>895</v>
      </c>
      <c r="AC44" s="123">
        <v>1</v>
      </c>
      <c r="AD44" s="84"/>
      <c r="AE44" s="84"/>
      <c r="AF44" s="84">
        <v>1</v>
      </c>
      <c r="AG44" t="s" s="159">
        <v>13</v>
      </c>
      <c r="AH44" s="87"/>
      <c r="AI44" s="87"/>
      <c r="AJ44" s="87"/>
      <c r="AK44" s="87"/>
      <c r="AL44" s="87"/>
      <c r="AM44" s="87"/>
      <c r="AN44" s="87"/>
      <c r="AO44" s="87"/>
      <c r="AP44" s="87"/>
      <c r="AQ44" s="87"/>
      <c r="AR44" s="87"/>
      <c r="AS44" s="87"/>
      <c r="AT44" s="87"/>
      <c r="AU44" s="87"/>
      <c r="AV44" s="87"/>
      <c r="AW44" s="87"/>
      <c r="AX44" s="87"/>
      <c r="AY44" s="87"/>
      <c r="AZ44" s="74"/>
      <c r="BA44" s="16"/>
      <c r="BB44" s="16"/>
      <c r="BC44" s="16"/>
    </row>
    <row r="45" ht="17" customHeight="1">
      <c r="A45" t="s" s="88">
        <v>832</v>
      </c>
      <c r="B45" s="89">
        <v>1921</v>
      </c>
      <c r="C45" s="89"/>
      <c r="D45" t="s" s="90">
        <v>833</v>
      </c>
      <c r="E45" s="89"/>
      <c r="F45" s="91"/>
      <c r="G45" s="74"/>
      <c r="H45" s="79">
        <v>4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75"/>
      <c r="Y45" s="84"/>
      <c r="Z45" s="74"/>
      <c r="AA45" s="16"/>
      <c r="AB45" s="16"/>
      <c r="AC45" s="75"/>
      <c r="AD45" s="84"/>
      <c r="AE45" s="84"/>
      <c r="AF45" s="84"/>
      <c r="AG45" s="122"/>
      <c r="AH45" s="87"/>
      <c r="AI45" s="87"/>
      <c r="AJ45" s="87"/>
      <c r="AK45" s="87"/>
      <c r="AL45" s="87"/>
      <c r="AM45" s="87"/>
      <c r="AN45" s="87"/>
      <c r="AO45" s="87"/>
      <c r="AP45" s="87"/>
      <c r="AQ45" s="87"/>
      <c r="AR45" s="87"/>
      <c r="AS45" s="87"/>
      <c r="AT45" s="87"/>
      <c r="AU45" s="87"/>
      <c r="AV45" s="87"/>
      <c r="AW45" s="87"/>
      <c r="AX45" s="87"/>
      <c r="AY45" s="87"/>
      <c r="AZ45" s="74"/>
      <c r="BA45" s="16"/>
      <c r="BB45" s="16"/>
      <c r="BC45" s="16"/>
    </row>
    <row r="46" ht="17" customHeight="1">
      <c r="A46" t="s" s="88">
        <v>832</v>
      </c>
      <c r="B46" s="89">
        <v>1921</v>
      </c>
      <c r="C46" s="89"/>
      <c r="D46" t="s" s="90">
        <v>833</v>
      </c>
      <c r="E46" s="89"/>
      <c r="F46" s="91"/>
      <c r="G46" t="s" s="157">
        <v>1</v>
      </c>
      <c r="H46" t="s" s="96">
        <v>0</v>
      </c>
      <c r="I46" s="16"/>
      <c r="J46" t="s" s="96">
        <v>3</v>
      </c>
      <c r="K46" s="16"/>
      <c r="L46" s="16"/>
      <c r="M46" s="16"/>
      <c r="N46" t="s" s="96">
        <v>2</v>
      </c>
      <c r="O46" s="16"/>
      <c r="P46" s="16"/>
      <c r="Q46" s="16"/>
      <c r="R46" s="16"/>
      <c r="S46" s="16"/>
      <c r="T46" t="s" s="96">
        <v>5</v>
      </c>
      <c r="U46" s="16"/>
      <c r="V46" s="16"/>
      <c r="W46" s="16"/>
      <c r="X46" s="75"/>
      <c r="Y46" s="84"/>
      <c r="Z46" s="74"/>
      <c r="AA46" t="s" s="96">
        <v>7</v>
      </c>
      <c r="AB46" t="s" s="96">
        <v>8</v>
      </c>
      <c r="AC46" s="75"/>
      <c r="AD46" s="84"/>
      <c r="AE46" s="84"/>
      <c r="AF46" s="84"/>
      <c r="AG46" t="s" s="159">
        <v>6</v>
      </c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87"/>
      <c r="AS46" s="87"/>
      <c r="AT46" s="87"/>
      <c r="AU46" s="87"/>
      <c r="AV46" s="87"/>
      <c r="AW46" s="87"/>
      <c r="AX46" s="87"/>
      <c r="AY46" s="87"/>
      <c r="AZ46" s="74"/>
      <c r="BA46" s="16"/>
      <c r="BB46" s="16"/>
      <c r="BC46" s="16"/>
    </row>
    <row r="47" ht="17" customHeight="1">
      <c r="A47" t="s" s="88">
        <v>832</v>
      </c>
      <c r="B47" s="89">
        <v>1921</v>
      </c>
      <c r="C47" s="89">
        <v>7</v>
      </c>
      <c r="D47" t="s" s="90">
        <v>833</v>
      </c>
      <c r="E47" s="89"/>
      <c r="F47" s="91"/>
      <c r="G47" t="s" s="157">
        <v>896</v>
      </c>
      <c r="H47" t="s" s="96">
        <v>897</v>
      </c>
      <c r="I47" s="99">
        <v>32</v>
      </c>
      <c r="J47" t="s" s="96">
        <v>37</v>
      </c>
      <c r="K47" s="99">
        <v>1</v>
      </c>
      <c r="L47" s="16"/>
      <c r="M47" s="16"/>
      <c r="N47" s="79">
        <v>1</v>
      </c>
      <c r="O47" s="16"/>
      <c r="P47" s="16"/>
      <c r="Q47" s="16"/>
      <c r="R47" s="16"/>
      <c r="S47" s="16"/>
      <c r="T47" s="79">
        <v>43</v>
      </c>
      <c r="U47" s="16"/>
      <c r="V47" s="16"/>
      <c r="W47" s="16"/>
      <c r="X47" s="75"/>
      <c r="Y47" s="84"/>
      <c r="Z47" s="74"/>
      <c r="AA47" t="s" s="96">
        <v>898</v>
      </c>
      <c r="AB47" t="s" s="96">
        <v>899</v>
      </c>
      <c r="AC47" s="123">
        <v>1</v>
      </c>
      <c r="AD47" s="84"/>
      <c r="AE47" s="84"/>
      <c r="AF47" s="84"/>
      <c r="AG47" t="s" s="159">
        <v>900</v>
      </c>
      <c r="AH47" s="87"/>
      <c r="AI47" s="87"/>
      <c r="AJ47" s="87"/>
      <c r="AK47" s="87"/>
      <c r="AL47" s="87"/>
      <c r="AM47" s="87"/>
      <c r="AN47" s="87"/>
      <c r="AO47" s="87"/>
      <c r="AP47" s="87"/>
      <c r="AQ47" s="87"/>
      <c r="AR47" s="87"/>
      <c r="AS47" s="87"/>
      <c r="AT47" s="87"/>
      <c r="AU47" s="87"/>
      <c r="AV47" s="87"/>
      <c r="AW47" s="87"/>
      <c r="AX47" s="87"/>
      <c r="AY47" s="87"/>
      <c r="AZ47" s="74"/>
      <c r="BA47" s="16"/>
      <c r="BB47" s="16"/>
      <c r="BC47" s="16"/>
    </row>
    <row r="48" ht="17" customHeight="1">
      <c r="A48" t="s" s="88">
        <v>832</v>
      </c>
      <c r="B48" s="89">
        <v>1921</v>
      </c>
      <c r="C48" s="89">
        <v>7</v>
      </c>
      <c r="D48" t="s" s="90">
        <v>833</v>
      </c>
      <c r="E48" s="89"/>
      <c r="F48" s="91"/>
      <c r="G48" t="s" s="157">
        <v>901</v>
      </c>
      <c r="H48" t="s" s="96">
        <v>902</v>
      </c>
      <c r="I48" s="99">
        <v>33</v>
      </c>
      <c r="J48" s="79">
        <v>1</v>
      </c>
      <c r="K48" s="16"/>
      <c r="L48" s="16"/>
      <c r="M48" s="16"/>
      <c r="N48" t="s" s="96">
        <v>11</v>
      </c>
      <c r="O48" s="16"/>
      <c r="P48" s="16"/>
      <c r="Q48" s="16"/>
      <c r="R48" s="16"/>
      <c r="S48" s="99">
        <v>1</v>
      </c>
      <c r="T48" s="79">
        <v>24</v>
      </c>
      <c r="U48" s="16"/>
      <c r="V48" s="16"/>
      <c r="W48" s="16"/>
      <c r="X48" s="75"/>
      <c r="Y48" s="84"/>
      <c r="Z48" s="74"/>
      <c r="AA48" t="s" s="96">
        <v>105</v>
      </c>
      <c r="AB48" t="s" s="96">
        <v>15</v>
      </c>
      <c r="AC48" s="123">
        <v>1</v>
      </c>
      <c r="AD48" s="84"/>
      <c r="AE48" s="84"/>
      <c r="AF48" s="84"/>
      <c r="AG48" t="s" s="159">
        <v>512</v>
      </c>
      <c r="AH48" s="87"/>
      <c r="AI48" s="87"/>
      <c r="AJ48" s="87"/>
      <c r="AK48" s="87"/>
      <c r="AL48" s="87"/>
      <c r="AM48" s="87"/>
      <c r="AN48" s="87"/>
      <c r="AO48" s="87"/>
      <c r="AP48" s="87"/>
      <c r="AQ48" s="87"/>
      <c r="AR48" s="87"/>
      <c r="AS48" s="87"/>
      <c r="AT48" s="87"/>
      <c r="AU48" s="87"/>
      <c r="AV48" s="87"/>
      <c r="AW48" s="87"/>
      <c r="AX48" s="87"/>
      <c r="AY48" s="87"/>
      <c r="AZ48" s="74"/>
      <c r="BA48" s="16"/>
      <c r="BB48" s="16"/>
      <c r="BC48" s="16"/>
    </row>
    <row r="49" ht="17" customHeight="1">
      <c r="A49" t="s" s="88">
        <v>832</v>
      </c>
      <c r="B49" s="89">
        <v>1921</v>
      </c>
      <c r="C49" s="89"/>
      <c r="D49" t="s" s="90">
        <v>833</v>
      </c>
      <c r="E49" s="89"/>
      <c r="F49" s="91"/>
      <c r="G49" s="74"/>
      <c r="H49" s="79">
        <v>2</v>
      </c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75"/>
      <c r="Y49" s="84"/>
      <c r="Z49" s="74"/>
      <c r="AA49" s="16"/>
      <c r="AB49" s="16"/>
      <c r="AC49" s="75"/>
      <c r="AD49" s="84"/>
      <c r="AE49" s="84"/>
      <c r="AF49" s="84"/>
      <c r="AG49" s="122"/>
      <c r="AH49" s="87"/>
      <c r="AI49" s="87"/>
      <c r="AJ49" s="87"/>
      <c r="AK49" s="87"/>
      <c r="AL49" s="87"/>
      <c r="AM49" s="87"/>
      <c r="AN49" s="87"/>
      <c r="AO49" s="87"/>
      <c r="AP49" s="87"/>
      <c r="AQ49" s="87"/>
      <c r="AR49" s="87"/>
      <c r="AS49" s="87"/>
      <c r="AT49" s="87"/>
      <c r="AU49" s="87"/>
      <c r="AV49" s="87"/>
      <c r="AW49" s="87"/>
      <c r="AX49" s="87"/>
      <c r="AY49" s="87"/>
      <c r="AZ49" s="74"/>
      <c r="BA49" s="16"/>
      <c r="BB49" s="16"/>
      <c r="BC49" s="16"/>
    </row>
    <row r="50" ht="17" customHeight="1">
      <c r="A50" t="s" s="88">
        <v>832</v>
      </c>
      <c r="B50" s="89">
        <v>1921</v>
      </c>
      <c r="C50" s="89"/>
      <c r="D50" t="s" s="90">
        <v>833</v>
      </c>
      <c r="E50" s="89"/>
      <c r="F50" s="91"/>
      <c r="G50" t="s" s="157">
        <v>1</v>
      </c>
      <c r="H50" t="s" s="96">
        <v>0</v>
      </c>
      <c r="I50" s="16"/>
      <c r="J50" t="s" s="96">
        <v>3</v>
      </c>
      <c r="K50" s="16"/>
      <c r="L50" s="16"/>
      <c r="M50" s="16"/>
      <c r="N50" t="s" s="96">
        <v>2</v>
      </c>
      <c r="O50" s="16"/>
      <c r="P50" s="16"/>
      <c r="Q50" s="16"/>
      <c r="R50" s="16"/>
      <c r="S50" s="16"/>
      <c r="T50" t="s" s="96">
        <v>5</v>
      </c>
      <c r="U50" s="16"/>
      <c r="V50" s="16"/>
      <c r="W50" s="16"/>
      <c r="X50" s="75"/>
      <c r="Y50" s="84"/>
      <c r="Z50" s="74"/>
      <c r="AA50" t="s" s="96">
        <v>7</v>
      </c>
      <c r="AB50" t="s" s="96">
        <v>8</v>
      </c>
      <c r="AC50" s="75"/>
      <c r="AD50" s="84"/>
      <c r="AE50" s="84"/>
      <c r="AF50" s="84"/>
      <c r="AG50" t="s" s="159">
        <v>6</v>
      </c>
      <c r="AH50" s="87"/>
      <c r="AI50" s="87"/>
      <c r="AJ50" s="87"/>
      <c r="AK50" s="87"/>
      <c r="AL50" s="87"/>
      <c r="AM50" s="87"/>
      <c r="AN50" s="87"/>
      <c r="AO50" s="87"/>
      <c r="AP50" s="87"/>
      <c r="AQ50" s="87"/>
      <c r="AR50" s="87"/>
      <c r="AS50" s="87"/>
      <c r="AT50" s="87"/>
      <c r="AU50" s="87"/>
      <c r="AV50" s="87"/>
      <c r="AW50" s="87"/>
      <c r="AX50" s="87"/>
      <c r="AY50" s="87"/>
      <c r="AZ50" s="74"/>
      <c r="BA50" s="16"/>
      <c r="BB50" s="16"/>
      <c r="BC50" s="16"/>
    </row>
    <row r="51" ht="34" customHeight="1">
      <c r="A51" t="s" s="88">
        <v>832</v>
      </c>
      <c r="B51" s="89">
        <v>1921</v>
      </c>
      <c r="C51" s="89">
        <v>8</v>
      </c>
      <c r="D51" t="s" s="90">
        <v>833</v>
      </c>
      <c r="E51" t="s" s="90">
        <v>903</v>
      </c>
      <c r="F51" t="s" s="98">
        <v>904</v>
      </c>
      <c r="G51" t="s" s="96">
        <v>218</v>
      </c>
      <c r="H51" t="s" s="96">
        <v>905</v>
      </c>
      <c r="I51" s="99">
        <v>34</v>
      </c>
      <c r="J51" t="s" s="96">
        <v>37</v>
      </c>
      <c r="K51" s="99">
        <v>1</v>
      </c>
      <c r="L51" s="16"/>
      <c r="M51" s="16"/>
      <c r="N51" s="79">
        <v>1</v>
      </c>
      <c r="O51" s="16"/>
      <c r="P51" s="16"/>
      <c r="Q51" s="16"/>
      <c r="R51" s="16"/>
      <c r="S51" s="16"/>
      <c r="T51" s="79">
        <v>57</v>
      </c>
      <c r="U51" s="16"/>
      <c r="V51" s="16"/>
      <c r="W51" s="16"/>
      <c r="X51" s="75"/>
      <c r="Y51" s="84"/>
      <c r="Z51" s="74"/>
      <c r="AA51" t="s" s="96">
        <v>906</v>
      </c>
      <c r="AB51" t="s" s="96">
        <v>907</v>
      </c>
      <c r="AC51" s="123">
        <v>1</v>
      </c>
      <c r="AD51" s="84"/>
      <c r="AE51" s="84"/>
      <c r="AF51" s="84"/>
      <c r="AG51" t="s" s="159">
        <v>908</v>
      </c>
      <c r="AH51" s="87"/>
      <c r="AI51" s="87"/>
      <c r="AJ51" s="87"/>
      <c r="AK51" s="87"/>
      <c r="AL51" s="87"/>
      <c r="AM51" s="87"/>
      <c r="AN51" s="87"/>
      <c r="AO51" s="87"/>
      <c r="AP51" s="87"/>
      <c r="AQ51" s="87"/>
      <c r="AR51" s="87"/>
      <c r="AS51" s="87"/>
      <c r="AT51" s="87"/>
      <c r="AU51" s="87"/>
      <c r="AV51" s="87"/>
      <c r="AW51" s="87"/>
      <c r="AX51" s="87"/>
      <c r="AY51" s="87"/>
      <c r="AZ51" s="74"/>
      <c r="BA51" s="16"/>
      <c r="BB51" s="16"/>
      <c r="BC51" s="16"/>
    </row>
    <row r="52" ht="17" customHeight="1">
      <c r="A52" t="s" s="88">
        <v>832</v>
      </c>
      <c r="B52" s="89">
        <v>1921</v>
      </c>
      <c r="C52" s="89">
        <v>8</v>
      </c>
      <c r="D52" t="s" s="90">
        <v>833</v>
      </c>
      <c r="E52" s="89"/>
      <c r="F52" t="s" s="96">
        <v>904</v>
      </c>
      <c r="G52" t="s" s="96">
        <v>218</v>
      </c>
      <c r="H52" t="s" s="96">
        <v>71</v>
      </c>
      <c r="I52" s="99">
        <v>35</v>
      </c>
      <c r="J52" s="79">
        <v>1</v>
      </c>
      <c r="K52" s="16"/>
      <c r="L52" s="16"/>
      <c r="M52" s="16"/>
      <c r="N52" t="s" s="96">
        <v>72</v>
      </c>
      <c r="O52" s="99">
        <v>1</v>
      </c>
      <c r="P52" s="16"/>
      <c r="Q52" s="16"/>
      <c r="R52" s="16"/>
      <c r="S52" s="16"/>
      <c r="T52" s="79">
        <v>58</v>
      </c>
      <c r="U52" s="16"/>
      <c r="V52" s="16"/>
      <c r="W52" s="16"/>
      <c r="X52" s="75"/>
      <c r="Y52" s="84"/>
      <c r="Z52" s="74"/>
      <c r="AA52" t="s" s="96">
        <v>72</v>
      </c>
      <c r="AB52" t="s" s="96">
        <v>909</v>
      </c>
      <c r="AC52" s="75"/>
      <c r="AD52" s="84"/>
      <c r="AE52" s="84"/>
      <c r="AF52" s="84"/>
      <c r="AG52" t="s" s="159">
        <v>910</v>
      </c>
      <c r="AH52" s="87"/>
      <c r="AI52" s="87"/>
      <c r="AJ52" s="87"/>
      <c r="AK52" s="87"/>
      <c r="AL52" s="87"/>
      <c r="AM52" s="87"/>
      <c r="AN52" s="87"/>
      <c r="AO52" s="87"/>
      <c r="AP52" s="87"/>
      <c r="AQ52" s="87"/>
      <c r="AR52" s="87"/>
      <c r="AS52" s="87"/>
      <c r="AT52" s="87"/>
      <c r="AU52" s="87"/>
      <c r="AV52" s="87"/>
      <c r="AW52" s="87"/>
      <c r="AX52" s="87"/>
      <c r="AY52" s="87"/>
      <c r="AZ52" s="74"/>
      <c r="BA52" s="16"/>
      <c r="BB52" s="16"/>
      <c r="BC52" s="16"/>
    </row>
    <row r="53" ht="17" customHeight="1">
      <c r="A53" t="s" s="88">
        <v>832</v>
      </c>
      <c r="B53" s="89">
        <v>1921</v>
      </c>
      <c r="C53" s="89">
        <v>8</v>
      </c>
      <c r="D53" t="s" s="90">
        <v>833</v>
      </c>
      <c r="E53" s="89"/>
      <c r="F53" t="s" s="96">
        <v>904</v>
      </c>
      <c r="G53" t="s" s="96">
        <v>218</v>
      </c>
      <c r="H53" t="s" s="96">
        <v>911</v>
      </c>
      <c r="I53" s="99">
        <v>36</v>
      </c>
      <c r="J53" t="s" s="96">
        <v>37</v>
      </c>
      <c r="K53" s="99">
        <v>1</v>
      </c>
      <c r="L53" s="16"/>
      <c r="M53" s="16"/>
      <c r="N53" t="s" s="96">
        <v>41</v>
      </c>
      <c r="O53" s="16"/>
      <c r="P53" s="16"/>
      <c r="Q53" s="16"/>
      <c r="R53" s="99">
        <v>1</v>
      </c>
      <c r="S53" s="16"/>
      <c r="T53" s="79">
        <v>30</v>
      </c>
      <c r="U53" s="16"/>
      <c r="V53" s="16"/>
      <c r="W53" s="16"/>
      <c r="X53" s="75"/>
      <c r="Y53" s="84"/>
      <c r="Z53" s="74"/>
      <c r="AA53" t="s" s="96">
        <v>912</v>
      </c>
      <c r="AB53" t="s" s="96">
        <v>913</v>
      </c>
      <c r="AC53" s="123">
        <v>1</v>
      </c>
      <c r="AD53" s="84"/>
      <c r="AE53" s="84"/>
      <c r="AF53" s="84">
        <v>1</v>
      </c>
      <c r="AG53" t="s" s="159">
        <v>13</v>
      </c>
      <c r="AH53" s="87"/>
      <c r="AI53" s="87"/>
      <c r="AJ53" s="87"/>
      <c r="AK53" s="87"/>
      <c r="AL53" s="87"/>
      <c r="AM53" s="87"/>
      <c r="AN53" s="87"/>
      <c r="AO53" s="87"/>
      <c r="AP53" s="87"/>
      <c r="AQ53" s="87"/>
      <c r="AR53" s="87"/>
      <c r="AS53" s="87"/>
      <c r="AT53" s="87"/>
      <c r="AU53" s="87"/>
      <c r="AV53" s="87"/>
      <c r="AW53" s="87"/>
      <c r="AX53" s="87"/>
      <c r="AY53" s="87"/>
      <c r="AZ53" s="74"/>
      <c r="BA53" s="16"/>
      <c r="BB53" s="16"/>
      <c r="BC53" s="16"/>
    </row>
    <row r="54" ht="17" customHeight="1">
      <c r="A54" t="s" s="88">
        <v>832</v>
      </c>
      <c r="B54" s="89">
        <v>1921</v>
      </c>
      <c r="C54" s="89">
        <v>8</v>
      </c>
      <c r="D54" t="s" s="90">
        <v>833</v>
      </c>
      <c r="E54" s="89"/>
      <c r="F54" t="s" s="96">
        <v>904</v>
      </c>
      <c r="G54" t="s" s="96">
        <v>218</v>
      </c>
      <c r="H54" t="s" s="96">
        <v>914</v>
      </c>
      <c r="I54" s="99">
        <v>37</v>
      </c>
      <c r="J54" s="79">
        <v>1</v>
      </c>
      <c r="K54" s="16"/>
      <c r="L54" s="16"/>
      <c r="M54" s="16"/>
      <c r="N54" t="s" s="96">
        <v>41</v>
      </c>
      <c r="O54" s="16"/>
      <c r="P54" s="16"/>
      <c r="Q54" s="16"/>
      <c r="R54" s="99">
        <v>1</v>
      </c>
      <c r="S54" s="16"/>
      <c r="T54" s="79">
        <v>28</v>
      </c>
      <c r="U54" s="16"/>
      <c r="V54" s="16"/>
      <c r="W54" s="16"/>
      <c r="X54" s="75"/>
      <c r="Y54" s="84"/>
      <c r="Z54" s="74"/>
      <c r="AA54" t="s" s="96">
        <v>72</v>
      </c>
      <c r="AB54" t="s" s="96">
        <v>909</v>
      </c>
      <c r="AC54" s="75"/>
      <c r="AD54" s="84"/>
      <c r="AE54" s="84"/>
      <c r="AF54" s="84"/>
      <c r="AG54" t="s" s="159">
        <v>915</v>
      </c>
      <c r="AH54" s="87"/>
      <c r="AI54" s="87"/>
      <c r="AJ54" s="87"/>
      <c r="AK54" s="87"/>
      <c r="AL54" s="87"/>
      <c r="AM54" s="87"/>
      <c r="AN54" s="87"/>
      <c r="AO54" s="87"/>
      <c r="AP54" s="87"/>
      <c r="AQ54" s="87"/>
      <c r="AR54" s="87"/>
      <c r="AS54" s="87"/>
      <c r="AT54" s="87"/>
      <c r="AU54" s="87"/>
      <c r="AV54" s="87"/>
      <c r="AW54" s="87"/>
      <c r="AX54" s="87"/>
      <c r="AY54" s="87"/>
      <c r="AZ54" s="74"/>
      <c r="BA54" s="16"/>
      <c r="BB54" s="16"/>
      <c r="BC54" s="16"/>
    </row>
    <row r="55" ht="17" customHeight="1">
      <c r="A55" t="s" s="88">
        <v>832</v>
      </c>
      <c r="B55" s="89">
        <v>1921</v>
      </c>
      <c r="C55" s="89">
        <v>8</v>
      </c>
      <c r="D55" t="s" s="90">
        <v>833</v>
      </c>
      <c r="E55" s="89"/>
      <c r="F55" t="s" s="96">
        <v>904</v>
      </c>
      <c r="G55" t="s" s="96">
        <v>916</v>
      </c>
      <c r="H55" t="s" s="96">
        <v>360</v>
      </c>
      <c r="I55" s="99">
        <v>38</v>
      </c>
      <c r="J55" s="79">
        <v>1</v>
      </c>
      <c r="K55" s="16"/>
      <c r="L55" s="16"/>
      <c r="M55" s="16"/>
      <c r="N55" t="s" s="96">
        <v>65</v>
      </c>
      <c r="O55" s="16"/>
      <c r="P55" s="16"/>
      <c r="Q55" s="16"/>
      <c r="R55" s="99">
        <v>1</v>
      </c>
      <c r="S55" s="16"/>
      <c r="T55" s="79">
        <v>47</v>
      </c>
      <c r="U55" s="16"/>
      <c r="V55" s="16"/>
      <c r="W55" s="16"/>
      <c r="X55" s="75"/>
      <c r="Y55" s="84"/>
      <c r="Z55" s="74"/>
      <c r="AA55" t="s" s="96">
        <v>917</v>
      </c>
      <c r="AB55" t="s" s="96">
        <v>918</v>
      </c>
      <c r="AC55" s="123">
        <v>1</v>
      </c>
      <c r="AD55" s="84"/>
      <c r="AE55" s="84"/>
      <c r="AF55" s="84">
        <v>1</v>
      </c>
      <c r="AG55" t="s" s="159">
        <v>13</v>
      </c>
      <c r="AH55" s="87"/>
      <c r="AI55" s="87"/>
      <c r="AJ55" s="87"/>
      <c r="AK55" s="87"/>
      <c r="AL55" s="87"/>
      <c r="AM55" s="87"/>
      <c r="AN55" s="87"/>
      <c r="AO55" s="87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74"/>
      <c r="BA55" s="16"/>
      <c r="BB55" s="16"/>
      <c r="BC55" s="16"/>
    </row>
    <row r="56" ht="17" customHeight="1">
      <c r="A56" t="s" s="88">
        <v>832</v>
      </c>
      <c r="B56" s="89">
        <v>1921</v>
      </c>
      <c r="C56" s="89">
        <v>8</v>
      </c>
      <c r="D56" t="s" s="90">
        <v>833</v>
      </c>
      <c r="E56" s="89"/>
      <c r="F56" t="s" s="96">
        <v>904</v>
      </c>
      <c r="G56" t="s" s="96">
        <v>919</v>
      </c>
      <c r="H56" t="s" s="96">
        <v>199</v>
      </c>
      <c r="I56" s="99">
        <v>39</v>
      </c>
      <c r="J56" s="79">
        <v>1</v>
      </c>
      <c r="K56" s="16"/>
      <c r="L56" s="16"/>
      <c r="M56" s="16"/>
      <c r="N56" t="s" s="96">
        <v>65</v>
      </c>
      <c r="O56" s="16"/>
      <c r="P56" s="16"/>
      <c r="Q56" s="16"/>
      <c r="R56" s="99">
        <v>1</v>
      </c>
      <c r="S56" s="16"/>
      <c r="T56" s="79">
        <v>46</v>
      </c>
      <c r="U56" s="16"/>
      <c r="V56" s="16"/>
      <c r="W56" s="16"/>
      <c r="X56" s="75"/>
      <c r="Y56" s="84"/>
      <c r="Z56" s="74"/>
      <c r="AA56" t="s" s="96">
        <v>920</v>
      </c>
      <c r="AB56" t="s" s="96">
        <v>921</v>
      </c>
      <c r="AC56" s="123">
        <v>1</v>
      </c>
      <c r="AD56" s="84"/>
      <c r="AE56" s="84"/>
      <c r="AF56" s="84"/>
      <c r="AG56" t="s" s="159">
        <v>922</v>
      </c>
      <c r="AH56" s="87"/>
      <c r="AI56" s="87"/>
      <c r="AJ56" s="87"/>
      <c r="AK56" s="87"/>
      <c r="AL56" s="87"/>
      <c r="AM56" s="87"/>
      <c r="AN56" s="87"/>
      <c r="AO56" s="87"/>
      <c r="AP56" s="87"/>
      <c r="AQ56" s="87"/>
      <c r="AR56" s="87"/>
      <c r="AS56" s="87"/>
      <c r="AT56" s="87"/>
      <c r="AU56" s="87"/>
      <c r="AV56" s="87"/>
      <c r="AW56" s="87"/>
      <c r="AX56" s="87"/>
      <c r="AY56" s="87"/>
      <c r="AZ56" s="74"/>
      <c r="BA56" s="16"/>
      <c r="BB56" s="16"/>
      <c r="BC56" s="16"/>
    </row>
    <row r="57" ht="17" customHeight="1">
      <c r="A57" t="s" s="88">
        <v>832</v>
      </c>
      <c r="B57" s="89">
        <v>1921</v>
      </c>
      <c r="C57" s="89"/>
      <c r="D57" t="s" s="90">
        <v>833</v>
      </c>
      <c r="E57" s="89"/>
      <c r="F57" s="16"/>
      <c r="G57" s="16"/>
      <c r="H57" s="79">
        <v>6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75"/>
      <c r="Y57" s="84"/>
      <c r="Z57" s="74"/>
      <c r="AA57" s="16"/>
      <c r="AB57" s="16"/>
      <c r="AC57" s="75"/>
      <c r="AD57" s="84"/>
      <c r="AE57" s="84"/>
      <c r="AF57" s="84"/>
      <c r="AG57" s="122"/>
      <c r="AH57" s="87"/>
      <c r="AI57" s="87"/>
      <c r="AJ57" s="87"/>
      <c r="AK57" s="87"/>
      <c r="AL57" s="87"/>
      <c r="AM57" s="87"/>
      <c r="AN57" s="87"/>
      <c r="AO57" s="87"/>
      <c r="AP57" s="87"/>
      <c r="AQ57" s="87"/>
      <c r="AR57" s="87"/>
      <c r="AS57" s="87"/>
      <c r="AT57" s="87"/>
      <c r="AU57" s="87"/>
      <c r="AV57" s="87"/>
      <c r="AW57" s="87"/>
      <c r="AX57" s="87"/>
      <c r="AY57" s="87"/>
      <c r="AZ57" s="74"/>
      <c r="BA57" s="16"/>
      <c r="BB57" s="16"/>
      <c r="BC57" s="16"/>
    </row>
    <row r="58" ht="17" customHeight="1">
      <c r="A58" t="s" s="88">
        <v>832</v>
      </c>
      <c r="B58" s="89">
        <v>1921</v>
      </c>
      <c r="C58" s="89"/>
      <c r="D58" t="s" s="90">
        <v>833</v>
      </c>
      <c r="E58" s="89"/>
      <c r="F58" s="16"/>
      <c r="G58" t="s" s="96">
        <v>1</v>
      </c>
      <c r="H58" t="s" s="96">
        <v>0</v>
      </c>
      <c r="I58" s="16"/>
      <c r="J58" t="s" s="96">
        <v>3</v>
      </c>
      <c r="K58" s="16"/>
      <c r="L58" s="16"/>
      <c r="M58" s="16"/>
      <c r="N58" t="s" s="96">
        <v>2</v>
      </c>
      <c r="O58" s="16"/>
      <c r="P58" s="16"/>
      <c r="Q58" s="16"/>
      <c r="R58" s="16"/>
      <c r="S58" s="16"/>
      <c r="T58" t="s" s="96">
        <v>5</v>
      </c>
      <c r="U58" s="16"/>
      <c r="V58" s="16"/>
      <c r="W58" s="16"/>
      <c r="X58" s="75"/>
      <c r="Y58" s="84"/>
      <c r="Z58" s="74"/>
      <c r="AA58" t="s" s="96">
        <v>7</v>
      </c>
      <c r="AB58" t="s" s="96">
        <v>8</v>
      </c>
      <c r="AC58" s="75"/>
      <c r="AD58" s="84"/>
      <c r="AE58" s="84"/>
      <c r="AF58" s="84"/>
      <c r="AG58" t="s" s="159">
        <v>6</v>
      </c>
      <c r="AH58" s="87"/>
      <c r="AI58" s="87"/>
      <c r="AJ58" s="87"/>
      <c r="AK58" s="87"/>
      <c r="AL58" s="87"/>
      <c r="AM58" s="87"/>
      <c r="AN58" s="87"/>
      <c r="AO58" s="87"/>
      <c r="AP58" s="87"/>
      <c r="AQ58" s="87"/>
      <c r="AR58" s="87"/>
      <c r="AS58" s="87"/>
      <c r="AT58" s="87"/>
      <c r="AU58" s="87"/>
      <c r="AV58" s="87"/>
      <c r="AW58" s="87"/>
      <c r="AX58" s="87"/>
      <c r="AY58" s="87"/>
      <c r="AZ58" s="74"/>
      <c r="BA58" s="16"/>
      <c r="BB58" s="16"/>
      <c r="BC58" s="16"/>
    </row>
    <row r="59" ht="17" customHeight="1">
      <c r="A59" t="s" s="88">
        <v>832</v>
      </c>
      <c r="B59" s="89">
        <v>1921</v>
      </c>
      <c r="C59" s="89">
        <v>9</v>
      </c>
      <c r="D59" t="s" s="90">
        <v>833</v>
      </c>
      <c r="E59" s="89"/>
      <c r="F59" s="79">
        <v>5</v>
      </c>
      <c r="G59" t="s" s="96">
        <v>243</v>
      </c>
      <c r="H59" t="s" s="96">
        <v>923</v>
      </c>
      <c r="I59" s="99">
        <v>40</v>
      </c>
      <c r="J59" t="s" s="96">
        <v>37</v>
      </c>
      <c r="K59" s="99">
        <v>1</v>
      </c>
      <c r="L59" s="16"/>
      <c r="M59" s="16"/>
      <c r="N59" s="79">
        <v>1</v>
      </c>
      <c r="O59" s="16"/>
      <c r="P59" s="16"/>
      <c r="Q59" s="16"/>
      <c r="R59" s="16"/>
      <c r="S59" s="16"/>
      <c r="T59" s="79">
        <v>52</v>
      </c>
      <c r="U59" s="16"/>
      <c r="V59" s="16"/>
      <c r="W59" s="16"/>
      <c r="X59" s="75"/>
      <c r="Y59" s="84"/>
      <c r="Z59" s="74"/>
      <c r="AA59" t="s" s="96">
        <v>924</v>
      </c>
      <c r="AB59" t="s" s="96">
        <v>925</v>
      </c>
      <c r="AC59" s="123">
        <v>1</v>
      </c>
      <c r="AD59" s="84"/>
      <c r="AE59" s="84"/>
      <c r="AF59" s="84"/>
      <c r="AG59" t="s" s="159">
        <v>926</v>
      </c>
      <c r="AH59" s="87"/>
      <c r="AI59" s="87"/>
      <c r="AJ59" s="87"/>
      <c r="AK59" s="87"/>
      <c r="AL59" s="87"/>
      <c r="AM59" s="87"/>
      <c r="AN59" s="87"/>
      <c r="AO59" s="87"/>
      <c r="AP59" s="87"/>
      <c r="AQ59" s="87"/>
      <c r="AR59" s="87"/>
      <c r="AS59" s="87"/>
      <c r="AT59" s="87"/>
      <c r="AU59" s="87"/>
      <c r="AV59" s="87"/>
      <c r="AW59" s="87"/>
      <c r="AX59" s="87"/>
      <c r="AY59" s="87"/>
      <c r="AZ59" s="74"/>
      <c r="BA59" s="16"/>
      <c r="BB59" s="16"/>
      <c r="BC59" s="16"/>
    </row>
    <row r="60" ht="17" customHeight="1">
      <c r="A60" t="s" s="88">
        <v>832</v>
      </c>
      <c r="B60" s="89">
        <v>1921</v>
      </c>
      <c r="C60" s="89">
        <v>9</v>
      </c>
      <c r="D60" t="s" s="90">
        <v>833</v>
      </c>
      <c r="E60" s="89"/>
      <c r="F60" s="79">
        <v>5</v>
      </c>
      <c r="G60" t="s" s="96">
        <v>243</v>
      </c>
      <c r="H60" t="s" s="96">
        <v>927</v>
      </c>
      <c r="I60" s="99">
        <v>41</v>
      </c>
      <c r="J60" s="79">
        <v>1</v>
      </c>
      <c r="K60" s="16"/>
      <c r="L60" s="16"/>
      <c r="M60" s="16"/>
      <c r="N60" t="s" s="96">
        <v>72</v>
      </c>
      <c r="O60" s="99">
        <v>1</v>
      </c>
      <c r="P60" s="16"/>
      <c r="Q60" s="16"/>
      <c r="R60" s="16"/>
      <c r="S60" s="16"/>
      <c r="T60" s="79">
        <v>56</v>
      </c>
      <c r="U60" s="16"/>
      <c r="V60" s="16"/>
      <c r="W60" s="16"/>
      <c r="X60" s="75"/>
      <c r="Y60" s="84"/>
      <c r="Z60" s="74"/>
      <c r="AA60" t="s" s="96">
        <v>928</v>
      </c>
      <c r="AB60" t="s" s="96">
        <v>34</v>
      </c>
      <c r="AC60" s="75"/>
      <c r="AD60" s="84"/>
      <c r="AE60" s="84"/>
      <c r="AF60" s="84"/>
      <c r="AG60" t="s" s="159">
        <v>929</v>
      </c>
      <c r="AH60" s="87"/>
      <c r="AI60" s="87"/>
      <c r="AJ60" s="87"/>
      <c r="AK60" s="87"/>
      <c r="AL60" s="87"/>
      <c r="AM60" s="87"/>
      <c r="AN60" s="87"/>
      <c r="AO60" s="87"/>
      <c r="AP60" s="87"/>
      <c r="AQ60" s="87"/>
      <c r="AR60" s="87"/>
      <c r="AS60" s="87"/>
      <c r="AT60" s="87"/>
      <c r="AU60" s="87"/>
      <c r="AV60" s="87"/>
      <c r="AW60" s="87"/>
      <c r="AX60" s="87"/>
      <c r="AY60" s="87"/>
      <c r="AZ60" s="74"/>
      <c r="BA60" s="16"/>
      <c r="BB60" s="16"/>
      <c r="BC60" s="16"/>
    </row>
    <row r="61" ht="17" customHeight="1">
      <c r="A61" t="s" s="88">
        <v>832</v>
      </c>
      <c r="B61" s="89">
        <v>1921</v>
      </c>
      <c r="C61" s="89">
        <v>9</v>
      </c>
      <c r="D61" t="s" s="90">
        <v>833</v>
      </c>
      <c r="E61" s="89"/>
      <c r="F61" s="79">
        <v>5</v>
      </c>
      <c r="G61" t="s" s="96">
        <v>243</v>
      </c>
      <c r="H61" t="s" s="96">
        <v>930</v>
      </c>
      <c r="I61" s="99">
        <v>42</v>
      </c>
      <c r="J61" t="s" s="96">
        <v>37</v>
      </c>
      <c r="K61" s="99">
        <v>1</v>
      </c>
      <c r="L61" s="16"/>
      <c r="M61" s="16"/>
      <c r="N61" t="s" s="96">
        <v>36</v>
      </c>
      <c r="O61" s="16"/>
      <c r="P61" s="16"/>
      <c r="Q61" s="99">
        <v>1</v>
      </c>
      <c r="R61" s="16"/>
      <c r="S61" s="16"/>
      <c r="T61" s="79">
        <v>19</v>
      </c>
      <c r="U61" s="16"/>
      <c r="V61" s="16"/>
      <c r="W61" s="16"/>
      <c r="X61" s="75"/>
      <c r="Y61" s="84"/>
      <c r="Z61" s="74"/>
      <c r="AA61" t="s" s="96">
        <v>931</v>
      </c>
      <c r="AB61" t="s" s="96">
        <v>932</v>
      </c>
      <c r="AC61" s="123">
        <v>1</v>
      </c>
      <c r="AD61" s="84"/>
      <c r="AE61" s="84"/>
      <c r="AF61" s="84"/>
      <c r="AG61" t="s" s="159">
        <v>926</v>
      </c>
      <c r="AH61" s="87"/>
      <c r="AI61" s="87"/>
      <c r="AJ61" s="87"/>
      <c r="AK61" s="87"/>
      <c r="AL61" s="87"/>
      <c r="AM61" s="87"/>
      <c r="AN61" s="87"/>
      <c r="AO61" s="87"/>
      <c r="AP61" s="87"/>
      <c r="AQ61" s="87"/>
      <c r="AR61" s="87"/>
      <c r="AS61" s="87"/>
      <c r="AT61" s="87"/>
      <c r="AU61" s="87"/>
      <c r="AV61" s="87"/>
      <c r="AW61" s="87"/>
      <c r="AX61" s="87"/>
      <c r="AY61" s="87"/>
      <c r="AZ61" s="74"/>
      <c r="BA61" s="16"/>
      <c r="BB61" s="16"/>
      <c r="BC61" s="16"/>
    </row>
    <row r="62" ht="17" customHeight="1">
      <c r="A62" t="s" s="88">
        <v>832</v>
      </c>
      <c r="B62" s="89">
        <v>1921</v>
      </c>
      <c r="C62" s="89">
        <v>9</v>
      </c>
      <c r="D62" t="s" s="90">
        <v>833</v>
      </c>
      <c r="E62" s="89"/>
      <c r="F62" s="79">
        <v>5</v>
      </c>
      <c r="G62" t="s" s="96">
        <v>933</v>
      </c>
      <c r="H62" t="s" s="96">
        <v>934</v>
      </c>
      <c r="I62" s="99">
        <v>43</v>
      </c>
      <c r="J62" s="79">
        <v>1</v>
      </c>
      <c r="K62" s="16"/>
      <c r="L62" s="16"/>
      <c r="M62" s="16"/>
      <c r="N62" t="s" s="96">
        <v>11</v>
      </c>
      <c r="O62" s="16"/>
      <c r="P62" s="16"/>
      <c r="Q62" s="16"/>
      <c r="R62" s="16"/>
      <c r="S62" s="99">
        <v>1</v>
      </c>
      <c r="T62" s="79">
        <v>21</v>
      </c>
      <c r="U62" s="16"/>
      <c r="V62" s="16"/>
      <c r="W62" s="16"/>
      <c r="X62" s="75"/>
      <c r="Y62" s="84"/>
      <c r="Z62" s="74"/>
      <c r="AA62" t="s" s="96">
        <v>105</v>
      </c>
      <c r="AB62" t="s" s="96">
        <v>935</v>
      </c>
      <c r="AC62" s="123">
        <v>1</v>
      </c>
      <c r="AD62" s="84"/>
      <c r="AE62" s="84"/>
      <c r="AF62" s="84"/>
      <c r="AG62" t="s" s="159">
        <v>785</v>
      </c>
      <c r="AH62" s="87"/>
      <c r="AI62" s="87"/>
      <c r="AJ62" s="87"/>
      <c r="AK62" s="87"/>
      <c r="AL62" s="87"/>
      <c r="AM62" s="87"/>
      <c r="AN62" s="87"/>
      <c r="AO62" s="87"/>
      <c r="AP62" s="87"/>
      <c r="AQ62" s="87"/>
      <c r="AR62" s="87"/>
      <c r="AS62" s="87"/>
      <c r="AT62" s="87"/>
      <c r="AU62" s="87"/>
      <c r="AV62" s="87"/>
      <c r="AW62" s="87"/>
      <c r="AX62" s="87"/>
      <c r="AY62" s="87"/>
      <c r="AZ62" s="74"/>
      <c r="BA62" s="16"/>
      <c r="BB62" s="16"/>
      <c r="BC62" s="16"/>
    </row>
    <row r="63" ht="17" customHeight="1">
      <c r="A63" t="s" s="88">
        <v>832</v>
      </c>
      <c r="B63" s="89">
        <v>1921</v>
      </c>
      <c r="C63" s="89">
        <v>9</v>
      </c>
      <c r="D63" t="s" s="90">
        <v>833</v>
      </c>
      <c r="E63" s="89"/>
      <c r="F63" s="79">
        <v>5</v>
      </c>
      <c r="G63" t="s" s="96">
        <v>936</v>
      </c>
      <c r="H63" t="s" s="96">
        <v>937</v>
      </c>
      <c r="I63" s="99">
        <v>44</v>
      </c>
      <c r="J63" s="79">
        <v>1</v>
      </c>
      <c r="K63" s="16"/>
      <c r="L63" s="16"/>
      <c r="M63" s="16"/>
      <c r="N63" t="s" s="96">
        <v>41</v>
      </c>
      <c r="O63" s="16"/>
      <c r="P63" s="16"/>
      <c r="Q63" s="16"/>
      <c r="R63" s="99">
        <v>1</v>
      </c>
      <c r="S63" s="16"/>
      <c r="T63" s="79">
        <v>19</v>
      </c>
      <c r="U63" s="16"/>
      <c r="V63" s="16"/>
      <c r="W63" s="16"/>
      <c r="X63" s="75"/>
      <c r="Y63" s="84"/>
      <c r="Z63" s="74"/>
      <c r="AA63" t="s" s="96">
        <v>33</v>
      </c>
      <c r="AB63" t="s" s="96">
        <v>15</v>
      </c>
      <c r="AC63" s="75"/>
      <c r="AD63" s="84"/>
      <c r="AE63" s="84"/>
      <c r="AF63" s="84"/>
      <c r="AG63" t="s" s="159">
        <v>165</v>
      </c>
      <c r="AH63" s="87"/>
      <c r="AI63" s="87"/>
      <c r="AJ63" s="87"/>
      <c r="AK63" s="87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74"/>
      <c r="BA63" s="16"/>
      <c r="BB63" s="16"/>
      <c r="BC63" s="16"/>
    </row>
    <row r="64" ht="17" customHeight="1">
      <c r="A64" t="s" s="88">
        <v>832</v>
      </c>
      <c r="B64" s="89">
        <v>1921</v>
      </c>
      <c r="C64" s="89"/>
      <c r="D64" t="s" s="90">
        <v>833</v>
      </c>
      <c r="E64" s="89"/>
      <c r="F64" s="16"/>
      <c r="G64" s="16"/>
      <c r="H64" s="79">
        <v>5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75"/>
      <c r="Y64" s="84"/>
      <c r="Z64" s="74"/>
      <c r="AA64" s="16"/>
      <c r="AB64" s="16"/>
      <c r="AC64" s="75"/>
      <c r="AD64" s="84"/>
      <c r="AE64" s="84"/>
      <c r="AF64" s="84"/>
      <c r="AG64" s="122"/>
      <c r="AH64" s="87"/>
      <c r="AI64" s="87"/>
      <c r="AJ64" s="87"/>
      <c r="AK64" s="87"/>
      <c r="AL64" s="87"/>
      <c r="AM64" s="87"/>
      <c r="AN64" s="87"/>
      <c r="AO64" s="87"/>
      <c r="AP64" s="87"/>
      <c r="AQ64" s="87"/>
      <c r="AR64" s="87"/>
      <c r="AS64" s="87"/>
      <c r="AT64" s="87"/>
      <c r="AU64" s="87"/>
      <c r="AV64" s="87"/>
      <c r="AW64" s="87"/>
      <c r="AX64" s="87"/>
      <c r="AY64" s="87"/>
      <c r="AZ64" s="74"/>
      <c r="BA64" s="16"/>
      <c r="BB64" s="16"/>
      <c r="BC64" s="16"/>
    </row>
    <row r="65" ht="17" customHeight="1">
      <c r="A65" t="s" s="88">
        <v>832</v>
      </c>
      <c r="B65" s="89">
        <v>1921</v>
      </c>
      <c r="C65" s="89"/>
      <c r="D65" t="s" s="90">
        <v>833</v>
      </c>
      <c r="E65" s="89"/>
      <c r="F65" s="16"/>
      <c r="G65" t="s" s="96">
        <v>1</v>
      </c>
      <c r="H65" t="s" s="96">
        <v>0</v>
      </c>
      <c r="I65" s="16"/>
      <c r="J65" t="s" s="96">
        <v>3</v>
      </c>
      <c r="K65" s="16"/>
      <c r="L65" s="16"/>
      <c r="M65" s="16"/>
      <c r="N65" t="s" s="96">
        <v>2</v>
      </c>
      <c r="O65" s="16"/>
      <c r="P65" s="16"/>
      <c r="Q65" s="16"/>
      <c r="R65" s="16"/>
      <c r="S65" s="16"/>
      <c r="T65" t="s" s="96">
        <v>5</v>
      </c>
      <c r="U65" s="16"/>
      <c r="V65" s="16"/>
      <c r="W65" s="16"/>
      <c r="X65" s="75"/>
      <c r="Y65" s="84"/>
      <c r="Z65" s="74"/>
      <c r="AA65" t="s" s="96">
        <v>7</v>
      </c>
      <c r="AB65" t="s" s="96">
        <v>8</v>
      </c>
      <c r="AC65" s="75"/>
      <c r="AD65" s="84"/>
      <c r="AE65" s="84"/>
      <c r="AF65" s="84"/>
      <c r="AG65" t="s" s="159">
        <v>6</v>
      </c>
      <c r="AH65" s="87"/>
      <c r="AI65" s="87"/>
      <c r="AJ65" s="87"/>
      <c r="AK65" s="87"/>
      <c r="AL65" s="87"/>
      <c r="AM65" s="87"/>
      <c r="AN65" s="87"/>
      <c r="AO65" s="87"/>
      <c r="AP65" s="87"/>
      <c r="AQ65" s="87"/>
      <c r="AR65" s="87"/>
      <c r="AS65" s="87"/>
      <c r="AT65" s="87"/>
      <c r="AU65" s="87"/>
      <c r="AV65" s="87"/>
      <c r="AW65" s="87"/>
      <c r="AX65" s="87"/>
      <c r="AY65" s="87"/>
      <c r="AZ65" s="74"/>
      <c r="BA65" s="16"/>
      <c r="BB65" s="16"/>
      <c r="BC65" s="16"/>
    </row>
    <row r="66" ht="17" customHeight="1">
      <c r="A66" t="s" s="88">
        <v>832</v>
      </c>
      <c r="B66" s="89">
        <v>1921</v>
      </c>
      <c r="C66" s="89">
        <v>10</v>
      </c>
      <c r="D66" t="s" s="90">
        <v>833</v>
      </c>
      <c r="E66" s="89"/>
      <c r="F66" s="79">
        <v>6</v>
      </c>
      <c r="G66" t="s" s="96">
        <v>938</v>
      </c>
      <c r="H66" t="s" s="96">
        <v>939</v>
      </c>
      <c r="I66" s="99">
        <v>45</v>
      </c>
      <c r="J66" s="79">
        <v>1</v>
      </c>
      <c r="K66" s="16"/>
      <c r="L66" s="16"/>
      <c r="M66" s="16"/>
      <c r="N66" s="79">
        <v>1</v>
      </c>
      <c r="O66" s="16"/>
      <c r="P66" s="16"/>
      <c r="Q66" s="16"/>
      <c r="R66" s="16"/>
      <c r="S66" s="16"/>
      <c r="T66" s="79">
        <v>70</v>
      </c>
      <c r="U66" s="16"/>
      <c r="V66" s="16"/>
      <c r="W66" s="16"/>
      <c r="X66" s="75"/>
      <c r="Y66" s="84"/>
      <c r="Z66" s="74"/>
      <c r="AA66" t="s" s="96">
        <v>34</v>
      </c>
      <c r="AB66" t="s" s="96">
        <v>34</v>
      </c>
      <c r="AC66" s="75"/>
      <c r="AD66" s="84"/>
      <c r="AE66" s="84"/>
      <c r="AF66" s="84">
        <v>1</v>
      </c>
      <c r="AG66" t="s" s="159">
        <v>54</v>
      </c>
      <c r="AH66" s="87"/>
      <c r="AI66" s="87"/>
      <c r="AJ66" s="87"/>
      <c r="AK66" s="87"/>
      <c r="AL66" s="87"/>
      <c r="AM66" s="87"/>
      <c r="AN66" s="87"/>
      <c r="AO66" s="87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74"/>
      <c r="BA66" s="16"/>
      <c r="BB66" s="16"/>
      <c r="BC66" s="16"/>
    </row>
    <row r="67" ht="17" customHeight="1">
      <c r="A67" t="s" s="88">
        <v>832</v>
      </c>
      <c r="B67" s="89">
        <v>1921</v>
      </c>
      <c r="C67" s="89">
        <v>10</v>
      </c>
      <c r="D67" t="s" s="90">
        <v>833</v>
      </c>
      <c r="E67" s="89"/>
      <c r="F67" s="79">
        <v>6</v>
      </c>
      <c r="G67" t="s" s="181">
        <v>940</v>
      </c>
      <c r="H67" t="s" s="181">
        <v>106</v>
      </c>
      <c r="I67" s="182">
        <v>46</v>
      </c>
      <c r="J67" s="126">
        <v>1</v>
      </c>
      <c r="K67" s="16"/>
      <c r="L67" s="132"/>
      <c r="M67" s="132"/>
      <c r="N67" t="s" s="96">
        <v>11</v>
      </c>
      <c r="O67" s="132"/>
      <c r="P67" s="132"/>
      <c r="Q67" s="16"/>
      <c r="R67" s="16"/>
      <c r="S67" s="99">
        <v>1</v>
      </c>
      <c r="T67" s="79">
        <v>20</v>
      </c>
      <c r="U67" s="16"/>
      <c r="V67" s="16"/>
      <c r="W67" s="132"/>
      <c r="X67" s="133"/>
      <c r="Y67" s="84"/>
      <c r="Z67" s="131"/>
      <c r="AA67" t="s" s="181">
        <v>105</v>
      </c>
      <c r="AB67" t="s" s="181">
        <v>15</v>
      </c>
      <c r="AC67" s="142">
        <v>1</v>
      </c>
      <c r="AD67" s="84"/>
      <c r="AE67" s="84"/>
      <c r="AF67" s="84"/>
      <c r="AG67" t="s" s="110">
        <v>54</v>
      </c>
      <c r="AH67" s="87"/>
      <c r="AI67" s="87"/>
      <c r="AJ67" s="87"/>
      <c r="AK67" s="87"/>
      <c r="AL67" s="87"/>
      <c r="AM67" s="87"/>
      <c r="AN67" s="87"/>
      <c r="AO67" s="87"/>
      <c r="AP67" s="87"/>
      <c r="AQ67" s="87"/>
      <c r="AR67" s="87"/>
      <c r="AS67" s="87"/>
      <c r="AT67" s="87"/>
      <c r="AU67" s="87"/>
      <c r="AV67" s="87"/>
      <c r="AW67" s="87"/>
      <c r="AX67" s="87"/>
      <c r="AY67" s="87"/>
      <c r="AZ67" s="74"/>
      <c r="BA67" s="16"/>
      <c r="BB67" s="16"/>
      <c r="BC67" s="16"/>
    </row>
    <row r="68" ht="17" customHeight="1">
      <c r="A68" t="s" s="88">
        <v>832</v>
      </c>
      <c r="B68" s="89">
        <v>1921</v>
      </c>
      <c r="C68" s="89">
        <v>10</v>
      </c>
      <c r="D68" t="s" s="90">
        <v>833</v>
      </c>
      <c r="E68" s="89"/>
      <c r="F68" s="142">
        <v>6</v>
      </c>
      <c r="G68" s="87"/>
      <c r="H68" s="84">
        <v>2</v>
      </c>
      <c r="I68" s="84"/>
      <c r="J68" s="84"/>
      <c r="K68" s="183"/>
      <c r="L68" s="84"/>
      <c r="M68" s="169"/>
      <c r="N68" s="170"/>
      <c r="O68" s="171"/>
      <c r="P68" s="84"/>
      <c r="Q68" s="183"/>
      <c r="R68" s="183"/>
      <c r="S68" s="184"/>
      <c r="T68" s="170"/>
      <c r="U68" s="170"/>
      <c r="V68" s="170"/>
      <c r="W68" s="173"/>
      <c r="X68" s="84"/>
      <c r="Y68" s="84"/>
      <c r="Z68" s="84"/>
      <c r="AA68" s="84"/>
      <c r="AB68" s="84"/>
      <c r="AC68" s="84"/>
      <c r="AD68" s="84"/>
      <c r="AE68" s="84"/>
      <c r="AF68" s="84"/>
      <c r="AG68" s="87"/>
      <c r="AH68" s="87"/>
      <c r="AI68" s="87"/>
      <c r="AJ68" s="87"/>
      <c r="AK68" s="87"/>
      <c r="AL68" s="87"/>
      <c r="AM68" s="87"/>
      <c r="AN68" s="87"/>
      <c r="AO68" s="87"/>
      <c r="AP68" s="87"/>
      <c r="AQ68" s="87"/>
      <c r="AR68" s="87"/>
      <c r="AS68" s="87"/>
      <c r="AT68" s="87"/>
      <c r="AU68" s="87"/>
      <c r="AV68" s="87"/>
      <c r="AW68" s="87"/>
      <c r="AX68" s="87"/>
      <c r="AY68" s="87"/>
      <c r="AZ68" s="74"/>
      <c r="BA68" s="16"/>
      <c r="BB68" s="16"/>
      <c r="BC68" s="16"/>
    </row>
    <row r="69" ht="17" customHeight="1">
      <c r="A69" t="s" s="185">
        <v>832</v>
      </c>
      <c r="B69" s="186">
        <v>1921</v>
      </c>
      <c r="C69" s="186">
        <v>10</v>
      </c>
      <c r="D69" t="s" s="150">
        <v>833</v>
      </c>
      <c r="E69" s="186"/>
      <c r="F69" s="91"/>
      <c r="G69" s="87"/>
      <c r="H69" s="84"/>
      <c r="I69" s="84">
        <v>46</v>
      </c>
      <c r="J69" s="84" cm="1">
        <f t="array" ref="J69">SUM(J4:J67)</f>
        <v>27</v>
      </c>
      <c r="K69" s="84" cm="1">
        <f t="array" ref="K69">SUM(K4:K67)</f>
        <v>12</v>
      </c>
      <c r="L69" s="84" cm="1">
        <f t="array" ref="L69">SUM(L4:L67)</f>
        <v>4</v>
      </c>
      <c r="M69" s="84" cm="1">
        <f t="array" ref="M69">SUM(M4:M67)</f>
        <v>3</v>
      </c>
      <c r="N69" s="84" cm="1">
        <f t="array" ref="N69">SUM(N4:N67)</f>
        <v>10</v>
      </c>
      <c r="O69" s="84" cm="1">
        <f t="array" ref="O69">SUM(O4:O67)</f>
        <v>6</v>
      </c>
      <c r="P69" s="84" cm="1">
        <f t="array" ref="P69">SUM(P4:P67)</f>
        <v>6</v>
      </c>
      <c r="Q69" s="84" cm="1">
        <f t="array" ref="Q69">SUM(Q4:Q67)</f>
        <v>6</v>
      </c>
      <c r="R69" s="84" cm="1">
        <f t="array" ref="R69">SUM(R4:R67)</f>
        <v>8</v>
      </c>
      <c r="S69" s="84" cm="1">
        <f t="array" ref="S69">SUM(S4:S67)</f>
        <v>10</v>
      </c>
      <c r="T69" s="84" cm="1">
        <f t="array" ref="T69">SUM(T4:T67)</f>
        <v>1622</v>
      </c>
      <c r="U69" s="84" cm="1">
        <f t="array" ref="U69">SUM(U4:U67)</f>
        <v>0</v>
      </c>
      <c r="V69" s="84" cm="1">
        <f t="array" ref="V69">SUM(V4:V67)</f>
        <v>0</v>
      </c>
      <c r="W69" s="84" cm="1">
        <f t="array" ref="W69">SUM(W4:W67)</f>
        <v>0</v>
      </c>
      <c r="X69" s="84" cm="1">
        <f t="array" ref="X69">SUM(X4:X67)</f>
        <v>0</v>
      </c>
      <c r="Y69" s="84" cm="1">
        <f t="array" ref="Y69">SUM(Y4:Y67)</f>
        <v>0</v>
      </c>
      <c r="Z69" s="84" cm="1">
        <f t="array" ref="Z69">SUM(Z4:Z67)</f>
        <v>0</v>
      </c>
      <c r="AA69" s="84" cm="1">
        <f t="array" ref="AA69">SUM(AA4:AA67)</f>
        <v>0</v>
      </c>
      <c r="AB69" s="84" cm="1">
        <f t="array" ref="AB69">SUM(AB4:AB67)</f>
        <v>0</v>
      </c>
      <c r="AC69" s="84" cm="1">
        <f t="array" ref="AC69">SUM(AC4:AC67)</f>
        <v>26</v>
      </c>
      <c r="AD69" s="84" cm="1">
        <f t="array" ref="AD69">SUM(AD4:AD67)</f>
        <v>2</v>
      </c>
      <c r="AE69" s="84" cm="1">
        <f t="array" ref="AE69">AC69-AD69</f>
        <v>24</v>
      </c>
      <c r="AF69" s="84" cm="1">
        <f t="array" ref="AF69">SUM(AF4:AF67)</f>
        <v>13</v>
      </c>
      <c r="AG69" s="84" cm="1">
        <f t="array" ref="AG69">N70-AF69</f>
        <v>33</v>
      </c>
      <c r="AH69" s="84" cm="1">
        <f t="array" ref="AH69">AG69+AF69</f>
        <v>46</v>
      </c>
      <c r="AI69" s="84" cm="1">
        <f t="array" ref="AI69">SUM(AI4:AI67)</f>
        <v>0</v>
      </c>
      <c r="AJ69" s="84" cm="1">
        <f t="array" ref="AJ69">SUM(AJ4:AJ67)</f>
        <v>0</v>
      </c>
      <c r="AK69" s="87"/>
      <c r="AL69" s="87"/>
      <c r="AM69" s="87"/>
      <c r="AN69" s="87"/>
      <c r="AO69" s="87"/>
      <c r="AP69" s="87"/>
      <c r="AQ69" s="87"/>
      <c r="AR69" s="87"/>
      <c r="AS69" s="87"/>
      <c r="AT69" s="87"/>
      <c r="AU69" s="87"/>
      <c r="AV69" s="87"/>
      <c r="AW69" s="87"/>
      <c r="AX69" s="87"/>
      <c r="AY69" s="87"/>
      <c r="AZ69" s="74"/>
      <c r="BA69" s="16"/>
      <c r="BB69" s="16"/>
      <c r="BC69" s="16"/>
    </row>
    <row r="70" ht="17.45" customHeight="1">
      <c r="A70" s="168"/>
      <c r="B70" s="89"/>
      <c r="C70" s="89"/>
      <c r="D70" s="89"/>
      <c r="E70" s="89"/>
      <c r="F70" s="91"/>
      <c r="G70" s="87"/>
      <c r="H70" s="84"/>
      <c r="I70" s="84" cm="1">
        <f t="array" ref="I70">SUM(J69:M69)</f>
        <v>46</v>
      </c>
      <c r="J70" s="84"/>
      <c r="K70" s="84"/>
      <c r="L70" s="84"/>
      <c r="M70" s="169"/>
      <c r="N70" s="187" cm="1">
        <f t="array" ref="N70">SUM(N69:S69)</f>
        <v>46</v>
      </c>
      <c r="O70" s="171"/>
      <c r="P70" s="84"/>
      <c r="Q70" s="84"/>
      <c r="R70" s="84"/>
      <c r="S70" s="169"/>
      <c r="T70" s="187" cm="1">
        <f t="array" ref="T70">T69/N70</f>
        <v>35.2608695652174</v>
      </c>
      <c r="U70" s="187"/>
      <c r="V70" s="187"/>
      <c r="W70" s="173"/>
      <c r="X70" s="84"/>
      <c r="Y70" s="84"/>
      <c r="Z70" s="84"/>
      <c r="AA70" s="84"/>
      <c r="AB70" s="84"/>
      <c r="AC70" s="84"/>
      <c r="AD70" s="84"/>
      <c r="AE70" s="84"/>
      <c r="AF70" s="84"/>
      <c r="AG70" s="87"/>
      <c r="AH70" s="87"/>
      <c r="AI70" s="87"/>
      <c r="AJ70" s="87"/>
      <c r="AK70" s="87"/>
      <c r="AL70" s="87"/>
      <c r="AM70" s="87"/>
      <c r="AN70" s="87"/>
      <c r="AO70" s="87"/>
      <c r="AP70" s="87"/>
      <c r="AQ70" s="87"/>
      <c r="AR70" s="87"/>
      <c r="AS70" s="87"/>
      <c r="AT70" s="87"/>
      <c r="AU70" s="87"/>
      <c r="AV70" s="87"/>
      <c r="AW70" s="87"/>
      <c r="AX70" s="87"/>
      <c r="AY70" s="87"/>
      <c r="AZ70" s="74"/>
      <c r="BA70" s="16"/>
      <c r="BB70" s="16"/>
      <c r="BC70" s="16"/>
    </row>
    <row r="71" ht="17.45" customHeight="1">
      <c r="A71" s="168"/>
      <c r="B71" s="89"/>
      <c r="C71" s="89"/>
      <c r="D71" s="89"/>
      <c r="E71" s="89"/>
      <c r="F71" s="91"/>
      <c r="G71" s="87"/>
      <c r="H71" s="84"/>
      <c r="I71" s="84"/>
      <c r="J71" s="84"/>
      <c r="K71" s="84"/>
      <c r="L71" s="84"/>
      <c r="M71" s="169"/>
      <c r="N71" s="172"/>
      <c r="O71" s="171"/>
      <c r="P71" s="84"/>
      <c r="Q71" s="84"/>
      <c r="R71" s="84"/>
      <c r="S71" s="169"/>
      <c r="T71" s="172"/>
      <c r="U71" s="172"/>
      <c r="V71" s="172"/>
      <c r="W71" s="173"/>
      <c r="X71" s="84"/>
      <c r="Y71" s="84"/>
      <c r="Z71" s="84"/>
      <c r="AA71" s="84"/>
      <c r="AB71" s="84"/>
      <c r="AC71" s="84"/>
      <c r="AD71" s="84"/>
      <c r="AE71" s="84"/>
      <c r="AF71" s="84"/>
      <c r="AG71" s="87"/>
      <c r="AH71" s="87"/>
      <c r="AI71" s="87"/>
      <c r="AJ71" s="87"/>
      <c r="AK71" s="87"/>
      <c r="AL71" s="87"/>
      <c r="AM71" s="87"/>
      <c r="AN71" s="87"/>
      <c r="AO71" s="87"/>
      <c r="AP71" s="87"/>
      <c r="AQ71" s="87"/>
      <c r="AR71" s="87"/>
      <c r="AS71" s="87"/>
      <c r="AT71" s="87"/>
      <c r="AU71" s="87"/>
      <c r="AV71" s="87"/>
      <c r="AW71" s="87"/>
      <c r="AX71" s="87"/>
      <c r="AY71" s="87"/>
      <c r="AZ71" s="74"/>
      <c r="BA71" s="16"/>
      <c r="BB71" s="16"/>
      <c r="BC71" s="16"/>
    </row>
    <row r="72" ht="17.45" customHeight="1">
      <c r="A72" s="168"/>
      <c r="B72" s="89"/>
      <c r="C72" s="89"/>
      <c r="D72" s="89"/>
      <c r="E72" s="89"/>
      <c r="F72" s="91"/>
      <c r="G72" s="87"/>
      <c r="H72" s="84"/>
      <c r="I72" s="84"/>
      <c r="J72" s="84"/>
      <c r="K72" s="84"/>
      <c r="L72" s="84"/>
      <c r="M72" s="169"/>
      <c r="N72" s="172"/>
      <c r="O72" s="171"/>
      <c r="P72" s="84"/>
      <c r="Q72" s="84"/>
      <c r="R72" s="84"/>
      <c r="S72" s="169"/>
      <c r="T72" s="172"/>
      <c r="U72" s="172"/>
      <c r="V72" s="172"/>
      <c r="W72" s="173"/>
      <c r="X72" s="84"/>
      <c r="Y72" s="84"/>
      <c r="Z72" s="84"/>
      <c r="AA72" s="84"/>
      <c r="AB72" s="84"/>
      <c r="AC72" s="84"/>
      <c r="AD72" s="84"/>
      <c r="AE72" s="84"/>
      <c r="AF72" s="84"/>
      <c r="AG72" s="87"/>
      <c r="AH72" s="87"/>
      <c r="AI72" s="87"/>
      <c r="AJ72" s="87"/>
      <c r="AK72" s="87"/>
      <c r="AL72" s="87"/>
      <c r="AM72" s="87"/>
      <c r="AN72" s="87"/>
      <c r="AO72" s="87"/>
      <c r="AP72" s="87"/>
      <c r="AQ72" s="87"/>
      <c r="AR72" s="87"/>
      <c r="AS72" s="87"/>
      <c r="AT72" s="87"/>
      <c r="AU72" s="87"/>
      <c r="AV72" s="87"/>
      <c r="AW72" s="87"/>
      <c r="AX72" s="87"/>
      <c r="AY72" s="87"/>
      <c r="AZ72" s="74"/>
      <c r="BA72" s="16"/>
      <c r="BB72" s="16"/>
      <c r="BC72" s="16"/>
    </row>
    <row r="73" ht="17.45" customHeight="1">
      <c r="A73" s="168"/>
      <c r="B73" s="89"/>
      <c r="C73" s="89"/>
      <c r="D73" s="89"/>
      <c r="E73" s="89"/>
      <c r="F73" s="91"/>
      <c r="G73" s="87"/>
      <c r="H73" s="84"/>
      <c r="I73" s="84"/>
      <c r="J73" s="84"/>
      <c r="K73" s="84"/>
      <c r="L73" s="84"/>
      <c r="M73" s="169"/>
      <c r="N73" s="172"/>
      <c r="O73" s="171"/>
      <c r="P73" s="84"/>
      <c r="Q73" s="84"/>
      <c r="R73" s="84"/>
      <c r="S73" s="169"/>
      <c r="T73" s="172"/>
      <c r="U73" s="172"/>
      <c r="V73" s="172"/>
      <c r="W73" s="173"/>
      <c r="X73" s="84"/>
      <c r="Y73" s="84"/>
      <c r="Z73" s="84"/>
      <c r="AA73" s="84"/>
      <c r="AB73" s="84"/>
      <c r="AC73" s="84"/>
      <c r="AD73" s="84"/>
      <c r="AE73" s="84"/>
      <c r="AF73" s="84"/>
      <c r="AG73" s="87"/>
      <c r="AH73" s="87"/>
      <c r="AI73" s="87"/>
      <c r="AJ73" s="87"/>
      <c r="AK73" s="87"/>
      <c r="AL73" s="87"/>
      <c r="AM73" s="87"/>
      <c r="AN73" s="87"/>
      <c r="AO73" s="87"/>
      <c r="AP73" s="87"/>
      <c r="AQ73" s="87"/>
      <c r="AR73" s="87"/>
      <c r="AS73" s="87"/>
      <c r="AT73" s="87"/>
      <c r="AU73" s="87"/>
      <c r="AV73" s="87"/>
      <c r="AW73" s="87"/>
      <c r="AX73" s="87"/>
      <c r="AY73" s="87"/>
      <c r="AZ73" s="74"/>
      <c r="BA73" s="16"/>
      <c r="BB73" s="16"/>
      <c r="BC73" s="16"/>
    </row>
    <row r="74" ht="17.45" customHeight="1">
      <c r="A74" s="168"/>
      <c r="B74" s="89"/>
      <c r="C74" s="89"/>
      <c r="D74" s="89"/>
      <c r="E74" s="89"/>
      <c r="F74" s="91"/>
      <c r="G74" s="87"/>
      <c r="H74" s="84"/>
      <c r="I74" s="84"/>
      <c r="J74" s="84"/>
      <c r="K74" s="84"/>
      <c r="L74" s="84"/>
      <c r="M74" s="169"/>
      <c r="N74" s="172"/>
      <c r="O74" s="171"/>
      <c r="P74" s="84"/>
      <c r="Q74" s="84"/>
      <c r="R74" s="84"/>
      <c r="S74" s="169"/>
      <c r="T74" s="172"/>
      <c r="U74" s="172"/>
      <c r="V74" s="172"/>
      <c r="W74" s="173"/>
      <c r="X74" s="84"/>
      <c r="Y74" s="84"/>
      <c r="Z74" s="84"/>
      <c r="AA74" s="84"/>
      <c r="AB74" s="84"/>
      <c r="AC74" s="84"/>
      <c r="AD74" s="84"/>
      <c r="AE74" s="84"/>
      <c r="AF74" s="84"/>
      <c r="AG74" s="87"/>
      <c r="AH74" s="87"/>
      <c r="AI74" s="87"/>
      <c r="AJ74" s="87"/>
      <c r="AK74" s="87"/>
      <c r="AL74" s="87"/>
      <c r="AM74" s="87"/>
      <c r="AN74" s="87"/>
      <c r="AO74" s="87"/>
      <c r="AP74" s="87"/>
      <c r="AQ74" s="87"/>
      <c r="AR74" s="87"/>
      <c r="AS74" s="87"/>
      <c r="AT74" s="87"/>
      <c r="AU74" s="87"/>
      <c r="AV74" s="87"/>
      <c r="AW74" s="87"/>
      <c r="AX74" s="87"/>
      <c r="AY74" s="87"/>
      <c r="AZ74" s="74"/>
      <c r="BA74" s="16"/>
      <c r="BB74" s="16"/>
      <c r="BC74" s="16"/>
    </row>
    <row r="75" ht="17.45" customHeight="1">
      <c r="A75" s="168"/>
      <c r="B75" s="89"/>
      <c r="C75" s="89"/>
      <c r="D75" s="89"/>
      <c r="E75" s="89"/>
      <c r="F75" s="91"/>
      <c r="G75" s="87"/>
      <c r="H75" s="84"/>
      <c r="I75" s="84"/>
      <c r="J75" s="84"/>
      <c r="K75" s="84"/>
      <c r="L75" s="84"/>
      <c r="M75" s="169"/>
      <c r="N75" s="172"/>
      <c r="O75" s="171"/>
      <c r="P75" s="84"/>
      <c r="Q75" s="84"/>
      <c r="R75" s="84"/>
      <c r="S75" s="169"/>
      <c r="T75" s="172"/>
      <c r="U75" s="172"/>
      <c r="V75" s="172"/>
      <c r="W75" s="173"/>
      <c r="X75" s="84"/>
      <c r="Y75" s="84"/>
      <c r="Z75" s="84"/>
      <c r="AA75" s="84"/>
      <c r="AB75" s="84"/>
      <c r="AC75" s="84"/>
      <c r="AD75" s="84"/>
      <c r="AE75" s="84"/>
      <c r="AF75" s="84"/>
      <c r="AG75" s="87"/>
      <c r="AH75" s="87"/>
      <c r="AI75" s="87"/>
      <c r="AJ75" s="87"/>
      <c r="AK75" s="87"/>
      <c r="AL75" s="87"/>
      <c r="AM75" s="87"/>
      <c r="AN75" s="87"/>
      <c r="AO75" s="87"/>
      <c r="AP75" s="87"/>
      <c r="AQ75" s="87"/>
      <c r="AR75" s="87"/>
      <c r="AS75" s="87"/>
      <c r="AT75" s="87"/>
      <c r="AU75" s="87"/>
      <c r="AV75" s="87"/>
      <c r="AW75" s="87"/>
      <c r="AX75" s="87"/>
      <c r="AY75" s="87"/>
      <c r="AZ75" s="74"/>
      <c r="BA75" s="16"/>
      <c r="BB75" s="16"/>
      <c r="BC75" s="16"/>
    </row>
    <row r="76" ht="17.45" customHeight="1">
      <c r="A76" s="168"/>
      <c r="B76" s="89"/>
      <c r="C76" s="89"/>
      <c r="D76" s="89"/>
      <c r="E76" s="89"/>
      <c r="F76" s="91"/>
      <c r="G76" s="87"/>
      <c r="H76" s="84"/>
      <c r="I76" s="84"/>
      <c r="J76" s="84"/>
      <c r="K76" s="84"/>
      <c r="L76" s="84"/>
      <c r="M76" s="169"/>
      <c r="N76" s="172"/>
      <c r="O76" s="171"/>
      <c r="P76" s="84"/>
      <c r="Q76" s="84"/>
      <c r="R76" s="84"/>
      <c r="S76" s="169"/>
      <c r="T76" s="172"/>
      <c r="U76" s="172"/>
      <c r="V76" s="172"/>
      <c r="W76" s="173"/>
      <c r="X76" s="84"/>
      <c r="Y76" s="84"/>
      <c r="Z76" s="84"/>
      <c r="AA76" s="84"/>
      <c r="AB76" s="84"/>
      <c r="AC76" s="84"/>
      <c r="AD76" s="84"/>
      <c r="AE76" s="84"/>
      <c r="AF76" s="84"/>
      <c r="AG76" s="87"/>
      <c r="AH76" s="87"/>
      <c r="AI76" s="87"/>
      <c r="AJ76" s="87"/>
      <c r="AK76" s="87"/>
      <c r="AL76" s="87"/>
      <c r="AM76" s="87"/>
      <c r="AN76" s="87"/>
      <c r="AO76" s="87"/>
      <c r="AP76" s="87"/>
      <c r="AQ76" s="87"/>
      <c r="AR76" s="87"/>
      <c r="AS76" s="87"/>
      <c r="AT76" s="87"/>
      <c r="AU76" s="87"/>
      <c r="AV76" s="87"/>
      <c r="AW76" s="87"/>
      <c r="AX76" s="87"/>
      <c r="AY76" s="87"/>
      <c r="AZ76" s="74"/>
      <c r="BA76" s="16"/>
      <c r="BB76" s="16"/>
      <c r="BC76" s="16"/>
    </row>
    <row r="77" ht="17.45" customHeight="1">
      <c r="A77" s="168"/>
      <c r="B77" s="89"/>
      <c r="C77" s="89"/>
      <c r="D77" s="89"/>
      <c r="E77" s="89"/>
      <c r="F77" s="91"/>
      <c r="G77" s="87"/>
      <c r="H77" s="84"/>
      <c r="I77" s="84"/>
      <c r="J77" s="84"/>
      <c r="K77" s="84"/>
      <c r="L77" s="84"/>
      <c r="M77" s="169"/>
      <c r="N77" s="172"/>
      <c r="O77" s="171"/>
      <c r="P77" s="84"/>
      <c r="Q77" s="84"/>
      <c r="R77" s="84"/>
      <c r="S77" s="169"/>
      <c r="T77" s="172"/>
      <c r="U77" s="172"/>
      <c r="V77" s="172"/>
      <c r="W77" s="173"/>
      <c r="X77" s="84"/>
      <c r="Y77" s="84"/>
      <c r="Z77" s="84"/>
      <c r="AA77" s="84"/>
      <c r="AB77" s="84"/>
      <c r="AC77" s="84"/>
      <c r="AD77" s="84"/>
      <c r="AE77" s="84"/>
      <c r="AF77" s="84"/>
      <c r="AG77" s="87"/>
      <c r="AH77" s="87"/>
      <c r="AI77" s="87"/>
      <c r="AJ77" s="87"/>
      <c r="AK77" s="87"/>
      <c r="AL77" s="87"/>
      <c r="AM77" s="87"/>
      <c r="AN77" s="87"/>
      <c r="AO77" s="87"/>
      <c r="AP77" s="87"/>
      <c r="AQ77" s="87"/>
      <c r="AR77" s="87"/>
      <c r="AS77" s="87"/>
      <c r="AT77" s="87"/>
      <c r="AU77" s="87"/>
      <c r="AV77" s="87"/>
      <c r="AW77" s="87"/>
      <c r="AX77" s="87"/>
      <c r="AY77" s="87"/>
      <c r="AZ77" s="74"/>
      <c r="BA77" s="16"/>
      <c r="BB77" s="16"/>
      <c r="BC77" s="16"/>
    </row>
    <row r="78" ht="17.45" customHeight="1">
      <c r="A78" s="168"/>
      <c r="B78" s="89"/>
      <c r="C78" s="89"/>
      <c r="D78" s="89"/>
      <c r="E78" s="89"/>
      <c r="F78" s="91"/>
      <c r="G78" s="87"/>
      <c r="H78" s="84"/>
      <c r="I78" s="84"/>
      <c r="J78" s="84"/>
      <c r="K78" s="84"/>
      <c r="L78" s="84"/>
      <c r="M78" s="169"/>
      <c r="N78" s="172"/>
      <c r="O78" s="171"/>
      <c r="P78" s="84"/>
      <c r="Q78" s="84"/>
      <c r="R78" s="84"/>
      <c r="S78" s="169"/>
      <c r="T78" s="172"/>
      <c r="U78" s="172"/>
      <c r="V78" s="172"/>
      <c r="W78" s="173"/>
      <c r="X78" s="84"/>
      <c r="Y78" s="84"/>
      <c r="Z78" s="84"/>
      <c r="AA78" s="84"/>
      <c r="AB78" s="84"/>
      <c r="AC78" s="84"/>
      <c r="AD78" s="84"/>
      <c r="AE78" s="84"/>
      <c r="AF78" s="84"/>
      <c r="AG78" s="87"/>
      <c r="AH78" s="87"/>
      <c r="AI78" s="87"/>
      <c r="AJ78" s="87"/>
      <c r="AK78" s="87"/>
      <c r="AL78" s="87"/>
      <c r="AM78" s="87"/>
      <c r="AN78" s="87"/>
      <c r="AO78" s="87"/>
      <c r="AP78" s="87"/>
      <c r="AQ78" s="87"/>
      <c r="AR78" s="87"/>
      <c r="AS78" s="87"/>
      <c r="AT78" s="87"/>
      <c r="AU78" s="87"/>
      <c r="AV78" s="87"/>
      <c r="AW78" s="87"/>
      <c r="AX78" s="87"/>
      <c r="AY78" s="87"/>
      <c r="AZ78" s="74"/>
      <c r="BA78" s="16"/>
      <c r="BB78" s="16"/>
      <c r="BC78" s="16"/>
    </row>
    <row r="79" ht="17.45" customHeight="1">
      <c r="A79" s="168"/>
      <c r="B79" s="89"/>
      <c r="C79" s="89"/>
      <c r="D79" s="89"/>
      <c r="E79" s="89"/>
      <c r="F79" s="91"/>
      <c r="G79" s="87"/>
      <c r="H79" s="84"/>
      <c r="I79" s="84"/>
      <c r="J79" s="84"/>
      <c r="K79" s="84"/>
      <c r="L79" s="84"/>
      <c r="M79" s="169"/>
      <c r="N79" s="172"/>
      <c r="O79" s="171"/>
      <c r="P79" s="84"/>
      <c r="Q79" s="84"/>
      <c r="R79" s="84"/>
      <c r="S79" s="169"/>
      <c r="T79" s="172"/>
      <c r="U79" s="172"/>
      <c r="V79" s="172"/>
      <c r="W79" s="173"/>
      <c r="X79" s="84"/>
      <c r="Y79" s="84"/>
      <c r="Z79" s="84"/>
      <c r="AA79" s="84"/>
      <c r="AB79" s="84"/>
      <c r="AC79" s="84"/>
      <c r="AD79" s="84"/>
      <c r="AE79" s="84"/>
      <c r="AF79" s="84"/>
      <c r="AG79" s="87"/>
      <c r="AH79" s="87"/>
      <c r="AI79" s="87"/>
      <c r="AJ79" s="87"/>
      <c r="AK79" s="87"/>
      <c r="AL79" s="87"/>
      <c r="AM79" s="87"/>
      <c r="AN79" s="87"/>
      <c r="AO79" s="87"/>
      <c r="AP79" s="87"/>
      <c r="AQ79" s="87"/>
      <c r="AR79" s="87"/>
      <c r="AS79" s="87"/>
      <c r="AT79" s="87"/>
      <c r="AU79" s="87"/>
      <c r="AV79" s="87"/>
      <c r="AW79" s="87"/>
      <c r="AX79" s="87"/>
      <c r="AY79" s="87"/>
      <c r="AZ79" s="74"/>
      <c r="BA79" s="16"/>
      <c r="BB79" s="16"/>
      <c r="BC79" s="16"/>
    </row>
    <row r="80" ht="17.45" customHeight="1">
      <c r="A80" s="168"/>
      <c r="B80" s="89"/>
      <c r="C80" s="89"/>
      <c r="D80" s="89"/>
      <c r="E80" s="89"/>
      <c r="F80" s="91"/>
      <c r="G80" s="87"/>
      <c r="H80" s="84"/>
      <c r="I80" s="84"/>
      <c r="J80" s="84"/>
      <c r="K80" s="84"/>
      <c r="L80" s="84"/>
      <c r="M80" s="169"/>
      <c r="N80" s="172"/>
      <c r="O80" s="171"/>
      <c r="P80" s="84"/>
      <c r="Q80" s="84"/>
      <c r="R80" s="84"/>
      <c r="S80" s="169"/>
      <c r="T80" s="172"/>
      <c r="U80" s="172"/>
      <c r="V80" s="172"/>
      <c r="W80" s="173"/>
      <c r="X80" s="84"/>
      <c r="Y80" s="84"/>
      <c r="Z80" s="84"/>
      <c r="AA80" s="84"/>
      <c r="AB80" s="84"/>
      <c r="AC80" s="84"/>
      <c r="AD80" s="84"/>
      <c r="AE80" s="84"/>
      <c r="AF80" s="84"/>
      <c r="AG80" s="87"/>
      <c r="AH80" s="87"/>
      <c r="AI80" s="87"/>
      <c r="AJ80" s="87"/>
      <c r="AK80" s="87"/>
      <c r="AL80" s="87"/>
      <c r="AM80" s="87"/>
      <c r="AN80" s="87"/>
      <c r="AO80" s="87"/>
      <c r="AP80" s="87"/>
      <c r="AQ80" s="87"/>
      <c r="AR80" s="87"/>
      <c r="AS80" s="87"/>
      <c r="AT80" s="87"/>
      <c r="AU80" s="87"/>
      <c r="AV80" s="87"/>
      <c r="AW80" s="87"/>
      <c r="AX80" s="87"/>
      <c r="AY80" s="87"/>
      <c r="AZ80" s="74"/>
      <c r="BA80" s="16"/>
      <c r="BB80" s="16"/>
      <c r="BC80" s="16"/>
    </row>
    <row r="81" ht="17.45" customHeight="1">
      <c r="A81" s="168"/>
      <c r="B81" s="89"/>
      <c r="C81" s="89"/>
      <c r="D81" s="89"/>
      <c r="E81" s="89"/>
      <c r="F81" s="91"/>
      <c r="G81" s="87"/>
      <c r="H81" s="84"/>
      <c r="I81" s="84"/>
      <c r="J81" s="84"/>
      <c r="K81" s="84"/>
      <c r="L81" s="84"/>
      <c r="M81" s="169"/>
      <c r="N81" s="172"/>
      <c r="O81" s="171"/>
      <c r="P81" s="84"/>
      <c r="Q81" s="84"/>
      <c r="R81" s="84"/>
      <c r="S81" s="169"/>
      <c r="T81" s="172"/>
      <c r="U81" s="172"/>
      <c r="V81" s="172"/>
      <c r="W81" s="173"/>
      <c r="X81" s="84"/>
      <c r="Y81" s="84"/>
      <c r="Z81" s="84"/>
      <c r="AA81" s="84"/>
      <c r="AB81" s="84"/>
      <c r="AC81" s="84"/>
      <c r="AD81" s="84"/>
      <c r="AE81" s="84"/>
      <c r="AF81" s="84"/>
      <c r="AG81" s="87"/>
      <c r="AH81" s="87"/>
      <c r="AI81" s="87"/>
      <c r="AJ81" s="87"/>
      <c r="AK81" s="87"/>
      <c r="AL81" s="87"/>
      <c r="AM81" s="87"/>
      <c r="AN81" s="87"/>
      <c r="AO81" s="87"/>
      <c r="AP81" s="87"/>
      <c r="AQ81" s="87"/>
      <c r="AR81" s="87"/>
      <c r="AS81" s="87"/>
      <c r="AT81" s="87"/>
      <c r="AU81" s="87"/>
      <c r="AV81" s="87"/>
      <c r="AW81" s="87"/>
      <c r="AX81" s="87"/>
      <c r="AY81" s="87"/>
      <c r="AZ81" s="74"/>
      <c r="BA81" s="16"/>
      <c r="BB81" s="16"/>
      <c r="BC81" s="16"/>
    </row>
    <row r="82" ht="17.45" customHeight="1">
      <c r="A82" s="168"/>
      <c r="B82" s="89"/>
      <c r="C82" s="89"/>
      <c r="D82" s="89"/>
      <c r="E82" s="89"/>
      <c r="F82" s="91"/>
      <c r="G82" s="87"/>
      <c r="H82" s="84"/>
      <c r="I82" s="84"/>
      <c r="J82" s="84"/>
      <c r="K82" s="84"/>
      <c r="L82" s="84"/>
      <c r="M82" s="169"/>
      <c r="N82" s="172"/>
      <c r="O82" s="171"/>
      <c r="P82" s="84"/>
      <c r="Q82" s="84"/>
      <c r="R82" s="84"/>
      <c r="S82" s="169"/>
      <c r="T82" s="172"/>
      <c r="U82" s="172"/>
      <c r="V82" s="172"/>
      <c r="W82" s="173"/>
      <c r="X82" s="84"/>
      <c r="Y82" s="84"/>
      <c r="Z82" s="84"/>
      <c r="AA82" s="84"/>
      <c r="AB82" s="84"/>
      <c r="AC82" s="84"/>
      <c r="AD82" s="84"/>
      <c r="AE82" s="84"/>
      <c r="AF82" s="84"/>
      <c r="AG82" s="87"/>
      <c r="AH82" s="87"/>
      <c r="AI82" s="87"/>
      <c r="AJ82" s="87"/>
      <c r="AK82" s="87"/>
      <c r="AL82" s="87"/>
      <c r="AM82" s="87"/>
      <c r="AN82" s="87"/>
      <c r="AO82" s="87"/>
      <c r="AP82" s="87"/>
      <c r="AQ82" s="87"/>
      <c r="AR82" s="87"/>
      <c r="AS82" s="87"/>
      <c r="AT82" s="87"/>
      <c r="AU82" s="87"/>
      <c r="AV82" s="87"/>
      <c r="AW82" s="87"/>
      <c r="AX82" s="87"/>
      <c r="AY82" s="87"/>
      <c r="AZ82" s="74"/>
      <c r="BA82" s="16"/>
      <c r="BB82" s="16"/>
      <c r="BC82" s="16"/>
    </row>
    <row r="83" ht="17.45" customHeight="1">
      <c r="A83" s="168"/>
      <c r="B83" s="89"/>
      <c r="C83" s="89"/>
      <c r="D83" s="89"/>
      <c r="E83" s="89"/>
      <c r="F83" s="91"/>
      <c r="G83" s="87"/>
      <c r="H83" s="84"/>
      <c r="I83" s="84"/>
      <c r="J83" s="84"/>
      <c r="K83" s="84"/>
      <c r="L83" s="84"/>
      <c r="M83" s="169"/>
      <c r="N83" s="172"/>
      <c r="O83" s="171"/>
      <c r="P83" s="84"/>
      <c r="Q83" s="84"/>
      <c r="R83" s="84"/>
      <c r="S83" s="169"/>
      <c r="T83" s="172"/>
      <c r="U83" s="172"/>
      <c r="V83" s="172"/>
      <c r="W83" s="173"/>
      <c r="X83" s="84"/>
      <c r="Y83" s="84"/>
      <c r="Z83" s="84"/>
      <c r="AA83" s="84"/>
      <c r="AB83" s="84"/>
      <c r="AC83" s="84"/>
      <c r="AD83" s="84"/>
      <c r="AE83" s="84"/>
      <c r="AF83" s="84"/>
      <c r="AG83" s="87"/>
      <c r="AH83" s="87"/>
      <c r="AI83" s="87"/>
      <c r="AJ83" s="87"/>
      <c r="AK83" s="87"/>
      <c r="AL83" s="87"/>
      <c r="AM83" s="87"/>
      <c r="AN83" s="87"/>
      <c r="AO83" s="87"/>
      <c r="AP83" s="87"/>
      <c r="AQ83" s="87"/>
      <c r="AR83" s="87"/>
      <c r="AS83" s="87"/>
      <c r="AT83" s="87"/>
      <c r="AU83" s="87"/>
      <c r="AV83" s="87"/>
      <c r="AW83" s="87"/>
      <c r="AX83" s="87"/>
      <c r="AY83" s="87"/>
      <c r="AZ83" s="74"/>
      <c r="BA83" s="16"/>
      <c r="BB83" s="16"/>
      <c r="BC83" s="16"/>
    </row>
    <row r="84" ht="17.45" customHeight="1">
      <c r="A84" s="168"/>
      <c r="B84" s="89"/>
      <c r="C84" s="89"/>
      <c r="D84" s="89"/>
      <c r="E84" s="89"/>
      <c r="F84" s="91"/>
      <c r="G84" s="87"/>
      <c r="H84" s="84"/>
      <c r="I84" s="84"/>
      <c r="J84" s="84"/>
      <c r="K84" s="84"/>
      <c r="L84" s="84"/>
      <c r="M84" s="169"/>
      <c r="N84" s="172"/>
      <c r="O84" s="171"/>
      <c r="P84" s="84"/>
      <c r="Q84" s="84"/>
      <c r="R84" s="84"/>
      <c r="S84" s="169"/>
      <c r="T84" s="172"/>
      <c r="U84" s="172"/>
      <c r="V84" s="172"/>
      <c r="W84" s="173"/>
      <c r="X84" s="84"/>
      <c r="Y84" s="84"/>
      <c r="Z84" s="84"/>
      <c r="AA84" s="84"/>
      <c r="AB84" s="84"/>
      <c r="AC84" s="84"/>
      <c r="AD84" s="84"/>
      <c r="AE84" s="84"/>
      <c r="AF84" s="84"/>
      <c r="AG84" s="87"/>
      <c r="AH84" s="87"/>
      <c r="AI84" s="87"/>
      <c r="AJ84" s="87"/>
      <c r="AK84" s="87"/>
      <c r="AL84" s="87"/>
      <c r="AM84" s="87"/>
      <c r="AN84" s="87"/>
      <c r="AO84" s="87"/>
      <c r="AP84" s="87"/>
      <c r="AQ84" s="87"/>
      <c r="AR84" s="87"/>
      <c r="AS84" s="87"/>
      <c r="AT84" s="87"/>
      <c r="AU84" s="87"/>
      <c r="AV84" s="87"/>
      <c r="AW84" s="87"/>
      <c r="AX84" s="87"/>
      <c r="AY84" s="87"/>
      <c r="AZ84" s="74"/>
      <c r="BA84" s="16"/>
      <c r="BB84" s="16"/>
      <c r="BC84" s="16"/>
    </row>
    <row r="85" ht="17.45" customHeight="1">
      <c r="A85" s="168"/>
      <c r="B85" s="89"/>
      <c r="C85" s="89"/>
      <c r="D85" s="89"/>
      <c r="E85" s="89"/>
      <c r="F85" s="91"/>
      <c r="G85" s="87"/>
      <c r="H85" s="84"/>
      <c r="I85" s="84"/>
      <c r="J85" s="84"/>
      <c r="K85" s="84"/>
      <c r="L85" s="84"/>
      <c r="M85" s="169"/>
      <c r="N85" s="172"/>
      <c r="O85" s="171"/>
      <c r="P85" s="84"/>
      <c r="Q85" s="84"/>
      <c r="R85" s="84"/>
      <c r="S85" s="169"/>
      <c r="T85" s="172"/>
      <c r="U85" s="172"/>
      <c r="V85" s="172"/>
      <c r="W85" s="173"/>
      <c r="X85" s="84"/>
      <c r="Y85" s="84"/>
      <c r="Z85" s="84"/>
      <c r="AA85" s="84"/>
      <c r="AB85" s="84"/>
      <c r="AC85" s="84"/>
      <c r="AD85" s="84"/>
      <c r="AE85" s="84"/>
      <c r="AF85" s="84"/>
      <c r="AG85" s="87"/>
      <c r="AH85" s="87"/>
      <c r="AI85" s="87"/>
      <c r="AJ85" s="87"/>
      <c r="AK85" s="87"/>
      <c r="AL85" s="87"/>
      <c r="AM85" s="87"/>
      <c r="AN85" s="87"/>
      <c r="AO85" s="87"/>
      <c r="AP85" s="87"/>
      <c r="AQ85" s="87"/>
      <c r="AR85" s="87"/>
      <c r="AS85" s="87"/>
      <c r="AT85" s="87"/>
      <c r="AU85" s="87"/>
      <c r="AV85" s="87"/>
      <c r="AW85" s="87"/>
      <c r="AX85" s="87"/>
      <c r="AY85" s="87"/>
      <c r="AZ85" s="74"/>
      <c r="BA85" s="16"/>
      <c r="BB85" s="16"/>
      <c r="BC85" s="16"/>
    </row>
    <row r="86" ht="17.45" customHeight="1">
      <c r="A86" s="168"/>
      <c r="B86" s="89"/>
      <c r="C86" s="89"/>
      <c r="D86" s="89"/>
      <c r="E86" s="89"/>
      <c r="F86" s="91"/>
      <c r="G86" s="87"/>
      <c r="H86" s="84"/>
      <c r="I86" s="84"/>
      <c r="J86" s="84"/>
      <c r="K86" s="84"/>
      <c r="L86" s="84"/>
      <c r="M86" s="169"/>
      <c r="N86" s="172"/>
      <c r="O86" s="171"/>
      <c r="P86" s="84"/>
      <c r="Q86" s="84"/>
      <c r="R86" s="84"/>
      <c r="S86" s="169"/>
      <c r="T86" s="172"/>
      <c r="U86" s="172"/>
      <c r="V86" s="172"/>
      <c r="W86" s="173"/>
      <c r="X86" s="84"/>
      <c r="Y86" s="84"/>
      <c r="Z86" s="84"/>
      <c r="AA86" s="84"/>
      <c r="AB86" s="84"/>
      <c r="AC86" s="84"/>
      <c r="AD86" s="84"/>
      <c r="AE86" s="84"/>
      <c r="AF86" s="84"/>
      <c r="AG86" s="87"/>
      <c r="AH86" s="87"/>
      <c r="AI86" s="87"/>
      <c r="AJ86" s="87"/>
      <c r="AK86" s="87"/>
      <c r="AL86" s="87"/>
      <c r="AM86" s="87"/>
      <c r="AN86" s="87"/>
      <c r="AO86" s="87"/>
      <c r="AP86" s="87"/>
      <c r="AQ86" s="87"/>
      <c r="AR86" s="87"/>
      <c r="AS86" s="87"/>
      <c r="AT86" s="87"/>
      <c r="AU86" s="87"/>
      <c r="AV86" s="87"/>
      <c r="AW86" s="87"/>
      <c r="AX86" s="87"/>
      <c r="AY86" s="87"/>
      <c r="AZ86" s="74"/>
      <c r="BA86" s="16"/>
      <c r="BB86" s="16"/>
      <c r="BC86" s="16"/>
    </row>
    <row r="87" ht="17.45" customHeight="1">
      <c r="A87" s="168"/>
      <c r="B87" s="89"/>
      <c r="C87" s="89"/>
      <c r="D87" s="89"/>
      <c r="E87" s="89"/>
      <c r="F87" s="91"/>
      <c r="G87" s="87"/>
      <c r="H87" s="84"/>
      <c r="I87" s="84"/>
      <c r="J87" s="84"/>
      <c r="K87" s="84"/>
      <c r="L87" s="84"/>
      <c r="M87" s="169"/>
      <c r="N87" s="172"/>
      <c r="O87" s="171"/>
      <c r="P87" s="84"/>
      <c r="Q87" s="84"/>
      <c r="R87" s="84"/>
      <c r="S87" s="169"/>
      <c r="T87" s="172"/>
      <c r="U87" s="172"/>
      <c r="V87" s="172"/>
      <c r="W87" s="173"/>
      <c r="X87" s="84"/>
      <c r="Y87" s="84"/>
      <c r="Z87" s="84"/>
      <c r="AA87" s="84"/>
      <c r="AB87" s="84"/>
      <c r="AC87" s="84"/>
      <c r="AD87" s="84"/>
      <c r="AE87" s="84"/>
      <c r="AF87" s="84"/>
      <c r="AG87" s="87"/>
      <c r="AH87" s="87"/>
      <c r="AI87" s="87"/>
      <c r="AJ87" s="87"/>
      <c r="AK87" s="87"/>
      <c r="AL87" s="87"/>
      <c r="AM87" s="87"/>
      <c r="AN87" s="87"/>
      <c r="AO87" s="87"/>
      <c r="AP87" s="87"/>
      <c r="AQ87" s="87"/>
      <c r="AR87" s="87"/>
      <c r="AS87" s="87"/>
      <c r="AT87" s="87"/>
      <c r="AU87" s="87"/>
      <c r="AV87" s="87"/>
      <c r="AW87" s="87"/>
      <c r="AX87" s="87"/>
      <c r="AY87" s="87"/>
      <c r="AZ87" s="74"/>
      <c r="BA87" s="16"/>
      <c r="BB87" s="16"/>
      <c r="BC87" s="16"/>
    </row>
    <row r="88" ht="17.45" customHeight="1">
      <c r="A88" s="168"/>
      <c r="B88" s="89"/>
      <c r="C88" s="89"/>
      <c r="D88" s="89"/>
      <c r="E88" s="89"/>
      <c r="F88" s="91"/>
      <c r="G88" s="87"/>
      <c r="H88" s="84"/>
      <c r="I88" s="84"/>
      <c r="J88" s="84"/>
      <c r="K88" s="84"/>
      <c r="L88" s="84"/>
      <c r="M88" s="169"/>
      <c r="N88" s="172"/>
      <c r="O88" s="171"/>
      <c r="P88" s="84"/>
      <c r="Q88" s="84"/>
      <c r="R88" s="84"/>
      <c r="S88" s="169"/>
      <c r="T88" s="172"/>
      <c r="U88" s="172"/>
      <c r="V88" s="172"/>
      <c r="W88" s="173"/>
      <c r="X88" s="84"/>
      <c r="Y88" s="84"/>
      <c r="Z88" s="84"/>
      <c r="AA88" s="84"/>
      <c r="AB88" s="84"/>
      <c r="AC88" s="84"/>
      <c r="AD88" s="84"/>
      <c r="AE88" s="84"/>
      <c r="AF88" s="84"/>
      <c r="AG88" s="87"/>
      <c r="AH88" s="87"/>
      <c r="AI88" s="87"/>
      <c r="AJ88" s="87"/>
      <c r="AK88" s="87"/>
      <c r="AL88" s="87"/>
      <c r="AM88" s="87"/>
      <c r="AN88" s="87"/>
      <c r="AO88" s="87"/>
      <c r="AP88" s="87"/>
      <c r="AQ88" s="87"/>
      <c r="AR88" s="87"/>
      <c r="AS88" s="87"/>
      <c r="AT88" s="87"/>
      <c r="AU88" s="87"/>
      <c r="AV88" s="87"/>
      <c r="AW88" s="87"/>
      <c r="AX88" s="87"/>
      <c r="AY88" s="87"/>
      <c r="AZ88" s="74"/>
      <c r="BA88" s="16"/>
      <c r="BB88" s="16"/>
      <c r="BC88" s="16"/>
    </row>
    <row r="89" ht="17.45" customHeight="1">
      <c r="A89" s="168"/>
      <c r="B89" s="89"/>
      <c r="C89" s="89"/>
      <c r="D89" s="89"/>
      <c r="E89" s="89"/>
      <c r="F89" s="91"/>
      <c r="G89" s="87"/>
      <c r="H89" s="84"/>
      <c r="I89" s="84"/>
      <c r="J89" s="84"/>
      <c r="K89" s="84"/>
      <c r="L89" s="84"/>
      <c r="M89" s="169"/>
      <c r="N89" s="172"/>
      <c r="O89" s="171"/>
      <c r="P89" s="84"/>
      <c r="Q89" s="84"/>
      <c r="R89" s="84"/>
      <c r="S89" s="169"/>
      <c r="T89" s="172"/>
      <c r="U89" s="172"/>
      <c r="V89" s="172"/>
      <c r="W89" s="173"/>
      <c r="X89" s="84"/>
      <c r="Y89" s="84"/>
      <c r="Z89" s="84"/>
      <c r="AA89" s="84"/>
      <c r="AB89" s="84"/>
      <c r="AC89" s="84"/>
      <c r="AD89" s="84"/>
      <c r="AE89" s="84"/>
      <c r="AF89" s="84"/>
      <c r="AG89" s="87"/>
      <c r="AH89" s="87"/>
      <c r="AI89" s="87"/>
      <c r="AJ89" s="87"/>
      <c r="AK89" s="87"/>
      <c r="AL89" s="87"/>
      <c r="AM89" s="87"/>
      <c r="AN89" s="87"/>
      <c r="AO89" s="87"/>
      <c r="AP89" s="87"/>
      <c r="AQ89" s="87"/>
      <c r="AR89" s="87"/>
      <c r="AS89" s="87"/>
      <c r="AT89" s="87"/>
      <c r="AU89" s="87"/>
      <c r="AV89" s="87"/>
      <c r="AW89" s="87"/>
      <c r="AX89" s="87"/>
      <c r="AY89" s="87"/>
      <c r="AZ89" s="74"/>
      <c r="BA89" s="16"/>
      <c r="BB89" s="16"/>
      <c r="BC89" s="16"/>
    </row>
    <row r="90" ht="17.45" customHeight="1">
      <c r="A90" s="168"/>
      <c r="B90" s="89"/>
      <c r="C90" s="89"/>
      <c r="D90" s="89"/>
      <c r="E90" s="89"/>
      <c r="F90" s="91"/>
      <c r="G90" s="87"/>
      <c r="H90" s="84"/>
      <c r="I90" s="84"/>
      <c r="J90" s="84"/>
      <c r="K90" s="84"/>
      <c r="L90" s="84"/>
      <c r="M90" s="169"/>
      <c r="N90" s="172"/>
      <c r="O90" s="171"/>
      <c r="P90" s="84"/>
      <c r="Q90" s="84"/>
      <c r="R90" s="84"/>
      <c r="S90" s="169"/>
      <c r="T90" s="172"/>
      <c r="U90" s="172"/>
      <c r="V90" s="172"/>
      <c r="W90" s="173"/>
      <c r="X90" s="84"/>
      <c r="Y90" s="84"/>
      <c r="Z90" s="84"/>
      <c r="AA90" s="84"/>
      <c r="AB90" s="84"/>
      <c r="AC90" s="84"/>
      <c r="AD90" s="84"/>
      <c r="AE90" s="84"/>
      <c r="AF90" s="84"/>
      <c r="AG90" s="87"/>
      <c r="AH90" s="87"/>
      <c r="AI90" s="87"/>
      <c r="AJ90" s="87"/>
      <c r="AK90" s="87"/>
      <c r="AL90" s="87"/>
      <c r="AM90" s="87"/>
      <c r="AN90" s="87"/>
      <c r="AO90" s="87"/>
      <c r="AP90" s="87"/>
      <c r="AQ90" s="87"/>
      <c r="AR90" s="87"/>
      <c r="AS90" s="87"/>
      <c r="AT90" s="87"/>
      <c r="AU90" s="87"/>
      <c r="AV90" s="87"/>
      <c r="AW90" s="87"/>
      <c r="AX90" s="87"/>
      <c r="AY90" s="87"/>
      <c r="AZ90" s="74"/>
      <c r="BA90" s="16"/>
      <c r="BB90" s="16"/>
      <c r="BC90" s="16"/>
    </row>
    <row r="91" ht="17.45" customHeight="1">
      <c r="A91" s="168"/>
      <c r="B91" s="89"/>
      <c r="C91" s="89"/>
      <c r="D91" s="89"/>
      <c r="E91" s="89"/>
      <c r="F91" s="91"/>
      <c r="G91" s="87"/>
      <c r="H91" s="84"/>
      <c r="I91" s="84"/>
      <c r="J91" s="84"/>
      <c r="K91" s="84"/>
      <c r="L91" s="84"/>
      <c r="M91" s="169"/>
      <c r="N91" s="172"/>
      <c r="O91" s="171"/>
      <c r="P91" s="84"/>
      <c r="Q91" s="84"/>
      <c r="R91" s="84"/>
      <c r="S91" s="169"/>
      <c r="T91" s="172"/>
      <c r="U91" s="172"/>
      <c r="V91" s="172"/>
      <c r="W91" s="173"/>
      <c r="X91" s="84"/>
      <c r="Y91" s="84"/>
      <c r="Z91" s="84"/>
      <c r="AA91" s="84"/>
      <c r="AB91" s="84"/>
      <c r="AC91" s="84"/>
      <c r="AD91" s="84"/>
      <c r="AE91" s="84"/>
      <c r="AF91" s="84"/>
      <c r="AG91" s="87"/>
      <c r="AH91" s="87"/>
      <c r="AI91" s="87"/>
      <c r="AJ91" s="87"/>
      <c r="AK91" s="87"/>
      <c r="AL91" s="87"/>
      <c r="AM91" s="87"/>
      <c r="AN91" s="87"/>
      <c r="AO91" s="87"/>
      <c r="AP91" s="87"/>
      <c r="AQ91" s="87"/>
      <c r="AR91" s="87"/>
      <c r="AS91" s="87"/>
      <c r="AT91" s="87"/>
      <c r="AU91" s="87"/>
      <c r="AV91" s="87"/>
      <c r="AW91" s="87"/>
      <c r="AX91" s="87"/>
      <c r="AY91" s="87"/>
      <c r="AZ91" s="74"/>
      <c r="BA91" s="16"/>
      <c r="BB91" s="16"/>
      <c r="BC91" s="16"/>
    </row>
    <row r="92" ht="17.45" customHeight="1">
      <c r="A92" s="168"/>
      <c r="B92" s="89"/>
      <c r="C92" s="107"/>
      <c r="D92" s="107"/>
      <c r="E92" s="107"/>
      <c r="F92" s="91"/>
      <c r="G92" s="87"/>
      <c r="H92" s="84"/>
      <c r="I92" s="84"/>
      <c r="J92" s="84"/>
      <c r="K92" s="84"/>
      <c r="L92" s="84"/>
      <c r="M92" s="169"/>
      <c r="N92" s="170"/>
      <c r="O92" s="171"/>
      <c r="P92" s="84"/>
      <c r="Q92" s="84"/>
      <c r="R92" s="84"/>
      <c r="S92" s="169"/>
      <c r="T92" s="170"/>
      <c r="U92" s="170"/>
      <c r="V92" s="170"/>
      <c r="W92" s="173"/>
      <c r="X92" s="84"/>
      <c r="Y92" s="84"/>
      <c r="Z92" s="84"/>
      <c r="AA92" s="84"/>
      <c r="AB92" s="84"/>
      <c r="AC92" s="84"/>
      <c r="AD92" s="84"/>
      <c r="AE92" s="84"/>
      <c r="AF92" s="84"/>
      <c r="AG92" s="87"/>
      <c r="AH92" s="87"/>
      <c r="AI92" s="87"/>
      <c r="AJ92" s="87"/>
      <c r="AK92" s="87"/>
      <c r="AL92" s="87"/>
      <c r="AM92" s="87"/>
      <c r="AN92" s="87"/>
      <c r="AO92" s="87"/>
      <c r="AP92" s="87"/>
      <c r="AQ92" s="87"/>
      <c r="AR92" s="87"/>
      <c r="AS92" s="87"/>
      <c r="AT92" s="87"/>
      <c r="AU92" s="87"/>
      <c r="AV92" s="87"/>
      <c r="AW92" s="87"/>
      <c r="AX92" s="87"/>
      <c r="AY92" s="87"/>
      <c r="AZ92" s="74"/>
      <c r="BA92" s="16"/>
      <c r="BB92" s="16"/>
      <c r="BC92" s="16"/>
    </row>
    <row r="93" ht="19" customHeight="1">
      <c r="A93" s="141"/>
      <c r="B93" s="141"/>
      <c r="C93" s="30"/>
      <c r="D93" s="30"/>
      <c r="E93" s="30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74"/>
      <c r="BA93" s="16"/>
      <c r="BB93" s="16"/>
      <c r="BC93" s="16"/>
    </row>
    <row r="94" ht="17.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121"/>
      <c r="N94" s="121"/>
      <c r="O94" s="121"/>
      <c r="P94" s="121"/>
      <c r="Q94" s="30"/>
      <c r="R94" s="121"/>
      <c r="S94" s="121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74"/>
      <c r="BA94" s="16"/>
      <c r="BB94" s="16"/>
      <c r="BC94" s="16"/>
    </row>
    <row r="95" ht="17.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121"/>
      <c r="N95" s="121"/>
      <c r="O95" s="121"/>
      <c r="P95" s="121"/>
      <c r="Q95" s="121"/>
      <c r="R95" s="121"/>
      <c r="S95" s="121"/>
      <c r="T95" s="121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74"/>
      <c r="BA95" s="16"/>
      <c r="BB95" s="16"/>
      <c r="BC95" s="16"/>
    </row>
    <row r="96" ht="17.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121"/>
      <c r="N96" s="121"/>
      <c r="O96" s="121"/>
      <c r="P96" s="121"/>
      <c r="Q96" s="121"/>
      <c r="R96" s="121"/>
      <c r="S96" s="121"/>
      <c r="T96" s="121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74"/>
      <c r="BA96" s="16"/>
      <c r="BB96" s="16"/>
      <c r="BC96" s="16"/>
    </row>
    <row r="97" ht="17.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121"/>
      <c r="N97" s="121"/>
      <c r="O97" s="121"/>
      <c r="P97" s="121"/>
      <c r="Q97" s="121"/>
      <c r="R97" s="121"/>
      <c r="S97" s="121"/>
      <c r="T97" s="121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74"/>
      <c r="BA97" s="16"/>
      <c r="BB97" s="16"/>
      <c r="BC97" s="16"/>
    </row>
    <row r="98" ht="17.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121"/>
      <c r="N98" s="121"/>
      <c r="O98" s="121"/>
      <c r="P98" s="121"/>
      <c r="Q98" s="121"/>
      <c r="R98" s="121"/>
      <c r="S98" s="121"/>
      <c r="T98" s="121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74"/>
      <c r="BA98" s="16"/>
      <c r="BB98" s="16"/>
      <c r="BC98" s="16"/>
    </row>
    <row r="99" ht="17.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121"/>
      <c r="N99" s="121"/>
      <c r="O99" s="121"/>
      <c r="P99" s="121"/>
      <c r="Q99" s="30"/>
      <c r="R99" s="121"/>
      <c r="S99" s="12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74"/>
      <c r="BA99" s="16"/>
      <c r="BB99" s="16"/>
      <c r="BC99" s="16"/>
    </row>
    <row r="100" ht="17.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121"/>
      <c r="N100" s="121"/>
      <c r="O100" s="121"/>
      <c r="P100" s="121"/>
      <c r="Q100" s="121"/>
      <c r="R100" s="121"/>
      <c r="S100" s="121"/>
      <c r="T100" s="121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74"/>
      <c r="BA100" s="16"/>
      <c r="BB100" s="16"/>
      <c r="BC100" s="16"/>
    </row>
    <row r="101" ht="17.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121"/>
      <c r="N101" s="121"/>
      <c r="O101" s="121"/>
      <c r="P101" s="121"/>
      <c r="Q101" s="121"/>
      <c r="R101" s="121"/>
      <c r="S101" s="121"/>
      <c r="T101" s="121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74"/>
      <c r="BA101" s="16"/>
      <c r="BB101" s="16"/>
      <c r="BC101" s="16"/>
    </row>
    <row r="102" ht="17" customHeight="1">
      <c r="A102" s="83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74"/>
      <c r="BA102" s="16"/>
      <c r="BB102" s="16"/>
      <c r="BC102" s="16"/>
    </row>
    <row r="103" ht="17.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121"/>
      <c r="N103" s="121"/>
      <c r="O103" s="121"/>
      <c r="P103" s="121"/>
      <c r="Q103" s="121"/>
      <c r="R103" s="121"/>
      <c r="S103" s="121"/>
      <c r="T103" s="121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74"/>
      <c r="BA103" s="16"/>
      <c r="BB103" s="16"/>
      <c r="BC103" s="16"/>
    </row>
    <row r="104" ht="17.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121"/>
      <c r="N104" s="121"/>
      <c r="O104" s="121"/>
      <c r="P104" s="121"/>
      <c r="Q104" s="121"/>
      <c r="R104" s="121"/>
      <c r="S104" s="121"/>
      <c r="T104" s="121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74"/>
      <c r="BA104" s="16"/>
      <c r="BB104" s="16"/>
      <c r="BC104" s="16"/>
    </row>
    <row r="105" ht="17.5" customHeight="1">
      <c r="A105" s="124"/>
      <c r="B105" s="124"/>
      <c r="C105" s="124"/>
      <c r="D105" s="28"/>
      <c r="E105" s="124"/>
      <c r="F105" s="28"/>
      <c r="G105" s="28"/>
      <c r="H105" s="28"/>
      <c r="I105" s="28"/>
      <c r="J105" s="28"/>
      <c r="K105" s="125"/>
      <c r="L105" s="28"/>
      <c r="M105" s="28"/>
      <c r="N105" s="28"/>
      <c r="O105" s="28"/>
      <c r="P105" s="28"/>
      <c r="Q105" s="125"/>
      <c r="R105" s="125"/>
      <c r="S105" s="125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74"/>
      <c r="BA105" s="16"/>
      <c r="BB105" s="16"/>
      <c r="BC105" s="16"/>
    </row>
    <row r="106" ht="28" customHeight="1">
      <c r="A106" s="124"/>
      <c r="B106" s="124"/>
      <c r="C106" s="124"/>
      <c r="D106" s="28"/>
      <c r="E106" s="124"/>
      <c r="F106" s="28"/>
      <c r="G106" s="28"/>
      <c r="H106" s="28"/>
      <c r="I106" s="28"/>
      <c r="J106" s="163"/>
      <c r="K106" s="164"/>
      <c r="L106" s="165"/>
      <c r="M106" s="28"/>
      <c r="N106" s="28"/>
      <c r="O106" s="28"/>
      <c r="P106" s="163"/>
      <c r="Q106" s="164"/>
      <c r="R106" s="164"/>
      <c r="S106" s="164"/>
      <c r="T106" s="166"/>
      <c r="U106" s="28"/>
      <c r="V106" s="28"/>
      <c r="W106" s="28"/>
      <c r="X106" s="28"/>
      <c r="Y106" s="28"/>
      <c r="Z106" s="28"/>
      <c r="AA106" s="28"/>
      <c r="AB106" s="28"/>
      <c r="AC106" s="28"/>
      <c r="AD106" s="124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74"/>
      <c r="BA106" s="16"/>
      <c r="BB106" s="16"/>
      <c r="BC106" s="16"/>
    </row>
    <row r="107" ht="17.5" customHeight="1">
      <c r="A107" s="146"/>
      <c r="B107" s="30"/>
      <c r="C107" s="30"/>
      <c r="D107" s="30"/>
      <c r="E107" s="30"/>
      <c r="F107" s="30"/>
      <c r="G107" s="30"/>
      <c r="H107" s="30"/>
      <c r="I107" s="30"/>
      <c r="J107" s="30"/>
      <c r="K107" s="141"/>
      <c r="L107" s="30"/>
      <c r="M107" s="121"/>
      <c r="N107" s="121"/>
      <c r="O107" s="121"/>
      <c r="P107" s="121"/>
      <c r="Q107" s="147"/>
      <c r="R107" s="147"/>
      <c r="S107" s="147"/>
      <c r="T107" s="121"/>
      <c r="U107" s="121"/>
      <c r="V107" s="121"/>
      <c r="W107" s="121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74"/>
      <c r="BA107" s="16"/>
      <c r="BB107" s="16"/>
      <c r="BC107" s="16"/>
    </row>
    <row r="108" ht="17.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121"/>
      <c r="N108" s="121"/>
      <c r="O108" s="121"/>
      <c r="P108" s="121"/>
      <c r="Q108" s="30"/>
      <c r="R108" s="121"/>
      <c r="S108" s="12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74"/>
      <c r="BA108" s="16"/>
      <c r="BB108" s="16"/>
      <c r="BC108" s="16"/>
    </row>
    <row r="109" ht="17.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121"/>
      <c r="N109" s="121"/>
      <c r="O109" s="121"/>
      <c r="P109" s="121"/>
      <c r="Q109" s="121"/>
      <c r="R109" s="121"/>
      <c r="S109" s="12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74"/>
      <c r="BA109" s="16"/>
      <c r="BB109" s="16"/>
      <c r="BC109" s="16"/>
    </row>
    <row r="110" ht="17.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121"/>
      <c r="N110" s="121"/>
      <c r="O110" s="121"/>
      <c r="P110" s="121"/>
      <c r="Q110" s="121"/>
      <c r="R110" s="121"/>
      <c r="S110" s="121"/>
      <c r="T110" s="30"/>
      <c r="U110" s="121"/>
      <c r="V110" s="121"/>
      <c r="W110" s="121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74"/>
      <c r="BA110" s="16"/>
      <c r="BB110" s="16"/>
      <c r="BC110" s="16"/>
    </row>
    <row r="111" ht="17.5" customHeight="1">
      <c r="A111" s="30"/>
      <c r="B111" s="30"/>
      <c r="C111" s="30"/>
      <c r="D111" s="30"/>
      <c r="E111" s="30"/>
      <c r="F111" s="30"/>
      <c r="G111" s="30"/>
      <c r="H111" t="s" s="83">
        <v>0</v>
      </c>
      <c r="I111" t="s" s="83">
        <v>1</v>
      </c>
      <c r="J111" t="s" s="83">
        <v>2</v>
      </c>
      <c r="K111" t="s" s="83">
        <v>3</v>
      </c>
      <c r="L111" t="s" s="83">
        <v>4</v>
      </c>
      <c r="M111" t="s" s="119">
        <v>5</v>
      </c>
      <c r="N111" t="s" s="119">
        <v>6</v>
      </c>
      <c r="O111" t="s" s="119">
        <v>7</v>
      </c>
      <c r="P111" t="s" s="119">
        <v>8</v>
      </c>
      <c r="Q111" s="30"/>
      <c r="R111" s="121"/>
      <c r="S111" s="121"/>
      <c r="T111" s="30"/>
      <c r="U111" s="121"/>
      <c r="V111" s="121"/>
      <c r="W111" s="121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74"/>
      <c r="BA111" s="16"/>
      <c r="BB111" s="16"/>
      <c r="BC111" s="16"/>
    </row>
    <row r="112" ht="17.5" customHeight="1">
      <c r="A112" s="30"/>
      <c r="B112" s="30"/>
      <c r="C112" s="30"/>
      <c r="D112" s="30"/>
      <c r="E112" s="30"/>
      <c r="F112" s="30"/>
      <c r="G112" s="30"/>
      <c r="H112" t="s" s="83">
        <v>835</v>
      </c>
      <c r="I112" t="s" s="83">
        <v>834</v>
      </c>
      <c r="J112" t="s" s="83">
        <v>31</v>
      </c>
      <c r="K112" t="s" s="83">
        <v>37</v>
      </c>
      <c r="L112" s="112">
        <v>1880</v>
      </c>
      <c r="M112" s="118">
        <v>41</v>
      </c>
      <c r="N112" t="s" s="119">
        <v>837</v>
      </c>
      <c r="O112" t="s" s="119">
        <v>836</v>
      </c>
      <c r="P112" t="s" s="119">
        <v>8</v>
      </c>
      <c r="Q112" s="30"/>
      <c r="R112" s="121"/>
      <c r="S112" s="121"/>
      <c r="T112" s="30"/>
      <c r="U112" s="121"/>
      <c r="V112" s="121"/>
      <c r="W112" s="121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74"/>
      <c r="BA112" s="16"/>
      <c r="BB112" s="16"/>
      <c r="BC112" s="16"/>
    </row>
    <row r="113" ht="17.5" customHeight="1">
      <c r="A113" s="30"/>
      <c r="B113" s="30"/>
      <c r="C113" s="30"/>
      <c r="D113" s="30"/>
      <c r="E113" s="30"/>
      <c r="F113" s="30"/>
      <c r="G113" s="30"/>
      <c r="H113" t="s" s="83">
        <v>81</v>
      </c>
      <c r="I113" t="s" s="83">
        <v>834</v>
      </c>
      <c r="J113" t="s" s="83">
        <v>72</v>
      </c>
      <c r="K113" t="s" s="83">
        <v>12</v>
      </c>
      <c r="L113" s="112">
        <v>1881</v>
      </c>
      <c r="M113" s="118">
        <v>40</v>
      </c>
      <c r="N113" t="s" s="119">
        <v>838</v>
      </c>
      <c r="O113" t="s" s="119">
        <v>34</v>
      </c>
      <c r="P113" t="s" s="119">
        <v>34</v>
      </c>
      <c r="Q113" s="30"/>
      <c r="R113" s="121"/>
      <c r="S113" s="121"/>
      <c r="T113" s="30"/>
      <c r="U113" s="121"/>
      <c r="V113" s="121"/>
      <c r="W113" s="121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74"/>
      <c r="BA113" s="16"/>
      <c r="BB113" s="16"/>
      <c r="BC113" s="16"/>
    </row>
    <row r="114" ht="17.5" customHeight="1">
      <c r="A114" s="30"/>
      <c r="B114" s="30"/>
      <c r="C114" s="30"/>
      <c r="D114" s="30"/>
      <c r="E114" s="30"/>
      <c r="F114" s="30"/>
      <c r="G114" s="30"/>
      <c r="H114" t="s" s="83">
        <v>839</v>
      </c>
      <c r="I114" t="s" s="83">
        <v>834</v>
      </c>
      <c r="J114" t="s" s="83">
        <v>36</v>
      </c>
      <c r="K114" t="s" s="83">
        <v>37</v>
      </c>
      <c r="L114" s="112">
        <v>1904</v>
      </c>
      <c r="M114" s="118">
        <v>17</v>
      </c>
      <c r="N114" t="s" s="119">
        <v>840</v>
      </c>
      <c r="O114" t="s" s="119">
        <v>34</v>
      </c>
      <c r="P114" t="s" s="119">
        <v>34</v>
      </c>
      <c r="Q114" s="30"/>
      <c r="R114" s="121"/>
      <c r="S114" s="121"/>
      <c r="T114" s="30"/>
      <c r="U114" s="121"/>
      <c r="V114" s="121"/>
      <c r="W114" s="121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74"/>
      <c r="BA114" s="16"/>
      <c r="BB114" s="16"/>
      <c r="BC114" s="16"/>
    </row>
    <row r="115" ht="17" customHeight="1">
      <c r="A115" s="30"/>
      <c r="B115" s="30"/>
      <c r="C115" s="30"/>
      <c r="D115" s="30"/>
      <c r="E115" s="30"/>
      <c r="F115" s="30"/>
      <c r="G115" s="30"/>
      <c r="H115" t="s" s="83">
        <v>109</v>
      </c>
      <c r="I115" t="s" s="83">
        <v>834</v>
      </c>
      <c r="J115" t="s" s="83">
        <v>78</v>
      </c>
      <c r="K115" t="s" s="83">
        <v>12</v>
      </c>
      <c r="L115" s="112">
        <v>1905</v>
      </c>
      <c r="M115" s="112">
        <v>15</v>
      </c>
      <c r="N115" t="s" s="83">
        <v>838</v>
      </c>
      <c r="O115" t="s" s="83">
        <v>34</v>
      </c>
      <c r="P115" t="s" s="83">
        <v>34</v>
      </c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74"/>
      <c r="BA115" s="16"/>
      <c r="BB115" s="16"/>
      <c r="BC115" s="16"/>
    </row>
    <row r="116" ht="17.5" customHeight="1">
      <c r="A116" s="30"/>
      <c r="B116" s="30"/>
      <c r="C116" s="30"/>
      <c r="D116" s="30"/>
      <c r="E116" s="30"/>
      <c r="F116" s="30"/>
      <c r="G116" s="30"/>
      <c r="H116" t="s" s="83">
        <v>106</v>
      </c>
      <c r="I116" t="s" s="83">
        <v>834</v>
      </c>
      <c r="J116" t="s" s="83">
        <v>78</v>
      </c>
      <c r="K116" t="s" s="83">
        <v>12</v>
      </c>
      <c r="L116" s="112">
        <v>1906</v>
      </c>
      <c r="M116" s="118">
        <v>14</v>
      </c>
      <c r="N116" t="s" s="119">
        <v>838</v>
      </c>
      <c r="O116" t="s" s="119">
        <v>34</v>
      </c>
      <c r="P116" t="s" s="119">
        <v>34</v>
      </c>
      <c r="Q116" s="30"/>
      <c r="R116" s="121"/>
      <c r="S116" s="121"/>
      <c r="T116" s="129"/>
      <c r="U116" s="121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74"/>
      <c r="BA116" s="16"/>
      <c r="BB116" s="16"/>
      <c r="BC116" s="16"/>
    </row>
    <row r="117" ht="17.5" customHeight="1">
      <c r="A117" s="30"/>
      <c r="B117" s="30"/>
      <c r="C117" s="30"/>
      <c r="D117" s="30"/>
      <c r="E117" s="30"/>
      <c r="F117" s="30"/>
      <c r="G117" s="30"/>
      <c r="H117" t="s" s="83">
        <v>841</v>
      </c>
      <c r="I117" t="s" s="83">
        <v>834</v>
      </c>
      <c r="J117" t="s" s="83">
        <v>36</v>
      </c>
      <c r="K117" t="s" s="83">
        <v>37</v>
      </c>
      <c r="L117" s="112">
        <v>1908</v>
      </c>
      <c r="M117" s="118">
        <v>13</v>
      </c>
      <c r="N117" t="s" s="119">
        <v>838</v>
      </c>
      <c r="O117" t="s" s="119">
        <v>34</v>
      </c>
      <c r="P117" t="s" s="119">
        <v>34</v>
      </c>
      <c r="Q117" s="30"/>
      <c r="R117" s="121"/>
      <c r="S117" s="121"/>
      <c r="T117" s="30"/>
      <c r="U117" s="121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74"/>
      <c r="BA117" s="16"/>
      <c r="BB117" s="16"/>
      <c r="BC117" s="16"/>
    </row>
    <row r="118" ht="17.5" customHeight="1">
      <c r="A118" s="30"/>
      <c r="B118" s="30"/>
      <c r="C118" s="30"/>
      <c r="D118" s="30"/>
      <c r="E118" s="30"/>
      <c r="F118" s="30"/>
      <c r="G118" s="30"/>
      <c r="H118" t="s" s="83">
        <v>619</v>
      </c>
      <c r="I118" t="s" s="83">
        <v>834</v>
      </c>
      <c r="J118" t="s" s="83">
        <v>36</v>
      </c>
      <c r="K118" t="s" s="83">
        <v>37</v>
      </c>
      <c r="L118" s="112">
        <v>1909</v>
      </c>
      <c r="M118" s="118">
        <v>11</v>
      </c>
      <c r="N118" t="s" s="119">
        <v>842</v>
      </c>
      <c r="O118" t="s" s="119">
        <v>34</v>
      </c>
      <c r="P118" t="s" s="119">
        <v>34</v>
      </c>
      <c r="Q118" s="30"/>
      <c r="R118" s="121"/>
      <c r="S118" s="121"/>
      <c r="T118" s="30"/>
      <c r="U118" s="121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74"/>
      <c r="BA118" s="16"/>
      <c r="BB118" s="16"/>
      <c r="BC118" s="16"/>
    </row>
    <row r="119" ht="17.5" customHeight="1">
      <c r="A119" s="30"/>
      <c r="B119" s="30"/>
      <c r="C119" s="30"/>
      <c r="D119" s="30"/>
      <c r="E119" s="30"/>
      <c r="F119" s="30"/>
      <c r="G119" s="30"/>
      <c r="H119" t="s" s="83">
        <v>843</v>
      </c>
      <c r="I119" t="s" s="83">
        <v>834</v>
      </c>
      <c r="J119" t="s" s="83">
        <v>36</v>
      </c>
      <c r="K119" t="s" s="83">
        <v>37</v>
      </c>
      <c r="L119" s="112">
        <v>1911</v>
      </c>
      <c r="M119" s="118">
        <v>9</v>
      </c>
      <c r="N119" t="s" s="119">
        <v>13</v>
      </c>
      <c r="O119" t="s" s="119">
        <v>34</v>
      </c>
      <c r="P119" t="s" s="119">
        <v>34</v>
      </c>
      <c r="Q119" s="30"/>
      <c r="R119" s="121"/>
      <c r="S119" s="121"/>
      <c r="T119" s="129"/>
      <c r="U119" s="121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74"/>
      <c r="BA119" s="16"/>
      <c r="BB119" s="16"/>
      <c r="BC119" s="16"/>
    </row>
    <row r="120" ht="17.5" customHeight="1">
      <c r="A120" s="30"/>
      <c r="B120" s="30"/>
      <c r="C120" s="30"/>
      <c r="D120" s="30"/>
      <c r="E120" s="30"/>
      <c r="F120" s="30"/>
      <c r="G120" s="30"/>
      <c r="H120" t="s" s="83">
        <v>844</v>
      </c>
      <c r="I120" t="s" s="83">
        <v>834</v>
      </c>
      <c r="J120" t="s" s="83">
        <v>78</v>
      </c>
      <c r="K120" t="s" s="83">
        <v>12</v>
      </c>
      <c r="L120" s="112">
        <v>1913</v>
      </c>
      <c r="M120" s="118">
        <v>7</v>
      </c>
      <c r="N120" t="s" s="119">
        <v>13</v>
      </c>
      <c r="O120" t="s" s="119">
        <v>34</v>
      </c>
      <c r="P120" t="s" s="119">
        <v>34</v>
      </c>
      <c r="Q120" s="30"/>
      <c r="R120" s="121"/>
      <c r="S120" s="121"/>
      <c r="T120" s="30"/>
      <c r="U120" s="121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74"/>
      <c r="BA120" s="16"/>
      <c r="BB120" s="16"/>
      <c r="BC120" s="16"/>
    </row>
    <row r="121" ht="17.5" customHeight="1">
      <c r="A121" s="30"/>
      <c r="B121" s="30"/>
      <c r="C121" s="30"/>
      <c r="D121" s="30"/>
      <c r="E121" s="30"/>
      <c r="F121" s="30"/>
      <c r="G121" s="30"/>
      <c r="H121" t="s" s="83">
        <v>845</v>
      </c>
      <c r="I121" t="s" s="83">
        <v>834</v>
      </c>
      <c r="J121" t="s" s="83">
        <v>78</v>
      </c>
      <c r="K121" t="s" s="83">
        <v>12</v>
      </c>
      <c r="L121" s="112">
        <v>1921</v>
      </c>
      <c r="M121" t="s" s="119">
        <v>34</v>
      </c>
      <c r="N121" t="s" s="119">
        <v>13</v>
      </c>
      <c r="O121" t="s" s="119">
        <v>34</v>
      </c>
      <c r="P121" t="s" s="119">
        <v>34</v>
      </c>
      <c r="Q121" s="30"/>
      <c r="R121" s="121"/>
      <c r="S121" s="121"/>
      <c r="T121" s="30"/>
      <c r="U121" s="121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74"/>
      <c r="BA121" s="16"/>
      <c r="BB121" s="16"/>
      <c r="BC121" s="16"/>
    </row>
    <row r="122" ht="17.5" customHeight="1">
      <c r="A122" s="30"/>
      <c r="B122" s="30"/>
      <c r="C122" s="30"/>
      <c r="D122" s="30"/>
      <c r="E122" s="30"/>
      <c r="F122" s="30"/>
      <c r="G122" s="30"/>
      <c r="H122" t="s" s="83">
        <v>593</v>
      </c>
      <c r="I122" t="s" s="83">
        <v>846</v>
      </c>
      <c r="J122" t="s" s="83">
        <v>11</v>
      </c>
      <c r="K122" t="s" s="83">
        <v>12</v>
      </c>
      <c r="L122" s="112">
        <v>1895</v>
      </c>
      <c r="M122" s="118">
        <v>26</v>
      </c>
      <c r="N122" t="s" s="119">
        <v>34</v>
      </c>
      <c r="O122" t="s" s="119">
        <v>105</v>
      </c>
      <c r="P122" t="s" s="119">
        <v>15</v>
      </c>
      <c r="Q122" s="30"/>
      <c r="R122" s="121"/>
      <c r="S122" s="121"/>
      <c r="T122" s="30"/>
      <c r="U122" s="121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74"/>
      <c r="BA122" s="16"/>
      <c r="BB122" s="16"/>
      <c r="BC122" s="16"/>
    </row>
    <row r="123" ht="15.35" customHeight="1">
      <c r="A123" s="180"/>
      <c r="B123" s="180"/>
      <c r="C123" s="180"/>
      <c r="D123" s="180"/>
      <c r="E123" s="180"/>
      <c r="F123" s="180"/>
      <c r="G123" s="180"/>
      <c r="H123" s="180"/>
      <c r="I123" s="180"/>
      <c r="J123" s="180"/>
      <c r="K123" s="180"/>
      <c r="L123" s="180"/>
      <c r="M123" s="180"/>
      <c r="N123" s="180"/>
      <c r="O123" s="180"/>
      <c r="P123" s="180"/>
      <c r="Q123" s="180"/>
      <c r="R123" s="180"/>
      <c r="S123" s="180"/>
      <c r="T123" s="180"/>
      <c r="U123" s="180"/>
      <c r="V123" s="180"/>
      <c r="W123" s="180"/>
      <c r="X123" s="180"/>
      <c r="Y123" s="180"/>
      <c r="Z123" s="180"/>
      <c r="AA123" s="180"/>
      <c r="AB123" s="180"/>
      <c r="AC123" s="180"/>
      <c r="AD123" s="180"/>
      <c r="AE123" s="180"/>
      <c r="AF123" s="180"/>
      <c r="AG123" s="180"/>
      <c r="AH123" s="180"/>
      <c r="AI123" s="180"/>
      <c r="AJ123" s="180"/>
      <c r="AK123" s="180"/>
      <c r="AL123" s="180"/>
      <c r="AM123" s="180"/>
      <c r="AN123" s="180"/>
      <c r="AO123" s="180"/>
      <c r="AP123" s="180"/>
      <c r="AQ123" s="180"/>
      <c r="AR123" s="180"/>
      <c r="AS123" s="180"/>
      <c r="AT123" s="180"/>
      <c r="AU123" s="180"/>
      <c r="AV123" s="180"/>
      <c r="AW123" s="180"/>
      <c r="AX123" s="180"/>
      <c r="AY123" s="180"/>
      <c r="AZ123" s="16"/>
      <c r="BA123" s="16"/>
      <c r="BB123" s="16"/>
      <c r="BC123" s="16"/>
    </row>
    <row r="124" ht="17" customHeight="1">
      <c r="A124" s="83"/>
      <c r="B124" s="30"/>
      <c r="C124" s="30"/>
      <c r="D124" s="30"/>
      <c r="E124" s="30"/>
      <c r="F124" s="30"/>
      <c r="G124" s="30"/>
      <c r="H124" t="s" s="83">
        <v>0</v>
      </c>
      <c r="I124" t="s" s="83">
        <v>1</v>
      </c>
      <c r="J124" t="s" s="83">
        <v>2</v>
      </c>
      <c r="K124" t="s" s="83">
        <v>3</v>
      </c>
      <c r="L124" t="s" s="83">
        <v>4</v>
      </c>
      <c r="M124" t="s" s="83">
        <v>5</v>
      </c>
      <c r="N124" t="s" s="83">
        <v>6</v>
      </c>
      <c r="O124" t="s" s="83">
        <v>7</v>
      </c>
      <c r="P124" t="s" s="83">
        <v>8</v>
      </c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74"/>
      <c r="BA124" s="16"/>
      <c r="BB124" s="16"/>
      <c r="BC124" s="16"/>
    </row>
    <row r="125" ht="17" customHeight="1">
      <c r="A125" s="30"/>
      <c r="B125" s="30"/>
      <c r="C125" s="30"/>
      <c r="D125" s="30"/>
      <c r="E125" s="30"/>
      <c r="F125" s="30"/>
      <c r="G125" s="130"/>
      <c r="H125" t="s" s="83">
        <v>706</v>
      </c>
      <c r="I125" t="s" s="83">
        <v>848</v>
      </c>
      <c r="J125" t="s" s="83">
        <v>31</v>
      </c>
      <c r="K125" t="s" s="83">
        <v>37</v>
      </c>
      <c r="L125" s="112">
        <v>1880</v>
      </c>
      <c r="M125" s="112">
        <v>41</v>
      </c>
      <c r="N125" t="s" s="83">
        <v>851</v>
      </c>
      <c r="O125" t="s" s="83">
        <v>849</v>
      </c>
      <c r="P125" t="s" s="83">
        <v>850</v>
      </c>
      <c r="Q125" s="87"/>
      <c r="R125" s="130"/>
      <c r="S125" s="130"/>
      <c r="T125" s="1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74"/>
      <c r="BA125" s="16"/>
      <c r="BB125" s="16"/>
      <c r="BC125" s="16"/>
    </row>
    <row r="126" ht="17.5" customHeight="1">
      <c r="A126" s="30"/>
      <c r="B126" s="30"/>
      <c r="C126" s="30"/>
      <c r="D126" s="30"/>
      <c r="E126" s="30"/>
      <c r="F126" s="30"/>
      <c r="G126" s="30"/>
      <c r="H126" t="s" s="83">
        <v>852</v>
      </c>
      <c r="I126" t="s" s="83">
        <v>848</v>
      </c>
      <c r="J126" t="s" s="83">
        <v>72</v>
      </c>
      <c r="K126" t="s" s="83">
        <v>12</v>
      </c>
      <c r="L126" s="112">
        <v>1880</v>
      </c>
      <c r="M126" s="112">
        <v>41</v>
      </c>
      <c r="N126" t="s" s="83">
        <v>853</v>
      </c>
      <c r="O126" t="s" s="83">
        <v>33</v>
      </c>
      <c r="P126" t="s" s="83">
        <v>34</v>
      </c>
      <c r="Q126" s="30"/>
      <c r="R126" s="121"/>
      <c r="S126" s="121"/>
      <c r="T126" s="129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74"/>
      <c r="BA126" s="16"/>
      <c r="BB126" s="16"/>
      <c r="BC126" s="16"/>
    </row>
    <row r="127" ht="17" customHeight="1">
      <c r="A127" s="30"/>
      <c r="B127" s="30"/>
      <c r="C127" s="30"/>
      <c r="D127" s="30"/>
      <c r="E127" s="30"/>
      <c r="F127" s="30"/>
      <c r="G127" s="30"/>
      <c r="H127" t="s" s="83">
        <v>855</v>
      </c>
      <c r="I127" t="s" s="83">
        <v>854</v>
      </c>
      <c r="J127" t="s" s="83">
        <v>11</v>
      </c>
      <c r="K127" t="s" s="83">
        <v>12</v>
      </c>
      <c r="L127" s="112">
        <v>1902</v>
      </c>
      <c r="M127" s="112">
        <v>18</v>
      </c>
      <c r="N127" t="s" s="83">
        <v>54</v>
      </c>
      <c r="O127" t="s" s="83">
        <v>188</v>
      </c>
      <c r="P127" t="s" s="83">
        <v>856</v>
      </c>
      <c r="Q127" s="30"/>
      <c r="R127" s="130"/>
      <c r="S127" s="130"/>
      <c r="T127" s="130"/>
      <c r="U127" s="30"/>
      <c r="V127" s="30"/>
      <c r="W127" s="30"/>
      <c r="X127" s="30"/>
      <c r="Y127" s="30"/>
      <c r="Z127" s="30"/>
      <c r="AA127" s="30"/>
      <c r="AB127" s="30"/>
      <c r="AC127" s="134"/>
      <c r="AD127" s="134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74"/>
      <c r="BA127" s="16"/>
      <c r="BB127" s="16"/>
      <c r="BC127" s="16"/>
    </row>
    <row r="128" ht="17.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121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74"/>
      <c r="BA128" s="16"/>
      <c r="BB128" s="16"/>
      <c r="BC128" s="16"/>
    </row>
    <row r="129" ht="15.35" customHeight="1">
      <c r="A129" s="62"/>
      <c r="B129" s="62"/>
      <c r="C129" s="62"/>
      <c r="D129" s="62"/>
      <c r="E129" s="62"/>
      <c r="F129" s="62"/>
      <c r="G129" s="62"/>
      <c r="H129" t="s" s="98">
        <v>0</v>
      </c>
      <c r="I129" t="s" s="98">
        <v>1</v>
      </c>
      <c r="J129" t="s" s="98">
        <v>2</v>
      </c>
      <c r="K129" t="s" s="98">
        <v>3</v>
      </c>
      <c r="L129" t="s" s="98">
        <v>4</v>
      </c>
      <c r="M129" t="s" s="98">
        <v>5</v>
      </c>
      <c r="N129" t="s" s="98">
        <v>6</v>
      </c>
      <c r="O129" t="s" s="98">
        <v>7</v>
      </c>
      <c r="P129" t="s" s="98">
        <v>8</v>
      </c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62"/>
      <c r="AB129" s="62"/>
      <c r="AC129" s="62"/>
      <c r="AD129" s="62"/>
      <c r="AE129" s="62"/>
      <c r="AF129" s="62"/>
      <c r="AG129" s="62"/>
      <c r="AH129" s="62"/>
      <c r="AI129" s="62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16"/>
      <c r="BA129" s="16"/>
      <c r="BB129" s="16"/>
      <c r="BC129" s="16"/>
    </row>
    <row r="130" ht="15.35" customHeight="1">
      <c r="A130" s="16"/>
      <c r="B130" s="16"/>
      <c r="C130" s="16"/>
      <c r="D130" s="16"/>
      <c r="E130" s="16"/>
      <c r="F130" s="16"/>
      <c r="G130" s="16"/>
      <c r="H130" t="s" s="96">
        <v>362</v>
      </c>
      <c r="I130" t="s" s="96">
        <v>857</v>
      </c>
      <c r="J130" t="s" s="96">
        <v>31</v>
      </c>
      <c r="K130" t="s" s="96">
        <v>12</v>
      </c>
      <c r="L130" s="79">
        <v>1890</v>
      </c>
      <c r="M130" s="79">
        <v>30</v>
      </c>
      <c r="N130" t="s" s="96">
        <v>858</v>
      </c>
      <c r="O130" t="s" s="96">
        <v>34</v>
      </c>
      <c r="P130" t="s" s="96">
        <v>34</v>
      </c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</row>
    <row r="131" ht="15.35" customHeight="1">
      <c r="A131" s="16"/>
      <c r="B131" s="16"/>
      <c r="C131" s="16"/>
      <c r="D131" s="16"/>
      <c r="E131" s="16"/>
      <c r="F131" s="16"/>
      <c r="G131" s="16"/>
      <c r="H131" t="s" s="96">
        <v>859</v>
      </c>
      <c r="I131" t="s" s="96">
        <v>857</v>
      </c>
      <c r="J131" t="s" s="96">
        <v>36</v>
      </c>
      <c r="K131" t="s" s="96">
        <v>37</v>
      </c>
      <c r="L131" s="79">
        <v>1917</v>
      </c>
      <c r="M131" s="79">
        <v>3</v>
      </c>
      <c r="N131" t="s" s="96">
        <v>754</v>
      </c>
      <c r="O131" t="s" s="96">
        <v>34</v>
      </c>
      <c r="P131" t="s" s="96">
        <v>34</v>
      </c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</row>
    <row r="132" ht="15.35" customHeight="1">
      <c r="A132" s="16"/>
      <c r="B132" s="16"/>
      <c r="C132" s="16"/>
      <c r="D132" s="16"/>
      <c r="E132" s="16"/>
      <c r="F132" s="16"/>
      <c r="G132" s="16"/>
      <c r="H132" t="s" s="96">
        <v>792</v>
      </c>
      <c r="I132" t="s" s="96">
        <v>422</v>
      </c>
      <c r="J132" t="s" s="96">
        <v>41</v>
      </c>
      <c r="K132" t="s" s="96">
        <v>37</v>
      </c>
      <c r="L132" s="79">
        <v>1864</v>
      </c>
      <c r="M132" s="79">
        <v>57</v>
      </c>
      <c r="N132" t="s" s="96">
        <v>862</v>
      </c>
      <c r="O132" t="s" s="96">
        <v>860</v>
      </c>
      <c r="P132" t="s" s="96">
        <v>861</v>
      </c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</row>
    <row r="133" ht="15.35" customHeight="1">
      <c r="A133" s="16"/>
      <c r="B133" s="16"/>
      <c r="C133" s="16"/>
      <c r="D133" s="16"/>
      <c r="E133" s="16"/>
      <c r="F133" s="16"/>
      <c r="G133" s="16"/>
      <c r="H133" t="s" s="96">
        <v>864</v>
      </c>
      <c r="I133" t="s" s="96">
        <v>863</v>
      </c>
      <c r="J133" t="s" s="96">
        <v>11</v>
      </c>
      <c r="K133" t="s" s="96">
        <v>12</v>
      </c>
      <c r="L133" s="79">
        <v>1892</v>
      </c>
      <c r="M133" s="79">
        <v>28</v>
      </c>
      <c r="N133" t="s" s="96">
        <v>865</v>
      </c>
      <c r="O133" t="s" s="96">
        <v>699</v>
      </c>
      <c r="P133" t="s" s="96">
        <v>15</v>
      </c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</row>
    <row r="134" ht="15.35" customHeight="1">
      <c r="A134" s="16"/>
      <c r="B134" s="16"/>
      <c r="C134" s="16"/>
      <c r="D134" s="16"/>
      <c r="E134" s="16"/>
      <c r="F134" s="16"/>
      <c r="G134" s="16"/>
      <c r="H134" t="s" s="96">
        <v>867</v>
      </c>
      <c r="I134" t="s" s="96">
        <v>866</v>
      </c>
      <c r="J134" t="s" s="96">
        <v>11</v>
      </c>
      <c r="K134" t="s" s="96">
        <v>12</v>
      </c>
      <c r="L134" s="79">
        <v>1885</v>
      </c>
      <c r="M134" s="79">
        <v>35</v>
      </c>
      <c r="N134" t="s" s="96">
        <v>868</v>
      </c>
      <c r="O134" t="s" s="96">
        <v>45</v>
      </c>
      <c r="P134" t="s" s="96">
        <v>15</v>
      </c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</row>
    <row r="135" ht="15.35" customHeight="1">
      <c r="A135" s="16"/>
      <c r="B135" s="16"/>
      <c r="C135" s="16"/>
      <c r="D135" s="16"/>
      <c r="E135" s="16"/>
      <c r="F135" s="16"/>
      <c r="G135" s="16"/>
      <c r="H135" t="s" s="96">
        <v>471</v>
      </c>
      <c r="I135" t="s" s="96">
        <v>869</v>
      </c>
      <c r="J135" t="s" s="96">
        <v>11</v>
      </c>
      <c r="K135" t="s" s="96">
        <v>12</v>
      </c>
      <c r="L135" s="79">
        <v>1879</v>
      </c>
      <c r="M135" s="79">
        <v>41</v>
      </c>
      <c r="N135" t="s" s="96">
        <v>54</v>
      </c>
      <c r="O135" t="s" s="96">
        <v>126</v>
      </c>
      <c r="P135" t="s" s="96">
        <v>15</v>
      </c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</row>
    <row r="136" ht="15.3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</row>
    <row r="137" ht="15.35" customHeight="1">
      <c r="A137" s="16"/>
      <c r="B137" s="16"/>
      <c r="C137" s="16"/>
      <c r="D137" s="16"/>
      <c r="E137" s="16"/>
      <c r="F137" s="16"/>
      <c r="G137" s="16"/>
      <c r="H137" t="s" s="96">
        <v>0</v>
      </c>
      <c r="I137" t="s" s="96">
        <v>1</v>
      </c>
      <c r="J137" t="s" s="96">
        <v>2</v>
      </c>
      <c r="K137" t="s" s="96">
        <v>3</v>
      </c>
      <c r="L137" t="s" s="96">
        <v>4</v>
      </c>
      <c r="M137" t="s" s="96">
        <v>5</v>
      </c>
      <c r="N137" t="s" s="96">
        <v>6</v>
      </c>
      <c r="O137" t="s" s="96">
        <v>7</v>
      </c>
      <c r="P137" t="s" s="96">
        <v>8</v>
      </c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</row>
    <row r="138" ht="15.35" customHeight="1">
      <c r="A138" s="16"/>
      <c r="B138" s="16"/>
      <c r="C138" s="16"/>
      <c r="D138" s="16"/>
      <c r="E138" s="16"/>
      <c r="F138" s="16"/>
      <c r="G138" s="16"/>
      <c r="H138" t="s" s="96">
        <v>871</v>
      </c>
      <c r="I138" t="s" s="96">
        <v>870</v>
      </c>
      <c r="J138" t="s" s="96">
        <v>31</v>
      </c>
      <c r="K138" t="s" s="96">
        <v>37</v>
      </c>
      <c r="L138" s="79">
        <v>1858</v>
      </c>
      <c r="M138" s="79">
        <v>63</v>
      </c>
      <c r="N138" t="s" s="96">
        <v>873</v>
      </c>
      <c r="O138" t="s" s="96">
        <v>872</v>
      </c>
      <c r="P138" t="s" s="96">
        <v>34</v>
      </c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</row>
    <row r="139" ht="15.35" customHeight="1">
      <c r="A139" s="16"/>
      <c r="B139" s="16"/>
      <c r="C139" s="16"/>
      <c r="D139" s="16"/>
      <c r="E139" s="16"/>
      <c r="F139" s="16"/>
      <c r="G139" s="16"/>
      <c r="H139" t="s" s="96">
        <v>874</v>
      </c>
      <c r="I139" t="s" s="96">
        <v>870</v>
      </c>
      <c r="J139" t="s" s="96">
        <v>72</v>
      </c>
      <c r="K139" t="s" s="96">
        <v>12</v>
      </c>
      <c r="L139" s="79">
        <v>1856</v>
      </c>
      <c r="M139" s="79">
        <v>65</v>
      </c>
      <c r="N139" t="s" s="96">
        <v>54</v>
      </c>
      <c r="O139" t="s" s="96">
        <v>261</v>
      </c>
      <c r="P139" t="s" s="96">
        <v>34</v>
      </c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</row>
    <row r="140" ht="15.35" customHeight="1">
      <c r="A140" s="16"/>
      <c r="B140" s="16"/>
      <c r="C140" s="16"/>
      <c r="D140" s="16"/>
      <c r="E140" s="16"/>
      <c r="F140" s="16"/>
      <c r="G140" s="16"/>
      <c r="H140" t="s" s="96">
        <v>875</v>
      </c>
      <c r="I140" t="s" s="96">
        <v>83</v>
      </c>
      <c r="J140" t="s" s="96">
        <v>609</v>
      </c>
      <c r="K140" t="s" s="96">
        <v>12</v>
      </c>
      <c r="L140" s="79">
        <v>1892</v>
      </c>
      <c r="M140" s="79">
        <v>28</v>
      </c>
      <c r="N140" t="s" s="96">
        <v>877</v>
      </c>
      <c r="O140" t="s" s="96">
        <v>876</v>
      </c>
      <c r="P140" t="s" s="96">
        <v>15</v>
      </c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</row>
    <row r="141" ht="15.35" customHeight="1">
      <c r="A141" s="16"/>
      <c r="B141" s="16"/>
      <c r="C141" s="16"/>
      <c r="D141" s="16"/>
      <c r="E141" s="16"/>
      <c r="F141" s="16"/>
      <c r="G141" s="16"/>
      <c r="H141" t="s" s="96">
        <v>251</v>
      </c>
      <c r="I141" t="s" s="96">
        <v>878</v>
      </c>
      <c r="J141" t="s" s="96">
        <v>492</v>
      </c>
      <c r="K141" t="s" s="96">
        <v>12</v>
      </c>
      <c r="L141" s="79">
        <v>1904</v>
      </c>
      <c r="M141" s="79">
        <v>17</v>
      </c>
      <c r="N141" t="s" s="96">
        <v>118</v>
      </c>
      <c r="O141" t="s" s="96">
        <v>89</v>
      </c>
      <c r="P141" t="s" s="96">
        <v>15</v>
      </c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</row>
    <row r="142" ht="15.35" customHeight="1">
      <c r="A142" s="16"/>
      <c r="B142" s="16"/>
      <c r="C142" s="16"/>
      <c r="D142" s="16"/>
      <c r="E142" s="16"/>
      <c r="F142" s="16"/>
      <c r="G142" s="16"/>
      <c r="H142" t="s" s="96">
        <v>880</v>
      </c>
      <c r="I142" t="s" s="96">
        <v>879</v>
      </c>
      <c r="J142" t="s" s="96">
        <v>207</v>
      </c>
      <c r="K142" t="s" s="96">
        <v>12</v>
      </c>
      <c r="L142" s="79">
        <v>1887</v>
      </c>
      <c r="M142" s="79">
        <v>33</v>
      </c>
      <c r="N142" t="s" s="96">
        <v>858</v>
      </c>
      <c r="O142" t="s" s="96">
        <v>881</v>
      </c>
      <c r="P142" t="s" s="96">
        <v>15</v>
      </c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</row>
    <row r="143" ht="15.3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</row>
    <row r="144" ht="15.35" customHeight="1">
      <c r="A144" s="16"/>
      <c r="B144" s="16"/>
      <c r="C144" s="16"/>
      <c r="D144" s="16"/>
      <c r="E144" s="16"/>
      <c r="F144" s="16"/>
      <c r="G144" s="16"/>
      <c r="H144" t="s" s="96">
        <v>0</v>
      </c>
      <c r="I144" t="s" s="96">
        <v>1</v>
      </c>
      <c r="J144" t="s" s="96">
        <v>2</v>
      </c>
      <c r="K144" t="s" s="96">
        <v>3</v>
      </c>
      <c r="L144" t="s" s="96">
        <v>4</v>
      </c>
      <c r="M144" t="s" s="96">
        <v>5</v>
      </c>
      <c r="N144" t="s" s="96">
        <v>6</v>
      </c>
      <c r="O144" t="s" s="96">
        <v>7</v>
      </c>
      <c r="P144" t="s" s="96">
        <v>8</v>
      </c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</row>
    <row r="145" ht="15.35" customHeight="1">
      <c r="A145" s="16"/>
      <c r="B145" s="16"/>
      <c r="C145" s="16"/>
      <c r="D145" s="16"/>
      <c r="E145" s="16"/>
      <c r="F145" s="16"/>
      <c r="G145" s="16"/>
      <c r="H145" t="s" s="96">
        <v>883</v>
      </c>
      <c r="I145" t="s" s="96">
        <v>882</v>
      </c>
      <c r="J145" t="s" s="96">
        <v>31</v>
      </c>
      <c r="K145" t="s" s="96">
        <v>12</v>
      </c>
      <c r="L145" s="79">
        <v>1836</v>
      </c>
      <c r="M145" s="79">
        <v>85</v>
      </c>
      <c r="N145" t="s" s="96">
        <v>695</v>
      </c>
      <c r="O145" t="s" s="96">
        <v>34</v>
      </c>
      <c r="P145" t="s" s="96">
        <v>34</v>
      </c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</row>
    <row r="146" ht="15.35" customHeight="1">
      <c r="A146" s="16"/>
      <c r="B146" s="16"/>
      <c r="C146" s="16"/>
      <c r="D146" s="16"/>
      <c r="E146" s="16"/>
      <c r="F146" s="16"/>
      <c r="G146" s="16"/>
      <c r="H146" t="s" s="96">
        <v>885</v>
      </c>
      <c r="I146" t="s" s="96">
        <v>884</v>
      </c>
      <c r="J146" t="s" s="96">
        <v>11</v>
      </c>
      <c r="K146" t="s" s="96">
        <v>12</v>
      </c>
      <c r="L146" s="79">
        <v>1867</v>
      </c>
      <c r="M146" s="79">
        <v>53</v>
      </c>
      <c r="N146" t="s" s="96">
        <v>887</v>
      </c>
      <c r="O146" t="s" s="96">
        <v>886</v>
      </c>
      <c r="P146" t="s" s="96">
        <v>15</v>
      </c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</row>
    <row r="147" ht="15.3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</row>
    <row r="148" ht="15.35" customHeight="1">
      <c r="A148" s="16"/>
      <c r="B148" s="16"/>
      <c r="C148" s="16"/>
      <c r="D148" s="16"/>
      <c r="E148" s="16"/>
      <c r="F148" s="16"/>
      <c r="G148" s="16"/>
      <c r="H148" t="s" s="96">
        <v>0</v>
      </c>
      <c r="I148" t="s" s="96">
        <v>1</v>
      </c>
      <c r="J148" t="s" s="96">
        <v>2</v>
      </c>
      <c r="K148" t="s" s="96">
        <v>3</v>
      </c>
      <c r="L148" t="s" s="96">
        <v>4</v>
      </c>
      <c r="M148" t="s" s="96">
        <v>5</v>
      </c>
      <c r="N148" t="s" s="96">
        <v>6</v>
      </c>
      <c r="O148" t="s" s="96">
        <v>7</v>
      </c>
      <c r="P148" t="s" s="96">
        <v>8</v>
      </c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</row>
    <row r="149" ht="15.35" customHeight="1">
      <c r="A149" s="16"/>
      <c r="B149" s="16"/>
      <c r="C149" s="16"/>
      <c r="D149" s="16"/>
      <c r="E149" s="16"/>
      <c r="F149" s="16"/>
      <c r="G149" s="16"/>
      <c r="H149" t="s" s="96">
        <v>153</v>
      </c>
      <c r="I149" t="s" s="96">
        <v>888</v>
      </c>
      <c r="J149" t="s" s="96">
        <v>31</v>
      </c>
      <c r="K149" t="s" s="96">
        <v>37</v>
      </c>
      <c r="L149" s="79">
        <v>1857</v>
      </c>
      <c r="M149" s="79">
        <v>64</v>
      </c>
      <c r="N149" t="s" s="96">
        <v>13</v>
      </c>
      <c r="O149" t="s" s="96">
        <v>889</v>
      </c>
      <c r="P149" t="s" s="96">
        <v>890</v>
      </c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</row>
    <row r="150" ht="15.35" customHeight="1">
      <c r="A150" s="16"/>
      <c r="B150" s="16"/>
      <c r="C150" s="16"/>
      <c r="D150" s="16"/>
      <c r="E150" s="16"/>
      <c r="F150" s="16"/>
      <c r="G150" s="16"/>
      <c r="H150" t="s" s="96">
        <v>891</v>
      </c>
      <c r="I150" t="s" s="96">
        <v>888</v>
      </c>
      <c r="J150" t="s" s="96">
        <v>72</v>
      </c>
      <c r="K150" t="s" s="96">
        <v>12</v>
      </c>
      <c r="L150" s="79">
        <v>1854</v>
      </c>
      <c r="M150" s="79">
        <v>67</v>
      </c>
      <c r="N150" t="s" s="96">
        <v>13</v>
      </c>
      <c r="O150" t="s" s="96">
        <v>34</v>
      </c>
      <c r="P150" t="s" s="96">
        <v>34</v>
      </c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</row>
    <row r="151" ht="15.35" customHeight="1">
      <c r="A151" s="16"/>
      <c r="B151" s="16"/>
      <c r="C151" s="16"/>
      <c r="D151" s="16"/>
      <c r="E151" s="16"/>
      <c r="F151" s="16"/>
      <c r="G151" s="16"/>
      <c r="H151" t="s" s="96">
        <v>106</v>
      </c>
      <c r="I151" t="s" s="96">
        <v>888</v>
      </c>
      <c r="J151" t="s" s="96">
        <v>78</v>
      </c>
      <c r="K151" t="s" s="96">
        <v>12</v>
      </c>
      <c r="L151" s="79">
        <v>1880</v>
      </c>
      <c r="M151" s="79">
        <v>40</v>
      </c>
      <c r="N151" t="s" s="96">
        <v>13</v>
      </c>
      <c r="O151" t="s" s="96">
        <v>751</v>
      </c>
      <c r="P151" t="s" s="96">
        <v>892</v>
      </c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</row>
    <row r="152" ht="15.35" customHeight="1">
      <c r="A152" s="16"/>
      <c r="B152" s="16"/>
      <c r="C152" s="16"/>
      <c r="D152" s="16"/>
      <c r="E152" s="16"/>
      <c r="F152" s="16"/>
      <c r="G152" s="16"/>
      <c r="H152" t="s" s="96">
        <v>893</v>
      </c>
      <c r="I152" t="s" s="96">
        <v>888</v>
      </c>
      <c r="J152" t="s" s="96">
        <v>78</v>
      </c>
      <c r="K152" t="s" s="96">
        <v>12</v>
      </c>
      <c r="L152" s="79">
        <v>1891</v>
      </c>
      <c r="M152" s="79">
        <v>29</v>
      </c>
      <c r="N152" t="s" s="96">
        <v>13</v>
      </c>
      <c r="O152" t="s" s="96">
        <v>894</v>
      </c>
      <c r="P152" t="s" s="96">
        <v>895</v>
      </c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</row>
    <row r="153" ht="15.3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</row>
    <row r="154" ht="15.35" customHeight="1">
      <c r="A154" s="16"/>
      <c r="B154" s="16"/>
      <c r="C154" s="16"/>
      <c r="D154" s="16"/>
      <c r="E154" s="16"/>
      <c r="F154" s="16"/>
      <c r="G154" s="16"/>
      <c r="H154" t="s" s="96">
        <v>0</v>
      </c>
      <c r="I154" t="s" s="96">
        <v>1</v>
      </c>
      <c r="J154" t="s" s="96">
        <v>2</v>
      </c>
      <c r="K154" t="s" s="96">
        <v>3</v>
      </c>
      <c r="L154" t="s" s="96">
        <v>4</v>
      </c>
      <c r="M154" t="s" s="96">
        <v>5</v>
      </c>
      <c r="N154" t="s" s="96">
        <v>6</v>
      </c>
      <c r="O154" t="s" s="96">
        <v>7</v>
      </c>
      <c r="P154" t="s" s="96">
        <v>8</v>
      </c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</row>
    <row r="155" ht="15.35" customHeight="1">
      <c r="A155" s="16"/>
      <c r="B155" s="16"/>
      <c r="C155" s="16"/>
      <c r="D155" s="16"/>
      <c r="E155" s="16"/>
      <c r="F155" s="16"/>
      <c r="G155" s="16"/>
      <c r="H155" t="s" s="96">
        <v>897</v>
      </c>
      <c r="I155" t="s" s="96">
        <v>896</v>
      </c>
      <c r="J155" t="s" s="96">
        <v>31</v>
      </c>
      <c r="K155" t="s" s="96">
        <v>37</v>
      </c>
      <c r="L155" s="79">
        <v>1878</v>
      </c>
      <c r="M155" s="79">
        <v>43</v>
      </c>
      <c r="N155" t="s" s="96">
        <v>900</v>
      </c>
      <c r="O155" t="s" s="96">
        <v>898</v>
      </c>
      <c r="P155" t="s" s="96">
        <v>899</v>
      </c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</row>
    <row r="156" ht="15.35" customHeight="1">
      <c r="A156" s="16"/>
      <c r="B156" s="16"/>
      <c r="C156" s="16"/>
      <c r="D156" s="16"/>
      <c r="E156" s="16"/>
      <c r="F156" s="16"/>
      <c r="G156" s="16"/>
      <c r="H156" t="s" s="96">
        <v>902</v>
      </c>
      <c r="I156" t="s" s="96">
        <v>901</v>
      </c>
      <c r="J156" t="s" s="96">
        <v>11</v>
      </c>
      <c r="K156" t="s" s="96">
        <v>12</v>
      </c>
      <c r="L156" s="79">
        <v>1896</v>
      </c>
      <c r="M156" s="79">
        <v>24</v>
      </c>
      <c r="N156" t="s" s="96">
        <v>512</v>
      </c>
      <c r="O156" t="s" s="96">
        <v>105</v>
      </c>
      <c r="P156" t="s" s="96">
        <v>15</v>
      </c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</row>
    <row r="157" ht="15.3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</row>
    <row r="158" ht="15.35" customHeight="1">
      <c r="A158" s="16"/>
      <c r="B158" s="16"/>
      <c r="C158" s="16"/>
      <c r="D158" s="16"/>
      <c r="E158" s="16"/>
      <c r="F158" s="16"/>
      <c r="G158" s="16"/>
      <c r="H158" t="s" s="96">
        <v>0</v>
      </c>
      <c r="I158" t="s" s="96">
        <v>1</v>
      </c>
      <c r="J158" t="s" s="96">
        <v>2</v>
      </c>
      <c r="K158" t="s" s="96">
        <v>3</v>
      </c>
      <c r="L158" t="s" s="96">
        <v>4</v>
      </c>
      <c r="M158" t="s" s="96">
        <v>5</v>
      </c>
      <c r="N158" t="s" s="96">
        <v>6</v>
      </c>
      <c r="O158" t="s" s="96">
        <v>7</v>
      </c>
      <c r="P158" t="s" s="96">
        <v>8</v>
      </c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</row>
    <row r="159" ht="15.35" customHeight="1">
      <c r="A159" s="16"/>
      <c r="B159" s="16"/>
      <c r="C159" s="16"/>
      <c r="D159" s="16"/>
      <c r="E159" s="16"/>
      <c r="F159" s="16"/>
      <c r="G159" t="s" s="96">
        <v>904</v>
      </c>
      <c r="H159" t="s" s="96">
        <v>905</v>
      </c>
      <c r="I159" t="s" s="96">
        <v>218</v>
      </c>
      <c r="J159" t="s" s="96">
        <v>31</v>
      </c>
      <c r="K159" t="s" s="96">
        <v>37</v>
      </c>
      <c r="L159" s="79">
        <v>1864</v>
      </c>
      <c r="M159" s="79">
        <v>57</v>
      </c>
      <c r="N159" t="s" s="96">
        <v>908</v>
      </c>
      <c r="O159" t="s" s="96">
        <v>906</v>
      </c>
      <c r="P159" t="s" s="96">
        <v>907</v>
      </c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</row>
    <row r="160" ht="15.35" customHeight="1">
      <c r="A160" s="16"/>
      <c r="B160" s="16"/>
      <c r="C160" s="16"/>
      <c r="D160" s="16"/>
      <c r="E160" s="16"/>
      <c r="F160" s="16"/>
      <c r="G160" s="16"/>
      <c r="H160" t="s" s="96">
        <v>71</v>
      </c>
      <c r="I160" t="s" s="96">
        <v>218</v>
      </c>
      <c r="J160" t="s" s="96">
        <v>72</v>
      </c>
      <c r="K160" t="s" s="96">
        <v>12</v>
      </c>
      <c r="L160" s="79">
        <v>1863</v>
      </c>
      <c r="M160" s="79">
        <v>58</v>
      </c>
      <c r="N160" t="s" s="96">
        <v>910</v>
      </c>
      <c r="O160" t="s" s="96">
        <v>72</v>
      </c>
      <c r="P160" t="s" s="96">
        <v>909</v>
      </c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</row>
    <row r="161" ht="15.35" customHeight="1">
      <c r="A161" s="16"/>
      <c r="B161" s="16"/>
      <c r="C161" s="16"/>
      <c r="D161" s="16"/>
      <c r="E161" s="16"/>
      <c r="F161" s="16"/>
      <c r="G161" s="16"/>
      <c r="H161" t="s" s="96">
        <v>911</v>
      </c>
      <c r="I161" t="s" s="96">
        <v>218</v>
      </c>
      <c r="J161" t="s" s="96">
        <v>41</v>
      </c>
      <c r="K161" t="s" s="96">
        <v>37</v>
      </c>
      <c r="L161" s="79">
        <v>1890</v>
      </c>
      <c r="M161" s="79">
        <v>30</v>
      </c>
      <c r="N161" t="s" s="96">
        <v>13</v>
      </c>
      <c r="O161" t="s" s="96">
        <v>912</v>
      </c>
      <c r="P161" t="s" s="96">
        <v>913</v>
      </c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</row>
    <row r="162" ht="15.35" customHeight="1">
      <c r="A162" s="16"/>
      <c r="B162" s="16"/>
      <c r="C162" s="16"/>
      <c r="D162" s="16"/>
      <c r="E162" s="16"/>
      <c r="F162" s="16"/>
      <c r="G162" s="16"/>
      <c r="H162" t="s" s="96">
        <v>914</v>
      </c>
      <c r="I162" t="s" s="96">
        <v>218</v>
      </c>
      <c r="J162" t="s" s="96">
        <v>41</v>
      </c>
      <c r="K162" t="s" s="96">
        <v>12</v>
      </c>
      <c r="L162" s="79">
        <v>1893</v>
      </c>
      <c r="M162" s="79">
        <v>28</v>
      </c>
      <c r="N162" t="s" s="96">
        <v>915</v>
      </c>
      <c r="O162" t="s" s="96">
        <v>72</v>
      </c>
      <c r="P162" t="s" s="96">
        <v>909</v>
      </c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</row>
    <row r="163" ht="15.35" customHeight="1">
      <c r="A163" s="16"/>
      <c r="B163" s="16"/>
      <c r="C163" s="16"/>
      <c r="D163" s="16"/>
      <c r="E163" s="16"/>
      <c r="F163" s="16"/>
      <c r="G163" s="16"/>
      <c r="H163" t="s" s="96">
        <v>360</v>
      </c>
      <c r="I163" t="s" s="96">
        <v>916</v>
      </c>
      <c r="J163" t="s" s="96">
        <v>65</v>
      </c>
      <c r="K163" t="s" s="96">
        <v>12</v>
      </c>
      <c r="L163" s="79">
        <v>1873</v>
      </c>
      <c r="M163" s="79">
        <v>47</v>
      </c>
      <c r="N163" t="s" s="96">
        <v>13</v>
      </c>
      <c r="O163" t="s" s="96">
        <v>917</v>
      </c>
      <c r="P163" t="s" s="96">
        <v>918</v>
      </c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</row>
    <row r="164" ht="15.35" customHeight="1">
      <c r="A164" s="16"/>
      <c r="B164" s="16"/>
      <c r="C164" s="16"/>
      <c r="D164" s="16"/>
      <c r="E164" s="16"/>
      <c r="F164" s="16"/>
      <c r="G164" s="16"/>
      <c r="H164" t="s" s="96">
        <v>199</v>
      </c>
      <c r="I164" t="s" s="96">
        <v>919</v>
      </c>
      <c r="J164" t="s" s="96">
        <v>65</v>
      </c>
      <c r="K164" t="s" s="96">
        <v>12</v>
      </c>
      <c r="L164" s="79">
        <v>1874</v>
      </c>
      <c r="M164" s="79">
        <v>46</v>
      </c>
      <c r="N164" t="s" s="96">
        <v>922</v>
      </c>
      <c r="O164" t="s" s="96">
        <v>920</v>
      </c>
      <c r="P164" t="s" s="96">
        <v>921</v>
      </c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</row>
    <row r="165" ht="15.3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</row>
    <row r="166" ht="15.35" customHeight="1">
      <c r="A166" s="16"/>
      <c r="B166" s="16"/>
      <c r="C166" s="16"/>
      <c r="D166" s="16"/>
      <c r="E166" s="16"/>
      <c r="F166" s="16"/>
      <c r="G166" s="16"/>
      <c r="H166" t="s" s="96">
        <v>0</v>
      </c>
      <c r="I166" t="s" s="96">
        <v>1</v>
      </c>
      <c r="J166" t="s" s="96">
        <v>2</v>
      </c>
      <c r="K166" t="s" s="96">
        <v>3</v>
      </c>
      <c r="L166" t="s" s="96">
        <v>4</v>
      </c>
      <c r="M166" t="s" s="96">
        <v>5</v>
      </c>
      <c r="N166" t="s" s="96">
        <v>6</v>
      </c>
      <c r="O166" t="s" s="96">
        <v>7</v>
      </c>
      <c r="P166" t="s" s="96">
        <v>8</v>
      </c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</row>
    <row r="167" ht="15.35" customHeight="1">
      <c r="A167" s="16"/>
      <c r="B167" s="16"/>
      <c r="C167" s="16"/>
      <c r="D167" s="16"/>
      <c r="E167" s="16"/>
      <c r="F167" s="16"/>
      <c r="G167" s="79">
        <v>5</v>
      </c>
      <c r="H167" t="s" s="96">
        <v>923</v>
      </c>
      <c r="I167" t="s" s="96">
        <v>243</v>
      </c>
      <c r="J167" t="s" s="96">
        <v>31</v>
      </c>
      <c r="K167" t="s" s="96">
        <v>37</v>
      </c>
      <c r="L167" s="79">
        <v>1869</v>
      </c>
      <c r="M167" s="79">
        <v>52</v>
      </c>
      <c r="N167" t="s" s="96">
        <v>926</v>
      </c>
      <c r="O167" t="s" s="96">
        <v>924</v>
      </c>
      <c r="P167" t="s" s="96">
        <v>925</v>
      </c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</row>
    <row r="168" ht="15.35" customHeight="1">
      <c r="A168" s="16"/>
      <c r="B168" s="16"/>
      <c r="C168" s="16"/>
      <c r="D168" s="16"/>
      <c r="E168" s="16"/>
      <c r="F168" s="16"/>
      <c r="G168" s="16"/>
      <c r="H168" t="s" s="96">
        <v>927</v>
      </c>
      <c r="I168" t="s" s="96">
        <v>243</v>
      </c>
      <c r="J168" t="s" s="96">
        <v>72</v>
      </c>
      <c r="K168" t="s" s="96">
        <v>12</v>
      </c>
      <c r="L168" s="79">
        <v>1865</v>
      </c>
      <c r="M168" s="79">
        <v>56</v>
      </c>
      <c r="N168" t="s" s="96">
        <v>929</v>
      </c>
      <c r="O168" t="s" s="96">
        <v>928</v>
      </c>
      <c r="P168" t="s" s="96">
        <v>34</v>
      </c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</row>
    <row r="169" ht="15.35" customHeight="1">
      <c r="A169" s="16"/>
      <c r="B169" s="16"/>
      <c r="C169" s="16"/>
      <c r="D169" s="16"/>
      <c r="E169" s="16"/>
      <c r="F169" s="16"/>
      <c r="G169" s="16"/>
      <c r="H169" t="s" s="96">
        <v>930</v>
      </c>
      <c r="I169" t="s" s="96">
        <v>243</v>
      </c>
      <c r="J169" t="s" s="96">
        <v>36</v>
      </c>
      <c r="K169" t="s" s="96">
        <v>37</v>
      </c>
      <c r="L169" s="79">
        <v>1901</v>
      </c>
      <c r="M169" s="79">
        <v>19</v>
      </c>
      <c r="N169" t="s" s="96">
        <v>926</v>
      </c>
      <c r="O169" t="s" s="96">
        <v>931</v>
      </c>
      <c r="P169" t="s" s="96">
        <v>932</v>
      </c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</row>
    <row r="170" ht="15.35" customHeight="1">
      <c r="A170" s="16"/>
      <c r="B170" s="16"/>
      <c r="C170" s="16"/>
      <c r="D170" s="16"/>
      <c r="E170" s="16"/>
      <c r="F170" s="16"/>
      <c r="G170" s="16"/>
      <c r="H170" t="s" s="96">
        <v>934</v>
      </c>
      <c r="I170" t="s" s="96">
        <v>933</v>
      </c>
      <c r="J170" t="s" s="96">
        <v>11</v>
      </c>
      <c r="K170" t="s" s="96">
        <v>12</v>
      </c>
      <c r="L170" s="79">
        <v>1899</v>
      </c>
      <c r="M170" s="79">
        <v>21</v>
      </c>
      <c r="N170" t="s" s="96">
        <v>785</v>
      </c>
      <c r="O170" t="s" s="96">
        <v>105</v>
      </c>
      <c r="P170" t="s" s="96">
        <v>935</v>
      </c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</row>
    <row r="171" ht="15.35" customHeight="1">
      <c r="A171" s="16"/>
      <c r="B171" s="16"/>
      <c r="C171" s="16"/>
      <c r="D171" s="16"/>
      <c r="E171" s="16"/>
      <c r="F171" s="16"/>
      <c r="G171" s="16"/>
      <c r="H171" t="s" s="96">
        <v>937</v>
      </c>
      <c r="I171" t="s" s="96">
        <v>936</v>
      </c>
      <c r="J171" t="s" s="96">
        <v>41</v>
      </c>
      <c r="K171" t="s" s="96">
        <v>12</v>
      </c>
      <c r="L171" s="79">
        <v>1902</v>
      </c>
      <c r="M171" s="79">
        <v>19</v>
      </c>
      <c r="N171" t="s" s="96">
        <v>165</v>
      </c>
      <c r="O171" t="s" s="96">
        <v>33</v>
      </c>
      <c r="P171" t="s" s="96">
        <v>15</v>
      </c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</row>
    <row r="172" ht="15.3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</row>
    <row r="173" ht="15.35" customHeight="1">
      <c r="A173" s="16"/>
      <c r="B173" s="16"/>
      <c r="C173" s="16"/>
      <c r="D173" s="16"/>
      <c r="E173" s="16"/>
      <c r="F173" s="16"/>
      <c r="G173" s="16"/>
      <c r="H173" t="s" s="96">
        <v>0</v>
      </c>
      <c r="I173" t="s" s="96">
        <v>1</v>
      </c>
      <c r="J173" t="s" s="96">
        <v>2</v>
      </c>
      <c r="K173" t="s" s="96">
        <v>3</v>
      </c>
      <c r="L173" t="s" s="96">
        <v>4</v>
      </c>
      <c r="M173" t="s" s="96">
        <v>5</v>
      </c>
      <c r="N173" t="s" s="96">
        <v>6</v>
      </c>
      <c r="O173" t="s" s="96">
        <v>7</v>
      </c>
      <c r="P173" t="s" s="96">
        <v>8</v>
      </c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</row>
    <row r="174" ht="15.35" customHeight="1">
      <c r="A174" s="16"/>
      <c r="B174" s="16"/>
      <c r="C174" s="16"/>
      <c r="D174" s="16"/>
      <c r="E174" s="16"/>
      <c r="F174" s="16"/>
      <c r="G174" s="79">
        <v>6</v>
      </c>
      <c r="H174" t="s" s="96">
        <v>939</v>
      </c>
      <c r="I174" t="s" s="96">
        <v>938</v>
      </c>
      <c r="J174" t="s" s="96">
        <v>31</v>
      </c>
      <c r="K174" t="s" s="96">
        <v>12</v>
      </c>
      <c r="L174" s="79">
        <v>1850</v>
      </c>
      <c r="M174" s="79">
        <v>70</v>
      </c>
      <c r="N174" t="s" s="96">
        <v>54</v>
      </c>
      <c r="O174" t="s" s="96">
        <v>34</v>
      </c>
      <c r="P174" t="s" s="96">
        <v>34</v>
      </c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</row>
    <row r="175" ht="15.35" customHeight="1">
      <c r="A175" s="16"/>
      <c r="B175" s="16"/>
      <c r="C175" s="16"/>
      <c r="D175" s="16"/>
      <c r="E175" s="16"/>
      <c r="F175" s="16"/>
      <c r="G175" s="16"/>
      <c r="H175" t="s" s="96">
        <v>106</v>
      </c>
      <c r="I175" t="s" s="96">
        <v>940</v>
      </c>
      <c r="J175" t="s" s="96">
        <v>11</v>
      </c>
      <c r="K175" t="s" s="96">
        <v>12</v>
      </c>
      <c r="L175" s="79">
        <v>1901</v>
      </c>
      <c r="M175" s="79">
        <v>20</v>
      </c>
      <c r="N175" t="s" s="96">
        <v>54</v>
      </c>
      <c r="O175" t="s" s="96">
        <v>105</v>
      </c>
      <c r="P175" t="s" s="96">
        <v>15</v>
      </c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9.xml><?xml version="1.0" encoding="utf-8"?>
<worksheet xmlns:r="http://schemas.openxmlformats.org/officeDocument/2006/relationships" xmlns="http://schemas.openxmlformats.org/spreadsheetml/2006/main">
  <dimension ref="A1:BC75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188" customWidth="1"/>
    <col min="4" max="4" width="17.8516" style="188" customWidth="1"/>
    <col min="5" max="5" width="20.1719" style="188" customWidth="1"/>
    <col min="6" max="6" width="11.8516" style="188" customWidth="1"/>
    <col min="7" max="7" width="10.8516" style="188" customWidth="1"/>
    <col min="8" max="8" width="19.3516" style="188" customWidth="1"/>
    <col min="9" max="10" width="10.8516" style="188" customWidth="1"/>
    <col min="11" max="11" width="19.1719" style="188" customWidth="1"/>
    <col min="12" max="12" width="7.85156" style="188" customWidth="1"/>
    <col min="13" max="13" width="10" style="188" customWidth="1"/>
    <col min="14" max="14" width="8.67188" style="188" customWidth="1"/>
    <col min="15" max="15" width="18.5" style="188" customWidth="1"/>
    <col min="16" max="16" width="11.5" style="188" customWidth="1"/>
    <col min="17" max="17" width="11.6719" style="188" customWidth="1"/>
    <col min="18" max="18" width="12.3516" style="188" customWidth="1"/>
    <col min="19" max="19" width="10.8516" style="188" customWidth="1"/>
    <col min="20" max="20" width="15.1719" style="188" customWidth="1"/>
    <col min="21" max="23" width="10.8516" style="188" customWidth="1"/>
    <col min="24" max="24" width="31" style="188" customWidth="1"/>
    <col min="25" max="25" width="19.8516" style="188" customWidth="1"/>
    <col min="26" max="26" width="12.1719" style="188" customWidth="1"/>
    <col min="27" max="30" width="16.5" style="188" customWidth="1"/>
    <col min="31" max="31" width="14.6719" style="188" customWidth="1"/>
    <col min="32" max="32" width="10.8516" style="188" customWidth="1"/>
    <col min="33" max="33" width="11" style="188" customWidth="1"/>
    <col min="34" max="34" width="11.1719" style="188" customWidth="1"/>
    <col min="35" max="35" width="7.85156" style="188" customWidth="1"/>
    <col min="36" max="37" width="10.8516" style="188" customWidth="1"/>
    <col min="38" max="38" width="7.35156" style="188" customWidth="1"/>
    <col min="39" max="39" width="10.8516" style="188" customWidth="1"/>
    <col min="40" max="40" width="9.17188" style="188" customWidth="1"/>
    <col min="41" max="41" width="10.8516" style="188" customWidth="1"/>
    <col min="42" max="42" width="12.5" style="188" customWidth="1"/>
    <col min="43" max="43" width="13" style="188" customWidth="1"/>
    <col min="44" max="55" width="10.8516" style="188" customWidth="1"/>
    <col min="56" max="16384" width="10.8516" style="188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189">
        <v>290</v>
      </c>
      <c r="B2" s="107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7.5" customHeight="1">
      <c r="A3" t="s" s="83">
        <v>941</v>
      </c>
      <c r="B3" s="112">
        <v>1921</v>
      </c>
      <c r="C3" s="112">
        <v>1</v>
      </c>
      <c r="D3" t="s" s="83">
        <v>942</v>
      </c>
      <c r="E3" t="s" s="83">
        <v>943</v>
      </c>
      <c r="F3" s="30"/>
      <c r="G3" t="s" s="83">
        <v>944</v>
      </c>
      <c r="H3" t="s" s="83">
        <v>945</v>
      </c>
      <c r="I3" s="113">
        <v>1</v>
      </c>
      <c r="J3" t="s" s="83">
        <v>37</v>
      </c>
      <c r="K3" s="190">
        <v>1</v>
      </c>
      <c r="L3" s="62"/>
      <c r="M3" s="117"/>
      <c r="N3" s="112">
        <v>1</v>
      </c>
      <c r="O3" s="115"/>
      <c r="P3" s="30"/>
      <c r="Q3" s="116"/>
      <c r="R3" s="62"/>
      <c r="S3" s="117"/>
      <c r="T3" s="118">
        <v>56</v>
      </c>
      <c r="U3" s="74"/>
      <c r="V3" s="16"/>
      <c r="W3" s="117"/>
      <c r="X3" s="30"/>
      <c r="Y3" s="30"/>
      <c r="Z3" s="30"/>
      <c r="AA3" t="s" s="119">
        <v>946</v>
      </c>
      <c r="AB3" t="s" s="119">
        <v>8</v>
      </c>
      <c r="AC3" s="112">
        <v>1</v>
      </c>
      <c r="AD3" s="112">
        <v>1</v>
      </c>
      <c r="AE3" s="30"/>
      <c r="AF3" s="118">
        <v>1</v>
      </c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941</v>
      </c>
      <c r="B4" s="112">
        <v>1921</v>
      </c>
      <c r="C4" s="112">
        <v>1</v>
      </c>
      <c r="D4" t="s" s="83">
        <v>942</v>
      </c>
      <c r="E4" s="30"/>
      <c r="F4" s="30"/>
      <c r="G4" t="s" s="83">
        <v>944</v>
      </c>
      <c r="H4" t="s" s="83">
        <v>947</v>
      </c>
      <c r="I4" s="120">
        <v>2</v>
      </c>
      <c r="J4" s="112">
        <v>1</v>
      </c>
      <c r="K4" s="74"/>
      <c r="L4" s="16"/>
      <c r="M4" s="75"/>
      <c r="N4" t="s" s="83">
        <v>72</v>
      </c>
      <c r="O4" s="120">
        <v>1</v>
      </c>
      <c r="P4" s="30"/>
      <c r="Q4" s="74"/>
      <c r="R4" s="16"/>
      <c r="S4" s="75"/>
      <c r="T4" s="112">
        <v>54</v>
      </c>
      <c r="U4" s="74"/>
      <c r="V4" s="16"/>
      <c r="W4" s="75"/>
      <c r="X4" s="30"/>
      <c r="Y4" s="30"/>
      <c r="Z4" s="30"/>
      <c r="AA4" t="s" s="83">
        <v>948</v>
      </c>
      <c r="AB4" t="s" s="83">
        <v>603</v>
      </c>
      <c r="AC4" s="30"/>
      <c r="AD4" s="30"/>
      <c r="AE4" s="30"/>
      <c r="AF4" s="112">
        <v>1</v>
      </c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941</v>
      </c>
      <c r="B5" s="112">
        <v>1921</v>
      </c>
      <c r="C5" s="112">
        <v>1</v>
      </c>
      <c r="D5" t="s" s="83">
        <v>942</v>
      </c>
      <c r="E5" s="30"/>
      <c r="F5" s="30"/>
      <c r="G5" t="s" s="83">
        <v>949</v>
      </c>
      <c r="H5" t="s" s="83">
        <v>950</v>
      </c>
      <c r="I5" s="120">
        <v>3</v>
      </c>
      <c r="J5" s="112">
        <v>1</v>
      </c>
      <c r="K5" s="74"/>
      <c r="L5" s="16"/>
      <c r="M5" s="75"/>
      <c r="N5" t="s" s="83">
        <v>11</v>
      </c>
      <c r="O5" s="122"/>
      <c r="P5" s="30"/>
      <c r="Q5" s="74"/>
      <c r="R5" s="16"/>
      <c r="S5" s="123">
        <v>1</v>
      </c>
      <c r="T5" s="118">
        <v>30</v>
      </c>
      <c r="U5" s="74"/>
      <c r="V5" s="16"/>
      <c r="W5" s="75"/>
      <c r="X5" s="30"/>
      <c r="Y5" s="30"/>
      <c r="Z5" s="30"/>
      <c r="AA5" t="s" s="119">
        <v>45</v>
      </c>
      <c r="AB5" t="s" s="119">
        <v>15</v>
      </c>
      <c r="AC5" s="112">
        <v>1</v>
      </c>
      <c r="AD5" s="30"/>
      <c r="AE5" s="30"/>
      <c r="AF5" t="s" s="119">
        <v>951</v>
      </c>
      <c r="AG5" s="112">
        <v>1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941</v>
      </c>
      <c r="B6" s="112">
        <v>1921</v>
      </c>
      <c r="C6" s="112">
        <v>1</v>
      </c>
      <c r="D6" t="s" s="83">
        <v>942</v>
      </c>
      <c r="E6" s="30"/>
      <c r="F6" s="30"/>
      <c r="G6" t="s" s="83">
        <v>952</v>
      </c>
      <c r="H6" t="s" s="83">
        <v>102</v>
      </c>
      <c r="I6" s="120">
        <v>4</v>
      </c>
      <c r="J6" s="112">
        <v>1</v>
      </c>
      <c r="K6" s="74"/>
      <c r="L6" s="16"/>
      <c r="M6" s="75"/>
      <c r="N6" t="s" s="83">
        <v>11</v>
      </c>
      <c r="O6" s="122"/>
      <c r="P6" s="30"/>
      <c r="Q6" s="74"/>
      <c r="R6" s="16"/>
      <c r="S6" s="123">
        <v>1</v>
      </c>
      <c r="T6" s="118">
        <v>28</v>
      </c>
      <c r="U6" s="74"/>
      <c r="V6" s="16"/>
      <c r="W6" s="75"/>
      <c r="X6" s="30"/>
      <c r="Y6" s="30"/>
      <c r="Z6" s="30"/>
      <c r="AA6" t="s" s="119">
        <v>85</v>
      </c>
      <c r="AB6" t="s" s="119">
        <v>15</v>
      </c>
      <c r="AC6" s="112">
        <v>1</v>
      </c>
      <c r="AD6" s="30"/>
      <c r="AE6" s="30"/>
      <c r="AF6" t="s" s="119">
        <v>208</v>
      </c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941</v>
      </c>
      <c r="B7" s="112">
        <v>1921</v>
      </c>
      <c r="C7" s="112">
        <v>1</v>
      </c>
      <c r="D7" t="s" s="83">
        <v>942</v>
      </c>
      <c r="E7" s="30"/>
      <c r="F7" s="30"/>
      <c r="G7" t="s" s="83">
        <v>953</v>
      </c>
      <c r="H7" t="s" s="83">
        <v>598</v>
      </c>
      <c r="I7" s="120">
        <v>5</v>
      </c>
      <c r="J7" s="112">
        <v>1</v>
      </c>
      <c r="K7" s="74"/>
      <c r="L7" s="16"/>
      <c r="M7" s="75"/>
      <c r="N7" t="s" s="83">
        <v>11</v>
      </c>
      <c r="O7" s="122"/>
      <c r="P7" s="30"/>
      <c r="Q7" s="74"/>
      <c r="R7" s="16"/>
      <c r="S7" s="123">
        <v>1</v>
      </c>
      <c r="T7" s="118">
        <v>40</v>
      </c>
      <c r="U7" s="74"/>
      <c r="V7" s="16"/>
      <c r="W7" s="75"/>
      <c r="X7" s="30"/>
      <c r="Y7" s="30"/>
      <c r="Z7" s="30"/>
      <c r="AA7" t="s" s="119">
        <v>126</v>
      </c>
      <c r="AB7" t="s" s="119">
        <v>15</v>
      </c>
      <c r="AC7" s="112">
        <v>1</v>
      </c>
      <c r="AD7" s="30"/>
      <c r="AE7" s="30"/>
      <c r="AF7" t="s" s="119">
        <v>954</v>
      </c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941</v>
      </c>
      <c r="B8" s="112">
        <v>1921</v>
      </c>
      <c r="C8" s="112">
        <v>1</v>
      </c>
      <c r="D8" t="s" s="83">
        <v>942</v>
      </c>
      <c r="E8" s="30"/>
      <c r="F8" s="30"/>
      <c r="G8" t="s" s="83">
        <v>955</v>
      </c>
      <c r="H8" t="s" s="83">
        <v>956</v>
      </c>
      <c r="I8" s="120">
        <v>6</v>
      </c>
      <c r="J8" s="112">
        <v>1</v>
      </c>
      <c r="K8" s="74"/>
      <c r="L8" s="16"/>
      <c r="M8" s="75"/>
      <c r="N8" t="s" s="83">
        <v>11</v>
      </c>
      <c r="O8" s="122"/>
      <c r="P8" s="30"/>
      <c r="Q8" s="74"/>
      <c r="R8" s="16"/>
      <c r="S8" s="123">
        <v>1</v>
      </c>
      <c r="T8" s="118">
        <v>17</v>
      </c>
      <c r="U8" s="74"/>
      <c r="V8" s="16"/>
      <c r="W8" s="75"/>
      <c r="X8" s="30"/>
      <c r="Y8" s="30"/>
      <c r="Z8" s="30"/>
      <c r="AA8" t="s" s="119">
        <v>89</v>
      </c>
      <c r="AB8" t="s" s="119">
        <v>15</v>
      </c>
      <c r="AC8" s="112">
        <v>1</v>
      </c>
      <c r="AD8" s="30"/>
      <c r="AE8" s="30"/>
      <c r="AF8" t="s" s="119">
        <v>512</v>
      </c>
      <c r="AG8" s="112">
        <v>1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941</v>
      </c>
      <c r="B9" s="112">
        <v>1921</v>
      </c>
      <c r="C9" s="30"/>
      <c r="D9" t="s" s="83">
        <v>942</v>
      </c>
      <c r="E9" s="30"/>
      <c r="F9" s="30"/>
      <c r="G9" s="30"/>
      <c r="H9" s="112">
        <v>6</v>
      </c>
      <c r="I9" s="122"/>
      <c r="J9" s="30"/>
      <c r="K9" s="74"/>
      <c r="L9" s="16"/>
      <c r="M9" s="75"/>
      <c r="N9" s="30"/>
      <c r="O9" s="122"/>
      <c r="P9" s="30"/>
      <c r="Q9" s="74"/>
      <c r="R9" s="16"/>
      <c r="S9" s="75"/>
      <c r="T9" s="121"/>
      <c r="U9" s="74"/>
      <c r="V9" s="16"/>
      <c r="W9" s="75"/>
      <c r="X9" s="30"/>
      <c r="Y9" s="30"/>
      <c r="Z9" s="30"/>
      <c r="AA9" s="121"/>
      <c r="AB9" s="121"/>
      <c r="AC9" s="30"/>
      <c r="AD9" s="30"/>
      <c r="AE9" s="30"/>
      <c r="AF9" s="121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941</v>
      </c>
      <c r="B10" s="112">
        <v>1921</v>
      </c>
      <c r="C10" s="30"/>
      <c r="D10" t="s" s="83">
        <v>942</v>
      </c>
      <c r="E10" s="30"/>
      <c r="F10" s="30"/>
      <c r="G10" t="s" s="83">
        <v>1</v>
      </c>
      <c r="H10" t="s" s="83">
        <v>0</v>
      </c>
      <c r="I10" s="191"/>
      <c r="J10" t="s" s="83">
        <v>3</v>
      </c>
      <c r="K10" s="192"/>
      <c r="L10" s="3"/>
      <c r="M10" s="193"/>
      <c r="N10" t="s" s="83">
        <v>2</v>
      </c>
      <c r="O10" s="191"/>
      <c r="P10" s="30"/>
      <c r="Q10" s="192"/>
      <c r="R10" s="3"/>
      <c r="S10" s="193"/>
      <c r="T10" t="s" s="119">
        <v>5</v>
      </c>
      <c r="U10" s="192"/>
      <c r="V10" s="3"/>
      <c r="W10" s="193"/>
      <c r="X10" s="30"/>
      <c r="Y10" s="30"/>
      <c r="Z10" s="30"/>
      <c r="AA10" t="s" s="119">
        <v>7</v>
      </c>
      <c r="AB10" t="s" s="119">
        <v>8</v>
      </c>
      <c r="AC10" s="30"/>
      <c r="AD10" s="30"/>
      <c r="AE10" s="30"/>
      <c r="AF10" t="s" s="119">
        <v>6</v>
      </c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192"/>
      <c r="BA10" s="3"/>
      <c r="BB10" s="3"/>
      <c r="BC10" s="3"/>
    </row>
    <row r="11" ht="17" customHeight="1">
      <c r="A11" t="s" s="83">
        <v>941</v>
      </c>
      <c r="B11" s="112">
        <v>1921</v>
      </c>
      <c r="C11" s="112">
        <v>2</v>
      </c>
      <c r="D11" t="s" s="83">
        <v>942</v>
      </c>
      <c r="E11" s="30"/>
      <c r="F11" s="30"/>
      <c r="G11" t="s" s="83">
        <v>957</v>
      </c>
      <c r="H11" t="s" s="83">
        <v>958</v>
      </c>
      <c r="I11" s="194">
        <v>7</v>
      </c>
      <c r="J11" s="112">
        <v>1</v>
      </c>
      <c r="K11" s="195"/>
      <c r="L11" s="13"/>
      <c r="M11" s="196"/>
      <c r="N11" t="s" s="83">
        <v>72</v>
      </c>
      <c r="O11" s="194">
        <v>1</v>
      </c>
      <c r="P11" s="30"/>
      <c r="Q11" s="195"/>
      <c r="R11" s="13"/>
      <c r="S11" s="196"/>
      <c r="T11" s="197">
        <v>56</v>
      </c>
      <c r="U11" s="195"/>
      <c r="V11" s="13"/>
      <c r="W11" s="196"/>
      <c r="X11" s="112" cm="1">
        <f t="array" ref="X11">SUM(X3:X10)</f>
        <v>0</v>
      </c>
      <c r="Y11" s="112" cm="1">
        <f t="array" ref="Y11">SUM(Y3:Y10)</f>
        <v>0</v>
      </c>
      <c r="Z11" s="112" cm="1">
        <f t="array" ref="Z11">SUM(Z3:Z10)</f>
        <v>0</v>
      </c>
      <c r="AA11" t="s" s="198">
        <v>34</v>
      </c>
      <c r="AB11" t="s" s="198">
        <v>34</v>
      </c>
      <c r="AC11" s="30"/>
      <c r="AD11" s="30"/>
      <c r="AE11" s="30"/>
      <c r="AF11" s="197">
        <v>1</v>
      </c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195"/>
      <c r="BA11" s="13"/>
      <c r="BB11" s="13"/>
      <c r="BC11" s="10"/>
    </row>
    <row r="12" ht="17.5" customHeight="1">
      <c r="A12" t="s" s="83">
        <v>941</v>
      </c>
      <c r="B12" s="112">
        <v>1921</v>
      </c>
      <c r="C12" s="112">
        <v>2</v>
      </c>
      <c r="D12" t="s" s="83">
        <v>942</v>
      </c>
      <c r="E12" s="30"/>
      <c r="F12" s="30"/>
      <c r="G12" t="s" s="83">
        <v>959</v>
      </c>
      <c r="H12" t="s" s="83">
        <v>406</v>
      </c>
      <c r="I12" s="199">
        <v>8</v>
      </c>
      <c r="J12" s="112">
        <v>1</v>
      </c>
      <c r="K12" s="200"/>
      <c r="L12" s="14"/>
      <c r="M12" s="201"/>
      <c r="N12" t="s" s="83">
        <v>11</v>
      </c>
      <c r="O12" s="202"/>
      <c r="P12" s="30"/>
      <c r="Q12" s="200"/>
      <c r="R12" s="14"/>
      <c r="S12" s="203">
        <v>1</v>
      </c>
      <c r="T12" s="112">
        <v>57</v>
      </c>
      <c r="U12" s="200"/>
      <c r="V12" s="14"/>
      <c r="W12" s="201"/>
      <c r="X12" s="30"/>
      <c r="Y12" s="30"/>
      <c r="Z12" s="30"/>
      <c r="AA12" t="s" s="83">
        <v>45</v>
      </c>
      <c r="AB12" t="s" s="83">
        <v>15</v>
      </c>
      <c r="AC12" s="30"/>
      <c r="AD12" s="30"/>
      <c r="AE12" s="30"/>
      <c r="AF12" t="s" s="83">
        <v>960</v>
      </c>
      <c r="AG12" s="112">
        <v>1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200"/>
      <c r="BA12" s="14"/>
      <c r="BB12" s="14"/>
      <c r="BC12" s="14"/>
    </row>
    <row r="13" ht="17.5" customHeight="1">
      <c r="A13" t="s" s="83">
        <v>941</v>
      </c>
      <c r="B13" s="112">
        <v>1921</v>
      </c>
      <c r="C13" s="112">
        <v>2</v>
      </c>
      <c r="D13" t="s" s="83">
        <v>942</v>
      </c>
      <c r="E13" s="30"/>
      <c r="F13" s="30"/>
      <c r="G13" t="s" s="83">
        <v>961</v>
      </c>
      <c r="H13" t="s" s="83">
        <v>962</v>
      </c>
      <c r="I13" s="120">
        <v>9</v>
      </c>
      <c r="J13" s="112">
        <v>1</v>
      </c>
      <c r="K13" s="74"/>
      <c r="L13" s="16"/>
      <c r="M13" s="75"/>
      <c r="N13" t="s" s="83">
        <v>11</v>
      </c>
      <c r="O13" s="122"/>
      <c r="P13" s="30"/>
      <c r="Q13" s="74"/>
      <c r="R13" s="16"/>
      <c r="S13" s="123">
        <v>1</v>
      </c>
      <c r="T13" s="112">
        <v>30</v>
      </c>
      <c r="U13" s="74"/>
      <c r="V13" s="16"/>
      <c r="W13" s="75"/>
      <c r="X13" s="30"/>
      <c r="Y13" s="30"/>
      <c r="Z13" s="30"/>
      <c r="AA13" t="s" s="83">
        <v>126</v>
      </c>
      <c r="AB13" t="s" s="83">
        <v>15</v>
      </c>
      <c r="AC13" s="112">
        <v>1</v>
      </c>
      <c r="AD13" s="30"/>
      <c r="AE13" s="30"/>
      <c r="AF13" s="112">
        <v>1</v>
      </c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941</v>
      </c>
      <c r="B14" s="112">
        <v>1921</v>
      </c>
      <c r="C14" s="112">
        <v>2</v>
      </c>
      <c r="D14" t="s" s="83">
        <v>942</v>
      </c>
      <c r="E14" s="124"/>
      <c r="F14" s="28"/>
      <c r="G14" t="s" s="83">
        <v>963</v>
      </c>
      <c r="H14" t="s" s="83">
        <v>545</v>
      </c>
      <c r="I14" s="120">
        <v>10</v>
      </c>
      <c r="J14" s="112">
        <v>1</v>
      </c>
      <c r="K14" s="74"/>
      <c r="L14" s="16"/>
      <c r="M14" s="75"/>
      <c r="N14" t="s" s="83">
        <v>11</v>
      </c>
      <c r="O14" s="122"/>
      <c r="P14" s="30"/>
      <c r="Q14" s="74"/>
      <c r="R14" s="16"/>
      <c r="S14" s="123">
        <v>1</v>
      </c>
      <c r="T14" s="112">
        <v>21</v>
      </c>
      <c r="U14" s="74"/>
      <c r="V14" s="16"/>
      <c r="W14" s="75"/>
      <c r="X14" s="28"/>
      <c r="Y14" s="28"/>
      <c r="Z14" s="28"/>
      <c r="AA14" t="s" s="83">
        <v>964</v>
      </c>
      <c r="AB14" t="s" s="83">
        <v>15</v>
      </c>
      <c r="AC14" s="112">
        <v>1</v>
      </c>
      <c r="AD14" s="28"/>
      <c r="AE14" s="30"/>
      <c r="AF14" t="s" s="83">
        <v>134</v>
      </c>
      <c r="AG14" s="112">
        <v>1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28" customHeight="1">
      <c r="A15" t="s" s="83">
        <v>941</v>
      </c>
      <c r="B15" s="112">
        <v>1921</v>
      </c>
      <c r="C15" s="112">
        <v>2</v>
      </c>
      <c r="D15" t="s" s="83">
        <v>942</v>
      </c>
      <c r="E15" s="124"/>
      <c r="F15" s="28"/>
      <c r="G15" t="s" s="83">
        <v>91</v>
      </c>
      <c r="H15" t="s" s="83">
        <v>251</v>
      </c>
      <c r="I15" s="120">
        <v>11</v>
      </c>
      <c r="J15" s="112">
        <v>1</v>
      </c>
      <c r="K15" s="74"/>
      <c r="L15" s="16"/>
      <c r="M15" s="75"/>
      <c r="N15" t="s" s="83">
        <v>11</v>
      </c>
      <c r="O15" s="122"/>
      <c r="P15" s="30"/>
      <c r="Q15" s="74"/>
      <c r="R15" s="16"/>
      <c r="S15" s="123">
        <v>1</v>
      </c>
      <c r="T15" s="112">
        <v>24</v>
      </c>
      <c r="U15" s="74"/>
      <c r="V15" s="16"/>
      <c r="W15" s="75"/>
      <c r="X15" s="28"/>
      <c r="Y15" s="28"/>
      <c r="Z15" s="28"/>
      <c r="AA15" t="s" s="83">
        <v>89</v>
      </c>
      <c r="AB15" t="s" s="83">
        <v>15</v>
      </c>
      <c r="AC15" s="112">
        <v>1</v>
      </c>
      <c r="AD15" s="124"/>
      <c r="AE15" s="30"/>
      <c r="AF15" s="112">
        <v>1</v>
      </c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83">
        <v>941</v>
      </c>
      <c r="B16" s="112">
        <v>1921</v>
      </c>
      <c r="C16" s="112">
        <v>2</v>
      </c>
      <c r="D16" t="s" s="83">
        <v>942</v>
      </c>
      <c r="E16" s="30"/>
      <c r="F16" s="30"/>
      <c r="G16" t="s" s="83">
        <v>965</v>
      </c>
      <c r="H16" t="s" s="83">
        <v>966</v>
      </c>
      <c r="I16" s="111">
        <v>12</v>
      </c>
      <c r="J16" s="112">
        <v>1</v>
      </c>
      <c r="K16" s="131"/>
      <c r="L16" s="132"/>
      <c r="M16" s="133"/>
      <c r="N16" t="s" s="83">
        <v>11</v>
      </c>
      <c r="O16" s="141"/>
      <c r="P16" s="30"/>
      <c r="Q16" s="131"/>
      <c r="R16" s="132"/>
      <c r="S16" s="142">
        <v>1</v>
      </c>
      <c r="T16" s="112">
        <v>17</v>
      </c>
      <c r="U16" s="131"/>
      <c r="V16" s="132"/>
      <c r="W16" s="133"/>
      <c r="X16" s="30"/>
      <c r="Y16" s="30"/>
      <c r="Z16" s="30"/>
      <c r="AA16" t="s" s="83">
        <v>475</v>
      </c>
      <c r="AB16" t="s" s="83">
        <v>15</v>
      </c>
      <c r="AC16" s="112">
        <v>1</v>
      </c>
      <c r="AD16" s="30"/>
      <c r="AE16" s="30"/>
      <c r="AF16" s="112">
        <v>1</v>
      </c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s="30"/>
      <c r="B17" s="30"/>
      <c r="C17" s="30"/>
      <c r="D17" s="30"/>
      <c r="E17" s="30"/>
      <c r="F17" s="30"/>
      <c r="G17" s="30"/>
      <c r="H17" s="112">
        <v>6</v>
      </c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941</v>
      </c>
      <c r="B18" s="112">
        <v>1921</v>
      </c>
      <c r="C18" s="30"/>
      <c r="D18" t="s" s="83">
        <v>967</v>
      </c>
      <c r="E18" s="30"/>
      <c r="F18" s="29"/>
      <c r="G18" t="s" s="27">
        <v>1</v>
      </c>
      <c r="H18" t="s" s="27">
        <v>0</v>
      </c>
      <c r="I18" s="115"/>
      <c r="J18" t="s" s="27">
        <v>3</v>
      </c>
      <c r="K18" s="116"/>
      <c r="L18" s="62"/>
      <c r="M18" s="117"/>
      <c r="N18" t="s" s="27">
        <v>2</v>
      </c>
      <c r="O18" s="115"/>
      <c r="P18" s="29"/>
      <c r="Q18" s="116"/>
      <c r="R18" s="62"/>
      <c r="S18" s="117"/>
      <c r="T18" t="s" s="27">
        <v>5</v>
      </c>
      <c r="U18" s="116"/>
      <c r="V18" s="62"/>
      <c r="W18" s="117"/>
      <c r="X18" s="30"/>
      <c r="Y18" s="30"/>
      <c r="Z18" s="30"/>
      <c r="AA18" t="s" s="27">
        <v>7</v>
      </c>
      <c r="AB18" t="s" s="27">
        <v>8</v>
      </c>
      <c r="AC18" s="30"/>
      <c r="AD18" s="30"/>
      <c r="AE18" s="30"/>
      <c r="AF18" t="s" s="27">
        <v>6</v>
      </c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941</v>
      </c>
      <c r="B19" s="112">
        <v>1921</v>
      </c>
      <c r="C19" s="112">
        <v>3</v>
      </c>
      <c r="D19" t="s" s="83">
        <v>967</v>
      </c>
      <c r="E19" t="s" s="83">
        <v>968</v>
      </c>
      <c r="F19" s="30"/>
      <c r="G19" t="s" s="83">
        <v>969</v>
      </c>
      <c r="H19" t="s" s="83">
        <v>970</v>
      </c>
      <c r="I19" s="120">
        <v>13</v>
      </c>
      <c r="J19" t="s" s="83">
        <v>37</v>
      </c>
      <c r="K19" s="156">
        <v>1</v>
      </c>
      <c r="L19" s="16"/>
      <c r="M19" s="75"/>
      <c r="N19" s="112">
        <v>1</v>
      </c>
      <c r="O19" s="122"/>
      <c r="P19" s="30"/>
      <c r="Q19" s="74"/>
      <c r="R19" s="16"/>
      <c r="S19" s="75"/>
      <c r="T19" s="118">
        <v>37</v>
      </c>
      <c r="U19" s="74"/>
      <c r="V19" s="16"/>
      <c r="W19" s="75"/>
      <c r="X19" s="30"/>
      <c r="Y19" s="30"/>
      <c r="Z19" s="30"/>
      <c r="AA19" t="s" s="119">
        <v>94</v>
      </c>
      <c r="AB19" t="s" s="119">
        <v>34</v>
      </c>
      <c r="AC19" s="30"/>
      <c r="AD19" s="30"/>
      <c r="AE19" s="30"/>
      <c r="AF19" t="s" s="119">
        <v>971</v>
      </c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941</v>
      </c>
      <c r="B20" s="112">
        <v>1921</v>
      </c>
      <c r="C20" s="112">
        <v>3</v>
      </c>
      <c r="D20" t="s" s="83">
        <v>967</v>
      </c>
      <c r="E20" s="30"/>
      <c r="F20" s="30"/>
      <c r="G20" t="s" s="83">
        <v>972</v>
      </c>
      <c r="H20" t="s" s="83">
        <v>259</v>
      </c>
      <c r="I20" s="120">
        <v>14</v>
      </c>
      <c r="J20" s="112">
        <v>1</v>
      </c>
      <c r="K20" s="74"/>
      <c r="L20" s="16"/>
      <c r="M20" s="75"/>
      <c r="N20" t="s" s="83">
        <v>72</v>
      </c>
      <c r="O20" s="120">
        <v>1</v>
      </c>
      <c r="P20" s="30"/>
      <c r="Q20" s="74"/>
      <c r="R20" s="16"/>
      <c r="S20" s="75"/>
      <c r="T20" s="118">
        <v>36</v>
      </c>
      <c r="U20" s="74"/>
      <c r="V20" s="16"/>
      <c r="W20" s="75"/>
      <c r="X20" s="30"/>
      <c r="Y20" s="30"/>
      <c r="Z20" s="30"/>
      <c r="AA20" t="s" s="119">
        <v>33</v>
      </c>
      <c r="AB20" t="s" s="119">
        <v>34</v>
      </c>
      <c r="AC20" s="30"/>
      <c r="AD20" s="30"/>
      <c r="AE20" s="30"/>
      <c r="AF20" s="118">
        <v>1</v>
      </c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941</v>
      </c>
      <c r="B21" s="112">
        <v>1921</v>
      </c>
      <c r="C21" s="112">
        <v>3</v>
      </c>
      <c r="D21" t="s" s="83">
        <v>967</v>
      </c>
      <c r="E21" s="30"/>
      <c r="F21" s="30"/>
      <c r="G21" t="s" s="83">
        <v>972</v>
      </c>
      <c r="H21" t="s" s="83">
        <v>973</v>
      </c>
      <c r="I21" s="120">
        <v>15</v>
      </c>
      <c r="J21" t="s" s="83">
        <v>37</v>
      </c>
      <c r="K21" s="74"/>
      <c r="L21" s="16"/>
      <c r="M21" s="123">
        <v>1</v>
      </c>
      <c r="N21" t="s" s="83">
        <v>36</v>
      </c>
      <c r="O21" s="122"/>
      <c r="P21" s="30"/>
      <c r="Q21" s="156">
        <v>1</v>
      </c>
      <c r="R21" s="16"/>
      <c r="S21" s="75"/>
      <c r="T21" s="118">
        <v>3</v>
      </c>
      <c r="U21" s="74"/>
      <c r="V21" s="16"/>
      <c r="W21" s="75"/>
      <c r="X21" s="30"/>
      <c r="Y21" s="30"/>
      <c r="Z21" s="30"/>
      <c r="AA21" t="s" s="119">
        <v>34</v>
      </c>
      <c r="AB21" t="s" s="119">
        <v>34</v>
      </c>
      <c r="AC21" s="30"/>
      <c r="AD21" s="30"/>
      <c r="AE21" s="30"/>
      <c r="AF21" s="118">
        <v>1</v>
      </c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" customHeight="1">
      <c r="A22" t="s" s="83">
        <v>941</v>
      </c>
      <c r="B22" s="112">
        <v>1921</v>
      </c>
      <c r="C22" s="112">
        <v>3</v>
      </c>
      <c r="D22" t="s" s="83">
        <v>967</v>
      </c>
      <c r="E22" s="30"/>
      <c r="F22" s="30"/>
      <c r="G22" t="s" s="83">
        <v>972</v>
      </c>
      <c r="H22" t="s" s="83">
        <v>974</v>
      </c>
      <c r="I22" s="120">
        <v>16</v>
      </c>
      <c r="J22" s="30"/>
      <c r="K22" s="74"/>
      <c r="L22" s="79">
        <v>1</v>
      </c>
      <c r="M22" s="75"/>
      <c r="N22" t="s" s="83">
        <v>78</v>
      </c>
      <c r="O22" s="122"/>
      <c r="P22" s="112">
        <v>1</v>
      </c>
      <c r="Q22" s="74"/>
      <c r="R22" s="16"/>
      <c r="S22" s="75"/>
      <c r="T22" s="118">
        <v>1</v>
      </c>
      <c r="U22" s="74"/>
      <c r="V22" s="16"/>
      <c r="W22" s="75"/>
      <c r="X22" s="30"/>
      <c r="Y22" s="30"/>
      <c r="Z22" s="30"/>
      <c r="AA22" t="s" s="119">
        <v>34</v>
      </c>
      <c r="AB22" t="s" s="119">
        <v>34</v>
      </c>
      <c r="AC22" s="30"/>
      <c r="AD22" s="30"/>
      <c r="AE22" s="30"/>
      <c r="AF22" s="118">
        <v>1</v>
      </c>
      <c r="AG22" s="30"/>
      <c r="AH22" s="116"/>
      <c r="AI22" s="62"/>
      <c r="AJ22" s="62"/>
      <c r="AK22" s="62"/>
      <c r="AL22" s="62"/>
      <c r="AM22" s="62"/>
      <c r="AN22" s="62"/>
      <c r="AO22" s="62"/>
      <c r="AP22" s="62"/>
      <c r="AQ22" s="62"/>
      <c r="AR22" s="62"/>
      <c r="AS22" s="62"/>
      <c r="AT22" s="62"/>
      <c r="AU22" s="62"/>
      <c r="AV22" s="62"/>
      <c r="AW22" s="62"/>
      <c r="AX22" s="62"/>
      <c r="AY22" s="62"/>
      <c r="AZ22" s="16"/>
      <c r="BA22" s="16"/>
      <c r="BB22" s="16"/>
      <c r="BC22" s="16"/>
    </row>
    <row r="23" ht="34" customHeight="1">
      <c r="A23" t="s" s="83">
        <v>941</v>
      </c>
      <c r="B23" s="112">
        <v>1921</v>
      </c>
      <c r="C23" s="112">
        <v>3</v>
      </c>
      <c r="D23" t="s" s="83">
        <v>967</v>
      </c>
      <c r="E23" t="s" s="27">
        <v>968</v>
      </c>
      <c r="F23" s="30"/>
      <c r="G23" t="s" s="83">
        <v>224</v>
      </c>
      <c r="H23" t="s" s="83">
        <v>975</v>
      </c>
      <c r="I23" s="120">
        <v>17</v>
      </c>
      <c r="J23" s="112">
        <v>1</v>
      </c>
      <c r="K23" s="74"/>
      <c r="L23" s="16"/>
      <c r="M23" s="75"/>
      <c r="N23" t="s" s="83">
        <v>11</v>
      </c>
      <c r="O23" s="122"/>
      <c r="P23" s="30"/>
      <c r="Q23" s="74"/>
      <c r="R23" s="16"/>
      <c r="S23" s="123">
        <v>1</v>
      </c>
      <c r="T23" s="118">
        <v>70</v>
      </c>
      <c r="U23" s="74"/>
      <c r="V23" s="16"/>
      <c r="W23" s="75"/>
      <c r="X23" s="30"/>
      <c r="Y23" s="30"/>
      <c r="Z23" s="30"/>
      <c r="AA23" t="s" s="119">
        <v>163</v>
      </c>
      <c r="AB23" t="s" s="119">
        <v>15</v>
      </c>
      <c r="AC23" s="112">
        <v>1</v>
      </c>
      <c r="AD23" s="30"/>
      <c r="AE23" s="30"/>
      <c r="AF23" s="118">
        <v>1</v>
      </c>
      <c r="AG23" s="30"/>
      <c r="AH23" s="74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</row>
    <row r="24" ht="51" customHeight="1">
      <c r="A24" t="s" s="83">
        <v>941</v>
      </c>
      <c r="B24" s="112">
        <v>1921</v>
      </c>
      <c r="C24" s="112">
        <v>3</v>
      </c>
      <c r="D24" t="s" s="83">
        <v>967</v>
      </c>
      <c r="E24" s="30"/>
      <c r="F24" s="30"/>
      <c r="G24" t="s" s="83">
        <v>976</v>
      </c>
      <c r="H24" t="s" s="83">
        <v>251</v>
      </c>
      <c r="I24" s="120">
        <v>18</v>
      </c>
      <c r="J24" s="112">
        <v>1</v>
      </c>
      <c r="K24" s="74"/>
      <c r="L24" s="16"/>
      <c r="M24" s="75"/>
      <c r="N24" t="s" s="83">
        <v>11</v>
      </c>
      <c r="O24" s="122"/>
      <c r="P24" s="30"/>
      <c r="Q24" s="74"/>
      <c r="R24" s="16"/>
      <c r="S24" s="123">
        <v>1</v>
      </c>
      <c r="T24" s="118">
        <v>53</v>
      </c>
      <c r="U24" s="74"/>
      <c r="V24" s="16"/>
      <c r="W24" s="75"/>
      <c r="X24" s="30"/>
      <c r="Y24" s="30"/>
      <c r="Z24" s="30"/>
      <c r="AA24" t="s" s="119">
        <v>45</v>
      </c>
      <c r="AB24" t="s" s="119">
        <v>15</v>
      </c>
      <c r="AC24" s="112">
        <v>1</v>
      </c>
      <c r="AD24" s="30"/>
      <c r="AE24" s="30"/>
      <c r="AF24" t="s" s="119">
        <v>977</v>
      </c>
      <c r="AG24" s="30"/>
      <c r="AH24" s="74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</row>
    <row r="25" ht="34" customHeight="1">
      <c r="A25" t="s" s="83">
        <v>941</v>
      </c>
      <c r="B25" s="112">
        <v>1921</v>
      </c>
      <c r="C25" s="112">
        <v>3</v>
      </c>
      <c r="D25" t="s" s="83">
        <v>967</v>
      </c>
      <c r="E25" s="30"/>
      <c r="F25" s="30"/>
      <c r="G25" t="s" s="83">
        <v>978</v>
      </c>
      <c r="H25" t="s" s="83">
        <v>979</v>
      </c>
      <c r="I25" s="120">
        <v>19</v>
      </c>
      <c r="J25" s="112">
        <v>1</v>
      </c>
      <c r="K25" s="74"/>
      <c r="L25" s="16"/>
      <c r="M25" s="75"/>
      <c r="N25" t="s" s="83">
        <v>11</v>
      </c>
      <c r="O25" s="122"/>
      <c r="P25" s="30"/>
      <c r="Q25" s="74"/>
      <c r="R25" s="16"/>
      <c r="S25" s="123">
        <v>1</v>
      </c>
      <c r="T25" s="118">
        <v>28</v>
      </c>
      <c r="U25" s="74"/>
      <c r="V25" s="16"/>
      <c r="W25" s="75"/>
      <c r="X25" s="30"/>
      <c r="Y25" s="30"/>
      <c r="Z25" s="30"/>
      <c r="AA25" t="s" s="119">
        <v>105</v>
      </c>
      <c r="AB25" t="s" s="119">
        <v>15</v>
      </c>
      <c r="AC25" s="112">
        <v>1</v>
      </c>
      <c r="AD25" s="30"/>
      <c r="AE25" s="30"/>
      <c r="AF25" s="118">
        <v>1</v>
      </c>
      <c r="AG25" s="30"/>
      <c r="AH25" s="74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</row>
    <row r="26" ht="51" customHeight="1">
      <c r="A26" t="s" s="83">
        <v>941</v>
      </c>
      <c r="B26" s="112">
        <v>1921</v>
      </c>
      <c r="C26" s="112">
        <v>3</v>
      </c>
      <c r="D26" t="s" s="83">
        <v>967</v>
      </c>
      <c r="E26" s="30"/>
      <c r="F26" s="30"/>
      <c r="G26" t="s" s="83">
        <v>980</v>
      </c>
      <c r="H26" t="s" s="83">
        <v>815</v>
      </c>
      <c r="I26" s="120">
        <v>20</v>
      </c>
      <c r="J26" s="112">
        <v>1</v>
      </c>
      <c r="K26" s="74"/>
      <c r="L26" s="16"/>
      <c r="M26" s="75"/>
      <c r="N26" t="s" s="83">
        <v>11</v>
      </c>
      <c r="O26" s="122"/>
      <c r="P26" s="30"/>
      <c r="Q26" s="74"/>
      <c r="R26" s="16"/>
      <c r="S26" s="123">
        <v>1</v>
      </c>
      <c r="T26" s="118">
        <v>53</v>
      </c>
      <c r="U26" s="74"/>
      <c r="V26" s="16"/>
      <c r="W26" s="75"/>
      <c r="X26" s="30"/>
      <c r="Y26" s="30"/>
      <c r="Z26" s="30"/>
      <c r="AA26" t="s" s="119">
        <v>816</v>
      </c>
      <c r="AB26" t="s" s="119">
        <v>15</v>
      </c>
      <c r="AC26" s="112">
        <v>1</v>
      </c>
      <c r="AD26" s="30"/>
      <c r="AE26" s="30"/>
      <c r="AF26" t="s" s="119">
        <v>981</v>
      </c>
      <c r="AG26" s="30"/>
      <c r="AH26" s="74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</row>
    <row r="27" ht="15.35" customHeight="1">
      <c r="A27" t="s" s="83">
        <v>941</v>
      </c>
      <c r="B27" s="112">
        <v>1921</v>
      </c>
      <c r="C27" s="112">
        <v>3</v>
      </c>
      <c r="D27" t="s" s="83">
        <v>967</v>
      </c>
      <c r="E27" s="30"/>
      <c r="F27" s="30"/>
      <c r="G27" t="s" s="83">
        <v>982</v>
      </c>
      <c r="H27" t="s" s="83">
        <v>983</v>
      </c>
      <c r="I27" s="120">
        <v>21</v>
      </c>
      <c r="J27" s="112">
        <v>1</v>
      </c>
      <c r="K27" s="74"/>
      <c r="L27" s="16"/>
      <c r="M27" s="75"/>
      <c r="N27" t="s" s="83">
        <v>11</v>
      </c>
      <c r="O27" s="122"/>
      <c r="P27" s="30"/>
      <c r="Q27" s="74"/>
      <c r="R27" s="16"/>
      <c r="S27" s="123">
        <v>1</v>
      </c>
      <c r="T27" s="112">
        <v>18</v>
      </c>
      <c r="U27" s="74"/>
      <c r="V27" s="16"/>
      <c r="W27" s="75"/>
      <c r="X27" s="30"/>
      <c r="Y27" s="30"/>
      <c r="Z27" s="30"/>
      <c r="AA27" t="s" s="83">
        <v>984</v>
      </c>
      <c r="AB27" t="s" s="83">
        <v>15</v>
      </c>
      <c r="AC27" s="112">
        <v>1</v>
      </c>
      <c r="AD27" s="30"/>
      <c r="AE27" s="30"/>
      <c r="AF27" t="s" s="83">
        <v>985</v>
      </c>
      <c r="AG27" s="30"/>
      <c r="AH27" s="74"/>
      <c r="AI27" s="16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</row>
    <row r="28" ht="15.35" customHeight="1">
      <c r="A28" t="s" s="83">
        <v>941</v>
      </c>
      <c r="B28" s="112">
        <v>1921</v>
      </c>
      <c r="C28" s="112">
        <v>3</v>
      </c>
      <c r="D28" t="s" s="83">
        <v>967</v>
      </c>
      <c r="E28" s="116"/>
      <c r="F28" s="62"/>
      <c r="G28" s="62"/>
      <c r="H28" s="97">
        <v>9</v>
      </c>
      <c r="I28" s="79">
        <v>21</v>
      </c>
      <c r="J28" s="97" cm="1">
        <f t="array" ref="J28">SUM(J3:J27)</f>
        <v>17</v>
      </c>
      <c r="K28" s="79" cm="1">
        <f t="array" ref="K28">SUM(K3:K27)</f>
        <v>2</v>
      </c>
      <c r="L28" s="79" cm="1">
        <f t="array" ref="L28">SUM(L3:L27)</f>
        <v>1</v>
      </c>
      <c r="M28" s="79" cm="1">
        <f t="array" ref="M28">SUM(M3:M27)</f>
        <v>1</v>
      </c>
      <c r="N28" s="97" cm="1">
        <f t="array" ref="N28">SUM(N3:N27)</f>
        <v>2</v>
      </c>
      <c r="O28" s="79" cm="1">
        <f t="array" ref="O28">SUM(O3:O27)</f>
        <v>3</v>
      </c>
      <c r="P28" s="97" cm="1">
        <f t="array" ref="P28">SUM(P3:P27)</f>
        <v>1</v>
      </c>
      <c r="Q28" s="79" cm="1">
        <f t="array" ref="Q28">SUM(Q3:Q27)</f>
        <v>1</v>
      </c>
      <c r="R28" s="79" cm="1">
        <f t="array" ref="R28">SUM(R3:R27)</f>
        <v>0</v>
      </c>
      <c r="S28" s="79" cm="1">
        <f t="array" ref="S28">SUM(S3:S27)</f>
        <v>14</v>
      </c>
      <c r="T28" s="97" cm="1">
        <f t="array" ref="T28">SUM(T3:T27)</f>
        <v>729</v>
      </c>
      <c r="U28" s="16"/>
      <c r="V28" s="16"/>
      <c r="W28" s="16"/>
      <c r="X28" s="62"/>
      <c r="Y28" s="62"/>
      <c r="Z28" s="62"/>
      <c r="AA28" s="62"/>
      <c r="AB28" s="62"/>
      <c r="AC28" s="97" cm="1">
        <f t="array" ref="AC28">SUM(AC3:AC27)</f>
        <v>14</v>
      </c>
      <c r="AD28" s="97" cm="1">
        <f t="array" ref="AD28">SUM(AD3:AD27)</f>
        <v>1</v>
      </c>
      <c r="AE28" s="97" cm="1">
        <f t="array" ref="AE28">SUM(AE3:AE27)</f>
        <v>0</v>
      </c>
      <c r="AF28" s="97" cm="1">
        <f t="array" ref="AF28">SUM(AF3:AF27)</f>
        <v>11</v>
      </c>
      <c r="AG28" s="97" cm="1">
        <f t="array" ref="AG28">I28-AF28</f>
        <v>10</v>
      </c>
      <c r="AH28" s="16"/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</row>
    <row r="29" ht="15.35" customHeight="1">
      <c r="A29" s="62"/>
      <c r="B29" s="62"/>
      <c r="C29" s="62"/>
      <c r="D29" s="62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99" cm="1">
        <f t="array" ref="T29">T28/I28</f>
        <v>34.7142857142857</v>
      </c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</row>
    <row r="30" ht="15.35" customHeight="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</row>
    <row r="31" ht="15.35" customHeight="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</row>
    <row r="32" ht="15.35" customHeight="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</row>
    <row r="33" ht="15.3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</row>
    <row r="34" ht="15.35" customHeight="1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</row>
    <row r="35" ht="15.35" customHeight="1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</row>
    <row r="36" ht="15.35" customHeight="1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32"/>
      <c r="AG36" s="132"/>
      <c r="AH36" s="132"/>
      <c r="AI36" s="132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32"/>
      <c r="AU36" s="132"/>
      <c r="AV36" s="132"/>
      <c r="AW36" s="132"/>
      <c r="AX36" s="132"/>
      <c r="AY36" s="132"/>
      <c r="AZ36" s="16"/>
      <c r="BA36" s="16"/>
      <c r="BB36" s="16"/>
      <c r="BC36" s="16"/>
    </row>
    <row r="37" ht="17.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121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117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75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.5" customHeight="1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75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75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" customHeight="1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75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7.5" customHeight="1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75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75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75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75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.5" customHeight="1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75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5.35" customHeight="1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16"/>
      <c r="BA48" s="16"/>
      <c r="BB48" s="16"/>
      <c r="BC48" s="16"/>
    </row>
    <row r="49" ht="15.35" customHeight="1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  <c r="AB49" s="132"/>
      <c r="AC49" s="132"/>
      <c r="AD49" s="132"/>
      <c r="AE49" s="132"/>
      <c r="AF49" s="132"/>
      <c r="AG49" s="132"/>
      <c r="AH49" s="132"/>
      <c r="AI49" s="132"/>
      <c r="AJ49" s="132"/>
      <c r="AK49" s="132"/>
      <c r="AL49" s="132"/>
      <c r="AM49" s="132"/>
      <c r="AN49" s="132"/>
      <c r="AO49" s="132"/>
      <c r="AP49" s="132"/>
      <c r="AQ49" s="132"/>
      <c r="AR49" s="132"/>
      <c r="AS49" s="132"/>
      <c r="AT49" s="132"/>
      <c r="AU49" s="132"/>
      <c r="AV49" s="132"/>
      <c r="AW49" s="132"/>
      <c r="AX49" s="132"/>
      <c r="AY49" s="132"/>
      <c r="AZ49" s="16"/>
      <c r="BA49" s="16"/>
      <c r="BB49" s="16"/>
      <c r="BC49" s="16"/>
    </row>
    <row r="50" ht="17.5" customHeight="1">
      <c r="A50" s="30"/>
      <c r="B50" s="30"/>
      <c r="C50" s="30"/>
      <c r="D50" s="30"/>
      <c r="E50" s="30"/>
      <c r="F50" s="30"/>
      <c r="G50" s="30"/>
      <c r="H50" t="s" s="83">
        <v>0</v>
      </c>
      <c r="I50" t="s" s="83">
        <v>1</v>
      </c>
      <c r="J50" t="s" s="83">
        <v>2</v>
      </c>
      <c r="K50" t="s" s="83">
        <v>3</v>
      </c>
      <c r="L50" t="s" s="83">
        <v>4</v>
      </c>
      <c r="M50" t="s" s="119">
        <v>5</v>
      </c>
      <c r="N50" t="s" s="119">
        <v>6</v>
      </c>
      <c r="O50" t="s" s="119">
        <v>7</v>
      </c>
      <c r="P50" t="s" s="119">
        <v>8</v>
      </c>
      <c r="Q50" s="30"/>
      <c r="R50" s="121"/>
      <c r="S50" s="121"/>
      <c r="T50" s="30"/>
      <c r="U50" s="121"/>
      <c r="V50" s="121"/>
      <c r="W50" s="121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s="30"/>
      <c r="B51" s="30"/>
      <c r="C51" s="30"/>
      <c r="D51" s="30"/>
      <c r="E51" s="30"/>
      <c r="F51" s="30"/>
      <c r="G51" s="30"/>
      <c r="H51" t="s" s="83">
        <v>945</v>
      </c>
      <c r="I51" t="s" s="83">
        <v>944</v>
      </c>
      <c r="J51" t="s" s="83">
        <v>31</v>
      </c>
      <c r="K51" t="s" s="83">
        <v>37</v>
      </c>
      <c r="L51" s="112">
        <v>1864</v>
      </c>
      <c r="M51" s="118">
        <v>56</v>
      </c>
      <c r="N51" t="s" s="119">
        <v>54</v>
      </c>
      <c r="O51" t="s" s="119">
        <v>946</v>
      </c>
      <c r="P51" t="s" s="119">
        <v>8</v>
      </c>
      <c r="Q51" s="30"/>
      <c r="R51" s="121"/>
      <c r="S51" s="121"/>
      <c r="T51" s="30"/>
      <c r="U51" s="121"/>
      <c r="V51" s="121"/>
      <c r="W51" s="121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" customHeight="1">
      <c r="A52" s="30"/>
      <c r="B52" s="30"/>
      <c r="C52" s="30"/>
      <c r="D52" s="30"/>
      <c r="E52" s="30"/>
      <c r="F52" s="30"/>
      <c r="G52" s="30"/>
      <c r="H52" t="s" s="83">
        <v>947</v>
      </c>
      <c r="I52" t="s" s="83">
        <v>944</v>
      </c>
      <c r="J52" t="s" s="83">
        <v>72</v>
      </c>
      <c r="K52" t="s" s="83">
        <v>12</v>
      </c>
      <c r="L52" s="112">
        <v>1866</v>
      </c>
      <c r="M52" s="112">
        <v>54</v>
      </c>
      <c r="N52" t="s" s="83">
        <v>54</v>
      </c>
      <c r="O52" t="s" s="83">
        <v>948</v>
      </c>
      <c r="P52" t="s" s="83">
        <v>603</v>
      </c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s="30"/>
      <c r="B53" s="30"/>
      <c r="C53" s="30"/>
      <c r="D53" s="30"/>
      <c r="E53" s="30"/>
      <c r="F53" s="30"/>
      <c r="G53" s="30"/>
      <c r="H53" t="s" s="83">
        <v>950</v>
      </c>
      <c r="I53" t="s" s="83">
        <v>949</v>
      </c>
      <c r="J53" t="s" s="83">
        <v>11</v>
      </c>
      <c r="K53" t="s" s="83">
        <v>12</v>
      </c>
      <c r="L53" s="112">
        <v>1891</v>
      </c>
      <c r="M53" s="118">
        <v>30</v>
      </c>
      <c r="N53" t="s" s="119">
        <v>951</v>
      </c>
      <c r="O53" t="s" s="119">
        <v>45</v>
      </c>
      <c r="P53" t="s" s="119">
        <v>15</v>
      </c>
      <c r="Q53" s="30"/>
      <c r="R53" s="121"/>
      <c r="S53" s="121"/>
      <c r="T53" s="129"/>
      <c r="U53" s="121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s="30"/>
      <c r="B54" s="30"/>
      <c r="C54" s="30"/>
      <c r="D54" s="30"/>
      <c r="E54" s="30"/>
      <c r="F54" s="30"/>
      <c r="G54" s="30"/>
      <c r="H54" t="s" s="83">
        <v>102</v>
      </c>
      <c r="I54" t="s" s="83">
        <v>952</v>
      </c>
      <c r="J54" t="s" s="83">
        <v>11</v>
      </c>
      <c r="K54" t="s" s="83">
        <v>12</v>
      </c>
      <c r="L54" s="112">
        <v>1892</v>
      </c>
      <c r="M54" s="118">
        <v>28</v>
      </c>
      <c r="N54" t="s" s="119">
        <v>208</v>
      </c>
      <c r="O54" t="s" s="119">
        <v>85</v>
      </c>
      <c r="P54" t="s" s="119">
        <v>15</v>
      </c>
      <c r="Q54" s="30"/>
      <c r="R54" s="121"/>
      <c r="S54" s="121"/>
      <c r="T54" s="30"/>
      <c r="U54" s="121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.5" customHeight="1">
      <c r="A55" s="30"/>
      <c r="B55" s="30"/>
      <c r="C55" s="30"/>
      <c r="D55" s="30"/>
      <c r="E55" s="30"/>
      <c r="F55" s="30"/>
      <c r="G55" s="30"/>
      <c r="H55" t="s" s="83">
        <v>598</v>
      </c>
      <c r="I55" t="s" s="83">
        <v>953</v>
      </c>
      <c r="J55" t="s" s="83">
        <v>11</v>
      </c>
      <c r="K55" t="s" s="83">
        <v>12</v>
      </c>
      <c r="L55" s="112">
        <v>1881</v>
      </c>
      <c r="M55" s="118">
        <v>40</v>
      </c>
      <c r="N55" t="s" s="119">
        <v>954</v>
      </c>
      <c r="O55" t="s" s="119">
        <v>126</v>
      </c>
      <c r="P55" t="s" s="119">
        <v>15</v>
      </c>
      <c r="Q55" s="30"/>
      <c r="R55" s="121"/>
      <c r="S55" s="121"/>
      <c r="T55" s="30"/>
      <c r="U55" s="121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.5" customHeight="1">
      <c r="A56" s="30"/>
      <c r="B56" s="30"/>
      <c r="C56" s="30"/>
      <c r="D56" s="30"/>
      <c r="E56" s="30"/>
      <c r="F56" s="30"/>
      <c r="G56" s="30"/>
      <c r="H56" t="s" s="83">
        <v>956</v>
      </c>
      <c r="I56" t="s" s="83">
        <v>955</v>
      </c>
      <c r="J56" t="s" s="83">
        <v>11</v>
      </c>
      <c r="K56" t="s" s="83">
        <v>12</v>
      </c>
      <c r="L56" s="112">
        <v>1904</v>
      </c>
      <c r="M56" s="118">
        <v>17</v>
      </c>
      <c r="N56" t="s" s="119">
        <v>512</v>
      </c>
      <c r="O56" t="s" s="119">
        <v>89</v>
      </c>
      <c r="P56" t="s" s="119">
        <v>15</v>
      </c>
      <c r="Q56" s="30"/>
      <c r="R56" s="121"/>
      <c r="S56" s="121"/>
      <c r="T56" s="129"/>
      <c r="U56" s="121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.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121"/>
      <c r="N57" s="121"/>
      <c r="O57" s="121"/>
      <c r="P57" s="121"/>
      <c r="Q57" s="30"/>
      <c r="R57" s="121"/>
      <c r="S57" s="121"/>
      <c r="T57" s="30"/>
      <c r="U57" s="121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.5" customHeight="1">
      <c r="A58" s="30"/>
      <c r="B58" s="30"/>
      <c r="C58" s="30"/>
      <c r="D58" s="30"/>
      <c r="E58" s="30"/>
      <c r="F58" s="30"/>
      <c r="G58" s="30"/>
      <c r="H58" t="s" s="83">
        <v>0</v>
      </c>
      <c r="I58" t="s" s="83">
        <v>1</v>
      </c>
      <c r="J58" t="s" s="83">
        <v>2</v>
      </c>
      <c r="K58" t="s" s="83">
        <v>3</v>
      </c>
      <c r="L58" t="s" s="83">
        <v>4</v>
      </c>
      <c r="M58" t="s" s="119">
        <v>5</v>
      </c>
      <c r="N58" t="s" s="119">
        <v>6</v>
      </c>
      <c r="O58" t="s" s="119">
        <v>7</v>
      </c>
      <c r="P58" t="s" s="119">
        <v>8</v>
      </c>
      <c r="Q58" s="30"/>
      <c r="R58" s="121"/>
      <c r="S58" s="121"/>
      <c r="T58" s="30"/>
      <c r="U58" s="121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.5" customHeight="1">
      <c r="A59" s="30"/>
      <c r="B59" s="30"/>
      <c r="C59" s="30"/>
      <c r="D59" s="30"/>
      <c r="E59" s="30"/>
      <c r="F59" s="30"/>
      <c r="G59" s="30"/>
      <c r="H59" t="s" s="83">
        <v>958</v>
      </c>
      <c r="I59" t="s" s="83">
        <v>957</v>
      </c>
      <c r="J59" t="s" s="83">
        <v>72</v>
      </c>
      <c r="K59" t="s" s="83">
        <v>12</v>
      </c>
      <c r="L59" s="112">
        <v>1865</v>
      </c>
      <c r="M59" s="118">
        <v>56</v>
      </c>
      <c r="N59" t="s" s="119">
        <v>13</v>
      </c>
      <c r="O59" t="s" s="119">
        <v>34</v>
      </c>
      <c r="P59" t="s" s="119">
        <v>34</v>
      </c>
      <c r="Q59" s="30"/>
      <c r="R59" s="121"/>
      <c r="S59" s="121"/>
      <c r="T59" s="30"/>
      <c r="U59" s="121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" customHeight="1">
      <c r="A60" t="s" s="83">
        <v>723</v>
      </c>
      <c r="B60" s="30"/>
      <c r="C60" s="30"/>
      <c r="D60" s="30"/>
      <c r="E60" s="30"/>
      <c r="F60" s="30"/>
      <c r="G60" s="112" cm="1">
        <f t="array" ref="G60">SUM(G3:G59)</f>
        <v>0</v>
      </c>
      <c r="H60" t="s" s="83">
        <v>406</v>
      </c>
      <c r="I60" t="s" s="83">
        <v>959</v>
      </c>
      <c r="J60" t="s" s="83">
        <v>11</v>
      </c>
      <c r="K60" t="s" s="83">
        <v>12</v>
      </c>
      <c r="L60" s="112">
        <v>1864</v>
      </c>
      <c r="M60" s="112">
        <v>57</v>
      </c>
      <c r="N60" t="s" s="83">
        <v>960</v>
      </c>
      <c r="O60" t="s" s="83">
        <v>45</v>
      </c>
      <c r="P60" t="s" s="83">
        <v>15</v>
      </c>
      <c r="Q60" s="112" cm="1">
        <f t="array" ref="Q60">SUM(Q3:Q59)</f>
        <v>2</v>
      </c>
      <c r="R60" s="112" cm="1">
        <f t="array" ref="R60">SUM(R3:R59)</f>
        <v>0</v>
      </c>
      <c r="S60" s="112" cm="1">
        <f t="array" ref="S60">SUM(S3:S59)</f>
        <v>28</v>
      </c>
      <c r="T60" s="112" cm="1">
        <f t="array" ref="T60">SUM(T3:T59)</f>
        <v>1492.714285714290</v>
      </c>
      <c r="U60" s="112" cm="1">
        <f t="array" ref="U60">SUM(U3:U59)</f>
        <v>0</v>
      </c>
      <c r="V60" s="112" cm="1">
        <f t="array" ref="V60">SUM(V3:V59)</f>
        <v>0</v>
      </c>
      <c r="W60" s="112" cm="1">
        <f t="array" ref="W60">SUM(W3:W59)</f>
        <v>0</v>
      </c>
      <c r="X60" s="30"/>
      <c r="Y60" s="30"/>
      <c r="Z60" s="112" cm="1">
        <f t="array" ref="Z60">SUM(Z3:Z59)</f>
        <v>0</v>
      </c>
      <c r="AA60" s="112" cm="1">
        <f t="array" ref="AA60">SUM(AA3:AA59)</f>
        <v>0</v>
      </c>
      <c r="AB60" s="112" cm="1">
        <f t="array" ref="AB60">SUM(AB3:AB59)</f>
        <v>0</v>
      </c>
      <c r="AC60" s="112" cm="1">
        <f t="array" ref="AC60">SUM(AC3:AC59)</f>
        <v>28</v>
      </c>
      <c r="AD60" s="112" cm="1">
        <f t="array" ref="AD60">SUM(AD3:AD59)</f>
        <v>2</v>
      </c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" customHeight="1">
      <c r="A61" s="30"/>
      <c r="B61" s="30"/>
      <c r="C61" s="30"/>
      <c r="D61" s="30"/>
      <c r="E61" s="30"/>
      <c r="F61" s="30"/>
      <c r="G61" s="30"/>
      <c r="H61" t="s" s="83">
        <v>962</v>
      </c>
      <c r="I61" t="s" s="83">
        <v>961</v>
      </c>
      <c r="J61" t="s" s="83">
        <v>11</v>
      </c>
      <c r="K61" t="s" s="83">
        <v>12</v>
      </c>
      <c r="L61" s="112">
        <v>1891</v>
      </c>
      <c r="M61" s="112">
        <v>30</v>
      </c>
      <c r="N61" t="s" s="83">
        <v>986</v>
      </c>
      <c r="O61" t="s" s="83">
        <v>126</v>
      </c>
      <c r="P61" t="s" s="83">
        <v>15</v>
      </c>
      <c r="Q61" s="87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7" customHeight="1">
      <c r="A62" s="30"/>
      <c r="B62" s="30"/>
      <c r="C62" s="30"/>
      <c r="D62" s="30"/>
      <c r="E62" s="30"/>
      <c r="F62" s="30"/>
      <c r="G62" s="130"/>
      <c r="H62" t="s" s="83">
        <v>545</v>
      </c>
      <c r="I62" t="s" s="83">
        <v>963</v>
      </c>
      <c r="J62" t="s" s="83">
        <v>11</v>
      </c>
      <c r="K62" t="s" s="83">
        <v>12</v>
      </c>
      <c r="L62" s="112">
        <v>1900</v>
      </c>
      <c r="M62" s="112">
        <v>21</v>
      </c>
      <c r="N62" t="s" s="83">
        <v>134</v>
      </c>
      <c r="O62" t="s" s="83">
        <v>964</v>
      </c>
      <c r="P62" t="s" s="83">
        <v>15</v>
      </c>
      <c r="Q62" s="87"/>
      <c r="R62" s="130"/>
      <c r="S62" s="130"/>
      <c r="T62" s="1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7.5" customHeight="1">
      <c r="A63" s="30"/>
      <c r="B63" s="30"/>
      <c r="C63" s="30"/>
      <c r="D63" s="30"/>
      <c r="E63" s="30"/>
      <c r="F63" s="30"/>
      <c r="G63" s="30"/>
      <c r="H63" t="s" s="83">
        <v>251</v>
      </c>
      <c r="I63" t="s" s="83">
        <v>91</v>
      </c>
      <c r="J63" t="s" s="83">
        <v>11</v>
      </c>
      <c r="K63" t="s" s="83">
        <v>12</v>
      </c>
      <c r="L63" s="112">
        <v>1896</v>
      </c>
      <c r="M63" s="112">
        <v>24</v>
      </c>
      <c r="N63" t="s" s="83">
        <v>987</v>
      </c>
      <c r="O63" t="s" s="83">
        <v>89</v>
      </c>
      <c r="P63" t="s" s="83">
        <v>15</v>
      </c>
      <c r="Q63" s="30"/>
      <c r="R63" s="121"/>
      <c r="S63" s="121"/>
      <c r="T63" s="129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</row>
    <row r="64" ht="17" customHeight="1">
      <c r="A64" s="30"/>
      <c r="B64" s="30"/>
      <c r="C64" s="30"/>
      <c r="D64" s="30"/>
      <c r="E64" s="30"/>
      <c r="F64" s="30"/>
      <c r="G64" s="30"/>
      <c r="H64" t="s" s="83">
        <v>966</v>
      </c>
      <c r="I64" t="s" s="83">
        <v>965</v>
      </c>
      <c r="J64" t="s" s="83">
        <v>11</v>
      </c>
      <c r="K64" t="s" s="83">
        <v>12</v>
      </c>
      <c r="L64" s="112">
        <v>1903</v>
      </c>
      <c r="M64" s="112">
        <v>17</v>
      </c>
      <c r="N64" t="s" s="83">
        <v>988</v>
      </c>
      <c r="O64" t="s" s="83">
        <v>475</v>
      </c>
      <c r="P64" t="s" s="83">
        <v>15</v>
      </c>
      <c r="Q64" s="30"/>
      <c r="R64" s="130"/>
      <c r="S64" s="130"/>
      <c r="T64" s="130"/>
      <c r="U64" s="30"/>
      <c r="V64" s="30"/>
      <c r="W64" s="30"/>
      <c r="X64" s="30"/>
      <c r="Y64" s="30"/>
      <c r="Z64" s="30"/>
      <c r="AA64" s="30"/>
      <c r="AB64" s="30"/>
      <c r="AC64" s="134"/>
      <c r="AD64" s="134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</row>
    <row r="65" ht="15.35" customHeight="1">
      <c r="A65" s="62"/>
      <c r="B65" s="62"/>
      <c r="C65" s="62"/>
      <c r="D65" s="62"/>
      <c r="E65" s="62"/>
      <c r="F65" s="62"/>
      <c r="G65" s="62"/>
      <c r="H65" s="180"/>
      <c r="I65" s="180"/>
      <c r="J65" s="180"/>
      <c r="K65" s="62"/>
      <c r="L65" s="180"/>
      <c r="M65" s="180"/>
      <c r="N65" s="180"/>
      <c r="O65" s="180"/>
      <c r="P65" s="180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62"/>
      <c r="AF65" s="62"/>
      <c r="AG65" s="62"/>
      <c r="AH65" s="62"/>
      <c r="AI65" s="62"/>
      <c r="AJ65" s="62"/>
      <c r="AK65" s="62"/>
      <c r="AL65" s="62"/>
      <c r="AM65" s="62"/>
      <c r="AN65" s="62"/>
      <c r="AO65" s="62"/>
      <c r="AP65" s="62"/>
      <c r="AQ65" s="62"/>
      <c r="AR65" s="62"/>
      <c r="AS65" s="62"/>
      <c r="AT65" s="62"/>
      <c r="AU65" s="62"/>
      <c r="AV65" s="62"/>
      <c r="AW65" s="62"/>
      <c r="AX65" s="62"/>
      <c r="AY65" s="62"/>
      <c r="AZ65" s="16"/>
      <c r="BA65" s="16"/>
      <c r="BB65" s="16"/>
      <c r="BC65" s="16"/>
    </row>
    <row r="66" ht="34" customHeight="1">
      <c r="A66" s="16"/>
      <c r="B66" s="16"/>
      <c r="C66" s="16"/>
      <c r="D66" s="16"/>
      <c r="E66" s="16"/>
      <c r="F66" s="16"/>
      <c r="G66" s="75"/>
      <c r="H66" t="s" s="27">
        <v>0</v>
      </c>
      <c r="I66" t="s" s="27">
        <v>1</v>
      </c>
      <c r="J66" t="s" s="27">
        <v>2</v>
      </c>
      <c r="K66" t="s" s="204">
        <v>3</v>
      </c>
      <c r="L66" t="s" s="27">
        <v>4</v>
      </c>
      <c r="M66" t="s" s="27">
        <v>5</v>
      </c>
      <c r="N66" t="s" s="27">
        <v>6</v>
      </c>
      <c r="O66" t="s" s="27">
        <v>7</v>
      </c>
      <c r="P66" t="s" s="27">
        <v>8</v>
      </c>
      <c r="Q66" s="74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68" customHeight="1">
      <c r="A67" s="16"/>
      <c r="B67" s="16"/>
      <c r="C67" s="16"/>
      <c r="D67" s="16"/>
      <c r="E67" s="16"/>
      <c r="F67" s="16"/>
      <c r="G67" s="75"/>
      <c r="H67" t="s" s="83">
        <v>970</v>
      </c>
      <c r="I67" t="s" s="83">
        <v>969</v>
      </c>
      <c r="J67" t="s" s="83">
        <v>31</v>
      </c>
      <c r="K67" t="s" s="83">
        <v>37</v>
      </c>
      <c r="L67" s="112">
        <v>1884</v>
      </c>
      <c r="M67" s="118">
        <v>37</v>
      </c>
      <c r="N67" t="s" s="119">
        <v>971</v>
      </c>
      <c r="O67" t="s" s="119">
        <v>94</v>
      </c>
      <c r="P67" t="s" s="119">
        <v>34</v>
      </c>
      <c r="Q67" s="74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85" customHeight="1">
      <c r="A68" s="16"/>
      <c r="B68" s="16"/>
      <c r="C68" s="16"/>
      <c r="D68" s="16"/>
      <c r="E68" s="16"/>
      <c r="F68" s="16"/>
      <c r="G68" s="75"/>
      <c r="H68" t="s" s="83">
        <v>259</v>
      </c>
      <c r="I68" t="s" s="83">
        <v>972</v>
      </c>
      <c r="J68" t="s" s="83">
        <v>72</v>
      </c>
      <c r="K68" t="s" s="83">
        <v>12</v>
      </c>
      <c r="L68" s="112">
        <v>1884</v>
      </c>
      <c r="M68" s="118">
        <v>36</v>
      </c>
      <c r="N68" t="s" s="119">
        <v>13</v>
      </c>
      <c r="O68" t="s" s="119">
        <v>33</v>
      </c>
      <c r="P68" t="s" s="119">
        <v>34</v>
      </c>
      <c r="Q68" s="74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85" customHeight="1">
      <c r="A69" s="16"/>
      <c r="B69" s="16"/>
      <c r="C69" s="16"/>
      <c r="D69" s="16"/>
      <c r="E69" s="16"/>
      <c r="F69" s="16"/>
      <c r="G69" s="75"/>
      <c r="H69" t="s" s="83">
        <v>973</v>
      </c>
      <c r="I69" t="s" s="83">
        <v>972</v>
      </c>
      <c r="J69" t="s" s="83">
        <v>36</v>
      </c>
      <c r="K69" t="s" s="83">
        <v>37</v>
      </c>
      <c r="L69" s="112">
        <v>1918</v>
      </c>
      <c r="M69" s="118">
        <v>3</v>
      </c>
      <c r="N69" t="s" s="119">
        <v>13</v>
      </c>
      <c r="O69" t="s" s="119">
        <v>34</v>
      </c>
      <c r="P69" t="s" s="119">
        <v>34</v>
      </c>
      <c r="Q69" s="74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85" customHeight="1">
      <c r="A70" s="16"/>
      <c r="B70" s="16"/>
      <c r="C70" s="16"/>
      <c r="D70" s="16"/>
      <c r="E70" s="16"/>
      <c r="F70" s="16"/>
      <c r="G70" s="75"/>
      <c r="H70" t="s" s="83">
        <v>974</v>
      </c>
      <c r="I70" t="s" s="83">
        <v>972</v>
      </c>
      <c r="J70" t="s" s="83">
        <v>78</v>
      </c>
      <c r="K70" t="s" s="83">
        <v>12</v>
      </c>
      <c r="L70" s="112">
        <v>1920</v>
      </c>
      <c r="M70" s="118">
        <v>1</v>
      </c>
      <c r="N70" t="s" s="119">
        <v>13</v>
      </c>
      <c r="O70" t="s" s="119">
        <v>34</v>
      </c>
      <c r="P70" t="s" s="119">
        <v>34</v>
      </c>
      <c r="Q70" s="74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85" customHeight="1">
      <c r="A71" s="16"/>
      <c r="B71" s="16"/>
      <c r="C71" s="16"/>
      <c r="D71" s="16"/>
      <c r="E71" s="16"/>
      <c r="F71" s="16"/>
      <c r="G71" s="75"/>
      <c r="H71" t="s" s="83">
        <v>975</v>
      </c>
      <c r="I71" t="s" s="83">
        <v>224</v>
      </c>
      <c r="J71" t="s" s="83">
        <v>11</v>
      </c>
      <c r="K71" t="s" s="83">
        <v>12</v>
      </c>
      <c r="L71" s="112">
        <v>1850</v>
      </c>
      <c r="M71" s="118">
        <v>70</v>
      </c>
      <c r="N71" t="s" s="119">
        <v>13</v>
      </c>
      <c r="O71" t="s" s="119">
        <v>163</v>
      </c>
      <c r="P71" t="s" s="119">
        <v>15</v>
      </c>
      <c r="Q71" s="74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68" customHeight="1">
      <c r="A72" s="16"/>
      <c r="B72" s="16"/>
      <c r="C72" s="16"/>
      <c r="D72" s="16"/>
      <c r="E72" s="16"/>
      <c r="F72" s="16"/>
      <c r="G72" s="75"/>
      <c r="H72" t="s" s="83">
        <v>251</v>
      </c>
      <c r="I72" t="s" s="83">
        <v>976</v>
      </c>
      <c r="J72" t="s" s="83">
        <v>11</v>
      </c>
      <c r="K72" t="s" s="83">
        <v>12</v>
      </c>
      <c r="L72" s="112">
        <v>1868</v>
      </c>
      <c r="M72" s="118">
        <v>53</v>
      </c>
      <c r="N72" t="s" s="119">
        <v>977</v>
      </c>
      <c r="O72" t="s" s="119">
        <v>45</v>
      </c>
      <c r="P72" t="s" s="119">
        <v>15</v>
      </c>
      <c r="Q72" s="74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</row>
    <row r="73" ht="68" customHeight="1">
      <c r="A73" s="16"/>
      <c r="B73" s="16"/>
      <c r="C73" s="16"/>
      <c r="D73" s="16"/>
      <c r="E73" s="16"/>
      <c r="F73" s="16"/>
      <c r="G73" s="75"/>
      <c r="H73" t="s" s="83">
        <v>979</v>
      </c>
      <c r="I73" t="s" s="83">
        <v>978</v>
      </c>
      <c r="J73" t="s" s="83">
        <v>11</v>
      </c>
      <c r="K73" t="s" s="83">
        <v>12</v>
      </c>
      <c r="L73" s="112">
        <v>1893</v>
      </c>
      <c r="M73" s="118">
        <v>28</v>
      </c>
      <c r="N73" t="s" s="119">
        <v>472</v>
      </c>
      <c r="O73" t="s" s="119">
        <v>105</v>
      </c>
      <c r="P73" t="s" s="119">
        <v>15</v>
      </c>
      <c r="Q73" s="74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</row>
    <row r="74" ht="51" customHeight="1">
      <c r="A74" s="16"/>
      <c r="B74" s="16"/>
      <c r="C74" s="16"/>
      <c r="D74" s="16"/>
      <c r="E74" s="16"/>
      <c r="F74" s="16"/>
      <c r="G74" s="75"/>
      <c r="H74" t="s" s="83">
        <v>815</v>
      </c>
      <c r="I74" t="s" s="83">
        <v>980</v>
      </c>
      <c r="J74" t="s" s="83">
        <v>11</v>
      </c>
      <c r="K74" t="s" s="83">
        <v>12</v>
      </c>
      <c r="L74" s="112">
        <v>1868</v>
      </c>
      <c r="M74" s="118">
        <v>53</v>
      </c>
      <c r="N74" t="s" s="119">
        <v>981</v>
      </c>
      <c r="O74" t="s" s="119">
        <v>816</v>
      </c>
      <c r="P74" t="s" s="119">
        <v>15</v>
      </c>
      <c r="Q74" s="74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</row>
    <row r="75" ht="15.35" customHeight="1">
      <c r="A75" s="16"/>
      <c r="B75" s="16"/>
      <c r="C75" s="16"/>
      <c r="D75" s="16"/>
      <c r="E75" s="16"/>
      <c r="F75" s="16"/>
      <c r="G75" s="75"/>
      <c r="H75" t="s" s="83">
        <v>983</v>
      </c>
      <c r="I75" t="s" s="83">
        <v>982</v>
      </c>
      <c r="J75" t="s" s="83">
        <v>11</v>
      </c>
      <c r="K75" t="s" s="83">
        <v>12</v>
      </c>
      <c r="L75" s="112">
        <v>1903</v>
      </c>
      <c r="M75" s="112">
        <v>18</v>
      </c>
      <c r="N75" t="s" s="83">
        <v>985</v>
      </c>
      <c r="O75" t="s" s="83">
        <v>984</v>
      </c>
      <c r="P75" t="s" s="83">
        <v>15</v>
      </c>
      <c r="Q75" s="74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0.xml><?xml version="1.0" encoding="utf-8"?>
<worksheet xmlns:r="http://schemas.openxmlformats.org/officeDocument/2006/relationships" xmlns="http://schemas.openxmlformats.org/spreadsheetml/2006/main">
  <dimension ref="A1:BC37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205" customWidth="1"/>
    <col min="4" max="4" width="17.8516" style="205" customWidth="1"/>
    <col min="5" max="5" width="20.1719" style="205" customWidth="1"/>
    <col min="6" max="6" width="22.8516" style="205" customWidth="1"/>
    <col min="7" max="10" width="10.8516" style="205" customWidth="1"/>
    <col min="11" max="11" width="19.1719" style="205" customWidth="1"/>
    <col min="12" max="12" width="7.85156" style="205" customWidth="1"/>
    <col min="13" max="13" width="10" style="205" customWidth="1"/>
    <col min="14" max="14" width="8.67188" style="205" customWidth="1"/>
    <col min="15" max="15" width="18.5" style="205" customWidth="1"/>
    <col min="16" max="16" width="11.5" style="205" customWidth="1"/>
    <col min="17" max="17" width="11.6719" style="205" customWidth="1"/>
    <col min="18" max="18" width="12.3516" style="205" customWidth="1"/>
    <col min="19" max="19" width="10.8516" style="205" customWidth="1"/>
    <col min="20" max="20" width="15.1719" style="205" customWidth="1"/>
    <col min="21" max="23" width="10.8516" style="205" customWidth="1"/>
    <col min="24" max="24" width="31" style="205" customWidth="1"/>
    <col min="25" max="25" width="19.8516" style="205" customWidth="1"/>
    <col min="26" max="26" width="12.1719" style="205" customWidth="1"/>
    <col min="27" max="30" width="16.5" style="205" customWidth="1"/>
    <col min="31" max="31" width="14.6719" style="205" customWidth="1"/>
    <col min="32" max="32" width="10.8516" style="205" customWidth="1"/>
    <col min="33" max="33" width="11" style="205" customWidth="1"/>
    <col min="34" max="34" width="11.1719" style="205" customWidth="1"/>
    <col min="35" max="35" width="7.85156" style="205" customWidth="1"/>
    <col min="36" max="37" width="10.8516" style="205" customWidth="1"/>
    <col min="38" max="38" width="7.35156" style="205" customWidth="1"/>
    <col min="39" max="39" width="10.8516" style="205" customWidth="1"/>
    <col min="40" max="40" width="9.17188" style="205" customWidth="1"/>
    <col min="41" max="41" width="10.8516" style="205" customWidth="1"/>
    <col min="42" max="42" width="12.5" style="205" customWidth="1"/>
    <col min="43" max="43" width="13" style="205" customWidth="1"/>
    <col min="44" max="55" width="10.8516" style="205" customWidth="1"/>
    <col min="56" max="16384" width="10.8516" style="205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189">
        <v>290</v>
      </c>
      <c r="B2" s="107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206">
        <v>302</v>
      </c>
      <c r="V2" t="s" s="109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7.5" customHeight="1">
      <c r="A3" t="s" s="83">
        <v>989</v>
      </c>
      <c r="B3" s="112">
        <v>1921</v>
      </c>
      <c r="C3" s="112">
        <v>1</v>
      </c>
      <c r="D3" t="s" s="83">
        <v>990</v>
      </c>
      <c r="E3" s="30"/>
      <c r="F3" s="30"/>
      <c r="G3" t="s" s="83">
        <v>991</v>
      </c>
      <c r="H3" t="s" s="83">
        <v>992</v>
      </c>
      <c r="I3" s="207">
        <v>1</v>
      </c>
      <c r="J3" s="112">
        <v>1</v>
      </c>
      <c r="K3" s="208"/>
      <c r="L3" s="209"/>
      <c r="M3" s="210"/>
      <c r="N3" t="s" s="83">
        <v>31</v>
      </c>
      <c r="O3" s="211"/>
      <c r="P3" s="112">
        <v>1851</v>
      </c>
      <c r="Q3" s="208"/>
      <c r="R3" s="209"/>
      <c r="S3" s="210"/>
      <c r="T3" s="197">
        <v>70</v>
      </c>
      <c r="U3" s="212"/>
      <c r="V3" t="s" s="198">
        <v>34</v>
      </c>
      <c r="W3" s="211"/>
      <c r="X3" s="30"/>
      <c r="Y3" s="30"/>
      <c r="Z3" s="30"/>
      <c r="AA3" t="s" s="198">
        <v>34</v>
      </c>
      <c r="AB3" s="30"/>
      <c r="AC3" s="30"/>
      <c r="AD3" s="30"/>
      <c r="AE3" s="30"/>
      <c r="AF3" s="30"/>
      <c r="AG3" t="s" s="198">
        <v>993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208"/>
      <c r="BA3" s="209"/>
      <c r="BB3" s="209"/>
      <c r="BC3" s="213"/>
    </row>
    <row r="4" ht="17.5" customHeight="1">
      <c r="A4" t="s" s="83">
        <v>989</v>
      </c>
      <c r="B4" s="112">
        <v>1921</v>
      </c>
      <c r="C4" s="112">
        <v>1</v>
      </c>
      <c r="D4" t="s" s="83">
        <v>990</v>
      </c>
      <c r="E4" s="30"/>
      <c r="F4" s="30"/>
      <c r="G4" t="s" s="83">
        <v>212</v>
      </c>
      <c r="H4" t="s" s="83">
        <v>994</v>
      </c>
      <c r="I4" s="199">
        <v>1</v>
      </c>
      <c r="J4" s="112">
        <v>1</v>
      </c>
      <c r="K4" s="200"/>
      <c r="L4" s="14"/>
      <c r="M4" s="201"/>
      <c r="N4" t="s" s="83">
        <v>995</v>
      </c>
      <c r="O4" s="202"/>
      <c r="P4" s="112">
        <v>1884</v>
      </c>
      <c r="Q4" s="200"/>
      <c r="R4" s="14"/>
      <c r="S4" s="201"/>
      <c r="T4" s="118">
        <v>37</v>
      </c>
      <c r="U4" s="202"/>
      <c r="V4" t="s" s="119">
        <v>34</v>
      </c>
      <c r="W4" s="202"/>
      <c r="X4" s="30"/>
      <c r="Y4" s="30"/>
      <c r="Z4" s="30"/>
      <c r="AA4" t="s" s="119">
        <v>15</v>
      </c>
      <c r="AB4" s="30"/>
      <c r="AC4" s="112">
        <v>1</v>
      </c>
      <c r="AD4" s="30"/>
      <c r="AE4" s="112">
        <v>1</v>
      </c>
      <c r="AF4" s="112">
        <v>1</v>
      </c>
      <c r="AG4" t="s" s="119">
        <v>996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200"/>
      <c r="BA4" s="14"/>
      <c r="BB4" s="14"/>
      <c r="BC4" s="14"/>
    </row>
    <row r="5" ht="17.5" customHeight="1">
      <c r="A5" t="s" s="83">
        <v>989</v>
      </c>
      <c r="B5" s="112">
        <v>1921</v>
      </c>
      <c r="C5" s="112">
        <v>1</v>
      </c>
      <c r="D5" t="s" s="83">
        <v>990</v>
      </c>
      <c r="E5" s="30"/>
      <c r="F5" s="30"/>
      <c r="G5" t="s" s="83">
        <v>218</v>
      </c>
      <c r="H5" t="s" s="83">
        <v>997</v>
      </c>
      <c r="I5" s="120">
        <v>1</v>
      </c>
      <c r="J5" s="112">
        <v>1</v>
      </c>
      <c r="K5" s="131"/>
      <c r="L5" s="132"/>
      <c r="M5" s="133"/>
      <c r="N5" t="s" s="83">
        <v>55</v>
      </c>
      <c r="O5" s="141"/>
      <c r="P5" s="112">
        <v>1905</v>
      </c>
      <c r="Q5" s="131"/>
      <c r="R5" s="132"/>
      <c r="S5" s="133"/>
      <c r="T5" s="118">
        <v>16</v>
      </c>
      <c r="U5" s="141"/>
      <c r="V5" t="s" s="119">
        <v>34</v>
      </c>
      <c r="W5" s="141"/>
      <c r="X5" s="30"/>
      <c r="Y5" s="30"/>
      <c r="Z5" s="30"/>
      <c r="AA5" t="s" s="119">
        <v>15</v>
      </c>
      <c r="AB5" s="30"/>
      <c r="AC5" s="112">
        <v>1</v>
      </c>
      <c r="AD5" s="30"/>
      <c r="AE5" s="112">
        <v>1</v>
      </c>
      <c r="AF5" s="112">
        <v>1</v>
      </c>
      <c r="AG5" t="s" s="119">
        <v>536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989</v>
      </c>
      <c r="B6" s="112">
        <v>1921</v>
      </c>
      <c r="C6" s="112">
        <v>1</v>
      </c>
      <c r="D6" t="s" s="83">
        <v>990</v>
      </c>
      <c r="E6" s="30"/>
      <c r="F6" s="30"/>
      <c r="G6" s="30"/>
      <c r="H6" s="112">
        <v>3</v>
      </c>
      <c r="I6" s="141"/>
      <c r="J6" s="30"/>
      <c r="K6" s="30"/>
      <c r="L6" s="30"/>
      <c r="M6" s="121"/>
      <c r="N6" s="121"/>
      <c r="O6" s="121"/>
      <c r="P6" s="121"/>
      <c r="Q6" s="121"/>
      <c r="R6" s="121"/>
      <c r="S6" s="121"/>
      <c r="T6" s="121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989</v>
      </c>
      <c r="B7" s="112">
        <v>1921</v>
      </c>
      <c r="C7" s="112">
        <v>1</v>
      </c>
      <c r="D7" t="s" s="83">
        <v>990</v>
      </c>
      <c r="E7" s="30"/>
      <c r="F7" s="30"/>
      <c r="G7" s="30"/>
      <c r="H7" s="30"/>
      <c r="I7" s="112" cm="1">
        <f t="array" ref="I7">SUM(I3:I6)</f>
        <v>3</v>
      </c>
      <c r="J7" s="112" cm="1">
        <f t="array" ref="J7">SUM(J3:J6)</f>
        <v>3</v>
      </c>
      <c r="K7" s="112" cm="1">
        <f t="array" ref="K7">SUM(K3:K6)</f>
        <v>0</v>
      </c>
      <c r="L7" s="112" cm="1">
        <f t="array" ref="L7">SUM(L3:L6)</f>
        <v>0</v>
      </c>
      <c r="M7" s="112" cm="1">
        <f t="array" ref="M7">SUM(M3:M6)</f>
        <v>0</v>
      </c>
      <c r="N7" s="112" cm="1">
        <f t="array" ref="N7">SUM(N3:N6)</f>
        <v>0</v>
      </c>
      <c r="O7" s="112" cm="1">
        <f t="array" ref="O7">SUM(O3:O6)</f>
        <v>0</v>
      </c>
      <c r="P7" s="30"/>
      <c r="Q7" s="112" cm="1">
        <f t="array" ref="Q7">SUM(Q3:Q6)</f>
        <v>0</v>
      </c>
      <c r="R7" s="112" cm="1">
        <f t="array" ref="R7">SUM(R3:R6)</f>
        <v>0</v>
      </c>
      <c r="S7" s="112" cm="1">
        <f t="array" ref="S7">SUM(S3:S6)</f>
        <v>0</v>
      </c>
      <c r="T7" s="112" cm="1">
        <f t="array" ref="T7">SUM(T3:T6)</f>
        <v>123</v>
      </c>
      <c r="U7" s="112" cm="1">
        <f t="array" ref="U7">SUM(U3:U6)</f>
        <v>0</v>
      </c>
      <c r="V7" s="112" cm="1">
        <f t="array" ref="V7">SUM(V3:V6)</f>
        <v>0</v>
      </c>
      <c r="W7" s="112" cm="1">
        <f t="array" ref="W7">SUM(W3:W6)</f>
        <v>0</v>
      </c>
      <c r="X7" s="112" cm="1">
        <f t="array" ref="X7">SUM(X3:X6)</f>
        <v>0</v>
      </c>
      <c r="Y7" s="112" cm="1">
        <f t="array" ref="Y7">SUM(Y3:Y6)</f>
        <v>0</v>
      </c>
      <c r="Z7" s="112" cm="1">
        <f t="array" ref="Z7">SUM(Z3:Z6)</f>
        <v>0</v>
      </c>
      <c r="AA7" s="112" cm="1">
        <f t="array" ref="AA7">SUM(AA3:AA6)</f>
        <v>0</v>
      </c>
      <c r="AB7" s="112" cm="1">
        <f t="array" ref="AB7">SUM(AB3:AB6)</f>
        <v>0</v>
      </c>
      <c r="AC7" s="112" cm="1">
        <f t="array" ref="AC7">SUM(AC3:AC6)</f>
        <v>2</v>
      </c>
      <c r="AD7" s="112" cm="1">
        <f t="array" ref="AD7">SUM(AD3:AD6)</f>
        <v>0</v>
      </c>
      <c r="AE7" s="112" cm="1">
        <f t="array" ref="AE7">SUM(AE3:AE6)</f>
        <v>2</v>
      </c>
      <c r="AF7" s="112" cm="1">
        <f t="array" ref="AF7">SUM(AF3:AF6)</f>
        <v>2</v>
      </c>
      <c r="AG7" s="112" cm="1">
        <f t="array" ref="AG7">I7-AF7</f>
        <v>1</v>
      </c>
      <c r="AH7" s="112" cm="1">
        <f t="array" ref="AH7">AG7+AF7</f>
        <v>3</v>
      </c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s="30"/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121"/>
      <c r="N8" s="121"/>
      <c r="O8" s="121"/>
      <c r="P8" s="121"/>
      <c r="Q8" s="30"/>
      <c r="R8" s="121"/>
      <c r="S8" s="121"/>
      <c r="T8" s="112" cm="1">
        <f t="array" ref="T8">T7/I7</f>
        <v>41</v>
      </c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s="30"/>
      <c r="B9" s="30"/>
      <c r="C9" s="30"/>
      <c r="D9" s="30"/>
      <c r="E9" s="30"/>
      <c r="F9" s="30"/>
      <c r="G9" s="30"/>
      <c r="H9" s="30"/>
      <c r="I9" s="30"/>
      <c r="J9" s="30"/>
      <c r="K9" s="30"/>
      <c r="L9" s="30"/>
      <c r="M9" s="121"/>
      <c r="N9" s="121"/>
      <c r="O9" s="121"/>
      <c r="P9" s="121"/>
      <c r="Q9" s="121"/>
      <c r="R9" s="121"/>
      <c r="S9" s="121"/>
      <c r="T9" s="121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s="30"/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121"/>
      <c r="N10" s="121"/>
      <c r="O10" s="121"/>
      <c r="P10" s="121"/>
      <c r="Q10" s="121"/>
      <c r="R10" s="121"/>
      <c r="S10" s="121"/>
      <c r="T10" s="121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" customHeight="1">
      <c r="A11" t="s" s="83">
        <v>723</v>
      </c>
      <c r="B11" s="30"/>
      <c r="C11" s="30"/>
      <c r="D11" s="30"/>
      <c r="E11" s="30"/>
      <c r="F11" s="30"/>
      <c r="G11" s="112" cm="1">
        <f t="array" ref="G11">SUM(G3:G10)</f>
        <v>0</v>
      </c>
      <c r="H11" s="112" cm="1">
        <f t="array" ref="H11">SUM(H3:H10)</f>
        <v>3</v>
      </c>
      <c r="I11" s="112" cm="1">
        <f t="array" ref="I11">SUM(I3:I10)</f>
        <v>6</v>
      </c>
      <c r="J11" s="112" cm="1">
        <f t="array" ref="J11">SUM(J3:J10)</f>
        <v>6</v>
      </c>
      <c r="K11" s="112" cm="1">
        <f t="array" ref="K11">SUM(K3:K10)</f>
        <v>0</v>
      </c>
      <c r="L11" s="112" cm="1">
        <f t="array" ref="L11">SUM(L3:L10)</f>
        <v>0</v>
      </c>
      <c r="M11" s="112" cm="1">
        <f t="array" ref="M11">SUM(M3:M10)</f>
        <v>0</v>
      </c>
      <c r="N11" s="112" cm="1">
        <f t="array" ref="N11">SUM(N3:N10)</f>
        <v>0</v>
      </c>
      <c r="O11" s="112" cm="1">
        <f t="array" ref="O11">SUM(O3:O10)</f>
        <v>0</v>
      </c>
      <c r="P11" s="112" cm="1">
        <f t="array" ref="P11">SUM(P3:P10)</f>
        <v>5640</v>
      </c>
      <c r="Q11" s="112" cm="1">
        <f t="array" ref="Q11">SUM(Q3:Q10)</f>
        <v>0</v>
      </c>
      <c r="R11" s="112" cm="1">
        <f t="array" ref="R11">SUM(R3:R10)</f>
        <v>0</v>
      </c>
      <c r="S11" s="112" cm="1">
        <f t="array" ref="S11">SUM(S3:S10)</f>
        <v>0</v>
      </c>
      <c r="T11" s="112" cm="1">
        <f t="array" ref="T11">SUM(T3:T10)</f>
        <v>287</v>
      </c>
      <c r="U11" s="112" cm="1">
        <f t="array" ref="U11">SUM(U3:U10)</f>
        <v>0</v>
      </c>
      <c r="V11" s="112" cm="1">
        <f t="array" ref="V11">SUM(V3:V10)</f>
        <v>0</v>
      </c>
      <c r="W11" s="112" cm="1">
        <f t="array" ref="W11">SUM(W3:W10)</f>
        <v>0</v>
      </c>
      <c r="X11" s="112" cm="1">
        <f t="array" ref="X11">SUM(X3:X10)</f>
        <v>0</v>
      </c>
      <c r="Y11" s="112" cm="1">
        <f t="array" ref="Y11">SUM(Y3:Y10)</f>
        <v>0</v>
      </c>
      <c r="Z11" s="112" cm="1">
        <f t="array" ref="Z11">SUM(Z3:Z10)</f>
        <v>0</v>
      </c>
      <c r="AA11" s="112" cm="1">
        <f t="array" ref="AA11">SUM(AA3:AA10)</f>
        <v>0</v>
      </c>
      <c r="AB11" s="112" cm="1">
        <f t="array" ref="AB11">SUM(AB3:AB10)</f>
        <v>0</v>
      </c>
      <c r="AC11" s="112" cm="1">
        <f t="array" ref="AC11">SUM(AC3:AC10)</f>
        <v>4</v>
      </c>
      <c r="AD11" s="112" cm="1">
        <f t="array" ref="AD11">SUM(AD3:AD10)</f>
        <v>0</v>
      </c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.5" customHeight="1">
      <c r="A12" s="30"/>
      <c r="B12" s="30"/>
      <c r="C12" s="30"/>
      <c r="D12" s="30"/>
      <c r="E12" s="30"/>
      <c r="F12" s="30"/>
      <c r="G12" s="112" cm="1">
        <f t="array" ref="G12">G11+H11+I11+J11</f>
        <v>15</v>
      </c>
      <c r="H12" s="30"/>
      <c r="I12" s="30"/>
      <c r="J12" s="30"/>
      <c r="K12" s="112" cm="1">
        <f t="array" ref="K12">K11+L11+M11+N11+O11+P11</f>
        <v>5640</v>
      </c>
      <c r="L12" s="30"/>
      <c r="M12" s="121"/>
      <c r="N12" s="121"/>
      <c r="O12" s="121"/>
      <c r="P12" s="121"/>
      <c r="Q12" s="118" cm="1">
        <f t="array" ref="Q12">Q11/K12</f>
        <v>0</v>
      </c>
      <c r="R12" s="121"/>
      <c r="S12" s="121"/>
      <c r="T12" s="121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s="30"/>
      <c r="B13" s="30"/>
      <c r="C13" s="30"/>
      <c r="D13" s="30"/>
      <c r="E13" s="30"/>
      <c r="F13" s="30"/>
      <c r="G13" s="30"/>
      <c r="H13" s="30"/>
      <c r="I13" s="30"/>
      <c r="J13" s="30"/>
      <c r="K13" s="30"/>
      <c r="L13" s="30"/>
      <c r="M13" s="121"/>
      <c r="N13" s="121"/>
      <c r="O13" s="121"/>
      <c r="P13" s="121"/>
      <c r="Q13" s="121"/>
      <c r="R13" s="121"/>
      <c r="S13" s="121"/>
      <c r="T13" s="121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s="124"/>
      <c r="B14" s="124"/>
      <c r="C14" s="124"/>
      <c r="D14" s="28"/>
      <c r="E14" s="124"/>
      <c r="F14" s="28"/>
      <c r="G14" s="28"/>
      <c r="H14" s="28"/>
      <c r="I14" s="28"/>
      <c r="J14" s="28"/>
      <c r="K14" s="125"/>
      <c r="L14" s="28"/>
      <c r="M14" s="28"/>
      <c r="N14" s="28"/>
      <c r="O14" s="28"/>
      <c r="P14" s="28"/>
      <c r="Q14" s="125"/>
      <c r="R14" s="125"/>
      <c r="S14" s="125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28" customHeight="1">
      <c r="A15" s="124"/>
      <c r="B15" s="124"/>
      <c r="C15" s="124"/>
      <c r="D15" s="28"/>
      <c r="E15" s="124"/>
      <c r="F15" s="28"/>
      <c r="G15" s="28"/>
      <c r="H15" s="28"/>
      <c r="I15" s="28"/>
      <c r="J15" s="163"/>
      <c r="K15" s="164"/>
      <c r="L15" s="165"/>
      <c r="M15" s="28"/>
      <c r="N15" s="28"/>
      <c r="O15" s="28"/>
      <c r="P15" s="163"/>
      <c r="Q15" s="164"/>
      <c r="R15" s="164"/>
      <c r="S15" s="164"/>
      <c r="T15" s="166"/>
      <c r="U15" s="28"/>
      <c r="V15" s="28"/>
      <c r="W15" s="28"/>
      <c r="X15" s="28"/>
      <c r="Y15" s="28"/>
      <c r="Z15" s="28"/>
      <c r="AA15" s="28"/>
      <c r="AB15" s="28"/>
      <c r="AC15" s="28"/>
      <c r="AD15" s="124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s="146"/>
      <c r="B16" s="30"/>
      <c r="C16" s="30"/>
      <c r="D16" s="30"/>
      <c r="E16" s="30"/>
      <c r="F16" s="30"/>
      <c r="G16" s="30"/>
      <c r="H16" s="30"/>
      <c r="I16" s="30"/>
      <c r="J16" s="30"/>
      <c r="K16" s="141"/>
      <c r="L16" s="30"/>
      <c r="M16" s="121"/>
      <c r="N16" s="121"/>
      <c r="O16" s="121"/>
      <c r="P16" s="121"/>
      <c r="Q16" s="147"/>
      <c r="R16" s="147"/>
      <c r="S16" s="147"/>
      <c r="T16" s="121"/>
      <c r="U16" s="121"/>
      <c r="V16" s="121"/>
      <c r="W16" s="121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121"/>
      <c r="N17" s="121"/>
      <c r="O17" s="121"/>
      <c r="P17" s="121"/>
      <c r="Q17" s="30"/>
      <c r="R17" s="121"/>
      <c r="S17" s="121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121"/>
      <c r="N18" s="121"/>
      <c r="O18" s="121"/>
      <c r="P18" s="121"/>
      <c r="Q18" s="121"/>
      <c r="R18" s="121"/>
      <c r="S18" s="121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121"/>
      <c r="N19" s="121"/>
      <c r="O19" s="121"/>
      <c r="P19" s="121"/>
      <c r="Q19" s="121"/>
      <c r="R19" s="121"/>
      <c r="S19" s="121"/>
      <c r="T19" s="30"/>
      <c r="U19" s="121"/>
      <c r="V19" s="121"/>
      <c r="W19" s="121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121"/>
      <c r="N20" s="121"/>
      <c r="O20" s="121"/>
      <c r="P20" s="121"/>
      <c r="Q20" s="30"/>
      <c r="R20" s="121"/>
      <c r="S20" s="121"/>
      <c r="T20" s="30"/>
      <c r="U20" s="121"/>
      <c r="V20" s="121"/>
      <c r="W20" s="121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121"/>
      <c r="N21" s="121"/>
      <c r="O21" s="121"/>
      <c r="P21" s="121"/>
      <c r="Q21" s="30"/>
      <c r="R21" s="121"/>
      <c r="S21" s="121"/>
      <c r="T21" s="30"/>
      <c r="U21" s="121"/>
      <c r="V21" s="121"/>
      <c r="W21" s="121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121"/>
      <c r="N22" s="121"/>
      <c r="O22" s="121"/>
      <c r="P22" s="121"/>
      <c r="Q22" s="30"/>
      <c r="R22" s="121"/>
      <c r="S22" s="121"/>
      <c r="T22" s="30"/>
      <c r="U22" s="121"/>
      <c r="V22" s="121"/>
      <c r="W22" s="121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121"/>
      <c r="N23" s="121"/>
      <c r="O23" s="121"/>
      <c r="P23" s="121"/>
      <c r="Q23" s="30"/>
      <c r="R23" s="121"/>
      <c r="S23" s="121"/>
      <c r="T23" s="30"/>
      <c r="U23" s="121"/>
      <c r="V23" s="121"/>
      <c r="W23" s="121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121"/>
      <c r="N25" s="121"/>
      <c r="O25" s="121"/>
      <c r="P25" s="121"/>
      <c r="Q25" s="30"/>
      <c r="R25" s="121"/>
      <c r="S25" s="121"/>
      <c r="T25" s="129"/>
      <c r="U25" s="121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121"/>
      <c r="N26" s="121"/>
      <c r="O26" s="121"/>
      <c r="P26" s="121"/>
      <c r="Q26" s="30"/>
      <c r="R26" s="121"/>
      <c r="S26" s="121"/>
      <c r="T26" s="30"/>
      <c r="U26" s="121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121"/>
      <c r="N27" s="121"/>
      <c r="O27" s="121"/>
      <c r="P27" s="121"/>
      <c r="Q27" s="30"/>
      <c r="R27" s="121"/>
      <c r="S27" s="121"/>
      <c r="T27" s="30"/>
      <c r="U27" s="121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121"/>
      <c r="N28" s="121"/>
      <c r="O28" s="121"/>
      <c r="P28" s="121"/>
      <c r="Q28" s="30"/>
      <c r="R28" s="121"/>
      <c r="S28" s="121"/>
      <c r="T28" s="129"/>
      <c r="U28" s="121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121"/>
      <c r="N29" s="121"/>
      <c r="O29" s="121"/>
      <c r="P29" s="121"/>
      <c r="Q29" s="30"/>
      <c r="R29" s="121"/>
      <c r="S29" s="121"/>
      <c r="T29" s="30"/>
      <c r="U29" s="121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121"/>
      <c r="N30" s="121"/>
      <c r="O30" s="121"/>
      <c r="P30" s="121"/>
      <c r="Q30" s="30"/>
      <c r="R30" s="121"/>
      <c r="S30" s="121"/>
      <c r="T30" s="30"/>
      <c r="U30" s="121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30"/>
      <c r="R31" s="121"/>
      <c r="S31" s="121"/>
      <c r="T31" s="30"/>
      <c r="U31" s="121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" customHeight="1">
      <c r="A32" t="s" s="83">
        <v>723</v>
      </c>
      <c r="B32" s="30"/>
      <c r="C32" s="30"/>
      <c r="D32" s="30"/>
      <c r="E32" s="30"/>
      <c r="F32" s="30"/>
      <c r="G32" s="112" cm="1">
        <f t="array" ref="G32">SUM(G3:G31)</f>
        <v>15</v>
      </c>
      <c r="H32" s="112" cm="1">
        <f t="array" ref="H32">SUM(H3:H31)</f>
        <v>6</v>
      </c>
      <c r="I32" s="112" cm="1">
        <f t="array" ref="I32">SUM(I3:I31)</f>
        <v>12</v>
      </c>
      <c r="J32" s="112" cm="1">
        <f t="array" ref="J32">SUM(J3:J31)</f>
        <v>12</v>
      </c>
      <c r="K32" s="112" cm="1">
        <f t="array" ref="K32">SUM(K3:K31)</f>
        <v>5640</v>
      </c>
      <c r="L32" s="112" cm="1">
        <f t="array" ref="L32">SUM(L3:L31)</f>
        <v>0</v>
      </c>
      <c r="M32" s="112" cm="1">
        <f t="array" ref="M32">SUM(M3:M31)</f>
        <v>0</v>
      </c>
      <c r="N32" s="112" cm="1">
        <f t="array" ref="N32">SUM(N3:N31)</f>
        <v>0</v>
      </c>
      <c r="O32" s="30"/>
      <c r="P32" s="112" cm="1">
        <f t="array" ref="P32">SUM(P3:P31)</f>
        <v>11280</v>
      </c>
      <c r="Q32" s="112" cm="1">
        <f t="array" ref="Q32">SUM(Q3:Q31)</f>
        <v>0</v>
      </c>
      <c r="R32" s="112" cm="1">
        <f t="array" ref="R32">SUM(R3:R31)</f>
        <v>0</v>
      </c>
      <c r="S32" s="112" cm="1">
        <f t="array" ref="S32">SUM(S3:S31)</f>
        <v>0</v>
      </c>
      <c r="T32" s="112" cm="1">
        <f t="array" ref="T32">SUM(T3:T31)</f>
        <v>574</v>
      </c>
      <c r="U32" s="112" cm="1">
        <f t="array" ref="U32">SUM(U3:U31)</f>
        <v>0</v>
      </c>
      <c r="V32" s="112" cm="1">
        <f t="array" ref="V32">SUM(V3:V31)</f>
        <v>0</v>
      </c>
      <c r="W32" s="112" cm="1">
        <f t="array" ref="W32">SUM(W3:W31)</f>
        <v>0</v>
      </c>
      <c r="X32" s="30"/>
      <c r="Y32" s="30"/>
      <c r="Z32" s="112" cm="1">
        <f t="array" ref="Z32">SUM(Z3:Z31)</f>
        <v>0</v>
      </c>
      <c r="AA32" s="112" cm="1">
        <f t="array" ref="AA32">SUM(AA3:AA31)</f>
        <v>0</v>
      </c>
      <c r="AB32" s="112" cm="1">
        <f t="array" ref="AB32">SUM(AB3:AB31)</f>
        <v>0</v>
      </c>
      <c r="AC32" s="112" cm="1">
        <f t="array" ref="AC32">SUM(AC3:AC31)</f>
        <v>8</v>
      </c>
      <c r="AD32" s="112" cm="1">
        <f t="array" ref="AD32">SUM(AD3:AD31)</f>
        <v>0</v>
      </c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87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s="30"/>
      <c r="B34" s="30"/>
      <c r="C34" s="30"/>
      <c r="D34" s="30"/>
      <c r="E34" s="30"/>
      <c r="F34" s="30"/>
      <c r="G34" s="130"/>
      <c r="H34" s="130"/>
      <c r="I34" s="130"/>
      <c r="J34" s="30"/>
      <c r="K34" s="30"/>
      <c r="L34" s="30"/>
      <c r="M34" s="30"/>
      <c r="N34" s="30"/>
      <c r="O34" s="30"/>
      <c r="P34" s="30"/>
      <c r="Q34" s="87"/>
      <c r="R34" s="130"/>
      <c r="S34" s="130"/>
      <c r="T34" s="1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121"/>
      <c r="S35" s="121"/>
      <c r="T35" s="129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130"/>
      <c r="S36" s="130"/>
      <c r="T36" s="130"/>
      <c r="U36" s="30"/>
      <c r="V36" s="30"/>
      <c r="W36" s="30"/>
      <c r="X36" s="30"/>
      <c r="Y36" s="30"/>
      <c r="Z36" s="30"/>
      <c r="AA36" s="30"/>
      <c r="AB36" s="30"/>
      <c r="AC36" s="134"/>
      <c r="AD36" s="134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121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1.xml><?xml version="1.0" encoding="utf-8"?>
<worksheet xmlns:r="http://schemas.openxmlformats.org/officeDocument/2006/relationships" xmlns="http://schemas.openxmlformats.org/spreadsheetml/2006/main">
  <dimension ref="A1:BC117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214" customWidth="1"/>
    <col min="4" max="4" width="17.8516" style="214" customWidth="1"/>
    <col min="5" max="5" width="11.3516" style="214" customWidth="1"/>
    <col min="6" max="6" width="9.5" style="214" customWidth="1"/>
    <col min="7" max="10" width="10.8516" style="214" customWidth="1"/>
    <col min="11" max="11" width="5.5" style="214" customWidth="1"/>
    <col min="12" max="12" width="7.85156" style="214" customWidth="1"/>
    <col min="13" max="13" width="4.5" style="214" customWidth="1"/>
    <col min="14" max="14" width="8.67188" style="214" customWidth="1"/>
    <col min="15" max="15" width="18.5" style="214" customWidth="1"/>
    <col min="16" max="16" width="11.5" style="214" customWidth="1"/>
    <col min="17" max="17" width="11.6719" style="214" customWidth="1"/>
    <col min="18" max="18" width="12.3516" style="214" customWidth="1"/>
    <col min="19" max="19" width="10.8516" style="214" customWidth="1"/>
    <col min="20" max="20" width="15.1719" style="214" customWidth="1"/>
    <col min="21" max="23" width="10.8516" style="214" customWidth="1"/>
    <col min="24" max="24" width="31" style="214" customWidth="1"/>
    <col min="25" max="25" width="19.8516" style="214" customWidth="1"/>
    <col min="26" max="26" width="12.1719" style="214" customWidth="1"/>
    <col min="27" max="30" width="16.5" style="214" customWidth="1"/>
    <col min="31" max="31" width="14.6719" style="214" customWidth="1"/>
    <col min="32" max="32" width="10.8516" style="214" customWidth="1"/>
    <col min="33" max="33" width="11" style="214" customWidth="1"/>
    <col min="34" max="34" width="11.1719" style="214" customWidth="1"/>
    <col min="35" max="35" width="7.85156" style="214" customWidth="1"/>
    <col min="36" max="37" width="10.8516" style="214" customWidth="1"/>
    <col min="38" max="38" width="7.35156" style="214" customWidth="1"/>
    <col min="39" max="39" width="10.8516" style="214" customWidth="1"/>
    <col min="40" max="40" width="9.17188" style="214" customWidth="1"/>
    <col min="41" max="41" width="10.8516" style="214" customWidth="1"/>
    <col min="42" max="42" width="12.5" style="214" customWidth="1"/>
    <col min="43" max="43" width="13" style="214" customWidth="1"/>
    <col min="44" max="55" width="10.8516" style="214" customWidth="1"/>
    <col min="56" max="16384" width="10.8516" style="214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89"/>
      <c r="D2" s="89"/>
      <c r="E2" t="s" s="90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109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68" customHeight="1">
      <c r="A3" t="s" s="88">
        <v>998</v>
      </c>
      <c r="B3" s="89">
        <v>1921</v>
      </c>
      <c r="C3" s="89">
        <v>1</v>
      </c>
      <c r="D3" t="s" s="90">
        <v>999</v>
      </c>
      <c r="E3" s="89"/>
      <c r="F3" s="91"/>
      <c r="G3" t="s" s="83">
        <v>1000</v>
      </c>
      <c r="H3" t="s" s="83">
        <v>1001</v>
      </c>
      <c r="I3" s="174">
        <v>1</v>
      </c>
      <c r="J3" t="s" s="83">
        <v>37</v>
      </c>
      <c r="K3" s="175">
        <v>1</v>
      </c>
      <c r="L3" s="62"/>
      <c r="M3" s="117"/>
      <c r="N3" s="112">
        <v>1</v>
      </c>
      <c r="O3" s="116"/>
      <c r="P3" s="62"/>
      <c r="Q3" s="62"/>
      <c r="R3" s="62"/>
      <c r="S3" s="117"/>
      <c r="T3" s="118">
        <v>61</v>
      </c>
      <c r="U3" s="30"/>
      <c r="V3" s="215"/>
      <c r="W3" s="112">
        <v>1859</v>
      </c>
      <c r="X3" s="116"/>
      <c r="Y3" s="62"/>
      <c r="Z3" s="117"/>
      <c r="AA3" t="s" s="119">
        <v>1002</v>
      </c>
      <c r="AB3" t="s" s="119">
        <v>8</v>
      </c>
      <c r="AC3" s="84">
        <v>1</v>
      </c>
      <c r="AD3" s="84">
        <v>1</v>
      </c>
      <c r="AE3" s="84"/>
      <c r="AF3" s="84">
        <v>1</v>
      </c>
      <c r="AG3" t="s" s="119">
        <v>13</v>
      </c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116"/>
      <c r="BA3" s="62"/>
      <c r="BB3" s="62"/>
      <c r="BC3" s="62"/>
    </row>
    <row r="4" ht="68" customHeight="1">
      <c r="A4" t="s" s="88">
        <v>998</v>
      </c>
      <c r="B4" s="89">
        <v>1921</v>
      </c>
      <c r="C4" s="89">
        <v>1</v>
      </c>
      <c r="D4" t="s" s="90">
        <v>999</v>
      </c>
      <c r="E4" s="89"/>
      <c r="F4" s="91"/>
      <c r="G4" t="s" s="83">
        <v>1000</v>
      </c>
      <c r="H4" t="s" s="83">
        <v>1003</v>
      </c>
      <c r="I4" s="176">
        <v>2</v>
      </c>
      <c r="J4" s="112">
        <v>1</v>
      </c>
      <c r="K4" s="74"/>
      <c r="L4" s="16"/>
      <c r="M4" s="75"/>
      <c r="N4" t="s" s="83">
        <v>72</v>
      </c>
      <c r="O4" s="177">
        <v>1</v>
      </c>
      <c r="P4" s="16"/>
      <c r="Q4" s="16"/>
      <c r="R4" s="16"/>
      <c r="S4" s="75"/>
      <c r="T4" s="118">
        <v>59</v>
      </c>
      <c r="U4" s="30"/>
      <c r="V4" s="215"/>
      <c r="W4" s="112">
        <v>1861</v>
      </c>
      <c r="X4" s="74"/>
      <c r="Y4" s="16"/>
      <c r="Z4" s="75"/>
      <c r="AA4" t="s" s="119">
        <v>33</v>
      </c>
      <c r="AB4" t="s" s="119">
        <v>34</v>
      </c>
      <c r="AC4" s="84"/>
      <c r="AD4" s="84"/>
      <c r="AE4" s="84"/>
      <c r="AF4" s="84">
        <v>1</v>
      </c>
      <c r="AG4" t="s" s="119">
        <v>13</v>
      </c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74"/>
      <c r="BA4" s="16"/>
      <c r="BB4" s="16"/>
      <c r="BC4" s="16"/>
    </row>
    <row r="5" ht="51" customHeight="1">
      <c r="A5" t="s" s="88">
        <v>998</v>
      </c>
      <c r="B5" s="89">
        <v>1921</v>
      </c>
      <c r="C5" s="89">
        <v>1</v>
      </c>
      <c r="D5" t="s" s="90">
        <v>999</v>
      </c>
      <c r="E5" s="89"/>
      <c r="F5" s="91"/>
      <c r="G5" t="s" s="83">
        <v>1004</v>
      </c>
      <c r="H5" t="s" s="83">
        <v>1005</v>
      </c>
      <c r="I5" s="176">
        <v>3</v>
      </c>
      <c r="J5" t="s" s="83">
        <v>37</v>
      </c>
      <c r="K5" s="177">
        <v>1</v>
      </c>
      <c r="L5" s="16"/>
      <c r="M5" s="75"/>
      <c r="N5" t="s" s="83">
        <v>41</v>
      </c>
      <c r="O5" s="74"/>
      <c r="P5" s="16"/>
      <c r="Q5" s="16"/>
      <c r="R5" s="99">
        <v>1</v>
      </c>
      <c r="S5" s="75"/>
      <c r="T5" s="118">
        <v>34</v>
      </c>
      <c r="U5" s="30"/>
      <c r="V5" s="215"/>
      <c r="W5" s="112">
        <v>1886</v>
      </c>
      <c r="X5" s="74"/>
      <c r="Y5" s="16"/>
      <c r="Z5" s="75"/>
      <c r="AA5" t="s" s="119">
        <v>1006</v>
      </c>
      <c r="AB5" t="s" s="119">
        <v>1007</v>
      </c>
      <c r="AC5" s="84">
        <v>1</v>
      </c>
      <c r="AD5" s="84">
        <v>1</v>
      </c>
      <c r="AE5" s="84"/>
      <c r="AF5" s="84"/>
      <c r="AG5" t="s" s="119">
        <v>1008</v>
      </c>
      <c r="AH5" s="87"/>
      <c r="AI5" s="87"/>
      <c r="AJ5" s="87"/>
      <c r="AK5" s="87"/>
      <c r="AL5" s="87"/>
      <c r="AM5" s="87"/>
      <c r="AN5" s="87"/>
      <c r="AO5" s="87"/>
      <c r="AP5" s="87"/>
      <c r="AQ5" s="87"/>
      <c r="AR5" s="87"/>
      <c r="AS5" s="87"/>
      <c r="AT5" s="87"/>
      <c r="AU5" s="87"/>
      <c r="AV5" s="87"/>
      <c r="AW5" s="87"/>
      <c r="AX5" s="87"/>
      <c r="AY5" s="87"/>
      <c r="AZ5" s="74"/>
      <c r="BA5" s="16"/>
      <c r="BB5" s="16"/>
      <c r="BC5" s="16"/>
    </row>
    <row r="6" ht="17" customHeight="1">
      <c r="A6" t="s" s="88">
        <v>998</v>
      </c>
      <c r="B6" s="89">
        <v>1921</v>
      </c>
      <c r="C6" s="89">
        <v>1</v>
      </c>
      <c r="D6" t="s" s="90">
        <v>999</v>
      </c>
      <c r="E6" s="89"/>
      <c r="F6" s="91"/>
      <c r="G6" t="s" s="83">
        <v>1004</v>
      </c>
      <c r="H6" t="s" s="83">
        <v>1009</v>
      </c>
      <c r="I6" s="176">
        <v>4</v>
      </c>
      <c r="J6" t="s" s="83">
        <v>37</v>
      </c>
      <c r="K6" s="177">
        <v>1</v>
      </c>
      <c r="L6" s="16"/>
      <c r="M6" s="75"/>
      <c r="N6" t="s" s="83">
        <v>41</v>
      </c>
      <c r="O6" s="74"/>
      <c r="P6" s="16"/>
      <c r="Q6" s="16"/>
      <c r="R6" s="99">
        <v>1</v>
      </c>
      <c r="S6" s="75"/>
      <c r="T6" s="112">
        <v>1</v>
      </c>
      <c r="U6" s="30"/>
      <c r="V6" s="215"/>
      <c r="W6" s="112">
        <v>1920</v>
      </c>
      <c r="X6" s="74"/>
      <c r="Y6" s="16"/>
      <c r="Z6" s="75"/>
      <c r="AA6" t="s" s="83">
        <v>34</v>
      </c>
      <c r="AB6" t="s" s="83">
        <v>34</v>
      </c>
      <c r="AC6" s="84"/>
      <c r="AD6" s="84"/>
      <c r="AE6" s="84"/>
      <c r="AF6" s="84"/>
      <c r="AG6" t="s" s="83">
        <v>13</v>
      </c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87"/>
      <c r="AS6" s="87"/>
      <c r="AT6" s="87"/>
      <c r="AU6" s="87"/>
      <c r="AV6" s="87"/>
      <c r="AW6" s="87"/>
      <c r="AX6" s="87"/>
      <c r="AY6" s="87"/>
      <c r="AZ6" s="74"/>
      <c r="BA6" s="16"/>
      <c r="BB6" s="16"/>
      <c r="BC6" s="16"/>
    </row>
    <row r="7" ht="34" customHeight="1">
      <c r="A7" t="s" s="88">
        <v>998</v>
      </c>
      <c r="B7" s="89">
        <v>1921</v>
      </c>
      <c r="C7" s="89">
        <v>1</v>
      </c>
      <c r="D7" t="s" s="90">
        <v>999</v>
      </c>
      <c r="E7" s="89"/>
      <c r="F7" s="91"/>
      <c r="G7" t="s" s="83">
        <v>1010</v>
      </c>
      <c r="H7" t="s" s="83">
        <v>95</v>
      </c>
      <c r="I7" s="176">
        <v>5</v>
      </c>
      <c r="J7" s="112">
        <v>1</v>
      </c>
      <c r="K7" s="74"/>
      <c r="L7" s="16"/>
      <c r="M7" s="75"/>
      <c r="N7" t="s" s="83">
        <v>11</v>
      </c>
      <c r="O7" s="74"/>
      <c r="P7" s="16"/>
      <c r="Q7" s="16"/>
      <c r="R7" s="16"/>
      <c r="S7" s="178">
        <v>1</v>
      </c>
      <c r="T7" s="118">
        <v>62</v>
      </c>
      <c r="U7" s="30"/>
      <c r="V7" s="215"/>
      <c r="W7" s="112">
        <v>1859</v>
      </c>
      <c r="X7" s="74"/>
      <c r="Y7" s="16"/>
      <c r="Z7" s="75"/>
      <c r="AA7" t="s" s="119">
        <v>45</v>
      </c>
      <c r="AB7" t="s" s="119">
        <v>15</v>
      </c>
      <c r="AC7" s="84">
        <v>1</v>
      </c>
      <c r="AD7" s="84"/>
      <c r="AE7" s="84">
        <v>1</v>
      </c>
      <c r="AF7" s="84"/>
      <c r="AG7" t="s" s="119">
        <v>785</v>
      </c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74"/>
      <c r="BA7" s="16"/>
      <c r="BB7" s="16"/>
      <c r="BC7" s="16"/>
    </row>
    <row r="8" ht="68" customHeight="1">
      <c r="A8" t="s" s="88">
        <v>998</v>
      </c>
      <c r="B8" s="89">
        <v>1921</v>
      </c>
      <c r="C8" s="89">
        <v>1</v>
      </c>
      <c r="D8" t="s" s="90">
        <v>999</v>
      </c>
      <c r="E8" s="89"/>
      <c r="F8" s="91"/>
      <c r="G8" t="s" s="83">
        <v>1011</v>
      </c>
      <c r="H8" t="s" s="83">
        <v>1012</v>
      </c>
      <c r="I8" s="176">
        <v>6</v>
      </c>
      <c r="J8" s="112">
        <v>1</v>
      </c>
      <c r="K8" s="74"/>
      <c r="L8" s="16"/>
      <c r="M8" s="75"/>
      <c r="N8" t="s" s="83">
        <v>11</v>
      </c>
      <c r="O8" s="74"/>
      <c r="P8" s="16"/>
      <c r="Q8" s="16"/>
      <c r="R8" s="16"/>
      <c r="S8" s="178">
        <v>1</v>
      </c>
      <c r="T8" s="118">
        <v>35</v>
      </c>
      <c r="U8" s="30"/>
      <c r="V8" s="215"/>
      <c r="W8" s="112">
        <v>1886</v>
      </c>
      <c r="X8" s="74"/>
      <c r="Y8" s="16"/>
      <c r="Z8" s="75"/>
      <c r="AA8" t="s" s="119">
        <v>126</v>
      </c>
      <c r="AB8" t="s" s="119">
        <v>15</v>
      </c>
      <c r="AC8" s="84">
        <v>1</v>
      </c>
      <c r="AD8" s="84"/>
      <c r="AE8" s="84">
        <v>1</v>
      </c>
      <c r="AF8" s="84"/>
      <c r="AG8" t="s" s="119">
        <v>1013</v>
      </c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74"/>
      <c r="BA8" s="16"/>
      <c r="BB8" s="16"/>
      <c r="BC8" s="16"/>
    </row>
    <row r="9" ht="51" customHeight="1">
      <c r="A9" t="s" s="88">
        <v>998</v>
      </c>
      <c r="B9" s="89">
        <v>1921</v>
      </c>
      <c r="C9" s="89">
        <v>1</v>
      </c>
      <c r="D9" t="s" s="90">
        <v>999</v>
      </c>
      <c r="E9" s="89"/>
      <c r="F9" s="91"/>
      <c r="G9" t="s" s="83">
        <v>1014</v>
      </c>
      <c r="H9" t="s" s="83">
        <v>123</v>
      </c>
      <c r="I9" s="176">
        <v>7</v>
      </c>
      <c r="J9" s="112">
        <v>1</v>
      </c>
      <c r="K9" s="74"/>
      <c r="L9" s="16"/>
      <c r="M9" s="75"/>
      <c r="N9" t="s" s="83">
        <v>11</v>
      </c>
      <c r="O9" s="74"/>
      <c r="P9" s="16"/>
      <c r="Q9" s="16"/>
      <c r="R9" s="16"/>
      <c r="S9" s="178">
        <v>1</v>
      </c>
      <c r="T9" s="118">
        <v>34</v>
      </c>
      <c r="U9" s="30"/>
      <c r="V9" s="215"/>
      <c r="W9" s="112">
        <v>1887</v>
      </c>
      <c r="X9" s="74"/>
      <c r="Y9" s="16"/>
      <c r="Z9" s="75"/>
      <c r="AA9" t="s" s="119">
        <v>55</v>
      </c>
      <c r="AB9" t="s" s="119">
        <v>15</v>
      </c>
      <c r="AC9" s="84">
        <v>1</v>
      </c>
      <c r="AD9" s="84"/>
      <c r="AE9" s="84">
        <v>1</v>
      </c>
      <c r="AF9" s="84"/>
      <c r="AG9" t="s" s="119">
        <v>1015</v>
      </c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87"/>
      <c r="AS9" s="87"/>
      <c r="AT9" s="87"/>
      <c r="AU9" s="87"/>
      <c r="AV9" s="87"/>
      <c r="AW9" s="87"/>
      <c r="AX9" s="87"/>
      <c r="AY9" s="87"/>
      <c r="AZ9" s="74"/>
      <c r="BA9" s="16"/>
      <c r="BB9" s="16"/>
      <c r="BC9" s="16"/>
    </row>
    <row r="10" ht="34" customHeight="1">
      <c r="A10" t="s" s="88">
        <v>998</v>
      </c>
      <c r="B10" s="89">
        <v>1921</v>
      </c>
      <c r="C10" s="89">
        <v>1</v>
      </c>
      <c r="D10" t="s" s="90">
        <v>999</v>
      </c>
      <c r="E10" s="89"/>
      <c r="F10" s="91"/>
      <c r="G10" t="s" s="83">
        <v>1016</v>
      </c>
      <c r="H10" t="s" s="83">
        <v>123</v>
      </c>
      <c r="I10" s="176">
        <v>8</v>
      </c>
      <c r="J10" s="112">
        <v>1</v>
      </c>
      <c r="K10" s="74"/>
      <c r="L10" s="16"/>
      <c r="M10" s="75"/>
      <c r="N10" t="s" s="83">
        <v>11</v>
      </c>
      <c r="O10" s="74"/>
      <c r="P10" s="16"/>
      <c r="Q10" s="16"/>
      <c r="R10" s="16"/>
      <c r="S10" s="178">
        <v>1</v>
      </c>
      <c r="T10" s="118">
        <v>38</v>
      </c>
      <c r="U10" s="30"/>
      <c r="V10" s="215"/>
      <c r="W10" s="112">
        <v>1883</v>
      </c>
      <c r="X10" s="74"/>
      <c r="Y10" s="16"/>
      <c r="Z10" s="75"/>
      <c r="AA10" t="s" s="119">
        <v>55</v>
      </c>
      <c r="AB10" t="s" s="119">
        <v>15</v>
      </c>
      <c r="AC10" s="84">
        <v>1</v>
      </c>
      <c r="AD10" s="84"/>
      <c r="AE10" s="84">
        <v>1</v>
      </c>
      <c r="AF10" s="84"/>
      <c r="AG10" t="s" s="119">
        <v>134</v>
      </c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74"/>
      <c r="BA10" s="16"/>
      <c r="BB10" s="16"/>
      <c r="BC10" s="16"/>
    </row>
    <row r="11" ht="51" customHeight="1">
      <c r="A11" t="s" s="88">
        <v>998</v>
      </c>
      <c r="B11" s="89">
        <v>1921</v>
      </c>
      <c r="C11" s="89">
        <v>1</v>
      </c>
      <c r="D11" t="s" s="90">
        <v>999</v>
      </c>
      <c r="E11" s="89"/>
      <c r="F11" s="91"/>
      <c r="G11" t="s" s="83">
        <v>1017</v>
      </c>
      <c r="H11" t="s" s="83">
        <v>1018</v>
      </c>
      <c r="I11" s="176">
        <v>9</v>
      </c>
      <c r="J11" s="112">
        <v>1</v>
      </c>
      <c r="K11" s="74"/>
      <c r="L11" s="16"/>
      <c r="M11" s="75"/>
      <c r="N11" t="s" s="83">
        <v>11</v>
      </c>
      <c r="O11" s="74"/>
      <c r="P11" s="16"/>
      <c r="Q11" s="16"/>
      <c r="R11" s="16"/>
      <c r="S11" s="178">
        <v>1</v>
      </c>
      <c r="T11" s="118">
        <v>21</v>
      </c>
      <c r="U11" s="30"/>
      <c r="V11" s="215"/>
      <c r="W11" s="112">
        <v>1899</v>
      </c>
      <c r="X11" s="74"/>
      <c r="Y11" s="16"/>
      <c r="Z11" s="75"/>
      <c r="AA11" t="s" s="119">
        <v>1019</v>
      </c>
      <c r="AB11" t="s" s="119">
        <v>15</v>
      </c>
      <c r="AC11" s="84">
        <v>1</v>
      </c>
      <c r="AD11" s="84"/>
      <c r="AE11" s="84">
        <v>1</v>
      </c>
      <c r="AF11" s="84"/>
      <c r="AG11" t="s" s="119">
        <v>790</v>
      </c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74"/>
      <c r="BA11" s="16"/>
      <c r="BB11" s="16"/>
      <c r="BC11" s="16"/>
    </row>
    <row r="12" ht="68" customHeight="1">
      <c r="A12" t="s" s="88">
        <v>998</v>
      </c>
      <c r="B12" s="89">
        <v>1921</v>
      </c>
      <c r="C12" s="89">
        <v>1</v>
      </c>
      <c r="D12" t="s" s="90">
        <v>999</v>
      </c>
      <c r="E12" s="89"/>
      <c r="F12" s="91"/>
      <c r="G12" t="s" s="83">
        <v>1020</v>
      </c>
      <c r="H12" t="s" s="83">
        <v>166</v>
      </c>
      <c r="I12" s="176">
        <v>10</v>
      </c>
      <c r="J12" s="112">
        <v>1</v>
      </c>
      <c r="K12" s="74"/>
      <c r="L12" s="16"/>
      <c r="M12" s="75"/>
      <c r="N12" t="s" s="83">
        <v>41</v>
      </c>
      <c r="O12" s="74"/>
      <c r="P12" s="16"/>
      <c r="Q12" s="16"/>
      <c r="R12" s="99">
        <v>1</v>
      </c>
      <c r="S12" s="75"/>
      <c r="T12" s="118">
        <v>15</v>
      </c>
      <c r="U12" s="30"/>
      <c r="V12" s="215"/>
      <c r="W12" s="112">
        <v>1905</v>
      </c>
      <c r="X12" s="74"/>
      <c r="Y12" s="16"/>
      <c r="Z12" s="75"/>
      <c r="AA12" t="s" s="119">
        <v>1021</v>
      </c>
      <c r="AB12" t="s" s="119">
        <v>15</v>
      </c>
      <c r="AC12" s="84">
        <v>1</v>
      </c>
      <c r="AD12" s="84"/>
      <c r="AE12" s="84">
        <v>1</v>
      </c>
      <c r="AF12" s="84">
        <v>1</v>
      </c>
      <c r="AG12" t="s" s="119">
        <v>1022</v>
      </c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74"/>
      <c r="BA12" s="16"/>
      <c r="BB12" s="16"/>
      <c r="BC12" s="16"/>
    </row>
    <row r="13" ht="17" customHeight="1">
      <c r="A13" t="s" s="88">
        <v>998</v>
      </c>
      <c r="B13" s="89">
        <v>1921</v>
      </c>
      <c r="C13" s="89"/>
      <c r="D13" t="s" s="90">
        <v>999</v>
      </c>
      <c r="E13" s="89"/>
      <c r="F13" s="91"/>
      <c r="G13" s="30"/>
      <c r="H13" s="112">
        <v>10</v>
      </c>
      <c r="I13" s="122"/>
      <c r="J13" s="30"/>
      <c r="K13" s="74"/>
      <c r="L13" s="16"/>
      <c r="M13" s="75"/>
      <c r="N13" s="30"/>
      <c r="O13" s="74"/>
      <c r="P13" s="16"/>
      <c r="Q13" s="16"/>
      <c r="R13" s="16"/>
      <c r="S13" s="75"/>
      <c r="T13" s="121"/>
      <c r="U13" s="30"/>
      <c r="V13" s="215"/>
      <c r="W13" s="30"/>
      <c r="X13" s="74"/>
      <c r="Y13" s="16"/>
      <c r="Z13" s="75"/>
      <c r="AA13" s="121"/>
      <c r="AB13" s="121"/>
      <c r="AC13" s="84"/>
      <c r="AD13" s="84"/>
      <c r="AE13" s="84"/>
      <c r="AF13" s="84"/>
      <c r="AG13" s="121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74"/>
      <c r="BA13" s="16"/>
      <c r="BB13" s="16"/>
      <c r="BC13" s="16"/>
    </row>
    <row r="14" ht="17" customHeight="1">
      <c r="A14" t="s" s="88">
        <v>998</v>
      </c>
      <c r="B14" s="89">
        <v>1921</v>
      </c>
      <c r="C14" s="89"/>
      <c r="D14" t="s" s="90">
        <v>999</v>
      </c>
      <c r="E14" s="89"/>
      <c r="F14" s="91"/>
      <c r="G14" t="s" s="83">
        <v>1</v>
      </c>
      <c r="H14" t="s" s="83">
        <v>0</v>
      </c>
      <c r="I14" s="122"/>
      <c r="J14" t="s" s="83">
        <v>3</v>
      </c>
      <c r="K14" s="74"/>
      <c r="L14" s="16"/>
      <c r="M14" s="75"/>
      <c r="N14" t="s" s="83">
        <v>2</v>
      </c>
      <c r="O14" s="74"/>
      <c r="P14" s="16"/>
      <c r="Q14" s="16"/>
      <c r="R14" s="16"/>
      <c r="S14" s="75"/>
      <c r="T14" t="s" s="83">
        <v>5</v>
      </c>
      <c r="U14" s="87"/>
      <c r="V14" s="215"/>
      <c r="W14" t="s" s="83">
        <v>4</v>
      </c>
      <c r="X14" s="74"/>
      <c r="Y14" s="16"/>
      <c r="Z14" s="75"/>
      <c r="AA14" t="s" s="83">
        <v>7</v>
      </c>
      <c r="AB14" t="s" s="83">
        <v>8</v>
      </c>
      <c r="AC14" s="84"/>
      <c r="AD14" s="84"/>
      <c r="AE14" s="84"/>
      <c r="AF14" s="84"/>
      <c r="AG14" t="s" s="83">
        <v>6</v>
      </c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74"/>
      <c r="BA14" s="16"/>
      <c r="BB14" s="16"/>
      <c r="BC14" s="16"/>
    </row>
    <row r="15" ht="17" customHeight="1">
      <c r="A15" t="s" s="88">
        <v>998</v>
      </c>
      <c r="B15" s="89">
        <v>1921</v>
      </c>
      <c r="C15" s="89">
        <v>2</v>
      </c>
      <c r="D15" t="s" s="90">
        <v>999</v>
      </c>
      <c r="E15" s="89"/>
      <c r="F15" s="91"/>
      <c r="G15" t="s" s="83">
        <v>1023</v>
      </c>
      <c r="H15" t="s" s="83">
        <v>1024</v>
      </c>
      <c r="I15" s="176">
        <v>11</v>
      </c>
      <c r="J15" t="s" s="83">
        <v>37</v>
      </c>
      <c r="K15" s="177">
        <v>1</v>
      </c>
      <c r="L15" s="16"/>
      <c r="M15" s="75"/>
      <c r="N15" s="112">
        <v>1</v>
      </c>
      <c r="O15" s="74"/>
      <c r="P15" s="16"/>
      <c r="Q15" s="16"/>
      <c r="R15" s="16"/>
      <c r="S15" s="75"/>
      <c r="T15" s="112">
        <v>57</v>
      </c>
      <c r="U15" s="87"/>
      <c r="V15" s="215"/>
      <c r="W15" s="112">
        <v>1863</v>
      </c>
      <c r="X15" s="74"/>
      <c r="Y15" s="16"/>
      <c r="Z15" s="75"/>
      <c r="AA15" t="s" s="83">
        <v>1025</v>
      </c>
      <c r="AB15" t="s" s="83">
        <v>1026</v>
      </c>
      <c r="AC15" s="84">
        <v>1</v>
      </c>
      <c r="AD15" s="84"/>
      <c r="AE15" s="84">
        <v>1</v>
      </c>
      <c r="AF15" s="84"/>
      <c r="AG15" t="s" s="83">
        <v>790</v>
      </c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74"/>
      <c r="BA15" s="16"/>
      <c r="BB15" s="16"/>
      <c r="BC15" s="16"/>
    </row>
    <row r="16" ht="17" customHeight="1">
      <c r="A16" t="s" s="88">
        <v>998</v>
      </c>
      <c r="B16" s="89">
        <v>1921</v>
      </c>
      <c r="C16" s="89">
        <v>2</v>
      </c>
      <c r="D16" t="s" s="90">
        <v>999</v>
      </c>
      <c r="E16" s="89"/>
      <c r="F16" s="91"/>
      <c r="G16" t="s" s="83">
        <v>1023</v>
      </c>
      <c r="H16" t="s" s="83">
        <v>166</v>
      </c>
      <c r="I16" s="176">
        <v>12</v>
      </c>
      <c r="J16" s="112">
        <v>1</v>
      </c>
      <c r="K16" s="74"/>
      <c r="L16" s="16"/>
      <c r="M16" s="75"/>
      <c r="N16" t="s" s="83">
        <v>72</v>
      </c>
      <c r="O16" s="177">
        <v>1</v>
      </c>
      <c r="P16" s="16"/>
      <c r="Q16" s="16"/>
      <c r="R16" s="16"/>
      <c r="S16" s="75"/>
      <c r="T16" s="112">
        <v>53</v>
      </c>
      <c r="U16" s="87"/>
      <c r="V16" s="215"/>
      <c r="W16" s="112">
        <v>1867</v>
      </c>
      <c r="X16" s="74"/>
      <c r="Y16" s="16"/>
      <c r="Z16" s="75"/>
      <c r="AA16" t="s" s="83">
        <v>33</v>
      </c>
      <c r="AB16" t="s" s="83">
        <v>34</v>
      </c>
      <c r="AC16" s="84"/>
      <c r="AD16" s="84"/>
      <c r="AE16" s="84"/>
      <c r="AF16" s="84"/>
      <c r="AG16" t="s" s="83">
        <v>1027</v>
      </c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74"/>
      <c r="BA16" s="16"/>
      <c r="BB16" s="16"/>
      <c r="BC16" s="16"/>
    </row>
    <row r="17" ht="17" customHeight="1">
      <c r="A17" t="s" s="88">
        <v>998</v>
      </c>
      <c r="B17" s="89">
        <v>1921</v>
      </c>
      <c r="C17" s="89">
        <v>2</v>
      </c>
      <c r="D17" t="s" s="90">
        <v>999</v>
      </c>
      <c r="E17" s="89"/>
      <c r="F17" s="91"/>
      <c r="G17" t="s" s="83">
        <v>1023</v>
      </c>
      <c r="H17" t="s" s="83">
        <v>1028</v>
      </c>
      <c r="I17" s="176">
        <v>13</v>
      </c>
      <c r="J17" t="s" s="83">
        <v>37</v>
      </c>
      <c r="K17" s="177">
        <v>1</v>
      </c>
      <c r="L17" s="16"/>
      <c r="M17" s="75"/>
      <c r="N17" t="s" s="83">
        <v>36</v>
      </c>
      <c r="O17" s="74"/>
      <c r="P17" s="16"/>
      <c r="Q17" s="99">
        <v>1</v>
      </c>
      <c r="R17" s="16"/>
      <c r="S17" s="75"/>
      <c r="T17" s="112">
        <v>20</v>
      </c>
      <c r="U17" s="30"/>
      <c r="V17" s="215"/>
      <c r="W17" s="112">
        <v>1901</v>
      </c>
      <c r="X17" s="74"/>
      <c r="Y17" s="16"/>
      <c r="Z17" s="75"/>
      <c r="AA17" t="s" s="83">
        <v>1029</v>
      </c>
      <c r="AB17" t="s" s="83">
        <v>34</v>
      </c>
      <c r="AC17" s="84"/>
      <c r="AD17" s="84"/>
      <c r="AE17" s="84"/>
      <c r="AF17" s="84"/>
      <c r="AG17" t="s" s="83">
        <v>13</v>
      </c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74"/>
      <c r="BA17" s="16"/>
      <c r="BB17" s="16"/>
      <c r="BC17" s="16"/>
    </row>
    <row r="18" ht="17" customHeight="1">
      <c r="A18" t="s" s="88">
        <v>998</v>
      </c>
      <c r="B18" s="89">
        <v>1921</v>
      </c>
      <c r="C18" s="89">
        <v>2</v>
      </c>
      <c r="D18" t="s" s="90">
        <v>999</v>
      </c>
      <c r="E18" s="89"/>
      <c r="F18" s="91"/>
      <c r="G18" t="s" s="83">
        <v>1023</v>
      </c>
      <c r="H18" t="s" s="83">
        <v>1030</v>
      </c>
      <c r="I18" s="176">
        <v>14</v>
      </c>
      <c r="J18" s="112">
        <v>1</v>
      </c>
      <c r="K18" s="74"/>
      <c r="L18" s="16"/>
      <c r="M18" s="75"/>
      <c r="N18" s="30"/>
      <c r="O18" s="74"/>
      <c r="P18" s="99">
        <v>1</v>
      </c>
      <c r="Q18" s="16"/>
      <c r="R18" s="16"/>
      <c r="S18" s="75"/>
      <c r="T18" s="112">
        <v>17</v>
      </c>
      <c r="U18" s="30"/>
      <c r="V18" s="215"/>
      <c r="W18" s="112">
        <v>1904</v>
      </c>
      <c r="X18" s="74"/>
      <c r="Y18" s="16"/>
      <c r="Z18" s="75"/>
      <c r="AA18" t="s" s="83">
        <v>34</v>
      </c>
      <c r="AB18" t="s" s="83">
        <v>34</v>
      </c>
      <c r="AC18" s="84"/>
      <c r="AD18" s="84"/>
      <c r="AE18" s="84"/>
      <c r="AF18" s="84"/>
      <c r="AG18" t="s" s="83">
        <v>13</v>
      </c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74"/>
      <c r="BA18" s="16"/>
      <c r="BB18" s="16"/>
      <c r="BC18" s="16"/>
    </row>
    <row r="19" ht="17" customHeight="1">
      <c r="A19" t="s" s="88">
        <v>998</v>
      </c>
      <c r="B19" s="89">
        <v>1921</v>
      </c>
      <c r="C19" s="89">
        <v>2</v>
      </c>
      <c r="D19" t="s" s="90">
        <v>999</v>
      </c>
      <c r="E19" s="89"/>
      <c r="F19" s="91"/>
      <c r="G19" t="s" s="83">
        <v>1031</v>
      </c>
      <c r="H19" t="s" s="83">
        <v>192</v>
      </c>
      <c r="I19" s="176">
        <v>15</v>
      </c>
      <c r="J19" s="112">
        <v>1</v>
      </c>
      <c r="K19" s="74"/>
      <c r="L19" s="16"/>
      <c r="M19" s="75"/>
      <c r="N19" t="s" s="83">
        <v>1032</v>
      </c>
      <c r="O19" s="74"/>
      <c r="P19" s="16"/>
      <c r="Q19" s="16"/>
      <c r="R19" s="99">
        <v>1</v>
      </c>
      <c r="S19" s="75"/>
      <c r="T19" s="112">
        <v>78</v>
      </c>
      <c r="U19" s="30"/>
      <c r="V19" s="215"/>
      <c r="W19" s="112">
        <v>1843</v>
      </c>
      <c r="X19" s="74"/>
      <c r="Y19" s="16"/>
      <c r="Z19" s="75"/>
      <c r="AA19" t="s" s="83">
        <v>34</v>
      </c>
      <c r="AB19" t="s" s="83">
        <v>34</v>
      </c>
      <c r="AC19" s="84"/>
      <c r="AD19" s="84"/>
      <c r="AE19" s="84"/>
      <c r="AF19" s="84"/>
      <c r="AG19" t="s" s="83">
        <v>790</v>
      </c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74"/>
      <c r="BA19" s="16"/>
      <c r="BB19" s="16"/>
      <c r="BC19" s="16"/>
    </row>
    <row r="20" ht="17" customHeight="1">
      <c r="A20" t="s" s="88">
        <v>998</v>
      </c>
      <c r="B20" s="89">
        <v>1921</v>
      </c>
      <c r="C20" s="89">
        <v>2</v>
      </c>
      <c r="D20" t="s" s="90">
        <v>999</v>
      </c>
      <c r="E20" s="89"/>
      <c r="F20" s="91"/>
      <c r="G20" t="s" s="153">
        <v>1033</v>
      </c>
      <c r="H20" t="s" s="98">
        <v>1034</v>
      </c>
      <c r="I20" s="99">
        <v>16</v>
      </c>
      <c r="J20" t="s" s="98">
        <v>37</v>
      </c>
      <c r="K20" s="99">
        <v>1</v>
      </c>
      <c r="L20" s="16"/>
      <c r="M20" s="16"/>
      <c r="N20" t="s" s="98">
        <v>41</v>
      </c>
      <c r="O20" s="16"/>
      <c r="P20" s="16"/>
      <c r="Q20" s="16"/>
      <c r="R20" s="99">
        <v>1</v>
      </c>
      <c r="S20" s="16"/>
      <c r="T20" s="97">
        <v>30</v>
      </c>
      <c r="U20" s="62"/>
      <c r="V20" s="172"/>
      <c r="W20" s="97">
        <v>1891</v>
      </c>
      <c r="X20" s="16"/>
      <c r="Y20" s="16"/>
      <c r="Z20" s="16"/>
      <c r="AA20" t="s" s="98">
        <v>1035</v>
      </c>
      <c r="AB20" t="s" s="154">
        <v>1026</v>
      </c>
      <c r="AC20" s="84">
        <v>1</v>
      </c>
      <c r="AD20" s="84"/>
      <c r="AE20" s="84">
        <v>1</v>
      </c>
      <c r="AF20" s="84"/>
      <c r="AG20" t="s" s="82">
        <v>1036</v>
      </c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74"/>
      <c r="BA20" s="16"/>
      <c r="BB20" s="16"/>
      <c r="BC20" s="16"/>
    </row>
    <row r="21" ht="17" customHeight="1">
      <c r="A21" t="s" s="88">
        <v>998</v>
      </c>
      <c r="B21" s="89">
        <v>1921</v>
      </c>
      <c r="C21" s="89">
        <v>2</v>
      </c>
      <c r="D21" t="s" s="90">
        <v>999</v>
      </c>
      <c r="E21" s="89"/>
      <c r="F21" s="91"/>
      <c r="G21" t="s" s="157">
        <v>1033</v>
      </c>
      <c r="H21" t="s" s="96">
        <v>1037</v>
      </c>
      <c r="I21" s="99">
        <v>17</v>
      </c>
      <c r="J21" s="79">
        <v>1</v>
      </c>
      <c r="K21" s="16"/>
      <c r="L21" s="16"/>
      <c r="M21" s="16"/>
      <c r="N21" t="s" s="96">
        <v>72</v>
      </c>
      <c r="O21" s="99">
        <v>1</v>
      </c>
      <c r="P21" s="16"/>
      <c r="Q21" s="16"/>
      <c r="R21" s="16"/>
      <c r="S21" s="16"/>
      <c r="T21" s="79">
        <v>25</v>
      </c>
      <c r="U21" s="16"/>
      <c r="V21" s="172"/>
      <c r="W21" s="79">
        <v>1895</v>
      </c>
      <c r="X21" s="16"/>
      <c r="Y21" s="16"/>
      <c r="Z21" s="16"/>
      <c r="AA21" t="s" s="96">
        <v>34</v>
      </c>
      <c r="AB21" t="s" s="158">
        <v>34</v>
      </c>
      <c r="AC21" s="84"/>
      <c r="AD21" s="84"/>
      <c r="AE21" s="84"/>
      <c r="AF21" s="84"/>
      <c r="AG21" t="s" s="159">
        <v>1038</v>
      </c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74"/>
      <c r="BA21" s="16"/>
      <c r="BB21" s="16"/>
      <c r="BC21" s="16"/>
    </row>
    <row r="22" ht="17" customHeight="1">
      <c r="A22" t="s" s="88">
        <v>998</v>
      </c>
      <c r="B22" s="89">
        <v>1921</v>
      </c>
      <c r="C22" s="89">
        <v>2</v>
      </c>
      <c r="D22" t="s" s="90">
        <v>999</v>
      </c>
      <c r="E22" s="89"/>
      <c r="F22" s="91"/>
      <c r="G22" t="s" s="157">
        <v>1033</v>
      </c>
      <c r="H22" t="s" s="96">
        <v>1039</v>
      </c>
      <c r="I22" s="99">
        <v>18</v>
      </c>
      <c r="J22" s="16"/>
      <c r="K22" s="16"/>
      <c r="L22" s="99">
        <v>1</v>
      </c>
      <c r="M22" s="16"/>
      <c r="N22" t="s" s="96">
        <v>78</v>
      </c>
      <c r="O22" s="16"/>
      <c r="P22" s="99">
        <v>1</v>
      </c>
      <c r="Q22" s="16"/>
      <c r="R22" s="16"/>
      <c r="S22" s="16"/>
      <c r="T22" s="79">
        <v>2</v>
      </c>
      <c r="U22" s="16"/>
      <c r="V22" s="172"/>
      <c r="W22" s="79">
        <v>1919</v>
      </c>
      <c r="X22" s="16"/>
      <c r="Y22" s="16"/>
      <c r="Z22" s="16"/>
      <c r="AA22" t="s" s="96">
        <v>34</v>
      </c>
      <c r="AB22" t="s" s="158">
        <v>34</v>
      </c>
      <c r="AC22" s="84"/>
      <c r="AD22" s="84"/>
      <c r="AE22" s="84"/>
      <c r="AF22" s="84"/>
      <c r="AG22" t="s" s="159">
        <v>142</v>
      </c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74"/>
      <c r="BA22" s="16"/>
      <c r="BB22" s="16"/>
      <c r="BC22" s="16"/>
    </row>
    <row r="23" ht="17" customHeight="1">
      <c r="A23" t="s" s="88">
        <v>998</v>
      </c>
      <c r="B23" s="89">
        <v>1921</v>
      </c>
      <c r="C23" s="89">
        <v>2</v>
      </c>
      <c r="D23" t="s" s="90">
        <v>999</v>
      </c>
      <c r="E23" s="89"/>
      <c r="F23" s="91"/>
      <c r="G23" t="s" s="157">
        <v>1040</v>
      </c>
      <c r="H23" t="s" s="96">
        <v>115</v>
      </c>
      <c r="I23" s="99">
        <v>19</v>
      </c>
      <c r="J23" s="79">
        <v>1</v>
      </c>
      <c r="K23" s="16"/>
      <c r="L23" s="16"/>
      <c r="M23" s="16"/>
      <c r="N23" t="s" s="96">
        <v>11</v>
      </c>
      <c r="O23" s="16"/>
      <c r="P23" s="16"/>
      <c r="Q23" s="16"/>
      <c r="R23" s="99">
        <v>1</v>
      </c>
      <c r="S23" s="16"/>
      <c r="T23" s="79">
        <v>35</v>
      </c>
      <c r="U23" s="16"/>
      <c r="V23" s="172"/>
      <c r="W23" s="79">
        <v>1885</v>
      </c>
      <c r="X23" s="16"/>
      <c r="Y23" s="16"/>
      <c r="Z23" s="16"/>
      <c r="AA23" t="s" s="96">
        <v>1041</v>
      </c>
      <c r="AB23" t="s" s="158">
        <v>15</v>
      </c>
      <c r="AC23" s="84">
        <v>1</v>
      </c>
      <c r="AD23" s="84"/>
      <c r="AE23" s="84">
        <v>1</v>
      </c>
      <c r="AF23" s="84"/>
      <c r="AG23" t="s" s="159">
        <v>121</v>
      </c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74"/>
      <c r="BA23" s="16"/>
      <c r="BB23" s="16"/>
      <c r="BC23" s="16"/>
    </row>
    <row r="24" ht="17" customHeight="1">
      <c r="A24" t="s" s="88">
        <v>998</v>
      </c>
      <c r="B24" s="89">
        <v>1921</v>
      </c>
      <c r="C24" s="89">
        <v>2</v>
      </c>
      <c r="D24" t="s" s="90">
        <v>999</v>
      </c>
      <c r="E24" s="89"/>
      <c r="F24" s="91"/>
      <c r="G24" t="s" s="157">
        <v>91</v>
      </c>
      <c r="H24" t="s" s="96">
        <v>109</v>
      </c>
      <c r="I24" s="99">
        <v>20</v>
      </c>
      <c r="J24" s="79">
        <v>1</v>
      </c>
      <c r="K24" s="16"/>
      <c r="L24" s="16"/>
      <c r="M24" s="16"/>
      <c r="N24" t="s" s="96">
        <v>11</v>
      </c>
      <c r="O24" s="16"/>
      <c r="P24" s="16"/>
      <c r="Q24" s="16"/>
      <c r="R24" s="99">
        <v>1</v>
      </c>
      <c r="S24" s="16"/>
      <c r="T24" s="79">
        <v>28</v>
      </c>
      <c r="U24" s="16"/>
      <c r="V24" s="172"/>
      <c r="W24" s="79">
        <v>1893</v>
      </c>
      <c r="X24" s="16"/>
      <c r="Y24" s="16"/>
      <c r="Z24" s="16"/>
      <c r="AA24" t="s" s="96">
        <v>55</v>
      </c>
      <c r="AB24" t="s" s="158">
        <v>15</v>
      </c>
      <c r="AC24" s="84">
        <v>1</v>
      </c>
      <c r="AD24" s="84"/>
      <c r="AE24" s="84">
        <v>1</v>
      </c>
      <c r="AF24" s="84"/>
      <c r="AG24" t="s" s="159">
        <v>1042</v>
      </c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74"/>
      <c r="BA24" s="16"/>
      <c r="BB24" s="16"/>
      <c r="BC24" s="16"/>
    </row>
    <row r="25" ht="17" customHeight="1">
      <c r="A25" t="s" s="88">
        <v>998</v>
      </c>
      <c r="B25" s="89">
        <v>1921</v>
      </c>
      <c r="C25" s="89">
        <v>2</v>
      </c>
      <c r="D25" t="s" s="90">
        <v>999</v>
      </c>
      <c r="E25" s="89"/>
      <c r="F25" s="91"/>
      <c r="G25" t="s" s="157">
        <v>1043</v>
      </c>
      <c r="H25" t="s" s="96">
        <v>1044</v>
      </c>
      <c r="I25" s="99">
        <v>21</v>
      </c>
      <c r="J25" s="79">
        <v>1</v>
      </c>
      <c r="K25" s="16"/>
      <c r="L25" s="16"/>
      <c r="M25" s="16"/>
      <c r="N25" t="s" s="96">
        <v>11</v>
      </c>
      <c r="O25" s="16"/>
      <c r="P25" s="16"/>
      <c r="Q25" s="16"/>
      <c r="R25" s="99">
        <v>1</v>
      </c>
      <c r="S25" s="16"/>
      <c r="T25" s="79">
        <v>20</v>
      </c>
      <c r="U25" s="16"/>
      <c r="V25" s="172"/>
      <c r="W25" s="79">
        <v>1900</v>
      </c>
      <c r="X25" s="16"/>
      <c r="Y25" s="16"/>
      <c r="Z25" s="16"/>
      <c r="AA25" t="s" s="96">
        <v>55</v>
      </c>
      <c r="AB25" t="s" s="158">
        <v>15</v>
      </c>
      <c r="AC25" s="84">
        <v>1</v>
      </c>
      <c r="AD25" s="84"/>
      <c r="AE25" s="84">
        <v>1</v>
      </c>
      <c r="AF25" s="84"/>
      <c r="AG25" t="s" s="159">
        <v>222</v>
      </c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74"/>
      <c r="BA25" s="16"/>
      <c r="BB25" s="16"/>
      <c r="BC25" s="16"/>
    </row>
    <row r="26" ht="17" customHeight="1">
      <c r="A26" t="s" s="88">
        <v>998</v>
      </c>
      <c r="B26" s="89">
        <v>1921</v>
      </c>
      <c r="C26" s="89"/>
      <c r="D26" t="s" s="90">
        <v>999</v>
      </c>
      <c r="E26" s="89"/>
      <c r="F26" s="91"/>
      <c r="G26" s="74"/>
      <c r="H26" s="79">
        <v>11</v>
      </c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72"/>
      <c r="W26" s="16"/>
      <c r="X26" s="16"/>
      <c r="Y26" s="16"/>
      <c r="Z26" s="16"/>
      <c r="AA26" s="16"/>
      <c r="AB26" s="75"/>
      <c r="AC26" s="84"/>
      <c r="AD26" s="84"/>
      <c r="AE26" s="84"/>
      <c r="AF26" s="84"/>
      <c r="AG26" s="122"/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87"/>
      <c r="AS26" s="87"/>
      <c r="AT26" s="87"/>
      <c r="AU26" s="87"/>
      <c r="AV26" s="87"/>
      <c r="AW26" s="87"/>
      <c r="AX26" s="87"/>
      <c r="AY26" s="87"/>
      <c r="AZ26" s="74"/>
      <c r="BA26" s="16"/>
      <c r="BB26" s="16"/>
      <c r="BC26" s="16"/>
    </row>
    <row r="27" ht="17" customHeight="1">
      <c r="A27" t="s" s="88">
        <v>998</v>
      </c>
      <c r="B27" s="89">
        <v>1921</v>
      </c>
      <c r="C27" s="89"/>
      <c r="D27" t="s" s="90">
        <v>999</v>
      </c>
      <c r="E27" s="89"/>
      <c r="F27" s="91"/>
      <c r="G27" t="s" s="157">
        <v>1</v>
      </c>
      <c r="H27" t="s" s="96">
        <v>0</v>
      </c>
      <c r="I27" s="16"/>
      <c r="J27" t="s" s="96">
        <v>3</v>
      </c>
      <c r="K27" s="16"/>
      <c r="L27" s="16"/>
      <c r="M27" s="16"/>
      <c r="N27" t="s" s="96">
        <v>2</v>
      </c>
      <c r="O27" s="16"/>
      <c r="P27" s="16"/>
      <c r="Q27" s="16"/>
      <c r="R27" s="16"/>
      <c r="S27" s="16"/>
      <c r="T27" t="s" s="96">
        <v>5</v>
      </c>
      <c r="U27" s="16"/>
      <c r="V27" s="172"/>
      <c r="W27" t="s" s="96">
        <v>4</v>
      </c>
      <c r="X27" s="16"/>
      <c r="Y27" s="16"/>
      <c r="Z27" s="16"/>
      <c r="AA27" t="s" s="96">
        <v>7</v>
      </c>
      <c r="AB27" t="s" s="158">
        <v>8</v>
      </c>
      <c r="AC27" s="84"/>
      <c r="AD27" s="84"/>
      <c r="AE27" s="84"/>
      <c r="AF27" s="84"/>
      <c r="AG27" t="s" s="159">
        <v>6</v>
      </c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87"/>
      <c r="AS27" s="87"/>
      <c r="AT27" s="87"/>
      <c r="AU27" s="87"/>
      <c r="AV27" s="87"/>
      <c r="AW27" s="87"/>
      <c r="AX27" s="87"/>
      <c r="AY27" s="87"/>
      <c r="AZ27" s="74"/>
      <c r="BA27" s="16"/>
      <c r="BB27" s="16"/>
      <c r="BC27" s="16"/>
    </row>
    <row r="28" ht="17" customHeight="1">
      <c r="A28" t="s" s="88">
        <v>998</v>
      </c>
      <c r="B28" s="89">
        <v>1921</v>
      </c>
      <c r="C28" s="89">
        <v>3</v>
      </c>
      <c r="D28" t="s" s="90">
        <v>999</v>
      </c>
      <c r="E28" s="89"/>
      <c r="F28" s="91"/>
      <c r="G28" t="s" s="157">
        <v>1045</v>
      </c>
      <c r="H28" t="s" s="96">
        <v>1046</v>
      </c>
      <c r="I28" s="99">
        <v>22</v>
      </c>
      <c r="J28" s="79">
        <v>1</v>
      </c>
      <c r="K28" s="16"/>
      <c r="L28" s="16"/>
      <c r="M28" s="16"/>
      <c r="N28" t="s" s="96">
        <v>72</v>
      </c>
      <c r="O28" s="99">
        <v>1</v>
      </c>
      <c r="P28" s="16"/>
      <c r="Q28" s="16"/>
      <c r="R28" s="16"/>
      <c r="S28" s="16"/>
      <c r="T28" s="79">
        <v>53</v>
      </c>
      <c r="U28" s="16"/>
      <c r="V28" s="172"/>
      <c r="W28" s="79">
        <v>1868</v>
      </c>
      <c r="X28" s="16"/>
      <c r="Y28" s="16"/>
      <c r="Z28" s="16"/>
      <c r="AA28" t="s" s="96">
        <v>34</v>
      </c>
      <c r="AB28" t="s" s="158">
        <v>34</v>
      </c>
      <c r="AC28" s="84"/>
      <c r="AD28" s="84"/>
      <c r="AE28" s="84"/>
      <c r="AF28" s="84"/>
      <c r="AG28" t="s" s="159">
        <v>1047</v>
      </c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74"/>
      <c r="BA28" s="16"/>
      <c r="BB28" s="16"/>
      <c r="BC28" s="16"/>
    </row>
    <row r="29" ht="17" customHeight="1">
      <c r="A29" t="s" s="88">
        <v>998</v>
      </c>
      <c r="B29" s="89">
        <v>1921</v>
      </c>
      <c r="C29" s="89">
        <v>3</v>
      </c>
      <c r="D29" t="s" s="90">
        <v>999</v>
      </c>
      <c r="E29" s="89"/>
      <c r="F29" s="91"/>
      <c r="G29" t="s" s="157">
        <v>1045</v>
      </c>
      <c r="H29" t="s" s="96">
        <v>1048</v>
      </c>
      <c r="I29" s="99">
        <v>23</v>
      </c>
      <c r="J29" s="79">
        <v>1</v>
      </c>
      <c r="K29" s="16"/>
      <c r="L29" s="16"/>
      <c r="M29" s="16"/>
      <c r="N29" t="s" s="96">
        <v>78</v>
      </c>
      <c r="O29" s="16"/>
      <c r="P29" s="99">
        <v>1</v>
      </c>
      <c r="Q29" s="16"/>
      <c r="R29" s="16"/>
      <c r="S29" s="16"/>
      <c r="T29" s="79">
        <v>22</v>
      </c>
      <c r="U29" s="16"/>
      <c r="V29" s="172"/>
      <c r="W29" s="79">
        <v>1899</v>
      </c>
      <c r="X29" s="16"/>
      <c r="Y29" s="16"/>
      <c r="Z29" s="16"/>
      <c r="AA29" t="s" s="96">
        <v>34</v>
      </c>
      <c r="AB29" t="s" s="158">
        <v>34</v>
      </c>
      <c r="AC29" s="84"/>
      <c r="AD29" s="84"/>
      <c r="AE29" s="84"/>
      <c r="AF29" s="84"/>
      <c r="AG29" t="s" s="159">
        <v>1049</v>
      </c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87"/>
      <c r="AS29" s="87"/>
      <c r="AT29" s="87"/>
      <c r="AU29" s="87"/>
      <c r="AV29" s="87"/>
      <c r="AW29" s="87"/>
      <c r="AX29" s="87"/>
      <c r="AY29" s="87"/>
      <c r="AZ29" s="74"/>
      <c r="BA29" s="16"/>
      <c r="BB29" s="16"/>
      <c r="BC29" s="16"/>
    </row>
    <row r="30" ht="17" customHeight="1">
      <c r="A30" t="s" s="88">
        <v>998</v>
      </c>
      <c r="B30" s="89">
        <v>1921</v>
      </c>
      <c r="C30" s="89">
        <v>3</v>
      </c>
      <c r="D30" t="s" s="90">
        <v>999</v>
      </c>
      <c r="E30" s="89"/>
      <c r="F30" s="91"/>
      <c r="G30" t="s" s="157">
        <v>1045</v>
      </c>
      <c r="H30" t="s" s="96">
        <v>1050</v>
      </c>
      <c r="I30" s="99">
        <v>24</v>
      </c>
      <c r="J30" t="s" s="96">
        <v>37</v>
      </c>
      <c r="K30" s="99">
        <v>1</v>
      </c>
      <c r="L30" s="16"/>
      <c r="M30" s="16"/>
      <c r="N30" t="s" s="96">
        <v>36</v>
      </c>
      <c r="O30" s="16"/>
      <c r="P30" s="16"/>
      <c r="Q30" s="99">
        <v>1</v>
      </c>
      <c r="R30" s="16"/>
      <c r="S30" s="16"/>
      <c r="T30" s="79">
        <v>18</v>
      </c>
      <c r="U30" s="16"/>
      <c r="V30" s="172"/>
      <c r="W30" s="79">
        <v>1902</v>
      </c>
      <c r="X30" s="16"/>
      <c r="Y30" s="16"/>
      <c r="Z30" s="16"/>
      <c r="AA30" t="s" s="96">
        <v>34</v>
      </c>
      <c r="AB30" t="s" s="158">
        <v>34</v>
      </c>
      <c r="AC30" s="84"/>
      <c r="AD30" s="84"/>
      <c r="AE30" s="84"/>
      <c r="AF30" s="84"/>
      <c r="AG30" t="s" s="159">
        <v>1051</v>
      </c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74"/>
      <c r="BA30" s="16"/>
      <c r="BB30" s="16"/>
      <c r="BC30" s="16"/>
    </row>
    <row r="31" ht="17" customHeight="1">
      <c r="A31" t="s" s="88">
        <v>998</v>
      </c>
      <c r="B31" s="89">
        <v>1921</v>
      </c>
      <c r="C31" s="89">
        <v>3</v>
      </c>
      <c r="D31" t="s" s="90">
        <v>999</v>
      </c>
      <c r="E31" s="89"/>
      <c r="F31" s="91"/>
      <c r="G31" t="s" s="157">
        <v>1052</v>
      </c>
      <c r="H31" t="s" s="96">
        <v>1053</v>
      </c>
      <c r="I31" s="99">
        <v>25</v>
      </c>
      <c r="J31" s="79">
        <v>1</v>
      </c>
      <c r="K31" s="16"/>
      <c r="L31" s="16"/>
      <c r="M31" s="16"/>
      <c r="N31" t="s" s="96">
        <v>11</v>
      </c>
      <c r="O31" s="16"/>
      <c r="P31" s="16"/>
      <c r="Q31" s="16"/>
      <c r="R31" s="16"/>
      <c r="S31" s="99">
        <v>1</v>
      </c>
      <c r="T31" s="79">
        <v>30</v>
      </c>
      <c r="U31" s="16"/>
      <c r="V31" s="172"/>
      <c r="W31" s="79">
        <v>1891</v>
      </c>
      <c r="X31" s="16"/>
      <c r="Y31" s="16"/>
      <c r="Z31" s="16"/>
      <c r="AA31" t="s" s="96">
        <v>45</v>
      </c>
      <c r="AB31" t="s" s="158">
        <v>15</v>
      </c>
      <c r="AC31" s="84">
        <v>1</v>
      </c>
      <c r="AD31" s="84"/>
      <c r="AE31" s="84">
        <v>1</v>
      </c>
      <c r="AF31" s="84"/>
      <c r="AG31" t="s" s="159">
        <v>1054</v>
      </c>
      <c r="AH31" s="87"/>
      <c r="AI31" s="87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74"/>
      <c r="BA31" s="16"/>
      <c r="BB31" s="16"/>
      <c r="BC31" s="16"/>
    </row>
    <row r="32" ht="17" customHeight="1">
      <c r="A32" t="s" s="88">
        <v>998</v>
      </c>
      <c r="B32" s="89">
        <v>1921</v>
      </c>
      <c r="C32" s="89">
        <v>3</v>
      </c>
      <c r="D32" t="s" s="90">
        <v>999</v>
      </c>
      <c r="E32" s="89"/>
      <c r="F32" s="91"/>
      <c r="G32" t="s" s="157">
        <v>386</v>
      </c>
      <c r="H32" t="s" s="96">
        <v>1055</v>
      </c>
      <c r="I32" s="99">
        <v>26</v>
      </c>
      <c r="J32" s="79">
        <v>1</v>
      </c>
      <c r="K32" s="16"/>
      <c r="L32" s="16"/>
      <c r="M32" s="16"/>
      <c r="N32" t="s" s="96">
        <v>11</v>
      </c>
      <c r="O32" s="16"/>
      <c r="P32" s="16"/>
      <c r="Q32" s="16"/>
      <c r="R32" s="16"/>
      <c r="S32" s="99">
        <v>1</v>
      </c>
      <c r="T32" s="79">
        <v>23</v>
      </c>
      <c r="U32" s="16"/>
      <c r="V32" s="172"/>
      <c r="W32" s="79">
        <v>1898</v>
      </c>
      <c r="X32" s="16"/>
      <c r="Y32" s="16"/>
      <c r="Z32" s="16"/>
      <c r="AA32" t="s" s="96">
        <v>85</v>
      </c>
      <c r="AB32" t="s" s="161">
        <v>15</v>
      </c>
      <c r="AC32" s="84">
        <v>1</v>
      </c>
      <c r="AD32" s="84"/>
      <c r="AE32" s="84">
        <v>1</v>
      </c>
      <c r="AF32" s="84"/>
      <c r="AG32" t="s" s="110">
        <v>1056</v>
      </c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74"/>
      <c r="BA32" s="16"/>
      <c r="BB32" s="16"/>
      <c r="BC32" s="16"/>
    </row>
    <row r="33" ht="17" customHeight="1">
      <c r="A33" t="s" s="88">
        <v>998</v>
      </c>
      <c r="B33" s="89">
        <v>1921</v>
      </c>
      <c r="C33" s="89"/>
      <c r="D33" t="s" s="90">
        <v>999</v>
      </c>
      <c r="E33" s="89"/>
      <c r="F33" s="91"/>
      <c r="G33" s="74"/>
      <c r="H33" s="79">
        <v>5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72"/>
      <c r="W33" s="16"/>
      <c r="X33" s="16"/>
      <c r="Y33" s="16"/>
      <c r="Z33" s="16"/>
      <c r="AA33" s="75"/>
      <c r="AB33" s="84"/>
      <c r="AC33" s="84"/>
      <c r="AD33" s="84"/>
      <c r="AE33" s="84"/>
      <c r="AF33" s="84"/>
      <c r="AG33" s="87"/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74"/>
      <c r="BA33" s="16"/>
      <c r="BB33" s="16"/>
      <c r="BC33" s="16"/>
    </row>
    <row r="34" ht="17" customHeight="1">
      <c r="A34" t="s" s="88">
        <v>998</v>
      </c>
      <c r="B34" s="89">
        <v>1921</v>
      </c>
      <c r="C34" s="89"/>
      <c r="D34" t="s" s="90">
        <v>999</v>
      </c>
      <c r="E34" s="89"/>
      <c r="F34" s="91"/>
      <c r="G34" t="s" s="157">
        <v>1</v>
      </c>
      <c r="H34" t="s" s="96">
        <v>0</v>
      </c>
      <c r="I34" s="16"/>
      <c r="J34" t="s" s="96">
        <v>3</v>
      </c>
      <c r="K34" s="16"/>
      <c r="L34" s="16"/>
      <c r="M34" s="16"/>
      <c r="N34" t="s" s="96">
        <v>2</v>
      </c>
      <c r="O34" s="16"/>
      <c r="P34" s="16"/>
      <c r="Q34" s="16"/>
      <c r="R34" s="16"/>
      <c r="S34" s="16"/>
      <c r="T34" t="s" s="96">
        <v>5</v>
      </c>
      <c r="U34" s="16"/>
      <c r="V34" s="172"/>
      <c r="W34" t="s" s="96">
        <v>4</v>
      </c>
      <c r="X34" s="16"/>
      <c r="Y34" s="16"/>
      <c r="Z34" s="16"/>
      <c r="AA34" t="s" s="96">
        <v>7</v>
      </c>
      <c r="AB34" t="s" s="154">
        <v>8</v>
      </c>
      <c r="AC34" s="84"/>
      <c r="AD34" s="84"/>
      <c r="AE34" s="84"/>
      <c r="AF34" s="116"/>
      <c r="AG34" t="s" s="154">
        <v>6</v>
      </c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74"/>
      <c r="BA34" s="16"/>
      <c r="BB34" s="16"/>
      <c r="BC34" s="16"/>
    </row>
    <row r="35" ht="17" customHeight="1">
      <c r="A35" t="s" s="88">
        <v>998</v>
      </c>
      <c r="B35" s="89">
        <v>1921</v>
      </c>
      <c r="C35" s="89">
        <v>4</v>
      </c>
      <c r="D35" t="s" s="90">
        <v>999</v>
      </c>
      <c r="E35" s="89"/>
      <c r="F35" s="91"/>
      <c r="G35" t="s" s="157">
        <v>777</v>
      </c>
      <c r="H35" t="s" s="96">
        <v>1057</v>
      </c>
      <c r="I35" s="99">
        <v>27</v>
      </c>
      <c r="J35" t="s" s="96">
        <v>37</v>
      </c>
      <c r="K35" s="99">
        <v>1</v>
      </c>
      <c r="L35" s="16"/>
      <c r="M35" s="16"/>
      <c r="N35" s="79">
        <v>1</v>
      </c>
      <c r="O35" s="16"/>
      <c r="P35" s="16"/>
      <c r="Q35" s="16"/>
      <c r="R35" s="16"/>
      <c r="S35" s="16"/>
      <c r="T35" s="79">
        <v>68</v>
      </c>
      <c r="U35" t="s" s="96">
        <v>1058</v>
      </c>
      <c r="V35" s="172"/>
      <c r="W35" s="79">
        <v>1853</v>
      </c>
      <c r="X35" s="16"/>
      <c r="Y35" s="16"/>
      <c r="Z35" s="16"/>
      <c r="AA35" t="s" s="96">
        <v>1059</v>
      </c>
      <c r="AB35" t="s" s="158">
        <v>8</v>
      </c>
      <c r="AC35" s="84">
        <v>1</v>
      </c>
      <c r="AD35" s="84">
        <v>1</v>
      </c>
      <c r="AE35" s="84"/>
      <c r="AF35" s="177">
        <v>1</v>
      </c>
      <c r="AG35" t="s" s="158">
        <v>13</v>
      </c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87"/>
      <c r="AS35" s="87"/>
      <c r="AT35" s="87"/>
      <c r="AU35" s="87"/>
      <c r="AV35" s="87"/>
      <c r="AW35" s="87"/>
      <c r="AX35" s="87"/>
      <c r="AY35" s="87"/>
      <c r="AZ35" s="74"/>
      <c r="BA35" s="16"/>
      <c r="BB35" s="16"/>
      <c r="BC35" s="16"/>
    </row>
    <row r="36" ht="17" customHeight="1">
      <c r="A36" t="s" s="88">
        <v>998</v>
      </c>
      <c r="B36" s="89">
        <v>1921</v>
      </c>
      <c r="C36" s="89">
        <v>4</v>
      </c>
      <c r="D36" t="s" s="90">
        <v>999</v>
      </c>
      <c r="E36" s="89"/>
      <c r="F36" s="91"/>
      <c r="G36" t="s" s="157">
        <v>777</v>
      </c>
      <c r="H36" t="s" s="96">
        <v>1060</v>
      </c>
      <c r="I36" s="99">
        <v>28</v>
      </c>
      <c r="J36" s="79">
        <v>1</v>
      </c>
      <c r="K36" s="16"/>
      <c r="L36" s="16"/>
      <c r="M36" s="16"/>
      <c r="N36" t="s" s="96">
        <v>72</v>
      </c>
      <c r="O36" s="99">
        <v>1</v>
      </c>
      <c r="P36" s="16"/>
      <c r="Q36" s="16"/>
      <c r="R36" s="16"/>
      <c r="S36" s="16"/>
      <c r="T36" s="79">
        <v>65</v>
      </c>
      <c r="U36" s="16"/>
      <c r="V36" s="172"/>
      <c r="W36" s="79">
        <v>1856</v>
      </c>
      <c r="X36" s="16"/>
      <c r="Y36" s="16"/>
      <c r="Z36" s="16"/>
      <c r="AA36" t="s" s="96">
        <v>1061</v>
      </c>
      <c r="AB36" t="s" s="158">
        <v>34</v>
      </c>
      <c r="AC36" s="84"/>
      <c r="AD36" s="84"/>
      <c r="AE36" s="84"/>
      <c r="AF36" s="177">
        <v>1</v>
      </c>
      <c r="AG36" t="s" s="158">
        <v>13</v>
      </c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74"/>
      <c r="BA36" s="16"/>
      <c r="BB36" s="16"/>
      <c r="BC36" s="16"/>
    </row>
    <row r="37" ht="17" customHeight="1">
      <c r="A37" t="s" s="88">
        <v>998</v>
      </c>
      <c r="B37" s="89">
        <v>1921</v>
      </c>
      <c r="C37" s="89">
        <v>4</v>
      </c>
      <c r="D37" t="s" s="90">
        <v>999</v>
      </c>
      <c r="E37" s="89"/>
      <c r="F37" s="91"/>
      <c r="G37" t="s" s="157">
        <v>777</v>
      </c>
      <c r="H37" t="s" s="96">
        <v>1062</v>
      </c>
      <c r="I37" s="99">
        <v>29</v>
      </c>
      <c r="J37" s="79">
        <v>1</v>
      </c>
      <c r="K37" s="16"/>
      <c r="L37" s="16"/>
      <c r="M37" s="16"/>
      <c r="N37" t="s" s="96">
        <v>36</v>
      </c>
      <c r="O37" s="16"/>
      <c r="P37" s="16"/>
      <c r="Q37" s="99">
        <v>1</v>
      </c>
      <c r="R37" s="16"/>
      <c r="S37" s="16"/>
      <c r="T37" s="79">
        <v>30</v>
      </c>
      <c r="U37" s="16"/>
      <c r="V37" s="172"/>
      <c r="W37" s="79">
        <v>1890</v>
      </c>
      <c r="X37" s="16"/>
      <c r="Y37" s="16"/>
      <c r="Z37" s="16"/>
      <c r="AA37" t="s" s="96">
        <v>1063</v>
      </c>
      <c r="AB37" t="s" s="158">
        <v>1064</v>
      </c>
      <c r="AC37" s="84">
        <v>1</v>
      </c>
      <c r="AD37" s="84"/>
      <c r="AE37" s="84">
        <v>1</v>
      </c>
      <c r="AF37" s="177">
        <v>1</v>
      </c>
      <c r="AG37" t="s" s="158">
        <v>13</v>
      </c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74"/>
      <c r="BA37" s="16"/>
      <c r="BB37" s="16"/>
      <c r="BC37" s="16"/>
    </row>
    <row r="38" ht="17" customHeight="1">
      <c r="A38" t="s" s="88">
        <v>998</v>
      </c>
      <c r="B38" s="89">
        <v>1921</v>
      </c>
      <c r="C38" s="89">
        <v>4</v>
      </c>
      <c r="D38" t="s" s="90">
        <v>999</v>
      </c>
      <c r="E38" s="89"/>
      <c r="F38" s="91"/>
      <c r="G38" t="s" s="157">
        <v>777</v>
      </c>
      <c r="H38" t="s" s="96">
        <v>1065</v>
      </c>
      <c r="I38" s="99">
        <v>30</v>
      </c>
      <c r="J38" s="79">
        <v>1</v>
      </c>
      <c r="K38" s="16"/>
      <c r="L38" s="16"/>
      <c r="M38" s="16"/>
      <c r="N38" t="s" s="96">
        <v>78</v>
      </c>
      <c r="O38" s="16"/>
      <c r="P38" s="99">
        <v>1</v>
      </c>
      <c r="Q38" s="16"/>
      <c r="R38" s="16"/>
      <c r="S38" s="16"/>
      <c r="T38" s="79">
        <v>29</v>
      </c>
      <c r="U38" s="16"/>
      <c r="V38" s="172"/>
      <c r="W38" s="79">
        <v>1892</v>
      </c>
      <c r="X38" s="16"/>
      <c r="Y38" s="16"/>
      <c r="Z38" s="16"/>
      <c r="AA38" t="s" s="96">
        <v>34</v>
      </c>
      <c r="AB38" t="s" s="158">
        <v>34</v>
      </c>
      <c r="AC38" s="84"/>
      <c r="AD38" s="84"/>
      <c r="AE38" s="84"/>
      <c r="AF38" s="177">
        <v>1</v>
      </c>
      <c r="AG38" t="s" s="158">
        <v>13</v>
      </c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74"/>
      <c r="BA38" s="16"/>
      <c r="BB38" s="16"/>
      <c r="BC38" s="16"/>
    </row>
    <row r="39" ht="17" customHeight="1">
      <c r="A39" t="s" s="88">
        <v>998</v>
      </c>
      <c r="B39" s="89">
        <v>1921</v>
      </c>
      <c r="C39" s="89">
        <v>4</v>
      </c>
      <c r="D39" t="s" s="90">
        <v>999</v>
      </c>
      <c r="E39" s="89"/>
      <c r="F39" s="91"/>
      <c r="G39" t="s" s="157">
        <v>1066</v>
      </c>
      <c r="H39" t="s" s="96">
        <v>1067</v>
      </c>
      <c r="I39" s="99">
        <v>31</v>
      </c>
      <c r="J39" s="79">
        <v>1</v>
      </c>
      <c r="K39" s="16"/>
      <c r="L39" s="16"/>
      <c r="M39" s="16"/>
      <c r="N39" t="s" s="96">
        <v>41</v>
      </c>
      <c r="O39" s="16"/>
      <c r="P39" s="16"/>
      <c r="Q39" s="16"/>
      <c r="R39" s="99">
        <v>1</v>
      </c>
      <c r="S39" s="16"/>
      <c r="T39" s="79">
        <v>28</v>
      </c>
      <c r="U39" s="16"/>
      <c r="V39" s="172"/>
      <c r="W39" s="79">
        <v>1892</v>
      </c>
      <c r="X39" s="16"/>
      <c r="Y39" s="16"/>
      <c r="Z39" s="16"/>
      <c r="AA39" t="s" s="96">
        <v>34</v>
      </c>
      <c r="AB39" t="s" s="158">
        <v>34</v>
      </c>
      <c r="AC39" s="84"/>
      <c r="AD39" s="84"/>
      <c r="AE39" s="84"/>
      <c r="AF39" s="74"/>
      <c r="AG39" t="s" s="158">
        <v>1068</v>
      </c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74"/>
      <c r="BA39" s="16"/>
      <c r="BB39" s="16"/>
      <c r="BC39" s="16"/>
    </row>
    <row r="40" ht="17" customHeight="1">
      <c r="A40" t="s" s="88">
        <v>998</v>
      </c>
      <c r="B40" s="89">
        <v>1921</v>
      </c>
      <c r="C40" s="89">
        <v>4</v>
      </c>
      <c r="D40" t="s" s="90">
        <v>999</v>
      </c>
      <c r="E40" s="89"/>
      <c r="F40" s="91"/>
      <c r="G40" t="s" s="157">
        <v>137</v>
      </c>
      <c r="H40" t="s" s="96">
        <v>1069</v>
      </c>
      <c r="I40" s="99">
        <v>32</v>
      </c>
      <c r="J40" s="79">
        <v>1</v>
      </c>
      <c r="K40" s="16"/>
      <c r="L40" s="16"/>
      <c r="M40" s="16"/>
      <c r="N40" t="s" s="96">
        <v>1070</v>
      </c>
      <c r="O40" s="16"/>
      <c r="P40" s="16"/>
      <c r="Q40" s="16"/>
      <c r="R40" s="99">
        <v>1</v>
      </c>
      <c r="S40" s="16"/>
      <c r="T40" s="79">
        <v>66</v>
      </c>
      <c r="U40" s="16"/>
      <c r="V40" s="172"/>
      <c r="W40" s="79">
        <v>1854</v>
      </c>
      <c r="X40" s="16"/>
      <c r="Y40" s="16"/>
      <c r="Z40" s="16"/>
      <c r="AA40" t="s" s="96">
        <v>34</v>
      </c>
      <c r="AB40" t="s" s="158">
        <v>34</v>
      </c>
      <c r="AC40" s="84"/>
      <c r="AD40" s="84"/>
      <c r="AE40" s="84"/>
      <c r="AF40" s="74"/>
      <c r="AG40" t="s" s="158">
        <v>370</v>
      </c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74"/>
      <c r="BA40" s="16"/>
      <c r="BB40" s="16"/>
      <c r="BC40" s="16"/>
    </row>
    <row r="41" ht="17" customHeight="1">
      <c r="A41" t="s" s="88">
        <v>998</v>
      </c>
      <c r="B41" s="89">
        <v>1921</v>
      </c>
      <c r="C41" s="89">
        <v>4</v>
      </c>
      <c r="D41" t="s" s="90">
        <v>999</v>
      </c>
      <c r="E41" s="89"/>
      <c r="F41" s="91"/>
      <c r="G41" t="s" s="157">
        <v>1071</v>
      </c>
      <c r="H41" t="s" s="96">
        <v>1072</v>
      </c>
      <c r="I41" s="99">
        <v>33</v>
      </c>
      <c r="J41" s="79">
        <v>1</v>
      </c>
      <c r="K41" s="16"/>
      <c r="L41" s="16"/>
      <c r="M41" s="16"/>
      <c r="N41" t="s" s="96">
        <v>45</v>
      </c>
      <c r="O41" s="16"/>
      <c r="P41" s="16"/>
      <c r="Q41" s="16"/>
      <c r="R41" s="16"/>
      <c r="S41" s="99">
        <v>1</v>
      </c>
      <c r="T41" s="79">
        <v>32</v>
      </c>
      <c r="U41" s="16"/>
      <c r="V41" s="172"/>
      <c r="W41" s="79">
        <v>1888</v>
      </c>
      <c r="X41" s="16"/>
      <c r="Y41" s="16"/>
      <c r="Z41" s="16"/>
      <c r="AA41" t="s" s="96">
        <v>11</v>
      </c>
      <c r="AB41" t="s" s="158">
        <v>15</v>
      </c>
      <c r="AC41" s="84">
        <v>1</v>
      </c>
      <c r="AD41" s="84"/>
      <c r="AE41" s="84">
        <v>1</v>
      </c>
      <c r="AF41" s="74"/>
      <c r="AG41" t="s" s="158">
        <v>1073</v>
      </c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87"/>
      <c r="AS41" s="87"/>
      <c r="AT41" s="87"/>
      <c r="AU41" s="87"/>
      <c r="AV41" s="87"/>
      <c r="AW41" s="87"/>
      <c r="AX41" s="87"/>
      <c r="AY41" s="87"/>
      <c r="AZ41" s="74"/>
      <c r="BA41" s="16"/>
      <c r="BB41" s="16"/>
      <c r="BC41" s="16"/>
    </row>
    <row r="42" ht="17" customHeight="1">
      <c r="A42" t="s" s="88">
        <v>998</v>
      </c>
      <c r="B42" s="89">
        <v>1921</v>
      </c>
      <c r="C42" s="89">
        <v>4</v>
      </c>
      <c r="D42" t="s" s="90">
        <v>999</v>
      </c>
      <c r="E42" s="89"/>
      <c r="F42" s="91"/>
      <c r="G42" t="s" s="157">
        <v>1074</v>
      </c>
      <c r="H42" t="s" s="96">
        <v>231</v>
      </c>
      <c r="I42" s="99">
        <v>34</v>
      </c>
      <c r="J42" s="79">
        <v>1</v>
      </c>
      <c r="K42" s="16"/>
      <c r="L42" s="16"/>
      <c r="M42" s="16"/>
      <c r="N42" t="s" s="96">
        <v>1075</v>
      </c>
      <c r="O42" s="16"/>
      <c r="P42" s="16"/>
      <c r="Q42" s="16"/>
      <c r="R42" s="16"/>
      <c r="S42" s="99">
        <v>1</v>
      </c>
      <c r="T42" s="79">
        <v>31</v>
      </c>
      <c r="U42" s="16"/>
      <c r="V42" s="172"/>
      <c r="W42" s="79">
        <v>1890</v>
      </c>
      <c r="X42" s="16"/>
      <c r="Y42" s="16"/>
      <c r="Z42" s="16"/>
      <c r="AA42" t="s" s="96">
        <v>34</v>
      </c>
      <c r="AB42" t="s" s="158">
        <v>34</v>
      </c>
      <c r="AC42" s="84"/>
      <c r="AD42" s="84"/>
      <c r="AE42" s="84"/>
      <c r="AF42" s="74"/>
      <c r="AG42" t="s" s="158">
        <v>233</v>
      </c>
      <c r="AH42" s="87"/>
      <c r="AI42" s="87"/>
      <c r="AJ42" s="87"/>
      <c r="AK42" s="87"/>
      <c r="AL42" s="87"/>
      <c r="AM42" s="87"/>
      <c r="AN42" s="87"/>
      <c r="AO42" s="87"/>
      <c r="AP42" s="87"/>
      <c r="AQ42" s="87"/>
      <c r="AR42" s="87"/>
      <c r="AS42" s="87"/>
      <c r="AT42" s="87"/>
      <c r="AU42" s="87"/>
      <c r="AV42" s="87"/>
      <c r="AW42" s="87"/>
      <c r="AX42" s="87"/>
      <c r="AY42" s="87"/>
      <c r="AZ42" s="74"/>
      <c r="BA42" s="16"/>
      <c r="BB42" s="16"/>
      <c r="BC42" s="16"/>
    </row>
    <row r="43" ht="17" customHeight="1">
      <c r="A43" t="s" s="88">
        <v>998</v>
      </c>
      <c r="B43" s="89">
        <v>1921</v>
      </c>
      <c r="C43" s="89">
        <v>4</v>
      </c>
      <c r="D43" t="s" s="90">
        <v>999</v>
      </c>
      <c r="E43" s="89"/>
      <c r="F43" s="91"/>
      <c r="G43" t="s" s="157">
        <v>1076</v>
      </c>
      <c r="H43" t="s" s="96">
        <v>1077</v>
      </c>
      <c r="I43" s="99">
        <v>35</v>
      </c>
      <c r="J43" s="79">
        <v>1</v>
      </c>
      <c r="K43" s="16"/>
      <c r="L43" s="16"/>
      <c r="M43" s="16"/>
      <c r="N43" t="s" s="96">
        <v>1078</v>
      </c>
      <c r="O43" s="16"/>
      <c r="P43" s="16"/>
      <c r="Q43" s="16"/>
      <c r="R43" s="16"/>
      <c r="S43" s="99">
        <v>1</v>
      </c>
      <c r="T43" s="79">
        <v>21</v>
      </c>
      <c r="U43" s="16"/>
      <c r="V43" s="172"/>
      <c r="W43" s="79">
        <v>1900</v>
      </c>
      <c r="X43" s="16"/>
      <c r="Y43" s="16"/>
      <c r="Z43" s="16"/>
      <c r="AA43" t="s" s="96">
        <v>34</v>
      </c>
      <c r="AB43" t="s" s="158">
        <v>34</v>
      </c>
      <c r="AC43" s="84"/>
      <c r="AD43" s="84"/>
      <c r="AE43" s="84"/>
      <c r="AF43" s="74"/>
      <c r="AG43" t="s" s="158">
        <v>512</v>
      </c>
      <c r="AH43" s="87"/>
      <c r="AI43" s="87"/>
      <c r="AJ43" s="87"/>
      <c r="AK43" s="87"/>
      <c r="AL43" s="87"/>
      <c r="AM43" s="87"/>
      <c r="AN43" s="87"/>
      <c r="AO43" s="87"/>
      <c r="AP43" s="87"/>
      <c r="AQ43" s="87"/>
      <c r="AR43" s="87"/>
      <c r="AS43" s="87"/>
      <c r="AT43" s="87"/>
      <c r="AU43" s="87"/>
      <c r="AV43" s="87"/>
      <c r="AW43" s="87"/>
      <c r="AX43" s="87"/>
      <c r="AY43" s="87"/>
      <c r="AZ43" s="74"/>
      <c r="BA43" s="16"/>
      <c r="BB43" s="16"/>
      <c r="BC43" s="16"/>
    </row>
    <row r="44" ht="17" customHeight="1">
      <c r="A44" t="s" s="88">
        <v>998</v>
      </c>
      <c r="B44" s="89">
        <v>1921</v>
      </c>
      <c r="C44" s="89">
        <v>4</v>
      </c>
      <c r="D44" t="s" s="90">
        <v>999</v>
      </c>
      <c r="E44" s="89"/>
      <c r="F44" s="91"/>
      <c r="G44" t="s" s="157">
        <v>1079</v>
      </c>
      <c r="H44" t="s" s="96">
        <v>1080</v>
      </c>
      <c r="I44" s="99">
        <v>36</v>
      </c>
      <c r="J44" s="79">
        <v>1</v>
      </c>
      <c r="K44" s="16"/>
      <c r="L44" s="16"/>
      <c r="M44" s="16"/>
      <c r="N44" t="s" s="96">
        <v>41</v>
      </c>
      <c r="O44" s="16"/>
      <c r="P44" s="16"/>
      <c r="Q44" s="16"/>
      <c r="R44" s="99">
        <v>1</v>
      </c>
      <c r="S44" s="16"/>
      <c r="T44" s="79">
        <v>60</v>
      </c>
      <c r="U44" s="16"/>
      <c r="V44" s="172"/>
      <c r="W44" s="79">
        <v>1861</v>
      </c>
      <c r="X44" s="16"/>
      <c r="Y44" s="16"/>
      <c r="Z44" s="16"/>
      <c r="AA44" t="s" s="96">
        <v>34</v>
      </c>
      <c r="AB44" t="s" s="158">
        <v>34</v>
      </c>
      <c r="AC44" s="84"/>
      <c r="AD44" s="84"/>
      <c r="AE44" s="84"/>
      <c r="AF44" s="177">
        <v>1</v>
      </c>
      <c r="AG44" t="s" s="158">
        <v>1081</v>
      </c>
      <c r="AH44" s="87"/>
      <c r="AI44" s="87"/>
      <c r="AJ44" s="87"/>
      <c r="AK44" s="87"/>
      <c r="AL44" s="87"/>
      <c r="AM44" s="87"/>
      <c r="AN44" s="87"/>
      <c r="AO44" s="87"/>
      <c r="AP44" s="87"/>
      <c r="AQ44" s="87"/>
      <c r="AR44" s="87"/>
      <c r="AS44" s="87"/>
      <c r="AT44" s="87"/>
      <c r="AU44" s="87"/>
      <c r="AV44" s="87"/>
      <c r="AW44" s="87"/>
      <c r="AX44" s="87"/>
      <c r="AY44" s="87"/>
      <c r="AZ44" s="74"/>
      <c r="BA44" s="16"/>
      <c r="BB44" s="16"/>
      <c r="BC44" s="16"/>
    </row>
    <row r="45" ht="17" customHeight="1">
      <c r="A45" t="s" s="88">
        <v>998</v>
      </c>
      <c r="B45" s="89">
        <v>1921</v>
      </c>
      <c r="C45" s="89">
        <v>4</v>
      </c>
      <c r="D45" t="s" s="90">
        <v>999</v>
      </c>
      <c r="E45" s="89"/>
      <c r="F45" s="91"/>
      <c r="G45" t="s" s="157">
        <v>1082</v>
      </c>
      <c r="H45" t="s" s="96">
        <v>192</v>
      </c>
      <c r="I45" s="99">
        <v>37</v>
      </c>
      <c r="J45" s="79">
        <v>1</v>
      </c>
      <c r="K45" s="16"/>
      <c r="L45" s="16"/>
      <c r="M45" s="16"/>
      <c r="N45" t="s" s="96">
        <v>55</v>
      </c>
      <c r="O45" s="16"/>
      <c r="P45" s="16"/>
      <c r="Q45" s="16"/>
      <c r="R45" s="16"/>
      <c r="S45" s="99">
        <v>1</v>
      </c>
      <c r="T45" s="79">
        <v>36</v>
      </c>
      <c r="U45" s="16"/>
      <c r="V45" s="172"/>
      <c r="W45" s="79">
        <v>1885</v>
      </c>
      <c r="X45" s="16"/>
      <c r="Y45" s="16"/>
      <c r="Z45" s="16"/>
      <c r="AA45" t="s" s="96">
        <v>34</v>
      </c>
      <c r="AB45" t="s" s="158">
        <v>34</v>
      </c>
      <c r="AC45" s="84"/>
      <c r="AD45" s="84"/>
      <c r="AE45" s="84"/>
      <c r="AF45" s="177">
        <v>1</v>
      </c>
      <c r="AG45" t="s" s="158">
        <v>1083</v>
      </c>
      <c r="AH45" s="87"/>
      <c r="AI45" s="87"/>
      <c r="AJ45" s="87"/>
      <c r="AK45" s="87"/>
      <c r="AL45" s="87"/>
      <c r="AM45" s="87"/>
      <c r="AN45" s="87"/>
      <c r="AO45" s="87"/>
      <c r="AP45" s="87"/>
      <c r="AQ45" s="87"/>
      <c r="AR45" s="87"/>
      <c r="AS45" s="87"/>
      <c r="AT45" s="87"/>
      <c r="AU45" s="87"/>
      <c r="AV45" s="87"/>
      <c r="AW45" s="87"/>
      <c r="AX45" s="87"/>
      <c r="AY45" s="87"/>
      <c r="AZ45" s="74"/>
      <c r="BA45" s="16"/>
      <c r="BB45" s="16"/>
      <c r="BC45" s="16"/>
    </row>
    <row r="46" ht="17" customHeight="1">
      <c r="A46" t="s" s="88">
        <v>998</v>
      </c>
      <c r="B46" s="89">
        <v>1921</v>
      </c>
      <c r="C46" s="89"/>
      <c r="D46" t="s" s="90">
        <v>999</v>
      </c>
      <c r="E46" s="107"/>
      <c r="F46" s="91"/>
      <c r="G46" s="74"/>
      <c r="H46" s="79">
        <v>11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70"/>
      <c r="W46" s="16"/>
      <c r="X46" s="16"/>
      <c r="Y46" s="16"/>
      <c r="Z46" s="16"/>
      <c r="AA46" s="16"/>
      <c r="AB46" s="75"/>
      <c r="AC46" s="84"/>
      <c r="AD46" s="84"/>
      <c r="AE46" s="84"/>
      <c r="AF46" s="74"/>
      <c r="AG46" s="75"/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87"/>
      <c r="AS46" s="87"/>
      <c r="AT46" s="87"/>
      <c r="AU46" s="87"/>
      <c r="AV46" s="87"/>
      <c r="AW46" s="87"/>
      <c r="AX46" s="87"/>
      <c r="AY46" s="87"/>
      <c r="AZ46" s="74"/>
      <c r="BA46" s="16"/>
      <c r="BB46" s="16"/>
      <c r="BC46" s="16"/>
    </row>
    <row r="47" ht="19" customHeight="1">
      <c r="A47" t="s" s="88">
        <v>998</v>
      </c>
      <c r="B47" s="89">
        <v>1921</v>
      </c>
      <c r="C47" s="89"/>
      <c r="D47" t="s" s="216">
        <v>999</v>
      </c>
      <c r="E47" s="30"/>
      <c r="F47" s="29"/>
      <c r="G47" t="s" s="157">
        <v>1</v>
      </c>
      <c r="H47" t="s" s="96">
        <v>0</v>
      </c>
      <c r="I47" s="16"/>
      <c r="J47" t="s" s="96">
        <v>3</v>
      </c>
      <c r="K47" s="16"/>
      <c r="L47" s="16"/>
      <c r="M47" s="16"/>
      <c r="N47" t="s" s="96">
        <v>2</v>
      </c>
      <c r="O47" s="16"/>
      <c r="P47" s="16"/>
      <c r="Q47" s="16"/>
      <c r="R47" s="16"/>
      <c r="S47" s="16"/>
      <c r="T47" t="s" s="96">
        <v>5</v>
      </c>
      <c r="U47" s="75"/>
      <c r="V47" s="29"/>
      <c r="W47" t="s" s="157">
        <v>4</v>
      </c>
      <c r="X47" s="16"/>
      <c r="Y47" s="16"/>
      <c r="Z47" s="16"/>
      <c r="AA47" t="s" s="96">
        <v>7</v>
      </c>
      <c r="AB47" t="s" s="158">
        <v>8</v>
      </c>
      <c r="AC47" s="29"/>
      <c r="AD47" s="29"/>
      <c r="AE47" s="30"/>
      <c r="AF47" s="74"/>
      <c r="AG47" t="s" s="158">
        <v>6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.5" customHeight="1">
      <c r="A48" t="s" s="88">
        <v>998</v>
      </c>
      <c r="B48" s="89">
        <v>1921</v>
      </c>
      <c r="C48" s="89">
        <v>5</v>
      </c>
      <c r="D48" t="s" s="216">
        <v>999</v>
      </c>
      <c r="E48" s="30"/>
      <c r="F48" s="112">
        <v>7</v>
      </c>
      <c r="G48" t="s" s="157">
        <v>1084</v>
      </c>
      <c r="H48" t="s" s="96">
        <v>1085</v>
      </c>
      <c r="I48" s="99">
        <v>38</v>
      </c>
      <c r="J48" t="s" s="96">
        <v>37</v>
      </c>
      <c r="K48" s="79">
        <v>1</v>
      </c>
      <c r="L48" s="16"/>
      <c r="M48" s="16"/>
      <c r="N48" s="79">
        <v>1</v>
      </c>
      <c r="O48" s="16"/>
      <c r="P48" s="16"/>
      <c r="Q48" s="16"/>
      <c r="R48" s="16"/>
      <c r="S48" s="16"/>
      <c r="T48" s="79">
        <v>53</v>
      </c>
      <c r="U48" s="75"/>
      <c r="V48" s="30"/>
      <c r="W48" s="156">
        <v>1867</v>
      </c>
      <c r="X48" s="16"/>
      <c r="Y48" s="16"/>
      <c r="Z48" s="16"/>
      <c r="AA48" t="s" s="96">
        <v>1086</v>
      </c>
      <c r="AB48" t="s" s="158">
        <v>8</v>
      </c>
      <c r="AC48" s="112">
        <v>1</v>
      </c>
      <c r="AD48" s="112">
        <v>1</v>
      </c>
      <c r="AE48" s="30"/>
      <c r="AF48" s="156">
        <v>1</v>
      </c>
      <c r="AG48" t="s" s="158">
        <v>13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.5" customHeight="1">
      <c r="A49" t="s" s="88">
        <v>998</v>
      </c>
      <c r="B49" s="89">
        <v>1921</v>
      </c>
      <c r="C49" s="89">
        <v>5</v>
      </c>
      <c r="D49" t="s" s="216">
        <v>999</v>
      </c>
      <c r="E49" s="30"/>
      <c r="F49" s="30"/>
      <c r="G49" t="s" s="157">
        <v>1084</v>
      </c>
      <c r="H49" t="s" s="96">
        <v>1087</v>
      </c>
      <c r="I49" s="99">
        <v>39</v>
      </c>
      <c r="J49" s="79">
        <v>1</v>
      </c>
      <c r="K49" s="16"/>
      <c r="L49" s="16"/>
      <c r="M49" s="16"/>
      <c r="N49" t="s" s="96">
        <v>492</v>
      </c>
      <c r="O49" s="16"/>
      <c r="P49" s="16"/>
      <c r="Q49" s="16"/>
      <c r="R49" s="79">
        <v>1</v>
      </c>
      <c r="S49" s="16"/>
      <c r="T49" s="79">
        <v>19</v>
      </c>
      <c r="U49" s="75"/>
      <c r="V49" s="30"/>
      <c r="W49" s="156">
        <v>1902</v>
      </c>
      <c r="X49" s="16"/>
      <c r="Y49" s="16"/>
      <c r="Z49" s="16"/>
      <c r="AA49" t="s" s="96">
        <v>34</v>
      </c>
      <c r="AB49" t="s" s="158">
        <v>34</v>
      </c>
      <c r="AC49" s="30"/>
      <c r="AD49" s="30"/>
      <c r="AE49" s="30"/>
      <c r="AF49" s="74"/>
      <c r="AG49" t="s" s="158">
        <v>1088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t="s" s="88">
        <v>998</v>
      </c>
      <c r="B50" s="89">
        <v>1921</v>
      </c>
      <c r="C50" s="89">
        <v>5</v>
      </c>
      <c r="D50" t="s" s="216">
        <v>999</v>
      </c>
      <c r="E50" s="30"/>
      <c r="F50" s="30"/>
      <c r="G50" t="s" s="157">
        <v>1089</v>
      </c>
      <c r="H50" t="s" s="96">
        <v>1090</v>
      </c>
      <c r="I50" s="99">
        <v>40</v>
      </c>
      <c r="J50" s="79">
        <v>1</v>
      </c>
      <c r="K50" s="16"/>
      <c r="L50" s="16"/>
      <c r="M50" s="16"/>
      <c r="N50" t="s" s="96">
        <v>11</v>
      </c>
      <c r="O50" s="16"/>
      <c r="P50" s="16"/>
      <c r="Q50" s="16"/>
      <c r="R50" s="16"/>
      <c r="S50" s="79">
        <v>1</v>
      </c>
      <c r="T50" s="79">
        <v>44</v>
      </c>
      <c r="U50" s="75"/>
      <c r="V50" s="30"/>
      <c r="W50" s="156">
        <v>1876</v>
      </c>
      <c r="X50" s="16"/>
      <c r="Y50" s="16"/>
      <c r="Z50" s="16"/>
      <c r="AA50" t="s" s="96">
        <v>163</v>
      </c>
      <c r="AB50" t="s" s="158">
        <v>15</v>
      </c>
      <c r="AC50" s="112">
        <v>1</v>
      </c>
      <c r="AD50" s="30"/>
      <c r="AE50" s="112">
        <v>1</v>
      </c>
      <c r="AF50" s="74"/>
      <c r="AG50" t="s" s="158">
        <v>222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t="s" s="88">
        <v>998</v>
      </c>
      <c r="B51" s="89">
        <v>1921</v>
      </c>
      <c r="C51" s="89">
        <v>5</v>
      </c>
      <c r="D51" t="s" s="216">
        <v>999</v>
      </c>
      <c r="E51" s="30"/>
      <c r="F51" s="30"/>
      <c r="G51" t="s" s="157">
        <v>1091</v>
      </c>
      <c r="H51" t="s" s="96">
        <v>1092</v>
      </c>
      <c r="I51" s="99">
        <v>41</v>
      </c>
      <c r="J51" s="79">
        <v>1</v>
      </c>
      <c r="K51" s="16"/>
      <c r="L51" s="16"/>
      <c r="M51" s="16"/>
      <c r="N51" t="s" s="96">
        <v>11</v>
      </c>
      <c r="O51" s="16"/>
      <c r="P51" s="16"/>
      <c r="Q51" s="16"/>
      <c r="R51" s="16"/>
      <c r="S51" s="79">
        <v>1</v>
      </c>
      <c r="T51" s="79">
        <v>19</v>
      </c>
      <c r="U51" s="75"/>
      <c r="V51" s="30"/>
      <c r="W51" s="156">
        <v>1902</v>
      </c>
      <c r="X51" s="16"/>
      <c r="Y51" s="16"/>
      <c r="Z51" s="16"/>
      <c r="AA51" t="s" s="96">
        <v>51</v>
      </c>
      <c r="AB51" t="s" s="158">
        <v>15</v>
      </c>
      <c r="AC51" s="112">
        <v>1</v>
      </c>
      <c r="AD51" s="30"/>
      <c r="AE51" s="112">
        <v>1</v>
      </c>
      <c r="AF51" s="74"/>
      <c r="AG51" t="s" s="158">
        <v>1093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.5" customHeight="1">
      <c r="A52" t="s" s="88">
        <v>998</v>
      </c>
      <c r="B52" s="89">
        <v>1921</v>
      </c>
      <c r="C52" s="89">
        <v>5</v>
      </c>
      <c r="D52" t="s" s="216">
        <v>999</v>
      </c>
      <c r="E52" s="30"/>
      <c r="F52" s="30"/>
      <c r="G52" t="s" s="157">
        <v>616</v>
      </c>
      <c r="H52" t="s" s="96">
        <v>1094</v>
      </c>
      <c r="I52" s="99">
        <v>42</v>
      </c>
      <c r="J52" s="79">
        <v>1</v>
      </c>
      <c r="K52" s="16"/>
      <c r="L52" s="16"/>
      <c r="M52" s="16"/>
      <c r="N52" t="s" s="96">
        <v>11</v>
      </c>
      <c r="O52" s="16"/>
      <c r="P52" s="16"/>
      <c r="Q52" s="16"/>
      <c r="R52" s="16"/>
      <c r="S52" s="79">
        <v>1</v>
      </c>
      <c r="T52" s="79">
        <v>19</v>
      </c>
      <c r="U52" s="75"/>
      <c r="V52" s="30"/>
      <c r="W52" s="156">
        <v>1902</v>
      </c>
      <c r="X52" s="16"/>
      <c r="Y52" s="16"/>
      <c r="Z52" s="16"/>
      <c r="AA52" t="s" s="96">
        <v>55</v>
      </c>
      <c r="AB52" t="s" s="158">
        <v>15</v>
      </c>
      <c r="AC52" s="112">
        <v>1</v>
      </c>
      <c r="AD52" s="30"/>
      <c r="AE52" s="112">
        <v>1</v>
      </c>
      <c r="AF52" s="74"/>
      <c r="AG52" t="s" s="158">
        <v>472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t="s" s="88">
        <v>998</v>
      </c>
      <c r="B53" s="89">
        <v>1921</v>
      </c>
      <c r="C53" s="89">
        <v>5</v>
      </c>
      <c r="D53" t="s" s="216">
        <v>999</v>
      </c>
      <c r="E53" s="30"/>
      <c r="F53" s="30"/>
      <c r="G53" t="s" s="157">
        <v>1095</v>
      </c>
      <c r="H53" t="s" s="96">
        <v>1096</v>
      </c>
      <c r="I53" s="99">
        <v>43</v>
      </c>
      <c r="J53" t="s" s="96">
        <v>37</v>
      </c>
      <c r="K53" s="79">
        <v>1</v>
      </c>
      <c r="L53" s="16"/>
      <c r="M53" s="16"/>
      <c r="N53" t="s" s="96">
        <v>41</v>
      </c>
      <c r="O53" s="16"/>
      <c r="P53" s="16"/>
      <c r="Q53" s="16"/>
      <c r="R53" s="79">
        <v>1</v>
      </c>
      <c r="S53" s="16"/>
      <c r="T53" s="79">
        <v>54</v>
      </c>
      <c r="U53" s="75"/>
      <c r="V53" s="30"/>
      <c r="W53" s="156">
        <v>1867</v>
      </c>
      <c r="X53" s="16"/>
      <c r="Y53" s="16"/>
      <c r="Z53" s="16"/>
      <c r="AA53" t="s" s="96">
        <v>1097</v>
      </c>
      <c r="AB53" t="s" s="158">
        <v>8</v>
      </c>
      <c r="AC53" s="112">
        <v>1</v>
      </c>
      <c r="AD53" s="112">
        <v>1</v>
      </c>
      <c r="AE53" s="30"/>
      <c r="AF53" s="74"/>
      <c r="AG53" t="s" s="158">
        <v>840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t="s" s="88">
        <v>998</v>
      </c>
      <c r="B54" s="89">
        <v>1921</v>
      </c>
      <c r="C54" s="89">
        <v>5</v>
      </c>
      <c r="D54" t="s" s="216">
        <v>999</v>
      </c>
      <c r="E54" s="30"/>
      <c r="F54" s="30"/>
      <c r="G54" t="s" s="160">
        <v>1095</v>
      </c>
      <c r="H54" t="s" s="181">
        <v>1072</v>
      </c>
      <c r="I54" s="182">
        <v>44</v>
      </c>
      <c r="J54" s="126">
        <v>1</v>
      </c>
      <c r="K54" s="132"/>
      <c r="L54" s="132"/>
      <c r="M54" s="132"/>
      <c r="N54" t="s" s="181">
        <v>41</v>
      </c>
      <c r="O54" s="132"/>
      <c r="P54" s="132"/>
      <c r="Q54" s="132"/>
      <c r="R54" s="126">
        <v>1</v>
      </c>
      <c r="S54" s="132"/>
      <c r="T54" s="126">
        <v>40</v>
      </c>
      <c r="U54" s="133"/>
      <c r="V54" s="30"/>
      <c r="W54" s="162">
        <v>1881</v>
      </c>
      <c r="X54" s="132"/>
      <c r="Y54" s="132"/>
      <c r="Z54" s="132"/>
      <c r="AA54" t="s" s="181">
        <v>34</v>
      </c>
      <c r="AB54" t="s" s="161">
        <v>34</v>
      </c>
      <c r="AC54" s="30"/>
      <c r="AD54" s="30"/>
      <c r="AE54" s="30"/>
      <c r="AF54" s="131"/>
      <c r="AG54" t="s" s="161">
        <v>1098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.5" customHeight="1">
      <c r="A55" t="s" s="88">
        <v>998</v>
      </c>
      <c r="B55" s="89">
        <v>1921</v>
      </c>
      <c r="C55" s="89">
        <v>5</v>
      </c>
      <c r="D55" t="s" s="216">
        <v>999</v>
      </c>
      <c r="E55" s="30"/>
      <c r="F55" s="30"/>
      <c r="G55" s="30"/>
      <c r="H55" s="112">
        <v>7</v>
      </c>
      <c r="I55" s="112">
        <v>44</v>
      </c>
      <c r="J55" s="112" cm="1">
        <f t="array" ref="J55">SUM(J3:J54)</f>
        <v>33</v>
      </c>
      <c r="K55" s="87" cm="1">
        <f t="array" ref="K55">SUM(K3:K54)</f>
        <v>10</v>
      </c>
      <c r="L55" s="112" cm="1">
        <f t="array" ref="L55">SUM(L3:L54)</f>
        <v>1</v>
      </c>
      <c r="M55" s="112" cm="1">
        <f t="array" ref="M55">SUM(M3:M54)</f>
        <v>0</v>
      </c>
      <c r="N55" s="112" cm="1">
        <f t="array" ref="N55">SUM(N3:N54)</f>
        <v>4</v>
      </c>
      <c r="O55" s="87" cm="1">
        <f t="array" ref="O55">SUM(O3:O54)</f>
        <v>5</v>
      </c>
      <c r="P55" s="112" cm="1">
        <f t="array" ref="P55">SUM(P3:P54)</f>
        <v>4</v>
      </c>
      <c r="Q55" s="112" cm="1">
        <f t="array" ref="Q55">SUM(Q3:Q54)</f>
        <v>3</v>
      </c>
      <c r="R55" s="87" cm="1">
        <f t="array" ref="R55">SUM(R3:R54)</f>
        <v>14</v>
      </c>
      <c r="S55" s="87" cm="1">
        <f t="array" ref="S55">SUM(S3:S54)</f>
        <v>14</v>
      </c>
      <c r="T55" s="112" cm="1">
        <f t="array" ref="T55">SUM(T3:T54)</f>
        <v>1585</v>
      </c>
      <c r="U55" s="30"/>
      <c r="V55" s="87" cm="1">
        <f t="array" ref="V55">SUM(V3:V54)</f>
        <v>0</v>
      </c>
      <c r="W55" s="30"/>
      <c r="X55" s="112" cm="1">
        <f t="array" ref="X55">SUM(X3:X54)</f>
        <v>0</v>
      </c>
      <c r="Y55" s="112" cm="1">
        <f t="array" ref="Y55">SUM(Y3:Y54)</f>
        <v>0</v>
      </c>
      <c r="Z55" s="112" cm="1">
        <f t="array" ref="Z55">SUM(Z3:Z54)</f>
        <v>0</v>
      </c>
      <c r="AA55" s="112" cm="1">
        <f t="array" ref="AA55">SUM(AA3:AA54)</f>
        <v>0</v>
      </c>
      <c r="AB55" s="112" cm="1">
        <f t="array" ref="AB55">SUM(AB3:AB54)</f>
        <v>0</v>
      </c>
      <c r="AC55" s="87" cm="1">
        <f t="array" ref="AC55">SUM(AC3:AC54)</f>
        <v>23</v>
      </c>
      <c r="AD55" s="87" cm="1">
        <f t="array" ref="AD55">SUM(AD3:AD54)</f>
        <v>5</v>
      </c>
      <c r="AE55" s="87" cm="1">
        <f t="array" ref="AE55">SUM(AE3:AE54)</f>
        <v>18</v>
      </c>
      <c r="AF55" s="87" cm="1">
        <f t="array" ref="AF55">SUM(AF3:AF54)</f>
        <v>10</v>
      </c>
      <c r="AG55" s="87" cm="1">
        <f t="array" ref="AG55">J56-AF55</f>
        <v>34</v>
      </c>
      <c r="AH55" s="112">
        <v>44</v>
      </c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" customHeight="1">
      <c r="A56" t="s" s="189">
        <v>998</v>
      </c>
      <c r="B56" s="107">
        <v>1921</v>
      </c>
      <c r="C56" s="107">
        <v>5</v>
      </c>
      <c r="D56" t="s" s="217">
        <v>999</v>
      </c>
      <c r="E56" s="30"/>
      <c r="F56" s="30"/>
      <c r="G56" s="112" cm="1">
        <f t="array" ref="G56">SUM(G55:G55)</f>
        <v>0</v>
      </c>
      <c r="H56" s="112" cm="1">
        <f t="array" ref="H56">SUM(H55:H55)</f>
        <v>7</v>
      </c>
      <c r="I56" s="30"/>
      <c r="J56" s="87" cm="1">
        <f t="array" ref="J56">SUM(J55:M55)</f>
        <v>44</v>
      </c>
      <c r="K56" s="30"/>
      <c r="L56" s="30"/>
      <c r="M56" s="30"/>
      <c r="N56" s="87" cm="1">
        <f t="array" ref="N56">SUM(N55:S55)</f>
        <v>44</v>
      </c>
      <c r="O56" s="30"/>
      <c r="P56" s="30"/>
      <c r="Q56" s="30"/>
      <c r="R56" s="30"/>
      <c r="S56" s="30"/>
      <c r="T56" s="87" cm="1">
        <f t="array" ref="T56">T55/N56</f>
        <v>36.0227272727273</v>
      </c>
      <c r="U56" s="30"/>
      <c r="V56" s="30"/>
      <c r="W56" s="30"/>
      <c r="X56" s="112" cm="1">
        <f t="array" ref="X56">SUM(X55:X55)</f>
        <v>0</v>
      </c>
      <c r="Y56" s="112" cm="1">
        <f t="array" ref="Y56">SUM(Y55:Y55)</f>
        <v>0</v>
      </c>
      <c r="Z56" s="112" cm="1">
        <f t="array" ref="Z56">SUM(Z55:Z55)</f>
        <v>0</v>
      </c>
      <c r="AA56" s="112" cm="1">
        <f t="array" ref="AA56">SUM(AA55:AA55)</f>
        <v>0</v>
      </c>
      <c r="AB56" s="112" cm="1">
        <f t="array" ref="AB56">SUM(AB55:AB55)</f>
        <v>0</v>
      </c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.5" customHeight="1">
      <c r="A57" s="30"/>
      <c r="B57" s="30"/>
      <c r="C57" s="30"/>
      <c r="D57" s="30"/>
      <c r="E57" s="30"/>
      <c r="F57" s="30"/>
      <c r="G57" s="87" cm="1">
        <f t="array" ref="G57">G56+H56+I56+J56</f>
        <v>51</v>
      </c>
      <c r="H57" s="30"/>
      <c r="I57" s="30"/>
      <c r="J57" s="30"/>
      <c r="K57" s="87" cm="1">
        <f t="array" ref="K57">K56+L56+M56+N56+O56+P56</f>
        <v>44</v>
      </c>
      <c r="L57" s="30"/>
      <c r="M57" s="121"/>
      <c r="N57" s="121"/>
      <c r="O57" s="121"/>
      <c r="P57" s="121"/>
      <c r="Q57" s="86" cm="1">
        <f t="array" ref="Q57">Q56/K57</f>
        <v>0</v>
      </c>
      <c r="R57" s="121"/>
      <c r="S57" s="121"/>
      <c r="T57" s="121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.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121"/>
      <c r="N58" s="121"/>
      <c r="O58" s="121"/>
      <c r="P58" s="121"/>
      <c r="Q58" s="121"/>
      <c r="R58" s="121"/>
      <c r="S58" s="121"/>
      <c r="T58" s="121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.5" customHeight="1">
      <c r="A59" s="124"/>
      <c r="B59" s="124"/>
      <c r="C59" s="124"/>
      <c r="D59" s="28"/>
      <c r="E59" s="124"/>
      <c r="F59" s="28"/>
      <c r="G59" s="28"/>
      <c r="H59" s="28"/>
      <c r="I59" s="28"/>
      <c r="J59" s="28"/>
      <c r="K59" s="125"/>
      <c r="L59" s="28"/>
      <c r="M59" s="28"/>
      <c r="N59" s="28"/>
      <c r="O59" s="28"/>
      <c r="P59" s="28"/>
      <c r="Q59" s="125"/>
      <c r="R59" s="125"/>
      <c r="S59" s="125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28" customHeight="1">
      <c r="A60" s="124"/>
      <c r="B60" s="124"/>
      <c r="C60" s="124"/>
      <c r="D60" s="28"/>
      <c r="E60" s="124"/>
      <c r="F60" s="28"/>
      <c r="G60" s="28"/>
      <c r="H60" s="28"/>
      <c r="I60" s="28"/>
      <c r="J60" s="163"/>
      <c r="K60" s="164"/>
      <c r="L60" s="165"/>
      <c r="M60" s="28"/>
      <c r="N60" s="28"/>
      <c r="O60" s="28"/>
      <c r="P60" s="163"/>
      <c r="Q60" s="164"/>
      <c r="R60" s="164"/>
      <c r="S60" s="164"/>
      <c r="T60" s="166"/>
      <c r="U60" s="28"/>
      <c r="V60" s="28"/>
      <c r="W60" s="28"/>
      <c r="X60" s="28"/>
      <c r="Y60" s="28"/>
      <c r="Z60" s="28"/>
      <c r="AA60" s="28"/>
      <c r="AB60" s="28"/>
      <c r="AC60" s="28"/>
      <c r="AD60" s="124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.5" customHeight="1">
      <c r="A61" s="146"/>
      <c r="B61" s="30"/>
      <c r="C61" s="30"/>
      <c r="D61" s="30"/>
      <c r="E61" s="30"/>
      <c r="F61" s="30"/>
      <c r="G61" s="30"/>
      <c r="H61" s="30"/>
      <c r="I61" s="30"/>
      <c r="J61" s="30"/>
      <c r="K61" s="141"/>
      <c r="L61" s="30"/>
      <c r="M61" s="121"/>
      <c r="N61" s="121"/>
      <c r="O61" s="121"/>
      <c r="P61" s="121"/>
      <c r="Q61" s="147"/>
      <c r="R61" s="147"/>
      <c r="S61" s="147"/>
      <c r="T61" s="121"/>
      <c r="U61" s="121"/>
      <c r="V61" s="121"/>
      <c r="W61" s="121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7.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121"/>
      <c r="N62" s="121"/>
      <c r="O62" s="121"/>
      <c r="P62" s="121"/>
      <c r="Q62" s="30"/>
      <c r="R62" s="121"/>
      <c r="S62" s="121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7.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121"/>
      <c r="N63" s="121"/>
      <c r="O63" s="121"/>
      <c r="P63" s="121"/>
      <c r="Q63" s="121"/>
      <c r="R63" s="121"/>
      <c r="S63" s="121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</row>
    <row r="64" ht="17.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121"/>
      <c r="N64" s="121"/>
      <c r="O64" s="121"/>
      <c r="P64" s="121"/>
      <c r="Q64" s="121"/>
      <c r="R64" s="121"/>
      <c r="S64" s="121"/>
      <c r="T64" s="30"/>
      <c r="U64" s="121"/>
      <c r="V64" s="121"/>
      <c r="W64" s="121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</row>
    <row r="65" ht="17.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121"/>
      <c r="N65" s="121"/>
      <c r="O65" s="121"/>
      <c r="P65" s="121"/>
      <c r="Q65" s="30"/>
      <c r="R65" s="121"/>
      <c r="S65" s="121"/>
      <c r="T65" s="30"/>
      <c r="U65" s="121"/>
      <c r="V65" s="121"/>
      <c r="W65" s="121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</row>
    <row r="66" ht="17.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121"/>
      <c r="N66" s="121"/>
      <c r="O66" s="121"/>
      <c r="P66" s="121"/>
      <c r="Q66" s="30"/>
      <c r="R66" s="121"/>
      <c r="S66" s="121"/>
      <c r="T66" s="30"/>
      <c r="U66" s="121"/>
      <c r="V66" s="121"/>
      <c r="W66" s="121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74"/>
      <c r="BA66" s="16"/>
      <c r="BB66" s="16"/>
      <c r="BC66" s="16"/>
    </row>
    <row r="67" ht="17.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121"/>
      <c r="N67" s="121"/>
      <c r="O67" s="121"/>
      <c r="P67" s="121"/>
      <c r="Q67" s="30"/>
      <c r="R67" s="121"/>
      <c r="S67" s="121"/>
      <c r="T67" s="30"/>
      <c r="U67" s="121"/>
      <c r="V67" s="121"/>
      <c r="W67" s="121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</row>
    <row r="68" ht="17.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121"/>
      <c r="N68" s="121"/>
      <c r="O68" s="121"/>
      <c r="P68" s="121"/>
      <c r="Q68" s="30"/>
      <c r="R68" s="121"/>
      <c r="S68" s="121"/>
      <c r="T68" s="30"/>
      <c r="U68" s="121"/>
      <c r="V68" s="121"/>
      <c r="W68" s="121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74"/>
      <c r="BA68" s="16"/>
      <c r="BB68" s="16"/>
      <c r="BC68" s="16"/>
    </row>
    <row r="69" ht="17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74"/>
      <c r="BA69" s="16"/>
      <c r="BB69" s="16"/>
      <c r="BC69" s="16"/>
    </row>
    <row r="70" ht="17.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121"/>
      <c r="N70" s="121"/>
      <c r="O70" s="121"/>
      <c r="P70" s="121"/>
      <c r="Q70" s="30"/>
      <c r="R70" s="121"/>
      <c r="S70" s="121"/>
      <c r="T70" s="129"/>
      <c r="U70" s="121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74"/>
      <c r="BA70" s="16"/>
      <c r="BB70" s="16"/>
      <c r="BC70" s="16"/>
    </row>
    <row r="71" ht="17.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121"/>
      <c r="N71" s="121"/>
      <c r="O71" s="121"/>
      <c r="P71" s="121"/>
      <c r="Q71" s="30"/>
      <c r="R71" s="121"/>
      <c r="S71" s="121"/>
      <c r="T71" s="30"/>
      <c r="U71" s="121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74"/>
      <c r="BA71" s="16"/>
      <c r="BB71" s="16"/>
      <c r="BC71" s="16"/>
    </row>
    <row r="72" ht="17.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121"/>
      <c r="N72" s="121"/>
      <c r="O72" s="121"/>
      <c r="P72" s="121"/>
      <c r="Q72" s="30"/>
      <c r="R72" s="121"/>
      <c r="S72" s="121"/>
      <c r="T72" s="30"/>
      <c r="U72" s="121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74"/>
      <c r="BA72" s="16"/>
      <c r="BB72" s="16"/>
      <c r="BC72" s="16"/>
    </row>
    <row r="73" ht="17.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21"/>
      <c r="N73" s="121"/>
      <c r="O73" s="121"/>
      <c r="P73" s="121"/>
      <c r="Q73" s="30"/>
      <c r="R73" s="121"/>
      <c r="S73" s="121"/>
      <c r="T73" s="129"/>
      <c r="U73" s="121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74"/>
      <c r="BA73" s="16"/>
      <c r="BB73" s="16"/>
      <c r="BC73" s="16"/>
    </row>
    <row r="74" ht="17.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21"/>
      <c r="N74" s="121"/>
      <c r="O74" s="121"/>
      <c r="P74" s="121"/>
      <c r="Q74" s="30"/>
      <c r="R74" s="121"/>
      <c r="S74" s="121"/>
      <c r="T74" s="30"/>
      <c r="U74" s="121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74"/>
      <c r="BA74" s="16"/>
      <c r="BB74" s="16"/>
      <c r="BC74" s="16"/>
    </row>
    <row r="75" ht="17.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121"/>
      <c r="N75" s="121"/>
      <c r="O75" s="121"/>
      <c r="P75" s="121"/>
      <c r="Q75" s="30"/>
      <c r="R75" s="121"/>
      <c r="S75" s="121"/>
      <c r="T75" s="30"/>
      <c r="U75" s="121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74"/>
      <c r="BA75" s="16"/>
      <c r="BB75" s="16"/>
      <c r="BC75" s="16"/>
    </row>
    <row r="76" ht="17.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121"/>
      <c r="N76" s="121"/>
      <c r="O76" s="121"/>
      <c r="P76" s="121"/>
      <c r="Q76" s="30"/>
      <c r="R76" s="121"/>
      <c r="S76" s="121"/>
      <c r="T76" s="30"/>
      <c r="U76" s="121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74"/>
      <c r="BA76" s="16"/>
      <c r="BB76" s="16"/>
      <c r="BC76" s="16"/>
    </row>
    <row r="77" ht="17" customHeight="1">
      <c r="A77" t="s" s="83">
        <v>723</v>
      </c>
      <c r="B77" s="30"/>
      <c r="C77" s="30"/>
      <c r="D77" s="30"/>
      <c r="E77" s="30"/>
      <c r="F77" s="30"/>
      <c r="G77" s="87" cm="1">
        <f t="array" ref="G77">SUM(G55:G76)</f>
        <v>51</v>
      </c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112" cm="1">
        <f t="array" ref="Z77">SUM(Z55:Z76)</f>
        <v>0</v>
      </c>
      <c r="AA77" s="112" cm="1">
        <f t="array" ref="AA77">SUM(AA55:AA76)</f>
        <v>0</v>
      </c>
      <c r="AB77" s="112" cm="1">
        <f t="array" ref="AB77">SUM(AB55:AB76)</f>
        <v>0</v>
      </c>
      <c r="AC77" s="112" cm="1">
        <f t="array" ref="AC77">SUM(AC47:AC76)</f>
        <v>28</v>
      </c>
      <c r="AD77" s="112" cm="1">
        <f t="array" ref="AD77">SUM(AD47:AD76)</f>
        <v>7</v>
      </c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74"/>
      <c r="BA77" s="16"/>
      <c r="BB77" s="16"/>
      <c r="BC77" s="16"/>
    </row>
    <row r="78" ht="17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87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74"/>
      <c r="BA78" s="16"/>
      <c r="BB78" s="16"/>
      <c r="BC78" s="16"/>
    </row>
    <row r="79" ht="17" customHeight="1">
      <c r="A79" s="30"/>
      <c r="B79" s="30"/>
      <c r="C79" s="30"/>
      <c r="D79" s="30"/>
      <c r="E79" s="30"/>
      <c r="F79" s="30"/>
      <c r="G79" s="130"/>
      <c r="H79" s="30"/>
      <c r="I79" s="30"/>
      <c r="J79" s="30"/>
      <c r="K79" s="30"/>
      <c r="L79" s="30"/>
      <c r="M79" s="30"/>
      <c r="N79" s="30"/>
      <c r="O79" s="30"/>
      <c r="P79" s="30"/>
      <c r="Q79" s="87"/>
      <c r="R79" s="130"/>
      <c r="S79" s="130"/>
      <c r="T79" s="1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74"/>
      <c r="BA79" s="16"/>
      <c r="BB79" s="16"/>
      <c r="BC79" s="16"/>
    </row>
    <row r="80" ht="17.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121"/>
      <c r="S80" s="121"/>
      <c r="T80" s="129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74"/>
      <c r="BA80" s="16"/>
      <c r="BB80" s="16"/>
      <c r="BC80" s="16"/>
    </row>
    <row r="81" ht="17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130"/>
      <c r="S81" s="130"/>
      <c r="T81" s="130"/>
      <c r="U81" s="30"/>
      <c r="V81" s="30"/>
      <c r="W81" s="30"/>
      <c r="X81" s="30"/>
      <c r="Y81" s="30"/>
      <c r="Z81" s="30"/>
      <c r="AA81" s="30"/>
      <c r="AB81" s="30"/>
      <c r="AC81" s="134"/>
      <c r="AD81" s="134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74"/>
      <c r="BA81" s="16"/>
      <c r="BB81" s="16"/>
      <c r="BC81" s="16"/>
    </row>
    <row r="82" ht="17.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121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74"/>
      <c r="BA82" s="16"/>
      <c r="BB82" s="16"/>
      <c r="BC82" s="16"/>
    </row>
    <row r="83" ht="15.35" customHeight="1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62"/>
      <c r="AB83" s="62"/>
      <c r="AC83" s="62"/>
      <c r="AD83" s="62"/>
      <c r="AE83" s="62"/>
      <c r="AF83" s="62"/>
      <c r="AG83" s="62"/>
      <c r="AH83" s="62"/>
      <c r="AI83" s="62"/>
      <c r="AJ83" s="62"/>
      <c r="AK83" s="62"/>
      <c r="AL83" s="62"/>
      <c r="AM83" s="62"/>
      <c r="AN83" s="62"/>
      <c r="AO83" s="62"/>
      <c r="AP83" s="62"/>
      <c r="AQ83" s="62"/>
      <c r="AR83" s="62"/>
      <c r="AS83" s="62"/>
      <c r="AT83" s="62"/>
      <c r="AU83" s="62"/>
      <c r="AV83" s="62"/>
      <c r="AW83" s="62"/>
      <c r="AX83" s="62"/>
      <c r="AY83" s="62"/>
      <c r="AZ83" s="16"/>
      <c r="BA83" s="16"/>
      <c r="BB83" s="16"/>
      <c r="BC83" s="16"/>
    </row>
    <row r="84" ht="15.35" customHeight="1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</row>
    <row r="85" ht="15.35" customHeight="1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</row>
    <row r="86" ht="15.3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5.3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</row>
    <row r="88" ht="15.3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15.3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15.3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</row>
    <row r="91" ht="15.3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5.3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15.3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</row>
    <row r="94" ht="15.3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</row>
    <row r="95" ht="15.3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</row>
    <row r="96" ht="15.3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</row>
    <row r="97" ht="15.3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</row>
    <row r="98" ht="15.3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</row>
    <row r="99" ht="15.3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</row>
    <row r="100" ht="15.3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</row>
    <row r="101" ht="15.3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</row>
    <row r="102" ht="15.3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</row>
    <row r="103" ht="15.3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</row>
    <row r="104" ht="15.3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</row>
    <row r="105" ht="15.3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</row>
    <row r="106" ht="15.3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</row>
    <row r="107" ht="15.3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</row>
    <row r="108" ht="15.3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</row>
    <row r="109" ht="15.3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</row>
    <row r="110" ht="15.3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</row>
    <row r="111" ht="15.35" customHeight="1">
      <c r="A111" s="16"/>
      <c r="B111" s="16"/>
      <c r="C111" s="16"/>
      <c r="D111" s="16"/>
      <c r="E111" s="16"/>
      <c r="F111" s="79">
        <v>7</v>
      </c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</row>
    <row r="112" ht="15.3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</row>
    <row r="113" ht="15.3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</row>
    <row r="114" ht="15.3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</row>
    <row r="115" ht="15.3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</row>
    <row r="116" ht="15.3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</row>
    <row r="117" ht="15.3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2.xml><?xml version="1.0" encoding="utf-8"?>
<worksheet xmlns:r="http://schemas.openxmlformats.org/officeDocument/2006/relationships" xmlns="http://schemas.openxmlformats.org/spreadsheetml/2006/main">
  <dimension ref="A1:BC68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218" customWidth="1"/>
    <col min="4" max="4" width="17.8516" style="218" customWidth="1"/>
    <col min="5" max="5" width="20.1719" style="218" customWidth="1"/>
    <col min="6" max="6" width="10.5" style="218" customWidth="1"/>
    <col min="7" max="10" width="10.8516" style="218" customWidth="1"/>
    <col min="11" max="11" width="8.5" style="218" customWidth="1"/>
    <col min="12" max="12" width="7.85156" style="218" customWidth="1"/>
    <col min="13" max="13" width="10" style="218" customWidth="1"/>
    <col min="14" max="14" width="8.67188" style="218" customWidth="1"/>
    <col min="15" max="15" width="18.5" style="218" customWidth="1"/>
    <col min="16" max="16" width="11.5" style="218" customWidth="1"/>
    <col min="17" max="17" width="11.6719" style="218" customWidth="1"/>
    <col min="18" max="18" width="12.3516" style="218" customWidth="1"/>
    <col min="19" max="19" width="10.8516" style="218" customWidth="1"/>
    <col min="20" max="20" width="15.1719" style="218" customWidth="1"/>
    <col min="21" max="23" width="10.8516" style="218" customWidth="1"/>
    <col min="24" max="24" width="31" style="218" customWidth="1"/>
    <col min="25" max="25" width="19.8516" style="218" customWidth="1"/>
    <col min="26" max="26" width="12.1719" style="218" customWidth="1"/>
    <col min="27" max="30" width="16.5" style="218" customWidth="1"/>
    <col min="31" max="31" width="14.6719" style="218" customWidth="1"/>
    <col min="32" max="32" width="10.8516" style="218" customWidth="1"/>
    <col min="33" max="33" width="11" style="218" customWidth="1"/>
    <col min="34" max="34" width="11.1719" style="218" customWidth="1"/>
    <col min="35" max="35" width="7.85156" style="218" customWidth="1"/>
    <col min="36" max="37" width="10.8516" style="218" customWidth="1"/>
    <col min="38" max="38" width="7.35156" style="218" customWidth="1"/>
    <col min="39" max="39" width="10.8516" style="218" customWidth="1"/>
    <col min="40" max="40" width="9.17188" style="218" customWidth="1"/>
    <col min="41" max="41" width="10.8516" style="218" customWidth="1"/>
    <col min="42" max="42" width="12.5" style="218" customWidth="1"/>
    <col min="43" max="43" width="13" style="218" customWidth="1"/>
    <col min="44" max="55" width="10.8516" style="218" customWidth="1"/>
    <col min="56" max="16384" width="10.8516" style="218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109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1099</v>
      </c>
      <c r="B3" s="111">
        <v>1921</v>
      </c>
      <c r="C3" s="112">
        <v>1</v>
      </c>
      <c r="D3" t="s" s="83">
        <v>1100</v>
      </c>
      <c r="E3" s="30"/>
      <c r="F3" s="112">
        <v>2</v>
      </c>
      <c r="G3" t="s" s="83">
        <v>1101</v>
      </c>
      <c r="H3" t="s" s="83">
        <v>611</v>
      </c>
      <c r="I3" s="113">
        <v>1</v>
      </c>
      <c r="J3" t="s" s="83">
        <v>37</v>
      </c>
      <c r="K3" s="190">
        <v>1</v>
      </c>
      <c r="L3" s="62"/>
      <c r="M3" s="117"/>
      <c r="N3" s="112">
        <v>1</v>
      </c>
      <c r="O3" s="116"/>
      <c r="P3" s="62"/>
      <c r="Q3" s="62"/>
      <c r="R3" s="62"/>
      <c r="S3" s="117"/>
      <c r="T3" s="118">
        <v>62</v>
      </c>
      <c r="U3" s="112">
        <v>1859</v>
      </c>
      <c r="V3" s="74"/>
      <c r="W3" s="62"/>
      <c r="X3" s="62"/>
      <c r="Y3" s="117"/>
      <c r="Z3" s="29"/>
      <c r="AA3" t="s" s="119">
        <v>1102</v>
      </c>
      <c r="AB3" t="s" s="119">
        <v>8</v>
      </c>
      <c r="AC3" s="114">
        <v>1</v>
      </c>
      <c r="AD3" s="114">
        <v>1</v>
      </c>
      <c r="AE3" s="30"/>
      <c r="AF3" s="112">
        <v>1</v>
      </c>
      <c r="AG3" t="s" s="119">
        <v>13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9" customHeight="1">
      <c r="A4" t="s" s="83">
        <v>1099</v>
      </c>
      <c r="B4" s="112">
        <v>1921</v>
      </c>
      <c r="C4" s="112">
        <v>1</v>
      </c>
      <c r="D4" t="s" s="83">
        <v>1100</v>
      </c>
      <c r="E4" s="30"/>
      <c r="F4" s="112">
        <v>2</v>
      </c>
      <c r="G4" t="s" s="83">
        <v>1101</v>
      </c>
      <c r="H4" t="s" s="83">
        <v>1103</v>
      </c>
      <c r="I4" s="120">
        <v>2</v>
      </c>
      <c r="J4" s="112">
        <v>1</v>
      </c>
      <c r="K4" s="74"/>
      <c r="L4" s="16"/>
      <c r="M4" s="75"/>
      <c r="N4" t="s" s="83">
        <v>72</v>
      </c>
      <c r="O4" s="156">
        <v>1</v>
      </c>
      <c r="P4" s="16"/>
      <c r="Q4" s="16"/>
      <c r="R4" s="16"/>
      <c r="S4" s="75"/>
      <c r="T4" s="118">
        <v>61</v>
      </c>
      <c r="U4" s="112">
        <v>1860</v>
      </c>
      <c r="V4" s="74"/>
      <c r="W4" s="16"/>
      <c r="X4" s="16"/>
      <c r="Y4" s="75"/>
      <c r="Z4" s="29"/>
      <c r="AA4" t="s" s="119">
        <v>33</v>
      </c>
      <c r="AB4" t="s" s="119">
        <v>34</v>
      </c>
      <c r="AC4" s="29"/>
      <c r="AD4" s="29"/>
      <c r="AE4" s="30"/>
      <c r="AF4" s="30"/>
      <c r="AG4" t="s" s="119">
        <v>1104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9" customHeight="1">
      <c r="A5" t="s" s="83">
        <v>1099</v>
      </c>
      <c r="B5" s="112">
        <v>1921</v>
      </c>
      <c r="C5" s="112">
        <v>1</v>
      </c>
      <c r="D5" t="s" s="83">
        <v>1100</v>
      </c>
      <c r="E5" s="30"/>
      <c r="F5" s="112">
        <v>2</v>
      </c>
      <c r="G5" t="s" s="83">
        <v>1105</v>
      </c>
      <c r="H5" t="s" s="83">
        <v>109</v>
      </c>
      <c r="I5" s="120">
        <v>3</v>
      </c>
      <c r="J5" s="112">
        <v>1</v>
      </c>
      <c r="K5" s="74"/>
      <c r="L5" s="16"/>
      <c r="M5" s="75"/>
      <c r="N5" t="s" s="83">
        <v>11</v>
      </c>
      <c r="O5" s="74"/>
      <c r="P5" s="16"/>
      <c r="Q5" s="16"/>
      <c r="R5" s="16"/>
      <c r="S5" s="123">
        <v>1</v>
      </c>
      <c r="T5" s="118">
        <v>34</v>
      </c>
      <c r="U5" s="112">
        <v>1886</v>
      </c>
      <c r="V5" s="74"/>
      <c r="W5" s="16"/>
      <c r="X5" s="16"/>
      <c r="Y5" s="75"/>
      <c r="Z5" s="29"/>
      <c r="AA5" t="s" s="119">
        <v>188</v>
      </c>
      <c r="AB5" t="s" s="119">
        <v>15</v>
      </c>
      <c r="AC5" s="114">
        <v>1</v>
      </c>
      <c r="AD5" s="29"/>
      <c r="AE5" s="30"/>
      <c r="AF5" s="112">
        <v>1</v>
      </c>
      <c r="AG5" t="s" s="119">
        <v>13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9" customHeight="1">
      <c r="A6" t="s" s="83">
        <v>1099</v>
      </c>
      <c r="B6" s="112">
        <v>1921</v>
      </c>
      <c r="C6" s="112">
        <v>1</v>
      </c>
      <c r="D6" t="s" s="83">
        <v>1100</v>
      </c>
      <c r="E6" s="30"/>
      <c r="F6" s="112">
        <v>2</v>
      </c>
      <c r="G6" t="s" s="83">
        <v>1106</v>
      </c>
      <c r="H6" t="s" s="83">
        <v>140</v>
      </c>
      <c r="I6" s="120">
        <v>4</v>
      </c>
      <c r="J6" s="112">
        <v>1</v>
      </c>
      <c r="K6" s="74"/>
      <c r="L6" s="16"/>
      <c r="M6" s="75"/>
      <c r="N6" t="s" s="83">
        <v>11</v>
      </c>
      <c r="O6" s="74"/>
      <c r="P6" s="16"/>
      <c r="Q6" s="16"/>
      <c r="R6" s="16"/>
      <c r="S6" s="123">
        <v>1</v>
      </c>
      <c r="T6" s="118">
        <v>29</v>
      </c>
      <c r="U6" s="112">
        <v>1892</v>
      </c>
      <c r="V6" s="74"/>
      <c r="W6" s="16"/>
      <c r="X6" s="16"/>
      <c r="Y6" s="75"/>
      <c r="Z6" s="29"/>
      <c r="AA6" t="s" s="119">
        <v>188</v>
      </c>
      <c r="AB6" t="s" s="119">
        <v>15</v>
      </c>
      <c r="AC6" s="114">
        <v>1</v>
      </c>
      <c r="AD6" s="29"/>
      <c r="AE6" s="30"/>
      <c r="AF6" s="30"/>
      <c r="AG6" t="s" s="119">
        <v>1107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9" customHeight="1">
      <c r="A7" t="s" s="83">
        <v>1099</v>
      </c>
      <c r="B7" s="112">
        <v>1921</v>
      </c>
      <c r="C7" s="112">
        <v>1</v>
      </c>
      <c r="D7" t="s" s="83">
        <v>1100</v>
      </c>
      <c r="E7" s="30"/>
      <c r="F7" s="112">
        <v>2</v>
      </c>
      <c r="G7" t="s" s="83">
        <v>1108</v>
      </c>
      <c r="H7" t="s" s="83">
        <v>383</v>
      </c>
      <c r="I7" s="120">
        <v>5</v>
      </c>
      <c r="J7" s="112">
        <v>1</v>
      </c>
      <c r="K7" s="74"/>
      <c r="L7" s="16"/>
      <c r="M7" s="75"/>
      <c r="N7" t="s" s="83">
        <v>11</v>
      </c>
      <c r="O7" s="74"/>
      <c r="P7" s="16"/>
      <c r="Q7" s="16"/>
      <c r="R7" s="16"/>
      <c r="S7" s="123">
        <v>1</v>
      </c>
      <c r="T7" s="118">
        <v>27</v>
      </c>
      <c r="U7" s="112">
        <v>1894</v>
      </c>
      <c r="V7" s="74"/>
      <c r="W7" s="16"/>
      <c r="X7" s="16"/>
      <c r="Y7" s="75"/>
      <c r="Z7" s="29"/>
      <c r="AA7" t="s" s="119">
        <v>188</v>
      </c>
      <c r="AB7" t="s" s="119">
        <v>15</v>
      </c>
      <c r="AC7" s="114">
        <v>1</v>
      </c>
      <c r="AD7" s="29"/>
      <c r="AE7" s="30"/>
      <c r="AF7" s="112">
        <v>1</v>
      </c>
      <c r="AG7" t="s" s="119">
        <v>523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9" customHeight="1">
      <c r="A8" t="s" s="83">
        <v>1099</v>
      </c>
      <c r="B8" s="112">
        <v>1921</v>
      </c>
      <c r="C8" s="112">
        <v>1</v>
      </c>
      <c r="D8" t="s" s="83">
        <v>1100</v>
      </c>
      <c r="E8" s="30"/>
      <c r="F8" s="112">
        <v>2</v>
      </c>
      <c r="G8" t="s" s="83">
        <v>1109</v>
      </c>
      <c r="H8" t="s" s="83">
        <v>86</v>
      </c>
      <c r="I8" s="120">
        <v>6</v>
      </c>
      <c r="J8" s="112">
        <v>1</v>
      </c>
      <c r="K8" s="74"/>
      <c r="L8" s="16"/>
      <c r="M8" s="75"/>
      <c r="N8" t="s" s="83">
        <v>11</v>
      </c>
      <c r="O8" s="74"/>
      <c r="P8" s="16"/>
      <c r="Q8" s="16"/>
      <c r="R8" s="16"/>
      <c r="S8" s="123">
        <v>1</v>
      </c>
      <c r="T8" s="112">
        <v>19</v>
      </c>
      <c r="U8" s="112">
        <v>1902</v>
      </c>
      <c r="V8" s="74"/>
      <c r="W8" s="16"/>
      <c r="X8" s="16"/>
      <c r="Y8" s="75"/>
      <c r="Z8" s="29"/>
      <c r="AA8" t="s" s="83">
        <v>188</v>
      </c>
      <c r="AB8" t="s" s="83">
        <v>15</v>
      </c>
      <c r="AC8" s="114">
        <v>1</v>
      </c>
      <c r="AD8" s="29"/>
      <c r="AE8" s="30"/>
      <c r="AF8" s="30"/>
      <c r="AG8" t="s" s="83">
        <v>1110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9" customHeight="1">
      <c r="A9" t="s" s="83">
        <v>1099</v>
      </c>
      <c r="B9" s="112">
        <v>1921</v>
      </c>
      <c r="C9" s="30"/>
      <c r="D9" t="s" s="83">
        <v>1100</v>
      </c>
      <c r="E9" s="30"/>
      <c r="F9" s="30"/>
      <c r="G9" s="30"/>
      <c r="H9" s="112">
        <v>6</v>
      </c>
      <c r="I9" s="122"/>
      <c r="J9" s="30"/>
      <c r="K9" s="74"/>
      <c r="L9" s="16"/>
      <c r="M9" s="75"/>
      <c r="N9" s="30"/>
      <c r="O9" s="74"/>
      <c r="P9" s="16"/>
      <c r="Q9" s="16"/>
      <c r="R9" s="16"/>
      <c r="S9" s="75"/>
      <c r="T9" s="121"/>
      <c r="U9" s="30"/>
      <c r="V9" s="74"/>
      <c r="W9" s="16"/>
      <c r="X9" s="16"/>
      <c r="Y9" s="75"/>
      <c r="Z9" s="29"/>
      <c r="AA9" s="121"/>
      <c r="AB9" s="121"/>
      <c r="AC9" s="29"/>
      <c r="AD9" s="29"/>
      <c r="AE9" s="30"/>
      <c r="AF9" s="30"/>
      <c r="AG9" s="12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9" customHeight="1">
      <c r="A10" t="s" s="83">
        <v>1099</v>
      </c>
      <c r="B10" s="112">
        <v>1921</v>
      </c>
      <c r="C10" s="30"/>
      <c r="D10" t="s" s="83">
        <v>1100</v>
      </c>
      <c r="E10" s="30"/>
      <c r="F10" s="30"/>
      <c r="G10" t="s" s="83">
        <v>1</v>
      </c>
      <c r="H10" t="s" s="83">
        <v>0</v>
      </c>
      <c r="I10" s="122"/>
      <c r="J10" t="s" s="83">
        <v>3</v>
      </c>
      <c r="K10" s="74"/>
      <c r="L10" s="16"/>
      <c r="M10" s="75"/>
      <c r="N10" t="s" s="83">
        <v>2</v>
      </c>
      <c r="O10" s="74"/>
      <c r="P10" s="16"/>
      <c r="Q10" s="16"/>
      <c r="R10" s="16"/>
      <c r="S10" s="75"/>
      <c r="T10" t="s" s="119">
        <v>5</v>
      </c>
      <c r="U10" t="s" s="83">
        <v>4</v>
      </c>
      <c r="V10" s="74"/>
      <c r="W10" s="16"/>
      <c r="X10" s="16"/>
      <c r="Y10" s="75"/>
      <c r="Z10" s="29"/>
      <c r="AA10" t="s" s="119">
        <v>7</v>
      </c>
      <c r="AB10" t="s" s="119">
        <v>8</v>
      </c>
      <c r="AC10" s="29"/>
      <c r="AD10" s="29"/>
      <c r="AE10" s="30"/>
      <c r="AF10" s="30"/>
      <c r="AG10" t="s" s="119">
        <v>6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9" customHeight="1">
      <c r="A11" t="s" s="83">
        <v>1099</v>
      </c>
      <c r="B11" s="112">
        <v>1921</v>
      </c>
      <c r="C11" s="112">
        <v>2</v>
      </c>
      <c r="D11" t="s" s="83">
        <v>1100</v>
      </c>
      <c r="E11" s="30"/>
      <c r="F11" s="112">
        <v>4</v>
      </c>
      <c r="G11" t="s" s="83">
        <v>1111</v>
      </c>
      <c r="H11" t="s" s="83">
        <v>1112</v>
      </c>
      <c r="I11" s="120">
        <v>7</v>
      </c>
      <c r="J11" t="s" s="83">
        <v>37</v>
      </c>
      <c r="K11" s="156">
        <v>1</v>
      </c>
      <c r="L11" s="16"/>
      <c r="M11" s="75"/>
      <c r="N11" s="112">
        <v>1</v>
      </c>
      <c r="O11" s="74"/>
      <c r="P11" s="16"/>
      <c r="Q11" s="16"/>
      <c r="R11" s="16"/>
      <c r="S11" s="75"/>
      <c r="T11" s="118">
        <v>56</v>
      </c>
      <c r="U11" s="112">
        <v>1865</v>
      </c>
      <c r="V11" s="74"/>
      <c r="W11" s="16"/>
      <c r="X11" s="16"/>
      <c r="Y11" s="75"/>
      <c r="Z11" s="29"/>
      <c r="AA11" t="s" s="119">
        <v>1113</v>
      </c>
      <c r="AB11" t="s" s="119">
        <v>1114</v>
      </c>
      <c r="AC11" s="114">
        <v>1</v>
      </c>
      <c r="AD11" s="29"/>
      <c r="AE11" s="30"/>
      <c r="AF11" s="112">
        <v>1</v>
      </c>
      <c r="AG11" t="s" s="119">
        <v>13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9" customHeight="1">
      <c r="A12" t="s" s="83">
        <v>1099</v>
      </c>
      <c r="B12" s="112">
        <v>1921</v>
      </c>
      <c r="C12" s="112">
        <v>2</v>
      </c>
      <c r="D12" t="s" s="83">
        <v>1100</v>
      </c>
      <c r="E12" s="30"/>
      <c r="F12" s="112">
        <v>4</v>
      </c>
      <c r="G12" t="s" s="83">
        <v>1111</v>
      </c>
      <c r="H12" t="s" s="83">
        <v>1115</v>
      </c>
      <c r="I12" s="120">
        <v>8</v>
      </c>
      <c r="J12" s="112">
        <v>1</v>
      </c>
      <c r="K12" s="74"/>
      <c r="L12" s="16"/>
      <c r="M12" s="75"/>
      <c r="N12" t="s" s="83">
        <v>72</v>
      </c>
      <c r="O12" s="156">
        <v>1</v>
      </c>
      <c r="P12" s="16"/>
      <c r="Q12" s="16"/>
      <c r="R12" s="16"/>
      <c r="S12" s="75"/>
      <c r="T12" s="118">
        <v>57</v>
      </c>
      <c r="U12" s="112">
        <v>1864</v>
      </c>
      <c r="V12" s="74"/>
      <c r="W12" s="16"/>
      <c r="X12" s="16"/>
      <c r="Y12" s="75"/>
      <c r="Z12" s="29"/>
      <c r="AA12" t="s" s="119">
        <v>33</v>
      </c>
      <c r="AB12" t="s" s="119">
        <v>34</v>
      </c>
      <c r="AC12" s="29"/>
      <c r="AD12" s="29"/>
      <c r="AE12" s="30"/>
      <c r="AF12" s="30"/>
      <c r="AG12" t="s" s="119">
        <v>118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9" customHeight="1">
      <c r="A13" t="s" s="83">
        <v>1099</v>
      </c>
      <c r="B13" s="112">
        <v>1921</v>
      </c>
      <c r="C13" s="112">
        <v>2</v>
      </c>
      <c r="D13" t="s" s="83">
        <v>1100</v>
      </c>
      <c r="E13" s="30"/>
      <c r="F13" s="112">
        <v>4</v>
      </c>
      <c r="G13" t="s" s="83">
        <v>1116</v>
      </c>
      <c r="H13" t="s" s="83">
        <v>1117</v>
      </c>
      <c r="I13" s="120">
        <v>9</v>
      </c>
      <c r="J13" t="s" s="83">
        <v>37</v>
      </c>
      <c r="K13" s="156">
        <v>1</v>
      </c>
      <c r="L13" s="16"/>
      <c r="M13" s="75"/>
      <c r="N13" t="s" s="83">
        <v>1118</v>
      </c>
      <c r="O13" s="74"/>
      <c r="P13" s="16"/>
      <c r="Q13" s="79">
        <v>1</v>
      </c>
      <c r="R13" s="16"/>
      <c r="S13" s="75"/>
      <c r="T13" s="118">
        <v>17</v>
      </c>
      <c r="U13" s="112">
        <v>1903</v>
      </c>
      <c r="V13" s="74"/>
      <c r="W13" s="16"/>
      <c r="X13" s="16"/>
      <c r="Y13" s="75"/>
      <c r="Z13" s="29"/>
      <c r="AA13" t="s" s="119">
        <v>1119</v>
      </c>
      <c r="AB13" t="s" s="119">
        <v>1120</v>
      </c>
      <c r="AC13" s="114">
        <v>1</v>
      </c>
      <c r="AD13" s="29"/>
      <c r="AE13" s="30"/>
      <c r="AF13" s="30"/>
      <c r="AG13" t="s" s="119">
        <v>1121</v>
      </c>
      <c r="AH13" s="30"/>
      <c r="AI13" s="30"/>
      <c r="AJ13" t="s" s="83">
        <v>1122</v>
      </c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9" customHeight="1">
      <c r="A14" t="s" s="83">
        <v>1099</v>
      </c>
      <c r="B14" s="112">
        <v>1921</v>
      </c>
      <c r="C14" s="112">
        <v>2</v>
      </c>
      <c r="D14" t="s" s="83">
        <v>1100</v>
      </c>
      <c r="E14" s="30"/>
      <c r="F14" s="112">
        <v>4</v>
      </c>
      <c r="G14" t="s" s="83">
        <v>1116</v>
      </c>
      <c r="H14" t="s" s="83">
        <v>1123</v>
      </c>
      <c r="I14" s="120">
        <v>10</v>
      </c>
      <c r="J14" t="s" s="83">
        <v>37</v>
      </c>
      <c r="K14" s="156">
        <v>1</v>
      </c>
      <c r="L14" s="16"/>
      <c r="M14" s="75"/>
      <c r="N14" t="s" s="83">
        <v>1118</v>
      </c>
      <c r="O14" s="74"/>
      <c r="P14" s="16"/>
      <c r="Q14" s="79">
        <v>1</v>
      </c>
      <c r="R14" s="16"/>
      <c r="S14" s="75"/>
      <c r="T14" s="118">
        <v>16</v>
      </c>
      <c r="U14" s="112">
        <v>1905</v>
      </c>
      <c r="V14" s="74"/>
      <c r="W14" s="16"/>
      <c r="X14" s="16"/>
      <c r="Y14" s="75"/>
      <c r="Z14" s="29"/>
      <c r="AA14" t="s" s="119">
        <v>34</v>
      </c>
      <c r="AB14" t="s" s="119">
        <v>34</v>
      </c>
      <c r="AC14" s="29"/>
      <c r="AD14" s="29"/>
      <c r="AE14" s="30"/>
      <c r="AF14" s="30"/>
      <c r="AG14" t="s" s="119">
        <v>13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9" customHeight="1">
      <c r="A15" t="s" s="83">
        <v>1099</v>
      </c>
      <c r="B15" s="112">
        <v>1921</v>
      </c>
      <c r="C15" s="112">
        <v>2</v>
      </c>
      <c r="D15" t="s" s="83">
        <v>1100</v>
      </c>
      <c r="E15" s="30"/>
      <c r="F15" s="112">
        <v>4</v>
      </c>
      <c r="G15" t="s" s="83">
        <v>1101</v>
      </c>
      <c r="H15" t="s" s="83">
        <v>545</v>
      </c>
      <c r="I15" s="120">
        <v>11</v>
      </c>
      <c r="J15" s="112">
        <v>1</v>
      </c>
      <c r="K15" s="74"/>
      <c r="L15" s="16"/>
      <c r="M15" s="75"/>
      <c r="N15" t="s" s="83">
        <v>11</v>
      </c>
      <c r="O15" s="74"/>
      <c r="P15" s="16"/>
      <c r="Q15" s="16"/>
      <c r="R15" s="16"/>
      <c r="S15" s="123">
        <v>1</v>
      </c>
      <c r="T15" s="118">
        <v>29</v>
      </c>
      <c r="U15" s="112">
        <v>1892</v>
      </c>
      <c r="V15" s="74"/>
      <c r="W15" s="16"/>
      <c r="X15" s="16"/>
      <c r="Y15" s="75"/>
      <c r="Z15" s="29"/>
      <c r="AA15" t="s" s="119">
        <v>45</v>
      </c>
      <c r="AB15" t="s" s="119">
        <v>15</v>
      </c>
      <c r="AC15" s="114">
        <v>1</v>
      </c>
      <c r="AD15" s="29"/>
      <c r="AE15" s="30"/>
      <c r="AF15" s="30"/>
      <c r="AG15" t="s" s="119">
        <v>1124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9" customHeight="1">
      <c r="A16" t="s" s="83">
        <v>1099</v>
      </c>
      <c r="B16" s="112">
        <v>1921</v>
      </c>
      <c r="C16" s="112">
        <v>2</v>
      </c>
      <c r="D16" t="s" s="83">
        <v>1100</v>
      </c>
      <c r="E16" s="30"/>
      <c r="F16" s="112">
        <v>4</v>
      </c>
      <c r="G16" t="s" s="83">
        <v>1101</v>
      </c>
      <c r="H16" t="s" s="83">
        <v>1125</v>
      </c>
      <c r="I16" s="120">
        <v>12</v>
      </c>
      <c r="J16" t="s" s="83">
        <v>37</v>
      </c>
      <c r="K16" s="74"/>
      <c r="L16" s="16"/>
      <c r="M16" s="123">
        <v>1</v>
      </c>
      <c r="N16" t="s" s="83">
        <v>1126</v>
      </c>
      <c r="O16" s="74"/>
      <c r="P16" s="16"/>
      <c r="Q16" s="16"/>
      <c r="R16" s="79">
        <v>1</v>
      </c>
      <c r="S16" s="75"/>
      <c r="T16" s="112">
        <v>5</v>
      </c>
      <c r="U16" s="112">
        <v>1915</v>
      </c>
      <c r="V16" s="74"/>
      <c r="W16" s="16"/>
      <c r="X16" s="16"/>
      <c r="Y16" s="75"/>
      <c r="Z16" s="29"/>
      <c r="AA16" t="s" s="83">
        <v>34</v>
      </c>
      <c r="AB16" t="s" s="83">
        <v>34</v>
      </c>
      <c r="AC16" s="29"/>
      <c r="AD16" s="29"/>
      <c r="AE16" s="30"/>
      <c r="AF16" s="30"/>
      <c r="AG16" t="s" s="83">
        <v>1127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9" customHeight="1">
      <c r="A17" t="s" s="83">
        <v>1099</v>
      </c>
      <c r="B17" s="112">
        <v>1921</v>
      </c>
      <c r="C17" s="30"/>
      <c r="D17" t="s" s="83">
        <v>1100</v>
      </c>
      <c r="E17" s="30"/>
      <c r="F17" s="30"/>
      <c r="G17" s="30"/>
      <c r="H17" s="112">
        <v>6</v>
      </c>
      <c r="I17" s="122"/>
      <c r="J17" s="30"/>
      <c r="K17" s="74"/>
      <c r="L17" s="16"/>
      <c r="M17" s="75"/>
      <c r="N17" s="30"/>
      <c r="O17" s="74"/>
      <c r="P17" s="16"/>
      <c r="Q17" s="16"/>
      <c r="R17" s="16"/>
      <c r="S17" s="75"/>
      <c r="T17" s="30"/>
      <c r="U17" s="30"/>
      <c r="V17" s="74"/>
      <c r="W17" s="16"/>
      <c r="X17" s="16"/>
      <c r="Y17" s="75"/>
      <c r="Z17" s="29"/>
      <c r="AA17" s="30"/>
      <c r="AB17" s="30"/>
      <c r="AC17" s="29"/>
      <c r="AD17" s="29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1099</v>
      </c>
      <c r="B18" s="112">
        <v>1921</v>
      </c>
      <c r="C18" s="30"/>
      <c r="D18" t="s" s="83">
        <v>1100</v>
      </c>
      <c r="E18" s="30"/>
      <c r="F18" s="30"/>
      <c r="G18" t="s" s="83">
        <v>1</v>
      </c>
      <c r="H18" t="s" s="83">
        <v>0</v>
      </c>
      <c r="I18" s="122"/>
      <c r="J18" t="s" s="83">
        <v>3</v>
      </c>
      <c r="K18" s="74"/>
      <c r="L18" s="16"/>
      <c r="M18" s="75"/>
      <c r="N18" t="s" s="83">
        <v>2</v>
      </c>
      <c r="O18" s="74"/>
      <c r="P18" s="16"/>
      <c r="Q18" s="16"/>
      <c r="R18" s="16"/>
      <c r="S18" s="75"/>
      <c r="T18" t="s" s="83">
        <v>5</v>
      </c>
      <c r="U18" t="s" s="83">
        <v>4</v>
      </c>
      <c r="V18" s="74"/>
      <c r="W18" s="16"/>
      <c r="X18" s="16"/>
      <c r="Y18" s="75"/>
      <c r="Z18" s="30"/>
      <c r="AA18" t="s" s="83">
        <v>7</v>
      </c>
      <c r="AB18" t="s" s="83">
        <v>8</v>
      </c>
      <c r="AC18" s="30"/>
      <c r="AD18" s="30"/>
      <c r="AE18" s="30"/>
      <c r="AF18" s="30"/>
      <c r="AG18" t="s" s="83">
        <v>6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1099</v>
      </c>
      <c r="B19" s="112">
        <v>1921</v>
      </c>
      <c r="C19" s="112">
        <v>3</v>
      </c>
      <c r="D19" t="s" s="83">
        <v>1100</v>
      </c>
      <c r="E19" s="30"/>
      <c r="F19" s="112">
        <v>5</v>
      </c>
      <c r="G19" t="s" s="83">
        <v>1128</v>
      </c>
      <c r="H19" t="s" s="83">
        <v>1129</v>
      </c>
      <c r="I19" s="120">
        <v>13</v>
      </c>
      <c r="J19" t="s" s="83">
        <v>37</v>
      </c>
      <c r="K19" s="156">
        <v>1</v>
      </c>
      <c r="L19" s="16"/>
      <c r="M19" s="75"/>
      <c r="N19" s="112">
        <v>1</v>
      </c>
      <c r="O19" s="74"/>
      <c r="P19" s="16"/>
      <c r="Q19" s="16"/>
      <c r="R19" s="16"/>
      <c r="S19" s="75"/>
      <c r="T19" s="112">
        <v>62</v>
      </c>
      <c r="U19" s="112">
        <v>1859</v>
      </c>
      <c r="V19" s="74"/>
      <c r="W19" s="16"/>
      <c r="X19" s="16"/>
      <c r="Y19" s="75"/>
      <c r="Z19" s="30"/>
      <c r="AA19" t="s" s="83">
        <v>1130</v>
      </c>
      <c r="AB19" t="s" s="83">
        <v>8</v>
      </c>
      <c r="AC19" s="112">
        <v>1</v>
      </c>
      <c r="AD19" s="112">
        <v>1</v>
      </c>
      <c r="AE19" s="30"/>
      <c r="AF19" s="30"/>
      <c r="AG19" t="s" s="83">
        <v>1131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1099</v>
      </c>
      <c r="B20" s="112">
        <v>1921</v>
      </c>
      <c r="C20" s="112">
        <v>3</v>
      </c>
      <c r="D20" t="s" s="83">
        <v>1100</v>
      </c>
      <c r="E20" s="30"/>
      <c r="F20" s="112">
        <v>5</v>
      </c>
      <c r="G20" t="s" s="83">
        <v>1128</v>
      </c>
      <c r="H20" t="s" s="83">
        <v>437</v>
      </c>
      <c r="I20" s="120">
        <v>14</v>
      </c>
      <c r="J20" s="112">
        <v>1</v>
      </c>
      <c r="K20" s="74"/>
      <c r="L20" s="16"/>
      <c r="M20" s="75"/>
      <c r="N20" t="s" s="83">
        <v>72</v>
      </c>
      <c r="O20" s="156">
        <v>1</v>
      </c>
      <c r="P20" s="16"/>
      <c r="Q20" s="16"/>
      <c r="R20" s="16"/>
      <c r="S20" s="75"/>
      <c r="T20" s="112">
        <v>59</v>
      </c>
      <c r="U20" s="112">
        <v>1862</v>
      </c>
      <c r="V20" s="74"/>
      <c r="W20" s="16"/>
      <c r="X20" s="16"/>
      <c r="Y20" s="75"/>
      <c r="Z20" s="30"/>
      <c r="AA20" t="s" s="83">
        <v>33</v>
      </c>
      <c r="AB20" t="s" s="83">
        <v>34</v>
      </c>
      <c r="AC20" s="30"/>
      <c r="AD20" s="30"/>
      <c r="AE20" s="30"/>
      <c r="AF20" s="30"/>
      <c r="AG20" t="s" s="83">
        <v>1131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1099</v>
      </c>
      <c r="B21" s="112">
        <v>1921</v>
      </c>
      <c r="C21" s="112">
        <v>3</v>
      </c>
      <c r="D21" t="s" s="83">
        <v>1100</v>
      </c>
      <c r="E21" s="30"/>
      <c r="F21" s="112">
        <v>5</v>
      </c>
      <c r="G21" t="s" s="83">
        <v>1043</v>
      </c>
      <c r="H21" t="s" s="83">
        <v>1132</v>
      </c>
      <c r="I21" s="120">
        <v>15</v>
      </c>
      <c r="J21" s="112">
        <v>1</v>
      </c>
      <c r="K21" s="74"/>
      <c r="L21" s="16"/>
      <c r="M21" s="75"/>
      <c r="N21" t="s" s="83">
        <v>11</v>
      </c>
      <c r="O21" s="74"/>
      <c r="P21" s="16"/>
      <c r="Q21" s="16"/>
      <c r="R21" s="16"/>
      <c r="S21" s="123">
        <v>1</v>
      </c>
      <c r="T21" s="112">
        <v>24</v>
      </c>
      <c r="U21" s="112">
        <v>1897</v>
      </c>
      <c r="V21" s="74"/>
      <c r="W21" s="16"/>
      <c r="X21" s="16"/>
      <c r="Y21" s="75"/>
      <c r="Z21" s="30"/>
      <c r="AA21" t="s" s="83">
        <v>105</v>
      </c>
      <c r="AB21" t="s" s="83">
        <v>15</v>
      </c>
      <c r="AC21" s="112">
        <v>1</v>
      </c>
      <c r="AD21" s="30"/>
      <c r="AE21" s="30"/>
      <c r="AF21" s="30"/>
      <c r="AG21" t="s" s="83">
        <v>1133</v>
      </c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1099</v>
      </c>
      <c r="B22" s="112">
        <v>1921</v>
      </c>
      <c r="C22" s="112">
        <v>3</v>
      </c>
      <c r="D22" t="s" s="83">
        <v>1100</v>
      </c>
      <c r="E22" s="30"/>
      <c r="F22" s="112">
        <v>5</v>
      </c>
      <c r="G22" t="s" s="153">
        <v>1043</v>
      </c>
      <c r="H22" t="s" s="98">
        <v>1134</v>
      </c>
      <c r="I22" s="79">
        <v>16</v>
      </c>
      <c r="J22" s="97">
        <v>1</v>
      </c>
      <c r="K22" s="16"/>
      <c r="L22" s="16"/>
      <c r="M22" s="16"/>
      <c r="N22" t="s" s="98">
        <v>11</v>
      </c>
      <c r="O22" s="16"/>
      <c r="P22" s="16"/>
      <c r="Q22" s="16"/>
      <c r="R22" s="16"/>
      <c r="S22" s="79">
        <v>1</v>
      </c>
      <c r="T22" s="97">
        <v>22</v>
      </c>
      <c r="U22" s="97">
        <v>1898</v>
      </c>
      <c r="V22" s="16"/>
      <c r="W22" s="16"/>
      <c r="X22" s="16"/>
      <c r="Y22" s="75"/>
      <c r="Z22" s="30"/>
      <c r="AA22" t="s" s="153">
        <v>105</v>
      </c>
      <c r="AB22" t="s" s="154">
        <v>15</v>
      </c>
      <c r="AC22" s="112">
        <v>1</v>
      </c>
      <c r="AD22" s="30"/>
      <c r="AE22" s="30"/>
      <c r="AF22" s="30"/>
      <c r="AG22" t="s" s="82">
        <v>1133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1099</v>
      </c>
      <c r="B23" s="112">
        <v>1921</v>
      </c>
      <c r="C23" s="30"/>
      <c r="D23" t="s" s="83">
        <v>1100</v>
      </c>
      <c r="E23" s="30"/>
      <c r="F23" s="116"/>
      <c r="G23" s="16"/>
      <c r="H23" s="79">
        <v>4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75"/>
      <c r="Z23" s="30"/>
      <c r="AA23" s="74"/>
      <c r="AB23" s="75"/>
      <c r="AC23" s="30"/>
      <c r="AD23" s="30"/>
      <c r="AE23" s="30"/>
      <c r="AF23" s="30"/>
      <c r="AG23" s="122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t="s" s="83">
        <v>1099</v>
      </c>
      <c r="B24" s="112">
        <v>1921</v>
      </c>
      <c r="C24" s="30"/>
      <c r="D24" t="s" s="83">
        <v>1100</v>
      </c>
      <c r="E24" s="30"/>
      <c r="F24" s="74"/>
      <c r="G24" t="s" s="96">
        <v>1</v>
      </c>
      <c r="H24" t="s" s="96">
        <v>0</v>
      </c>
      <c r="I24" s="16"/>
      <c r="J24" t="s" s="96">
        <v>3</v>
      </c>
      <c r="K24" s="16"/>
      <c r="L24" s="16"/>
      <c r="M24" s="16"/>
      <c r="N24" t="s" s="96">
        <v>2</v>
      </c>
      <c r="O24" s="16"/>
      <c r="P24" s="16"/>
      <c r="Q24" s="16"/>
      <c r="R24" s="16"/>
      <c r="S24" s="16"/>
      <c r="T24" t="s" s="96">
        <v>5</v>
      </c>
      <c r="U24" t="s" s="96">
        <v>4</v>
      </c>
      <c r="V24" s="16"/>
      <c r="W24" s="16"/>
      <c r="X24" s="16"/>
      <c r="Y24" s="75"/>
      <c r="Z24" s="30"/>
      <c r="AA24" t="s" s="157">
        <v>7</v>
      </c>
      <c r="AB24" t="s" s="158">
        <v>8</v>
      </c>
      <c r="AC24" s="30"/>
      <c r="AD24" s="30"/>
      <c r="AE24" s="30"/>
      <c r="AF24" s="30"/>
      <c r="AG24" t="s" s="159">
        <v>6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t="s" s="83">
        <v>1099</v>
      </c>
      <c r="B25" s="112">
        <v>1921</v>
      </c>
      <c r="C25" s="112">
        <v>4</v>
      </c>
      <c r="D25" t="s" s="83">
        <v>1100</v>
      </c>
      <c r="E25" s="30"/>
      <c r="F25" s="156">
        <v>6</v>
      </c>
      <c r="G25" t="s" s="96">
        <v>1135</v>
      </c>
      <c r="H25" t="s" s="96">
        <v>1136</v>
      </c>
      <c r="I25" s="79">
        <v>17</v>
      </c>
      <c r="J25" t="s" s="96">
        <v>37</v>
      </c>
      <c r="K25" s="79">
        <v>1</v>
      </c>
      <c r="L25" s="16"/>
      <c r="M25" s="16"/>
      <c r="N25" s="79">
        <v>1</v>
      </c>
      <c r="O25" s="16"/>
      <c r="P25" s="16"/>
      <c r="Q25" s="16"/>
      <c r="R25" s="16"/>
      <c r="S25" s="16"/>
      <c r="T25" s="79">
        <v>49</v>
      </c>
      <c r="U25" s="79">
        <v>1872</v>
      </c>
      <c r="V25" s="16"/>
      <c r="W25" s="16"/>
      <c r="X25" s="16"/>
      <c r="Y25" s="75"/>
      <c r="Z25" s="30"/>
      <c r="AA25" t="s" s="157">
        <v>1137</v>
      </c>
      <c r="AB25" t="s" s="158">
        <v>8</v>
      </c>
      <c r="AC25" s="112">
        <v>1</v>
      </c>
      <c r="AD25" s="112">
        <v>1</v>
      </c>
      <c r="AE25" s="30"/>
      <c r="AF25" s="112">
        <v>1</v>
      </c>
      <c r="AG25" t="s" s="159">
        <v>13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t="s" s="83">
        <v>1099</v>
      </c>
      <c r="B26" s="112">
        <v>1921</v>
      </c>
      <c r="C26" s="112">
        <v>4</v>
      </c>
      <c r="D26" t="s" s="83">
        <v>1100</v>
      </c>
      <c r="E26" s="30"/>
      <c r="F26" s="156">
        <v>6</v>
      </c>
      <c r="G26" t="s" s="96">
        <v>1135</v>
      </c>
      <c r="H26" t="s" s="96">
        <v>1138</v>
      </c>
      <c r="I26" s="79">
        <v>18</v>
      </c>
      <c r="J26" s="79">
        <v>1</v>
      </c>
      <c r="K26" s="16"/>
      <c r="L26" s="16"/>
      <c r="M26" s="16"/>
      <c r="N26" t="s" s="96">
        <v>72</v>
      </c>
      <c r="O26" s="79">
        <v>1</v>
      </c>
      <c r="P26" s="16"/>
      <c r="Q26" s="16"/>
      <c r="R26" s="16"/>
      <c r="S26" s="16"/>
      <c r="T26" s="79">
        <v>52</v>
      </c>
      <c r="U26" s="79">
        <v>1868</v>
      </c>
      <c r="V26" s="16"/>
      <c r="W26" s="16"/>
      <c r="X26" s="16"/>
      <c r="Y26" s="75"/>
      <c r="Z26" s="30"/>
      <c r="AA26" t="s" s="157">
        <v>33</v>
      </c>
      <c r="AB26" t="s" s="158">
        <v>34</v>
      </c>
      <c r="AC26" s="30"/>
      <c r="AD26" s="30"/>
      <c r="AE26" s="30"/>
      <c r="AF26" s="112">
        <v>1</v>
      </c>
      <c r="AG26" t="s" s="159">
        <v>13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1099</v>
      </c>
      <c r="B27" s="112">
        <v>1921</v>
      </c>
      <c r="C27" s="112">
        <v>4</v>
      </c>
      <c r="D27" t="s" s="83">
        <v>1100</v>
      </c>
      <c r="E27" s="30"/>
      <c r="F27" s="156">
        <v>6</v>
      </c>
      <c r="G27" t="s" s="96">
        <v>1135</v>
      </c>
      <c r="H27" t="s" s="96">
        <v>1139</v>
      </c>
      <c r="I27" s="79">
        <v>19</v>
      </c>
      <c r="J27" t="s" s="96">
        <v>37</v>
      </c>
      <c r="K27" s="16"/>
      <c r="L27" s="16"/>
      <c r="M27" s="79">
        <v>1</v>
      </c>
      <c r="N27" t="s" s="96">
        <v>1118</v>
      </c>
      <c r="O27" s="16"/>
      <c r="P27" s="16"/>
      <c r="Q27" s="79">
        <v>1</v>
      </c>
      <c r="R27" s="16"/>
      <c r="S27" s="16"/>
      <c r="T27" s="79">
        <v>13</v>
      </c>
      <c r="U27" s="79">
        <v>1908</v>
      </c>
      <c r="V27" s="16"/>
      <c r="W27" s="16"/>
      <c r="X27" s="16"/>
      <c r="Y27" s="75"/>
      <c r="Z27" s="30"/>
      <c r="AA27" t="s" s="157">
        <v>34</v>
      </c>
      <c r="AB27" t="s" s="158">
        <v>34</v>
      </c>
      <c r="AC27" s="30"/>
      <c r="AD27" s="30"/>
      <c r="AE27" s="30"/>
      <c r="AF27" s="30"/>
      <c r="AG27" t="s" s="159">
        <v>1140</v>
      </c>
      <c r="AH27" s="30"/>
      <c r="AI27" s="30"/>
      <c r="AJ27" t="s" s="83">
        <v>1122</v>
      </c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t="s" s="83">
        <v>1099</v>
      </c>
      <c r="B28" s="112">
        <v>1921</v>
      </c>
      <c r="C28" s="112">
        <v>4</v>
      </c>
      <c r="D28" t="s" s="83">
        <v>1100</v>
      </c>
      <c r="E28" s="30"/>
      <c r="F28" s="156">
        <v>6</v>
      </c>
      <c r="G28" t="s" s="96">
        <v>1135</v>
      </c>
      <c r="H28" t="s" s="96">
        <v>1141</v>
      </c>
      <c r="I28" s="79">
        <v>20</v>
      </c>
      <c r="J28" t="s" s="96">
        <v>37</v>
      </c>
      <c r="K28" s="16"/>
      <c r="L28" s="16"/>
      <c r="M28" s="79">
        <v>1</v>
      </c>
      <c r="N28" t="s" s="96">
        <v>1118</v>
      </c>
      <c r="O28" s="16"/>
      <c r="P28" s="16"/>
      <c r="Q28" s="79">
        <v>1</v>
      </c>
      <c r="R28" s="16"/>
      <c r="S28" s="16"/>
      <c r="T28" s="79">
        <v>11</v>
      </c>
      <c r="U28" s="79">
        <v>1909</v>
      </c>
      <c r="V28" s="16"/>
      <c r="W28" s="16"/>
      <c r="X28" s="16"/>
      <c r="Y28" s="75"/>
      <c r="Z28" s="30"/>
      <c r="AA28" t="s" s="157">
        <v>34</v>
      </c>
      <c r="AB28" t="s" s="158">
        <v>34</v>
      </c>
      <c r="AC28" s="30"/>
      <c r="AD28" s="30"/>
      <c r="AE28" s="30"/>
      <c r="AF28" s="30"/>
      <c r="AG28" t="s" s="159">
        <v>1142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1099</v>
      </c>
      <c r="B29" s="112">
        <v>1921</v>
      </c>
      <c r="C29" s="112">
        <v>4</v>
      </c>
      <c r="D29" t="s" s="83">
        <v>1100</v>
      </c>
      <c r="E29" s="30"/>
      <c r="F29" s="162">
        <v>6</v>
      </c>
      <c r="G29" t="s" s="181">
        <v>1143</v>
      </c>
      <c r="H29" t="s" s="181">
        <v>1144</v>
      </c>
      <c r="I29" s="126">
        <v>21</v>
      </c>
      <c r="J29" s="126">
        <v>1</v>
      </c>
      <c r="K29" s="132"/>
      <c r="L29" s="132"/>
      <c r="M29" s="132"/>
      <c r="N29" t="s" s="181">
        <v>11</v>
      </c>
      <c r="O29" s="132"/>
      <c r="P29" s="132"/>
      <c r="Q29" s="132"/>
      <c r="R29" s="132"/>
      <c r="S29" s="126">
        <v>1</v>
      </c>
      <c r="T29" s="126">
        <v>25</v>
      </c>
      <c r="U29" s="126">
        <v>1896</v>
      </c>
      <c r="V29" s="132"/>
      <c r="W29" s="132"/>
      <c r="X29" s="132"/>
      <c r="Y29" s="133"/>
      <c r="Z29" s="30"/>
      <c r="AA29" t="s" s="160">
        <v>105</v>
      </c>
      <c r="AB29" t="s" s="161">
        <v>15</v>
      </c>
      <c r="AC29" s="112">
        <v>1</v>
      </c>
      <c r="AD29" s="30"/>
      <c r="AE29" s="30"/>
      <c r="AF29" s="30"/>
      <c r="AG29" t="s" s="110">
        <v>1145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3">
        <v>1099</v>
      </c>
      <c r="B30" s="112">
        <v>1921</v>
      </c>
      <c r="C30" s="30"/>
      <c r="D30" t="s" s="83">
        <v>1100</v>
      </c>
      <c r="E30" s="30"/>
      <c r="F30" s="30"/>
      <c r="G30" s="30"/>
      <c r="H30" s="112">
        <v>5</v>
      </c>
      <c r="I30" s="30"/>
      <c r="J30" s="30"/>
      <c r="K30" s="30"/>
      <c r="L30" s="30"/>
      <c r="M30" s="121"/>
      <c r="N30" s="121"/>
      <c r="O30" s="121"/>
      <c r="P30" s="121"/>
      <c r="Q30" s="121"/>
      <c r="R30" s="121"/>
      <c r="S30" s="121"/>
      <c r="T30" s="121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t="s" s="83">
        <v>1099</v>
      </c>
      <c r="B31" s="112">
        <v>1921</v>
      </c>
      <c r="C31" s="30"/>
      <c r="D31" t="s" s="83">
        <v>1100</v>
      </c>
      <c r="E31" s="30"/>
      <c r="F31" s="30"/>
      <c r="G31" s="30"/>
      <c r="H31" s="30"/>
      <c r="I31" s="112">
        <v>21</v>
      </c>
      <c r="J31" s="112" cm="1">
        <f t="array" ref="J31">SUM(J3:J29)</f>
        <v>12</v>
      </c>
      <c r="K31" s="112" cm="1">
        <f t="array" ref="K31">SUM(K3:K29)</f>
        <v>6</v>
      </c>
      <c r="L31" s="112" cm="1">
        <f t="array" ref="L31">SUM(L3:L29)</f>
        <v>0</v>
      </c>
      <c r="M31" s="112" cm="1">
        <f t="array" ref="M31">SUM(M3:M29)</f>
        <v>3</v>
      </c>
      <c r="N31" s="112" cm="1">
        <f t="array" ref="N31">SUM(N3:N29)</f>
        <v>4</v>
      </c>
      <c r="O31" s="112" cm="1">
        <f t="array" ref="O31">SUM(O3:O29)</f>
        <v>4</v>
      </c>
      <c r="P31" s="112" cm="1">
        <f t="array" ref="P31">SUM(P3:P29)</f>
        <v>0</v>
      </c>
      <c r="Q31" s="112" cm="1">
        <f t="array" ref="Q31">SUM(Q3:Q29)</f>
        <v>4</v>
      </c>
      <c r="R31" s="112" cm="1">
        <f t="array" ref="R31">SUM(R3:R29)</f>
        <v>1</v>
      </c>
      <c r="S31" s="112" cm="1">
        <f t="array" ref="S31">SUM(S3:S29)</f>
        <v>8</v>
      </c>
      <c r="T31" s="112" cm="1">
        <f t="array" ref="T31">SUM(T3:T29)</f>
        <v>729</v>
      </c>
      <c r="U31" s="30"/>
      <c r="V31" s="112" cm="1">
        <f t="array" ref="V31">SUM(V3:V29)</f>
        <v>0</v>
      </c>
      <c r="W31" s="112" cm="1">
        <f t="array" ref="W31">SUM(W3:W29)</f>
        <v>0</v>
      </c>
      <c r="X31" s="112" cm="1">
        <f t="array" ref="X31">SUM(X3:X29)</f>
        <v>0</v>
      </c>
      <c r="Y31" s="112" cm="1">
        <f t="array" ref="Y31">SUM(Y3:Y29)</f>
        <v>0</v>
      </c>
      <c r="Z31" s="112" cm="1">
        <f t="array" ref="Z31">SUM(Z3:Z29)</f>
        <v>0</v>
      </c>
      <c r="AA31" s="112" cm="1">
        <f t="array" ref="AA31">SUM(AA3:AA29)</f>
        <v>0</v>
      </c>
      <c r="AB31" s="112" cm="1">
        <f t="array" ref="AB31">SUM(AB3:AB29)</f>
        <v>0</v>
      </c>
      <c r="AC31" s="112" cm="1">
        <f t="array" ref="AC31">SUM(AC3:AC29)</f>
        <v>13</v>
      </c>
      <c r="AD31" s="112" cm="1">
        <f t="array" ref="AD31">SUM(AD3:AD29)</f>
        <v>3</v>
      </c>
      <c r="AE31" s="112" cm="1">
        <f t="array" ref="AE31">AC31-AD31</f>
        <v>10</v>
      </c>
      <c r="AF31" s="112" cm="1">
        <f t="array" ref="AF31">SUM(AF3:AF29)</f>
        <v>6</v>
      </c>
      <c r="AG31" s="112" cm="1">
        <f t="array" ref="AG31">N32-AF31</f>
        <v>15</v>
      </c>
      <c r="AH31" s="112" cm="1">
        <f t="array" ref="AH31">AG31+AF31</f>
        <v>21</v>
      </c>
      <c r="AI31" s="112" cm="1">
        <f t="array" ref="AI31">SUM(AI3:AI29)</f>
        <v>0</v>
      </c>
      <c r="AJ31" s="112" cm="1">
        <f t="array" ref="AJ31">SUM(AJ3:AJ29)</f>
        <v>0</v>
      </c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112" cm="1">
        <f t="array" ref="J32">SUM(J31:M31)</f>
        <v>21</v>
      </c>
      <c r="K32" s="30"/>
      <c r="L32" s="30"/>
      <c r="M32" s="121"/>
      <c r="N32" s="118" cm="1">
        <f t="array" ref="N32">SUM(N31:S31)</f>
        <v>21</v>
      </c>
      <c r="O32" s="121"/>
      <c r="P32" s="121"/>
      <c r="Q32" s="121"/>
      <c r="R32" s="121"/>
      <c r="S32" s="121"/>
      <c r="T32" s="86" cm="1">
        <f t="array" ref="T32">T31/N32</f>
        <v>34.7142857142857</v>
      </c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.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121"/>
      <c r="N33" s="121"/>
      <c r="O33" s="121"/>
      <c r="P33" s="121"/>
      <c r="Q33" s="121"/>
      <c r="R33" s="121"/>
      <c r="S33" s="121"/>
      <c r="T33" s="121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t="s" s="83">
        <v>723</v>
      </c>
      <c r="B34" s="30"/>
      <c r="C34" s="30"/>
      <c r="D34" s="30"/>
      <c r="E34" s="30"/>
      <c r="F34" s="30"/>
      <c r="G34" s="112" cm="1">
        <f t="array" ref="G34">SUM(G3:G33)</f>
        <v>0</v>
      </c>
      <c r="H34" s="112" cm="1">
        <f t="array" ref="H34">SUM(H3:H33)</f>
        <v>21</v>
      </c>
      <c r="I34" s="112" cm="1">
        <f t="array" ref="I34">SUM(I3:I33)</f>
        <v>252</v>
      </c>
      <c r="J34" s="112" cm="1">
        <f t="array" ref="J34">SUM(J3:J33)</f>
        <v>45</v>
      </c>
      <c r="K34" s="112" cm="1">
        <f t="array" ref="K34">SUM(K3:K33)</f>
        <v>12</v>
      </c>
      <c r="L34" s="112" cm="1">
        <f t="array" ref="L34">SUM(L3:L33)</f>
        <v>0</v>
      </c>
      <c r="M34" s="112" cm="1">
        <f t="array" ref="M34">SUM(M3:M33)</f>
        <v>6</v>
      </c>
      <c r="N34" s="112" cm="1">
        <f t="array" ref="N34">SUM(N3:N33)</f>
        <v>29</v>
      </c>
      <c r="O34" s="112" cm="1">
        <f t="array" ref="O34">SUM(O3:O33)</f>
        <v>8</v>
      </c>
      <c r="P34" s="112" cm="1">
        <f t="array" ref="P34">SUM(P3:P33)</f>
        <v>0</v>
      </c>
      <c r="Q34" s="112" cm="1">
        <f t="array" ref="Q34">SUM(Q3:Q33)</f>
        <v>8</v>
      </c>
      <c r="R34" s="112" cm="1">
        <f t="array" ref="R34">SUM(R3:R33)</f>
        <v>2</v>
      </c>
      <c r="S34" s="112" cm="1">
        <f t="array" ref="S34">SUM(S3:S33)</f>
        <v>16</v>
      </c>
      <c r="T34" s="112" cm="1">
        <f t="array" ref="T34">SUM(T3:T33)</f>
        <v>1492.714285714290</v>
      </c>
      <c r="U34" s="112" cm="1">
        <f t="array" ref="U34">SUM(U3:U33)</f>
        <v>39606</v>
      </c>
      <c r="V34" s="112" cm="1">
        <f t="array" ref="V34">SUM(V3:V33)</f>
        <v>0</v>
      </c>
      <c r="W34" s="112" cm="1">
        <f t="array" ref="W34">SUM(W3:W33)</f>
        <v>0</v>
      </c>
      <c r="X34" s="112" cm="1">
        <f t="array" ref="X34">SUM(X3:X33)</f>
        <v>0</v>
      </c>
      <c r="Y34" s="112" cm="1">
        <f t="array" ref="Y34">SUM(Y3:Y33)</f>
        <v>0</v>
      </c>
      <c r="Z34" s="112" cm="1">
        <f t="array" ref="Z34">SUM(Z3:Z33)</f>
        <v>0</v>
      </c>
      <c r="AA34" s="112" cm="1">
        <f t="array" ref="AA34">SUM(AA3:AA33)</f>
        <v>0</v>
      </c>
      <c r="AB34" s="112" cm="1">
        <f t="array" ref="AB34">SUM(AB3:AB33)</f>
        <v>0</v>
      </c>
      <c r="AC34" s="112" cm="1">
        <f t="array" ref="AC34">SUM(AC3:AC33)</f>
        <v>26</v>
      </c>
      <c r="AD34" s="112" cm="1">
        <f t="array" ref="AD34">SUM(AD3:AD33)</f>
        <v>6</v>
      </c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s="30"/>
      <c r="B35" s="30"/>
      <c r="C35" s="30"/>
      <c r="D35" s="30"/>
      <c r="E35" s="30"/>
      <c r="F35" s="30"/>
      <c r="G35" s="112" cm="1">
        <f t="array" ref="G35">G34+H34+I34+J34</f>
        <v>318</v>
      </c>
      <c r="H35" s="30"/>
      <c r="I35" s="30"/>
      <c r="J35" s="30"/>
      <c r="K35" s="112" cm="1">
        <f t="array" ref="K35">K34+L34+M34+N34+O34+P34</f>
        <v>55</v>
      </c>
      <c r="L35" s="30"/>
      <c r="M35" s="121"/>
      <c r="N35" s="121"/>
      <c r="O35" s="121"/>
      <c r="P35" s="121"/>
      <c r="Q35" s="118" cm="1">
        <f t="array" ref="Q35">Q34/K35</f>
        <v>0.145454545454545</v>
      </c>
      <c r="R35" s="121"/>
      <c r="S35" s="121"/>
      <c r="T35" s="121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121"/>
      <c r="N36" s="121"/>
      <c r="O36" s="121"/>
      <c r="P36" s="121"/>
      <c r="Q36" s="121"/>
      <c r="R36" s="121"/>
      <c r="S36" s="121"/>
      <c r="T36" s="121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s="124"/>
      <c r="B37" s="124"/>
      <c r="C37" s="124"/>
      <c r="D37" s="28"/>
      <c r="E37" s="124"/>
      <c r="F37" s="28"/>
      <c r="G37" s="28"/>
      <c r="H37" s="28"/>
      <c r="I37" s="28"/>
      <c r="J37" s="28"/>
      <c r="K37" s="125"/>
      <c r="L37" s="28"/>
      <c r="M37" s="28"/>
      <c r="N37" s="28"/>
      <c r="O37" s="28"/>
      <c r="P37" s="28"/>
      <c r="Q37" s="125"/>
      <c r="R37" s="125"/>
      <c r="S37" s="125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28" customHeight="1">
      <c r="A38" s="124"/>
      <c r="B38" s="124"/>
      <c r="C38" s="124"/>
      <c r="D38" s="28"/>
      <c r="E38" s="124"/>
      <c r="F38" s="28"/>
      <c r="G38" s="28"/>
      <c r="H38" s="28"/>
      <c r="I38" s="28"/>
      <c r="J38" s="163"/>
      <c r="K38" s="164"/>
      <c r="L38" s="165"/>
      <c r="M38" s="28"/>
      <c r="N38" s="28"/>
      <c r="O38" s="28"/>
      <c r="P38" s="163"/>
      <c r="Q38" s="164"/>
      <c r="R38" s="164"/>
      <c r="S38" s="164"/>
      <c r="T38" s="166"/>
      <c r="U38" s="28"/>
      <c r="V38" s="28"/>
      <c r="W38" s="28"/>
      <c r="X38" s="28"/>
      <c r="Y38" s="28"/>
      <c r="Z38" s="28"/>
      <c r="AA38" s="28"/>
      <c r="AB38" s="28"/>
      <c r="AC38" s="28"/>
      <c r="AD38" s="124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s="146"/>
      <c r="B39" s="30"/>
      <c r="C39" s="30"/>
      <c r="D39" s="30"/>
      <c r="E39" s="30"/>
      <c r="F39" s="30"/>
      <c r="G39" s="30"/>
      <c r="H39" s="30"/>
      <c r="I39" s="30"/>
      <c r="J39" s="30"/>
      <c r="K39" s="141"/>
      <c r="L39" s="30"/>
      <c r="M39" s="121"/>
      <c r="N39" s="121"/>
      <c r="O39" s="121"/>
      <c r="P39" s="121"/>
      <c r="Q39" s="147"/>
      <c r="R39" s="147"/>
      <c r="S39" s="147"/>
      <c r="T39" s="121"/>
      <c r="U39" s="121"/>
      <c r="V39" s="121"/>
      <c r="W39" s="121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.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121"/>
      <c r="N40" s="121"/>
      <c r="O40" s="121"/>
      <c r="P40" s="121"/>
      <c r="Q40" s="30"/>
      <c r="R40" s="121"/>
      <c r="S40" s="121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121"/>
      <c r="N41" s="121"/>
      <c r="O41" s="121"/>
      <c r="P41" s="121"/>
      <c r="Q41" s="121"/>
      <c r="R41" s="121"/>
      <c r="S41" s="12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.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121"/>
      <c r="N42" s="121"/>
      <c r="O42" s="121"/>
      <c r="P42" s="121"/>
      <c r="Q42" s="121"/>
      <c r="R42" s="121"/>
      <c r="S42" s="121"/>
      <c r="T42" s="30"/>
      <c r="U42" s="121"/>
      <c r="V42" s="121"/>
      <c r="W42" s="121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7.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121"/>
      <c r="N43" s="121"/>
      <c r="O43" s="121"/>
      <c r="P43" s="121"/>
      <c r="Q43" s="30"/>
      <c r="R43" s="121"/>
      <c r="S43" s="121"/>
      <c r="T43" s="30"/>
      <c r="U43" s="121"/>
      <c r="V43" s="121"/>
      <c r="W43" s="121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121"/>
      <c r="N44" s="121"/>
      <c r="O44" s="121"/>
      <c r="P44" s="121"/>
      <c r="Q44" s="30"/>
      <c r="R44" s="121"/>
      <c r="S44" s="121"/>
      <c r="T44" s="30"/>
      <c r="U44" s="121"/>
      <c r="V44" s="121"/>
      <c r="W44" s="121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121"/>
      <c r="N45" s="121"/>
      <c r="O45" s="121"/>
      <c r="P45" s="121"/>
      <c r="Q45" s="30"/>
      <c r="R45" s="121"/>
      <c r="S45" s="121"/>
      <c r="T45" s="30"/>
      <c r="U45" s="121"/>
      <c r="V45" s="121"/>
      <c r="W45" s="121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121"/>
      <c r="N46" s="121"/>
      <c r="O46" s="121"/>
      <c r="P46" s="121"/>
      <c r="Q46" s="30"/>
      <c r="R46" s="121"/>
      <c r="S46" s="121"/>
      <c r="T46" s="30"/>
      <c r="U46" s="121"/>
      <c r="V46" s="121"/>
      <c r="W46" s="121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.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121"/>
      <c r="N48" s="121"/>
      <c r="O48" s="121"/>
      <c r="P48" s="121"/>
      <c r="Q48" s="30"/>
      <c r="R48" s="121"/>
      <c r="S48" s="121"/>
      <c r="T48" s="129"/>
      <c r="U48" s="121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.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121"/>
      <c r="N49" s="121"/>
      <c r="O49" s="121"/>
      <c r="P49" s="121"/>
      <c r="Q49" s="30"/>
      <c r="R49" s="121"/>
      <c r="S49" s="121"/>
      <c r="T49" s="30"/>
      <c r="U49" s="121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121"/>
      <c r="N50" s="121"/>
      <c r="O50" s="121"/>
      <c r="P50" s="121"/>
      <c r="Q50" s="30"/>
      <c r="R50" s="121"/>
      <c r="S50" s="121"/>
      <c r="T50" s="30"/>
      <c r="U50" s="121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121"/>
      <c r="N51" s="121"/>
      <c r="O51" s="121"/>
      <c r="P51" s="121"/>
      <c r="Q51" s="30"/>
      <c r="R51" s="121"/>
      <c r="S51" s="121"/>
      <c r="T51" s="129"/>
      <c r="U51" s="121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.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121"/>
      <c r="N52" s="121"/>
      <c r="O52" s="121"/>
      <c r="P52" s="121"/>
      <c r="Q52" s="30"/>
      <c r="R52" s="121"/>
      <c r="S52" s="121"/>
      <c r="T52" s="30"/>
      <c r="U52" s="121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121"/>
      <c r="N53" s="121"/>
      <c r="O53" s="121"/>
      <c r="P53" s="121"/>
      <c r="Q53" s="30"/>
      <c r="R53" s="121"/>
      <c r="S53" s="121"/>
      <c r="T53" s="30"/>
      <c r="U53" s="121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121"/>
      <c r="N54" s="121"/>
      <c r="O54" s="121"/>
      <c r="P54" s="121"/>
      <c r="Q54" s="30"/>
      <c r="R54" s="121"/>
      <c r="S54" s="121"/>
      <c r="T54" s="30"/>
      <c r="U54" s="121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" customHeight="1">
      <c r="A55" t="s" s="83">
        <v>723</v>
      </c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112" cm="1">
        <f t="array" ref="V55">SUM(V3:V54)</f>
        <v>0</v>
      </c>
      <c r="W55" s="112" cm="1">
        <f t="array" ref="W55">SUM(W3:W54)</f>
        <v>0</v>
      </c>
      <c r="X55" s="30"/>
      <c r="Y55" s="30"/>
      <c r="Z55" s="112" cm="1">
        <f t="array" ref="Z55">SUM(Z3:Z54)</f>
        <v>0</v>
      </c>
      <c r="AA55" s="112" cm="1">
        <f t="array" ref="AA55">SUM(AA3:AA54)</f>
        <v>0</v>
      </c>
      <c r="AB55" s="112" cm="1">
        <f t="array" ref="AB55">SUM(AB3:AB54)</f>
        <v>0</v>
      </c>
      <c r="AC55" s="112" cm="1">
        <f t="array" ref="AC55">SUM(AC3:AC54)</f>
        <v>52</v>
      </c>
      <c r="AD55" s="112" cm="1">
        <f t="array" ref="AD55">SUM(AD3:AD54)</f>
        <v>12</v>
      </c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87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" customHeight="1">
      <c r="A57" s="30"/>
      <c r="B57" s="30"/>
      <c r="C57" s="30"/>
      <c r="D57" s="30"/>
      <c r="E57" s="30"/>
      <c r="F57" s="30"/>
      <c r="G57" s="130"/>
      <c r="H57" s="30"/>
      <c r="I57" s="30"/>
      <c r="J57" s="30"/>
      <c r="K57" s="30"/>
      <c r="L57" s="30"/>
      <c r="M57" s="30"/>
      <c r="N57" s="30"/>
      <c r="O57" s="30"/>
      <c r="P57" s="30"/>
      <c r="Q57" s="87"/>
      <c r="R57" s="130"/>
      <c r="S57" s="130"/>
      <c r="T57" s="1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.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121"/>
      <c r="S58" s="121"/>
      <c r="T58" s="129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130"/>
      <c r="S59" s="130"/>
      <c r="T59" s="130"/>
      <c r="U59" s="30"/>
      <c r="V59" s="30"/>
      <c r="W59" s="30"/>
      <c r="X59" s="30"/>
      <c r="Y59" s="30"/>
      <c r="Z59" s="30"/>
      <c r="AA59" s="30"/>
      <c r="AB59" s="30"/>
      <c r="AC59" s="134"/>
      <c r="AD59" s="134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.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121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5.3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  <c r="AS61" s="62"/>
      <c r="AT61" s="62"/>
      <c r="AU61" s="62"/>
      <c r="AV61" s="62"/>
      <c r="AW61" s="62"/>
      <c r="AX61" s="62"/>
      <c r="AY61" s="62"/>
      <c r="AZ61" s="16"/>
      <c r="BA61" s="16"/>
      <c r="BB61" s="16"/>
      <c r="BC61" s="16"/>
    </row>
    <row r="62" ht="15.3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15.3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</row>
    <row r="65" ht="15.3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</row>
    <row r="66" ht="15.3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15.3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15.3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3.xml><?xml version="1.0" encoding="utf-8"?>
<worksheet xmlns:r="http://schemas.openxmlformats.org/officeDocument/2006/relationships" xmlns="http://schemas.openxmlformats.org/spreadsheetml/2006/main">
  <dimension ref="A1:BC108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219" customWidth="1"/>
    <col min="4" max="4" width="17.8516" style="219" customWidth="1"/>
    <col min="5" max="5" width="12.5" style="219" customWidth="1"/>
    <col min="6" max="6" width="11.3516" style="219" customWidth="1"/>
    <col min="7" max="7" width="17.6719" style="219" customWidth="1"/>
    <col min="8" max="8" width="26" style="219" customWidth="1"/>
    <col min="9" max="9" width="11.1719" style="219" customWidth="1"/>
    <col min="10" max="10" width="10.8516" style="219" customWidth="1"/>
    <col min="11" max="11" width="6" style="219" customWidth="1"/>
    <col min="12" max="12" width="7.85156" style="219" customWidth="1"/>
    <col min="13" max="13" width="10" style="219" customWidth="1"/>
    <col min="14" max="14" width="8.67188" style="219" customWidth="1"/>
    <col min="15" max="15" width="10.8516" style="219" customWidth="1"/>
    <col min="16" max="16" width="11.5" style="219" customWidth="1"/>
    <col min="17" max="17" width="11.6719" style="219" customWidth="1"/>
    <col min="18" max="18" width="12.3516" style="219" customWidth="1"/>
    <col min="19" max="19" width="10.8516" style="219" customWidth="1"/>
    <col min="20" max="20" width="15.1719" style="219" customWidth="1"/>
    <col min="21" max="23" width="10.8516" style="219" customWidth="1"/>
    <col min="24" max="24" width="31" style="219" customWidth="1"/>
    <col min="25" max="25" width="19.8516" style="219" customWidth="1"/>
    <col min="26" max="26" width="12.1719" style="219" customWidth="1"/>
    <col min="27" max="30" width="16.5" style="219" customWidth="1"/>
    <col min="31" max="31" width="14.6719" style="219" customWidth="1"/>
    <col min="32" max="32" width="10.8516" style="219" customWidth="1"/>
    <col min="33" max="33" width="11" style="219" customWidth="1"/>
    <col min="34" max="34" width="11.1719" style="219" customWidth="1"/>
    <col min="35" max="35" width="7.85156" style="219" customWidth="1"/>
    <col min="36" max="37" width="10.8516" style="219" customWidth="1"/>
    <col min="38" max="38" width="7.35156" style="219" customWidth="1"/>
    <col min="39" max="39" width="10.8516" style="219" customWidth="1"/>
    <col min="40" max="40" width="9.17188" style="219" customWidth="1"/>
    <col min="41" max="41" width="10.8516" style="219" customWidth="1"/>
    <col min="42" max="42" width="12.5" style="219" customWidth="1"/>
    <col min="43" max="43" width="13" style="219" customWidth="1"/>
    <col min="44" max="55" width="10.8516" style="219" customWidth="1"/>
    <col min="56" max="16384" width="10.8516" style="219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89"/>
      <c r="D2" s="89"/>
      <c r="E2" t="s" s="90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7" customHeight="1">
      <c r="A3" t="s" s="88">
        <v>998</v>
      </c>
      <c r="B3" s="89">
        <v>1921</v>
      </c>
      <c r="C3" s="89">
        <v>1</v>
      </c>
      <c r="D3" t="s" s="90">
        <v>1146</v>
      </c>
      <c r="E3" s="220"/>
      <c r="F3" s="112">
        <v>5</v>
      </c>
      <c r="G3" t="s" s="83">
        <v>1147</v>
      </c>
      <c r="H3" t="s" s="83">
        <v>1148</v>
      </c>
      <c r="I3" s="174">
        <v>1</v>
      </c>
      <c r="J3" s="112">
        <v>1</v>
      </c>
      <c r="K3" s="116"/>
      <c r="L3" s="62"/>
      <c r="M3" s="117"/>
      <c r="N3" t="s" s="83">
        <v>11</v>
      </c>
      <c r="O3" s="116"/>
      <c r="P3" s="62"/>
      <c r="Q3" s="62"/>
      <c r="R3" s="62"/>
      <c r="S3" s="221">
        <v>1</v>
      </c>
      <c r="T3" s="112">
        <v>42</v>
      </c>
      <c r="U3" s="222"/>
      <c r="V3" s="223"/>
      <c r="W3" s="112">
        <v>1878</v>
      </c>
      <c r="X3" s="116"/>
      <c r="Y3" s="62"/>
      <c r="Z3" s="117"/>
      <c r="AA3" t="s" s="83">
        <v>34</v>
      </c>
      <c r="AB3" t="s" s="83">
        <v>15</v>
      </c>
      <c r="AC3" s="84">
        <v>1</v>
      </c>
      <c r="AD3" s="84"/>
      <c r="AE3" s="84"/>
      <c r="AF3" s="84"/>
      <c r="AG3" t="s" s="83">
        <v>84</v>
      </c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116"/>
      <c r="BA3" s="62"/>
      <c r="BB3" s="62"/>
      <c r="BC3" s="62"/>
    </row>
    <row r="4" ht="51" customHeight="1">
      <c r="A4" t="s" s="88">
        <v>998</v>
      </c>
      <c r="B4" s="89">
        <v>1921</v>
      </c>
      <c r="C4" s="89">
        <v>1</v>
      </c>
      <c r="D4" t="s" s="90">
        <v>1146</v>
      </c>
      <c r="E4" s="220"/>
      <c r="F4" s="112">
        <v>5</v>
      </c>
      <c r="G4" t="s" s="83">
        <v>1149</v>
      </c>
      <c r="H4" t="s" s="83">
        <v>1150</v>
      </c>
      <c r="I4" s="176">
        <v>2</v>
      </c>
      <c r="J4" s="112">
        <v>1</v>
      </c>
      <c r="K4" s="74"/>
      <c r="L4" s="16"/>
      <c r="M4" s="75"/>
      <c r="N4" t="s" s="83">
        <v>11</v>
      </c>
      <c r="O4" s="74"/>
      <c r="P4" s="16"/>
      <c r="Q4" s="16"/>
      <c r="R4" s="16"/>
      <c r="S4" s="178">
        <v>1</v>
      </c>
      <c r="T4" s="118">
        <v>42</v>
      </c>
      <c r="U4" s="222"/>
      <c r="V4" s="223"/>
      <c r="W4" s="112">
        <v>1878</v>
      </c>
      <c r="X4" s="74"/>
      <c r="Y4" s="16"/>
      <c r="Z4" s="75"/>
      <c r="AA4" t="s" s="119">
        <v>34</v>
      </c>
      <c r="AB4" t="s" s="119">
        <v>15</v>
      </c>
      <c r="AC4" s="84">
        <v>1</v>
      </c>
      <c r="AD4" s="84"/>
      <c r="AE4" s="84"/>
      <c r="AF4" s="84"/>
      <c r="AG4" t="s" s="119">
        <v>1151</v>
      </c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74"/>
      <c r="BA4" s="16"/>
      <c r="BB4" s="16"/>
      <c r="BC4" s="16"/>
    </row>
    <row r="5" ht="17" customHeight="1">
      <c r="A5" t="s" s="88">
        <v>998</v>
      </c>
      <c r="B5" s="89">
        <v>1921</v>
      </c>
      <c r="C5" s="89"/>
      <c r="D5" t="s" s="90">
        <v>1146</v>
      </c>
      <c r="E5" s="220"/>
      <c r="F5" s="30"/>
      <c r="G5" s="30"/>
      <c r="H5" s="112">
        <v>2</v>
      </c>
      <c r="I5" s="122"/>
      <c r="J5" s="30"/>
      <c r="K5" s="74"/>
      <c r="L5" s="16"/>
      <c r="M5" s="75"/>
      <c r="N5" s="30"/>
      <c r="O5" s="74"/>
      <c r="P5" s="16"/>
      <c r="Q5" s="16"/>
      <c r="R5" s="16"/>
      <c r="S5" s="75"/>
      <c r="T5" s="121"/>
      <c r="U5" s="222"/>
      <c r="V5" s="223"/>
      <c r="W5" s="30"/>
      <c r="X5" s="74"/>
      <c r="Y5" s="16"/>
      <c r="Z5" s="75"/>
      <c r="AA5" s="121"/>
      <c r="AB5" s="121"/>
      <c r="AC5" s="84"/>
      <c r="AD5" s="84"/>
      <c r="AE5" s="84"/>
      <c r="AF5" s="84"/>
      <c r="AG5" s="121"/>
      <c r="AH5" s="87"/>
      <c r="AI5" s="87"/>
      <c r="AJ5" s="87"/>
      <c r="AK5" s="87"/>
      <c r="AL5" s="87"/>
      <c r="AM5" s="87"/>
      <c r="AN5" s="87"/>
      <c r="AO5" s="87"/>
      <c r="AP5" s="87"/>
      <c r="AQ5" s="87"/>
      <c r="AR5" s="87"/>
      <c r="AS5" s="87"/>
      <c r="AT5" s="87"/>
      <c r="AU5" s="87"/>
      <c r="AV5" s="87"/>
      <c r="AW5" s="87"/>
      <c r="AX5" s="87"/>
      <c r="AY5" s="87"/>
      <c r="AZ5" s="74"/>
      <c r="BA5" s="16"/>
      <c r="BB5" s="16"/>
      <c r="BC5" s="16"/>
    </row>
    <row r="6" ht="51" customHeight="1">
      <c r="A6" t="s" s="88">
        <v>998</v>
      </c>
      <c r="B6" s="89">
        <v>1921</v>
      </c>
      <c r="C6" s="89"/>
      <c r="D6" t="s" s="90">
        <v>1146</v>
      </c>
      <c r="E6" s="220"/>
      <c r="F6" s="121"/>
      <c r="G6" t="s" s="119">
        <v>1</v>
      </c>
      <c r="H6" t="s" s="119">
        <v>0</v>
      </c>
      <c r="I6" s="122"/>
      <c r="J6" t="s" s="224">
        <v>3</v>
      </c>
      <c r="K6" s="74"/>
      <c r="L6" s="16"/>
      <c r="M6" s="75"/>
      <c r="N6" t="s" s="119">
        <v>2</v>
      </c>
      <c r="O6" s="74"/>
      <c r="P6" s="16"/>
      <c r="Q6" s="16"/>
      <c r="R6" s="16"/>
      <c r="S6" s="75"/>
      <c r="T6" t="s" s="119">
        <v>5</v>
      </c>
      <c r="U6" s="222"/>
      <c r="V6" s="223"/>
      <c r="W6" t="s" s="119">
        <v>4</v>
      </c>
      <c r="X6" s="74"/>
      <c r="Y6" s="16"/>
      <c r="Z6" s="75"/>
      <c r="AA6" t="s" s="119">
        <v>7</v>
      </c>
      <c r="AB6" t="s" s="119">
        <v>8</v>
      </c>
      <c r="AC6" s="84"/>
      <c r="AD6" s="84"/>
      <c r="AE6" s="84"/>
      <c r="AF6" s="84"/>
      <c r="AG6" t="s" s="119">
        <v>6</v>
      </c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87"/>
      <c r="AS6" s="87"/>
      <c r="AT6" s="87"/>
      <c r="AU6" s="87"/>
      <c r="AV6" s="87"/>
      <c r="AW6" s="87"/>
      <c r="AX6" s="87"/>
      <c r="AY6" s="87"/>
      <c r="AZ6" s="74"/>
      <c r="BA6" s="16"/>
      <c r="BB6" s="16"/>
      <c r="BC6" s="16"/>
    </row>
    <row r="7" ht="68" customHeight="1">
      <c r="A7" t="s" s="88">
        <v>998</v>
      </c>
      <c r="B7" s="89">
        <v>1921</v>
      </c>
      <c r="C7" s="89">
        <v>2</v>
      </c>
      <c r="D7" t="s" s="90">
        <v>1146</v>
      </c>
      <c r="E7" s="220"/>
      <c r="F7" s="118">
        <v>19</v>
      </c>
      <c r="G7" t="s" s="119">
        <v>1152</v>
      </c>
      <c r="H7" t="s" s="119">
        <v>64</v>
      </c>
      <c r="I7" s="177">
        <v>3</v>
      </c>
      <c r="J7" t="s" s="90">
        <v>37</v>
      </c>
      <c r="K7" s="99">
        <v>1</v>
      </c>
      <c r="L7" s="16"/>
      <c r="M7" s="75"/>
      <c r="N7" s="225">
        <v>1</v>
      </c>
      <c r="O7" s="16"/>
      <c r="P7" s="16"/>
      <c r="Q7" s="16"/>
      <c r="R7" s="16"/>
      <c r="S7" s="75"/>
      <c r="T7" s="118">
        <v>51</v>
      </c>
      <c r="U7" s="222"/>
      <c r="V7" s="172"/>
      <c r="W7" s="226">
        <v>1870</v>
      </c>
      <c r="X7" s="74"/>
      <c r="Y7" s="16"/>
      <c r="Z7" s="75"/>
      <c r="AA7" t="s" s="119">
        <v>689</v>
      </c>
      <c r="AB7" t="s" s="119">
        <v>8</v>
      </c>
      <c r="AC7" s="84">
        <v>1</v>
      </c>
      <c r="AD7" s="84">
        <v>1</v>
      </c>
      <c r="AE7" s="84"/>
      <c r="AF7" s="84">
        <v>1</v>
      </c>
      <c r="AG7" t="s" s="119">
        <v>13</v>
      </c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74"/>
      <c r="BA7" s="16"/>
      <c r="BB7" s="16"/>
      <c r="BC7" s="16"/>
    </row>
    <row r="8" ht="51" customHeight="1">
      <c r="A8" t="s" s="88">
        <v>998</v>
      </c>
      <c r="B8" s="89">
        <v>1921</v>
      </c>
      <c r="C8" s="89">
        <v>2</v>
      </c>
      <c r="D8" t="s" s="90">
        <v>1146</v>
      </c>
      <c r="E8" s="220"/>
      <c r="F8" s="118">
        <v>19</v>
      </c>
      <c r="G8" t="s" s="83">
        <v>1152</v>
      </c>
      <c r="H8" t="s" s="83">
        <v>1153</v>
      </c>
      <c r="I8" s="176">
        <v>4</v>
      </c>
      <c r="J8" s="111">
        <v>1</v>
      </c>
      <c r="K8" s="74"/>
      <c r="L8" s="16"/>
      <c r="M8" s="75"/>
      <c r="N8" t="s" s="83">
        <v>72</v>
      </c>
      <c r="O8" s="177">
        <v>1</v>
      </c>
      <c r="P8" s="16"/>
      <c r="Q8" s="16"/>
      <c r="R8" s="16"/>
      <c r="S8" s="75"/>
      <c r="T8" s="118">
        <v>52</v>
      </c>
      <c r="U8" s="222"/>
      <c r="V8" s="223"/>
      <c r="W8" s="112">
        <v>1869</v>
      </c>
      <c r="X8" s="74"/>
      <c r="Y8" s="16"/>
      <c r="Z8" s="75"/>
      <c r="AA8" t="s" s="119">
        <v>33</v>
      </c>
      <c r="AB8" t="s" s="119">
        <v>34</v>
      </c>
      <c r="AC8" s="84"/>
      <c r="AD8" s="84"/>
      <c r="AE8" s="84"/>
      <c r="AF8" s="84"/>
      <c r="AG8" t="s" s="119">
        <v>1015</v>
      </c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74"/>
      <c r="BA8" s="16"/>
      <c r="BB8" s="16"/>
      <c r="BC8" s="16"/>
    </row>
    <row r="9" ht="68" customHeight="1">
      <c r="A9" t="s" s="88">
        <v>998</v>
      </c>
      <c r="B9" s="89">
        <v>1921</v>
      </c>
      <c r="C9" s="89">
        <v>2</v>
      </c>
      <c r="D9" t="s" s="90">
        <v>1146</v>
      </c>
      <c r="E9" s="220"/>
      <c r="F9" s="118">
        <v>19</v>
      </c>
      <c r="G9" t="s" s="83">
        <v>1154</v>
      </c>
      <c r="H9" t="s" s="83">
        <v>1155</v>
      </c>
      <c r="I9" s="176">
        <v>5</v>
      </c>
      <c r="J9" s="112">
        <v>1</v>
      </c>
      <c r="K9" s="74"/>
      <c r="L9" s="16"/>
      <c r="M9" s="75"/>
      <c r="N9" t="s" s="83">
        <v>11</v>
      </c>
      <c r="O9" s="74"/>
      <c r="P9" s="16"/>
      <c r="Q9" s="16"/>
      <c r="R9" s="16"/>
      <c r="S9" s="178">
        <v>1</v>
      </c>
      <c r="T9" s="118">
        <v>64</v>
      </c>
      <c r="U9" s="222"/>
      <c r="V9" s="223"/>
      <c r="W9" s="112">
        <v>1857</v>
      </c>
      <c r="X9" s="74"/>
      <c r="Y9" s="16"/>
      <c r="Z9" s="75"/>
      <c r="AA9" t="s" s="119">
        <v>34</v>
      </c>
      <c r="AB9" t="s" s="119">
        <v>15</v>
      </c>
      <c r="AC9" s="84">
        <v>1</v>
      </c>
      <c r="AD9" s="84"/>
      <c r="AE9" s="84"/>
      <c r="AF9" s="84"/>
      <c r="AG9" t="s" s="119">
        <v>1156</v>
      </c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87"/>
      <c r="AS9" s="87"/>
      <c r="AT9" s="87"/>
      <c r="AU9" s="87"/>
      <c r="AV9" s="87"/>
      <c r="AW9" s="87"/>
      <c r="AX9" s="87"/>
      <c r="AY9" s="87"/>
      <c r="AZ9" s="74"/>
      <c r="BA9" s="16"/>
      <c r="BB9" s="16"/>
      <c r="BC9" s="16"/>
    </row>
    <row r="10" ht="51" customHeight="1">
      <c r="A10" t="s" s="88">
        <v>998</v>
      </c>
      <c r="B10" s="89">
        <v>1921</v>
      </c>
      <c r="C10" s="89">
        <v>2</v>
      </c>
      <c r="D10" t="s" s="90">
        <v>1146</v>
      </c>
      <c r="E10" s="220"/>
      <c r="F10" s="118">
        <v>19</v>
      </c>
      <c r="G10" t="s" s="83">
        <v>1157</v>
      </c>
      <c r="H10" t="s" s="83">
        <v>48</v>
      </c>
      <c r="I10" s="176">
        <v>6</v>
      </c>
      <c r="J10" s="112">
        <v>1</v>
      </c>
      <c r="K10" s="74"/>
      <c r="L10" s="16"/>
      <c r="M10" s="75"/>
      <c r="N10" t="s" s="83">
        <v>11</v>
      </c>
      <c r="O10" s="74"/>
      <c r="P10" s="16"/>
      <c r="Q10" s="16"/>
      <c r="R10" s="16"/>
      <c r="S10" s="178">
        <v>1</v>
      </c>
      <c r="T10" s="118">
        <v>22</v>
      </c>
      <c r="U10" s="222"/>
      <c r="V10" s="223"/>
      <c r="W10" s="112">
        <v>1898</v>
      </c>
      <c r="X10" s="74"/>
      <c r="Y10" s="16"/>
      <c r="Z10" s="75"/>
      <c r="AA10" t="s" s="119">
        <v>34</v>
      </c>
      <c r="AB10" t="s" s="119">
        <v>15</v>
      </c>
      <c r="AC10" s="84">
        <v>1</v>
      </c>
      <c r="AD10" s="84"/>
      <c r="AE10" s="84"/>
      <c r="AF10" s="84"/>
      <c r="AG10" t="s" s="119">
        <v>121</v>
      </c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74"/>
      <c r="BA10" s="16"/>
      <c r="BB10" s="16"/>
      <c r="BC10" s="16"/>
    </row>
    <row r="11" ht="17" customHeight="1">
      <c r="A11" t="s" s="88">
        <v>998</v>
      </c>
      <c r="B11" s="89">
        <v>1921</v>
      </c>
      <c r="C11" s="89"/>
      <c r="D11" t="s" s="90">
        <v>1146</v>
      </c>
      <c r="E11" s="220"/>
      <c r="F11" s="30"/>
      <c r="G11" s="30"/>
      <c r="H11" s="112">
        <v>4</v>
      </c>
      <c r="I11" s="122"/>
      <c r="J11" s="30"/>
      <c r="K11" s="74"/>
      <c r="L11" s="16"/>
      <c r="M11" s="75"/>
      <c r="N11" s="30"/>
      <c r="O11" s="74"/>
      <c r="P11" s="16"/>
      <c r="Q11" s="16"/>
      <c r="R11" s="16"/>
      <c r="S11" s="75"/>
      <c r="T11" s="121"/>
      <c r="U11" s="222"/>
      <c r="V11" s="223"/>
      <c r="W11" s="30"/>
      <c r="X11" s="74"/>
      <c r="Y11" s="16"/>
      <c r="Z11" s="75"/>
      <c r="AA11" s="121"/>
      <c r="AB11" s="121"/>
      <c r="AC11" s="84"/>
      <c r="AD11" s="84"/>
      <c r="AE11" s="84"/>
      <c r="AF11" s="84"/>
      <c r="AG11" s="121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74"/>
      <c r="BA11" s="16"/>
      <c r="BB11" s="16"/>
      <c r="BC11" s="16"/>
    </row>
    <row r="12" ht="17" customHeight="1">
      <c r="A12" t="s" s="227">
        <v>998</v>
      </c>
      <c r="B12" s="228">
        <v>1921</v>
      </c>
      <c r="C12" s="228"/>
      <c r="D12" t="s" s="229">
        <v>1146</v>
      </c>
      <c r="E12" s="230"/>
      <c r="F12" s="30"/>
      <c r="G12" t="s" s="83">
        <v>1</v>
      </c>
      <c r="H12" t="s" s="83">
        <v>0</v>
      </c>
      <c r="I12" s="191"/>
      <c r="J12" t="s" s="83">
        <v>3</v>
      </c>
      <c r="K12" s="192"/>
      <c r="L12" s="3"/>
      <c r="M12" s="193"/>
      <c r="N12" t="s" s="83">
        <v>2</v>
      </c>
      <c r="O12" s="192"/>
      <c r="P12" s="3"/>
      <c r="Q12" s="3"/>
      <c r="R12" s="3"/>
      <c r="S12" s="193"/>
      <c r="T12" t="s" s="119">
        <v>5</v>
      </c>
      <c r="U12" s="231"/>
      <c r="V12" s="232"/>
      <c r="W12" t="s" s="83">
        <v>4</v>
      </c>
      <c r="X12" s="192"/>
      <c r="Y12" s="3"/>
      <c r="Z12" s="193"/>
      <c r="AA12" t="s" s="119">
        <v>7</v>
      </c>
      <c r="AB12" t="s" s="119">
        <v>8</v>
      </c>
      <c r="AC12" s="84"/>
      <c r="AD12" s="84"/>
      <c r="AE12" s="84"/>
      <c r="AF12" s="84"/>
      <c r="AG12" t="s" s="119">
        <v>6</v>
      </c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192"/>
      <c r="BA12" s="3"/>
      <c r="BB12" s="3"/>
      <c r="BC12" s="3"/>
    </row>
    <row r="13" ht="68" customHeight="1">
      <c r="A13" t="s" s="233">
        <v>998</v>
      </c>
      <c r="B13" s="234">
        <v>1921</v>
      </c>
      <c r="C13" s="234">
        <v>3</v>
      </c>
      <c r="D13" t="s" s="235">
        <v>1146</v>
      </c>
      <c r="E13" s="236"/>
      <c r="F13" s="112">
        <v>23</v>
      </c>
      <c r="G13" t="s" s="83">
        <v>386</v>
      </c>
      <c r="H13" t="s" s="83">
        <v>262</v>
      </c>
      <c r="I13" s="237">
        <v>7</v>
      </c>
      <c r="J13" s="112">
        <v>1</v>
      </c>
      <c r="K13" s="238"/>
      <c r="L13" s="239"/>
      <c r="M13" s="240"/>
      <c r="N13" s="112">
        <v>1</v>
      </c>
      <c r="O13" s="238"/>
      <c r="P13" s="239"/>
      <c r="Q13" s="239"/>
      <c r="R13" s="239"/>
      <c r="S13" s="240"/>
      <c r="T13" s="197">
        <v>74</v>
      </c>
      <c r="U13" s="241"/>
      <c r="V13" s="242"/>
      <c r="W13" s="112">
        <v>1847</v>
      </c>
      <c r="X13" s="238"/>
      <c r="Y13" s="239"/>
      <c r="Z13" s="240"/>
      <c r="AA13" t="s" s="198">
        <v>34</v>
      </c>
      <c r="AB13" t="s" s="198">
        <v>1158</v>
      </c>
      <c r="AC13" s="243"/>
      <c r="AD13" s="243"/>
      <c r="AE13" s="243"/>
      <c r="AF13" s="243">
        <v>1</v>
      </c>
      <c r="AG13" t="s" s="198">
        <v>13</v>
      </c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238"/>
      <c r="BA13" s="239"/>
      <c r="BB13" s="239"/>
      <c r="BC13" s="244"/>
    </row>
    <row r="14" ht="68" customHeight="1">
      <c r="A14" t="s" s="245">
        <v>998</v>
      </c>
      <c r="B14" s="246">
        <v>1921</v>
      </c>
      <c r="C14" s="246">
        <v>3</v>
      </c>
      <c r="D14" t="s" s="247">
        <v>1146</v>
      </c>
      <c r="E14" s="248"/>
      <c r="F14" s="112">
        <v>23</v>
      </c>
      <c r="G14" t="s" s="83">
        <v>1159</v>
      </c>
      <c r="H14" t="s" s="83">
        <v>1160</v>
      </c>
      <c r="I14" s="249">
        <v>8</v>
      </c>
      <c r="J14" s="112">
        <v>1</v>
      </c>
      <c r="K14" s="200"/>
      <c r="L14" s="14"/>
      <c r="M14" s="201"/>
      <c r="N14" t="s" s="83">
        <v>1161</v>
      </c>
      <c r="O14" s="200"/>
      <c r="P14" s="14"/>
      <c r="Q14" s="14"/>
      <c r="R14" s="250">
        <v>1</v>
      </c>
      <c r="S14" s="201"/>
      <c r="T14" s="118">
        <v>55</v>
      </c>
      <c r="U14" s="251"/>
      <c r="V14" s="252"/>
      <c r="W14" s="112">
        <v>1866</v>
      </c>
      <c r="X14" s="200"/>
      <c r="Y14" s="14"/>
      <c r="Z14" s="201"/>
      <c r="AA14" t="s" s="119">
        <v>34</v>
      </c>
      <c r="AB14" t="s" s="119">
        <v>34</v>
      </c>
      <c r="AC14" s="84"/>
      <c r="AD14" s="84"/>
      <c r="AE14" s="84"/>
      <c r="AF14" s="84">
        <v>1</v>
      </c>
      <c r="AG14" t="s" s="119">
        <v>13</v>
      </c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200"/>
      <c r="BA14" s="14"/>
      <c r="BB14" s="14"/>
      <c r="BC14" s="14"/>
    </row>
    <row r="15" ht="68" customHeight="1">
      <c r="A15" t="s" s="88">
        <v>998</v>
      </c>
      <c r="B15" s="89">
        <v>1921</v>
      </c>
      <c r="C15" s="89">
        <v>3</v>
      </c>
      <c r="D15" t="s" s="90">
        <v>1146</v>
      </c>
      <c r="E15" s="220"/>
      <c r="F15" s="112">
        <v>23</v>
      </c>
      <c r="G15" t="s" s="83">
        <v>1162</v>
      </c>
      <c r="H15" t="s" s="83">
        <v>1163</v>
      </c>
      <c r="I15" s="176">
        <v>9</v>
      </c>
      <c r="J15" s="112">
        <v>1</v>
      </c>
      <c r="K15" s="74"/>
      <c r="L15" s="16"/>
      <c r="M15" s="75"/>
      <c r="N15" t="s" s="83">
        <v>207</v>
      </c>
      <c r="O15" s="74"/>
      <c r="P15" s="16"/>
      <c r="Q15" s="16"/>
      <c r="R15" s="16"/>
      <c r="S15" s="178">
        <v>1</v>
      </c>
      <c r="T15" s="118">
        <v>38</v>
      </c>
      <c r="U15" s="222"/>
      <c r="V15" s="223"/>
      <c r="W15" s="112">
        <v>1882</v>
      </c>
      <c r="X15" s="74"/>
      <c r="Y15" s="16"/>
      <c r="Z15" s="75"/>
      <c r="AA15" t="s" s="119">
        <v>34</v>
      </c>
      <c r="AB15" t="s" s="119">
        <v>15</v>
      </c>
      <c r="AC15" s="84">
        <v>1</v>
      </c>
      <c r="AD15" s="84"/>
      <c r="AE15" s="84"/>
      <c r="AF15" s="84">
        <v>1</v>
      </c>
      <c r="AG15" t="s" s="119">
        <v>13</v>
      </c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74"/>
      <c r="BA15" s="16"/>
      <c r="BB15" s="16"/>
      <c r="BC15" s="16"/>
    </row>
    <row r="16" ht="17" customHeight="1">
      <c r="A16" t="s" s="88">
        <v>998</v>
      </c>
      <c r="B16" s="89">
        <v>1921</v>
      </c>
      <c r="C16" s="89">
        <v>3</v>
      </c>
      <c r="D16" t="s" s="90">
        <v>1146</v>
      </c>
      <c r="E16" s="220"/>
      <c r="F16" s="112">
        <v>23</v>
      </c>
      <c r="G16" t="s" s="83">
        <v>1031</v>
      </c>
      <c r="H16" t="s" s="83">
        <v>192</v>
      </c>
      <c r="I16" s="176">
        <v>10</v>
      </c>
      <c r="J16" s="112">
        <v>1</v>
      </c>
      <c r="K16" s="74"/>
      <c r="L16" s="16"/>
      <c r="M16" s="75"/>
      <c r="N16" t="s" s="83">
        <v>207</v>
      </c>
      <c r="O16" s="74"/>
      <c r="P16" s="16"/>
      <c r="Q16" s="16"/>
      <c r="R16" s="16"/>
      <c r="S16" s="178">
        <v>1</v>
      </c>
      <c r="T16" s="112">
        <v>39</v>
      </c>
      <c r="U16" s="222"/>
      <c r="V16" s="223"/>
      <c r="W16" s="112">
        <v>1882</v>
      </c>
      <c r="X16" s="74"/>
      <c r="Y16" s="16"/>
      <c r="Z16" s="75"/>
      <c r="AA16" t="s" s="83">
        <v>34</v>
      </c>
      <c r="AB16" t="s" s="83">
        <v>15</v>
      </c>
      <c r="AC16" s="84">
        <v>1</v>
      </c>
      <c r="AD16" s="84"/>
      <c r="AE16" s="84"/>
      <c r="AF16" s="84">
        <v>1</v>
      </c>
      <c r="AG16" t="s" s="83">
        <v>13</v>
      </c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74"/>
      <c r="BA16" s="16"/>
      <c r="BB16" s="16"/>
      <c r="BC16" s="16"/>
    </row>
    <row r="17" ht="68" customHeight="1">
      <c r="A17" t="s" s="88">
        <v>998</v>
      </c>
      <c r="B17" s="89">
        <v>1921</v>
      </c>
      <c r="C17" s="89">
        <v>3</v>
      </c>
      <c r="D17" t="s" s="90">
        <v>1146</v>
      </c>
      <c r="E17" s="220"/>
      <c r="F17" s="112">
        <v>23</v>
      </c>
      <c r="G17" t="s" s="83">
        <v>1164</v>
      </c>
      <c r="H17" t="s" s="83">
        <v>1165</v>
      </c>
      <c r="I17" s="176">
        <v>11</v>
      </c>
      <c r="J17" s="112">
        <v>1</v>
      </c>
      <c r="K17" s="74"/>
      <c r="L17" s="16"/>
      <c r="M17" s="75"/>
      <c r="N17" t="s" s="83">
        <v>207</v>
      </c>
      <c r="O17" s="74"/>
      <c r="P17" s="16"/>
      <c r="Q17" s="16"/>
      <c r="R17" s="16"/>
      <c r="S17" s="178">
        <v>1</v>
      </c>
      <c r="T17" s="118">
        <v>40</v>
      </c>
      <c r="U17" s="222"/>
      <c r="V17" s="223"/>
      <c r="W17" s="112">
        <v>1881</v>
      </c>
      <c r="X17" s="74"/>
      <c r="Y17" s="16"/>
      <c r="Z17" s="75"/>
      <c r="AA17" t="s" s="119">
        <v>34</v>
      </c>
      <c r="AB17" t="s" s="119">
        <v>15</v>
      </c>
      <c r="AC17" s="84">
        <v>1</v>
      </c>
      <c r="AD17" s="84"/>
      <c r="AE17" s="84"/>
      <c r="AF17" s="84">
        <v>1</v>
      </c>
      <c r="AG17" t="s" s="119">
        <v>13</v>
      </c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74"/>
      <c r="BA17" s="16"/>
      <c r="BB17" s="16"/>
      <c r="BC17" s="16"/>
    </row>
    <row r="18" ht="68" customHeight="1">
      <c r="A18" t="s" s="88">
        <v>998</v>
      </c>
      <c r="B18" s="89">
        <v>1921</v>
      </c>
      <c r="C18" s="89">
        <v>3</v>
      </c>
      <c r="D18" t="s" s="90">
        <v>1146</v>
      </c>
      <c r="E18" s="220"/>
      <c r="F18" s="112">
        <v>23</v>
      </c>
      <c r="G18" t="s" s="83">
        <v>1166</v>
      </c>
      <c r="H18" t="s" s="83">
        <v>1167</v>
      </c>
      <c r="I18" s="253">
        <v>12</v>
      </c>
      <c r="J18" s="112">
        <v>1</v>
      </c>
      <c r="K18" s="74"/>
      <c r="L18" s="132"/>
      <c r="M18" s="133"/>
      <c r="N18" t="s" s="83">
        <v>207</v>
      </c>
      <c r="O18" s="131"/>
      <c r="P18" s="132"/>
      <c r="Q18" s="16"/>
      <c r="R18" s="16"/>
      <c r="S18" s="178">
        <v>1</v>
      </c>
      <c r="T18" s="118">
        <v>22</v>
      </c>
      <c r="U18" s="222"/>
      <c r="V18" s="223"/>
      <c r="W18" s="112">
        <v>1899</v>
      </c>
      <c r="X18" s="131"/>
      <c r="Y18" s="132"/>
      <c r="Z18" s="133"/>
      <c r="AA18" t="s" s="119">
        <v>34</v>
      </c>
      <c r="AB18" t="s" s="119">
        <v>15</v>
      </c>
      <c r="AC18" s="84">
        <v>1</v>
      </c>
      <c r="AD18" s="84"/>
      <c r="AE18" s="84"/>
      <c r="AF18" s="84">
        <v>1</v>
      </c>
      <c r="AG18" t="s" s="119">
        <v>13</v>
      </c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74"/>
      <c r="BA18" s="16"/>
      <c r="BB18" s="16"/>
      <c r="BC18" s="16"/>
    </row>
    <row r="19" ht="17.45" customHeight="1">
      <c r="A19" s="168"/>
      <c r="B19" s="89"/>
      <c r="C19" s="89"/>
      <c r="D19" s="89"/>
      <c r="E19" s="89"/>
      <c r="F19" s="91"/>
      <c r="G19" s="87"/>
      <c r="H19" s="84"/>
      <c r="I19" s="84"/>
      <c r="J19" s="84"/>
      <c r="K19" s="183"/>
      <c r="L19" s="84"/>
      <c r="M19" s="169"/>
      <c r="N19" s="254"/>
      <c r="O19" s="171"/>
      <c r="P19" s="84"/>
      <c r="Q19" s="183"/>
      <c r="R19" s="183"/>
      <c r="S19" s="184"/>
      <c r="T19" s="254"/>
      <c r="U19" s="172"/>
      <c r="V19" s="172"/>
      <c r="W19" s="173"/>
      <c r="X19" s="84"/>
      <c r="Y19" s="84"/>
      <c r="Z19" s="84"/>
      <c r="AA19" s="84"/>
      <c r="AB19" s="84"/>
      <c r="AC19" s="84"/>
      <c r="AD19" s="84"/>
      <c r="AE19" s="84"/>
      <c r="AF19" s="84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74"/>
      <c r="BA19" s="16"/>
      <c r="BB19" s="16"/>
      <c r="BC19" s="16"/>
    </row>
    <row r="20" ht="68" customHeight="1">
      <c r="A20" t="s" s="88">
        <v>998</v>
      </c>
      <c r="B20" s="89">
        <v>1921</v>
      </c>
      <c r="C20" s="89">
        <v>4</v>
      </c>
      <c r="D20" t="s" s="90">
        <v>1146</v>
      </c>
      <c r="E20" s="220"/>
      <c r="F20" s="112">
        <v>7</v>
      </c>
      <c r="G20" t="s" s="83">
        <v>1168</v>
      </c>
      <c r="H20" t="s" s="83">
        <v>1169</v>
      </c>
      <c r="I20" s="174">
        <v>13</v>
      </c>
      <c r="J20" t="s" s="83">
        <v>37</v>
      </c>
      <c r="K20" s="175">
        <v>1</v>
      </c>
      <c r="L20" s="62"/>
      <c r="M20" s="117"/>
      <c r="N20" s="112">
        <v>1</v>
      </c>
      <c r="O20" s="115"/>
      <c r="P20" s="30"/>
      <c r="Q20" s="116"/>
      <c r="R20" s="62"/>
      <c r="S20" s="117"/>
      <c r="T20" s="118">
        <v>54</v>
      </c>
      <c r="U20" s="74"/>
      <c r="V20" s="16"/>
      <c r="W20" s="173"/>
      <c r="X20" s="84"/>
      <c r="Y20" s="84"/>
      <c r="Z20" s="84"/>
      <c r="AA20" t="s" s="119">
        <v>1170</v>
      </c>
      <c r="AB20" t="s" s="119">
        <v>8</v>
      </c>
      <c r="AC20" s="84">
        <v>1</v>
      </c>
      <c r="AD20" s="84">
        <v>1</v>
      </c>
      <c r="AE20" s="84"/>
      <c r="AF20" s="84">
        <v>1</v>
      </c>
      <c r="AG20" t="s" s="119">
        <v>1171</v>
      </c>
      <c r="AH20" s="116"/>
      <c r="AI20" s="117"/>
      <c r="AJ20" t="s" s="83">
        <v>1172</v>
      </c>
      <c r="AK20" s="121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74"/>
      <c r="BA20" s="16"/>
      <c r="BB20" s="16"/>
      <c r="BC20" s="16"/>
    </row>
    <row r="21" ht="68" customHeight="1">
      <c r="A21" t="s" s="88">
        <v>998</v>
      </c>
      <c r="B21" s="89">
        <v>1921</v>
      </c>
      <c r="C21" s="89">
        <v>4</v>
      </c>
      <c r="D21" t="s" s="90">
        <v>1146</v>
      </c>
      <c r="E21" s="220"/>
      <c r="F21" s="112">
        <v>7</v>
      </c>
      <c r="G21" t="s" s="83">
        <v>1168</v>
      </c>
      <c r="H21" t="s" s="83">
        <v>1173</v>
      </c>
      <c r="I21" s="176">
        <v>14</v>
      </c>
      <c r="J21" s="112">
        <v>1</v>
      </c>
      <c r="K21" s="74"/>
      <c r="L21" s="16"/>
      <c r="M21" s="75"/>
      <c r="N21" t="s" s="83">
        <v>72</v>
      </c>
      <c r="O21" s="176">
        <v>1</v>
      </c>
      <c r="P21" s="30"/>
      <c r="Q21" s="74"/>
      <c r="R21" s="16"/>
      <c r="S21" s="75"/>
      <c r="T21" s="118">
        <v>51</v>
      </c>
      <c r="U21" s="74"/>
      <c r="V21" s="16"/>
      <c r="W21" s="173"/>
      <c r="X21" s="84"/>
      <c r="Y21" s="84"/>
      <c r="Z21" s="84"/>
      <c r="AA21" t="s" s="119">
        <v>34</v>
      </c>
      <c r="AB21" t="s" s="119">
        <v>34</v>
      </c>
      <c r="AC21" s="84"/>
      <c r="AD21" s="84"/>
      <c r="AE21" s="84"/>
      <c r="AF21" s="84">
        <v>1</v>
      </c>
      <c r="AG21" t="s" s="119">
        <v>13</v>
      </c>
      <c r="AH21" s="74"/>
      <c r="AI21" s="75"/>
      <c r="AJ21" s="30"/>
      <c r="AK21" s="121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74"/>
      <c r="BA21" s="16"/>
      <c r="BB21" s="16"/>
      <c r="BC21" s="16"/>
    </row>
    <row r="22" ht="68" customHeight="1">
      <c r="A22" t="s" s="88">
        <v>998</v>
      </c>
      <c r="B22" s="89">
        <v>1921</v>
      </c>
      <c r="C22" s="89">
        <v>4</v>
      </c>
      <c r="D22" t="s" s="90">
        <v>1146</v>
      </c>
      <c r="E22" s="255"/>
      <c r="F22" s="112">
        <v>7</v>
      </c>
      <c r="G22" t="s" s="83">
        <v>1168</v>
      </c>
      <c r="H22" t="s" s="83">
        <v>1174</v>
      </c>
      <c r="I22" s="176">
        <v>15</v>
      </c>
      <c r="J22" s="112">
        <v>1</v>
      </c>
      <c r="K22" s="74"/>
      <c r="L22" s="16"/>
      <c r="M22" s="75"/>
      <c r="N22" t="s" s="83">
        <v>78</v>
      </c>
      <c r="O22" s="122"/>
      <c r="P22" s="112">
        <v>1</v>
      </c>
      <c r="Q22" s="74"/>
      <c r="R22" s="16"/>
      <c r="S22" s="75"/>
      <c r="T22" s="118">
        <v>28</v>
      </c>
      <c r="U22" s="74"/>
      <c r="V22" s="16"/>
      <c r="W22" s="173"/>
      <c r="X22" s="84"/>
      <c r="Y22" s="84"/>
      <c r="Z22" s="84"/>
      <c r="AA22" t="s" s="119">
        <v>34</v>
      </c>
      <c r="AB22" t="s" s="119">
        <v>34</v>
      </c>
      <c r="AC22" s="84"/>
      <c r="AD22" s="84"/>
      <c r="AE22" s="84"/>
      <c r="AF22" s="84">
        <v>1</v>
      </c>
      <c r="AG22" t="s" s="119">
        <v>13</v>
      </c>
      <c r="AH22" s="74"/>
      <c r="AI22" s="75"/>
      <c r="AJ22" s="30"/>
      <c r="AK22" s="121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74"/>
      <c r="BA22" s="16"/>
      <c r="BB22" s="16"/>
      <c r="BC22" s="16"/>
    </row>
    <row r="23" ht="19" customHeight="1">
      <c r="A23" t="s" s="88">
        <v>998</v>
      </c>
      <c r="B23" s="89">
        <v>1921</v>
      </c>
      <c r="C23" s="89">
        <v>4</v>
      </c>
      <c r="D23" t="s" s="216">
        <v>1146</v>
      </c>
      <c r="E23" s="30"/>
      <c r="F23" s="112">
        <v>7</v>
      </c>
      <c r="G23" t="s" s="83">
        <v>1168</v>
      </c>
      <c r="H23" t="s" s="83">
        <v>1175</v>
      </c>
      <c r="I23" s="176">
        <v>16</v>
      </c>
      <c r="J23" s="112">
        <v>1</v>
      </c>
      <c r="K23" s="74"/>
      <c r="L23" s="16"/>
      <c r="M23" s="75"/>
      <c r="N23" t="s" s="83">
        <v>78</v>
      </c>
      <c r="O23" s="122"/>
      <c r="P23" s="112">
        <v>1</v>
      </c>
      <c r="Q23" s="74"/>
      <c r="R23" s="16"/>
      <c r="S23" s="75"/>
      <c r="T23" s="112">
        <v>24</v>
      </c>
      <c r="U23" s="74"/>
      <c r="V23" s="75"/>
      <c r="W23" s="29"/>
      <c r="X23" s="29"/>
      <c r="Y23" s="29"/>
      <c r="Z23" s="29"/>
      <c r="AA23" t="s" s="83">
        <v>34</v>
      </c>
      <c r="AB23" t="s" s="83">
        <v>34</v>
      </c>
      <c r="AC23" s="29"/>
      <c r="AD23" s="29"/>
      <c r="AE23" s="30"/>
      <c r="AF23" s="112">
        <v>1</v>
      </c>
      <c r="AG23" t="s" s="83">
        <v>13</v>
      </c>
      <c r="AH23" s="74"/>
      <c r="AI23" s="75"/>
      <c r="AJ23" s="87"/>
      <c r="AK23" s="87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t="s" s="88">
        <v>998</v>
      </c>
      <c r="B24" s="89">
        <v>1921</v>
      </c>
      <c r="C24" s="89">
        <v>4</v>
      </c>
      <c r="D24" t="s" s="216">
        <v>1146</v>
      </c>
      <c r="E24" s="30"/>
      <c r="F24" s="112">
        <v>7</v>
      </c>
      <c r="G24" t="s" s="83">
        <v>1176</v>
      </c>
      <c r="H24" t="s" s="83">
        <v>1177</v>
      </c>
      <c r="I24" s="176">
        <v>17</v>
      </c>
      <c r="J24" s="112">
        <v>1</v>
      </c>
      <c r="K24" s="74"/>
      <c r="L24" s="16"/>
      <c r="M24" s="75"/>
      <c r="N24" t="s" s="83">
        <v>11</v>
      </c>
      <c r="O24" s="122"/>
      <c r="P24" s="30"/>
      <c r="Q24" s="74"/>
      <c r="R24" s="16"/>
      <c r="S24" s="123">
        <v>1</v>
      </c>
      <c r="T24" s="112">
        <v>49</v>
      </c>
      <c r="U24" s="74"/>
      <c r="V24" s="75"/>
      <c r="W24" s="30"/>
      <c r="X24" s="30"/>
      <c r="Y24" s="30"/>
      <c r="Z24" s="30"/>
      <c r="AA24" t="s" s="83">
        <v>45</v>
      </c>
      <c r="AB24" t="s" s="83">
        <v>15</v>
      </c>
      <c r="AC24" s="112">
        <v>1</v>
      </c>
      <c r="AD24" s="30"/>
      <c r="AE24" s="30"/>
      <c r="AF24" s="112">
        <v>1</v>
      </c>
      <c r="AG24" t="s" s="83">
        <v>691</v>
      </c>
      <c r="AH24" s="74"/>
      <c r="AI24" s="75"/>
      <c r="AJ24" s="87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t="s" s="88">
        <v>998</v>
      </c>
      <c r="B25" s="89">
        <v>1921</v>
      </c>
      <c r="C25" s="89">
        <v>4</v>
      </c>
      <c r="D25" t="s" s="216">
        <v>1146</v>
      </c>
      <c r="E25" s="30"/>
      <c r="F25" s="112">
        <v>7</v>
      </c>
      <c r="G25" t="s" s="83">
        <v>1178</v>
      </c>
      <c r="H25" t="s" s="83">
        <v>1179</v>
      </c>
      <c r="I25" s="253">
        <v>18</v>
      </c>
      <c r="J25" s="112">
        <v>1</v>
      </c>
      <c r="K25" s="131"/>
      <c r="L25" s="132"/>
      <c r="M25" s="133"/>
      <c r="N25" t="s" s="83">
        <v>11</v>
      </c>
      <c r="O25" s="141"/>
      <c r="P25" s="30"/>
      <c r="Q25" s="131"/>
      <c r="R25" s="132"/>
      <c r="S25" s="142">
        <v>1</v>
      </c>
      <c r="T25" s="256">
        <v>3</v>
      </c>
      <c r="U25" s="131"/>
      <c r="V25" s="133"/>
      <c r="W25" s="30"/>
      <c r="X25" s="30"/>
      <c r="Y25" s="30"/>
      <c r="Z25" s="30"/>
      <c r="AA25" t="s" s="83">
        <v>55</v>
      </c>
      <c r="AB25" t="s" s="83">
        <v>15</v>
      </c>
      <c r="AC25" s="112">
        <v>1</v>
      </c>
      <c r="AD25" s="30"/>
      <c r="AE25" s="30"/>
      <c r="AF25" s="30"/>
      <c r="AG25" t="s" s="83">
        <v>1180</v>
      </c>
      <c r="AH25" s="131"/>
      <c r="AI25" s="133"/>
      <c r="AJ25" s="87"/>
      <c r="AK25" s="1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257"/>
      <c r="B26" s="228"/>
      <c r="C26" s="228"/>
      <c r="D26" s="230"/>
      <c r="E26" s="30"/>
      <c r="F26" s="30"/>
      <c r="G26" s="30"/>
      <c r="H26" s="112">
        <v>6</v>
      </c>
      <c r="I26" s="30"/>
      <c r="J26" t="s" s="83">
        <v>2</v>
      </c>
      <c r="K26" t="s" s="83">
        <v>3</v>
      </c>
      <c r="L26" t="s" s="83">
        <v>4</v>
      </c>
      <c r="M26" t="s" s="83">
        <v>5</v>
      </c>
      <c r="N26" t="s" s="83">
        <v>6</v>
      </c>
      <c r="O26" t="s" s="83">
        <v>7</v>
      </c>
      <c r="P26" t="s" s="83">
        <v>8</v>
      </c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192"/>
      <c r="BA26" s="3"/>
      <c r="BB26" s="3"/>
      <c r="BC26" s="3"/>
    </row>
    <row r="27" ht="17.5" customHeight="1">
      <c r="A27" t="s" s="233">
        <v>998</v>
      </c>
      <c r="B27" s="234">
        <v>1921</v>
      </c>
      <c r="C27" s="258">
        <v>5</v>
      </c>
      <c r="D27" t="s" s="259">
        <v>1146</v>
      </c>
      <c r="E27" s="30"/>
      <c r="F27" s="112">
        <v>21</v>
      </c>
      <c r="G27" t="s" s="83">
        <v>1181</v>
      </c>
      <c r="H27" t="s" s="83">
        <v>1182</v>
      </c>
      <c r="I27" s="260">
        <v>19</v>
      </c>
      <c r="J27" s="261">
        <v>1</v>
      </c>
      <c r="K27" s="209"/>
      <c r="L27" s="209"/>
      <c r="M27" s="210"/>
      <c r="N27" t="s" s="83">
        <v>31</v>
      </c>
      <c r="O27" s="30"/>
      <c r="P27" s="30"/>
      <c r="Q27" s="208"/>
      <c r="R27" s="209"/>
      <c r="S27" s="262">
        <v>1</v>
      </c>
      <c r="T27" s="112">
        <v>82</v>
      </c>
      <c r="U27" s="30"/>
      <c r="V27" s="30"/>
      <c r="W27" s="30"/>
      <c r="X27" s="30"/>
      <c r="Y27" s="30"/>
      <c r="Z27" s="30"/>
      <c r="AA27" t="s" s="83">
        <v>1183</v>
      </c>
      <c r="AB27" s="211"/>
      <c r="AC27" s="112">
        <v>1</v>
      </c>
      <c r="AD27" s="30"/>
      <c r="AE27" s="112">
        <v>1</v>
      </c>
      <c r="AF27" s="112">
        <v>1</v>
      </c>
      <c r="AG27" t="s" s="83">
        <v>13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195"/>
      <c r="BA27" s="13"/>
      <c r="BB27" s="13"/>
      <c r="BC27" s="10"/>
    </row>
    <row r="28" ht="17.5" customHeight="1">
      <c r="A28" t="s" s="245">
        <v>998</v>
      </c>
      <c r="B28" s="248">
        <v>1921</v>
      </c>
      <c r="C28" s="112">
        <v>5</v>
      </c>
      <c r="D28" t="s" s="263">
        <v>1146</v>
      </c>
      <c r="E28" s="30"/>
      <c r="F28" s="112">
        <v>21</v>
      </c>
      <c r="G28" t="s" s="153">
        <v>1184</v>
      </c>
      <c r="H28" t="s" s="98">
        <v>1185</v>
      </c>
      <c r="I28" s="250">
        <v>20</v>
      </c>
      <c r="J28" s="264">
        <v>1</v>
      </c>
      <c r="K28" s="14"/>
      <c r="L28" s="14"/>
      <c r="M28" s="14"/>
      <c r="N28" t="s" s="98">
        <v>45</v>
      </c>
      <c r="O28" s="62"/>
      <c r="P28" s="62"/>
      <c r="Q28" s="14"/>
      <c r="R28" s="14"/>
      <c r="S28" s="203">
        <v>1</v>
      </c>
      <c r="T28" s="113">
        <v>28</v>
      </c>
      <c r="U28" s="30"/>
      <c r="V28" s="30"/>
      <c r="W28" s="30"/>
      <c r="X28" s="30"/>
      <c r="Y28" s="30"/>
      <c r="Z28" s="30"/>
      <c r="AA28" t="s" s="153">
        <v>188</v>
      </c>
      <c r="AB28" s="201"/>
      <c r="AC28" s="112">
        <v>1</v>
      </c>
      <c r="AD28" s="30"/>
      <c r="AE28" s="112">
        <v>1</v>
      </c>
      <c r="AF28" s="30"/>
      <c r="AG28" t="s" s="82">
        <v>1186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200"/>
      <c r="BA28" s="14"/>
      <c r="BB28" s="14"/>
      <c r="BC28" s="14"/>
    </row>
    <row r="29" ht="17.5" customHeight="1">
      <c r="A29" t="s" s="88">
        <v>998</v>
      </c>
      <c r="B29" s="220">
        <v>1921</v>
      </c>
      <c r="C29" s="112">
        <v>5</v>
      </c>
      <c r="D29" t="s" s="265">
        <v>1146</v>
      </c>
      <c r="E29" s="30"/>
      <c r="F29" s="112">
        <v>21</v>
      </c>
      <c r="G29" t="s" s="160">
        <v>1187</v>
      </c>
      <c r="H29" t="s" s="181">
        <v>1188</v>
      </c>
      <c r="I29" s="182">
        <v>21</v>
      </c>
      <c r="J29" s="126">
        <v>1</v>
      </c>
      <c r="K29" s="132"/>
      <c r="L29" s="132"/>
      <c r="M29" s="132"/>
      <c r="N29" t="s" s="181">
        <v>55</v>
      </c>
      <c r="O29" s="132"/>
      <c r="P29" s="132"/>
      <c r="Q29" s="132"/>
      <c r="R29" s="132"/>
      <c r="S29" s="142">
        <v>1</v>
      </c>
      <c r="T29" s="111">
        <v>16</v>
      </c>
      <c r="U29" s="30"/>
      <c r="V29" s="30"/>
      <c r="W29" s="30"/>
      <c r="X29" s="30"/>
      <c r="Y29" s="30"/>
      <c r="Z29" s="30"/>
      <c r="AA29" t="s" s="160">
        <v>188</v>
      </c>
      <c r="AB29" s="133"/>
      <c r="AC29" s="112">
        <v>1</v>
      </c>
      <c r="AD29" s="30"/>
      <c r="AE29" s="112">
        <v>1</v>
      </c>
      <c r="AF29" s="30"/>
      <c r="AG29" t="s" s="110">
        <v>1189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8">
        <v>998</v>
      </c>
      <c r="B30" s="89">
        <v>1921</v>
      </c>
      <c r="C30" s="266">
        <v>5</v>
      </c>
      <c r="D30" t="s" s="216">
        <v>1146</v>
      </c>
      <c r="E30" s="30"/>
      <c r="F30" s="30"/>
      <c r="G30" s="30"/>
      <c r="H30" s="112">
        <v>3</v>
      </c>
      <c r="I30" s="267"/>
      <c r="J30" s="30"/>
      <c r="K30" s="30"/>
      <c r="L30" s="30"/>
      <c r="M30" s="121"/>
      <c r="N30" s="121"/>
      <c r="O30" s="121"/>
      <c r="P30" s="121"/>
      <c r="Q30" s="121"/>
      <c r="R30" s="121"/>
      <c r="S30" s="121"/>
      <c r="T30" s="121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" customHeight="1">
      <c r="A31" t="s" s="88">
        <v>998</v>
      </c>
      <c r="B31" s="89">
        <v>1921</v>
      </c>
      <c r="C31" s="79">
        <v>6</v>
      </c>
      <c r="D31" t="s" s="90">
        <v>1146</v>
      </c>
      <c r="E31" s="62"/>
      <c r="F31" s="62"/>
      <c r="G31" t="s" s="98">
        <v>1190</v>
      </c>
      <c r="H31" t="s" s="268">
        <v>1191</v>
      </c>
      <c r="I31" s="39">
        <v>22</v>
      </c>
      <c r="J31" s="61"/>
      <c r="K31" s="97">
        <v>1</v>
      </c>
      <c r="L31" s="62"/>
      <c r="M31" s="62"/>
      <c r="N31" s="97">
        <v>1</v>
      </c>
      <c r="O31" s="62"/>
      <c r="P31" s="62"/>
      <c r="Q31" s="62"/>
      <c r="R31" s="62"/>
      <c r="S31" s="62"/>
      <c r="T31" s="97">
        <v>75</v>
      </c>
      <c r="U31" s="62"/>
      <c r="V31" s="62"/>
      <c r="W31" s="62"/>
      <c r="X31" s="62"/>
      <c r="Y31" s="62"/>
      <c r="Z31" s="62"/>
      <c r="AA31" t="s" s="269">
        <v>1192</v>
      </c>
      <c r="AB31" s="270"/>
      <c r="AC31" s="97">
        <v>1</v>
      </c>
      <c r="AD31" t="s" s="98">
        <v>34</v>
      </c>
      <c r="AE31" s="62"/>
      <c r="AF31" t="s" s="98">
        <v>1193</v>
      </c>
      <c r="AG31" s="97">
        <v>1</v>
      </c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16"/>
      <c r="BA31" s="16"/>
      <c r="BB31" s="16"/>
      <c r="BC31" s="16"/>
    </row>
    <row r="32" ht="17" customHeight="1">
      <c r="A32" t="s" s="88">
        <v>998</v>
      </c>
      <c r="B32" s="89">
        <v>1921</v>
      </c>
      <c r="C32" s="79">
        <v>6</v>
      </c>
      <c r="D32" t="s" s="90">
        <v>1146</v>
      </c>
      <c r="E32" s="16"/>
      <c r="F32" s="16"/>
      <c r="G32" t="s" s="96">
        <v>1190</v>
      </c>
      <c r="H32" t="s" s="271">
        <v>1194</v>
      </c>
      <c r="I32" s="39">
        <v>23</v>
      </c>
      <c r="J32" s="272">
        <v>1</v>
      </c>
      <c r="K32" s="16"/>
      <c r="L32" s="16"/>
      <c r="M32" s="16"/>
      <c r="N32" t="s" s="96">
        <v>78</v>
      </c>
      <c r="O32" s="16"/>
      <c r="P32" s="79">
        <v>1</v>
      </c>
      <c r="Q32" s="16"/>
      <c r="R32" s="16"/>
      <c r="S32" s="16"/>
      <c r="T32" s="79">
        <v>36</v>
      </c>
      <c r="U32" s="16"/>
      <c r="V32" s="16"/>
      <c r="W32" s="16"/>
      <c r="X32" s="16"/>
      <c r="Y32" s="16"/>
      <c r="Z32" s="16"/>
      <c r="AA32" t="s" s="93">
        <v>33</v>
      </c>
      <c r="AB32" s="273"/>
      <c r="AC32" s="16"/>
      <c r="AD32" t="s" s="96">
        <v>15</v>
      </c>
      <c r="AE32" s="16"/>
      <c r="AF32" t="s" s="96">
        <v>1195</v>
      </c>
      <c r="AG32" s="79">
        <v>1</v>
      </c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</row>
    <row r="33" ht="17" customHeight="1">
      <c r="A33" t="s" s="88">
        <v>998</v>
      </c>
      <c r="B33" s="89">
        <v>1921</v>
      </c>
      <c r="C33" s="79">
        <v>6</v>
      </c>
      <c r="D33" t="s" s="90">
        <v>1146</v>
      </c>
      <c r="E33" s="16"/>
      <c r="F33" s="16"/>
      <c r="G33" t="s" s="96">
        <v>1196</v>
      </c>
      <c r="H33" t="s" s="271">
        <v>1197</v>
      </c>
      <c r="I33" s="39">
        <v>24</v>
      </c>
      <c r="J33" s="272">
        <v>1</v>
      </c>
      <c r="K33" s="16"/>
      <c r="L33" s="16"/>
      <c r="M33" s="16"/>
      <c r="N33" t="s" s="96">
        <v>186</v>
      </c>
      <c r="O33" s="16"/>
      <c r="P33" s="16"/>
      <c r="Q33" s="16"/>
      <c r="R33" s="16"/>
      <c r="S33" s="79">
        <v>1</v>
      </c>
      <c r="T33" s="79">
        <v>23</v>
      </c>
      <c r="U33" s="16"/>
      <c r="V33" s="16"/>
      <c r="W33" s="16"/>
      <c r="X33" s="16"/>
      <c r="Y33" s="16"/>
      <c r="Z33" s="16"/>
      <c r="AA33" t="s" s="93">
        <v>45</v>
      </c>
      <c r="AB33" s="273"/>
      <c r="AC33" s="79">
        <v>1</v>
      </c>
      <c r="AD33" t="s" s="96">
        <v>15</v>
      </c>
      <c r="AE33" s="16"/>
      <c r="AF33" t="s" s="96">
        <v>1198</v>
      </c>
      <c r="AG33" s="79">
        <v>1</v>
      </c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</row>
    <row r="34" ht="17" customHeight="1">
      <c r="A34" t="s" s="88">
        <v>998</v>
      </c>
      <c r="B34" s="89">
        <v>1921</v>
      </c>
      <c r="C34" s="79">
        <v>6</v>
      </c>
      <c r="D34" t="s" s="90">
        <v>1146</v>
      </c>
      <c r="E34" s="16"/>
      <c r="F34" s="16"/>
      <c r="G34" t="s" s="96">
        <v>1199</v>
      </c>
      <c r="H34" t="s" s="271">
        <v>1200</v>
      </c>
      <c r="I34" s="39">
        <v>25</v>
      </c>
      <c r="J34" s="272">
        <v>1</v>
      </c>
      <c r="K34" s="16"/>
      <c r="L34" s="16"/>
      <c r="M34" s="16"/>
      <c r="N34" t="s" s="96">
        <v>186</v>
      </c>
      <c r="O34" s="16"/>
      <c r="P34" s="16"/>
      <c r="Q34" s="16"/>
      <c r="R34" s="16"/>
      <c r="S34" s="79">
        <v>1</v>
      </c>
      <c r="T34" s="79">
        <v>18</v>
      </c>
      <c r="U34" s="16"/>
      <c r="V34" s="16"/>
      <c r="W34" s="16"/>
      <c r="X34" s="16"/>
      <c r="Y34" s="16"/>
      <c r="Z34" s="16"/>
      <c r="AA34" t="s" s="93">
        <v>89</v>
      </c>
      <c r="AB34" s="273"/>
      <c r="AC34" s="79">
        <v>1</v>
      </c>
      <c r="AD34" t="s" s="96">
        <v>15</v>
      </c>
      <c r="AE34" s="16"/>
      <c r="AF34" t="s" s="96">
        <v>54</v>
      </c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</row>
    <row r="35" ht="17" customHeight="1">
      <c r="A35" t="s" s="88">
        <v>998</v>
      </c>
      <c r="B35" s="89">
        <v>1921</v>
      </c>
      <c r="C35" s="16"/>
      <c r="D35" t="s" s="90">
        <v>1146</v>
      </c>
      <c r="E35" s="16"/>
      <c r="F35" s="16"/>
      <c r="G35" s="16"/>
      <c r="H35" s="274">
        <v>4</v>
      </c>
      <c r="I35" s="32"/>
      <c r="J35" s="63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273"/>
      <c r="AB35" s="273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</row>
    <row r="36" ht="34" customHeight="1">
      <c r="A36" t="s" s="88">
        <v>998</v>
      </c>
      <c r="B36" s="89">
        <v>1921</v>
      </c>
      <c r="C36" s="79">
        <v>7</v>
      </c>
      <c r="D36" t="s" s="90">
        <v>1146</v>
      </c>
      <c r="E36" s="16"/>
      <c r="F36" s="16"/>
      <c r="G36" t="s" s="96">
        <v>1201</v>
      </c>
      <c r="H36" t="s" s="271">
        <v>1202</v>
      </c>
      <c r="I36" s="39">
        <v>26</v>
      </c>
      <c r="J36" s="63"/>
      <c r="K36" s="79">
        <v>1</v>
      </c>
      <c r="L36" s="16"/>
      <c r="M36" s="16"/>
      <c r="N36" s="79">
        <v>1</v>
      </c>
      <c r="O36" s="16"/>
      <c r="P36" s="16"/>
      <c r="Q36" s="16"/>
      <c r="R36" s="16"/>
      <c r="S36" s="16"/>
      <c r="T36" s="79">
        <v>57</v>
      </c>
      <c r="U36" s="16"/>
      <c r="V36" s="16"/>
      <c r="W36" s="16"/>
      <c r="X36" s="16"/>
      <c r="Y36" s="16"/>
      <c r="Z36" s="16"/>
      <c r="AA36" t="s" s="93">
        <v>1203</v>
      </c>
      <c r="AB36" s="273"/>
      <c r="AC36" s="79">
        <v>1</v>
      </c>
      <c r="AD36" t="s" s="96">
        <v>603</v>
      </c>
      <c r="AE36" s="16"/>
      <c r="AF36" t="s" s="96">
        <v>54</v>
      </c>
      <c r="AG36" s="16"/>
      <c r="AH36" s="16"/>
      <c r="AI36" s="16"/>
      <c r="AJ36" t="s" s="96">
        <v>1204</v>
      </c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</row>
    <row r="37" ht="17" customHeight="1">
      <c r="A37" t="s" s="88">
        <v>998</v>
      </c>
      <c r="B37" s="89">
        <v>1921</v>
      </c>
      <c r="C37" s="79">
        <v>7</v>
      </c>
      <c r="D37" t="s" s="90">
        <v>1146</v>
      </c>
      <c r="E37" s="16"/>
      <c r="F37" s="16"/>
      <c r="G37" t="s" s="96">
        <v>1201</v>
      </c>
      <c r="H37" t="s" s="271">
        <v>1205</v>
      </c>
      <c r="I37" s="39">
        <v>27</v>
      </c>
      <c r="J37" s="272">
        <v>1</v>
      </c>
      <c r="K37" s="16"/>
      <c r="L37" s="16"/>
      <c r="M37" s="16"/>
      <c r="N37" t="s" s="96">
        <v>72</v>
      </c>
      <c r="O37" s="79">
        <v>1</v>
      </c>
      <c r="P37" s="16"/>
      <c r="Q37" s="16"/>
      <c r="R37" s="16"/>
      <c r="S37" s="16"/>
      <c r="T37" s="79">
        <v>53</v>
      </c>
      <c r="U37" s="16"/>
      <c r="V37" s="16"/>
      <c r="W37" s="16"/>
      <c r="X37" s="16"/>
      <c r="Y37" s="16"/>
      <c r="Z37" s="16"/>
      <c r="AA37" t="s" s="93">
        <v>928</v>
      </c>
      <c r="AB37" s="273"/>
      <c r="AC37" s="16"/>
      <c r="AD37" t="s" s="96">
        <v>34</v>
      </c>
      <c r="AE37" s="16"/>
      <c r="AF37" t="s" s="96">
        <v>493</v>
      </c>
      <c r="AG37" s="79">
        <v>1</v>
      </c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</row>
    <row r="38" ht="17" customHeight="1">
      <c r="A38" t="s" s="88">
        <v>998</v>
      </c>
      <c r="B38" s="89">
        <v>1921</v>
      </c>
      <c r="C38" s="79">
        <v>7</v>
      </c>
      <c r="D38" t="s" s="90">
        <v>1146</v>
      </c>
      <c r="E38" s="16"/>
      <c r="F38" s="16"/>
      <c r="G38" t="s" s="96">
        <v>1206</v>
      </c>
      <c r="H38" t="s" s="271">
        <v>1207</v>
      </c>
      <c r="I38" s="39">
        <v>28</v>
      </c>
      <c r="J38" s="63"/>
      <c r="K38" s="79">
        <v>1</v>
      </c>
      <c r="L38" s="16"/>
      <c r="M38" s="16"/>
      <c r="N38" s="79">
        <v>1</v>
      </c>
      <c r="O38" s="16"/>
      <c r="P38" s="16"/>
      <c r="Q38" s="16"/>
      <c r="R38" s="16"/>
      <c r="S38" s="16"/>
      <c r="T38" s="79">
        <v>27</v>
      </c>
      <c r="U38" s="16"/>
      <c r="V38" s="16"/>
      <c r="W38" s="16"/>
      <c r="X38" s="16"/>
      <c r="Y38" s="16"/>
      <c r="Z38" s="16"/>
      <c r="AA38" t="s" s="93">
        <v>898</v>
      </c>
      <c r="AB38" t="s" s="96">
        <v>1208</v>
      </c>
      <c r="AC38" s="79">
        <v>1</v>
      </c>
      <c r="AD38" s="16"/>
      <c r="AE38" s="16"/>
      <c r="AF38" t="s" s="96">
        <v>1209</v>
      </c>
      <c r="AG38" s="79">
        <v>1</v>
      </c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</row>
    <row r="39" ht="17" customHeight="1">
      <c r="A39" t="s" s="88">
        <v>998</v>
      </c>
      <c r="B39" s="89">
        <v>1921</v>
      </c>
      <c r="C39" s="79">
        <v>7</v>
      </c>
      <c r="D39" t="s" s="90">
        <v>1146</v>
      </c>
      <c r="E39" s="16"/>
      <c r="F39" s="16"/>
      <c r="G39" t="s" s="96">
        <v>1206</v>
      </c>
      <c r="H39" t="s" s="271">
        <v>1210</v>
      </c>
      <c r="I39" s="39">
        <v>29</v>
      </c>
      <c r="J39" s="272">
        <v>1</v>
      </c>
      <c r="K39" s="16"/>
      <c r="L39" s="16"/>
      <c r="M39" s="16"/>
      <c r="N39" t="s" s="96">
        <v>72</v>
      </c>
      <c r="O39" s="79">
        <v>1</v>
      </c>
      <c r="P39" s="16"/>
      <c r="Q39" s="16"/>
      <c r="R39" s="16"/>
      <c r="S39" s="16"/>
      <c r="T39" s="79">
        <v>26</v>
      </c>
      <c r="U39" s="16"/>
      <c r="V39" s="16"/>
      <c r="W39" s="16"/>
      <c r="X39" s="16"/>
      <c r="Y39" s="16"/>
      <c r="Z39" s="16"/>
      <c r="AA39" t="s" s="93">
        <v>928</v>
      </c>
      <c r="AB39" s="273"/>
      <c r="AC39" s="16"/>
      <c r="AD39" t="s" s="96">
        <v>34</v>
      </c>
      <c r="AE39" s="16"/>
      <c r="AF39" t="s" s="96">
        <v>54</v>
      </c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</row>
    <row r="40" ht="17" customHeight="1">
      <c r="A40" t="s" s="88">
        <v>998</v>
      </c>
      <c r="B40" s="89">
        <v>1921</v>
      </c>
      <c r="C40" s="79">
        <v>7</v>
      </c>
      <c r="D40" t="s" s="90">
        <v>1146</v>
      </c>
      <c r="E40" s="16"/>
      <c r="F40" s="16"/>
      <c r="G40" t="s" s="96">
        <v>483</v>
      </c>
      <c r="H40" t="s" s="271">
        <v>1211</v>
      </c>
      <c r="I40" s="39">
        <v>30</v>
      </c>
      <c r="J40" s="272">
        <v>1</v>
      </c>
      <c r="K40" s="16"/>
      <c r="L40" s="16"/>
      <c r="M40" s="16"/>
      <c r="N40" t="s" s="96">
        <v>1212</v>
      </c>
      <c r="O40" s="16"/>
      <c r="P40" s="16"/>
      <c r="Q40" s="16"/>
      <c r="R40" s="16"/>
      <c r="S40" s="79">
        <v>1</v>
      </c>
      <c r="T40" s="79">
        <v>31</v>
      </c>
      <c r="U40" s="16"/>
      <c r="V40" s="16"/>
      <c r="W40" s="16"/>
      <c r="X40" s="16"/>
      <c r="Y40" s="16"/>
      <c r="Z40" s="16"/>
      <c r="AA40" t="s" s="93">
        <v>126</v>
      </c>
      <c r="AB40" s="273"/>
      <c r="AC40" s="79">
        <v>1</v>
      </c>
      <c r="AD40" t="s" s="96">
        <v>15</v>
      </c>
      <c r="AE40" s="16"/>
      <c r="AF40" t="s" s="96">
        <v>34</v>
      </c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7" customHeight="1">
      <c r="A41" t="s" s="88">
        <v>998</v>
      </c>
      <c r="B41" s="89">
        <v>1921</v>
      </c>
      <c r="C41" s="79">
        <v>7</v>
      </c>
      <c r="D41" t="s" s="90">
        <v>1146</v>
      </c>
      <c r="E41" s="16"/>
      <c r="F41" s="16"/>
      <c r="G41" t="s" s="96">
        <v>1213</v>
      </c>
      <c r="H41" t="s" s="271">
        <v>1214</v>
      </c>
      <c r="I41" s="39">
        <v>31</v>
      </c>
      <c r="J41" s="272">
        <v>1</v>
      </c>
      <c r="K41" s="16"/>
      <c r="L41" s="16"/>
      <c r="M41" s="16"/>
      <c r="N41" t="s" s="96">
        <v>1215</v>
      </c>
      <c r="O41" s="16"/>
      <c r="P41" s="16"/>
      <c r="Q41" s="16"/>
      <c r="R41" s="16"/>
      <c r="S41" s="79">
        <v>1</v>
      </c>
      <c r="T41" s="79">
        <v>22</v>
      </c>
      <c r="U41" s="16"/>
      <c r="V41" s="16"/>
      <c r="W41" s="16"/>
      <c r="X41" s="16"/>
      <c r="Y41" s="16"/>
      <c r="Z41" s="16"/>
      <c r="AA41" t="s" s="93">
        <v>45</v>
      </c>
      <c r="AB41" s="273"/>
      <c r="AC41" s="79">
        <v>1</v>
      </c>
      <c r="AD41" t="s" s="96">
        <v>15</v>
      </c>
      <c r="AE41" s="16"/>
      <c r="AF41" t="s" s="96">
        <v>1216</v>
      </c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7" customHeight="1">
      <c r="A42" t="s" s="88">
        <v>998</v>
      </c>
      <c r="B42" s="89">
        <v>1921</v>
      </c>
      <c r="C42" s="79">
        <v>7</v>
      </c>
      <c r="D42" t="s" s="90">
        <v>1146</v>
      </c>
      <c r="E42" s="16"/>
      <c r="F42" s="16"/>
      <c r="G42" t="s" s="96">
        <v>1217</v>
      </c>
      <c r="H42" t="s" s="271">
        <v>1218</v>
      </c>
      <c r="I42" s="39">
        <v>32</v>
      </c>
      <c r="J42" s="272">
        <v>1</v>
      </c>
      <c r="K42" s="16"/>
      <c r="L42" s="16"/>
      <c r="M42" s="16"/>
      <c r="N42" t="s" s="96">
        <v>1070</v>
      </c>
      <c r="O42" s="16"/>
      <c r="P42" s="16"/>
      <c r="Q42" s="16"/>
      <c r="R42" s="16"/>
      <c r="S42" s="79">
        <v>1</v>
      </c>
      <c r="T42" s="79">
        <v>43</v>
      </c>
      <c r="U42" s="16"/>
      <c r="V42" s="16"/>
      <c r="W42" s="16"/>
      <c r="X42" s="16"/>
      <c r="Y42" s="16"/>
      <c r="Z42" s="16"/>
      <c r="AA42" t="s" s="93">
        <v>1219</v>
      </c>
      <c r="AB42" s="273"/>
      <c r="AC42" s="79">
        <v>1</v>
      </c>
      <c r="AD42" t="s" s="96">
        <v>15</v>
      </c>
      <c r="AE42" s="16"/>
      <c r="AF42" t="s" s="96">
        <v>1220</v>
      </c>
      <c r="AG42" s="79">
        <v>1</v>
      </c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7" customHeight="1">
      <c r="A43" t="s" s="88">
        <v>998</v>
      </c>
      <c r="B43" s="89">
        <v>1921</v>
      </c>
      <c r="C43" s="3"/>
      <c r="D43" t="s" s="90">
        <v>1146</v>
      </c>
      <c r="E43" s="3"/>
      <c r="F43" s="3"/>
      <c r="G43" s="3"/>
      <c r="H43" s="275">
        <v>7</v>
      </c>
      <c r="I43" s="32"/>
      <c r="J43" s="276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277"/>
      <c r="AB43" s="277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</row>
    <row r="44" ht="17" customHeight="1">
      <c r="A44" t="s" s="88">
        <v>998</v>
      </c>
      <c r="B44" s="278">
        <v>1921</v>
      </c>
      <c r="C44" s="6">
        <v>8</v>
      </c>
      <c r="D44" t="s" s="279">
        <v>1146</v>
      </c>
      <c r="E44" s="13"/>
      <c r="F44" s="13"/>
      <c r="G44" t="s" s="5">
        <v>1221</v>
      </c>
      <c r="H44" t="s" s="280">
        <v>1222</v>
      </c>
      <c r="I44" s="281">
        <v>33</v>
      </c>
      <c r="J44" s="282">
        <v>1</v>
      </c>
      <c r="K44" s="13"/>
      <c r="L44" s="13"/>
      <c r="M44" s="13"/>
      <c r="N44" s="6">
        <v>1</v>
      </c>
      <c r="O44" s="13"/>
      <c r="P44" s="13"/>
      <c r="Q44" s="13"/>
      <c r="R44" s="13"/>
      <c r="S44" s="13"/>
      <c r="T44" s="6">
        <v>60</v>
      </c>
      <c r="U44" s="13"/>
      <c r="V44" s="13"/>
      <c r="W44" s="13"/>
      <c r="X44" s="13"/>
      <c r="Y44" s="13"/>
      <c r="Z44" s="13"/>
      <c r="AA44" t="s" s="283">
        <v>909</v>
      </c>
      <c r="AB44" s="284"/>
      <c r="AC44" s="13"/>
      <c r="AD44" t="s" s="5">
        <v>34</v>
      </c>
      <c r="AE44" s="13"/>
      <c r="AF44" t="s" s="5">
        <v>1223</v>
      </c>
      <c r="AG44" s="6">
        <v>1</v>
      </c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0"/>
    </row>
    <row r="45" ht="17" customHeight="1">
      <c r="A45" t="s" s="88">
        <v>998</v>
      </c>
      <c r="B45" s="89">
        <v>1921</v>
      </c>
      <c r="C45" s="264">
        <v>8</v>
      </c>
      <c r="D45" t="s" s="90">
        <v>1146</v>
      </c>
      <c r="E45" s="14"/>
      <c r="F45" s="14"/>
      <c r="G45" t="s" s="285">
        <v>1224</v>
      </c>
      <c r="H45" t="s" s="286">
        <v>1225</v>
      </c>
      <c r="I45" s="39">
        <v>34</v>
      </c>
      <c r="J45" s="287">
        <v>1</v>
      </c>
      <c r="K45" s="14"/>
      <c r="L45" s="14"/>
      <c r="M45" s="14"/>
      <c r="N45" t="s" s="285">
        <v>11</v>
      </c>
      <c r="O45" s="14"/>
      <c r="P45" s="14"/>
      <c r="Q45" s="14"/>
      <c r="R45" s="14"/>
      <c r="S45" s="264">
        <v>1</v>
      </c>
      <c r="T45" s="264">
        <v>39</v>
      </c>
      <c r="U45" s="14"/>
      <c r="V45" s="14"/>
      <c r="W45" s="14"/>
      <c r="X45" s="14"/>
      <c r="Y45" s="14"/>
      <c r="Z45" s="14"/>
      <c r="AA45" t="s" s="288">
        <v>45</v>
      </c>
      <c r="AB45" s="289"/>
      <c r="AC45" s="264">
        <v>1</v>
      </c>
      <c r="AD45" t="s" s="285">
        <v>15</v>
      </c>
      <c r="AE45" s="14"/>
      <c r="AF45" t="s" s="285">
        <v>46</v>
      </c>
      <c r="AG45" s="264">
        <v>1</v>
      </c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</row>
    <row r="46" ht="17" customHeight="1">
      <c r="A46" t="s" s="88">
        <v>998</v>
      </c>
      <c r="B46" s="89">
        <v>1921</v>
      </c>
      <c r="C46" s="79">
        <v>8</v>
      </c>
      <c r="D46" t="s" s="90">
        <v>1146</v>
      </c>
      <c r="E46" s="16"/>
      <c r="F46" s="16"/>
      <c r="G46" t="s" s="96">
        <v>1226</v>
      </c>
      <c r="H46" t="s" s="271">
        <v>1227</v>
      </c>
      <c r="I46" s="39">
        <v>35</v>
      </c>
      <c r="J46" s="272">
        <v>1</v>
      </c>
      <c r="K46" s="16"/>
      <c r="L46" s="16"/>
      <c r="M46" s="16"/>
      <c r="N46" t="s" s="96">
        <v>11</v>
      </c>
      <c r="O46" s="16"/>
      <c r="P46" s="16"/>
      <c r="Q46" s="16"/>
      <c r="R46" s="16"/>
      <c r="S46" s="79">
        <v>1</v>
      </c>
      <c r="T46" s="79">
        <v>20</v>
      </c>
      <c r="U46" s="16"/>
      <c r="V46" s="16"/>
      <c r="W46" s="16"/>
      <c r="X46" s="16"/>
      <c r="Y46" s="16"/>
      <c r="Z46" s="16"/>
      <c r="AA46" t="s" s="93">
        <v>89</v>
      </c>
      <c r="AB46" s="273"/>
      <c r="AC46" s="79">
        <v>1</v>
      </c>
      <c r="AD46" t="s" s="96">
        <v>15</v>
      </c>
      <c r="AE46" s="16"/>
      <c r="AF46" t="s" s="96">
        <v>1228</v>
      </c>
      <c r="AG46" s="79">
        <v>1</v>
      </c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7.45" customHeight="1">
      <c r="A47" s="168"/>
      <c r="B47" s="89"/>
      <c r="C47" s="16"/>
      <c r="D47" s="16"/>
      <c r="E47" s="132"/>
      <c r="F47" s="132"/>
      <c r="G47" s="132"/>
      <c r="H47" s="290">
        <v>3</v>
      </c>
      <c r="I47" s="139">
        <v>35</v>
      </c>
      <c r="J47" s="291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  <c r="AB47" s="292"/>
      <c r="AC47" s="292"/>
      <c r="AD47" s="132"/>
      <c r="AE47" s="132"/>
      <c r="AF47" s="132"/>
      <c r="AG47" s="132"/>
      <c r="AH47" s="132"/>
      <c r="AI47" s="132"/>
      <c r="AJ47" s="132"/>
      <c r="AK47" s="132"/>
      <c r="AL47" s="132"/>
      <c r="AM47" s="132"/>
      <c r="AN47" s="132"/>
      <c r="AO47" s="132"/>
      <c r="AP47" s="132"/>
      <c r="AQ47" s="132"/>
      <c r="AR47" s="132"/>
      <c r="AS47" s="132"/>
      <c r="AT47" s="132"/>
      <c r="AU47" s="132"/>
      <c r="AV47" s="132"/>
      <c r="AW47" s="132"/>
      <c r="AX47" s="132"/>
      <c r="AY47" s="132"/>
      <c r="AZ47" s="16"/>
      <c r="BA47" s="16"/>
      <c r="BB47" s="16"/>
      <c r="BC47" s="16"/>
    </row>
    <row r="48" ht="17.5" customHeight="1">
      <c r="A48" t="s" s="88">
        <v>998</v>
      </c>
      <c r="B48" s="89">
        <v>1921</v>
      </c>
      <c r="C48" s="89">
        <v>8</v>
      </c>
      <c r="D48" t="s" s="216">
        <v>1146</v>
      </c>
      <c r="E48" s="30"/>
      <c r="F48" s="30"/>
      <c r="G48" s="30"/>
      <c r="H48" s="30"/>
      <c r="I48" s="112">
        <v>21</v>
      </c>
      <c r="J48" s="112" cm="1">
        <f t="array" ref="J48">SUM(J3:J47)</f>
        <v>30</v>
      </c>
      <c r="K48" s="87" cm="1">
        <f t="array" ref="K48">SUM(K3:K47)</f>
        <v>5</v>
      </c>
      <c r="L48" s="112" cm="1">
        <f t="array" ref="L48">SUM(L3:L47)</f>
        <v>0</v>
      </c>
      <c r="M48" s="112" cm="1">
        <f t="array" ref="M48">SUM(M3:M47)</f>
        <v>0</v>
      </c>
      <c r="N48" s="112" cm="1">
        <f t="array" ref="N48">SUM(N3:N47)</f>
        <v>7</v>
      </c>
      <c r="O48" s="112" cm="1">
        <f t="array" ref="O48">SUM(O3:O47)</f>
        <v>4</v>
      </c>
      <c r="P48" s="112" cm="1">
        <f t="array" ref="P48">SUM(P3:P47)</f>
        <v>3</v>
      </c>
      <c r="Q48" s="112" cm="1">
        <f t="array" ref="Q48">SUM(Q3:Q47)</f>
        <v>0</v>
      </c>
      <c r="R48" s="112" cm="1">
        <f t="array" ref="R48">SUM(R3:R47)</f>
        <v>1</v>
      </c>
      <c r="S48" s="87" cm="1">
        <f t="array" ref="S48">SUM(S3:S47)</f>
        <v>20</v>
      </c>
      <c r="T48" s="112" cm="1">
        <f t="array" ref="T48">SUM(T3:T47)</f>
        <v>1406</v>
      </c>
      <c r="U48" s="87" cm="1">
        <f t="array" ref="U48">SUM(U3:U47)</f>
        <v>0</v>
      </c>
      <c r="V48" s="87" cm="1">
        <f t="array" ref="V48">SUM(V3:V47)</f>
        <v>0</v>
      </c>
      <c r="W48" s="30"/>
      <c r="X48" s="112" cm="1">
        <f t="array" ref="X48">SUM(X3:X47)</f>
        <v>0</v>
      </c>
      <c r="Y48" s="112" cm="1">
        <f t="array" ref="Y48">SUM(Y3:Y47)</f>
        <v>0</v>
      </c>
      <c r="Z48" s="112" cm="1">
        <f t="array" ref="Z48">SUM(Z3:Z47)</f>
        <v>0</v>
      </c>
      <c r="AA48" s="112" cm="1">
        <f t="array" ref="AA48">SUM(AA3:AA47)</f>
        <v>0</v>
      </c>
      <c r="AB48" s="112" cm="1">
        <f t="array" ref="AB48">SUM(AB3:AB47)</f>
        <v>0</v>
      </c>
      <c r="AC48" s="87" cm="1">
        <f t="array" ref="AC48">SUM(AC3:AC47)</f>
        <v>25</v>
      </c>
      <c r="AD48" s="87" cm="1">
        <f t="array" ref="AD48">SUM(AD3:AD47)</f>
        <v>2</v>
      </c>
      <c r="AE48" s="87" cm="1">
        <f t="array" ref="AE48">AC48-AD48</f>
        <v>23</v>
      </c>
      <c r="AF48" s="112" cm="1">
        <f t="array" ref="AF48">N49-AG48</f>
        <v>26</v>
      </c>
      <c r="AG48" s="112" cm="1">
        <f t="array" ref="AG48">SUM(AG3:AG47)</f>
        <v>9</v>
      </c>
      <c r="AH48" s="112" cm="1">
        <f t="array" ref="AH48">AG48+AF48</f>
        <v>35</v>
      </c>
      <c r="AI48" s="87" cm="1">
        <f t="array" ref="AI48">SUM(AI3:AI47)</f>
        <v>0</v>
      </c>
      <c r="AJ48" s="87" cm="1">
        <f t="array" ref="AJ48">SUM(AJ3:AJ47)</f>
        <v>0</v>
      </c>
      <c r="AK48" s="87" cm="1">
        <f t="array" ref="AK48">SUM(AK3:AK47)</f>
        <v>0</v>
      </c>
      <c r="AL48" s="87" cm="1">
        <f t="array" ref="AL48">SUM(AL3:AL47)</f>
        <v>0</v>
      </c>
      <c r="AM48" s="87" cm="1">
        <f t="array" ref="AM48">SUM(AM3:AM47)</f>
        <v>0</v>
      </c>
      <c r="AN48" s="87" cm="1">
        <f t="array" ref="AN48">SUM(AN3:AN47)</f>
        <v>0</v>
      </c>
      <c r="AO48" s="87" cm="1">
        <f t="array" ref="AO48">SUM(AO3:AO29)</f>
        <v>0</v>
      </c>
      <c r="AP48" s="87" cm="1">
        <f t="array" ref="AP48">SUM(AP3:AP29)</f>
        <v>0</v>
      </c>
      <c r="AQ48" s="87" cm="1">
        <f t="array" ref="AQ48">SUM(AQ3:AQ29)</f>
        <v>0</v>
      </c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.5" customHeight="1">
      <c r="A49" s="168"/>
      <c r="B49" s="89"/>
      <c r="C49" s="89"/>
      <c r="D49" s="220"/>
      <c r="E49" s="30"/>
      <c r="F49" s="30"/>
      <c r="G49" s="30"/>
      <c r="H49" s="30"/>
      <c r="I49" s="30"/>
      <c r="J49" s="174" cm="1">
        <f t="array" ref="J49">SUM(J48:M48)</f>
        <v>35</v>
      </c>
      <c r="K49" s="30"/>
      <c r="L49" s="30"/>
      <c r="M49" s="30"/>
      <c r="N49" s="112" cm="1">
        <f t="array" ref="N49">SUM(N48:S48)</f>
        <v>35</v>
      </c>
      <c r="O49" s="30"/>
      <c r="P49" s="30"/>
      <c r="Q49" s="30"/>
      <c r="R49" s="30"/>
      <c r="S49" s="30"/>
      <c r="T49" s="87" cm="1">
        <f t="array" ref="T49">T48/N49</f>
        <v>40.1714285714286</v>
      </c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s="293"/>
      <c r="B50" s="107"/>
      <c r="C50" s="107"/>
      <c r="D50" s="255"/>
      <c r="E50" s="30"/>
      <c r="F50" s="30"/>
      <c r="G50" s="30"/>
      <c r="H50" s="30"/>
      <c r="I50" s="30"/>
      <c r="J50" s="122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s="30"/>
      <c r="B51" s="30"/>
      <c r="C51" s="30"/>
      <c r="D51" s="30"/>
      <c r="E51" s="30"/>
      <c r="F51" s="30"/>
      <c r="G51" s="30"/>
      <c r="H51" s="30"/>
      <c r="I51" s="30"/>
      <c r="J51" s="141"/>
      <c r="K51" s="30"/>
      <c r="L51" s="30"/>
      <c r="M51" s="121"/>
      <c r="N51" s="121"/>
      <c r="O51" s="121"/>
      <c r="P51" s="121"/>
      <c r="Q51" s="121"/>
      <c r="R51" s="121"/>
      <c r="S51" s="121"/>
      <c r="T51" s="86" cm="1">
        <f t="array" ref="T51">T24/I24</f>
        <v>2.88235294117647</v>
      </c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.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121"/>
      <c r="N52" s="121"/>
      <c r="O52" s="121"/>
      <c r="P52" s="121"/>
      <c r="Q52" s="30"/>
      <c r="R52" s="121"/>
      <c r="S52" s="121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121"/>
      <c r="N53" s="121"/>
      <c r="O53" s="121"/>
      <c r="P53" s="121"/>
      <c r="Q53" s="121"/>
      <c r="R53" s="121"/>
      <c r="S53" s="121"/>
      <c r="T53" s="121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121"/>
      <c r="N54" s="121"/>
      <c r="O54" s="121"/>
      <c r="P54" s="121"/>
      <c r="Q54" s="121"/>
      <c r="R54" s="121"/>
      <c r="S54" s="121"/>
      <c r="T54" s="86" cm="1">
        <f t="array" ref="T54">T48/I48</f>
        <v>66.95238095238101</v>
      </c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.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121"/>
      <c r="N55" s="121"/>
      <c r="O55" s="121"/>
      <c r="P55" s="121"/>
      <c r="Q55" s="30"/>
      <c r="R55" s="121"/>
      <c r="S55" s="12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.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121"/>
      <c r="N56" s="121"/>
      <c r="O56" s="121"/>
      <c r="P56" s="121"/>
      <c r="Q56" s="121"/>
      <c r="R56" s="121"/>
      <c r="S56" s="121"/>
      <c r="T56" s="121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.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121"/>
      <c r="N57" s="121"/>
      <c r="O57" s="121"/>
      <c r="P57" s="121"/>
      <c r="Q57" s="121"/>
      <c r="R57" s="121"/>
      <c r="S57" s="121"/>
      <c r="T57" s="121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" customHeight="1">
      <c r="A58" t="s" s="83">
        <v>723</v>
      </c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112" cm="1">
        <f t="array" ref="AD58">SUM(AD23:AD57)</f>
        <v>2</v>
      </c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.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121"/>
      <c r="N59" s="121"/>
      <c r="O59" s="121"/>
      <c r="P59" s="121"/>
      <c r="Q59" s="121"/>
      <c r="R59" s="121"/>
      <c r="S59" s="121"/>
      <c r="T59" s="121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.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121"/>
      <c r="N60" s="121"/>
      <c r="O60" s="121"/>
      <c r="P60" s="121"/>
      <c r="Q60" s="121"/>
      <c r="R60" s="121"/>
      <c r="S60" s="121"/>
      <c r="T60" s="121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.5" customHeight="1">
      <c r="A61" s="124"/>
      <c r="B61" s="124"/>
      <c r="C61" s="124"/>
      <c r="D61" s="28"/>
      <c r="E61" s="124"/>
      <c r="F61" s="28"/>
      <c r="G61" s="28"/>
      <c r="H61" s="28"/>
      <c r="I61" s="28"/>
      <c r="J61" s="28"/>
      <c r="K61" s="125"/>
      <c r="L61" s="28"/>
      <c r="M61" s="28"/>
      <c r="N61" s="28"/>
      <c r="O61" s="28"/>
      <c r="P61" s="28"/>
      <c r="Q61" s="125"/>
      <c r="R61" s="125"/>
      <c r="S61" s="125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28" customHeight="1">
      <c r="A62" s="124"/>
      <c r="B62" s="124"/>
      <c r="C62" s="124"/>
      <c r="D62" s="28"/>
      <c r="E62" s="124"/>
      <c r="F62" s="28"/>
      <c r="G62" s="28"/>
      <c r="H62" s="28"/>
      <c r="I62" s="28"/>
      <c r="J62" s="163"/>
      <c r="K62" s="164"/>
      <c r="L62" s="165"/>
      <c r="M62" s="28"/>
      <c r="N62" s="28"/>
      <c r="O62" s="28"/>
      <c r="P62" s="163"/>
      <c r="Q62" s="164"/>
      <c r="R62" s="164"/>
      <c r="S62" s="164"/>
      <c r="T62" s="166"/>
      <c r="U62" s="28"/>
      <c r="V62" s="28"/>
      <c r="W62" s="28"/>
      <c r="X62" s="28"/>
      <c r="Y62" s="28"/>
      <c r="Z62" s="28"/>
      <c r="AA62" s="28"/>
      <c r="AB62" s="28"/>
      <c r="AC62" s="28"/>
      <c r="AD62" s="124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7.5" customHeight="1">
      <c r="A63" s="146"/>
      <c r="B63" s="30"/>
      <c r="C63" s="30"/>
      <c r="D63" s="30"/>
      <c r="E63" s="30"/>
      <c r="F63" s="30"/>
      <c r="G63" s="30"/>
      <c r="H63" s="30"/>
      <c r="I63" s="30"/>
      <c r="J63" s="30"/>
      <c r="K63" s="141"/>
      <c r="L63" s="30"/>
      <c r="M63" s="121"/>
      <c r="N63" s="121"/>
      <c r="O63" s="121"/>
      <c r="P63" s="121"/>
      <c r="Q63" s="147"/>
      <c r="R63" s="147"/>
      <c r="S63" s="147"/>
      <c r="T63" s="121"/>
      <c r="U63" s="121"/>
      <c r="V63" s="121"/>
      <c r="W63" s="121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</row>
    <row r="64" ht="17.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121"/>
      <c r="N64" s="121"/>
      <c r="O64" s="121"/>
      <c r="P64" s="121"/>
      <c r="Q64" s="30"/>
      <c r="R64" s="121"/>
      <c r="S64" s="121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</row>
    <row r="65" ht="17.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121"/>
      <c r="N65" s="121"/>
      <c r="O65" s="121"/>
      <c r="P65" s="121"/>
      <c r="Q65" s="121"/>
      <c r="R65" s="121"/>
      <c r="S65" s="121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</row>
    <row r="66" ht="17.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121"/>
      <c r="N66" s="121"/>
      <c r="O66" s="121"/>
      <c r="P66" s="121"/>
      <c r="Q66" s="121"/>
      <c r="R66" s="121"/>
      <c r="S66" s="121"/>
      <c r="T66" s="30"/>
      <c r="U66" s="121"/>
      <c r="V66" s="121"/>
      <c r="W66" s="121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74"/>
      <c r="BA66" s="16"/>
      <c r="BB66" s="16"/>
      <c r="BC66" s="16"/>
    </row>
    <row r="67" ht="17.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121"/>
      <c r="N67" s="121"/>
      <c r="O67" s="121"/>
      <c r="P67" s="121"/>
      <c r="Q67" s="30"/>
      <c r="R67" s="121"/>
      <c r="S67" s="121"/>
      <c r="T67" s="30"/>
      <c r="U67" s="121"/>
      <c r="V67" s="121"/>
      <c r="W67" s="121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</row>
    <row r="68" ht="17.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121"/>
      <c r="N68" s="121"/>
      <c r="O68" s="121"/>
      <c r="P68" s="121"/>
      <c r="Q68" s="30"/>
      <c r="R68" s="121"/>
      <c r="S68" s="121"/>
      <c r="T68" s="30"/>
      <c r="U68" s="121"/>
      <c r="V68" s="121"/>
      <c r="W68" s="121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74"/>
      <c r="BA68" s="16"/>
      <c r="BB68" s="16"/>
      <c r="BC68" s="16"/>
    </row>
    <row r="69" ht="17.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121"/>
      <c r="N69" s="121"/>
      <c r="O69" s="121"/>
      <c r="P69" s="121"/>
      <c r="Q69" s="30"/>
      <c r="R69" s="121"/>
      <c r="S69" s="121"/>
      <c r="T69" s="30"/>
      <c r="U69" s="121"/>
      <c r="V69" s="121"/>
      <c r="W69" s="121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74"/>
      <c r="BA69" s="16"/>
      <c r="BB69" s="16"/>
      <c r="BC69" s="16"/>
    </row>
    <row r="70" ht="17.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121"/>
      <c r="N70" s="121"/>
      <c r="O70" s="121"/>
      <c r="P70" s="121"/>
      <c r="Q70" s="30"/>
      <c r="R70" s="121"/>
      <c r="S70" s="121"/>
      <c r="T70" s="30"/>
      <c r="U70" s="121"/>
      <c r="V70" s="121"/>
      <c r="W70" s="121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74"/>
      <c r="BA70" s="16"/>
      <c r="BB70" s="16"/>
      <c r="BC70" s="16"/>
    </row>
    <row r="71" ht="17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74"/>
      <c r="BA71" s="16"/>
      <c r="BB71" s="16"/>
      <c r="BC71" s="16"/>
    </row>
    <row r="72" ht="17.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121"/>
      <c r="N72" s="121"/>
      <c r="O72" s="121"/>
      <c r="P72" s="121"/>
      <c r="Q72" s="30"/>
      <c r="R72" s="121"/>
      <c r="S72" s="121"/>
      <c r="T72" s="129"/>
      <c r="U72" s="121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74"/>
      <c r="BA72" s="16"/>
      <c r="BB72" s="16"/>
      <c r="BC72" s="16"/>
    </row>
    <row r="73" ht="17.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21"/>
      <c r="N73" s="121"/>
      <c r="O73" s="121"/>
      <c r="P73" s="121"/>
      <c r="Q73" s="30"/>
      <c r="R73" s="121"/>
      <c r="S73" s="121"/>
      <c r="T73" s="30"/>
      <c r="U73" s="121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74"/>
      <c r="BA73" s="16"/>
      <c r="BB73" s="16"/>
      <c r="BC73" s="16"/>
    </row>
    <row r="74" ht="17.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21"/>
      <c r="N74" s="121"/>
      <c r="O74" s="121"/>
      <c r="P74" s="121"/>
      <c r="Q74" s="30"/>
      <c r="R74" s="121"/>
      <c r="S74" s="121"/>
      <c r="T74" s="30"/>
      <c r="U74" s="121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74"/>
      <c r="BA74" s="16"/>
      <c r="BB74" s="16"/>
      <c r="BC74" s="16"/>
    </row>
    <row r="75" ht="17.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121"/>
      <c r="N75" s="121"/>
      <c r="O75" s="121"/>
      <c r="P75" s="121"/>
      <c r="Q75" s="30"/>
      <c r="R75" s="121"/>
      <c r="S75" s="121"/>
      <c r="T75" s="129"/>
      <c r="U75" s="121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74"/>
      <c r="BA75" s="16"/>
      <c r="BB75" s="16"/>
      <c r="BC75" s="16"/>
    </row>
    <row r="76" ht="17.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121"/>
      <c r="N76" s="121"/>
      <c r="O76" s="121"/>
      <c r="P76" s="121"/>
      <c r="Q76" s="30"/>
      <c r="R76" s="121"/>
      <c r="S76" s="121"/>
      <c r="T76" s="30"/>
      <c r="U76" s="121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74"/>
      <c r="BA76" s="16"/>
      <c r="BB76" s="16"/>
      <c r="BC76" s="16"/>
    </row>
    <row r="77" ht="17.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121"/>
      <c r="N77" s="121"/>
      <c r="O77" s="121"/>
      <c r="P77" s="121"/>
      <c r="Q77" s="30"/>
      <c r="R77" s="121"/>
      <c r="S77" s="121"/>
      <c r="T77" s="30"/>
      <c r="U77" s="121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74"/>
      <c r="BA77" s="16"/>
      <c r="BB77" s="16"/>
      <c r="BC77" s="16"/>
    </row>
    <row r="78" ht="17.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121"/>
      <c r="N78" s="121"/>
      <c r="O78" s="121"/>
      <c r="P78" s="121"/>
      <c r="Q78" s="30"/>
      <c r="R78" s="121"/>
      <c r="S78" s="121"/>
      <c r="T78" s="30"/>
      <c r="U78" s="121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74"/>
      <c r="BA78" s="16"/>
      <c r="BB78" s="16"/>
      <c r="BC78" s="16"/>
    </row>
    <row r="79" ht="17" customHeight="1">
      <c r="A79" t="s" s="83">
        <v>723</v>
      </c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112" cm="1">
        <f t="array" ref="AD79">SUM(AD23:AD78)</f>
        <v>4</v>
      </c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74"/>
      <c r="BA79" s="16"/>
      <c r="BB79" s="16"/>
      <c r="BC79" s="16"/>
    </row>
    <row r="80" ht="17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87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74"/>
      <c r="BA80" s="16"/>
      <c r="BB80" s="16"/>
      <c r="BC80" s="16"/>
    </row>
    <row r="81" ht="17" customHeight="1">
      <c r="A81" s="30"/>
      <c r="B81" s="30"/>
      <c r="C81" s="30"/>
      <c r="D81" s="30"/>
      <c r="E81" s="30"/>
      <c r="F81" s="30"/>
      <c r="G81" s="130"/>
      <c r="H81" s="30"/>
      <c r="I81" s="30"/>
      <c r="J81" s="30"/>
      <c r="K81" s="30"/>
      <c r="L81" s="30"/>
      <c r="M81" s="30"/>
      <c r="N81" s="30"/>
      <c r="O81" s="30"/>
      <c r="P81" s="30"/>
      <c r="Q81" s="87"/>
      <c r="R81" s="130"/>
      <c r="S81" s="130"/>
      <c r="T81" s="1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74"/>
      <c r="BA81" s="16"/>
      <c r="BB81" s="16"/>
      <c r="BC81" s="16"/>
    </row>
    <row r="82" ht="17.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121"/>
      <c r="S82" s="121"/>
      <c r="T82" s="129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74"/>
      <c r="BA82" s="16"/>
      <c r="BB82" s="16"/>
      <c r="BC82" s="16"/>
    </row>
    <row r="83" ht="17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130"/>
      <c r="S83" s="130"/>
      <c r="T83" s="130"/>
      <c r="U83" s="30"/>
      <c r="V83" s="30"/>
      <c r="W83" s="30"/>
      <c r="X83" s="30"/>
      <c r="Y83" s="30"/>
      <c r="Z83" s="30"/>
      <c r="AA83" s="30"/>
      <c r="AB83" s="30"/>
      <c r="AC83" s="134"/>
      <c r="AD83" s="134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74"/>
      <c r="BA83" s="16"/>
      <c r="BB83" s="16"/>
      <c r="BC83" s="16"/>
    </row>
    <row r="84" ht="17.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121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74"/>
      <c r="BA84" s="16"/>
      <c r="BB84" s="16"/>
      <c r="BC84" s="16"/>
    </row>
    <row r="85" ht="15.35" customHeight="1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62"/>
      <c r="AJ85" s="62"/>
      <c r="AK85" s="62"/>
      <c r="AL85" s="62"/>
      <c r="AM85" s="62"/>
      <c r="AN85" s="62"/>
      <c r="AO85" s="62"/>
      <c r="AP85" s="62"/>
      <c r="AQ85" s="62"/>
      <c r="AR85" s="62"/>
      <c r="AS85" s="62"/>
      <c r="AT85" s="62"/>
      <c r="AU85" s="62"/>
      <c r="AV85" s="62"/>
      <c r="AW85" s="62"/>
      <c r="AX85" s="62"/>
      <c r="AY85" s="62"/>
      <c r="AZ85" s="16"/>
      <c r="BA85" s="16"/>
      <c r="BB85" s="16"/>
      <c r="BC85" s="16"/>
    </row>
    <row r="86" ht="15.35" customHeight="1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5.3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</row>
    <row r="88" ht="15.35" customHeight="1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15.35" customHeight="1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15.35" customHeight="1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</row>
    <row r="91" ht="15.35" customHeight="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5.3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15.3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</row>
    <row r="94" ht="15.3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</row>
    <row r="95" ht="15.3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</row>
    <row r="96" ht="15.3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</row>
    <row r="97" ht="15.3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</row>
    <row r="98" ht="15.3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</row>
    <row r="99" ht="15.3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</row>
    <row r="100" ht="15.3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</row>
    <row r="101" ht="15.3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</row>
    <row r="102" ht="15.35" customHeight="1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</row>
    <row r="103" ht="15.35" customHeight="1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</row>
    <row r="104" ht="15.3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</row>
    <row r="105" ht="15.3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</row>
    <row r="106" ht="15.3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</row>
    <row r="107" ht="15.3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</row>
    <row r="108" ht="15.3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4.xml><?xml version="1.0" encoding="utf-8"?>
<worksheet xmlns:r="http://schemas.openxmlformats.org/officeDocument/2006/relationships" xmlns="http://schemas.openxmlformats.org/spreadsheetml/2006/main">
  <dimension ref="A1:BC41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294" customWidth="1"/>
    <col min="4" max="4" width="17.8516" style="294" customWidth="1"/>
    <col min="5" max="5" width="10.8516" style="294" customWidth="1"/>
    <col min="6" max="6" width="9.85156" style="294" customWidth="1"/>
    <col min="7" max="10" width="10.8516" style="294" customWidth="1"/>
    <col min="11" max="11" width="7.35156" style="294" customWidth="1"/>
    <col min="12" max="12" width="7.85156" style="294" customWidth="1"/>
    <col min="13" max="13" width="10" style="294" customWidth="1"/>
    <col min="14" max="14" width="8.67188" style="294" customWidth="1"/>
    <col min="15" max="15" width="18.5" style="294" customWidth="1"/>
    <col min="16" max="16" width="11.5" style="294" customWidth="1"/>
    <col min="17" max="17" width="11.6719" style="294" customWidth="1"/>
    <col min="18" max="18" width="12.3516" style="294" customWidth="1"/>
    <col min="19" max="19" width="10.8516" style="294" customWidth="1"/>
    <col min="20" max="20" width="15.1719" style="294" customWidth="1"/>
    <col min="21" max="23" width="10.8516" style="294" customWidth="1"/>
    <col min="24" max="24" width="31" style="294" customWidth="1"/>
    <col min="25" max="25" width="19.8516" style="294" customWidth="1"/>
    <col min="26" max="26" width="12.1719" style="294" customWidth="1"/>
    <col min="27" max="30" width="16.5" style="294" customWidth="1"/>
    <col min="31" max="31" width="14.6719" style="294" customWidth="1"/>
    <col min="32" max="32" width="10.8516" style="294" customWidth="1"/>
    <col min="33" max="33" width="40.6719" style="294" customWidth="1"/>
    <col min="34" max="34" width="11.1719" style="294" customWidth="1"/>
    <col min="35" max="35" width="7.85156" style="294" customWidth="1"/>
    <col min="36" max="37" width="10.8516" style="294" customWidth="1"/>
    <col min="38" max="38" width="7.35156" style="294" customWidth="1"/>
    <col min="39" max="39" width="10.8516" style="294" customWidth="1"/>
    <col min="40" max="40" width="9.17188" style="294" customWidth="1"/>
    <col min="41" max="41" width="10.8516" style="294" customWidth="1"/>
    <col min="42" max="42" width="12.5" style="294" customWidth="1"/>
    <col min="43" max="43" width="13" style="294" customWidth="1"/>
    <col min="44" max="55" width="10.8516" style="294" customWidth="1"/>
    <col min="56" max="16384" width="10.8516" style="294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1229</v>
      </c>
      <c r="B3" s="111">
        <v>1921</v>
      </c>
      <c r="C3" s="112">
        <v>1</v>
      </c>
      <c r="D3" t="s" s="83">
        <v>1230</v>
      </c>
      <c r="E3" s="30"/>
      <c r="F3" s="121"/>
      <c r="G3" t="s" s="119">
        <v>1231</v>
      </c>
      <c r="H3" t="s" s="119">
        <v>533</v>
      </c>
      <c r="I3" s="113">
        <v>1</v>
      </c>
      <c r="J3" t="s" s="295">
        <v>37</v>
      </c>
      <c r="K3" s="97">
        <v>1</v>
      </c>
      <c r="L3" s="62"/>
      <c r="M3" s="117"/>
      <c r="N3" t="s" s="119">
        <v>36</v>
      </c>
      <c r="O3" s="116"/>
      <c r="P3" s="62"/>
      <c r="Q3" s="97">
        <v>1</v>
      </c>
      <c r="R3" s="62"/>
      <c r="S3" s="62"/>
      <c r="T3" s="226">
        <v>34</v>
      </c>
      <c r="U3" s="74"/>
      <c r="V3" s="16"/>
      <c r="W3" s="62"/>
      <c r="X3" s="296">
        <v>1886</v>
      </c>
      <c r="Y3" s="29"/>
      <c r="Z3" s="29"/>
      <c r="AA3" t="s" s="119">
        <v>1232</v>
      </c>
      <c r="AB3" t="s" s="119">
        <v>603</v>
      </c>
      <c r="AC3" s="29"/>
      <c r="AD3" s="29"/>
      <c r="AE3" s="30"/>
      <c r="AF3" s="30"/>
      <c r="AG3" t="s" s="119">
        <v>1233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1229</v>
      </c>
      <c r="B4" s="112">
        <v>1921</v>
      </c>
      <c r="C4" s="112">
        <v>1</v>
      </c>
      <c r="D4" t="s" s="83">
        <v>1230</v>
      </c>
      <c r="E4" s="30"/>
      <c r="F4" s="30"/>
      <c r="G4" t="s" s="83">
        <v>1234</v>
      </c>
      <c r="H4" t="s" s="83">
        <v>1235</v>
      </c>
      <c r="I4" s="120">
        <v>2</v>
      </c>
      <c r="J4" s="112">
        <v>1</v>
      </c>
      <c r="K4" s="74"/>
      <c r="L4" s="16"/>
      <c r="M4" s="75"/>
      <c r="N4" t="s" s="83">
        <v>163</v>
      </c>
      <c r="O4" s="74"/>
      <c r="P4" s="16"/>
      <c r="Q4" s="16"/>
      <c r="R4" s="16"/>
      <c r="S4" s="123">
        <v>1</v>
      </c>
      <c r="T4" s="112">
        <v>61</v>
      </c>
      <c r="U4" s="74"/>
      <c r="V4" s="16"/>
      <c r="W4" s="75"/>
      <c r="X4" s="111">
        <v>1860</v>
      </c>
      <c r="Y4" s="30"/>
      <c r="Z4" s="30"/>
      <c r="AA4" t="s" s="119">
        <v>163</v>
      </c>
      <c r="AB4" t="s" s="119">
        <v>15</v>
      </c>
      <c r="AC4" s="30"/>
      <c r="AD4" s="30"/>
      <c r="AE4" s="30"/>
      <c r="AF4" s="112">
        <v>1</v>
      </c>
      <c r="AG4" t="s" s="119">
        <v>54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1229</v>
      </c>
      <c r="B5" s="112">
        <v>1921</v>
      </c>
      <c r="C5" s="30"/>
      <c r="D5" t="s" s="83">
        <v>1230</v>
      </c>
      <c r="E5" s="30"/>
      <c r="F5" s="30"/>
      <c r="G5" s="30"/>
      <c r="H5" s="112">
        <v>2</v>
      </c>
      <c r="I5" s="122"/>
      <c r="J5" s="30"/>
      <c r="K5" s="74"/>
      <c r="L5" s="16"/>
      <c r="M5" s="75"/>
      <c r="N5" s="30"/>
      <c r="O5" s="74"/>
      <c r="P5" s="16"/>
      <c r="Q5" s="16"/>
      <c r="R5" s="16"/>
      <c r="S5" s="75"/>
      <c r="T5" s="30"/>
      <c r="U5" s="74"/>
      <c r="V5" s="16"/>
      <c r="W5" s="75"/>
      <c r="X5" s="30"/>
      <c r="Y5" s="30"/>
      <c r="Z5" s="30"/>
      <c r="AA5" s="121"/>
      <c r="AB5" s="121"/>
      <c r="AC5" s="30"/>
      <c r="AD5" s="30"/>
      <c r="AE5" s="30"/>
      <c r="AF5" s="30"/>
      <c r="AG5" s="121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1229</v>
      </c>
      <c r="B6" s="112">
        <v>1921</v>
      </c>
      <c r="C6" s="30"/>
      <c r="D6" t="s" s="83">
        <v>1230</v>
      </c>
      <c r="E6" s="30"/>
      <c r="F6" s="30"/>
      <c r="G6" t="s" s="83">
        <v>1</v>
      </c>
      <c r="H6" t="s" s="83">
        <v>0</v>
      </c>
      <c r="I6" s="122"/>
      <c r="J6" t="s" s="83">
        <v>3</v>
      </c>
      <c r="K6" s="74"/>
      <c r="L6" s="16"/>
      <c r="M6" s="75"/>
      <c r="N6" t="s" s="83">
        <v>2</v>
      </c>
      <c r="O6" s="74"/>
      <c r="P6" s="16"/>
      <c r="Q6" s="16"/>
      <c r="R6" s="16"/>
      <c r="S6" s="75"/>
      <c r="T6" t="s" s="83">
        <v>5</v>
      </c>
      <c r="U6" s="74"/>
      <c r="V6" s="16"/>
      <c r="W6" s="75"/>
      <c r="X6" t="s" s="83">
        <v>4</v>
      </c>
      <c r="Y6" s="30"/>
      <c r="Z6" s="30"/>
      <c r="AA6" t="s" s="119">
        <v>7</v>
      </c>
      <c r="AB6" t="s" s="119">
        <v>8</v>
      </c>
      <c r="AC6" s="30"/>
      <c r="AD6" s="30"/>
      <c r="AE6" s="30"/>
      <c r="AF6" s="30"/>
      <c r="AG6" t="s" s="119">
        <v>6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1229</v>
      </c>
      <c r="B7" s="112">
        <v>1921</v>
      </c>
      <c r="C7" s="112">
        <v>2</v>
      </c>
      <c r="D7" t="s" s="83">
        <v>1230</v>
      </c>
      <c r="E7" s="30"/>
      <c r="F7" s="112">
        <v>1</v>
      </c>
      <c r="G7" t="s" s="83">
        <v>1236</v>
      </c>
      <c r="H7" t="s" s="83">
        <v>1237</v>
      </c>
      <c r="I7" s="120">
        <v>3</v>
      </c>
      <c r="J7" s="112">
        <v>1</v>
      </c>
      <c r="K7" s="74"/>
      <c r="L7" s="16"/>
      <c r="M7" s="75"/>
      <c r="N7" s="112">
        <v>1</v>
      </c>
      <c r="O7" s="74"/>
      <c r="P7" s="16"/>
      <c r="Q7" s="16"/>
      <c r="R7" s="16"/>
      <c r="S7" s="75"/>
      <c r="T7" s="112">
        <v>48</v>
      </c>
      <c r="U7" s="74"/>
      <c r="V7" s="16"/>
      <c r="W7" s="75"/>
      <c r="X7" s="112">
        <v>1872</v>
      </c>
      <c r="Y7" s="30"/>
      <c r="Z7" s="30"/>
      <c r="AA7" t="s" s="119">
        <v>1158</v>
      </c>
      <c r="AB7" t="s" s="119">
        <v>34</v>
      </c>
      <c r="AC7" s="30"/>
      <c r="AD7" s="30"/>
      <c r="AE7" s="30"/>
      <c r="AF7" s="112">
        <v>1</v>
      </c>
      <c r="AG7" t="s" s="119">
        <v>13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1229</v>
      </c>
      <c r="B8" s="112">
        <v>1921</v>
      </c>
      <c r="C8" s="112">
        <v>2</v>
      </c>
      <c r="D8" t="s" s="83">
        <v>1230</v>
      </c>
      <c r="E8" s="30"/>
      <c r="F8" s="112">
        <v>1</v>
      </c>
      <c r="G8" t="s" s="83">
        <v>1236</v>
      </c>
      <c r="H8" t="s" s="83">
        <v>1238</v>
      </c>
      <c r="I8" s="120">
        <v>4</v>
      </c>
      <c r="J8" s="112">
        <v>1</v>
      </c>
      <c r="K8" s="74"/>
      <c r="L8" s="16"/>
      <c r="M8" s="75"/>
      <c r="N8" t="s" s="83">
        <v>78</v>
      </c>
      <c r="O8" s="74"/>
      <c r="P8" s="79">
        <v>1</v>
      </c>
      <c r="Q8" s="16"/>
      <c r="R8" s="16"/>
      <c r="S8" s="75"/>
      <c r="T8" s="112">
        <v>23</v>
      </c>
      <c r="U8" s="74"/>
      <c r="V8" s="16"/>
      <c r="W8" s="75"/>
      <c r="X8" s="112">
        <v>1898</v>
      </c>
      <c r="Y8" s="30"/>
      <c r="Z8" s="30"/>
      <c r="AA8" t="s" s="119">
        <v>34</v>
      </c>
      <c r="AB8" t="s" s="119">
        <v>34</v>
      </c>
      <c r="AC8" s="30"/>
      <c r="AD8" s="30"/>
      <c r="AE8" s="30"/>
      <c r="AF8" s="112">
        <v>1</v>
      </c>
      <c r="AG8" t="s" s="119">
        <v>13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1229</v>
      </c>
      <c r="B9" s="112">
        <v>1921</v>
      </c>
      <c r="C9" s="112">
        <v>2</v>
      </c>
      <c r="D9" t="s" s="83">
        <v>1230</v>
      </c>
      <c r="E9" s="30"/>
      <c r="F9" s="112">
        <v>1</v>
      </c>
      <c r="G9" t="s" s="83">
        <v>1236</v>
      </c>
      <c r="H9" t="s" s="83">
        <v>1239</v>
      </c>
      <c r="I9" s="120">
        <v>5</v>
      </c>
      <c r="J9" s="112">
        <v>1</v>
      </c>
      <c r="K9" s="74"/>
      <c r="L9" s="16"/>
      <c r="M9" s="75"/>
      <c r="N9" t="s" s="83">
        <v>78</v>
      </c>
      <c r="O9" s="74"/>
      <c r="P9" s="79">
        <v>1</v>
      </c>
      <c r="Q9" s="16"/>
      <c r="R9" s="16"/>
      <c r="S9" s="75"/>
      <c r="T9" s="112">
        <v>20</v>
      </c>
      <c r="U9" s="74"/>
      <c r="V9" s="16"/>
      <c r="W9" s="75"/>
      <c r="X9" s="112">
        <v>1900</v>
      </c>
      <c r="Y9" s="30"/>
      <c r="Z9" s="30"/>
      <c r="AA9" t="s" s="119">
        <v>1240</v>
      </c>
      <c r="AB9" t="s" s="119">
        <v>1241</v>
      </c>
      <c r="AC9" s="30"/>
      <c r="AD9" s="30"/>
      <c r="AE9" s="30"/>
      <c r="AF9" s="112">
        <v>1</v>
      </c>
      <c r="AG9" t="s" s="119">
        <v>13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1229</v>
      </c>
      <c r="B10" s="112">
        <v>1921</v>
      </c>
      <c r="C10" s="112">
        <v>2</v>
      </c>
      <c r="D10" t="s" s="83">
        <v>1230</v>
      </c>
      <c r="E10" s="30"/>
      <c r="F10" s="112">
        <v>1</v>
      </c>
      <c r="G10" t="s" s="83">
        <v>1242</v>
      </c>
      <c r="H10" t="s" s="83">
        <v>123</v>
      </c>
      <c r="I10" s="120">
        <v>6</v>
      </c>
      <c r="J10" s="112">
        <v>1</v>
      </c>
      <c r="K10" s="74"/>
      <c r="L10" s="16"/>
      <c r="M10" s="75"/>
      <c r="N10" t="s" s="83">
        <v>11</v>
      </c>
      <c r="O10" s="74"/>
      <c r="P10" s="16"/>
      <c r="Q10" s="16"/>
      <c r="R10" s="16"/>
      <c r="S10" s="123">
        <v>1</v>
      </c>
      <c r="T10" s="112">
        <v>40</v>
      </c>
      <c r="U10" s="74"/>
      <c r="V10" s="16"/>
      <c r="W10" s="75"/>
      <c r="X10" s="112">
        <v>1880</v>
      </c>
      <c r="Y10" s="30"/>
      <c r="Z10" s="30"/>
      <c r="AA10" t="s" s="119">
        <v>45</v>
      </c>
      <c r="AB10" t="s" s="119">
        <v>1243</v>
      </c>
      <c r="AC10" s="30"/>
      <c r="AD10" s="30"/>
      <c r="AE10" s="30"/>
      <c r="AF10" s="30"/>
      <c r="AG10" t="s" s="119">
        <v>1244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83">
        <v>1229</v>
      </c>
      <c r="B11" s="112">
        <v>1921</v>
      </c>
      <c r="C11" s="30"/>
      <c r="D11" t="s" s="83">
        <v>1230</v>
      </c>
      <c r="E11" s="30"/>
      <c r="F11" s="30"/>
      <c r="G11" s="30"/>
      <c r="H11" s="112">
        <v>4</v>
      </c>
      <c r="I11" s="122"/>
      <c r="J11" s="30"/>
      <c r="K11" s="74"/>
      <c r="L11" s="16"/>
      <c r="M11" s="75"/>
      <c r="N11" s="30"/>
      <c r="O11" s="74"/>
      <c r="P11" s="16"/>
      <c r="Q11" s="16"/>
      <c r="R11" s="16"/>
      <c r="S11" s="75"/>
      <c r="T11" s="30"/>
      <c r="U11" s="74"/>
      <c r="V11" s="16"/>
      <c r="W11" s="75"/>
      <c r="X11" s="30"/>
      <c r="Y11" s="30"/>
      <c r="Z11" s="30"/>
      <c r="AA11" s="121"/>
      <c r="AB11" s="121"/>
      <c r="AC11" s="30"/>
      <c r="AD11" s="30"/>
      <c r="AE11" s="30"/>
      <c r="AF11" s="30"/>
      <c r="AG11" s="121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" customHeight="1">
      <c r="A12" t="s" s="83">
        <v>1229</v>
      </c>
      <c r="B12" s="112">
        <v>1921</v>
      </c>
      <c r="C12" s="30"/>
      <c r="D12" t="s" s="83">
        <v>1230</v>
      </c>
      <c r="E12" s="30"/>
      <c r="F12" s="30"/>
      <c r="G12" t="s" s="83">
        <v>1</v>
      </c>
      <c r="H12" t="s" s="83">
        <v>0</v>
      </c>
      <c r="I12" s="122"/>
      <c r="J12" t="s" s="83">
        <v>3</v>
      </c>
      <c r="K12" s="74"/>
      <c r="L12" s="16"/>
      <c r="M12" s="75"/>
      <c r="N12" t="s" s="83">
        <v>2</v>
      </c>
      <c r="O12" s="74"/>
      <c r="P12" s="16"/>
      <c r="Q12" s="16"/>
      <c r="R12" s="16"/>
      <c r="S12" s="75"/>
      <c r="T12" t="s" s="83">
        <v>5</v>
      </c>
      <c r="U12" s="74"/>
      <c r="V12" s="16"/>
      <c r="W12" s="75"/>
      <c r="X12" t="s" s="83">
        <v>4</v>
      </c>
      <c r="Y12" s="112" cm="1">
        <f t="array" ref="Y12">SUM(Y3:Y11)</f>
        <v>0</v>
      </c>
      <c r="Z12" s="112" cm="1">
        <f t="array" ref="Z12">SUM(Z3:Z11)</f>
        <v>0</v>
      </c>
      <c r="AA12" t="s" s="83">
        <v>7</v>
      </c>
      <c r="AB12" t="s" s="83">
        <v>8</v>
      </c>
      <c r="AC12" s="112" cm="1">
        <f t="array" ref="AC12">SUM(AC3:AC11)</f>
        <v>0</v>
      </c>
      <c r="AD12" s="112" cm="1">
        <f t="array" ref="AD12">SUM(AD3:AD11)</f>
        <v>0</v>
      </c>
      <c r="AE12" s="30"/>
      <c r="AF12" s="30"/>
      <c r="AG12" t="s" s="83">
        <v>6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1229</v>
      </c>
      <c r="B13" s="112">
        <v>1921</v>
      </c>
      <c r="C13" s="112">
        <v>3</v>
      </c>
      <c r="D13" t="s" s="83">
        <v>1230</v>
      </c>
      <c r="E13" s="30"/>
      <c r="F13" s="112">
        <v>3</v>
      </c>
      <c r="G13" t="s" s="83">
        <v>1245</v>
      </c>
      <c r="H13" t="s" s="83">
        <v>1246</v>
      </c>
      <c r="I13" s="120">
        <v>7</v>
      </c>
      <c r="J13" t="s" s="83">
        <v>37</v>
      </c>
      <c r="K13" s="156">
        <v>1</v>
      </c>
      <c r="L13" s="16"/>
      <c r="M13" s="75"/>
      <c r="N13" s="112">
        <v>1</v>
      </c>
      <c r="O13" s="74"/>
      <c r="P13" s="16"/>
      <c r="Q13" s="16"/>
      <c r="R13" s="16"/>
      <c r="S13" s="75"/>
      <c r="T13" s="112">
        <v>60</v>
      </c>
      <c r="U13" s="74"/>
      <c r="V13" s="16"/>
      <c r="W13" s="75"/>
      <c r="X13" s="112">
        <v>1861</v>
      </c>
      <c r="Y13" s="30"/>
      <c r="Z13" s="30"/>
      <c r="AA13" t="s" s="119">
        <v>92</v>
      </c>
      <c r="AB13" t="s" s="119">
        <v>603</v>
      </c>
      <c r="AC13" s="30"/>
      <c r="AD13" s="30"/>
      <c r="AE13" s="30"/>
      <c r="AF13" s="112">
        <v>1</v>
      </c>
      <c r="AG13" t="s" s="119">
        <v>54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1229</v>
      </c>
      <c r="B14" s="112">
        <v>1921</v>
      </c>
      <c r="C14" s="112">
        <v>3</v>
      </c>
      <c r="D14" t="s" s="83">
        <v>1230</v>
      </c>
      <c r="E14" s="30"/>
      <c r="F14" s="112">
        <v>3</v>
      </c>
      <c r="G14" t="s" s="83">
        <v>1245</v>
      </c>
      <c r="H14" t="s" s="83">
        <v>1247</v>
      </c>
      <c r="I14" s="120">
        <v>8</v>
      </c>
      <c r="J14" s="112">
        <v>1</v>
      </c>
      <c r="K14" s="74"/>
      <c r="L14" s="16"/>
      <c r="M14" s="75"/>
      <c r="N14" t="s" s="83">
        <v>78</v>
      </c>
      <c r="O14" s="74"/>
      <c r="P14" s="79">
        <v>1</v>
      </c>
      <c r="Q14" s="16"/>
      <c r="R14" s="16"/>
      <c r="S14" s="75"/>
      <c r="T14" s="112">
        <v>34</v>
      </c>
      <c r="U14" s="74"/>
      <c r="V14" s="16"/>
      <c r="W14" s="75"/>
      <c r="X14" s="112">
        <v>1886</v>
      </c>
      <c r="Y14" s="30"/>
      <c r="Z14" s="30"/>
      <c r="AA14" t="s" s="119">
        <v>33</v>
      </c>
      <c r="AB14" t="s" s="119">
        <v>34</v>
      </c>
      <c r="AC14" s="30"/>
      <c r="AD14" s="30"/>
      <c r="AE14" s="30"/>
      <c r="AF14" s="112">
        <v>1</v>
      </c>
      <c r="AG14" t="s" s="119">
        <v>507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1229</v>
      </c>
      <c r="B15" s="112">
        <v>1921</v>
      </c>
      <c r="C15" s="112">
        <v>3</v>
      </c>
      <c r="D15" t="s" s="83">
        <v>1230</v>
      </c>
      <c r="E15" s="124"/>
      <c r="F15" s="112">
        <v>3</v>
      </c>
      <c r="G15" t="s" s="83">
        <v>1245</v>
      </c>
      <c r="H15" t="s" s="83">
        <v>1248</v>
      </c>
      <c r="I15" s="111">
        <v>9</v>
      </c>
      <c r="J15" s="112">
        <v>1</v>
      </c>
      <c r="K15" s="74"/>
      <c r="L15" s="132"/>
      <c r="M15" s="133"/>
      <c r="N15" t="s" s="83">
        <v>78</v>
      </c>
      <c r="O15" s="131"/>
      <c r="P15" s="126">
        <v>1</v>
      </c>
      <c r="Q15" s="16"/>
      <c r="R15" s="16"/>
      <c r="S15" s="75"/>
      <c r="T15" s="112">
        <v>32</v>
      </c>
      <c r="U15" s="131"/>
      <c r="V15" s="132"/>
      <c r="W15" s="133"/>
      <c r="X15" s="112">
        <v>1888</v>
      </c>
      <c r="Y15" s="28"/>
      <c r="Z15" s="28"/>
      <c r="AA15" t="s" s="119">
        <v>1249</v>
      </c>
      <c r="AB15" t="s" s="119">
        <v>1250</v>
      </c>
      <c r="AC15" s="28"/>
      <c r="AD15" s="28"/>
      <c r="AE15" s="30"/>
      <c r="AF15" s="112">
        <v>1</v>
      </c>
      <c r="AG15" t="s" s="119">
        <v>507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83">
        <v>1229</v>
      </c>
      <c r="B16" s="112">
        <v>1921</v>
      </c>
      <c r="C16" s="112">
        <v>3</v>
      </c>
      <c r="D16" t="s" s="83">
        <v>1230</v>
      </c>
      <c r="E16" s="124"/>
      <c r="F16" s="30"/>
      <c r="G16" s="30"/>
      <c r="H16" s="112">
        <v>3</v>
      </c>
      <c r="I16" s="30"/>
      <c r="J16" s="179"/>
      <c r="K16" s="132"/>
      <c r="L16" s="146"/>
      <c r="M16" s="121"/>
      <c r="N16" s="121"/>
      <c r="O16" s="121"/>
      <c r="P16" s="163"/>
      <c r="Q16" s="297"/>
      <c r="R16" s="297"/>
      <c r="S16" s="132"/>
      <c r="T16" s="165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1229</v>
      </c>
      <c r="B17" s="112">
        <v>1921</v>
      </c>
      <c r="C17" s="112">
        <v>3</v>
      </c>
      <c r="D17" t="s" s="83">
        <v>1230</v>
      </c>
      <c r="E17" s="124"/>
      <c r="F17" s="30"/>
      <c r="G17" s="30"/>
      <c r="H17" s="30"/>
      <c r="I17" s="112">
        <v>9</v>
      </c>
      <c r="J17" s="112" cm="1">
        <f t="array" ref="J17">SUM(J3:J15)</f>
        <v>7</v>
      </c>
      <c r="K17" s="112" cm="1">
        <f t="array" ref="K17">SUM(K3:K15)</f>
        <v>2</v>
      </c>
      <c r="L17" s="112" cm="1">
        <f t="array" ref="L17">SUM(L3:L15)</f>
        <v>0</v>
      </c>
      <c r="M17" s="112" cm="1">
        <f t="array" ref="M17">SUM(M3:M15)</f>
        <v>0</v>
      </c>
      <c r="N17" s="112" cm="1">
        <f t="array" ref="N17">SUM(N3:N15)</f>
        <v>2</v>
      </c>
      <c r="O17" s="112" cm="1">
        <f t="array" ref="O17">SUM(O3:O15)</f>
        <v>0</v>
      </c>
      <c r="P17" s="112" cm="1">
        <f t="array" ref="P17">SUM(P3:P15)</f>
        <v>4</v>
      </c>
      <c r="Q17" s="112" cm="1">
        <f t="array" ref="Q17">SUM(Q3:Q15)</f>
        <v>1</v>
      </c>
      <c r="R17" s="112" cm="1">
        <f t="array" ref="R17">SUM(R3:R15)</f>
        <v>0</v>
      </c>
      <c r="S17" s="112" cm="1">
        <f t="array" ref="S17">SUM(S3:S15)</f>
        <v>2</v>
      </c>
      <c r="T17" s="112" cm="1">
        <f t="array" ref="T17">SUM(T3:T15)</f>
        <v>352</v>
      </c>
      <c r="U17" s="112" cm="1">
        <f t="array" ref="U17">SUM(AG3:AG15)</f>
        <v>0</v>
      </c>
      <c r="V17" s="112" cm="1">
        <f t="array" ref="V17">SUM(AA3:AA15)</f>
        <v>0</v>
      </c>
      <c r="W17" s="112" cm="1">
        <f t="array" ref="W17">SUM(AB3:AB15)</f>
        <v>0</v>
      </c>
      <c r="X17" s="30"/>
      <c r="Y17" s="112" cm="1">
        <f t="array" ref="Y17">SUM(Y3:Y15)</f>
        <v>0</v>
      </c>
      <c r="Z17" s="112" cm="1">
        <f t="array" ref="Z17">SUM(Z3:Z15)</f>
        <v>0</v>
      </c>
      <c r="AA17" s="30"/>
      <c r="AB17" s="30"/>
      <c r="AC17" s="112" cm="1">
        <f t="array" ref="AC17">SUM(AC3:AC15)</f>
        <v>0</v>
      </c>
      <c r="AD17" s="112" cm="1">
        <f t="array" ref="AD17">SUM(AD3:AD15)</f>
        <v>0</v>
      </c>
      <c r="AE17" s="112" cm="1">
        <f t="array" ref="AE17">SUM(AE3:AE15)</f>
        <v>0</v>
      </c>
      <c r="AF17" s="112" cm="1">
        <f t="array" ref="AF17">SUM(AF3:AF15)</f>
        <v>7</v>
      </c>
      <c r="AG17" s="112" cm="1">
        <f t="array" ref="AG17">I17-AF17</f>
        <v>2</v>
      </c>
      <c r="AH17" s="112" cm="1">
        <f t="array" ref="AH17">AG17+AF17</f>
        <v>9</v>
      </c>
      <c r="AI17" s="112" cm="1">
        <f t="array" ref="AI17">SUM(AI3:AI15)</f>
        <v>0</v>
      </c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s="124"/>
      <c r="B18" s="124"/>
      <c r="C18" s="30"/>
      <c r="D18" s="28"/>
      <c r="E18" s="124"/>
      <c r="F18" s="30"/>
      <c r="G18" s="30"/>
      <c r="H18" s="30"/>
      <c r="I18" s="30"/>
      <c r="J18" s="179"/>
      <c r="K18" s="62"/>
      <c r="L18" s="146"/>
      <c r="M18" s="121"/>
      <c r="N18" s="121"/>
      <c r="O18" s="121"/>
      <c r="P18" s="163"/>
      <c r="Q18" s="298"/>
      <c r="R18" s="298"/>
      <c r="S18" s="298"/>
      <c r="T18" s="299" cm="1">
        <f t="array" ref="T18">T17/I17</f>
        <v>39.1111111111111</v>
      </c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28" customHeight="1">
      <c r="A19" s="300"/>
      <c r="B19" s="300"/>
      <c r="C19" s="112">
        <v>1</v>
      </c>
      <c r="D19" s="121"/>
      <c r="E19" s="300"/>
      <c r="F19" s="121"/>
      <c r="G19" s="121"/>
      <c r="H19" s="121"/>
      <c r="I19" s="121"/>
      <c r="J19" s="301"/>
      <c r="K19" s="302"/>
      <c r="L19" s="303"/>
      <c r="M19" s="121"/>
      <c r="N19" s="121"/>
      <c r="O19" s="121"/>
      <c r="P19" s="301"/>
      <c r="Q19" s="302"/>
      <c r="R19" s="302"/>
      <c r="S19" s="302"/>
      <c r="T19" s="304"/>
      <c r="U19" s="121"/>
      <c r="V19" s="121"/>
      <c r="W19" s="121"/>
      <c r="X19" s="121"/>
      <c r="Y19" s="121"/>
      <c r="Z19" s="121"/>
      <c r="AA19" s="121"/>
      <c r="AB19" s="121"/>
      <c r="AC19" s="121"/>
      <c r="AD19" s="30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s="146"/>
      <c r="B20" s="30"/>
      <c r="C20" s="30"/>
      <c r="D20" s="30"/>
      <c r="E20" s="30"/>
      <c r="F20" s="30"/>
      <c r="G20" s="30"/>
      <c r="H20" s="30"/>
      <c r="I20" s="30"/>
      <c r="J20" s="30"/>
      <c r="K20" s="141"/>
      <c r="L20" s="30"/>
      <c r="M20" s="121"/>
      <c r="N20" s="121"/>
      <c r="O20" s="121"/>
      <c r="P20" s="121"/>
      <c r="Q20" s="147"/>
      <c r="R20" s="147"/>
      <c r="S20" s="147"/>
      <c r="T20" s="121"/>
      <c r="U20" s="121"/>
      <c r="V20" s="121"/>
      <c r="W20" s="121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121"/>
      <c r="N21" s="121"/>
      <c r="O21" s="121"/>
      <c r="P21" s="121"/>
      <c r="Q21" s="30"/>
      <c r="R21" s="121"/>
      <c r="S21" s="121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121"/>
      <c r="N22" s="121"/>
      <c r="O22" s="121"/>
      <c r="P22" s="121"/>
      <c r="Q22" s="121"/>
      <c r="R22" s="121"/>
      <c r="S22" s="121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s="30"/>
      <c r="B23" s="30"/>
      <c r="C23" s="30"/>
      <c r="D23" s="30"/>
      <c r="E23" s="30"/>
      <c r="F23" s="112">
        <v>1</v>
      </c>
      <c r="G23" s="30"/>
      <c r="H23" s="30"/>
      <c r="I23" s="30"/>
      <c r="J23" s="30"/>
      <c r="K23" s="30"/>
      <c r="L23" s="30"/>
      <c r="M23" s="121"/>
      <c r="N23" s="121"/>
      <c r="O23" s="121"/>
      <c r="P23" s="121"/>
      <c r="Q23" s="121"/>
      <c r="R23" s="121"/>
      <c r="S23" s="121"/>
      <c r="T23" s="30"/>
      <c r="U23" s="121"/>
      <c r="V23" s="121"/>
      <c r="W23" s="121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21"/>
      <c r="N24" s="121"/>
      <c r="O24" s="121"/>
      <c r="P24" s="121"/>
      <c r="Q24" s="30"/>
      <c r="R24" s="121"/>
      <c r="S24" s="121"/>
      <c r="T24" s="30"/>
      <c r="U24" s="121"/>
      <c r="V24" s="121"/>
      <c r="W24" s="121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121"/>
      <c r="N25" s="121"/>
      <c r="O25" s="121"/>
      <c r="P25" s="121"/>
      <c r="Q25" s="30"/>
      <c r="R25" s="121"/>
      <c r="S25" s="121"/>
      <c r="T25" s="30"/>
      <c r="U25" s="121"/>
      <c r="V25" s="121"/>
      <c r="W25" s="121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121"/>
      <c r="N26" s="121"/>
      <c r="O26" s="121"/>
      <c r="P26" s="121"/>
      <c r="Q26" s="30"/>
      <c r="R26" s="121"/>
      <c r="S26" s="121"/>
      <c r="T26" s="30"/>
      <c r="U26" s="121"/>
      <c r="V26" s="121"/>
      <c r="W26" s="121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121"/>
      <c r="N27" s="121"/>
      <c r="O27" s="121"/>
      <c r="P27" s="121"/>
      <c r="Q27" s="30"/>
      <c r="R27" s="121"/>
      <c r="S27" s="121"/>
      <c r="T27" s="30"/>
      <c r="U27" s="121"/>
      <c r="V27" s="121"/>
      <c r="W27" s="121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112">
        <v>3</v>
      </c>
      <c r="G29" s="30"/>
      <c r="H29" s="30"/>
      <c r="I29" s="30"/>
      <c r="J29" s="30"/>
      <c r="K29" s="30"/>
      <c r="L29" s="30"/>
      <c r="M29" s="121"/>
      <c r="N29" s="121"/>
      <c r="O29" s="121"/>
      <c r="P29" s="121"/>
      <c r="Q29" s="30"/>
      <c r="R29" s="121"/>
      <c r="S29" s="121"/>
      <c r="T29" s="129"/>
      <c r="U29" s="121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121"/>
      <c r="N30" s="121"/>
      <c r="O30" s="121"/>
      <c r="P30" s="121"/>
      <c r="Q30" s="30"/>
      <c r="R30" s="121"/>
      <c r="S30" s="121"/>
      <c r="T30" s="30"/>
      <c r="U30" s="121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30"/>
      <c r="R31" s="121"/>
      <c r="S31" s="121"/>
      <c r="T31" s="30"/>
      <c r="U31" s="121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30"/>
      <c r="R32" s="121"/>
      <c r="S32" s="121"/>
      <c r="T32" s="129"/>
      <c r="U32" s="121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.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121"/>
      <c r="N33" s="121"/>
      <c r="O33" s="121"/>
      <c r="P33" s="121"/>
      <c r="Q33" s="30"/>
      <c r="R33" s="121"/>
      <c r="S33" s="121"/>
      <c r="T33" s="30"/>
      <c r="U33" s="121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.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121"/>
      <c r="N34" s="121"/>
      <c r="O34" s="121"/>
      <c r="P34" s="121"/>
      <c r="Q34" s="30"/>
      <c r="R34" s="121"/>
      <c r="S34" s="121"/>
      <c r="T34" s="30"/>
      <c r="U34" s="121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121"/>
      <c r="N35" s="121"/>
      <c r="O35" s="121"/>
      <c r="P35" s="121"/>
      <c r="Q35" s="30"/>
      <c r="R35" s="121"/>
      <c r="S35" s="121"/>
      <c r="T35" s="30"/>
      <c r="U35" s="121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" customHeight="1">
      <c r="A36" t="s" s="83">
        <v>723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112" cm="1">
        <f t="array" ref="U36">SUM(U3:U35)</f>
        <v>0</v>
      </c>
      <c r="V36" s="112" cm="1">
        <f t="array" ref="V36">SUM(V3:V35)</f>
        <v>0</v>
      </c>
      <c r="W36" s="112" cm="1">
        <f t="array" ref="W36">SUM(W3:W35)</f>
        <v>0</v>
      </c>
      <c r="X36" s="30"/>
      <c r="Y36" s="30"/>
      <c r="Z36" s="112" cm="1">
        <f t="array" ref="Z36">SUM(Z3:Z35)</f>
        <v>0</v>
      </c>
      <c r="AA36" s="112" cm="1">
        <f t="array" ref="AA36">SUM(AA3:AA35)</f>
        <v>0</v>
      </c>
      <c r="AB36" s="112" cm="1">
        <f t="array" ref="AB36">SUM(AB3:AB35)</f>
        <v>0</v>
      </c>
      <c r="AC36" s="112" cm="1">
        <f t="array" ref="AC36">SUM(AC3:AC35)</f>
        <v>0</v>
      </c>
      <c r="AD36" s="112" cm="1">
        <f t="array" ref="AD36">SUM(AD3:AD35)</f>
        <v>0</v>
      </c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87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" customHeight="1">
      <c r="A38" s="30"/>
      <c r="B38" s="30"/>
      <c r="C38" s="30"/>
      <c r="D38" s="30"/>
      <c r="E38" s="30"/>
      <c r="F38" s="30"/>
      <c r="G38" s="130"/>
      <c r="H38" s="130"/>
      <c r="I38" s="130"/>
      <c r="J38" s="30"/>
      <c r="K38" s="30"/>
      <c r="L38" s="30"/>
      <c r="M38" s="30"/>
      <c r="N38" s="30"/>
      <c r="O38" s="30"/>
      <c r="P38" s="30"/>
      <c r="Q38" s="87"/>
      <c r="R38" s="130"/>
      <c r="S38" s="130"/>
      <c r="T38" s="1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121"/>
      <c r="S39" s="121"/>
      <c r="T39" s="129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130"/>
      <c r="S40" s="130"/>
      <c r="T40" s="130"/>
      <c r="U40" s="30"/>
      <c r="V40" s="30"/>
      <c r="W40" s="30"/>
      <c r="X40" s="30"/>
      <c r="Y40" s="30"/>
      <c r="Z40" s="30"/>
      <c r="AA40" s="30"/>
      <c r="AB40" s="30"/>
      <c r="AC40" s="134"/>
      <c r="AD40" s="134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121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5.xml><?xml version="1.0" encoding="utf-8"?>
<worksheet xmlns:r="http://schemas.openxmlformats.org/officeDocument/2006/relationships" xmlns="http://schemas.openxmlformats.org/spreadsheetml/2006/main">
  <dimension ref="A1:BC351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305" customWidth="1"/>
    <col min="4" max="4" width="17.8516" style="305" customWidth="1"/>
    <col min="5" max="5" width="11.3516" style="305" customWidth="1"/>
    <col min="6" max="6" width="10.1719" style="305" customWidth="1"/>
    <col min="7" max="7" width="10.8516" style="305" customWidth="1"/>
    <col min="8" max="8" width="19.1719" style="305" customWidth="1"/>
    <col min="9" max="10" width="10.8516" style="305" customWidth="1"/>
    <col min="11" max="11" width="5" style="305" customWidth="1"/>
    <col min="12" max="12" width="4.5" style="305" customWidth="1"/>
    <col min="13" max="13" width="5" style="305" customWidth="1"/>
    <col min="14" max="14" width="8.67188" style="305" customWidth="1"/>
    <col min="15" max="15" width="8.85156" style="305" customWidth="1"/>
    <col min="16" max="16" width="11.5" style="305" customWidth="1"/>
    <col min="17" max="17" width="11.6719" style="305" customWidth="1"/>
    <col min="18" max="18" width="12.3516" style="305" customWidth="1"/>
    <col min="19" max="19" width="10.8516" style="305" customWidth="1"/>
    <col min="20" max="20" width="10.3516" style="305" customWidth="1"/>
    <col min="21" max="23" width="10.8516" style="305" customWidth="1"/>
    <col min="24" max="24" width="11.3516" style="305" customWidth="1"/>
    <col min="25" max="25" width="7.67188" style="305" customWidth="1"/>
    <col min="26" max="26" width="8.85156" style="305" customWidth="1"/>
    <col min="27" max="27" width="21.1719" style="305" customWidth="1"/>
    <col min="28" max="30" width="16.5" style="305" customWidth="1"/>
    <col min="31" max="31" width="14.6719" style="305" customWidth="1"/>
    <col min="32" max="32" width="10.8516" style="305" customWidth="1"/>
    <col min="33" max="33" width="11" style="305" customWidth="1"/>
    <col min="34" max="34" width="11.1719" style="305" customWidth="1"/>
    <col min="35" max="35" width="7.85156" style="305" customWidth="1"/>
    <col min="36" max="37" width="10.8516" style="305" customWidth="1"/>
    <col min="38" max="38" width="7.35156" style="305" customWidth="1"/>
    <col min="39" max="39" width="10.8516" style="305" customWidth="1"/>
    <col min="40" max="40" width="9.17188" style="305" customWidth="1"/>
    <col min="41" max="41" width="10.8516" style="305" customWidth="1"/>
    <col min="42" max="42" width="12.5" style="305" customWidth="1"/>
    <col min="43" max="43" width="13" style="305" customWidth="1"/>
    <col min="44" max="55" width="10.8516" style="305" customWidth="1"/>
    <col min="56" max="16384" width="10.8516" style="305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189">
        <v>290</v>
      </c>
      <c r="B2" s="107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7.5" customHeight="1">
      <c r="A3" t="s" s="83">
        <v>1251</v>
      </c>
      <c r="B3" s="112">
        <v>2021</v>
      </c>
      <c r="C3" s="112">
        <v>1</v>
      </c>
      <c r="D3" t="s" s="83">
        <v>1252</v>
      </c>
      <c r="E3" s="30"/>
      <c r="F3" s="306">
        <v>3</v>
      </c>
      <c r="G3" t="s" s="98">
        <v>1253</v>
      </c>
      <c r="H3" t="s" s="98">
        <v>1254</v>
      </c>
      <c r="I3" s="97">
        <v>1</v>
      </c>
      <c r="J3" t="s" s="98">
        <v>37</v>
      </c>
      <c r="K3" s="97">
        <v>1</v>
      </c>
      <c r="L3" s="62"/>
      <c r="M3" s="62"/>
      <c r="N3" s="79">
        <v>1</v>
      </c>
      <c r="O3" s="62"/>
      <c r="P3" s="62"/>
      <c r="Q3" s="62"/>
      <c r="R3" s="62"/>
      <c r="S3" s="62"/>
      <c r="T3" s="79">
        <v>68</v>
      </c>
      <c r="U3" s="16"/>
      <c r="V3" s="75"/>
      <c r="W3" s="30"/>
      <c r="X3" s="113">
        <v>1852</v>
      </c>
      <c r="Y3" s="30"/>
      <c r="Z3" s="30"/>
      <c r="AA3" t="s" s="82">
        <v>1255</v>
      </c>
      <c r="AB3" s="30"/>
      <c r="AC3" s="112">
        <v>1</v>
      </c>
      <c r="AD3" s="30"/>
      <c r="AE3" s="30"/>
      <c r="AF3" s="190">
        <v>1</v>
      </c>
      <c r="AG3" t="s" s="154">
        <v>54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1251</v>
      </c>
      <c r="B4" s="112">
        <v>2021</v>
      </c>
      <c r="C4" s="112">
        <v>1</v>
      </c>
      <c r="D4" t="s" s="83">
        <v>1252</v>
      </c>
      <c r="E4" s="30"/>
      <c r="F4" s="306">
        <v>3</v>
      </c>
      <c r="G4" t="s" s="96">
        <v>1253</v>
      </c>
      <c r="H4" t="s" s="96">
        <v>1256</v>
      </c>
      <c r="I4" s="79">
        <v>2</v>
      </c>
      <c r="J4" s="79">
        <v>1</v>
      </c>
      <c r="K4" s="16"/>
      <c r="L4" s="16"/>
      <c r="M4" s="16"/>
      <c r="N4" t="s" s="96">
        <v>78</v>
      </c>
      <c r="O4" s="16"/>
      <c r="P4" s="79">
        <v>1</v>
      </c>
      <c r="Q4" s="16"/>
      <c r="R4" s="16"/>
      <c r="S4" s="16"/>
      <c r="T4" s="79">
        <v>38</v>
      </c>
      <c r="U4" s="16"/>
      <c r="V4" s="75"/>
      <c r="W4" s="30"/>
      <c r="X4" s="120">
        <v>1883</v>
      </c>
      <c r="Y4" s="30"/>
      <c r="Z4" s="30"/>
      <c r="AA4" t="s" s="159">
        <v>909</v>
      </c>
      <c r="AB4" s="30"/>
      <c r="AC4" s="30"/>
      <c r="AD4" s="30"/>
      <c r="AE4" s="30"/>
      <c r="AF4" s="156">
        <v>1</v>
      </c>
      <c r="AG4" t="s" s="158">
        <v>54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1251</v>
      </c>
      <c r="B5" s="112">
        <v>2021</v>
      </c>
      <c r="C5" s="112">
        <v>1</v>
      </c>
      <c r="D5" t="s" s="83">
        <v>1252</v>
      </c>
      <c r="E5" s="30"/>
      <c r="F5" s="306">
        <v>3</v>
      </c>
      <c r="G5" t="s" s="96">
        <v>1253</v>
      </c>
      <c r="H5" t="s" s="96">
        <v>1257</v>
      </c>
      <c r="I5" s="79">
        <v>3</v>
      </c>
      <c r="J5" t="s" s="96">
        <v>37</v>
      </c>
      <c r="K5" s="79">
        <v>1</v>
      </c>
      <c r="L5" s="16"/>
      <c r="M5" s="16"/>
      <c r="N5" t="s" s="96">
        <v>36</v>
      </c>
      <c r="O5" s="16"/>
      <c r="P5" s="16"/>
      <c r="Q5" s="79">
        <v>1</v>
      </c>
      <c r="R5" s="16"/>
      <c r="S5" s="16"/>
      <c r="T5" s="79">
        <v>37</v>
      </c>
      <c r="U5" s="16"/>
      <c r="V5" s="75"/>
      <c r="W5" s="30"/>
      <c r="X5" s="120">
        <v>1884</v>
      </c>
      <c r="Y5" s="30"/>
      <c r="Z5" s="30"/>
      <c r="AA5" t="s" s="159">
        <v>1258</v>
      </c>
      <c r="AB5" s="30"/>
      <c r="AC5" s="112">
        <v>1</v>
      </c>
      <c r="AD5" s="30"/>
      <c r="AE5" s="30"/>
      <c r="AF5" s="156">
        <v>1</v>
      </c>
      <c r="AG5" t="s" s="158">
        <v>54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1251</v>
      </c>
      <c r="B6" s="112">
        <v>2021</v>
      </c>
      <c r="C6" s="112">
        <v>1</v>
      </c>
      <c r="D6" t="s" s="83">
        <v>1252</v>
      </c>
      <c r="E6" s="30"/>
      <c r="F6" s="190">
        <v>3</v>
      </c>
      <c r="G6" t="s" s="96">
        <v>1259</v>
      </c>
      <c r="H6" t="s" s="96">
        <v>410</v>
      </c>
      <c r="I6" s="79">
        <v>4</v>
      </c>
      <c r="J6" s="79">
        <v>1</v>
      </c>
      <c r="K6" s="16"/>
      <c r="L6" s="16"/>
      <c r="M6" s="16"/>
      <c r="N6" t="s" s="96">
        <v>11</v>
      </c>
      <c r="O6" s="16"/>
      <c r="P6" s="16"/>
      <c r="Q6" s="16"/>
      <c r="R6" s="16"/>
      <c r="S6" s="79">
        <v>1</v>
      </c>
      <c r="T6" s="79">
        <v>23</v>
      </c>
      <c r="U6" s="16"/>
      <c r="V6" s="75"/>
      <c r="W6" s="30"/>
      <c r="X6" s="120">
        <v>1898</v>
      </c>
      <c r="Y6" s="30"/>
      <c r="Z6" s="30"/>
      <c r="AA6" t="s" s="159">
        <v>188</v>
      </c>
      <c r="AB6" s="30"/>
      <c r="AC6" s="112">
        <v>1</v>
      </c>
      <c r="AD6" s="30"/>
      <c r="AE6" s="30"/>
      <c r="AF6" s="74"/>
      <c r="AG6" t="s" s="158">
        <v>1145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s="30"/>
      <c r="B7" s="30"/>
      <c r="C7" s="30"/>
      <c r="D7" s="30"/>
      <c r="E7" s="30"/>
      <c r="F7" s="74"/>
      <c r="G7" s="16"/>
      <c r="H7" s="79">
        <v>4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75"/>
      <c r="W7" s="30"/>
      <c r="X7" s="122"/>
      <c r="Y7" s="30"/>
      <c r="Z7" s="30"/>
      <c r="AA7" s="122"/>
      <c r="AB7" s="30"/>
      <c r="AC7" s="30"/>
      <c r="AD7" s="30"/>
      <c r="AE7" s="30"/>
      <c r="AF7" s="74"/>
      <c r="AG7" s="75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s="30"/>
      <c r="B8" s="30"/>
      <c r="C8" s="30"/>
      <c r="D8" s="30"/>
      <c r="E8" s="30"/>
      <c r="F8" s="74"/>
      <c r="G8" t="s" s="96">
        <v>1</v>
      </c>
      <c r="H8" t="s" s="96">
        <v>0</v>
      </c>
      <c r="I8" s="16"/>
      <c r="J8" t="s" s="96">
        <v>3</v>
      </c>
      <c r="K8" s="16"/>
      <c r="L8" s="16"/>
      <c r="M8" s="16"/>
      <c r="N8" t="s" s="96">
        <v>2</v>
      </c>
      <c r="O8" s="16"/>
      <c r="P8" s="16"/>
      <c r="Q8" s="16"/>
      <c r="R8" s="16"/>
      <c r="S8" s="16"/>
      <c r="T8" t="s" s="96">
        <v>5</v>
      </c>
      <c r="U8" s="16"/>
      <c r="V8" s="75"/>
      <c r="W8" s="30"/>
      <c r="X8" t="s" s="159">
        <v>4</v>
      </c>
      <c r="Y8" s="30"/>
      <c r="Z8" s="30"/>
      <c r="AA8" t="s" s="159">
        <v>7</v>
      </c>
      <c r="AB8" s="30"/>
      <c r="AC8" s="30"/>
      <c r="AD8" s="30"/>
      <c r="AE8" s="30"/>
      <c r="AF8" s="74"/>
      <c r="AG8" t="s" s="158">
        <v>6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1251</v>
      </c>
      <c r="B9" s="112">
        <v>2021</v>
      </c>
      <c r="C9" s="112">
        <v>2</v>
      </c>
      <c r="D9" t="s" s="83">
        <v>1252</v>
      </c>
      <c r="E9" s="30"/>
      <c r="F9" s="156">
        <v>5</v>
      </c>
      <c r="G9" t="s" s="96">
        <v>1260</v>
      </c>
      <c r="H9" t="s" s="96">
        <v>1261</v>
      </c>
      <c r="I9" s="79">
        <v>5</v>
      </c>
      <c r="J9" t="s" s="96">
        <v>37</v>
      </c>
      <c r="K9" s="79">
        <v>1</v>
      </c>
      <c r="L9" s="16"/>
      <c r="M9" s="16"/>
      <c r="N9" s="79">
        <v>1</v>
      </c>
      <c r="O9" s="16"/>
      <c r="P9" s="16"/>
      <c r="Q9" s="16"/>
      <c r="R9" s="16"/>
      <c r="S9" s="16"/>
      <c r="T9" s="79">
        <v>57</v>
      </c>
      <c r="U9" s="16"/>
      <c r="V9" s="75"/>
      <c r="W9" s="30"/>
      <c r="X9" s="120">
        <v>1864</v>
      </c>
      <c r="Y9" s="30"/>
      <c r="Z9" s="30"/>
      <c r="AA9" t="s" s="159">
        <v>194</v>
      </c>
      <c r="AB9" s="30"/>
      <c r="AC9" s="112">
        <v>1</v>
      </c>
      <c r="AD9" s="30"/>
      <c r="AE9" s="30"/>
      <c r="AF9" s="156">
        <v>1</v>
      </c>
      <c r="AG9" t="s" s="158">
        <v>13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1251</v>
      </c>
      <c r="B10" s="112">
        <v>2021</v>
      </c>
      <c r="C10" s="112">
        <v>2</v>
      </c>
      <c r="D10" t="s" s="83">
        <v>1252</v>
      </c>
      <c r="E10" s="30"/>
      <c r="F10" s="156">
        <v>5</v>
      </c>
      <c r="G10" t="s" s="96">
        <v>1260</v>
      </c>
      <c r="H10" t="s" s="96">
        <v>1262</v>
      </c>
      <c r="I10" s="79">
        <v>6</v>
      </c>
      <c r="J10" s="79">
        <v>1</v>
      </c>
      <c r="K10" s="16"/>
      <c r="L10" s="16"/>
      <c r="M10" s="16"/>
      <c r="N10" t="s" s="96">
        <v>72</v>
      </c>
      <c r="O10" s="79">
        <v>1</v>
      </c>
      <c r="P10" s="16"/>
      <c r="Q10" s="16"/>
      <c r="R10" s="16"/>
      <c r="S10" s="16"/>
      <c r="T10" s="79">
        <v>56</v>
      </c>
      <c r="U10" s="16"/>
      <c r="V10" s="75"/>
      <c r="W10" s="30"/>
      <c r="X10" s="120">
        <v>1865</v>
      </c>
      <c r="Y10" s="30"/>
      <c r="Z10" s="30"/>
      <c r="AA10" t="s" s="159">
        <v>33</v>
      </c>
      <c r="AB10" s="30"/>
      <c r="AC10" s="30"/>
      <c r="AD10" s="30"/>
      <c r="AE10" s="30"/>
      <c r="AF10" s="74"/>
      <c r="AG10" t="s" s="158">
        <v>1263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" customHeight="1">
      <c r="A11" t="s" s="83">
        <v>1251</v>
      </c>
      <c r="B11" s="112">
        <v>2021</v>
      </c>
      <c r="C11" s="112">
        <v>2</v>
      </c>
      <c r="D11" t="s" s="83">
        <v>1252</v>
      </c>
      <c r="E11" s="30"/>
      <c r="F11" s="156">
        <v>5</v>
      </c>
      <c r="G11" t="s" s="96">
        <v>1260</v>
      </c>
      <c r="H11" t="s" s="96">
        <v>1264</v>
      </c>
      <c r="I11" s="79">
        <v>7</v>
      </c>
      <c r="J11" s="79">
        <v>1</v>
      </c>
      <c r="K11" s="16"/>
      <c r="L11" s="16"/>
      <c r="M11" s="16"/>
      <c r="N11" t="s" s="96">
        <v>78</v>
      </c>
      <c r="O11" s="16"/>
      <c r="P11" s="79">
        <v>1</v>
      </c>
      <c r="Q11" s="16"/>
      <c r="R11" s="16"/>
      <c r="S11" s="16"/>
      <c r="T11" s="79">
        <v>19</v>
      </c>
      <c r="U11" s="16"/>
      <c r="V11" s="75"/>
      <c r="W11" s="112" cm="1">
        <f t="array" ref="W11">SUM(W3:W10)</f>
        <v>0</v>
      </c>
      <c r="X11" s="120">
        <v>1901</v>
      </c>
      <c r="Y11" s="112" cm="1">
        <f t="array" ref="Y11">SUM(Y3:Y10)</f>
        <v>0</v>
      </c>
      <c r="Z11" s="112" cm="1">
        <f t="array" ref="Z11">SUM(Z3:Z10)</f>
        <v>0</v>
      </c>
      <c r="AA11" t="s" s="159">
        <v>197</v>
      </c>
      <c r="AB11" s="112" cm="1">
        <f t="array" ref="AB11">SUM(AB3:AB10)</f>
        <v>0</v>
      </c>
      <c r="AC11" s="30"/>
      <c r="AD11" s="112" cm="1">
        <f t="array" ref="AD11">SUM(AD3:AD10)</f>
        <v>0</v>
      </c>
      <c r="AE11" s="30"/>
      <c r="AF11" s="156">
        <v>1</v>
      </c>
      <c r="AG11" t="s" s="158">
        <v>507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.5" customHeight="1">
      <c r="A12" t="s" s="83">
        <v>1251</v>
      </c>
      <c r="B12" s="112">
        <v>2021</v>
      </c>
      <c r="C12" s="112">
        <v>2</v>
      </c>
      <c r="D12" t="s" s="83">
        <v>1252</v>
      </c>
      <c r="E12" s="30"/>
      <c r="F12" s="156">
        <v>5</v>
      </c>
      <c r="G12" t="s" s="96">
        <v>1260</v>
      </c>
      <c r="H12" t="s" s="96">
        <v>1265</v>
      </c>
      <c r="I12" s="79">
        <v>8</v>
      </c>
      <c r="J12" t="s" s="96">
        <v>37</v>
      </c>
      <c r="K12" s="79">
        <v>1</v>
      </c>
      <c r="L12" s="16"/>
      <c r="M12" s="16"/>
      <c r="N12" t="s" s="96">
        <v>36</v>
      </c>
      <c r="O12" s="16"/>
      <c r="P12" s="16"/>
      <c r="Q12" s="79">
        <v>1</v>
      </c>
      <c r="R12" s="16"/>
      <c r="S12" s="16"/>
      <c r="T12" s="79">
        <v>17</v>
      </c>
      <c r="U12" s="16"/>
      <c r="V12" s="75"/>
      <c r="W12" s="30"/>
      <c r="X12" s="120">
        <v>1903</v>
      </c>
      <c r="Y12" s="30"/>
      <c r="Z12" s="30"/>
      <c r="AA12" t="s" s="159">
        <v>1266</v>
      </c>
      <c r="AB12" s="30"/>
      <c r="AC12" s="30"/>
      <c r="AD12" s="30"/>
      <c r="AE12" s="30"/>
      <c r="AF12" s="156">
        <v>1</v>
      </c>
      <c r="AG12" t="s" s="158">
        <v>507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1251</v>
      </c>
      <c r="B13" s="112">
        <v>2021</v>
      </c>
      <c r="C13" s="112">
        <v>2</v>
      </c>
      <c r="D13" t="s" s="83">
        <v>1252</v>
      </c>
      <c r="E13" s="30"/>
      <c r="F13" s="156">
        <v>5</v>
      </c>
      <c r="G13" t="s" s="96">
        <v>1267</v>
      </c>
      <c r="H13" t="s" s="96">
        <v>1268</v>
      </c>
      <c r="I13" s="79">
        <v>9</v>
      </c>
      <c r="J13" s="79">
        <v>1</v>
      </c>
      <c r="K13" s="16"/>
      <c r="L13" s="16"/>
      <c r="M13" s="16"/>
      <c r="N13" t="s" s="96">
        <v>11</v>
      </c>
      <c r="O13" s="16"/>
      <c r="P13" s="16"/>
      <c r="Q13" s="16"/>
      <c r="R13" s="16"/>
      <c r="S13" s="79">
        <v>1</v>
      </c>
      <c r="T13" s="79">
        <v>38</v>
      </c>
      <c r="U13" s="16"/>
      <c r="V13" s="75"/>
      <c r="W13" s="30"/>
      <c r="X13" s="120">
        <v>1883</v>
      </c>
      <c r="Y13" s="30"/>
      <c r="Z13" s="30"/>
      <c r="AA13" t="s" s="159">
        <v>45</v>
      </c>
      <c r="AB13" s="30"/>
      <c r="AC13" s="112">
        <v>1</v>
      </c>
      <c r="AD13" s="30"/>
      <c r="AE13" s="30"/>
      <c r="AF13" s="74"/>
      <c r="AG13" t="s" s="158">
        <v>785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1251</v>
      </c>
      <c r="B14" s="112">
        <v>2021</v>
      </c>
      <c r="C14" s="112">
        <v>2</v>
      </c>
      <c r="D14" t="s" s="83">
        <v>1252</v>
      </c>
      <c r="E14" s="124"/>
      <c r="F14" s="156">
        <v>5</v>
      </c>
      <c r="G14" t="s" s="96">
        <v>1269</v>
      </c>
      <c r="H14" t="s" s="96">
        <v>1270</v>
      </c>
      <c r="I14" s="79">
        <v>10</v>
      </c>
      <c r="J14" s="79">
        <v>1</v>
      </c>
      <c r="K14" s="16"/>
      <c r="L14" s="16"/>
      <c r="M14" s="16"/>
      <c r="N14" t="s" s="96">
        <v>11</v>
      </c>
      <c r="O14" s="16"/>
      <c r="P14" s="16"/>
      <c r="Q14" s="16"/>
      <c r="R14" s="16"/>
      <c r="S14" s="79">
        <v>1</v>
      </c>
      <c r="T14" s="79">
        <v>20</v>
      </c>
      <c r="U14" s="16"/>
      <c r="V14" s="75"/>
      <c r="W14" s="28"/>
      <c r="X14" s="120">
        <v>1901</v>
      </c>
      <c r="Y14" s="28"/>
      <c r="Z14" s="28"/>
      <c r="AA14" t="s" s="159">
        <v>85</v>
      </c>
      <c r="AB14" s="28"/>
      <c r="AC14" s="307">
        <v>1</v>
      </c>
      <c r="AD14" s="28"/>
      <c r="AE14" s="30"/>
      <c r="AF14" s="74"/>
      <c r="AG14" t="s" s="158">
        <v>1271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28" customHeight="1">
      <c r="A15" s="30"/>
      <c r="B15" s="30"/>
      <c r="C15" s="30"/>
      <c r="D15" s="30"/>
      <c r="E15" s="124"/>
      <c r="F15" s="74"/>
      <c r="G15" s="16"/>
      <c r="H15" s="79">
        <v>6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75"/>
      <c r="W15" s="28"/>
      <c r="X15" s="122"/>
      <c r="Y15" s="28"/>
      <c r="Z15" s="28"/>
      <c r="AA15" s="122"/>
      <c r="AB15" s="28"/>
      <c r="AC15" s="28"/>
      <c r="AD15" s="124"/>
      <c r="AE15" s="30"/>
      <c r="AF15" s="74"/>
      <c r="AG15" s="75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s="30"/>
      <c r="B16" s="30"/>
      <c r="C16" s="30"/>
      <c r="D16" s="30"/>
      <c r="E16" s="30"/>
      <c r="F16" s="74"/>
      <c r="G16" t="s" s="96">
        <v>1</v>
      </c>
      <c r="H16" t="s" s="96">
        <v>0</v>
      </c>
      <c r="I16" s="16"/>
      <c r="J16" t="s" s="96">
        <v>3</v>
      </c>
      <c r="K16" s="16"/>
      <c r="L16" s="16"/>
      <c r="M16" s="16"/>
      <c r="N16" t="s" s="96">
        <v>2</v>
      </c>
      <c r="O16" s="16"/>
      <c r="P16" s="16"/>
      <c r="Q16" s="16"/>
      <c r="R16" s="16"/>
      <c r="S16" s="16"/>
      <c r="T16" t="s" s="96">
        <v>5</v>
      </c>
      <c r="U16" s="16"/>
      <c r="V16" s="75"/>
      <c r="W16" s="121"/>
      <c r="X16" t="s" s="159">
        <v>4</v>
      </c>
      <c r="Y16" s="30"/>
      <c r="Z16" s="30"/>
      <c r="AA16" t="s" s="159">
        <v>7</v>
      </c>
      <c r="AB16" s="30"/>
      <c r="AC16" s="30"/>
      <c r="AD16" s="30"/>
      <c r="AE16" s="30"/>
      <c r="AF16" s="74"/>
      <c r="AG16" t="s" s="158">
        <v>6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1251</v>
      </c>
      <c r="B17" s="112">
        <v>2021</v>
      </c>
      <c r="C17" s="112">
        <v>3</v>
      </c>
      <c r="D17" t="s" s="83">
        <v>1252</v>
      </c>
      <c r="E17" s="30"/>
      <c r="F17" s="156">
        <v>7</v>
      </c>
      <c r="G17" t="s" s="96">
        <v>1066</v>
      </c>
      <c r="H17" t="s" s="96">
        <v>778</v>
      </c>
      <c r="I17" s="79">
        <v>11</v>
      </c>
      <c r="J17" t="s" s="96">
        <v>37</v>
      </c>
      <c r="K17" s="79">
        <v>1</v>
      </c>
      <c r="L17" s="16"/>
      <c r="M17" s="16"/>
      <c r="N17" s="79">
        <v>1</v>
      </c>
      <c r="O17" s="16"/>
      <c r="P17" s="16"/>
      <c r="Q17" s="16"/>
      <c r="R17" s="16"/>
      <c r="S17" s="16"/>
      <c r="T17" s="79">
        <v>42</v>
      </c>
      <c r="U17" s="16"/>
      <c r="V17" s="75"/>
      <c r="W17" s="30"/>
      <c r="X17" s="120">
        <v>1878</v>
      </c>
      <c r="Y17" s="30"/>
      <c r="Z17" s="30"/>
      <c r="AA17" t="s" s="159">
        <v>1272</v>
      </c>
      <c r="AB17" s="30"/>
      <c r="AC17" s="112">
        <v>1</v>
      </c>
      <c r="AD17" s="30"/>
      <c r="AE17" s="30"/>
      <c r="AF17" s="74"/>
      <c r="AG17" t="s" s="158">
        <v>1273</v>
      </c>
      <c r="AH17" s="30"/>
      <c r="AI17" s="30"/>
      <c r="AJ17" t="s" s="308">
        <v>1274</v>
      </c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1251</v>
      </c>
      <c r="B18" s="112">
        <v>2021</v>
      </c>
      <c r="C18" s="112">
        <v>3</v>
      </c>
      <c r="D18" t="s" s="83">
        <v>1252</v>
      </c>
      <c r="E18" s="30"/>
      <c r="F18" s="156">
        <v>7</v>
      </c>
      <c r="G18" t="s" s="96">
        <v>1066</v>
      </c>
      <c r="H18" t="s" s="96">
        <v>77</v>
      </c>
      <c r="I18" s="79">
        <v>12</v>
      </c>
      <c r="J18" s="79">
        <v>1</v>
      </c>
      <c r="K18" s="16"/>
      <c r="L18" s="16"/>
      <c r="M18" s="16"/>
      <c r="N18" t="s" s="96">
        <v>72</v>
      </c>
      <c r="O18" s="79">
        <v>1</v>
      </c>
      <c r="P18" s="16"/>
      <c r="Q18" s="16"/>
      <c r="R18" s="16"/>
      <c r="S18" s="16"/>
      <c r="T18" s="79">
        <v>38</v>
      </c>
      <c r="U18" s="16"/>
      <c r="V18" s="75"/>
      <c r="W18" s="30"/>
      <c r="X18" s="120">
        <v>1883</v>
      </c>
      <c r="Y18" s="30"/>
      <c r="Z18" s="30"/>
      <c r="AA18" t="s" s="159">
        <v>34</v>
      </c>
      <c r="AB18" s="30"/>
      <c r="AC18" s="30"/>
      <c r="AD18" s="30"/>
      <c r="AE18" s="30"/>
      <c r="AF18" s="74"/>
      <c r="AG18" t="s" s="158">
        <v>553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1251</v>
      </c>
      <c r="B19" s="112">
        <v>2021</v>
      </c>
      <c r="C19" s="112">
        <v>3</v>
      </c>
      <c r="D19" t="s" s="83">
        <v>1252</v>
      </c>
      <c r="E19" s="30"/>
      <c r="F19" s="156">
        <v>7</v>
      </c>
      <c r="G19" t="s" s="96">
        <v>1066</v>
      </c>
      <c r="H19" t="s" s="96">
        <v>1275</v>
      </c>
      <c r="I19" s="79">
        <v>13</v>
      </c>
      <c r="J19" t="s" s="96">
        <v>37</v>
      </c>
      <c r="K19" s="16"/>
      <c r="L19" s="16"/>
      <c r="M19" s="79">
        <v>1</v>
      </c>
      <c r="N19" t="s" s="96">
        <v>36</v>
      </c>
      <c r="O19" s="16"/>
      <c r="P19" s="16"/>
      <c r="Q19" s="79">
        <v>1</v>
      </c>
      <c r="R19" s="16"/>
      <c r="S19" s="16"/>
      <c r="T19" s="79">
        <v>11</v>
      </c>
      <c r="U19" s="16"/>
      <c r="V19" s="75"/>
      <c r="W19" s="121"/>
      <c r="X19" s="120">
        <v>1909</v>
      </c>
      <c r="Y19" s="30"/>
      <c r="Z19" s="30"/>
      <c r="AA19" t="s" s="159">
        <v>34</v>
      </c>
      <c r="AB19" s="30"/>
      <c r="AC19" s="30"/>
      <c r="AD19" s="30"/>
      <c r="AE19" s="30"/>
      <c r="AF19" s="74"/>
      <c r="AG19" t="s" s="158">
        <v>1276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1251</v>
      </c>
      <c r="B20" s="112">
        <v>2021</v>
      </c>
      <c r="C20" s="112">
        <v>3</v>
      </c>
      <c r="D20" t="s" s="83">
        <v>1252</v>
      </c>
      <c r="E20" s="30"/>
      <c r="F20" s="156">
        <v>7</v>
      </c>
      <c r="G20" t="s" s="96">
        <v>1066</v>
      </c>
      <c r="H20" t="s" s="96">
        <v>1277</v>
      </c>
      <c r="I20" s="79">
        <v>14</v>
      </c>
      <c r="J20" t="s" s="96">
        <v>37</v>
      </c>
      <c r="K20" s="16"/>
      <c r="L20" s="16"/>
      <c r="M20" s="79">
        <v>1</v>
      </c>
      <c r="N20" t="s" s="96">
        <v>36</v>
      </c>
      <c r="O20" s="16"/>
      <c r="P20" s="16"/>
      <c r="Q20" s="79">
        <v>1</v>
      </c>
      <c r="R20" s="16"/>
      <c r="S20" s="16"/>
      <c r="T20" s="79">
        <v>8</v>
      </c>
      <c r="U20" s="16"/>
      <c r="V20" s="75"/>
      <c r="W20" s="121"/>
      <c r="X20" s="120">
        <v>1912</v>
      </c>
      <c r="Y20" s="30"/>
      <c r="Z20" s="30"/>
      <c r="AA20" t="s" s="159">
        <v>34</v>
      </c>
      <c r="AB20" s="30"/>
      <c r="AC20" s="30"/>
      <c r="AD20" s="30"/>
      <c r="AE20" s="30"/>
      <c r="AF20" s="74"/>
      <c r="AG20" t="s" s="158">
        <v>1276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1251</v>
      </c>
      <c r="B21" s="112">
        <v>2021</v>
      </c>
      <c r="C21" s="112">
        <v>3</v>
      </c>
      <c r="D21" t="s" s="83">
        <v>1252</v>
      </c>
      <c r="E21" s="30"/>
      <c r="F21" s="156">
        <v>7</v>
      </c>
      <c r="G21" t="s" s="96">
        <v>1066</v>
      </c>
      <c r="H21" t="s" s="96">
        <v>1278</v>
      </c>
      <c r="I21" s="79">
        <v>15</v>
      </c>
      <c r="J21" t="s" s="96">
        <v>37</v>
      </c>
      <c r="K21" s="16"/>
      <c r="L21" s="16"/>
      <c r="M21" s="79">
        <v>1</v>
      </c>
      <c r="N21" t="s" s="96">
        <v>36</v>
      </c>
      <c r="O21" s="16"/>
      <c r="P21" s="16"/>
      <c r="Q21" s="79">
        <v>1</v>
      </c>
      <c r="R21" s="16"/>
      <c r="S21" s="16"/>
      <c r="T21" s="79">
        <v>3</v>
      </c>
      <c r="U21" s="16"/>
      <c r="V21" s="75"/>
      <c r="W21" s="121"/>
      <c r="X21" s="120">
        <v>1918</v>
      </c>
      <c r="Y21" s="30"/>
      <c r="Z21" s="30"/>
      <c r="AA21" t="s" s="159">
        <v>34</v>
      </c>
      <c r="AB21" s="30"/>
      <c r="AC21" s="30"/>
      <c r="AD21" s="30"/>
      <c r="AE21" s="30"/>
      <c r="AF21" s="74"/>
      <c r="AG21" t="s" s="158">
        <v>1276</v>
      </c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1251</v>
      </c>
      <c r="B22" s="112">
        <v>2021</v>
      </c>
      <c r="C22" s="112">
        <v>3</v>
      </c>
      <c r="D22" t="s" s="83">
        <v>1252</v>
      </c>
      <c r="E22" s="30"/>
      <c r="F22" s="156">
        <v>7</v>
      </c>
      <c r="G22" t="s" s="96">
        <v>1066</v>
      </c>
      <c r="H22" t="s" s="96">
        <v>1279</v>
      </c>
      <c r="I22" s="79">
        <v>16</v>
      </c>
      <c r="J22" t="s" s="96">
        <v>37</v>
      </c>
      <c r="K22" s="16"/>
      <c r="L22" s="16"/>
      <c r="M22" s="79">
        <v>1</v>
      </c>
      <c r="N22" t="s" s="96">
        <v>36</v>
      </c>
      <c r="O22" s="16"/>
      <c r="P22" s="16"/>
      <c r="Q22" s="79">
        <v>1</v>
      </c>
      <c r="R22" s="16"/>
      <c r="S22" s="16"/>
      <c r="T22" s="79">
        <v>0</v>
      </c>
      <c r="U22" s="16"/>
      <c r="V22" s="75"/>
      <c r="W22" s="121"/>
      <c r="X22" s="120">
        <v>1921</v>
      </c>
      <c r="Y22" s="30"/>
      <c r="Z22" s="30"/>
      <c r="AA22" t="s" s="159">
        <v>34</v>
      </c>
      <c r="AB22" s="30"/>
      <c r="AC22" s="30"/>
      <c r="AD22" s="30"/>
      <c r="AE22" s="30"/>
      <c r="AF22" s="156">
        <v>1</v>
      </c>
      <c r="AG22" t="s" s="158">
        <v>13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1251</v>
      </c>
      <c r="B23" s="112">
        <v>2021</v>
      </c>
      <c r="C23" s="112">
        <v>3</v>
      </c>
      <c r="D23" t="s" s="83">
        <v>1252</v>
      </c>
      <c r="E23" s="30"/>
      <c r="F23" s="156">
        <v>7</v>
      </c>
      <c r="G23" t="s" s="96">
        <v>1280</v>
      </c>
      <c r="H23" t="s" s="96">
        <v>1281</v>
      </c>
      <c r="I23" s="79">
        <v>17</v>
      </c>
      <c r="J23" s="79">
        <v>1</v>
      </c>
      <c r="K23" s="16"/>
      <c r="L23" s="16"/>
      <c r="M23" s="16"/>
      <c r="N23" t="s" s="96">
        <v>11</v>
      </c>
      <c r="O23" s="16"/>
      <c r="P23" s="16"/>
      <c r="Q23" s="16"/>
      <c r="R23" s="16"/>
      <c r="S23" s="79">
        <v>1</v>
      </c>
      <c r="T23" s="79">
        <v>52</v>
      </c>
      <c r="U23" s="16"/>
      <c r="V23" s="75"/>
      <c r="W23" s="121"/>
      <c r="X23" s="120">
        <v>1869</v>
      </c>
      <c r="Y23" s="30"/>
      <c r="Z23" s="30"/>
      <c r="AA23" t="s" s="159">
        <v>45</v>
      </c>
      <c r="AB23" s="30"/>
      <c r="AC23" s="112">
        <v>1</v>
      </c>
      <c r="AD23" s="30"/>
      <c r="AE23" s="30"/>
      <c r="AF23" s="156">
        <v>1</v>
      </c>
      <c r="AG23" t="s" s="158">
        <v>489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" customHeight="1">
      <c r="A24" t="s" s="83">
        <v>1251</v>
      </c>
      <c r="B24" s="112">
        <v>2021</v>
      </c>
      <c r="C24" s="112">
        <v>3</v>
      </c>
      <c r="D24" t="s" s="83">
        <v>1252</v>
      </c>
      <c r="E24" s="30"/>
      <c r="F24" s="156">
        <v>7</v>
      </c>
      <c r="G24" t="s" s="96">
        <v>1282</v>
      </c>
      <c r="H24" t="s" s="96">
        <v>176</v>
      </c>
      <c r="I24" s="79">
        <v>18</v>
      </c>
      <c r="J24" s="79">
        <v>1</v>
      </c>
      <c r="K24" s="16"/>
      <c r="L24" s="16"/>
      <c r="M24" s="16"/>
      <c r="N24" t="s" s="96">
        <v>11</v>
      </c>
      <c r="O24" s="16"/>
      <c r="P24" s="16"/>
      <c r="Q24" s="16"/>
      <c r="R24" s="16"/>
      <c r="S24" s="79">
        <v>1</v>
      </c>
      <c r="T24" s="79">
        <v>19</v>
      </c>
      <c r="U24" s="16"/>
      <c r="V24" s="75"/>
      <c r="W24" s="30"/>
      <c r="X24" s="120">
        <v>1901</v>
      </c>
      <c r="Y24" s="30"/>
      <c r="Z24" s="30"/>
      <c r="AA24" t="s" s="159">
        <v>1283</v>
      </c>
      <c r="AB24" s="30"/>
      <c r="AC24" s="112">
        <v>1</v>
      </c>
      <c r="AD24" s="30"/>
      <c r="AE24" s="30"/>
      <c r="AF24" s="156">
        <v>1</v>
      </c>
      <c r="AG24" t="s" s="158">
        <v>489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s="30"/>
      <c r="B25" s="30"/>
      <c r="C25" s="30"/>
      <c r="D25" s="30"/>
      <c r="E25" s="30"/>
      <c r="F25" s="74"/>
      <c r="G25" s="16"/>
      <c r="H25" s="79">
        <v>8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75"/>
      <c r="W25" s="30"/>
      <c r="X25" s="122"/>
      <c r="Y25" s="30"/>
      <c r="Z25" s="30"/>
      <c r="AA25" s="122"/>
      <c r="AB25" s="30"/>
      <c r="AC25" s="30"/>
      <c r="AD25" s="30"/>
      <c r="AE25" s="30"/>
      <c r="AF25" s="74"/>
      <c r="AG25" s="75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t="s" s="83">
        <v>1251</v>
      </c>
      <c r="B26" s="112">
        <v>2021</v>
      </c>
      <c r="C26" s="30"/>
      <c r="D26" t="s" s="83">
        <v>1252</v>
      </c>
      <c r="E26" s="30"/>
      <c r="F26" s="74"/>
      <c r="G26" t="s" s="96">
        <v>1</v>
      </c>
      <c r="H26" s="16"/>
      <c r="I26" s="16"/>
      <c r="J26" t="s" s="96">
        <v>3</v>
      </c>
      <c r="K26" s="16"/>
      <c r="L26" s="16"/>
      <c r="M26" s="16"/>
      <c r="N26" t="s" s="96">
        <v>2</v>
      </c>
      <c r="O26" s="16"/>
      <c r="P26" s="16"/>
      <c r="Q26" s="16"/>
      <c r="R26" s="16"/>
      <c r="S26" s="16"/>
      <c r="T26" t="s" s="96">
        <v>5</v>
      </c>
      <c r="U26" s="16"/>
      <c r="V26" s="75"/>
      <c r="W26" s="30"/>
      <c r="X26" t="s" s="159">
        <v>4</v>
      </c>
      <c r="Y26" s="30"/>
      <c r="Z26" s="30"/>
      <c r="AA26" t="s" s="159">
        <v>7</v>
      </c>
      <c r="AB26" s="30"/>
      <c r="AC26" s="30"/>
      <c r="AD26" s="30"/>
      <c r="AE26" s="30"/>
      <c r="AF26" s="74"/>
      <c r="AG26" t="s" s="158">
        <v>6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1251</v>
      </c>
      <c r="B27" s="112">
        <v>2021</v>
      </c>
      <c r="C27" s="112">
        <v>4</v>
      </c>
      <c r="D27" t="s" s="83">
        <v>1252</v>
      </c>
      <c r="E27" s="30"/>
      <c r="F27" s="156">
        <v>9</v>
      </c>
      <c r="G27" t="s" s="96">
        <v>1284</v>
      </c>
      <c r="H27" t="s" s="96">
        <v>1285</v>
      </c>
      <c r="I27" s="79">
        <v>19</v>
      </c>
      <c r="J27" s="16"/>
      <c r="K27" s="79">
        <v>1</v>
      </c>
      <c r="L27" s="16"/>
      <c r="M27" s="16"/>
      <c r="N27" s="79">
        <v>1</v>
      </c>
      <c r="O27" s="16"/>
      <c r="P27" s="16"/>
      <c r="Q27" s="16"/>
      <c r="R27" s="16"/>
      <c r="S27" s="16"/>
      <c r="T27" s="79">
        <v>43</v>
      </c>
      <c r="U27" s="16"/>
      <c r="V27" s="75"/>
      <c r="W27" s="30"/>
      <c r="X27" s="120">
        <v>1878</v>
      </c>
      <c r="Y27" s="30"/>
      <c r="Z27" s="30"/>
      <c r="AA27" t="s" s="159">
        <v>1286</v>
      </c>
      <c r="AB27" s="30"/>
      <c r="AC27" s="112">
        <v>1</v>
      </c>
      <c r="AD27" s="30"/>
      <c r="AE27" s="30"/>
      <c r="AF27" s="74"/>
      <c r="AG27" t="s" s="158">
        <v>553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t="s" s="83">
        <v>1251</v>
      </c>
      <c r="B28" s="112">
        <v>2021</v>
      </c>
      <c r="C28" s="112">
        <v>4</v>
      </c>
      <c r="D28" t="s" s="83">
        <v>1252</v>
      </c>
      <c r="E28" s="30"/>
      <c r="F28" s="156">
        <v>9</v>
      </c>
      <c r="G28" t="s" s="96">
        <v>1284</v>
      </c>
      <c r="H28" t="s" s="96">
        <v>1287</v>
      </c>
      <c r="I28" s="79">
        <v>20</v>
      </c>
      <c r="J28" s="79">
        <v>1</v>
      </c>
      <c r="K28" s="16"/>
      <c r="L28" s="16"/>
      <c r="M28" s="16"/>
      <c r="N28" t="s" s="96">
        <v>72</v>
      </c>
      <c r="O28" s="79">
        <v>1</v>
      </c>
      <c r="P28" s="16"/>
      <c r="Q28" s="16"/>
      <c r="R28" s="16"/>
      <c r="S28" s="16"/>
      <c r="T28" s="79">
        <v>42</v>
      </c>
      <c r="U28" s="16"/>
      <c r="V28" s="75"/>
      <c r="W28" s="30"/>
      <c r="X28" s="120">
        <v>1879</v>
      </c>
      <c r="Y28" s="30"/>
      <c r="Z28" s="30"/>
      <c r="AA28" t="s" s="159">
        <v>33</v>
      </c>
      <c r="AB28" s="30"/>
      <c r="AC28" s="30"/>
      <c r="AD28" s="30"/>
      <c r="AE28" s="30"/>
      <c r="AF28" s="156">
        <v>1</v>
      </c>
      <c r="AG28" t="s" s="158">
        <v>54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1251</v>
      </c>
      <c r="B29" s="112">
        <v>2021</v>
      </c>
      <c r="C29" s="112">
        <v>4</v>
      </c>
      <c r="D29" t="s" s="83">
        <v>1252</v>
      </c>
      <c r="E29" s="30"/>
      <c r="F29" s="156">
        <v>9</v>
      </c>
      <c r="G29" t="s" s="96">
        <v>1284</v>
      </c>
      <c r="H29" t="s" s="96">
        <v>1288</v>
      </c>
      <c r="I29" s="79">
        <v>21</v>
      </c>
      <c r="J29" s="79">
        <v>1</v>
      </c>
      <c r="K29" s="16"/>
      <c r="L29" s="16"/>
      <c r="M29" s="16"/>
      <c r="N29" t="s" s="96">
        <v>78</v>
      </c>
      <c r="O29" s="16"/>
      <c r="P29" s="79">
        <v>1</v>
      </c>
      <c r="Q29" s="16"/>
      <c r="R29" s="16"/>
      <c r="S29" s="16"/>
      <c r="T29" s="79">
        <v>16</v>
      </c>
      <c r="U29" s="16"/>
      <c r="V29" s="75"/>
      <c r="W29" s="30"/>
      <c r="X29" s="120">
        <v>1904</v>
      </c>
      <c r="Y29" s="30"/>
      <c r="Z29" s="30"/>
      <c r="AA29" t="s" s="159">
        <v>34</v>
      </c>
      <c r="AB29" s="30"/>
      <c r="AC29" s="30"/>
      <c r="AD29" s="30"/>
      <c r="AE29" s="30"/>
      <c r="AF29" s="156">
        <v>1</v>
      </c>
      <c r="AG29" t="s" s="158">
        <v>528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3">
        <v>1251</v>
      </c>
      <c r="B30" s="112">
        <v>2021</v>
      </c>
      <c r="C30" s="112">
        <v>4</v>
      </c>
      <c r="D30" t="s" s="83">
        <v>1252</v>
      </c>
      <c r="E30" s="30"/>
      <c r="F30" s="156">
        <v>9</v>
      </c>
      <c r="G30" t="s" s="96">
        <v>1284</v>
      </c>
      <c r="H30" t="s" s="96">
        <v>1289</v>
      </c>
      <c r="I30" s="79">
        <v>22</v>
      </c>
      <c r="J30" t="s" s="96">
        <v>12</v>
      </c>
      <c r="K30" s="16"/>
      <c r="L30" s="79">
        <v>1</v>
      </c>
      <c r="M30" s="16"/>
      <c r="N30" t="s" s="96">
        <v>78</v>
      </c>
      <c r="O30" s="16"/>
      <c r="P30" s="79">
        <v>1</v>
      </c>
      <c r="Q30" s="16"/>
      <c r="R30" s="16"/>
      <c r="S30" s="16"/>
      <c r="T30" s="79">
        <v>9</v>
      </c>
      <c r="U30" s="16"/>
      <c r="V30" s="75"/>
      <c r="W30" s="30"/>
      <c r="X30" s="120">
        <v>1912</v>
      </c>
      <c r="Y30" s="30"/>
      <c r="Z30" s="30"/>
      <c r="AA30" t="s" s="159">
        <v>34</v>
      </c>
      <c r="AB30" s="30"/>
      <c r="AC30" s="30"/>
      <c r="AD30" s="30"/>
      <c r="AE30" s="30"/>
      <c r="AF30" s="156">
        <v>1</v>
      </c>
      <c r="AG30" t="s" s="158">
        <v>528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t="s" s="83">
        <v>1251</v>
      </c>
      <c r="B31" s="112">
        <v>2021</v>
      </c>
      <c r="C31" s="112">
        <v>4</v>
      </c>
      <c r="D31" t="s" s="83">
        <v>1252</v>
      </c>
      <c r="E31" s="30"/>
      <c r="F31" s="162">
        <v>9</v>
      </c>
      <c r="G31" t="s" s="181">
        <v>1290</v>
      </c>
      <c r="H31" t="s" s="181">
        <v>166</v>
      </c>
      <c r="I31" s="79">
        <v>23</v>
      </c>
      <c r="J31" s="126">
        <v>1</v>
      </c>
      <c r="K31" s="16"/>
      <c r="L31" s="16"/>
      <c r="M31" s="16"/>
      <c r="N31" t="s" s="181">
        <v>11</v>
      </c>
      <c r="O31" s="16"/>
      <c r="P31" s="16"/>
      <c r="Q31" s="16"/>
      <c r="R31" s="16"/>
      <c r="S31" s="79">
        <v>1</v>
      </c>
      <c r="T31" s="126">
        <v>26</v>
      </c>
      <c r="U31" s="16"/>
      <c r="V31" s="75"/>
      <c r="W31" s="30"/>
      <c r="X31" s="111">
        <v>1895</v>
      </c>
      <c r="Y31" s="30"/>
      <c r="Z31" s="30"/>
      <c r="AA31" t="s" s="110">
        <v>105</v>
      </c>
      <c r="AB31" s="30"/>
      <c r="AC31" s="112">
        <v>1</v>
      </c>
      <c r="AD31" s="30"/>
      <c r="AE31" s="30"/>
      <c r="AF31" s="74"/>
      <c r="AG31" t="s" s="161">
        <v>1291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" customHeight="1">
      <c r="A32" s="30"/>
      <c r="B32" s="30"/>
      <c r="C32" s="30"/>
      <c r="D32" s="30"/>
      <c r="E32" s="30"/>
      <c r="F32" s="30"/>
      <c r="G32" s="30"/>
      <c r="H32" s="112">
        <v>5</v>
      </c>
      <c r="I32" s="122"/>
      <c r="J32" s="30"/>
      <c r="K32" s="74"/>
      <c r="L32" s="16"/>
      <c r="M32" s="75"/>
      <c r="N32" s="30"/>
      <c r="O32" s="74"/>
      <c r="P32" s="16"/>
      <c r="Q32" s="16"/>
      <c r="R32" s="16"/>
      <c r="S32" s="75"/>
      <c r="T32" s="30"/>
      <c r="U32" s="74"/>
      <c r="V32" s="75"/>
      <c r="W32" s="30"/>
      <c r="X32" s="30"/>
      <c r="Y32" s="30"/>
      <c r="Z32" s="30"/>
      <c r="AA32" s="30"/>
      <c r="AB32" s="30"/>
      <c r="AC32" s="30"/>
      <c r="AD32" s="30"/>
      <c r="AE32" s="30"/>
      <c r="AF32" s="122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t="s" s="83">
        <v>1251</v>
      </c>
      <c r="B33" s="112">
        <v>2021</v>
      </c>
      <c r="C33" s="30"/>
      <c r="D33" t="s" s="83">
        <v>1252</v>
      </c>
      <c r="E33" s="30"/>
      <c r="F33" s="309"/>
      <c r="G33" t="s" s="310">
        <v>1</v>
      </c>
      <c r="H33" t="s" s="310">
        <v>0</v>
      </c>
      <c r="I33" s="3"/>
      <c r="J33" t="s" s="310">
        <v>3</v>
      </c>
      <c r="K33" s="3"/>
      <c r="L33" s="3"/>
      <c r="M33" s="3"/>
      <c r="N33" t="s" s="310">
        <v>2</v>
      </c>
      <c r="O33" s="3"/>
      <c r="P33" s="3"/>
      <c r="Q33" s="3"/>
      <c r="R33" s="3"/>
      <c r="S33" s="3"/>
      <c r="T33" t="s" s="310">
        <v>5</v>
      </c>
      <c r="U33" s="3"/>
      <c r="V33" s="193"/>
      <c r="W33" s="30"/>
      <c r="X33" t="s" s="311">
        <v>4</v>
      </c>
      <c r="Y33" s="30"/>
      <c r="Z33" s="30"/>
      <c r="AA33" t="s" s="311">
        <v>7</v>
      </c>
      <c r="AB33" s="30"/>
      <c r="AC33" s="30"/>
      <c r="AD33" s="30"/>
      <c r="AE33" s="30"/>
      <c r="AF33" s="192"/>
      <c r="AG33" t="s" s="312">
        <v>6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192"/>
      <c r="BA33" s="3"/>
      <c r="BB33" s="3"/>
      <c r="BC33" s="3"/>
    </row>
    <row r="34" ht="17" customHeight="1">
      <c r="A34" t="s" s="83">
        <v>1251</v>
      </c>
      <c r="B34" s="112">
        <v>2021</v>
      </c>
      <c r="C34" s="112">
        <v>5</v>
      </c>
      <c r="D34" t="s" s="83">
        <v>1252</v>
      </c>
      <c r="E34" s="30"/>
      <c r="F34" s="313">
        <v>11</v>
      </c>
      <c r="G34" t="s" s="5">
        <v>1292</v>
      </c>
      <c r="H34" t="s" s="5">
        <v>1293</v>
      </c>
      <c r="I34" s="6">
        <v>24</v>
      </c>
      <c r="J34" s="6">
        <v>1</v>
      </c>
      <c r="K34" s="13"/>
      <c r="L34" s="13"/>
      <c r="M34" s="13"/>
      <c r="N34" s="6">
        <v>1</v>
      </c>
      <c r="O34" s="13"/>
      <c r="P34" s="13"/>
      <c r="Q34" s="13"/>
      <c r="R34" s="13"/>
      <c r="S34" s="13"/>
      <c r="T34" s="6">
        <v>55</v>
      </c>
      <c r="U34" s="13"/>
      <c r="V34" s="196"/>
      <c r="W34" s="30"/>
      <c r="X34" s="194">
        <v>1865</v>
      </c>
      <c r="Y34" s="30"/>
      <c r="Z34" s="30"/>
      <c r="AA34" t="s" s="314">
        <v>34</v>
      </c>
      <c r="AB34" s="30"/>
      <c r="AC34" s="30"/>
      <c r="AD34" s="30"/>
      <c r="AE34" s="30"/>
      <c r="AF34" s="313">
        <v>1</v>
      </c>
      <c r="AG34" t="s" s="315">
        <v>13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195"/>
      <c r="BA34" s="13"/>
      <c r="BB34" s="13"/>
      <c r="BC34" s="10"/>
    </row>
    <row r="35" ht="17.5" customHeight="1">
      <c r="A35" t="s" s="83">
        <v>1251</v>
      </c>
      <c r="B35" s="112">
        <v>2021</v>
      </c>
      <c r="C35" s="112">
        <v>5</v>
      </c>
      <c r="D35" t="s" s="83">
        <v>1252</v>
      </c>
      <c r="E35" s="30"/>
      <c r="F35" s="316">
        <v>11</v>
      </c>
      <c r="G35" t="s" s="285">
        <v>1294</v>
      </c>
      <c r="H35" t="s" s="285">
        <v>1295</v>
      </c>
      <c r="I35" s="264">
        <v>25</v>
      </c>
      <c r="J35" s="264">
        <v>1</v>
      </c>
      <c r="K35" s="14"/>
      <c r="L35" s="14"/>
      <c r="M35" s="14"/>
      <c r="N35" t="s" s="285">
        <v>246</v>
      </c>
      <c r="O35" s="14"/>
      <c r="P35" s="14"/>
      <c r="Q35" s="14"/>
      <c r="R35" s="264">
        <v>1</v>
      </c>
      <c r="S35" s="14"/>
      <c r="T35" s="264">
        <v>57</v>
      </c>
      <c r="U35" s="14"/>
      <c r="V35" s="201"/>
      <c r="W35" s="30"/>
      <c r="X35" s="199">
        <v>1864</v>
      </c>
      <c r="Y35" s="30"/>
      <c r="Z35" s="30"/>
      <c r="AA35" t="s" s="317">
        <v>34</v>
      </c>
      <c r="AB35" s="30"/>
      <c r="AC35" s="30"/>
      <c r="AD35" s="30"/>
      <c r="AE35" s="30"/>
      <c r="AF35" s="316">
        <v>1</v>
      </c>
      <c r="AG35" t="s" s="318">
        <v>13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200"/>
      <c r="BA35" s="14"/>
      <c r="BB35" s="14"/>
      <c r="BC35" s="14"/>
    </row>
    <row r="36" ht="17" customHeight="1">
      <c r="A36" t="s" s="83">
        <v>1251</v>
      </c>
      <c r="B36" s="112">
        <v>2021</v>
      </c>
      <c r="C36" s="112">
        <v>5</v>
      </c>
      <c r="D36" t="s" s="83">
        <v>1252</v>
      </c>
      <c r="E36" s="30"/>
      <c r="F36" s="156">
        <v>11</v>
      </c>
      <c r="G36" t="s" s="96">
        <v>1296</v>
      </c>
      <c r="H36" t="s" s="96">
        <v>537</v>
      </c>
      <c r="I36" s="79">
        <v>26</v>
      </c>
      <c r="J36" s="79">
        <v>1</v>
      </c>
      <c r="K36" s="16"/>
      <c r="L36" s="16"/>
      <c r="M36" s="16"/>
      <c r="N36" t="s" s="96">
        <v>11</v>
      </c>
      <c r="O36" s="16"/>
      <c r="P36" s="16"/>
      <c r="Q36" s="16"/>
      <c r="R36" s="16"/>
      <c r="S36" s="79">
        <v>1</v>
      </c>
      <c r="T36" s="79">
        <v>38</v>
      </c>
      <c r="U36" s="16"/>
      <c r="V36" s="75"/>
      <c r="W36" s="30"/>
      <c r="X36" s="120">
        <v>1883</v>
      </c>
      <c r="Y36" s="30"/>
      <c r="Z36" s="30"/>
      <c r="AA36" t="s" s="159">
        <v>34</v>
      </c>
      <c r="AB36" s="30"/>
      <c r="AC36" s="134"/>
      <c r="AD36" s="134"/>
      <c r="AE36" s="30"/>
      <c r="AF36" s="156">
        <v>1</v>
      </c>
      <c r="AG36" t="s" s="158">
        <v>523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t="s" s="83">
        <v>1251</v>
      </c>
      <c r="B37" s="112">
        <v>2021</v>
      </c>
      <c r="C37" s="30"/>
      <c r="D37" t="s" s="83">
        <v>1252</v>
      </c>
      <c r="E37" s="30"/>
      <c r="F37" s="74"/>
      <c r="G37" s="16"/>
      <c r="H37" s="79">
        <v>3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75"/>
      <c r="W37" s="30"/>
      <c r="X37" s="122"/>
      <c r="Y37" s="30"/>
      <c r="Z37" s="30"/>
      <c r="AA37" s="122"/>
      <c r="AB37" s="30"/>
      <c r="AC37" s="30"/>
      <c r="AD37" s="30"/>
      <c r="AE37" s="30"/>
      <c r="AF37" s="74"/>
      <c r="AG37" s="75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5.35" customHeight="1">
      <c r="A38" t="s" s="83">
        <v>1251</v>
      </c>
      <c r="B38" s="112">
        <v>2021</v>
      </c>
      <c r="C38" s="30"/>
      <c r="D38" t="s" s="83">
        <v>1252</v>
      </c>
      <c r="E38" s="116"/>
      <c r="F38" s="16"/>
      <c r="G38" t="s" s="96">
        <v>1</v>
      </c>
      <c r="H38" t="s" s="96">
        <v>0</v>
      </c>
      <c r="I38" s="16"/>
      <c r="J38" t="s" s="96">
        <v>3</v>
      </c>
      <c r="K38" s="16"/>
      <c r="L38" s="16"/>
      <c r="M38" s="16"/>
      <c r="N38" t="s" s="96">
        <v>2</v>
      </c>
      <c r="O38" s="16"/>
      <c r="P38" s="16"/>
      <c r="Q38" s="16"/>
      <c r="R38" s="16"/>
      <c r="S38" s="16"/>
      <c r="T38" t="s" s="96">
        <v>5</v>
      </c>
      <c r="U38" s="16"/>
      <c r="V38" s="16"/>
      <c r="W38" s="62"/>
      <c r="X38" t="s" s="96">
        <v>4</v>
      </c>
      <c r="Y38" s="62"/>
      <c r="Z38" s="62"/>
      <c r="AA38" t="s" s="96">
        <v>7</v>
      </c>
      <c r="AB38" s="62"/>
      <c r="AC38" s="62"/>
      <c r="AD38" s="62"/>
      <c r="AE38" s="62"/>
      <c r="AF38" s="16"/>
      <c r="AG38" t="s" s="96">
        <v>6</v>
      </c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16"/>
      <c r="BA38" s="16"/>
      <c r="BB38" s="16"/>
      <c r="BC38" s="16"/>
    </row>
    <row r="39" ht="15.35" customHeight="1">
      <c r="A39" t="s" s="83">
        <v>1251</v>
      </c>
      <c r="B39" s="112">
        <v>2021</v>
      </c>
      <c r="C39" s="112">
        <v>6</v>
      </c>
      <c r="D39" t="s" s="83">
        <v>1252</v>
      </c>
      <c r="E39" s="74"/>
      <c r="F39" s="16"/>
      <c r="G39" t="s" s="96">
        <v>1297</v>
      </c>
      <c r="H39" t="s" s="96">
        <v>68</v>
      </c>
      <c r="I39" s="79">
        <v>27</v>
      </c>
      <c r="J39" t="s" s="96">
        <v>37</v>
      </c>
      <c r="K39" s="79">
        <v>1</v>
      </c>
      <c r="L39" s="16"/>
      <c r="M39" s="16"/>
      <c r="N39" s="79">
        <v>1</v>
      </c>
      <c r="O39" s="16"/>
      <c r="P39" s="16"/>
      <c r="Q39" s="16"/>
      <c r="R39" s="16"/>
      <c r="S39" s="16"/>
      <c r="T39" s="79">
        <v>47</v>
      </c>
      <c r="U39" s="16"/>
      <c r="V39" s="16"/>
      <c r="W39" s="16"/>
      <c r="X39" s="79">
        <v>1874</v>
      </c>
      <c r="Y39" s="16"/>
      <c r="Z39" s="16"/>
      <c r="AA39" t="s" s="96">
        <v>707</v>
      </c>
      <c r="AB39" s="16"/>
      <c r="AC39" s="79">
        <v>1</v>
      </c>
      <c r="AD39" s="16"/>
      <c r="AE39" s="16"/>
      <c r="AF39" s="16"/>
      <c r="AG39" t="s" s="96">
        <v>134</v>
      </c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</row>
    <row r="40" ht="15.35" customHeight="1">
      <c r="A40" t="s" s="83">
        <v>1251</v>
      </c>
      <c r="B40" s="112">
        <v>2021</v>
      </c>
      <c r="C40" s="112">
        <v>6</v>
      </c>
      <c r="D40" t="s" s="83">
        <v>1252</v>
      </c>
      <c r="E40" s="74"/>
      <c r="F40" s="16"/>
      <c r="G40" t="s" s="96">
        <v>1297</v>
      </c>
      <c r="H40" t="s" s="96">
        <v>1298</v>
      </c>
      <c r="I40" s="79">
        <v>28</v>
      </c>
      <c r="J40" s="79">
        <v>1</v>
      </c>
      <c r="K40" s="16"/>
      <c r="L40" s="16"/>
      <c r="M40" s="16"/>
      <c r="N40" t="s" s="96">
        <v>72</v>
      </c>
      <c r="O40" s="79">
        <v>1</v>
      </c>
      <c r="P40" s="16"/>
      <c r="Q40" s="16"/>
      <c r="R40" s="16"/>
      <c r="S40" s="16"/>
      <c r="T40" s="79">
        <v>51</v>
      </c>
      <c r="U40" s="16"/>
      <c r="V40" s="16"/>
      <c r="W40" s="16"/>
      <c r="X40" s="79">
        <v>1870</v>
      </c>
      <c r="Y40" s="16"/>
      <c r="Z40" s="16"/>
      <c r="AA40" t="s" s="96">
        <v>33</v>
      </c>
      <c r="AB40" s="16"/>
      <c r="AC40" s="16"/>
      <c r="AD40" s="16"/>
      <c r="AE40" s="16"/>
      <c r="AF40" s="79">
        <v>1</v>
      </c>
      <c r="AG40" t="s" s="96">
        <v>54</v>
      </c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5.35" customHeight="1">
      <c r="A41" t="s" s="83">
        <v>1251</v>
      </c>
      <c r="B41" s="112">
        <v>2021</v>
      </c>
      <c r="C41" s="30"/>
      <c r="D41" t="s" s="83">
        <v>1252</v>
      </c>
      <c r="E41" s="74"/>
      <c r="F41" s="16"/>
      <c r="G41" s="16"/>
      <c r="H41" s="79">
        <v>2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5.35" customHeight="1">
      <c r="A42" t="s" s="83">
        <v>1251</v>
      </c>
      <c r="B42" s="112">
        <v>2021</v>
      </c>
      <c r="C42" s="30"/>
      <c r="D42" t="s" s="83">
        <v>1252</v>
      </c>
      <c r="E42" s="74"/>
      <c r="F42" s="16"/>
      <c r="G42" t="s" s="96">
        <v>1</v>
      </c>
      <c r="H42" t="s" s="96">
        <v>0</v>
      </c>
      <c r="I42" s="16"/>
      <c r="J42" t="s" s="96">
        <v>3</v>
      </c>
      <c r="K42" s="16"/>
      <c r="L42" s="16"/>
      <c r="M42" s="16"/>
      <c r="N42" t="s" s="96">
        <v>2</v>
      </c>
      <c r="O42" s="16"/>
      <c r="P42" s="16"/>
      <c r="Q42" s="16"/>
      <c r="R42" s="16"/>
      <c r="S42" s="16"/>
      <c r="T42" t="s" s="96">
        <v>5</v>
      </c>
      <c r="U42" s="16"/>
      <c r="V42" s="16"/>
      <c r="W42" s="16"/>
      <c r="X42" t="s" s="96">
        <v>4</v>
      </c>
      <c r="Y42" s="16"/>
      <c r="Z42" s="16"/>
      <c r="AA42" t="s" s="96">
        <v>7</v>
      </c>
      <c r="AB42" s="16"/>
      <c r="AC42" s="16"/>
      <c r="AD42" s="16"/>
      <c r="AE42" s="16"/>
      <c r="AF42" s="16"/>
      <c r="AG42" t="s" s="96">
        <v>6</v>
      </c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5.35" customHeight="1">
      <c r="A43" t="s" s="83">
        <v>1251</v>
      </c>
      <c r="B43" s="112">
        <v>2021</v>
      </c>
      <c r="C43" s="112">
        <v>7</v>
      </c>
      <c r="D43" t="s" s="83">
        <v>1252</v>
      </c>
      <c r="E43" s="74"/>
      <c r="F43" s="79">
        <v>2</v>
      </c>
      <c r="G43" t="s" s="96">
        <v>1299</v>
      </c>
      <c r="H43" t="s" s="96">
        <v>1300</v>
      </c>
      <c r="I43" s="79">
        <v>29</v>
      </c>
      <c r="J43" t="s" s="96">
        <v>37</v>
      </c>
      <c r="K43" s="79">
        <v>1</v>
      </c>
      <c r="L43" s="16"/>
      <c r="M43" s="16"/>
      <c r="N43" s="79">
        <v>1</v>
      </c>
      <c r="O43" s="16"/>
      <c r="P43" s="16"/>
      <c r="Q43" s="16"/>
      <c r="R43" s="16"/>
      <c r="S43" s="16"/>
      <c r="T43" s="79">
        <v>75</v>
      </c>
      <c r="U43" s="16"/>
      <c r="V43" s="16"/>
      <c r="W43" s="16"/>
      <c r="X43" s="79">
        <v>1845</v>
      </c>
      <c r="Y43" s="16"/>
      <c r="Z43" s="16"/>
      <c r="AA43" t="s" s="96">
        <v>1301</v>
      </c>
      <c r="AB43" s="16"/>
      <c r="AC43" s="16"/>
      <c r="AD43" s="16"/>
      <c r="AE43" s="16"/>
      <c r="AF43" s="16"/>
      <c r="AG43" t="s" s="96">
        <v>34</v>
      </c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</row>
    <row r="44" ht="15.35" customHeight="1">
      <c r="A44" t="s" s="83">
        <v>1251</v>
      </c>
      <c r="B44" s="112">
        <v>2021</v>
      </c>
      <c r="C44" s="112">
        <v>7</v>
      </c>
      <c r="D44" t="s" s="83">
        <v>1252</v>
      </c>
      <c r="E44" s="74"/>
      <c r="F44" s="79">
        <v>2</v>
      </c>
      <c r="G44" t="s" s="96">
        <v>1299</v>
      </c>
      <c r="H44" t="s" s="96">
        <v>79</v>
      </c>
      <c r="I44" s="79">
        <v>30</v>
      </c>
      <c r="J44" s="79">
        <v>1</v>
      </c>
      <c r="K44" s="16"/>
      <c r="L44" s="16"/>
      <c r="M44" s="16"/>
      <c r="N44" t="s" s="96">
        <v>72</v>
      </c>
      <c r="O44" s="79">
        <v>1</v>
      </c>
      <c r="P44" s="16"/>
      <c r="Q44" s="16"/>
      <c r="R44" s="16"/>
      <c r="S44" s="16"/>
      <c r="T44" s="79">
        <v>71</v>
      </c>
      <c r="U44" s="16"/>
      <c r="V44" s="16"/>
      <c r="W44" s="16"/>
      <c r="X44" s="79">
        <v>1850</v>
      </c>
      <c r="Y44" s="16"/>
      <c r="Z44" s="16"/>
      <c r="AA44" t="s" s="96">
        <v>33</v>
      </c>
      <c r="AB44" s="16"/>
      <c r="AC44" s="16"/>
      <c r="AD44" s="16"/>
      <c r="AE44" s="16"/>
      <c r="AF44" s="79">
        <v>1</v>
      </c>
      <c r="AG44" t="s" s="96">
        <v>599</v>
      </c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</row>
    <row r="45" ht="15.35" customHeight="1">
      <c r="A45" t="s" s="83">
        <v>1251</v>
      </c>
      <c r="B45" s="112">
        <v>2021</v>
      </c>
      <c r="C45" s="30"/>
      <c r="D45" t="s" s="83">
        <v>1252</v>
      </c>
      <c r="E45" s="74"/>
      <c r="F45" s="16"/>
      <c r="G45" s="16"/>
      <c r="H45" s="79">
        <v>2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</row>
    <row r="46" ht="15.35" customHeight="1">
      <c r="A46" t="s" s="83">
        <v>1251</v>
      </c>
      <c r="B46" s="112">
        <v>2021</v>
      </c>
      <c r="C46" s="30"/>
      <c r="D46" t="s" s="83">
        <v>1252</v>
      </c>
      <c r="E46" s="74"/>
      <c r="F46" s="16"/>
      <c r="G46" t="s" s="96">
        <v>1</v>
      </c>
      <c r="H46" t="s" s="96">
        <v>0</v>
      </c>
      <c r="I46" s="16"/>
      <c r="J46" t="s" s="96">
        <v>3</v>
      </c>
      <c r="K46" s="16"/>
      <c r="L46" s="16"/>
      <c r="M46" s="16"/>
      <c r="N46" t="s" s="96">
        <v>2</v>
      </c>
      <c r="O46" s="16"/>
      <c r="P46" s="16"/>
      <c r="Q46" s="16"/>
      <c r="R46" s="16"/>
      <c r="S46" s="16"/>
      <c r="T46" t="s" s="96">
        <v>5</v>
      </c>
      <c r="U46" s="16"/>
      <c r="V46" s="16"/>
      <c r="W46" s="16"/>
      <c r="X46" t="s" s="96">
        <v>4</v>
      </c>
      <c r="Y46" s="16"/>
      <c r="Z46" s="16"/>
      <c r="AA46" t="s" s="96">
        <v>7</v>
      </c>
      <c r="AB46" t="s" s="96">
        <v>34</v>
      </c>
      <c r="AC46" s="16"/>
      <c r="AD46" s="16"/>
      <c r="AE46" s="16"/>
      <c r="AF46" s="16"/>
      <c r="AG46" t="s" s="96">
        <v>6</v>
      </c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5.35" customHeight="1">
      <c r="A47" t="s" s="83">
        <v>1251</v>
      </c>
      <c r="B47" s="112">
        <v>2021</v>
      </c>
      <c r="C47" s="112">
        <v>8</v>
      </c>
      <c r="D47" t="s" s="83">
        <v>1252</v>
      </c>
      <c r="E47" s="74"/>
      <c r="F47" s="79">
        <v>4</v>
      </c>
      <c r="G47" t="s" s="96">
        <v>1302</v>
      </c>
      <c r="H47" t="s" s="96">
        <v>1303</v>
      </c>
      <c r="I47" s="79">
        <v>31</v>
      </c>
      <c r="J47" t="s" s="96">
        <v>37</v>
      </c>
      <c r="K47" s="79">
        <v>1</v>
      </c>
      <c r="L47" s="16"/>
      <c r="M47" s="16"/>
      <c r="N47" s="79">
        <v>1</v>
      </c>
      <c r="O47" s="16"/>
      <c r="P47" s="16"/>
      <c r="Q47" s="16"/>
      <c r="R47" s="16"/>
      <c r="S47" s="16"/>
      <c r="T47" s="79">
        <v>71</v>
      </c>
      <c r="U47" s="16"/>
      <c r="V47" s="16"/>
      <c r="W47" s="16"/>
      <c r="X47" s="79">
        <v>1850</v>
      </c>
      <c r="Y47" s="16"/>
      <c r="Z47" s="16"/>
      <c r="AA47" t="s" s="96">
        <v>1304</v>
      </c>
      <c r="AB47" t="s" s="96">
        <v>34</v>
      </c>
      <c r="AC47" s="16"/>
      <c r="AD47" s="16"/>
      <c r="AE47" s="16"/>
      <c r="AF47" s="16"/>
      <c r="AG47" t="s" s="96">
        <v>1305</v>
      </c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</row>
    <row r="48" ht="15.35" customHeight="1">
      <c r="A48" t="s" s="83">
        <v>1251</v>
      </c>
      <c r="B48" s="112">
        <v>2021</v>
      </c>
      <c r="C48" s="112">
        <v>8</v>
      </c>
      <c r="D48" t="s" s="83">
        <v>1252</v>
      </c>
      <c r="E48" s="74"/>
      <c r="F48" s="79">
        <v>4</v>
      </c>
      <c r="G48" t="s" s="96">
        <v>1302</v>
      </c>
      <c r="H48" t="s" s="96">
        <v>1306</v>
      </c>
      <c r="I48" s="79">
        <v>32</v>
      </c>
      <c r="J48" s="79">
        <v>1</v>
      </c>
      <c r="K48" s="16"/>
      <c r="L48" s="16"/>
      <c r="M48" s="16"/>
      <c r="N48" t="s" s="96">
        <v>72</v>
      </c>
      <c r="O48" s="79">
        <v>1</v>
      </c>
      <c r="P48" s="16"/>
      <c r="Q48" s="16"/>
      <c r="R48" s="16"/>
      <c r="S48" s="16"/>
      <c r="T48" s="79">
        <v>68</v>
      </c>
      <c r="U48" s="16"/>
      <c r="V48" s="16"/>
      <c r="W48" s="16"/>
      <c r="X48" s="79">
        <v>1853</v>
      </c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5.35" customHeight="1">
      <c r="A49" t="s" s="83">
        <v>1251</v>
      </c>
      <c r="B49" s="112">
        <v>2021</v>
      </c>
      <c r="C49" s="112">
        <v>8</v>
      </c>
      <c r="D49" t="s" s="83">
        <v>1252</v>
      </c>
      <c r="E49" s="74"/>
      <c r="F49" s="79">
        <v>4</v>
      </c>
      <c r="G49" t="s" s="96">
        <v>1302</v>
      </c>
      <c r="H49" t="s" s="96">
        <v>1307</v>
      </c>
      <c r="I49" s="79">
        <v>33</v>
      </c>
      <c r="J49" s="79">
        <v>1</v>
      </c>
      <c r="K49" s="16"/>
      <c r="L49" s="16"/>
      <c r="M49" s="16"/>
      <c r="N49" t="s" s="96">
        <v>78</v>
      </c>
      <c r="O49" s="16"/>
      <c r="P49" s="79">
        <v>1</v>
      </c>
      <c r="Q49" s="16"/>
      <c r="R49" s="16"/>
      <c r="S49" s="16"/>
      <c r="T49" s="79">
        <v>28</v>
      </c>
      <c r="U49" s="16"/>
      <c r="V49" s="16"/>
      <c r="W49" s="16"/>
      <c r="X49" s="79">
        <v>1893</v>
      </c>
      <c r="Y49" s="16"/>
      <c r="Z49" s="16"/>
      <c r="AA49" s="16"/>
      <c r="AB49" s="16"/>
      <c r="AC49" s="16"/>
      <c r="AD49" s="16"/>
      <c r="AE49" s="16"/>
      <c r="AF49" s="16"/>
      <c r="AG49" t="s" s="96">
        <v>6</v>
      </c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t="s" s="83">
        <v>1251</v>
      </c>
      <c r="B50" s="112">
        <v>2021</v>
      </c>
      <c r="C50" s="30"/>
      <c r="D50" t="s" s="83">
        <v>1252</v>
      </c>
      <c r="E50" s="74"/>
      <c r="F50" s="16"/>
      <c r="G50" s="16"/>
      <c r="H50" s="79">
        <v>3</v>
      </c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79">
        <v>1</v>
      </c>
      <c r="AG50" t="s" s="96">
        <v>13</v>
      </c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5.35" customHeight="1">
      <c r="A51" t="s" s="83">
        <v>1251</v>
      </c>
      <c r="B51" s="112">
        <v>2021</v>
      </c>
      <c r="C51" s="30"/>
      <c r="D51" t="s" s="83">
        <v>1252</v>
      </c>
      <c r="E51" s="74"/>
      <c r="F51" s="16"/>
      <c r="G51" t="s" s="96">
        <v>1</v>
      </c>
      <c r="H51" t="s" s="96">
        <v>0</v>
      </c>
      <c r="I51" s="16"/>
      <c r="J51" t="s" s="96">
        <v>3</v>
      </c>
      <c r="K51" s="16"/>
      <c r="L51" s="16"/>
      <c r="M51" s="16"/>
      <c r="N51" t="s" s="96">
        <v>2</v>
      </c>
      <c r="O51" s="16"/>
      <c r="P51" s="16"/>
      <c r="Q51" s="16"/>
      <c r="R51" s="16"/>
      <c r="S51" s="16"/>
      <c r="T51" t="s" s="96">
        <v>5</v>
      </c>
      <c r="U51" s="16"/>
      <c r="V51" s="16"/>
      <c r="W51" s="16"/>
      <c r="X51" t="s" s="96">
        <v>4</v>
      </c>
      <c r="Y51" s="16"/>
      <c r="Z51" s="16"/>
      <c r="AA51" t="s" s="96">
        <v>7</v>
      </c>
      <c r="AB51" t="s" s="96">
        <v>8</v>
      </c>
      <c r="AC51" s="16"/>
      <c r="AD51" s="16"/>
      <c r="AE51" s="16"/>
      <c r="AF51" s="16"/>
      <c r="AG51" t="s" s="96">
        <v>553</v>
      </c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15.35" customHeight="1">
      <c r="A52" t="s" s="83">
        <v>1251</v>
      </c>
      <c r="B52" s="112">
        <v>2021</v>
      </c>
      <c r="C52" s="112">
        <v>9</v>
      </c>
      <c r="D52" t="s" s="83">
        <v>1252</v>
      </c>
      <c r="E52" s="74"/>
      <c r="F52" s="79">
        <v>6</v>
      </c>
      <c r="G52" t="s" s="96">
        <v>1308</v>
      </c>
      <c r="H52" t="s" s="96">
        <v>1309</v>
      </c>
      <c r="I52" s="79">
        <v>34</v>
      </c>
      <c r="J52" t="s" s="96">
        <v>37</v>
      </c>
      <c r="K52" s="79">
        <v>1</v>
      </c>
      <c r="L52" s="16"/>
      <c r="M52" s="16"/>
      <c r="N52" s="79">
        <v>1</v>
      </c>
      <c r="O52" s="16"/>
      <c r="P52" s="16"/>
      <c r="Q52" s="16"/>
      <c r="R52" s="16"/>
      <c r="S52" s="16"/>
      <c r="T52" s="79">
        <v>46</v>
      </c>
      <c r="U52" s="16"/>
      <c r="V52" s="16"/>
      <c r="W52" s="16"/>
      <c r="X52" s="79">
        <v>1875</v>
      </c>
      <c r="Y52" s="16"/>
      <c r="Z52" s="16"/>
      <c r="AA52" t="s" s="96">
        <v>1310</v>
      </c>
      <c r="AB52" t="s" s="96">
        <v>1311</v>
      </c>
      <c r="AC52" s="79">
        <v>1</v>
      </c>
      <c r="AD52" s="16"/>
      <c r="AE52" s="16"/>
      <c r="AF52" s="16"/>
      <c r="AG52" t="s" s="96">
        <v>1312</v>
      </c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5.35" customHeight="1">
      <c r="A53" t="s" s="83">
        <v>1251</v>
      </c>
      <c r="B53" s="112">
        <v>2021</v>
      </c>
      <c r="C53" s="112">
        <v>9</v>
      </c>
      <c r="D53" t="s" s="83">
        <v>1252</v>
      </c>
      <c r="E53" s="74"/>
      <c r="F53" s="79">
        <v>6</v>
      </c>
      <c r="G53" t="s" s="96">
        <v>1308</v>
      </c>
      <c r="H53" t="s" s="96">
        <v>1313</v>
      </c>
      <c r="I53" s="79">
        <v>35</v>
      </c>
      <c r="J53" s="79">
        <v>1</v>
      </c>
      <c r="K53" s="16"/>
      <c r="L53" s="16"/>
      <c r="M53" s="16"/>
      <c r="N53" t="s" s="96">
        <v>72</v>
      </c>
      <c r="O53" s="79">
        <v>1</v>
      </c>
      <c r="P53" s="16"/>
      <c r="Q53" s="16"/>
      <c r="R53" s="16"/>
      <c r="S53" s="16"/>
      <c r="T53" s="79">
        <v>46</v>
      </c>
      <c r="U53" s="16"/>
      <c r="V53" s="16"/>
      <c r="W53" s="16"/>
      <c r="X53" s="79">
        <v>1875</v>
      </c>
      <c r="Y53" s="16"/>
      <c r="Z53" s="16"/>
      <c r="AA53" t="s" s="96">
        <v>33</v>
      </c>
      <c r="AB53" t="s" s="96">
        <v>34</v>
      </c>
      <c r="AC53" s="16"/>
      <c r="AD53" s="16"/>
      <c r="AE53" s="16"/>
      <c r="AF53" s="16"/>
      <c r="AG53" t="s" s="96">
        <v>1314</v>
      </c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15.35" customHeight="1">
      <c r="A54" t="s" s="83">
        <v>1251</v>
      </c>
      <c r="B54" s="112">
        <v>2021</v>
      </c>
      <c r="C54" s="112">
        <v>9</v>
      </c>
      <c r="D54" t="s" s="83">
        <v>1252</v>
      </c>
      <c r="E54" s="74"/>
      <c r="F54" s="79">
        <v>6</v>
      </c>
      <c r="G54" t="s" s="96">
        <v>1315</v>
      </c>
      <c r="H54" t="s" s="96">
        <v>262</v>
      </c>
      <c r="I54" s="79">
        <v>36</v>
      </c>
      <c r="J54" s="79">
        <v>1</v>
      </c>
      <c r="K54" s="16"/>
      <c r="L54" s="16"/>
      <c r="M54" s="16"/>
      <c r="N54" t="s" s="96">
        <v>11</v>
      </c>
      <c r="O54" s="16"/>
      <c r="P54" s="16"/>
      <c r="Q54" s="16"/>
      <c r="R54" s="16"/>
      <c r="S54" s="79">
        <v>1</v>
      </c>
      <c r="T54" s="79">
        <v>36</v>
      </c>
      <c r="U54" s="16"/>
      <c r="V54" s="16"/>
      <c r="W54" s="16"/>
      <c r="X54" s="79">
        <v>1885</v>
      </c>
      <c r="Y54" s="16"/>
      <c r="Z54" s="16"/>
      <c r="AA54" t="s" s="96">
        <v>1316</v>
      </c>
      <c r="AB54" t="s" s="96">
        <v>15</v>
      </c>
      <c r="AC54" s="79">
        <v>1</v>
      </c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15.35" customHeight="1">
      <c r="A55" t="s" s="83">
        <v>1251</v>
      </c>
      <c r="B55" s="112">
        <v>2021</v>
      </c>
      <c r="C55" s="112">
        <v>9</v>
      </c>
      <c r="D55" t="s" s="83">
        <v>1252</v>
      </c>
      <c r="E55" s="74"/>
      <c r="F55" s="79">
        <v>6</v>
      </c>
      <c r="G55" t="s" s="96">
        <v>1317</v>
      </c>
      <c r="H55" t="s" s="96">
        <v>593</v>
      </c>
      <c r="I55" s="79">
        <v>37</v>
      </c>
      <c r="J55" s="79">
        <v>1</v>
      </c>
      <c r="K55" s="16"/>
      <c r="L55" s="16"/>
      <c r="M55" s="16"/>
      <c r="N55" t="s" s="96">
        <v>11</v>
      </c>
      <c r="O55" s="16"/>
      <c r="P55" s="16"/>
      <c r="Q55" s="16"/>
      <c r="R55" s="16"/>
      <c r="S55" s="79">
        <v>1</v>
      </c>
      <c r="T55" s="79">
        <v>21</v>
      </c>
      <c r="U55" s="16"/>
      <c r="V55" s="16"/>
      <c r="W55" s="16"/>
      <c r="X55" s="79">
        <v>1900</v>
      </c>
      <c r="Y55" s="16"/>
      <c r="Z55" s="16"/>
      <c r="AA55" t="s" s="96">
        <v>1318</v>
      </c>
      <c r="AB55" t="s" s="96">
        <v>15</v>
      </c>
      <c r="AC55" s="79">
        <v>1</v>
      </c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</row>
    <row r="56" ht="15.35" customHeight="1">
      <c r="A56" s="30"/>
      <c r="B56" s="30"/>
      <c r="C56" s="30"/>
      <c r="D56" s="30"/>
      <c r="E56" s="192"/>
      <c r="F56" s="3"/>
      <c r="G56" s="3"/>
      <c r="H56" s="319">
        <v>4</v>
      </c>
      <c r="I56" s="16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</row>
    <row r="57" ht="15.35" customHeight="1">
      <c r="A57" t="s" s="83">
        <v>1251</v>
      </c>
      <c r="B57" s="112">
        <v>2021</v>
      </c>
      <c r="C57" s="112">
        <v>10</v>
      </c>
      <c r="D57" t="s" s="83">
        <v>1252</v>
      </c>
      <c r="E57" s="195"/>
      <c r="F57" s="6">
        <v>8</v>
      </c>
      <c r="G57" t="s" s="5">
        <v>1319</v>
      </c>
      <c r="H57" t="s" s="5">
        <v>1320</v>
      </c>
      <c r="I57" s="320">
        <v>38</v>
      </c>
      <c r="J57" s="6">
        <v>1</v>
      </c>
      <c r="K57" s="13"/>
      <c r="L57" s="13"/>
      <c r="M57" s="13"/>
      <c r="N57" s="6">
        <v>1</v>
      </c>
      <c r="O57" s="13"/>
      <c r="P57" s="13"/>
      <c r="Q57" s="13"/>
      <c r="R57" s="13"/>
      <c r="S57" s="13"/>
      <c r="T57" s="6">
        <v>63</v>
      </c>
      <c r="U57" s="13"/>
      <c r="V57" s="13"/>
      <c r="W57" s="13"/>
      <c r="X57" s="13"/>
      <c r="Y57" s="13"/>
      <c r="Z57" s="13"/>
      <c r="AA57" t="s" s="5">
        <v>401</v>
      </c>
      <c r="AB57" s="13"/>
      <c r="AC57" s="13"/>
      <c r="AD57" s="13"/>
      <c r="AE57" s="13"/>
      <c r="AF57" s="13"/>
      <c r="AG57" s="6">
        <v>1</v>
      </c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A57" s="13"/>
      <c r="BB57" s="13"/>
      <c r="BC57" s="10"/>
    </row>
    <row r="58" ht="15.35" customHeight="1">
      <c r="A58" t="s" s="83">
        <v>1251</v>
      </c>
      <c r="B58" s="112">
        <v>2021</v>
      </c>
      <c r="C58" s="30"/>
      <c r="D58" t="s" s="83">
        <v>1252</v>
      </c>
      <c r="E58" s="200"/>
      <c r="F58" s="14"/>
      <c r="G58" s="14"/>
      <c r="H58" s="264">
        <v>1</v>
      </c>
      <c r="I58" s="16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</row>
    <row r="59" ht="15.35" customHeight="1">
      <c r="A59" t="s" s="83">
        <v>1251</v>
      </c>
      <c r="B59" s="112">
        <v>2021</v>
      </c>
      <c r="C59" s="30"/>
      <c r="D59" t="s" s="83">
        <v>1252</v>
      </c>
      <c r="E59" s="74"/>
      <c r="F59" s="16"/>
      <c r="G59" t="s" s="96">
        <v>1</v>
      </c>
      <c r="H59" t="s" s="96">
        <v>0</v>
      </c>
      <c r="I59" s="16"/>
      <c r="J59" t="s" s="96">
        <v>3</v>
      </c>
      <c r="K59" s="16"/>
      <c r="L59" s="16"/>
      <c r="M59" s="16"/>
      <c r="N59" t="s" s="96">
        <v>2</v>
      </c>
      <c r="O59" s="16"/>
      <c r="P59" s="16"/>
      <c r="Q59" s="16"/>
      <c r="R59" s="16"/>
      <c r="S59" s="16"/>
      <c r="T59" t="s" s="96">
        <v>5</v>
      </c>
      <c r="U59" s="16"/>
      <c r="V59" s="16"/>
      <c r="W59" s="16"/>
      <c r="X59" t="s" s="96">
        <v>4</v>
      </c>
      <c r="Y59" s="16"/>
      <c r="Z59" s="16"/>
      <c r="AA59" t="s" s="96">
        <v>7</v>
      </c>
      <c r="AB59" t="s" s="96">
        <v>8</v>
      </c>
      <c r="AC59" s="16"/>
      <c r="AD59" s="16"/>
      <c r="AE59" s="16"/>
      <c r="AF59" s="16"/>
      <c r="AG59" t="s" s="96">
        <v>6</v>
      </c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</row>
    <row r="60" ht="15.35" customHeight="1">
      <c r="A60" t="s" s="83">
        <v>1251</v>
      </c>
      <c r="B60" s="112">
        <v>2021</v>
      </c>
      <c r="C60" s="112">
        <v>11</v>
      </c>
      <c r="D60" t="s" s="83">
        <v>1252</v>
      </c>
      <c r="E60" s="74"/>
      <c r="F60" s="79">
        <v>10</v>
      </c>
      <c r="G60" t="s" s="96">
        <v>529</v>
      </c>
      <c r="H60" t="s" s="96">
        <v>1321</v>
      </c>
      <c r="I60" s="79">
        <v>39</v>
      </c>
      <c r="J60" s="79">
        <v>1</v>
      </c>
      <c r="K60" s="16"/>
      <c r="L60" s="16"/>
      <c r="M60" s="16"/>
      <c r="N60" t="s" s="96">
        <v>1032</v>
      </c>
      <c r="O60" s="16"/>
      <c r="P60" s="16"/>
      <c r="Q60" s="16"/>
      <c r="R60" s="79">
        <v>1</v>
      </c>
      <c r="S60" s="16"/>
      <c r="T60" s="79">
        <v>77</v>
      </c>
      <c r="U60" s="16"/>
      <c r="V60" s="16"/>
      <c r="W60" s="16"/>
      <c r="X60" s="79">
        <v>1844</v>
      </c>
      <c r="Y60" s="16"/>
      <c r="Z60" s="16"/>
      <c r="AA60" t="s" s="96">
        <v>34</v>
      </c>
      <c r="AB60" t="s" s="96">
        <v>34</v>
      </c>
      <c r="AC60" s="16"/>
      <c r="AD60" s="16"/>
      <c r="AE60" s="16"/>
      <c r="AF60" s="16"/>
      <c r="AG60" t="s" s="96">
        <v>1322</v>
      </c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5.35" customHeight="1">
      <c r="A61" t="s" s="83">
        <v>1251</v>
      </c>
      <c r="B61" s="112">
        <v>2021</v>
      </c>
      <c r="C61" s="112">
        <v>11</v>
      </c>
      <c r="D61" t="s" s="83">
        <v>1252</v>
      </c>
      <c r="E61" s="74"/>
      <c r="F61" s="79">
        <v>10</v>
      </c>
      <c r="G61" t="s" s="96">
        <v>1323</v>
      </c>
      <c r="H61" t="s" s="96">
        <v>1324</v>
      </c>
      <c r="I61" s="79">
        <v>40</v>
      </c>
      <c r="J61" t="s" s="96">
        <v>37</v>
      </c>
      <c r="K61" s="79">
        <v>1</v>
      </c>
      <c r="L61" s="16"/>
      <c r="M61" s="16"/>
      <c r="N61" t="s" s="96">
        <v>11</v>
      </c>
      <c r="O61" s="16"/>
      <c r="P61" s="16"/>
      <c r="Q61" s="16"/>
      <c r="R61" s="16"/>
      <c r="S61" s="79">
        <v>1</v>
      </c>
      <c r="T61" s="79">
        <v>32</v>
      </c>
      <c r="U61" s="16"/>
      <c r="V61" s="16"/>
      <c r="W61" s="16"/>
      <c r="X61" s="79">
        <v>1888</v>
      </c>
      <c r="Y61" s="16"/>
      <c r="Z61" s="16"/>
      <c r="AA61" t="s" s="96">
        <v>1325</v>
      </c>
      <c r="AB61" t="s" s="96">
        <v>15</v>
      </c>
      <c r="AC61" s="16"/>
      <c r="AD61" s="16"/>
      <c r="AE61" s="16"/>
      <c r="AF61" s="79">
        <v>1</v>
      </c>
      <c r="AG61" t="s" s="96">
        <v>54</v>
      </c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15.35" customHeight="1">
      <c r="A62" t="s" s="83">
        <v>1251</v>
      </c>
      <c r="B62" s="112">
        <v>2021</v>
      </c>
      <c r="C62" s="30"/>
      <c r="D62" t="s" s="83">
        <v>1252</v>
      </c>
      <c r="E62" s="74"/>
      <c r="F62" s="16"/>
      <c r="G62" s="16"/>
      <c r="H62" s="79">
        <v>2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t="s" s="83">
        <v>1251</v>
      </c>
      <c r="B63" s="112">
        <v>2021</v>
      </c>
      <c r="C63" s="30"/>
      <c r="D63" t="s" s="83">
        <v>1252</v>
      </c>
      <c r="E63" s="74"/>
      <c r="F63" s="16"/>
      <c r="G63" t="s" s="96">
        <v>1</v>
      </c>
      <c r="H63" t="s" s="96">
        <v>0</v>
      </c>
      <c r="I63" s="16"/>
      <c r="J63" t="s" s="96">
        <v>3</v>
      </c>
      <c r="K63" s="16"/>
      <c r="L63" s="16"/>
      <c r="M63" s="16"/>
      <c r="N63" t="s" s="96">
        <v>2</v>
      </c>
      <c r="O63" s="16"/>
      <c r="P63" s="16"/>
      <c r="Q63" s="16"/>
      <c r="R63" s="16"/>
      <c r="S63" s="16"/>
      <c r="T63" t="s" s="96">
        <v>5</v>
      </c>
      <c r="U63" s="16"/>
      <c r="V63" s="16"/>
      <c r="W63" s="16"/>
      <c r="X63" t="s" s="96">
        <v>4</v>
      </c>
      <c r="Y63" s="16"/>
      <c r="Z63" s="16"/>
      <c r="AA63" t="s" s="96">
        <v>7</v>
      </c>
      <c r="AB63" t="s" s="96">
        <v>8</v>
      </c>
      <c r="AC63" s="16"/>
      <c r="AD63" s="16"/>
      <c r="AE63" s="16"/>
      <c r="AF63" s="16"/>
      <c r="AG63" t="s" s="96">
        <v>6</v>
      </c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15.35" customHeight="1">
      <c r="A64" t="s" s="83">
        <v>1251</v>
      </c>
      <c r="B64" s="112">
        <v>2021</v>
      </c>
      <c r="C64" s="112">
        <v>12</v>
      </c>
      <c r="D64" t="s" s="83">
        <v>1252</v>
      </c>
      <c r="E64" s="74"/>
      <c r="F64" s="79">
        <v>13</v>
      </c>
      <c r="G64" t="s" s="96">
        <v>1326</v>
      </c>
      <c r="H64" t="s" s="96">
        <v>1327</v>
      </c>
      <c r="I64" s="79">
        <v>41</v>
      </c>
      <c r="J64" s="79">
        <v>1</v>
      </c>
      <c r="K64" s="16"/>
      <c r="L64" s="16"/>
      <c r="M64" s="16"/>
      <c r="N64" s="79">
        <v>1</v>
      </c>
      <c r="O64" s="16"/>
      <c r="P64" s="16"/>
      <c r="Q64" s="16"/>
      <c r="R64" s="16"/>
      <c r="S64" s="16"/>
      <c r="T64" s="79">
        <v>45</v>
      </c>
      <c r="U64" s="16"/>
      <c r="V64" s="16"/>
      <c r="W64" s="16"/>
      <c r="X64" s="79">
        <v>1876</v>
      </c>
      <c r="Y64" s="16"/>
      <c r="Z64" s="16"/>
      <c r="AA64" t="s" s="96">
        <v>94</v>
      </c>
      <c r="AB64" t="s" s="96">
        <v>8</v>
      </c>
      <c r="AC64" s="16"/>
      <c r="AD64" s="79">
        <v>1</v>
      </c>
      <c r="AE64" s="16"/>
      <c r="AF64" s="79">
        <v>1</v>
      </c>
      <c r="AG64" t="s" s="96">
        <v>13</v>
      </c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</row>
    <row r="65" ht="15.35" customHeight="1">
      <c r="A65" t="s" s="83">
        <v>1251</v>
      </c>
      <c r="B65" s="112">
        <v>2021</v>
      </c>
      <c r="C65" s="112">
        <v>12</v>
      </c>
      <c r="D65" t="s" s="83">
        <v>1252</v>
      </c>
      <c r="E65" s="74"/>
      <c r="F65" s="79">
        <v>13</v>
      </c>
      <c r="G65" t="s" s="96">
        <v>1328</v>
      </c>
      <c r="H65" t="s" s="96">
        <v>1329</v>
      </c>
      <c r="I65" s="79">
        <v>42</v>
      </c>
      <c r="J65" s="79">
        <v>1</v>
      </c>
      <c r="K65" s="16"/>
      <c r="L65" s="16"/>
      <c r="M65" s="16"/>
      <c r="N65" t="s" s="96">
        <v>11</v>
      </c>
      <c r="O65" s="16"/>
      <c r="P65" s="16"/>
      <c r="Q65" s="16"/>
      <c r="R65" s="16"/>
      <c r="S65" s="79">
        <v>1</v>
      </c>
      <c r="T65" s="79">
        <v>52</v>
      </c>
      <c r="U65" s="16"/>
      <c r="V65" s="16"/>
      <c r="W65" s="16"/>
      <c r="X65" s="79">
        <v>1869</v>
      </c>
      <c r="Y65" s="16"/>
      <c r="Z65" s="16"/>
      <c r="AA65" t="s" s="96">
        <v>1330</v>
      </c>
      <c r="AB65" t="s" s="96">
        <v>1331</v>
      </c>
      <c r="AC65" s="79">
        <v>1</v>
      </c>
      <c r="AD65" s="16"/>
      <c r="AE65" s="16"/>
      <c r="AF65" s="16"/>
      <c r="AG65" t="s" s="96">
        <v>1332</v>
      </c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</row>
    <row r="66" ht="15.35" customHeight="1">
      <c r="A66" t="s" s="83">
        <v>1251</v>
      </c>
      <c r="B66" s="112">
        <v>2021</v>
      </c>
      <c r="C66" s="112">
        <v>12</v>
      </c>
      <c r="D66" t="s" s="83">
        <v>1252</v>
      </c>
      <c r="E66" s="74"/>
      <c r="F66" s="79">
        <v>13</v>
      </c>
      <c r="G66" t="s" s="96">
        <v>1333</v>
      </c>
      <c r="H66" t="s" s="96">
        <v>1334</v>
      </c>
      <c r="I66" s="79">
        <v>43</v>
      </c>
      <c r="J66" s="79">
        <v>1</v>
      </c>
      <c r="K66" s="16"/>
      <c r="L66" s="16"/>
      <c r="M66" s="16"/>
      <c r="N66" t="s" s="96">
        <v>11</v>
      </c>
      <c r="O66" s="16"/>
      <c r="P66" s="16"/>
      <c r="Q66" s="16"/>
      <c r="R66" s="16"/>
      <c r="S66" s="79">
        <v>1</v>
      </c>
      <c r="T66" s="79">
        <v>21</v>
      </c>
      <c r="U66" s="16"/>
      <c r="V66" s="16"/>
      <c r="W66" s="16"/>
      <c r="X66" s="79">
        <v>1900</v>
      </c>
      <c r="Y66" s="16"/>
      <c r="Z66" s="16"/>
      <c r="AA66" t="s" s="96">
        <v>1335</v>
      </c>
      <c r="AB66" t="s" s="96">
        <v>1336</v>
      </c>
      <c r="AC66" s="79">
        <v>1</v>
      </c>
      <c r="AD66" s="16"/>
      <c r="AE66" s="16"/>
      <c r="AF66" s="16"/>
      <c r="AG66" t="s" s="96">
        <v>1337</v>
      </c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15.35" customHeight="1">
      <c r="A67" t="s" s="83">
        <v>1251</v>
      </c>
      <c r="B67" s="112">
        <v>2021</v>
      </c>
      <c r="C67" s="112">
        <v>12</v>
      </c>
      <c r="D67" t="s" s="83">
        <v>1252</v>
      </c>
      <c r="E67" s="74"/>
      <c r="F67" s="79">
        <v>13</v>
      </c>
      <c r="G67" t="s" s="96">
        <v>616</v>
      </c>
      <c r="H67" t="s" s="96">
        <v>199</v>
      </c>
      <c r="I67" s="79">
        <v>44</v>
      </c>
      <c r="J67" s="79">
        <v>1</v>
      </c>
      <c r="K67" s="16"/>
      <c r="L67" s="16"/>
      <c r="M67" s="16"/>
      <c r="N67" t="s" s="96">
        <v>11</v>
      </c>
      <c r="O67" s="16"/>
      <c r="P67" s="16"/>
      <c r="Q67" s="16"/>
      <c r="R67" s="16"/>
      <c r="S67" s="79">
        <v>1</v>
      </c>
      <c r="T67" s="79">
        <v>18</v>
      </c>
      <c r="U67" s="16"/>
      <c r="V67" s="16"/>
      <c r="W67" s="16"/>
      <c r="X67" s="79">
        <v>1903</v>
      </c>
      <c r="Y67" s="16"/>
      <c r="Z67" s="16"/>
      <c r="AA67" t="s" s="96">
        <v>1335</v>
      </c>
      <c r="AB67" t="s" s="96">
        <v>1331</v>
      </c>
      <c r="AC67" s="79">
        <v>1</v>
      </c>
      <c r="AD67" s="16"/>
      <c r="AE67" s="16"/>
      <c r="AF67" s="79">
        <v>1</v>
      </c>
      <c r="AG67" t="s" s="96">
        <v>986</v>
      </c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15.35" customHeight="1">
      <c r="A68" t="s" s="83">
        <v>1251</v>
      </c>
      <c r="B68" s="112">
        <v>2021</v>
      </c>
      <c r="C68" s="30"/>
      <c r="D68" t="s" s="83">
        <v>1252</v>
      </c>
      <c r="E68" s="74"/>
      <c r="F68" s="16"/>
      <c r="G68" s="16"/>
      <c r="H68" s="79">
        <v>4</v>
      </c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15.35" customHeight="1">
      <c r="A69" t="s" s="83">
        <v>1251</v>
      </c>
      <c r="B69" s="112">
        <v>2021</v>
      </c>
      <c r="C69" s="30"/>
      <c r="D69" t="s" s="83">
        <v>1252</v>
      </c>
      <c r="E69" s="74"/>
      <c r="F69" s="16"/>
      <c r="G69" t="s" s="96">
        <v>1</v>
      </c>
      <c r="H69" t="s" s="96">
        <v>0</v>
      </c>
      <c r="I69" s="16"/>
      <c r="J69" t="s" s="96">
        <v>3</v>
      </c>
      <c r="K69" s="16"/>
      <c r="L69" s="16"/>
      <c r="M69" s="16"/>
      <c r="N69" t="s" s="96">
        <v>2</v>
      </c>
      <c r="O69" s="16"/>
      <c r="P69" s="16"/>
      <c r="Q69" s="16"/>
      <c r="R69" s="16"/>
      <c r="S69" s="16"/>
      <c r="T69" t="s" s="96">
        <v>5</v>
      </c>
      <c r="U69" s="16"/>
      <c r="V69" s="16"/>
      <c r="W69" s="16"/>
      <c r="X69" t="s" s="96">
        <v>4</v>
      </c>
      <c r="Y69" s="16"/>
      <c r="Z69" s="16"/>
      <c r="AA69" t="s" s="96">
        <v>7</v>
      </c>
      <c r="AB69" t="s" s="96">
        <v>8</v>
      </c>
      <c r="AC69" s="16"/>
      <c r="AD69" s="16"/>
      <c r="AE69" s="16"/>
      <c r="AF69" s="16"/>
      <c r="AG69" t="s" s="96">
        <v>6</v>
      </c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15.35" customHeight="1">
      <c r="A70" t="s" s="83">
        <v>1251</v>
      </c>
      <c r="B70" s="112">
        <v>2021</v>
      </c>
      <c r="C70" s="112">
        <v>13</v>
      </c>
      <c r="D70" t="s" s="83">
        <v>1252</v>
      </c>
      <c r="E70" s="74"/>
      <c r="F70" s="79">
        <v>19</v>
      </c>
      <c r="G70" t="s" s="96">
        <v>1338</v>
      </c>
      <c r="H70" t="s" s="96">
        <v>1339</v>
      </c>
      <c r="I70" s="79">
        <v>45</v>
      </c>
      <c r="J70" t="s" s="96">
        <v>37</v>
      </c>
      <c r="K70" s="79">
        <v>1</v>
      </c>
      <c r="L70" s="16"/>
      <c r="M70" s="16"/>
      <c r="N70" s="79">
        <v>1</v>
      </c>
      <c r="O70" s="16"/>
      <c r="P70" s="16"/>
      <c r="Q70" s="16"/>
      <c r="R70" s="16"/>
      <c r="S70" s="16"/>
      <c r="T70" s="79">
        <v>64</v>
      </c>
      <c r="U70" s="16"/>
      <c r="V70" s="16"/>
      <c r="W70" s="16"/>
      <c r="X70" s="79">
        <v>1856</v>
      </c>
      <c r="Y70" s="16"/>
      <c r="Z70" s="16"/>
      <c r="AA70" t="s" s="96">
        <v>1340</v>
      </c>
      <c r="AB70" t="s" s="96">
        <v>1341</v>
      </c>
      <c r="AC70" s="79">
        <v>1</v>
      </c>
      <c r="AD70" s="16"/>
      <c r="AE70" s="16"/>
      <c r="AF70" s="16"/>
      <c r="AG70" t="s" s="96">
        <v>842</v>
      </c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15.35" customHeight="1">
      <c r="A71" t="s" s="83">
        <v>1251</v>
      </c>
      <c r="B71" s="112">
        <v>2021</v>
      </c>
      <c r="C71" s="112">
        <v>13</v>
      </c>
      <c r="D71" t="s" s="83">
        <v>1252</v>
      </c>
      <c r="E71" s="74"/>
      <c r="F71" s="79">
        <v>19</v>
      </c>
      <c r="G71" t="s" s="96">
        <v>1338</v>
      </c>
      <c r="H71" t="s" s="96">
        <v>1342</v>
      </c>
      <c r="I71" s="79">
        <v>46</v>
      </c>
      <c r="J71" s="79">
        <v>1</v>
      </c>
      <c r="K71" s="16"/>
      <c r="L71" s="16"/>
      <c r="M71" s="16"/>
      <c r="N71" t="s" s="96">
        <v>72</v>
      </c>
      <c r="O71" s="79">
        <v>1</v>
      </c>
      <c r="P71" s="16"/>
      <c r="Q71" s="16"/>
      <c r="R71" s="16"/>
      <c r="S71" s="16"/>
      <c r="T71" s="79">
        <v>55</v>
      </c>
      <c r="U71" s="16"/>
      <c r="V71" s="16"/>
      <c r="W71" s="16"/>
      <c r="X71" s="79">
        <v>1866</v>
      </c>
      <c r="Y71" s="16"/>
      <c r="Z71" s="16"/>
      <c r="AA71" t="s" s="96">
        <v>33</v>
      </c>
      <c r="AB71" t="s" s="96">
        <v>34</v>
      </c>
      <c r="AC71" s="16"/>
      <c r="AD71" s="16"/>
      <c r="AE71" s="16"/>
      <c r="AF71" s="16"/>
      <c r="AG71" t="s" s="96">
        <v>1343</v>
      </c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15.35" customHeight="1">
      <c r="A72" t="s" s="83">
        <v>1251</v>
      </c>
      <c r="B72" s="112">
        <v>2021</v>
      </c>
      <c r="C72" s="112">
        <v>13</v>
      </c>
      <c r="D72" t="s" s="83">
        <v>1252</v>
      </c>
      <c r="E72" s="74"/>
      <c r="F72" s="79">
        <v>19</v>
      </c>
      <c r="G72" t="s" s="96">
        <v>1338</v>
      </c>
      <c r="H72" t="s" s="96">
        <v>1344</v>
      </c>
      <c r="I72" s="79">
        <v>47</v>
      </c>
      <c r="J72" t="s" s="96">
        <v>37</v>
      </c>
      <c r="K72" s="79">
        <v>1</v>
      </c>
      <c r="L72" s="16"/>
      <c r="M72" s="16"/>
      <c r="N72" t="s" s="96">
        <v>36</v>
      </c>
      <c r="O72" s="16"/>
      <c r="P72" s="16"/>
      <c r="Q72" s="79">
        <v>1</v>
      </c>
      <c r="R72" s="16"/>
      <c r="S72" s="16"/>
      <c r="T72" s="79">
        <v>22</v>
      </c>
      <c r="U72" s="16"/>
      <c r="V72" s="16"/>
      <c r="W72" s="16"/>
      <c r="X72" s="79">
        <v>1899</v>
      </c>
      <c r="Y72" s="16"/>
      <c r="Z72" s="16"/>
      <c r="AA72" t="s" s="96">
        <v>1345</v>
      </c>
      <c r="AB72" t="s" s="96">
        <v>1346</v>
      </c>
      <c r="AC72" s="79">
        <v>1</v>
      </c>
      <c r="AD72" s="16"/>
      <c r="AE72" s="16"/>
      <c r="AF72" s="79">
        <v>1</v>
      </c>
      <c r="AG72" t="s" s="96">
        <v>13</v>
      </c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</row>
    <row r="73" ht="15.35" customHeight="1">
      <c r="A73" t="s" s="83">
        <v>1251</v>
      </c>
      <c r="B73" s="112">
        <v>2021</v>
      </c>
      <c r="C73" s="112">
        <v>13</v>
      </c>
      <c r="D73" t="s" s="83">
        <v>1252</v>
      </c>
      <c r="E73" s="74"/>
      <c r="F73" s="79">
        <v>19</v>
      </c>
      <c r="G73" t="s" s="96">
        <v>1338</v>
      </c>
      <c r="H73" t="s" s="96">
        <v>545</v>
      </c>
      <c r="I73" s="79">
        <v>48</v>
      </c>
      <c r="J73" s="79">
        <v>1</v>
      </c>
      <c r="K73" s="16"/>
      <c r="L73" s="16"/>
      <c r="M73" s="16"/>
      <c r="N73" t="s" s="96">
        <v>78</v>
      </c>
      <c r="O73" s="16"/>
      <c r="P73" s="79">
        <v>1</v>
      </c>
      <c r="Q73" s="16"/>
      <c r="R73" s="16"/>
      <c r="S73" s="16"/>
      <c r="T73" s="79">
        <v>21</v>
      </c>
      <c r="U73" s="16"/>
      <c r="V73" s="16"/>
      <c r="W73" s="16"/>
      <c r="X73" s="79">
        <v>1900</v>
      </c>
      <c r="Y73" s="16"/>
      <c r="Z73" s="16"/>
      <c r="AA73" t="s" s="96">
        <v>1347</v>
      </c>
      <c r="AB73" t="s" s="96">
        <v>34</v>
      </c>
      <c r="AC73" s="16"/>
      <c r="AD73" s="16"/>
      <c r="AE73" s="16"/>
      <c r="AF73" s="79">
        <v>1</v>
      </c>
      <c r="AG73" t="s" s="96">
        <v>13</v>
      </c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</row>
    <row r="74" ht="15.35" customHeight="1">
      <c r="A74" t="s" s="83">
        <v>1251</v>
      </c>
      <c r="B74" s="112">
        <v>2021</v>
      </c>
      <c r="C74" s="112">
        <v>13</v>
      </c>
      <c r="D74" t="s" s="83">
        <v>1252</v>
      </c>
      <c r="E74" s="74"/>
      <c r="F74" s="79">
        <v>19</v>
      </c>
      <c r="G74" t="s" s="96">
        <v>1338</v>
      </c>
      <c r="H74" t="s" s="96">
        <v>1348</v>
      </c>
      <c r="I74" s="79">
        <v>49</v>
      </c>
      <c r="J74" s="79">
        <v>1</v>
      </c>
      <c r="K74" s="16"/>
      <c r="L74" s="16"/>
      <c r="M74" s="16"/>
      <c r="N74" t="s" s="96">
        <v>78</v>
      </c>
      <c r="O74" s="16"/>
      <c r="P74" s="79">
        <v>1</v>
      </c>
      <c r="Q74" s="16"/>
      <c r="R74" s="16"/>
      <c r="S74" s="16"/>
      <c r="T74" s="79">
        <v>18</v>
      </c>
      <c r="U74" s="16"/>
      <c r="V74" s="16"/>
      <c r="W74" s="16"/>
      <c r="X74" s="79">
        <v>1902</v>
      </c>
      <c r="Y74" s="16"/>
      <c r="Z74" s="16"/>
      <c r="AA74" t="s" s="96">
        <v>33</v>
      </c>
      <c r="AB74" t="s" s="96">
        <v>34</v>
      </c>
      <c r="AC74" s="16"/>
      <c r="AD74" s="16"/>
      <c r="AE74" s="16"/>
      <c r="AF74" s="79">
        <v>1</v>
      </c>
      <c r="AG74" t="s" s="96">
        <v>13</v>
      </c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</row>
    <row r="75" ht="15.35" customHeight="1">
      <c r="A75" t="s" s="83">
        <v>1251</v>
      </c>
      <c r="B75" s="112">
        <v>2021</v>
      </c>
      <c r="C75" s="112">
        <v>13</v>
      </c>
      <c r="D75" t="s" s="83">
        <v>1252</v>
      </c>
      <c r="E75" s="74"/>
      <c r="F75" s="79">
        <v>19</v>
      </c>
      <c r="G75" t="s" s="96">
        <v>1349</v>
      </c>
      <c r="H75" t="s" s="96">
        <v>1350</v>
      </c>
      <c r="I75" s="79">
        <v>50</v>
      </c>
      <c r="J75" s="79">
        <v>1</v>
      </c>
      <c r="K75" s="16"/>
      <c r="L75" s="16"/>
      <c r="M75" s="16"/>
      <c r="N75" t="s" s="96">
        <v>11</v>
      </c>
      <c r="O75" s="16"/>
      <c r="P75" s="16"/>
      <c r="Q75" s="16"/>
      <c r="R75" s="16"/>
      <c r="S75" s="79">
        <v>1</v>
      </c>
      <c r="T75" s="79">
        <v>46</v>
      </c>
      <c r="U75" s="16"/>
      <c r="V75" s="16"/>
      <c r="W75" s="16"/>
      <c r="X75" s="79">
        <v>1875</v>
      </c>
      <c r="Y75" s="16"/>
      <c r="Z75" s="16"/>
      <c r="AA75" t="s" s="96">
        <v>105</v>
      </c>
      <c r="AB75" t="s" s="96">
        <v>15</v>
      </c>
      <c r="AC75" s="79">
        <v>1</v>
      </c>
      <c r="AD75" s="16"/>
      <c r="AE75" s="16"/>
      <c r="AF75" s="16"/>
      <c r="AG75" t="s" s="96">
        <v>1351</v>
      </c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</row>
    <row r="76" ht="15.35" customHeight="1">
      <c r="A76" t="s" s="83">
        <v>1251</v>
      </c>
      <c r="B76" s="112">
        <v>2021</v>
      </c>
      <c r="C76" s="112">
        <v>13</v>
      </c>
      <c r="D76" t="s" s="83">
        <v>1252</v>
      </c>
      <c r="E76" s="74"/>
      <c r="F76" s="79">
        <v>19</v>
      </c>
      <c r="G76" t="s" s="96">
        <v>1352</v>
      </c>
      <c r="H76" t="s" s="96">
        <v>184</v>
      </c>
      <c r="I76" s="79">
        <v>51</v>
      </c>
      <c r="J76" s="79">
        <v>1</v>
      </c>
      <c r="K76" s="16"/>
      <c r="L76" s="16"/>
      <c r="M76" s="16"/>
      <c r="N76" t="s" s="96">
        <v>11</v>
      </c>
      <c r="O76" s="16"/>
      <c r="P76" s="16"/>
      <c r="Q76" s="16"/>
      <c r="R76" s="16"/>
      <c r="S76" s="79">
        <v>1</v>
      </c>
      <c r="T76" s="79">
        <v>16</v>
      </c>
      <c r="U76" s="16"/>
      <c r="V76" s="16"/>
      <c r="W76" s="16"/>
      <c r="X76" s="79">
        <v>1904</v>
      </c>
      <c r="Y76" s="16"/>
      <c r="Z76" s="16"/>
      <c r="AA76" t="s" s="96">
        <v>105</v>
      </c>
      <c r="AB76" t="s" s="96">
        <v>15</v>
      </c>
      <c r="AC76" s="79">
        <v>1</v>
      </c>
      <c r="AD76" s="16"/>
      <c r="AE76" s="16"/>
      <c r="AF76" s="16"/>
      <c r="AG76" t="s" s="96">
        <v>118</v>
      </c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</row>
    <row r="77" ht="15.35" customHeight="1">
      <c r="A77" t="s" s="83">
        <v>1251</v>
      </c>
      <c r="B77" s="112">
        <v>2021</v>
      </c>
      <c r="C77" s="30"/>
      <c r="D77" t="s" s="83">
        <v>1252</v>
      </c>
      <c r="E77" s="74"/>
      <c r="F77" s="16"/>
      <c r="G77" s="16"/>
      <c r="H77" s="79">
        <v>7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</row>
    <row r="78" ht="15.35" customHeight="1">
      <c r="A78" t="s" s="83">
        <v>1251</v>
      </c>
      <c r="B78" s="112">
        <v>2021</v>
      </c>
      <c r="C78" s="30"/>
      <c r="D78" t="s" s="83">
        <v>1252</v>
      </c>
      <c r="E78" s="74"/>
      <c r="F78" s="16"/>
      <c r="G78" t="s" s="96">
        <v>1</v>
      </c>
      <c r="H78" t="s" s="96">
        <v>0</v>
      </c>
      <c r="I78" s="16"/>
      <c r="J78" t="s" s="96">
        <v>3</v>
      </c>
      <c r="K78" s="16"/>
      <c r="L78" s="16"/>
      <c r="M78" s="16"/>
      <c r="N78" t="s" s="96">
        <v>2</v>
      </c>
      <c r="O78" s="16"/>
      <c r="P78" s="16"/>
      <c r="Q78" s="16"/>
      <c r="R78" s="16"/>
      <c r="S78" s="16"/>
      <c r="T78" t="s" s="96">
        <v>5</v>
      </c>
      <c r="U78" s="16"/>
      <c r="V78" s="16"/>
      <c r="W78" s="16"/>
      <c r="X78" t="s" s="96">
        <v>4</v>
      </c>
      <c r="Y78" s="16"/>
      <c r="Z78" s="16"/>
      <c r="AA78" t="s" s="96">
        <v>7</v>
      </c>
      <c r="AB78" t="s" s="96">
        <v>8</v>
      </c>
      <c r="AC78" s="16"/>
      <c r="AD78" s="16"/>
      <c r="AE78" s="16"/>
      <c r="AF78" s="16"/>
      <c r="AG78" t="s" s="96">
        <v>6</v>
      </c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</row>
    <row r="79" ht="15.35" customHeight="1">
      <c r="A79" t="s" s="83">
        <v>1251</v>
      </c>
      <c r="B79" s="112">
        <v>2021</v>
      </c>
      <c r="C79" s="112">
        <v>14</v>
      </c>
      <c r="D79" t="s" s="83">
        <v>1252</v>
      </c>
      <c r="E79" s="74"/>
      <c r="F79" s="79">
        <v>21</v>
      </c>
      <c r="G79" t="s" s="96">
        <v>1353</v>
      </c>
      <c r="H79" t="s" s="96">
        <v>56</v>
      </c>
      <c r="I79" s="79">
        <v>52</v>
      </c>
      <c r="J79" t="s" s="96">
        <v>37</v>
      </c>
      <c r="K79" s="79">
        <v>1</v>
      </c>
      <c r="L79" s="16"/>
      <c r="M79" s="16"/>
      <c r="N79" s="79">
        <v>1</v>
      </c>
      <c r="O79" s="16"/>
      <c r="P79" s="16"/>
      <c r="Q79" s="16"/>
      <c r="R79" s="16"/>
      <c r="S79" s="16"/>
      <c r="T79" s="79">
        <v>58</v>
      </c>
      <c r="U79" s="16"/>
      <c r="V79" s="16"/>
      <c r="W79" s="16"/>
      <c r="X79" s="79">
        <v>1863</v>
      </c>
      <c r="Y79" s="16"/>
      <c r="Z79" s="16"/>
      <c r="AA79" t="s" s="96">
        <v>1097</v>
      </c>
      <c r="AB79" t="s" s="96">
        <v>8</v>
      </c>
      <c r="AC79" s="79">
        <v>1</v>
      </c>
      <c r="AD79" s="79">
        <v>1</v>
      </c>
      <c r="AE79" s="16"/>
      <c r="AF79" s="79">
        <v>1</v>
      </c>
      <c r="AG79" t="s" s="96">
        <v>13</v>
      </c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</row>
    <row r="80" ht="15.35" customHeight="1">
      <c r="A80" t="s" s="83">
        <v>1251</v>
      </c>
      <c r="B80" s="112">
        <v>2021</v>
      </c>
      <c r="C80" s="112">
        <v>14</v>
      </c>
      <c r="D80" t="s" s="83">
        <v>1252</v>
      </c>
      <c r="E80" s="74"/>
      <c r="F80" s="79">
        <v>21</v>
      </c>
      <c r="G80" t="s" s="96">
        <v>1353</v>
      </c>
      <c r="H80" t="s" s="96">
        <v>1354</v>
      </c>
      <c r="I80" s="79">
        <v>53</v>
      </c>
      <c r="J80" s="79">
        <v>1</v>
      </c>
      <c r="K80" s="16"/>
      <c r="L80" s="16"/>
      <c r="M80" s="16"/>
      <c r="N80" t="s" s="96">
        <v>72</v>
      </c>
      <c r="O80" s="79">
        <v>1</v>
      </c>
      <c r="P80" s="16"/>
      <c r="Q80" s="16"/>
      <c r="R80" s="16"/>
      <c r="S80" s="16"/>
      <c r="T80" s="79">
        <v>51</v>
      </c>
      <c r="U80" s="16"/>
      <c r="V80" s="16"/>
      <c r="W80" s="16"/>
      <c r="X80" s="79">
        <v>1870</v>
      </c>
      <c r="Y80" s="16"/>
      <c r="Z80" s="16"/>
      <c r="AA80" t="s" s="96">
        <v>33</v>
      </c>
      <c r="AB80" t="s" s="96">
        <v>34</v>
      </c>
      <c r="AC80" s="16"/>
      <c r="AD80" s="16"/>
      <c r="AE80" s="16"/>
      <c r="AF80" s="79">
        <v>1</v>
      </c>
      <c r="AG80" t="s" s="96">
        <v>507</v>
      </c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</row>
    <row r="81" ht="15.35" customHeight="1">
      <c r="A81" t="s" s="83">
        <v>1251</v>
      </c>
      <c r="B81" s="112">
        <v>2021</v>
      </c>
      <c r="C81" s="112">
        <v>14</v>
      </c>
      <c r="D81" t="s" s="83">
        <v>1252</v>
      </c>
      <c r="E81" s="74"/>
      <c r="F81" s="79">
        <v>21</v>
      </c>
      <c r="G81" t="s" s="96">
        <v>1353</v>
      </c>
      <c r="H81" t="s" s="96">
        <v>1355</v>
      </c>
      <c r="I81" s="79">
        <v>54</v>
      </c>
      <c r="J81" s="79">
        <v>1</v>
      </c>
      <c r="K81" s="16"/>
      <c r="L81" s="16"/>
      <c r="M81" s="16"/>
      <c r="N81" t="s" s="96">
        <v>78</v>
      </c>
      <c r="O81" s="16"/>
      <c r="P81" s="79">
        <v>1</v>
      </c>
      <c r="Q81" s="16"/>
      <c r="R81" s="16"/>
      <c r="S81" s="16"/>
      <c r="T81" s="79">
        <v>28</v>
      </c>
      <c r="U81" s="16"/>
      <c r="V81" s="16"/>
      <c r="W81" s="16"/>
      <c r="X81" s="79">
        <v>1893</v>
      </c>
      <c r="Y81" s="16"/>
      <c r="Z81" s="16"/>
      <c r="AA81" t="s" s="96">
        <v>1356</v>
      </c>
      <c r="AB81" t="s" s="96">
        <v>1357</v>
      </c>
      <c r="AC81" s="79">
        <v>1</v>
      </c>
      <c r="AD81" s="16"/>
      <c r="AE81" s="16"/>
      <c r="AF81" s="79">
        <v>1</v>
      </c>
      <c r="AG81" t="s" s="96">
        <v>13</v>
      </c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</row>
    <row r="82" ht="15.35" customHeight="1">
      <c r="A82" t="s" s="83">
        <v>1251</v>
      </c>
      <c r="B82" s="112">
        <v>2021</v>
      </c>
      <c r="C82" s="112">
        <v>14</v>
      </c>
      <c r="D82" t="s" s="83">
        <v>1252</v>
      </c>
      <c r="E82" s="74"/>
      <c r="F82" s="79">
        <v>21</v>
      </c>
      <c r="G82" t="s" s="96">
        <v>1206</v>
      </c>
      <c r="H82" t="s" s="96">
        <v>184</v>
      </c>
      <c r="I82" s="79">
        <v>55</v>
      </c>
      <c r="J82" s="79">
        <v>1</v>
      </c>
      <c r="K82" s="16"/>
      <c r="L82" s="16"/>
      <c r="M82" s="16"/>
      <c r="N82" t="s" s="96">
        <v>11</v>
      </c>
      <c r="O82" s="16"/>
      <c r="P82" s="16"/>
      <c r="Q82" s="16"/>
      <c r="R82" s="16"/>
      <c r="S82" s="79">
        <v>1</v>
      </c>
      <c r="T82" s="79">
        <v>21</v>
      </c>
      <c r="U82" s="16"/>
      <c r="V82" s="16"/>
      <c r="W82" s="16"/>
      <c r="X82" s="79">
        <v>1900</v>
      </c>
      <c r="Y82" s="16"/>
      <c r="Z82" s="16"/>
      <c r="AA82" t="s" s="96">
        <v>105</v>
      </c>
      <c r="AB82" t="s" s="96">
        <v>15</v>
      </c>
      <c r="AC82" s="79">
        <v>1</v>
      </c>
      <c r="AD82" s="16"/>
      <c r="AE82" s="16"/>
      <c r="AF82" s="79">
        <v>1</v>
      </c>
      <c r="AG82" t="s" s="96">
        <v>13</v>
      </c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</row>
    <row r="83" ht="15.35" customHeight="1">
      <c r="A83" t="s" s="83">
        <v>1251</v>
      </c>
      <c r="B83" s="112">
        <v>2021</v>
      </c>
      <c r="C83" s="112">
        <v>14</v>
      </c>
      <c r="D83" t="s" s="83">
        <v>1252</v>
      </c>
      <c r="E83" s="74"/>
      <c r="F83" s="79">
        <v>21</v>
      </c>
      <c r="G83" t="s" s="96">
        <v>1358</v>
      </c>
      <c r="H83" t="s" s="96">
        <v>109</v>
      </c>
      <c r="I83" s="79">
        <v>56</v>
      </c>
      <c r="J83" s="79">
        <v>1</v>
      </c>
      <c r="K83" s="16"/>
      <c r="L83" s="16"/>
      <c r="M83" s="16"/>
      <c r="N83" t="s" s="96">
        <v>11</v>
      </c>
      <c r="O83" s="16"/>
      <c r="P83" s="16"/>
      <c r="Q83" s="16"/>
      <c r="R83" s="16"/>
      <c r="S83" s="79">
        <v>1</v>
      </c>
      <c r="T83" s="79">
        <v>21</v>
      </c>
      <c r="U83" s="16"/>
      <c r="V83" s="16"/>
      <c r="W83" s="16"/>
      <c r="X83" s="79">
        <v>1900</v>
      </c>
      <c r="Y83" s="16"/>
      <c r="Z83" s="16"/>
      <c r="AA83" t="s" s="96">
        <v>105</v>
      </c>
      <c r="AB83" t="s" s="96">
        <v>15</v>
      </c>
      <c r="AC83" s="79">
        <v>1</v>
      </c>
      <c r="AD83" s="16"/>
      <c r="AE83" s="16"/>
      <c r="AF83" s="16"/>
      <c r="AG83" t="s" s="96">
        <v>1359</v>
      </c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</row>
    <row r="84" ht="15.35" customHeight="1">
      <c r="A84" t="s" s="83">
        <v>1251</v>
      </c>
      <c r="B84" s="112">
        <v>2021</v>
      </c>
      <c r="C84" s="30"/>
      <c r="D84" t="s" s="83">
        <v>1252</v>
      </c>
      <c r="E84" s="74"/>
      <c r="F84" s="16"/>
      <c r="G84" s="16"/>
      <c r="H84" s="79">
        <v>5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</row>
    <row r="85" ht="15.35" customHeight="1">
      <c r="A85" t="s" s="83">
        <v>1251</v>
      </c>
      <c r="B85" s="112">
        <v>2021</v>
      </c>
      <c r="C85" s="30"/>
      <c r="D85" t="s" s="83">
        <v>1252</v>
      </c>
      <c r="E85" s="74"/>
      <c r="F85" s="16"/>
      <c r="G85" t="s" s="96">
        <v>1</v>
      </c>
      <c r="H85" t="s" s="96">
        <v>0</v>
      </c>
      <c r="I85" s="16"/>
      <c r="J85" t="s" s="96">
        <v>3</v>
      </c>
      <c r="K85" s="16"/>
      <c r="L85" s="16"/>
      <c r="M85" s="16"/>
      <c r="N85" t="s" s="96">
        <v>2</v>
      </c>
      <c r="O85" s="16"/>
      <c r="P85" s="16"/>
      <c r="Q85" s="16"/>
      <c r="R85" s="16"/>
      <c r="S85" s="16"/>
      <c r="T85" t="s" s="96">
        <v>5</v>
      </c>
      <c r="U85" s="16"/>
      <c r="V85" s="16"/>
      <c r="W85" s="16"/>
      <c r="X85" t="s" s="96">
        <v>4</v>
      </c>
      <c r="Y85" s="16"/>
      <c r="Z85" s="16"/>
      <c r="AA85" t="s" s="96">
        <v>7</v>
      </c>
      <c r="AB85" t="s" s="96">
        <v>8</v>
      </c>
      <c r="AC85" s="16"/>
      <c r="AD85" s="16"/>
      <c r="AE85" s="16"/>
      <c r="AF85" s="16"/>
      <c r="AG85" t="s" s="96">
        <v>6</v>
      </c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</row>
    <row r="86" ht="15.35" customHeight="1">
      <c r="A86" t="s" s="83">
        <v>1251</v>
      </c>
      <c r="B86" s="112">
        <v>2021</v>
      </c>
      <c r="C86" s="112">
        <v>15</v>
      </c>
      <c r="D86" t="s" s="83">
        <v>1252</v>
      </c>
      <c r="E86" s="74"/>
      <c r="F86" s="79">
        <v>23</v>
      </c>
      <c r="G86" t="s" s="96">
        <v>1360</v>
      </c>
      <c r="H86" t="s" s="96">
        <v>135</v>
      </c>
      <c r="I86" s="79">
        <v>57</v>
      </c>
      <c r="J86" t="s" s="96">
        <v>37</v>
      </c>
      <c r="K86" s="79">
        <v>1</v>
      </c>
      <c r="L86" s="16"/>
      <c r="M86" s="16"/>
      <c r="N86" s="79">
        <v>1</v>
      </c>
      <c r="O86" s="16"/>
      <c r="P86" s="16"/>
      <c r="Q86" s="16"/>
      <c r="R86" s="16"/>
      <c r="S86" s="16"/>
      <c r="T86" s="79">
        <v>37</v>
      </c>
      <c r="U86" s="16"/>
      <c r="V86" s="16"/>
      <c r="W86" s="16"/>
      <c r="X86" s="79">
        <v>1884</v>
      </c>
      <c r="Y86" s="16"/>
      <c r="Z86" s="16"/>
      <c r="AA86" t="s" s="96">
        <v>1361</v>
      </c>
      <c r="AB86" t="s" s="96">
        <v>8</v>
      </c>
      <c r="AC86" s="79">
        <v>1</v>
      </c>
      <c r="AD86" s="79">
        <v>1</v>
      </c>
      <c r="AE86" s="16"/>
      <c r="AF86" s="79">
        <v>1</v>
      </c>
      <c r="AG86" t="s" s="96">
        <v>13</v>
      </c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5.35" customHeight="1">
      <c r="A87" t="s" s="83">
        <v>1251</v>
      </c>
      <c r="B87" s="112">
        <v>2021</v>
      </c>
      <c r="C87" s="112">
        <v>15</v>
      </c>
      <c r="D87" t="s" s="83">
        <v>1252</v>
      </c>
      <c r="E87" s="74"/>
      <c r="F87" s="79">
        <v>23</v>
      </c>
      <c r="G87" t="s" s="96">
        <v>1360</v>
      </c>
      <c r="H87" t="s" s="96">
        <v>115</v>
      </c>
      <c r="I87" s="79">
        <v>58</v>
      </c>
      <c r="J87" s="79">
        <v>1</v>
      </c>
      <c r="K87" s="16"/>
      <c r="L87" s="16"/>
      <c r="M87" s="16"/>
      <c r="N87" t="s" s="96">
        <v>72</v>
      </c>
      <c r="O87" s="79">
        <v>1</v>
      </c>
      <c r="P87" s="16"/>
      <c r="Q87" s="16"/>
      <c r="R87" s="16"/>
      <c r="S87" s="16"/>
      <c r="T87" s="79">
        <v>38</v>
      </c>
      <c r="U87" s="16"/>
      <c r="V87" s="16"/>
      <c r="W87" s="16"/>
      <c r="X87" s="79">
        <v>1883</v>
      </c>
      <c r="Y87" s="16"/>
      <c r="Z87" s="16"/>
      <c r="AA87" t="s" s="96">
        <v>34</v>
      </c>
      <c r="AB87" t="s" s="96">
        <v>34</v>
      </c>
      <c r="AC87" s="16"/>
      <c r="AD87" s="16"/>
      <c r="AE87" s="16"/>
      <c r="AF87" s="79">
        <v>1</v>
      </c>
      <c r="AG87" t="s" s="96">
        <v>507</v>
      </c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</row>
    <row r="88" ht="15.35" customHeight="1">
      <c r="A88" t="s" s="83">
        <v>1251</v>
      </c>
      <c r="B88" s="112">
        <v>2021</v>
      </c>
      <c r="C88" s="112">
        <v>15</v>
      </c>
      <c r="D88" t="s" s="83">
        <v>1252</v>
      </c>
      <c r="E88" s="74"/>
      <c r="F88" s="79">
        <v>23</v>
      </c>
      <c r="G88" t="s" s="96">
        <v>1360</v>
      </c>
      <c r="H88" t="s" s="96">
        <v>1238</v>
      </c>
      <c r="I88" s="79">
        <v>59</v>
      </c>
      <c r="J88" t="s" s="96">
        <v>12</v>
      </c>
      <c r="K88" s="16"/>
      <c r="L88" s="79">
        <v>1</v>
      </c>
      <c r="M88" s="16"/>
      <c r="N88" t="s" s="96">
        <v>78</v>
      </c>
      <c r="O88" s="16"/>
      <c r="P88" s="79">
        <v>1</v>
      </c>
      <c r="Q88" s="16"/>
      <c r="R88" s="16"/>
      <c r="S88" s="16"/>
      <c r="T88" s="79">
        <v>8</v>
      </c>
      <c r="U88" s="16"/>
      <c r="V88" s="16"/>
      <c r="W88" s="16"/>
      <c r="X88" s="79">
        <v>1912</v>
      </c>
      <c r="Y88" s="16"/>
      <c r="Z88" s="16"/>
      <c r="AA88" t="s" s="96">
        <v>34</v>
      </c>
      <c r="AB88" t="s" s="96">
        <v>34</v>
      </c>
      <c r="AC88" s="16"/>
      <c r="AD88" s="16"/>
      <c r="AE88" s="16"/>
      <c r="AF88" s="79">
        <v>1</v>
      </c>
      <c r="AG88" t="s" s="96">
        <v>13</v>
      </c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15.35" customHeight="1">
      <c r="A89" t="s" s="83">
        <v>1251</v>
      </c>
      <c r="B89" s="112">
        <v>2021</v>
      </c>
      <c r="C89" s="112">
        <v>15</v>
      </c>
      <c r="D89" t="s" s="83">
        <v>1252</v>
      </c>
      <c r="E89" s="74"/>
      <c r="F89" s="79">
        <v>23</v>
      </c>
      <c r="G89" t="s" s="96">
        <v>1360</v>
      </c>
      <c r="H89" t="s" s="96">
        <v>510</v>
      </c>
      <c r="I89" s="79">
        <v>60</v>
      </c>
      <c r="J89" t="s" s="96">
        <v>12</v>
      </c>
      <c r="K89" s="16"/>
      <c r="L89" s="79">
        <v>1</v>
      </c>
      <c r="M89" s="16"/>
      <c r="N89" t="s" s="96">
        <v>78</v>
      </c>
      <c r="O89" s="16"/>
      <c r="P89" s="79">
        <v>1</v>
      </c>
      <c r="Q89" s="16"/>
      <c r="R89" s="16"/>
      <c r="S89" s="16"/>
      <c r="T89" s="79">
        <v>6</v>
      </c>
      <c r="U89" s="16"/>
      <c r="V89" s="16"/>
      <c r="W89" s="16"/>
      <c r="X89" s="79">
        <v>1914</v>
      </c>
      <c r="Y89" s="16"/>
      <c r="Z89" s="16"/>
      <c r="AA89" t="s" s="96">
        <v>34</v>
      </c>
      <c r="AB89" t="s" s="96">
        <v>34</v>
      </c>
      <c r="AC89" s="16"/>
      <c r="AD89" s="16"/>
      <c r="AE89" s="16"/>
      <c r="AF89" s="79">
        <v>1</v>
      </c>
      <c r="AG89" t="s" s="96">
        <v>13</v>
      </c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15.35" customHeight="1">
      <c r="A90" t="s" s="83">
        <v>1251</v>
      </c>
      <c r="B90" s="112">
        <v>2021</v>
      </c>
      <c r="C90" s="112">
        <v>15</v>
      </c>
      <c r="D90" t="s" s="83">
        <v>1252</v>
      </c>
      <c r="E90" s="74"/>
      <c r="F90" s="79">
        <v>23</v>
      </c>
      <c r="G90" t="s" s="96">
        <v>1362</v>
      </c>
      <c r="H90" t="s" s="96">
        <v>1363</v>
      </c>
      <c r="I90" s="79">
        <v>61</v>
      </c>
      <c r="J90" s="79">
        <v>1</v>
      </c>
      <c r="K90" s="16"/>
      <c r="L90" s="16"/>
      <c r="M90" s="16"/>
      <c r="N90" t="s" s="96">
        <v>146</v>
      </c>
      <c r="O90" s="16"/>
      <c r="P90" s="16"/>
      <c r="Q90" s="16"/>
      <c r="R90" s="79">
        <v>1</v>
      </c>
      <c r="S90" s="16"/>
      <c r="T90" s="79">
        <v>31</v>
      </c>
      <c r="U90" s="16"/>
      <c r="V90" s="16"/>
      <c r="W90" s="16"/>
      <c r="X90" s="79">
        <v>1890</v>
      </c>
      <c r="Y90" s="16"/>
      <c r="Z90" s="16"/>
      <c r="AA90" t="s" s="96">
        <v>146</v>
      </c>
      <c r="AB90" t="s" s="96">
        <v>15</v>
      </c>
      <c r="AC90" s="79">
        <v>1</v>
      </c>
      <c r="AD90" s="16"/>
      <c r="AE90" s="16"/>
      <c r="AF90" s="16"/>
      <c r="AG90" t="s" s="96">
        <v>1364</v>
      </c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</row>
    <row r="91" ht="15.35" customHeight="1">
      <c r="A91" t="s" s="83">
        <v>1251</v>
      </c>
      <c r="B91" s="112">
        <v>2021</v>
      </c>
      <c r="C91" s="112">
        <v>15</v>
      </c>
      <c r="D91" t="s" s="83">
        <v>1252</v>
      </c>
      <c r="E91" s="74"/>
      <c r="F91" s="79">
        <v>23</v>
      </c>
      <c r="G91" t="s" s="96">
        <v>1365</v>
      </c>
      <c r="H91" t="s" s="96">
        <v>231</v>
      </c>
      <c r="I91" s="79">
        <v>62</v>
      </c>
      <c r="J91" s="79">
        <v>1</v>
      </c>
      <c r="K91" s="16"/>
      <c r="L91" s="16"/>
      <c r="M91" s="16"/>
      <c r="N91" t="s" s="96">
        <v>11</v>
      </c>
      <c r="O91" s="16"/>
      <c r="P91" s="16"/>
      <c r="Q91" s="16"/>
      <c r="R91" s="16"/>
      <c r="S91" s="79">
        <v>1</v>
      </c>
      <c r="T91" s="79">
        <v>15</v>
      </c>
      <c r="U91" s="16"/>
      <c r="V91" s="16"/>
      <c r="W91" s="16"/>
      <c r="X91" s="79">
        <v>1905</v>
      </c>
      <c r="Y91" s="16"/>
      <c r="Z91" s="16"/>
      <c r="AA91" t="s" s="96">
        <v>188</v>
      </c>
      <c r="AB91" t="s" s="96">
        <v>15</v>
      </c>
      <c r="AC91" s="79">
        <v>1</v>
      </c>
      <c r="AD91" s="16"/>
      <c r="AE91" s="16"/>
      <c r="AF91" s="79">
        <v>1</v>
      </c>
      <c r="AG91" t="s" s="96">
        <v>13</v>
      </c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5.35" customHeight="1">
      <c r="A92" t="s" s="83">
        <v>1251</v>
      </c>
      <c r="B92" s="112">
        <v>2021</v>
      </c>
      <c r="C92" s="30"/>
      <c r="D92" t="s" s="83">
        <v>1252</v>
      </c>
      <c r="E92" s="74"/>
      <c r="F92" s="16"/>
      <c r="G92" s="16"/>
      <c r="H92" s="79">
        <v>6</v>
      </c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15.35" customHeight="1">
      <c r="A93" t="s" s="83">
        <v>1251</v>
      </c>
      <c r="B93" s="112">
        <v>2021</v>
      </c>
      <c r="C93" s="30"/>
      <c r="D93" t="s" s="83">
        <v>1252</v>
      </c>
      <c r="E93" s="192"/>
      <c r="F93" s="3"/>
      <c r="G93" t="s" s="2">
        <v>1</v>
      </c>
      <c r="H93" t="s" s="2">
        <v>0</v>
      </c>
      <c r="I93" s="16"/>
      <c r="J93" t="s" s="2">
        <v>3</v>
      </c>
      <c r="K93" s="3"/>
      <c r="L93" s="3"/>
      <c r="M93" s="3"/>
      <c r="N93" t="s" s="2">
        <v>2</v>
      </c>
      <c r="O93" s="3"/>
      <c r="P93" s="3"/>
      <c r="Q93" s="3"/>
      <c r="R93" s="3"/>
      <c r="S93" s="3"/>
      <c r="T93" t="s" s="2">
        <v>5</v>
      </c>
      <c r="U93" s="3"/>
      <c r="V93" s="3"/>
      <c r="W93" s="3"/>
      <c r="X93" t="s" s="2">
        <v>4</v>
      </c>
      <c r="Y93" s="3"/>
      <c r="Z93" s="3"/>
      <c r="AA93" t="s" s="2">
        <v>7</v>
      </c>
      <c r="AB93" t="s" s="2">
        <v>8</v>
      </c>
      <c r="AC93" s="3"/>
      <c r="AD93" s="3"/>
      <c r="AE93" s="3"/>
      <c r="AF93" s="3"/>
      <c r="AG93" t="s" s="2">
        <v>6</v>
      </c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</row>
    <row r="94" ht="15.35" customHeight="1">
      <c r="A94" t="s" s="83">
        <v>1251</v>
      </c>
      <c r="B94" s="112">
        <v>2021</v>
      </c>
      <c r="C94" s="112">
        <v>16</v>
      </c>
      <c r="D94" t="s" s="83">
        <v>1252</v>
      </c>
      <c r="E94" s="195"/>
      <c r="F94" s="6">
        <v>27</v>
      </c>
      <c r="G94" t="s" s="5">
        <v>1366</v>
      </c>
      <c r="H94" t="s" s="5">
        <v>95</v>
      </c>
      <c r="I94" s="320">
        <v>63</v>
      </c>
      <c r="J94" s="6">
        <v>1</v>
      </c>
      <c r="K94" s="13"/>
      <c r="L94" s="13"/>
      <c r="M94" s="13"/>
      <c r="N94" t="s" s="5">
        <v>45</v>
      </c>
      <c r="O94" s="13"/>
      <c r="P94" s="13"/>
      <c r="Q94" s="13"/>
      <c r="R94" s="13"/>
      <c r="S94" s="6">
        <v>1</v>
      </c>
      <c r="T94" s="6">
        <v>38</v>
      </c>
      <c r="U94" s="13"/>
      <c r="V94" s="13"/>
      <c r="W94" s="13"/>
      <c r="X94" s="6">
        <v>1883</v>
      </c>
      <c r="Y94" s="13"/>
      <c r="Z94" s="13"/>
      <c r="AA94" t="s" s="5">
        <v>45</v>
      </c>
      <c r="AB94" t="s" s="5">
        <v>15</v>
      </c>
      <c r="AC94" s="6">
        <v>1</v>
      </c>
      <c r="AD94" s="13"/>
      <c r="AE94" s="13"/>
      <c r="AF94" s="13"/>
      <c r="AG94" t="s" s="5">
        <v>34</v>
      </c>
      <c r="AH94" s="13"/>
      <c r="AI94" s="13"/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  <c r="AU94" s="13"/>
      <c r="AV94" s="13"/>
      <c r="AW94" s="13"/>
      <c r="AX94" s="13"/>
      <c r="AY94" s="13"/>
      <c r="AZ94" s="13"/>
      <c r="BA94" s="13"/>
      <c r="BB94" s="13"/>
      <c r="BC94" s="10"/>
    </row>
    <row r="95" ht="15.35" customHeight="1">
      <c r="A95" t="s" s="83">
        <v>1251</v>
      </c>
      <c r="B95" s="112">
        <v>2021</v>
      </c>
      <c r="C95" s="112">
        <v>16</v>
      </c>
      <c r="D95" t="s" s="83">
        <v>1252</v>
      </c>
      <c r="E95" s="321"/>
      <c r="F95" s="6">
        <v>27</v>
      </c>
      <c r="G95" t="s" s="322">
        <v>1367</v>
      </c>
      <c r="H95" t="s" s="285">
        <v>1268</v>
      </c>
      <c r="I95" s="79">
        <v>64</v>
      </c>
      <c r="J95" s="264">
        <v>1</v>
      </c>
      <c r="K95" s="14"/>
      <c r="L95" s="14"/>
      <c r="M95" s="14"/>
      <c r="N95" t="s" s="285">
        <v>1368</v>
      </c>
      <c r="O95" s="14"/>
      <c r="P95" s="14"/>
      <c r="Q95" s="14"/>
      <c r="R95" s="14"/>
      <c r="S95" s="264">
        <v>1</v>
      </c>
      <c r="T95" s="264">
        <v>33</v>
      </c>
      <c r="U95" s="14"/>
      <c r="V95" s="14"/>
      <c r="W95" s="14"/>
      <c r="X95" s="264">
        <v>1887</v>
      </c>
      <c r="Y95" s="14"/>
      <c r="Z95" s="14"/>
      <c r="AA95" t="s" s="285">
        <v>1368</v>
      </c>
      <c r="AB95" t="s" s="285">
        <v>15</v>
      </c>
      <c r="AC95" s="264">
        <v>1</v>
      </c>
      <c r="AD95" s="14"/>
      <c r="AE95" s="14"/>
      <c r="AF95" s="14"/>
      <c r="AG95" t="s" s="285">
        <v>1015</v>
      </c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</row>
    <row r="96" ht="15.35" customHeight="1">
      <c r="A96" t="s" s="83">
        <v>1251</v>
      </c>
      <c r="B96" s="112">
        <v>2021</v>
      </c>
      <c r="C96" s="112">
        <v>16</v>
      </c>
      <c r="D96" t="s" s="83">
        <v>1252</v>
      </c>
      <c r="E96" s="323"/>
      <c r="F96" s="6">
        <v>27</v>
      </c>
      <c r="G96" t="s" s="324">
        <v>1369</v>
      </c>
      <c r="H96" t="s" s="96">
        <v>79</v>
      </c>
      <c r="I96" s="79">
        <v>65</v>
      </c>
      <c r="J96" s="79">
        <v>1</v>
      </c>
      <c r="K96" s="16"/>
      <c r="L96" s="16"/>
      <c r="M96" s="16"/>
      <c r="N96" t="s" s="96">
        <v>475</v>
      </c>
      <c r="O96" s="16"/>
      <c r="P96" s="16"/>
      <c r="Q96" s="16"/>
      <c r="R96" s="16"/>
      <c r="S96" s="79">
        <v>1</v>
      </c>
      <c r="T96" s="79">
        <v>47</v>
      </c>
      <c r="U96" s="16"/>
      <c r="V96" s="16"/>
      <c r="W96" s="16"/>
      <c r="X96" s="79">
        <v>1873</v>
      </c>
      <c r="Y96" s="16"/>
      <c r="Z96" s="16"/>
      <c r="AA96" t="s" s="96">
        <v>475</v>
      </c>
      <c r="AB96" t="s" s="96">
        <v>15</v>
      </c>
      <c r="AC96" s="79">
        <v>1</v>
      </c>
      <c r="AD96" s="16"/>
      <c r="AE96" s="16"/>
      <c r="AF96" s="16"/>
      <c r="AG96" t="s" s="96">
        <v>1015</v>
      </c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</row>
    <row r="97" ht="15.35" customHeight="1">
      <c r="A97" t="s" s="83">
        <v>1251</v>
      </c>
      <c r="B97" s="112">
        <v>2021</v>
      </c>
      <c r="C97" s="112">
        <v>16</v>
      </c>
      <c r="D97" t="s" s="83">
        <v>1252</v>
      </c>
      <c r="E97" s="323"/>
      <c r="F97" s="6">
        <v>27</v>
      </c>
      <c r="G97" t="s" s="324">
        <v>1370</v>
      </c>
      <c r="H97" t="s" s="96">
        <v>1371</v>
      </c>
      <c r="I97" s="79">
        <v>66</v>
      </c>
      <c r="J97" s="79">
        <v>1</v>
      </c>
      <c r="K97" s="16"/>
      <c r="L97" s="16"/>
      <c r="M97" s="16"/>
      <c r="N97" t="s" s="96">
        <v>126</v>
      </c>
      <c r="O97" s="16"/>
      <c r="P97" s="16"/>
      <c r="Q97" s="16"/>
      <c r="R97" s="16"/>
      <c r="S97" s="79">
        <v>1</v>
      </c>
      <c r="T97" s="79">
        <v>20</v>
      </c>
      <c r="U97" s="16"/>
      <c r="V97" s="16"/>
      <c r="W97" s="16"/>
      <c r="X97" s="79">
        <v>1901</v>
      </c>
      <c r="Y97" s="16"/>
      <c r="Z97" s="16"/>
      <c r="AA97" t="s" s="96">
        <v>126</v>
      </c>
      <c r="AB97" t="s" s="96">
        <v>15</v>
      </c>
      <c r="AC97" s="79">
        <v>1</v>
      </c>
      <c r="AD97" s="16"/>
      <c r="AE97" s="16"/>
      <c r="AF97" s="16"/>
      <c r="AG97" t="s" s="96">
        <v>183</v>
      </c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</row>
    <row r="98" ht="15.35" customHeight="1">
      <c r="A98" t="s" s="83">
        <v>1251</v>
      </c>
      <c r="B98" s="112">
        <v>2021</v>
      </c>
      <c r="C98" s="112">
        <v>16</v>
      </c>
      <c r="D98" t="s" s="83">
        <v>1252</v>
      </c>
      <c r="E98" s="323"/>
      <c r="F98" s="6">
        <v>27</v>
      </c>
      <c r="G98" t="s" s="324">
        <v>1372</v>
      </c>
      <c r="H98" t="s" s="96">
        <v>1144</v>
      </c>
      <c r="I98" s="79">
        <v>67</v>
      </c>
      <c r="J98" s="79">
        <v>1</v>
      </c>
      <c r="K98" s="16"/>
      <c r="L98" s="16"/>
      <c r="M98" s="16"/>
      <c r="N98" t="s" s="96">
        <v>1373</v>
      </c>
      <c r="O98" s="16"/>
      <c r="P98" s="16"/>
      <c r="Q98" s="16"/>
      <c r="R98" s="79">
        <v>1</v>
      </c>
      <c r="S98" s="16"/>
      <c r="T98" s="79">
        <v>35</v>
      </c>
      <c r="U98" s="16"/>
      <c r="V98" s="16"/>
      <c r="W98" s="16"/>
      <c r="X98" s="79">
        <v>1886</v>
      </c>
      <c r="Y98" s="16"/>
      <c r="Z98" s="16"/>
      <c r="AA98" t="s" s="96">
        <v>1373</v>
      </c>
      <c r="AB98" t="s" s="96">
        <v>15</v>
      </c>
      <c r="AC98" s="79">
        <v>1</v>
      </c>
      <c r="AD98" s="16"/>
      <c r="AE98" s="16"/>
      <c r="AF98" s="16"/>
      <c r="AG98" t="s" s="96">
        <v>1374</v>
      </c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</row>
    <row r="99" ht="15.35" customHeight="1">
      <c r="A99" t="s" s="83">
        <v>1251</v>
      </c>
      <c r="B99" s="112">
        <v>2021</v>
      </c>
      <c r="C99" s="112">
        <v>16</v>
      </c>
      <c r="D99" t="s" s="83">
        <v>1252</v>
      </c>
      <c r="E99" s="323"/>
      <c r="F99" s="6">
        <v>27</v>
      </c>
      <c r="G99" t="s" s="324">
        <v>888</v>
      </c>
      <c r="H99" t="s" s="96">
        <v>537</v>
      </c>
      <c r="I99" s="79">
        <v>68</v>
      </c>
      <c r="J99" s="79">
        <v>1</v>
      </c>
      <c r="K99" s="16"/>
      <c r="L99" s="16"/>
      <c r="M99" s="16"/>
      <c r="N99" t="s" s="96">
        <v>15</v>
      </c>
      <c r="O99" s="16"/>
      <c r="P99" s="16"/>
      <c r="Q99" s="16"/>
      <c r="R99" s="79">
        <v>1</v>
      </c>
      <c r="S99" s="16"/>
      <c r="T99" s="79">
        <v>61</v>
      </c>
      <c r="U99" s="16"/>
      <c r="V99" s="16"/>
      <c r="W99" s="16"/>
      <c r="X99" s="79">
        <v>1860</v>
      </c>
      <c r="Y99" s="16"/>
      <c r="Z99" s="16"/>
      <c r="AA99" t="s" s="96">
        <v>15</v>
      </c>
      <c r="AB99" t="s" s="96">
        <v>1375</v>
      </c>
      <c r="AC99" s="16"/>
      <c r="AD99" s="16"/>
      <c r="AE99" s="16"/>
      <c r="AF99" s="16"/>
      <c r="AG99" t="s" s="96">
        <v>1376</v>
      </c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</row>
    <row r="100" ht="15.35" customHeight="1">
      <c r="A100" t="s" s="83">
        <v>1251</v>
      </c>
      <c r="B100" s="112">
        <v>2021</v>
      </c>
      <c r="C100" s="112">
        <v>16</v>
      </c>
      <c r="D100" t="s" s="83">
        <v>1252</v>
      </c>
      <c r="E100" s="323"/>
      <c r="F100" s="6">
        <v>27</v>
      </c>
      <c r="G100" t="s" s="324">
        <v>888</v>
      </c>
      <c r="H100" t="s" s="96">
        <v>605</v>
      </c>
      <c r="I100" s="79">
        <v>69</v>
      </c>
      <c r="J100" s="79">
        <v>1</v>
      </c>
      <c r="K100" s="16"/>
      <c r="L100" s="16"/>
      <c r="M100" s="16"/>
      <c r="N100" t="s" s="96">
        <v>34</v>
      </c>
      <c r="O100" s="16"/>
      <c r="P100" s="16"/>
      <c r="Q100" s="16"/>
      <c r="R100" s="79">
        <v>1</v>
      </c>
      <c r="S100" s="16"/>
      <c r="T100" s="79">
        <v>53</v>
      </c>
      <c r="U100" s="16"/>
      <c r="V100" s="16"/>
      <c r="W100" s="16"/>
      <c r="X100" s="79">
        <v>1868</v>
      </c>
      <c r="Y100" s="16"/>
      <c r="Z100" s="16"/>
      <c r="AA100" t="s" s="96">
        <v>1375</v>
      </c>
      <c r="AB100" t="s" s="96">
        <v>34</v>
      </c>
      <c r="AC100" s="16"/>
      <c r="AD100" s="16"/>
      <c r="AE100" s="16"/>
      <c r="AF100" s="16"/>
      <c r="AG100" t="s" s="96">
        <v>553</v>
      </c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</row>
    <row r="101" ht="15.35" customHeight="1">
      <c r="A101" t="s" s="83">
        <v>1251</v>
      </c>
      <c r="B101" s="112">
        <v>2021</v>
      </c>
      <c r="C101" s="30"/>
      <c r="D101" t="s" s="83">
        <v>1252</v>
      </c>
      <c r="E101" s="74"/>
      <c r="F101" s="14"/>
      <c r="G101" s="16"/>
      <c r="H101" s="79">
        <v>7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</row>
    <row r="102" ht="15.35" customHeight="1">
      <c r="A102" t="s" s="83">
        <v>1251</v>
      </c>
      <c r="B102" s="112">
        <v>2021</v>
      </c>
      <c r="C102" s="30"/>
      <c r="D102" t="s" s="83">
        <v>1252</v>
      </c>
      <c r="E102" s="192"/>
      <c r="F102" s="3"/>
      <c r="G102" t="s" s="2">
        <v>1</v>
      </c>
      <c r="H102" t="s" s="2">
        <v>0</v>
      </c>
      <c r="I102" s="16"/>
      <c r="J102" t="s" s="2">
        <v>3</v>
      </c>
      <c r="K102" s="3"/>
      <c r="L102" s="3"/>
      <c r="M102" s="3"/>
      <c r="N102" t="s" s="2">
        <v>2</v>
      </c>
      <c r="O102" s="3"/>
      <c r="P102" s="3"/>
      <c r="Q102" s="3"/>
      <c r="R102" s="3"/>
      <c r="S102" s="3"/>
      <c r="T102" t="s" s="2">
        <v>5</v>
      </c>
      <c r="U102" s="3"/>
      <c r="V102" s="3"/>
      <c r="W102" s="3"/>
      <c r="X102" t="s" s="2">
        <v>4</v>
      </c>
      <c r="Y102" s="3"/>
      <c r="Z102" s="3"/>
      <c r="AA102" t="s" s="2">
        <v>7</v>
      </c>
      <c r="AB102" t="s" s="2">
        <v>8</v>
      </c>
      <c r="AC102" s="3"/>
      <c r="AD102" s="3"/>
      <c r="AE102" s="3"/>
      <c r="AF102" s="3"/>
      <c r="AG102" t="s" s="2">
        <v>6</v>
      </c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ht="15.35" customHeight="1">
      <c r="A103" t="s" s="83">
        <v>1251</v>
      </c>
      <c r="B103" s="112">
        <v>2021</v>
      </c>
      <c r="C103" s="112">
        <v>17</v>
      </c>
      <c r="D103" t="s" s="83">
        <v>1252</v>
      </c>
      <c r="E103" s="195"/>
      <c r="F103" s="6">
        <v>29</v>
      </c>
      <c r="G103" t="s" s="5">
        <v>1377</v>
      </c>
      <c r="H103" t="s" s="5">
        <v>1378</v>
      </c>
      <c r="I103" s="320">
        <v>70</v>
      </c>
      <c r="J103" s="6">
        <v>1</v>
      </c>
      <c r="K103" s="13"/>
      <c r="L103" s="13"/>
      <c r="M103" s="13"/>
      <c r="N103" s="6">
        <v>1</v>
      </c>
      <c r="O103" s="13"/>
      <c r="P103" s="13"/>
      <c r="Q103" s="13"/>
      <c r="R103" s="13"/>
      <c r="S103" s="13"/>
      <c r="T103" s="6">
        <v>56</v>
      </c>
      <c r="U103" s="13"/>
      <c r="V103" s="13"/>
      <c r="W103" s="13"/>
      <c r="X103" s="6">
        <v>1865</v>
      </c>
      <c r="Y103" s="13"/>
      <c r="Z103" s="13"/>
      <c r="AA103" t="s" s="5">
        <v>33</v>
      </c>
      <c r="AB103" t="s" s="5">
        <v>34</v>
      </c>
      <c r="AC103" s="13"/>
      <c r="AD103" s="13"/>
      <c r="AE103" s="13"/>
      <c r="AF103" s="6">
        <v>1</v>
      </c>
      <c r="AG103" t="s" s="5">
        <v>13</v>
      </c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0"/>
    </row>
    <row r="104" ht="15.35" customHeight="1">
      <c r="A104" t="s" s="83">
        <v>1251</v>
      </c>
      <c r="B104" s="112">
        <v>2021</v>
      </c>
      <c r="C104" s="112">
        <v>17</v>
      </c>
      <c r="D104" t="s" s="83">
        <v>1252</v>
      </c>
      <c r="E104" s="200"/>
      <c r="F104" s="264">
        <v>29</v>
      </c>
      <c r="G104" t="s" s="285">
        <v>1379</v>
      </c>
      <c r="H104" t="s" s="285">
        <v>1380</v>
      </c>
      <c r="I104" s="79">
        <v>71</v>
      </c>
      <c r="J104" s="264">
        <v>1</v>
      </c>
      <c r="K104" s="14"/>
      <c r="L104" s="14"/>
      <c r="M104" s="14"/>
      <c r="N104" t="s" s="285">
        <v>55</v>
      </c>
      <c r="O104" s="14"/>
      <c r="P104" s="14"/>
      <c r="Q104" s="14"/>
      <c r="R104" s="14"/>
      <c r="S104" s="264">
        <v>1</v>
      </c>
      <c r="T104" s="264">
        <v>29</v>
      </c>
      <c r="U104" s="14"/>
      <c r="V104" s="14"/>
      <c r="W104" s="14"/>
      <c r="X104" s="264">
        <v>1892</v>
      </c>
      <c r="Y104" s="14"/>
      <c r="Z104" s="14"/>
      <c r="AA104" t="s" s="285">
        <v>55</v>
      </c>
      <c r="AB104" t="s" s="285">
        <v>15</v>
      </c>
      <c r="AC104" s="264">
        <v>1</v>
      </c>
      <c r="AD104" s="14"/>
      <c r="AE104" s="14"/>
      <c r="AF104" s="14"/>
      <c r="AG104" t="s" s="285">
        <v>1381</v>
      </c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</row>
    <row r="105" ht="15.35" customHeight="1">
      <c r="A105" t="s" s="83">
        <v>1251</v>
      </c>
      <c r="B105" s="112">
        <v>2021</v>
      </c>
      <c r="C105" s="112">
        <v>17</v>
      </c>
      <c r="D105" t="s" s="83">
        <v>1252</v>
      </c>
      <c r="E105" s="74"/>
      <c r="F105" s="79">
        <v>29</v>
      </c>
      <c r="G105" t="s" s="96">
        <v>1382</v>
      </c>
      <c r="H105" t="s" s="96">
        <v>48</v>
      </c>
      <c r="I105" s="79">
        <v>72</v>
      </c>
      <c r="J105" s="79">
        <v>1</v>
      </c>
      <c r="K105" s="16"/>
      <c r="L105" s="16"/>
      <c r="M105" s="16"/>
      <c r="N105" t="s" s="96">
        <v>45</v>
      </c>
      <c r="O105" s="16"/>
      <c r="P105" s="16"/>
      <c r="Q105" s="16"/>
      <c r="R105" s="16"/>
      <c r="S105" s="79">
        <v>1</v>
      </c>
      <c r="T105" s="79">
        <v>26</v>
      </c>
      <c r="U105" s="16"/>
      <c r="V105" s="16"/>
      <c r="W105" s="16"/>
      <c r="X105" s="79">
        <v>1895</v>
      </c>
      <c r="Y105" s="16"/>
      <c r="Z105" s="16"/>
      <c r="AA105" t="s" s="96">
        <v>45</v>
      </c>
      <c r="AB105" t="s" s="96">
        <v>15</v>
      </c>
      <c r="AC105" s="79">
        <v>1</v>
      </c>
      <c r="AD105" s="16"/>
      <c r="AE105" s="16"/>
      <c r="AF105" s="16"/>
      <c r="AG105" t="s" s="96">
        <v>1383</v>
      </c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</row>
    <row r="106" ht="15.35" customHeight="1">
      <c r="A106" t="s" s="83">
        <v>1251</v>
      </c>
      <c r="B106" s="112">
        <v>2021</v>
      </c>
      <c r="C106" s="30"/>
      <c r="D106" t="s" s="83">
        <v>1252</v>
      </c>
      <c r="E106" s="74"/>
      <c r="F106" s="16"/>
      <c r="G106" s="16"/>
      <c r="H106" s="79">
        <v>3</v>
      </c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</row>
    <row r="107" ht="15.35" customHeight="1">
      <c r="A107" t="s" s="83">
        <v>1251</v>
      </c>
      <c r="B107" s="112">
        <v>2021</v>
      </c>
      <c r="C107" s="30"/>
      <c r="D107" t="s" s="83">
        <v>1252</v>
      </c>
      <c r="E107" s="74"/>
      <c r="F107" s="79">
        <v>31</v>
      </c>
      <c r="G107" t="s" s="96">
        <v>1</v>
      </c>
      <c r="H107" t="s" s="96">
        <v>0</v>
      </c>
      <c r="I107" s="16"/>
      <c r="J107" t="s" s="96">
        <v>3</v>
      </c>
      <c r="K107" s="16"/>
      <c r="L107" s="16"/>
      <c r="M107" s="16"/>
      <c r="N107" t="s" s="96">
        <v>2</v>
      </c>
      <c r="O107" s="16"/>
      <c r="P107" s="16"/>
      <c r="Q107" s="16"/>
      <c r="R107" s="16"/>
      <c r="S107" s="16"/>
      <c r="T107" t="s" s="96">
        <v>5</v>
      </c>
      <c r="U107" s="16"/>
      <c r="V107" s="16"/>
      <c r="W107" s="16"/>
      <c r="X107" t="s" s="96">
        <v>4</v>
      </c>
      <c r="Y107" s="16"/>
      <c r="Z107" s="16"/>
      <c r="AA107" t="s" s="96">
        <v>7</v>
      </c>
      <c r="AB107" t="s" s="96">
        <v>8</v>
      </c>
      <c r="AC107" s="16"/>
      <c r="AD107" s="16"/>
      <c r="AE107" s="16"/>
      <c r="AF107" s="16"/>
      <c r="AG107" t="s" s="96">
        <v>6</v>
      </c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</row>
    <row r="108" ht="15.35" customHeight="1">
      <c r="A108" t="s" s="83">
        <v>1251</v>
      </c>
      <c r="B108" s="112">
        <v>2021</v>
      </c>
      <c r="C108" s="112">
        <v>18</v>
      </c>
      <c r="D108" t="s" s="83">
        <v>1252</v>
      </c>
      <c r="E108" s="74"/>
      <c r="F108" s="79">
        <v>31</v>
      </c>
      <c r="G108" t="s" s="96">
        <v>1282</v>
      </c>
      <c r="H108" t="s" s="96">
        <v>1384</v>
      </c>
      <c r="I108" s="79">
        <v>73</v>
      </c>
      <c r="J108" t="s" s="96">
        <v>37</v>
      </c>
      <c r="K108" s="79">
        <v>1</v>
      </c>
      <c r="L108" s="16"/>
      <c r="M108" s="16"/>
      <c r="N108" s="79">
        <v>1</v>
      </c>
      <c r="O108" s="16"/>
      <c r="P108" s="16"/>
      <c r="Q108" s="16"/>
      <c r="R108" s="16"/>
      <c r="S108" s="16"/>
      <c r="T108" s="79">
        <v>72</v>
      </c>
      <c r="U108" s="16"/>
      <c r="V108" s="16"/>
      <c r="W108" s="16"/>
      <c r="X108" s="79">
        <v>1849</v>
      </c>
      <c r="Y108" s="16"/>
      <c r="Z108" s="16"/>
      <c r="AA108" t="s" s="96">
        <v>1385</v>
      </c>
      <c r="AB108" t="s" s="96">
        <v>34</v>
      </c>
      <c r="AC108" s="16"/>
      <c r="AD108" s="16"/>
      <c r="AE108" s="16"/>
      <c r="AF108" s="16"/>
      <c r="AG108" t="s" s="96">
        <v>1386</v>
      </c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</row>
    <row r="109" ht="15.35" customHeight="1">
      <c r="A109" t="s" s="83">
        <v>1251</v>
      </c>
      <c r="B109" s="112">
        <v>2021</v>
      </c>
      <c r="C109" s="112">
        <v>18</v>
      </c>
      <c r="D109" t="s" s="83">
        <v>1252</v>
      </c>
      <c r="E109" s="74"/>
      <c r="F109" s="79">
        <v>31</v>
      </c>
      <c r="G109" t="s" s="96">
        <v>1282</v>
      </c>
      <c r="H109" t="s" s="96">
        <v>1380</v>
      </c>
      <c r="I109" s="79">
        <v>74</v>
      </c>
      <c r="J109" s="79">
        <v>1</v>
      </c>
      <c r="K109" s="16"/>
      <c r="L109" s="16"/>
      <c r="M109" s="16"/>
      <c r="N109" t="s" s="96">
        <v>72</v>
      </c>
      <c r="O109" s="79">
        <v>1</v>
      </c>
      <c r="P109" s="16"/>
      <c r="Q109" s="16"/>
      <c r="R109" s="16"/>
      <c r="S109" s="16"/>
      <c r="T109" s="79">
        <v>66</v>
      </c>
      <c r="U109" s="16"/>
      <c r="V109" s="16"/>
      <c r="W109" s="16"/>
      <c r="X109" s="79">
        <v>1855</v>
      </c>
      <c r="Y109" s="16"/>
      <c r="Z109" s="16"/>
      <c r="AA109" t="s" s="96">
        <v>33</v>
      </c>
      <c r="AB109" t="s" s="96">
        <v>34</v>
      </c>
      <c r="AC109" s="16"/>
      <c r="AD109" s="16"/>
      <c r="AE109" s="16"/>
      <c r="AF109" s="79">
        <v>1</v>
      </c>
      <c r="AG109" t="s" s="96">
        <v>13</v>
      </c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</row>
    <row r="110" ht="15.35" customHeight="1">
      <c r="A110" t="s" s="83">
        <v>1251</v>
      </c>
      <c r="B110" s="112">
        <v>2021</v>
      </c>
      <c r="C110" s="112">
        <v>18</v>
      </c>
      <c r="D110" t="s" s="83">
        <v>1252</v>
      </c>
      <c r="E110" s="74"/>
      <c r="F110" s="79">
        <v>31</v>
      </c>
      <c r="G110" t="s" s="96">
        <v>1387</v>
      </c>
      <c r="H110" t="s" s="96">
        <v>102</v>
      </c>
      <c r="I110" s="79">
        <v>75</v>
      </c>
      <c r="J110" s="79">
        <v>1</v>
      </c>
      <c r="K110" s="16"/>
      <c r="L110" s="16"/>
      <c r="M110" s="16"/>
      <c r="N110" t="s" s="96">
        <v>11</v>
      </c>
      <c r="O110" s="16"/>
      <c r="P110" s="16"/>
      <c r="Q110" s="16"/>
      <c r="R110" s="16"/>
      <c r="S110" s="79">
        <v>1</v>
      </c>
      <c r="T110" s="79">
        <v>20</v>
      </c>
      <c r="U110" s="16"/>
      <c r="V110" s="16"/>
      <c r="W110" s="16"/>
      <c r="X110" s="79">
        <v>1901</v>
      </c>
      <c r="Y110" s="16"/>
      <c r="Z110" s="16"/>
      <c r="AA110" t="s" s="96">
        <v>188</v>
      </c>
      <c r="AB110" t="s" s="96">
        <v>15</v>
      </c>
      <c r="AC110" s="79">
        <v>1</v>
      </c>
      <c r="AD110" s="16"/>
      <c r="AE110" s="16"/>
      <c r="AF110" s="79">
        <v>1</v>
      </c>
      <c r="AG110" t="s" s="96">
        <v>489</v>
      </c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</row>
    <row r="111" ht="15.35" customHeight="1">
      <c r="A111" t="s" s="83">
        <v>1251</v>
      </c>
      <c r="B111" s="112">
        <v>2021</v>
      </c>
      <c r="C111" s="112">
        <v>18</v>
      </c>
      <c r="D111" t="s" s="83">
        <v>1252</v>
      </c>
      <c r="E111" s="74"/>
      <c r="F111" s="79">
        <v>31</v>
      </c>
      <c r="G111" t="s" s="96">
        <v>1388</v>
      </c>
      <c r="H111" t="s" s="96">
        <v>1306</v>
      </c>
      <c r="I111" s="79">
        <v>76</v>
      </c>
      <c r="J111" s="79">
        <v>1</v>
      </c>
      <c r="K111" s="16"/>
      <c r="L111" s="16"/>
      <c r="M111" s="16"/>
      <c r="N111" t="s" s="96">
        <v>45</v>
      </c>
      <c r="O111" s="16"/>
      <c r="P111" s="16"/>
      <c r="Q111" s="16"/>
      <c r="R111" s="16"/>
      <c r="S111" s="79">
        <v>1</v>
      </c>
      <c r="T111" s="79">
        <v>56</v>
      </c>
      <c r="U111" s="16"/>
      <c r="V111" s="16"/>
      <c r="W111" s="16"/>
      <c r="X111" s="79">
        <v>1865</v>
      </c>
      <c r="Y111" s="16"/>
      <c r="Z111" s="16"/>
      <c r="AA111" t="s" s="96">
        <v>188</v>
      </c>
      <c r="AB111" t="s" s="96">
        <v>15</v>
      </c>
      <c r="AC111" s="79">
        <v>1</v>
      </c>
      <c r="AD111" s="16"/>
      <c r="AE111" s="16"/>
      <c r="AF111" s="16"/>
      <c r="AG111" t="s" s="96">
        <v>183</v>
      </c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</row>
    <row r="112" ht="15.35" customHeight="1">
      <c r="A112" t="s" s="83">
        <v>1251</v>
      </c>
      <c r="B112" s="112">
        <v>2021</v>
      </c>
      <c r="C112" s="30"/>
      <c r="D112" t="s" s="83">
        <v>1252</v>
      </c>
      <c r="E112" s="74"/>
      <c r="F112" s="16"/>
      <c r="G112" s="16"/>
      <c r="H112" s="79">
        <v>4</v>
      </c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</row>
    <row r="113" ht="15.35" customHeight="1">
      <c r="A113" t="s" s="83">
        <v>1251</v>
      </c>
      <c r="B113" s="112">
        <v>2021</v>
      </c>
      <c r="C113" s="30"/>
      <c r="D113" t="s" s="83">
        <v>1252</v>
      </c>
      <c r="E113" s="74"/>
      <c r="F113" s="16"/>
      <c r="G113" t="s" s="96">
        <v>1</v>
      </c>
      <c r="H113" t="s" s="96">
        <v>0</v>
      </c>
      <c r="I113" s="16"/>
      <c r="J113" t="s" s="96">
        <v>3</v>
      </c>
      <c r="K113" s="16"/>
      <c r="L113" s="16"/>
      <c r="M113" s="16"/>
      <c r="N113" t="s" s="96">
        <v>2</v>
      </c>
      <c r="O113" s="16"/>
      <c r="P113" s="16"/>
      <c r="Q113" s="16"/>
      <c r="R113" s="16"/>
      <c r="S113" s="16"/>
      <c r="T113" t="s" s="96">
        <v>5</v>
      </c>
      <c r="U113" s="16"/>
      <c r="V113" s="16"/>
      <c r="W113" s="16"/>
      <c r="X113" t="s" s="96">
        <v>4</v>
      </c>
      <c r="Y113" s="16"/>
      <c r="Z113" s="16"/>
      <c r="AA113" t="s" s="96">
        <v>7</v>
      </c>
      <c r="AB113" t="s" s="96">
        <v>8</v>
      </c>
      <c r="AC113" s="16"/>
      <c r="AD113" s="16"/>
      <c r="AE113" s="16"/>
      <c r="AF113" s="16"/>
      <c r="AG113" t="s" s="96">
        <v>6</v>
      </c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</row>
    <row r="114" ht="15.35" customHeight="1">
      <c r="A114" t="s" s="83">
        <v>1251</v>
      </c>
      <c r="B114" s="112">
        <v>2021</v>
      </c>
      <c r="C114" s="112">
        <v>19</v>
      </c>
      <c r="D114" t="s" s="83">
        <v>1252</v>
      </c>
      <c r="E114" s="74"/>
      <c r="F114" s="79">
        <v>33</v>
      </c>
      <c r="G114" t="s" s="96">
        <v>201</v>
      </c>
      <c r="H114" t="s" s="96">
        <v>1202</v>
      </c>
      <c r="I114" s="79">
        <v>77</v>
      </c>
      <c r="J114" t="s" s="96">
        <v>37</v>
      </c>
      <c r="K114" s="79">
        <v>1</v>
      </c>
      <c r="L114" s="16"/>
      <c r="M114" s="16"/>
      <c r="N114" s="79">
        <v>1</v>
      </c>
      <c r="O114" s="16"/>
      <c r="P114" s="16"/>
      <c r="Q114" s="16"/>
      <c r="R114" s="16"/>
      <c r="S114" s="16"/>
      <c r="T114" s="79">
        <v>75</v>
      </c>
      <c r="U114" s="16"/>
      <c r="V114" s="16"/>
      <c r="W114" s="16"/>
      <c r="X114" s="79">
        <v>1845</v>
      </c>
      <c r="Y114" s="16"/>
      <c r="Z114" s="16"/>
      <c r="AA114" t="s" s="96">
        <v>92</v>
      </c>
      <c r="AB114" t="s" s="96">
        <v>8</v>
      </c>
      <c r="AC114" s="79">
        <v>1</v>
      </c>
      <c r="AD114" s="79">
        <v>1</v>
      </c>
      <c r="AE114" s="16"/>
      <c r="AF114" s="79">
        <v>1</v>
      </c>
      <c r="AG114" t="s" s="96">
        <v>1389</v>
      </c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</row>
    <row r="115" ht="15.35" customHeight="1">
      <c r="A115" t="s" s="83">
        <v>1251</v>
      </c>
      <c r="B115" s="112">
        <v>2021</v>
      </c>
      <c r="C115" s="112">
        <v>19</v>
      </c>
      <c r="D115" t="s" s="83">
        <v>1252</v>
      </c>
      <c r="E115" s="74"/>
      <c r="F115" s="79">
        <v>33</v>
      </c>
      <c r="G115" t="s" s="96">
        <v>201</v>
      </c>
      <c r="H115" t="s" s="96">
        <v>116</v>
      </c>
      <c r="I115" s="79">
        <v>78</v>
      </c>
      <c r="J115" s="79">
        <v>1</v>
      </c>
      <c r="K115" s="16"/>
      <c r="L115" s="16"/>
      <c r="M115" s="16"/>
      <c r="N115" t="s" s="96">
        <v>72</v>
      </c>
      <c r="O115" s="79">
        <v>1</v>
      </c>
      <c r="P115" s="16"/>
      <c r="Q115" s="16"/>
      <c r="R115" s="16"/>
      <c r="S115" s="16"/>
      <c r="T115" s="79">
        <v>67</v>
      </c>
      <c r="U115" s="16"/>
      <c r="V115" s="16"/>
      <c r="W115" s="16"/>
      <c r="X115" s="79">
        <v>1853</v>
      </c>
      <c r="Y115" s="16"/>
      <c r="Z115" s="16"/>
      <c r="AA115" t="s" s="96">
        <v>34</v>
      </c>
      <c r="AB115" t="s" s="96">
        <v>34</v>
      </c>
      <c r="AC115" s="16"/>
      <c r="AD115" s="16"/>
      <c r="AE115" s="16"/>
      <c r="AF115" s="16"/>
      <c r="AG115" t="s" s="96">
        <v>183</v>
      </c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</row>
    <row r="116" ht="15.35" customHeight="1">
      <c r="A116" t="s" s="83">
        <v>1251</v>
      </c>
      <c r="B116" s="112">
        <v>2021</v>
      </c>
      <c r="C116" s="112">
        <v>19</v>
      </c>
      <c r="D116" t="s" s="83">
        <v>1252</v>
      </c>
      <c r="E116" s="74"/>
      <c r="F116" s="79">
        <v>33</v>
      </c>
      <c r="G116" t="s" s="96">
        <v>201</v>
      </c>
      <c r="H116" t="s" s="96">
        <v>1390</v>
      </c>
      <c r="I116" s="79">
        <v>79</v>
      </c>
      <c r="J116" t="s" s="96">
        <v>37</v>
      </c>
      <c r="K116" s="79">
        <v>1</v>
      </c>
      <c r="L116" s="16"/>
      <c r="M116" s="16"/>
      <c r="N116" t="s" s="96">
        <v>36</v>
      </c>
      <c r="O116" s="16"/>
      <c r="P116" s="16"/>
      <c r="Q116" s="79">
        <v>1</v>
      </c>
      <c r="R116" s="16"/>
      <c r="S116" s="16"/>
      <c r="T116" s="79">
        <v>42</v>
      </c>
      <c r="U116" s="16"/>
      <c r="V116" s="16"/>
      <c r="W116" s="16"/>
      <c r="X116" s="79">
        <v>1878</v>
      </c>
      <c r="Y116" s="16"/>
      <c r="Z116" s="16"/>
      <c r="AA116" t="s" s="96">
        <v>1391</v>
      </c>
      <c r="AB116" t="s" s="96">
        <v>603</v>
      </c>
      <c r="AC116" s="79">
        <v>1</v>
      </c>
      <c r="AD116" s="16"/>
      <c r="AE116" s="16"/>
      <c r="AF116" s="79">
        <v>1</v>
      </c>
      <c r="AG116" t="s" s="96">
        <v>13</v>
      </c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</row>
    <row r="117" ht="15.35" customHeight="1">
      <c r="A117" t="s" s="83">
        <v>1251</v>
      </c>
      <c r="B117" s="112">
        <v>2021</v>
      </c>
      <c r="C117" s="112">
        <v>19</v>
      </c>
      <c r="D117" t="s" s="83">
        <v>1252</v>
      </c>
      <c r="E117" s="74"/>
      <c r="F117" s="79">
        <v>33</v>
      </c>
      <c r="G117" t="s" s="96">
        <v>201</v>
      </c>
      <c r="H117" t="s" s="96">
        <v>1392</v>
      </c>
      <c r="I117" s="79">
        <v>80</v>
      </c>
      <c r="J117" s="16"/>
      <c r="K117" s="79">
        <v>1</v>
      </c>
      <c r="L117" s="16"/>
      <c r="M117" s="16"/>
      <c r="N117" t="s" s="96">
        <v>36</v>
      </c>
      <c r="O117" s="16"/>
      <c r="P117" s="16"/>
      <c r="Q117" s="79">
        <v>1</v>
      </c>
      <c r="R117" s="16"/>
      <c r="S117" s="16"/>
      <c r="T117" s="79">
        <v>36</v>
      </c>
      <c r="U117" s="16"/>
      <c r="V117" s="16"/>
      <c r="W117" s="16"/>
      <c r="X117" s="79">
        <v>1885</v>
      </c>
      <c r="Y117" s="16"/>
      <c r="Z117" s="16"/>
      <c r="AA117" t="s" s="96">
        <v>94</v>
      </c>
      <c r="AB117" t="s" s="96">
        <v>34</v>
      </c>
      <c r="AC117" s="16"/>
      <c r="AD117" s="16"/>
      <c r="AE117" s="16"/>
      <c r="AF117" s="79">
        <v>1</v>
      </c>
      <c r="AG117" t="s" s="96">
        <v>13</v>
      </c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</row>
    <row r="118" ht="15.35" customHeight="1">
      <c r="A118" t="s" s="83">
        <v>1251</v>
      </c>
      <c r="B118" s="112">
        <v>2021</v>
      </c>
      <c r="C118" s="112">
        <v>19</v>
      </c>
      <c r="D118" t="s" s="83">
        <v>1252</v>
      </c>
      <c r="E118" s="74"/>
      <c r="F118" s="79">
        <v>33</v>
      </c>
      <c r="G118" t="s" s="96">
        <v>201</v>
      </c>
      <c r="H118" t="s" s="96">
        <v>1393</v>
      </c>
      <c r="I118" s="79">
        <v>81</v>
      </c>
      <c r="J118" s="79">
        <v>1</v>
      </c>
      <c r="K118" s="16"/>
      <c r="L118" s="16"/>
      <c r="M118" s="16"/>
      <c r="N118" t="s" s="96">
        <v>78</v>
      </c>
      <c r="O118" s="16"/>
      <c r="P118" s="79">
        <v>1</v>
      </c>
      <c r="Q118" s="16"/>
      <c r="R118" s="16"/>
      <c r="S118" s="16"/>
      <c r="T118" s="79">
        <v>30</v>
      </c>
      <c r="U118" s="16"/>
      <c r="V118" s="16"/>
      <c r="W118" s="16"/>
      <c r="X118" s="79">
        <v>1891</v>
      </c>
      <c r="Y118" s="16"/>
      <c r="Z118" s="16"/>
      <c r="AA118" t="s" s="96">
        <v>94</v>
      </c>
      <c r="AB118" t="s" s="96">
        <v>34</v>
      </c>
      <c r="AC118" s="16"/>
      <c r="AD118" s="16"/>
      <c r="AE118" s="16"/>
      <c r="AF118" s="79">
        <v>1</v>
      </c>
      <c r="AG118" t="s" s="96">
        <v>13</v>
      </c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</row>
    <row r="119" ht="15.35" customHeight="1">
      <c r="A119" t="s" s="83">
        <v>1251</v>
      </c>
      <c r="B119" s="112">
        <v>2021</v>
      </c>
      <c r="C119" s="112">
        <v>19</v>
      </c>
      <c r="D119" t="s" s="83">
        <v>1252</v>
      </c>
      <c r="E119" s="74"/>
      <c r="F119" s="79">
        <v>33</v>
      </c>
      <c r="G119" t="s" s="96">
        <v>201</v>
      </c>
      <c r="H119" t="s" s="96">
        <v>1394</v>
      </c>
      <c r="I119" s="79">
        <v>82</v>
      </c>
      <c r="J119" t="s" s="96">
        <v>37</v>
      </c>
      <c r="K119" s="79">
        <v>1</v>
      </c>
      <c r="L119" s="16"/>
      <c r="M119" s="16"/>
      <c r="N119" t="s" s="96">
        <v>36</v>
      </c>
      <c r="O119" s="16"/>
      <c r="P119" s="16"/>
      <c r="Q119" s="79">
        <v>1</v>
      </c>
      <c r="R119" s="16"/>
      <c r="S119" s="16"/>
      <c r="T119" s="79">
        <v>27</v>
      </c>
      <c r="U119" s="16"/>
      <c r="V119" s="16"/>
      <c r="W119" s="16"/>
      <c r="X119" s="79">
        <v>1894</v>
      </c>
      <c r="Y119" s="16"/>
      <c r="Z119" s="16"/>
      <c r="AA119" t="s" s="96">
        <v>94</v>
      </c>
      <c r="AB119" t="s" s="96">
        <v>34</v>
      </c>
      <c r="AC119" s="16"/>
      <c r="AD119" s="16"/>
      <c r="AE119" s="16"/>
      <c r="AF119" s="79">
        <v>1</v>
      </c>
      <c r="AG119" t="s" s="96">
        <v>13</v>
      </c>
      <c r="AH119" s="16"/>
      <c r="AI119" s="16"/>
      <c r="AJ119" s="16"/>
      <c r="AK119" t="s" s="96">
        <v>1395</v>
      </c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</row>
    <row r="120" ht="15.35" customHeight="1">
      <c r="A120" t="s" s="83">
        <v>1251</v>
      </c>
      <c r="B120" s="112">
        <v>2021</v>
      </c>
      <c r="C120" s="112">
        <v>19</v>
      </c>
      <c r="D120" t="s" s="83">
        <v>1252</v>
      </c>
      <c r="E120" s="74"/>
      <c r="F120" s="79">
        <v>33</v>
      </c>
      <c r="G120" t="s" s="96">
        <v>1396</v>
      </c>
      <c r="H120" t="s" s="96">
        <v>874</v>
      </c>
      <c r="I120" s="79">
        <v>83</v>
      </c>
      <c r="J120" s="79">
        <v>1</v>
      </c>
      <c r="K120" s="16"/>
      <c r="L120" s="16"/>
      <c r="M120" s="16"/>
      <c r="N120" t="s" s="96">
        <v>11</v>
      </c>
      <c r="O120" s="16"/>
      <c r="P120" s="16"/>
      <c r="Q120" s="16"/>
      <c r="R120" s="16"/>
      <c r="S120" s="79">
        <v>1</v>
      </c>
      <c r="T120" s="79">
        <v>53</v>
      </c>
      <c r="U120" s="16"/>
      <c r="V120" s="16"/>
      <c r="W120" s="16"/>
      <c r="X120" s="79">
        <v>1868</v>
      </c>
      <c r="Y120" s="16"/>
      <c r="Z120" s="16"/>
      <c r="AA120" t="s" s="96">
        <v>34</v>
      </c>
      <c r="AB120" t="s" s="96">
        <v>15</v>
      </c>
      <c r="AC120" s="79">
        <v>1</v>
      </c>
      <c r="AD120" s="16"/>
      <c r="AE120" s="16"/>
      <c r="AF120" s="16"/>
      <c r="AG120" t="s" s="96">
        <v>183</v>
      </c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</row>
    <row r="121" ht="15.35" customHeight="1">
      <c r="A121" t="s" s="83">
        <v>1251</v>
      </c>
      <c r="B121" s="112">
        <v>2021</v>
      </c>
      <c r="C121" s="112">
        <v>19</v>
      </c>
      <c r="D121" t="s" s="83">
        <v>1252</v>
      </c>
      <c r="E121" s="74"/>
      <c r="F121" s="79">
        <v>33</v>
      </c>
      <c r="G121" t="s" s="96">
        <v>1397</v>
      </c>
      <c r="H121" t="s" s="96">
        <v>406</v>
      </c>
      <c r="I121" s="79">
        <v>84</v>
      </c>
      <c r="J121" s="79">
        <v>1</v>
      </c>
      <c r="K121" s="16"/>
      <c r="L121" s="16"/>
      <c r="M121" s="16"/>
      <c r="N121" t="s" s="96">
        <v>11</v>
      </c>
      <c r="O121" s="16"/>
      <c r="P121" s="16"/>
      <c r="Q121" s="16"/>
      <c r="R121" s="16"/>
      <c r="S121" s="79">
        <v>1</v>
      </c>
      <c r="T121" s="79">
        <v>56</v>
      </c>
      <c r="U121" s="16"/>
      <c r="V121" s="16"/>
      <c r="W121" s="16"/>
      <c r="X121" s="79">
        <v>1865</v>
      </c>
      <c r="Y121" s="16"/>
      <c r="Z121" s="16"/>
      <c r="AA121" t="s" s="96">
        <v>34</v>
      </c>
      <c r="AB121" t="s" s="96">
        <v>15</v>
      </c>
      <c r="AC121" s="79">
        <v>1</v>
      </c>
      <c r="AD121" s="16"/>
      <c r="AE121" s="16"/>
      <c r="AF121" s="16"/>
      <c r="AG121" t="s" s="96">
        <v>183</v>
      </c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</row>
    <row r="122" ht="15.35" customHeight="1">
      <c r="A122" t="s" s="83">
        <v>1251</v>
      </c>
      <c r="B122" s="112">
        <v>2021</v>
      </c>
      <c r="C122" s="112">
        <v>19</v>
      </c>
      <c r="D122" t="s" s="83">
        <v>1252</v>
      </c>
      <c r="E122" s="74"/>
      <c r="F122" s="79">
        <v>33</v>
      </c>
      <c r="G122" t="s" s="96">
        <v>1398</v>
      </c>
      <c r="H122" t="s" s="96">
        <v>331</v>
      </c>
      <c r="I122" s="79">
        <v>85</v>
      </c>
      <c r="J122" s="79">
        <v>1</v>
      </c>
      <c r="K122" s="16"/>
      <c r="L122" s="16"/>
      <c r="M122" s="16"/>
      <c r="N122" t="s" s="96">
        <v>11</v>
      </c>
      <c r="O122" s="16"/>
      <c r="P122" s="16"/>
      <c r="Q122" s="16"/>
      <c r="R122" s="16"/>
      <c r="S122" s="79">
        <v>1</v>
      </c>
      <c r="T122" s="79">
        <v>22</v>
      </c>
      <c r="U122" s="16"/>
      <c r="V122" s="16"/>
      <c r="W122" s="16"/>
      <c r="X122" s="79">
        <v>1899</v>
      </c>
      <c r="Y122" s="16"/>
      <c r="Z122" s="16"/>
      <c r="AA122" t="s" s="96">
        <v>34</v>
      </c>
      <c r="AB122" t="s" s="96">
        <v>15</v>
      </c>
      <c r="AC122" s="79">
        <v>1</v>
      </c>
      <c r="AD122" s="16"/>
      <c r="AE122" s="16"/>
      <c r="AF122" s="79">
        <v>1</v>
      </c>
      <c r="AG122" t="s" s="96">
        <v>54</v>
      </c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</row>
    <row r="123" ht="15.35" customHeight="1">
      <c r="A123" t="s" s="83">
        <v>1251</v>
      </c>
      <c r="B123" s="112">
        <v>2021</v>
      </c>
      <c r="C123" s="112">
        <v>19</v>
      </c>
      <c r="D123" t="s" s="83">
        <v>1252</v>
      </c>
      <c r="E123" s="74"/>
      <c r="F123" s="79">
        <v>33</v>
      </c>
      <c r="G123" t="s" s="96">
        <v>1399</v>
      </c>
      <c r="H123" t="s" s="96">
        <v>1400</v>
      </c>
      <c r="I123" s="79">
        <v>86</v>
      </c>
      <c r="J123" s="79">
        <v>1</v>
      </c>
      <c r="K123" s="16"/>
      <c r="L123" s="16"/>
      <c r="M123" s="16"/>
      <c r="N123" t="s" s="96">
        <v>11</v>
      </c>
      <c r="O123" s="16"/>
      <c r="P123" s="16"/>
      <c r="Q123" s="16"/>
      <c r="R123" s="16"/>
      <c r="S123" s="79">
        <v>1</v>
      </c>
      <c r="T123" s="79">
        <v>18</v>
      </c>
      <c r="U123" s="16"/>
      <c r="V123" s="16"/>
      <c r="W123" s="16"/>
      <c r="X123" s="79">
        <v>1903</v>
      </c>
      <c r="Y123" s="16"/>
      <c r="Z123" s="16"/>
      <c r="AA123" t="s" s="96">
        <v>34</v>
      </c>
      <c r="AB123" t="s" s="96">
        <v>15</v>
      </c>
      <c r="AC123" s="79">
        <v>1</v>
      </c>
      <c r="AD123" s="16"/>
      <c r="AE123" s="16"/>
      <c r="AF123" s="16"/>
      <c r="AG123" t="s" s="96">
        <v>118</v>
      </c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</row>
    <row r="124" ht="15.35" customHeight="1">
      <c r="A124" t="s" s="83">
        <v>1251</v>
      </c>
      <c r="B124" s="112">
        <v>2021</v>
      </c>
      <c r="C124" s="112">
        <v>19</v>
      </c>
      <c r="D124" t="s" s="83">
        <v>1252</v>
      </c>
      <c r="E124" s="74"/>
      <c r="F124" s="79">
        <v>33</v>
      </c>
      <c r="G124" t="s" s="96">
        <v>1401</v>
      </c>
      <c r="H124" t="s" s="96">
        <v>1402</v>
      </c>
      <c r="I124" s="79">
        <v>87</v>
      </c>
      <c r="J124" t="s" s="96">
        <v>12</v>
      </c>
      <c r="K124" s="16"/>
      <c r="L124" s="79">
        <v>1</v>
      </c>
      <c r="M124" s="16"/>
      <c r="N124" t="s" s="96">
        <v>11</v>
      </c>
      <c r="O124" s="16"/>
      <c r="P124" s="16"/>
      <c r="Q124" s="16"/>
      <c r="R124" s="16"/>
      <c r="S124" s="79">
        <v>1</v>
      </c>
      <c r="T124" s="79">
        <v>14</v>
      </c>
      <c r="U124" s="16"/>
      <c r="V124" s="16"/>
      <c r="W124" s="16"/>
      <c r="X124" s="79">
        <v>1907</v>
      </c>
      <c r="Y124" s="16"/>
      <c r="Z124" s="16"/>
      <c r="AA124" t="s" s="96">
        <v>34</v>
      </c>
      <c r="AB124" t="s" s="96">
        <v>15</v>
      </c>
      <c r="AC124" s="79">
        <v>1</v>
      </c>
      <c r="AD124" s="16"/>
      <c r="AE124" s="16"/>
      <c r="AF124" s="16"/>
      <c r="AG124" t="s" s="96">
        <v>202</v>
      </c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</row>
    <row r="125" ht="15.35" customHeight="1">
      <c r="A125" t="s" s="83">
        <v>1251</v>
      </c>
      <c r="B125" s="112">
        <v>2021</v>
      </c>
      <c r="C125" s="30"/>
      <c r="D125" t="s" s="83">
        <v>1252</v>
      </c>
      <c r="E125" s="74"/>
      <c r="F125" s="16"/>
      <c r="G125" s="16"/>
      <c r="H125" s="79">
        <v>11</v>
      </c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</row>
    <row r="126" ht="15.35" customHeight="1">
      <c r="A126" t="s" s="83">
        <v>1251</v>
      </c>
      <c r="B126" s="112">
        <v>2021</v>
      </c>
      <c r="C126" s="30"/>
      <c r="D126" t="s" s="83">
        <v>1252</v>
      </c>
      <c r="E126" s="74"/>
      <c r="F126" s="16"/>
      <c r="G126" t="s" s="96">
        <v>1</v>
      </c>
      <c r="H126" t="s" s="96">
        <v>0</v>
      </c>
      <c r="I126" s="16"/>
      <c r="J126" t="s" s="96">
        <v>3</v>
      </c>
      <c r="K126" s="16"/>
      <c r="L126" s="16"/>
      <c r="M126" s="16"/>
      <c r="N126" t="s" s="96">
        <v>2</v>
      </c>
      <c r="O126" s="16"/>
      <c r="P126" s="16"/>
      <c r="Q126" s="16"/>
      <c r="R126" s="16"/>
      <c r="S126" s="16"/>
      <c r="T126" t="s" s="96">
        <v>5</v>
      </c>
      <c r="U126" s="16"/>
      <c r="V126" s="16"/>
      <c r="W126" s="16"/>
      <c r="X126" t="s" s="96">
        <v>4</v>
      </c>
      <c r="Y126" s="16"/>
      <c r="Z126" s="16"/>
      <c r="AA126" t="s" s="96">
        <v>7</v>
      </c>
      <c r="AB126" t="s" s="96">
        <v>8</v>
      </c>
      <c r="AC126" s="16"/>
      <c r="AD126" s="16"/>
      <c r="AE126" s="16"/>
      <c r="AF126" s="16"/>
      <c r="AG126" t="s" s="96">
        <v>6</v>
      </c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</row>
    <row r="127" ht="15.35" customHeight="1">
      <c r="A127" t="s" s="83">
        <v>1251</v>
      </c>
      <c r="B127" s="112">
        <v>2021</v>
      </c>
      <c r="C127" s="112">
        <v>20</v>
      </c>
      <c r="D127" t="s" s="83">
        <v>1252</v>
      </c>
      <c r="E127" s="74"/>
      <c r="F127" s="79">
        <v>37</v>
      </c>
      <c r="G127" t="s" s="96">
        <v>1213</v>
      </c>
      <c r="H127" t="s" s="96">
        <v>1403</v>
      </c>
      <c r="I127" s="79">
        <v>88</v>
      </c>
      <c r="J127" t="s" s="96">
        <v>37</v>
      </c>
      <c r="K127" s="79">
        <v>1</v>
      </c>
      <c r="L127" s="16"/>
      <c r="M127" s="16"/>
      <c r="N127" s="79">
        <v>1</v>
      </c>
      <c r="O127" s="16"/>
      <c r="P127" s="16"/>
      <c r="Q127" s="16"/>
      <c r="R127" s="16"/>
      <c r="S127" s="16"/>
      <c r="T127" s="79">
        <v>43</v>
      </c>
      <c r="U127" s="16"/>
      <c r="V127" s="16"/>
      <c r="W127" s="16"/>
      <c r="X127" s="79">
        <v>1878</v>
      </c>
      <c r="Y127" s="16"/>
      <c r="Z127" s="16"/>
      <c r="AA127" t="s" s="96">
        <v>1404</v>
      </c>
      <c r="AB127" t="s" s="96">
        <v>8</v>
      </c>
      <c r="AC127" s="79">
        <v>1</v>
      </c>
      <c r="AD127" s="79">
        <v>1</v>
      </c>
      <c r="AE127" s="16"/>
      <c r="AF127" s="79">
        <v>1</v>
      </c>
      <c r="AG127" t="s" s="96">
        <v>13</v>
      </c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</row>
    <row r="128" ht="15.35" customHeight="1">
      <c r="A128" t="s" s="83">
        <v>1251</v>
      </c>
      <c r="B128" s="112">
        <v>2021</v>
      </c>
      <c r="C128" s="112">
        <v>20</v>
      </c>
      <c r="D128" t="s" s="83">
        <v>1252</v>
      </c>
      <c r="E128" s="74"/>
      <c r="F128" s="79">
        <v>37</v>
      </c>
      <c r="G128" t="s" s="96">
        <v>1213</v>
      </c>
      <c r="H128" t="s" s="96">
        <v>1405</v>
      </c>
      <c r="I128" s="79">
        <v>89</v>
      </c>
      <c r="J128" s="79">
        <v>1</v>
      </c>
      <c r="K128" s="16"/>
      <c r="L128" s="16"/>
      <c r="M128" s="16"/>
      <c r="N128" t="s" s="96">
        <v>72</v>
      </c>
      <c r="O128" s="79">
        <v>1</v>
      </c>
      <c r="P128" s="16"/>
      <c r="Q128" s="16"/>
      <c r="R128" s="16"/>
      <c r="S128" s="16"/>
      <c r="T128" s="79">
        <v>33</v>
      </c>
      <c r="U128" s="16"/>
      <c r="V128" s="16"/>
      <c r="W128" s="16"/>
      <c r="X128" s="79">
        <v>1888</v>
      </c>
      <c r="Y128" s="16"/>
      <c r="Z128" s="16"/>
      <c r="AA128" t="s" s="96">
        <v>33</v>
      </c>
      <c r="AB128" t="s" s="96">
        <v>34</v>
      </c>
      <c r="AC128" s="16"/>
      <c r="AD128" s="16"/>
      <c r="AE128" s="16"/>
      <c r="AF128" s="79">
        <v>1</v>
      </c>
      <c r="AG128" t="s" s="96">
        <v>13</v>
      </c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</row>
    <row r="129" ht="15.35" customHeight="1">
      <c r="A129" t="s" s="83">
        <v>1251</v>
      </c>
      <c r="B129" s="112">
        <v>2021</v>
      </c>
      <c r="C129" s="112">
        <v>20</v>
      </c>
      <c r="D129" t="s" s="83">
        <v>1252</v>
      </c>
      <c r="E129" s="74"/>
      <c r="F129" s="79">
        <v>37</v>
      </c>
      <c r="G129" t="s" s="96">
        <v>1213</v>
      </c>
      <c r="H129" t="s" s="96">
        <v>1406</v>
      </c>
      <c r="I129" s="79">
        <v>90</v>
      </c>
      <c r="J129" t="s" s="96">
        <v>12</v>
      </c>
      <c r="K129" s="16"/>
      <c r="L129" s="79">
        <v>1</v>
      </c>
      <c r="M129" s="16"/>
      <c r="N129" t="s" s="96">
        <v>78</v>
      </c>
      <c r="O129" s="16"/>
      <c r="P129" s="79">
        <v>1</v>
      </c>
      <c r="Q129" s="16"/>
      <c r="R129" s="16"/>
      <c r="S129" s="16"/>
      <c r="T129" s="79">
        <v>8</v>
      </c>
      <c r="U129" s="16"/>
      <c r="V129" s="16"/>
      <c r="W129" s="16"/>
      <c r="X129" s="79">
        <v>1912</v>
      </c>
      <c r="Y129" s="16"/>
      <c r="Z129" s="16"/>
      <c r="AA129" t="s" s="96">
        <v>34</v>
      </c>
      <c r="AB129" t="s" s="96">
        <v>34</v>
      </c>
      <c r="AC129" s="16"/>
      <c r="AD129" s="16"/>
      <c r="AE129" s="16"/>
      <c r="AF129" s="79">
        <v>1</v>
      </c>
      <c r="AG129" t="s" s="96">
        <v>13</v>
      </c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</row>
    <row r="130" ht="15.35" customHeight="1">
      <c r="A130" t="s" s="83">
        <v>1251</v>
      </c>
      <c r="B130" s="112">
        <v>2021</v>
      </c>
      <c r="C130" s="112">
        <v>20</v>
      </c>
      <c r="D130" t="s" s="83">
        <v>1252</v>
      </c>
      <c r="E130" s="74"/>
      <c r="F130" s="79">
        <v>37</v>
      </c>
      <c r="G130" t="s" s="96">
        <v>1213</v>
      </c>
      <c r="H130" t="s" s="96">
        <v>1407</v>
      </c>
      <c r="I130" s="79">
        <v>91</v>
      </c>
      <c r="J130" t="s" s="96">
        <v>37</v>
      </c>
      <c r="K130" s="16"/>
      <c r="L130" s="16"/>
      <c r="M130" s="79">
        <v>1</v>
      </c>
      <c r="N130" t="s" s="96">
        <v>36</v>
      </c>
      <c r="O130" s="16"/>
      <c r="P130" s="16"/>
      <c r="Q130" s="79">
        <v>1</v>
      </c>
      <c r="R130" s="16"/>
      <c r="S130" s="16"/>
      <c r="T130" s="79">
        <v>7</v>
      </c>
      <c r="U130" s="16"/>
      <c r="V130" s="16"/>
      <c r="W130" s="16"/>
      <c r="X130" s="79">
        <v>1913</v>
      </c>
      <c r="Y130" s="16"/>
      <c r="Z130" s="16"/>
      <c r="AA130" t="s" s="96">
        <v>34</v>
      </c>
      <c r="AB130" t="s" s="96">
        <v>34</v>
      </c>
      <c r="AC130" s="16"/>
      <c r="AD130" s="16"/>
      <c r="AE130" s="16"/>
      <c r="AF130" s="79">
        <v>1</v>
      </c>
      <c r="AG130" t="s" s="96">
        <v>13</v>
      </c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</row>
    <row r="131" ht="15.35" customHeight="1">
      <c r="A131" t="s" s="83">
        <v>1251</v>
      </c>
      <c r="B131" s="112">
        <v>2021</v>
      </c>
      <c r="C131" s="112">
        <v>20</v>
      </c>
      <c r="D131" t="s" s="83">
        <v>1252</v>
      </c>
      <c r="E131" s="74"/>
      <c r="F131" s="79">
        <v>37</v>
      </c>
      <c r="G131" t="s" s="96">
        <v>83</v>
      </c>
      <c r="H131" t="s" s="96">
        <v>417</v>
      </c>
      <c r="I131" s="79">
        <v>92</v>
      </c>
      <c r="J131" s="79">
        <v>1</v>
      </c>
      <c r="K131" s="16"/>
      <c r="L131" s="16"/>
      <c r="M131" s="16"/>
      <c r="N131" t="s" s="96">
        <v>11</v>
      </c>
      <c r="O131" s="16"/>
      <c r="P131" s="16"/>
      <c r="Q131" s="16"/>
      <c r="R131" s="16"/>
      <c r="S131" s="79">
        <v>1</v>
      </c>
      <c r="T131" s="79">
        <v>31</v>
      </c>
      <c r="U131" s="16"/>
      <c r="V131" s="16"/>
      <c r="W131" s="16"/>
      <c r="X131" s="79">
        <v>1889</v>
      </c>
      <c r="Y131" s="16"/>
      <c r="Z131" s="16"/>
      <c r="AA131" t="s" s="96">
        <v>606</v>
      </c>
      <c r="AB131" t="s" s="96">
        <v>15</v>
      </c>
      <c r="AC131" s="79">
        <v>1</v>
      </c>
      <c r="AD131" s="16"/>
      <c r="AE131" s="16"/>
      <c r="AF131" s="16"/>
      <c r="AG131" t="s" s="96">
        <v>1408</v>
      </c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</row>
    <row r="132" ht="15.35" customHeight="1">
      <c r="A132" t="s" s="83">
        <v>1251</v>
      </c>
      <c r="B132" s="112">
        <v>2021</v>
      </c>
      <c r="C132" s="30"/>
      <c r="D132" t="s" s="83">
        <v>1252</v>
      </c>
      <c r="E132" s="74"/>
      <c r="F132" s="16"/>
      <c r="G132" s="16"/>
      <c r="H132" s="79">
        <v>5</v>
      </c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</row>
    <row r="133" ht="15.35" customHeight="1">
      <c r="A133" t="s" s="83">
        <v>1251</v>
      </c>
      <c r="B133" s="112">
        <v>2021</v>
      </c>
      <c r="C133" s="30"/>
      <c r="D133" t="s" s="83">
        <v>1252</v>
      </c>
      <c r="E133" s="74"/>
      <c r="F133" s="16"/>
      <c r="G133" t="s" s="96">
        <v>1</v>
      </c>
      <c r="H133" t="s" s="96">
        <v>0</v>
      </c>
      <c r="I133" s="16"/>
      <c r="J133" t="s" s="96">
        <v>3</v>
      </c>
      <c r="K133" s="16"/>
      <c r="L133" s="16"/>
      <c r="M133" s="16"/>
      <c r="N133" t="s" s="96">
        <v>2</v>
      </c>
      <c r="O133" s="16"/>
      <c r="P133" s="16"/>
      <c r="Q133" s="16"/>
      <c r="R133" s="16"/>
      <c r="S133" s="16"/>
      <c r="T133" t="s" s="96">
        <v>5</v>
      </c>
      <c r="U133" s="16"/>
      <c r="V133" s="16"/>
      <c r="W133" s="16"/>
      <c r="X133" t="s" s="96">
        <v>4</v>
      </c>
      <c r="Y133" s="16"/>
      <c r="Z133" s="16"/>
      <c r="AA133" t="s" s="96">
        <v>7</v>
      </c>
      <c r="AB133" t="s" s="96">
        <v>8</v>
      </c>
      <c r="AC133" s="16"/>
      <c r="AD133" s="16"/>
      <c r="AE133" s="16"/>
      <c r="AF133" s="16"/>
      <c r="AG133" t="s" s="96">
        <v>6</v>
      </c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</row>
    <row r="134" ht="15.35" customHeight="1">
      <c r="A134" t="s" s="83">
        <v>1251</v>
      </c>
      <c r="B134" s="112">
        <v>2021</v>
      </c>
      <c r="C134" s="112">
        <v>21</v>
      </c>
      <c r="D134" t="s" s="83">
        <v>1252</v>
      </c>
      <c r="E134" s="74"/>
      <c r="F134" s="79">
        <v>43</v>
      </c>
      <c r="G134" t="s" s="96">
        <v>1409</v>
      </c>
      <c r="H134" t="s" s="96">
        <v>1410</v>
      </c>
      <c r="I134" s="79">
        <v>93</v>
      </c>
      <c r="J134" t="s" s="96">
        <v>37</v>
      </c>
      <c r="K134" s="79">
        <v>1</v>
      </c>
      <c r="L134" s="16"/>
      <c r="M134" s="16"/>
      <c r="N134" s="79">
        <v>1</v>
      </c>
      <c r="O134" s="16"/>
      <c r="P134" s="16"/>
      <c r="Q134" s="16"/>
      <c r="R134" s="16"/>
      <c r="S134" s="16"/>
      <c r="T134" s="79">
        <v>58</v>
      </c>
      <c r="U134" s="16"/>
      <c r="V134" s="16"/>
      <c r="W134" s="16"/>
      <c r="X134" s="79">
        <v>1863</v>
      </c>
      <c r="Y134" s="16"/>
      <c r="Z134" s="16"/>
      <c r="AA134" t="s" s="96">
        <v>1411</v>
      </c>
      <c r="AB134" t="s" s="96">
        <v>8</v>
      </c>
      <c r="AC134" s="79">
        <v>1</v>
      </c>
      <c r="AD134" s="79">
        <v>1</v>
      </c>
      <c r="AE134" s="16"/>
      <c r="AF134" s="79">
        <v>1</v>
      </c>
      <c r="AG134" t="s" s="96">
        <v>536</v>
      </c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</row>
    <row r="135" ht="15.35" customHeight="1">
      <c r="A135" t="s" s="83">
        <v>1251</v>
      </c>
      <c r="B135" s="112">
        <v>2021</v>
      </c>
      <c r="C135" s="112">
        <v>21</v>
      </c>
      <c r="D135" t="s" s="83">
        <v>1252</v>
      </c>
      <c r="E135" s="74"/>
      <c r="F135" s="79">
        <v>43</v>
      </c>
      <c r="G135" t="s" s="96">
        <v>1412</v>
      </c>
      <c r="H135" t="s" s="96">
        <v>95</v>
      </c>
      <c r="I135" s="79">
        <v>94</v>
      </c>
      <c r="J135" s="79">
        <v>1</v>
      </c>
      <c r="K135" s="16"/>
      <c r="L135" s="16"/>
      <c r="M135" s="16"/>
      <c r="N135" t="s" s="96">
        <v>72</v>
      </c>
      <c r="O135" s="79">
        <v>1</v>
      </c>
      <c r="P135" s="16"/>
      <c r="Q135" s="16"/>
      <c r="R135" s="16"/>
      <c r="S135" s="16"/>
      <c r="T135" s="79">
        <v>57</v>
      </c>
      <c r="U135" s="16"/>
      <c r="V135" s="16"/>
      <c r="W135" s="16"/>
      <c r="X135" s="79">
        <v>1864</v>
      </c>
      <c r="Y135" s="16"/>
      <c r="Z135" s="16"/>
      <c r="AA135" t="s" s="96">
        <v>72</v>
      </c>
      <c r="AB135" t="s" s="96">
        <v>34</v>
      </c>
      <c r="AC135" s="16"/>
      <c r="AD135" s="16"/>
      <c r="AE135" s="16"/>
      <c r="AF135" s="16"/>
      <c r="AG135" t="s" s="96">
        <v>1413</v>
      </c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</row>
    <row r="136" ht="15.35" customHeight="1">
      <c r="A136" t="s" s="83">
        <v>1251</v>
      </c>
      <c r="B136" s="112">
        <v>2021</v>
      </c>
      <c r="C136" s="112">
        <v>21</v>
      </c>
      <c r="D136" t="s" s="83">
        <v>1252</v>
      </c>
      <c r="E136" s="74"/>
      <c r="F136" s="79">
        <v>43</v>
      </c>
      <c r="G136" t="s" s="96">
        <v>1414</v>
      </c>
      <c r="H136" t="s" s="96">
        <v>1415</v>
      </c>
      <c r="I136" s="79">
        <v>95</v>
      </c>
      <c r="J136" s="79">
        <v>1</v>
      </c>
      <c r="K136" s="16"/>
      <c r="L136" s="16"/>
      <c r="M136" s="16"/>
      <c r="N136" t="s" s="96">
        <v>11</v>
      </c>
      <c r="O136" s="16"/>
      <c r="P136" s="16"/>
      <c r="Q136" s="16"/>
      <c r="R136" s="16"/>
      <c r="S136" s="79">
        <v>1</v>
      </c>
      <c r="T136" s="79">
        <v>28</v>
      </c>
      <c r="U136" s="16"/>
      <c r="V136" s="16"/>
      <c r="W136" s="16"/>
      <c r="X136" s="79">
        <v>1893</v>
      </c>
      <c r="Y136" s="16"/>
      <c r="Z136" s="16"/>
      <c r="AA136" t="s" s="96">
        <v>55</v>
      </c>
      <c r="AB136" t="s" s="96">
        <v>1416</v>
      </c>
      <c r="AC136" s="79">
        <v>1</v>
      </c>
      <c r="AD136" s="16"/>
      <c r="AE136" s="16"/>
      <c r="AF136" s="16"/>
      <c r="AG136" t="s" s="96">
        <v>208</v>
      </c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</row>
    <row r="137" ht="15.35" customHeight="1">
      <c r="A137" t="s" s="83">
        <v>1251</v>
      </c>
      <c r="B137" s="112">
        <v>2021</v>
      </c>
      <c r="C137" s="112">
        <v>21</v>
      </c>
      <c r="D137" t="s" s="83">
        <v>1252</v>
      </c>
      <c r="E137" s="74"/>
      <c r="F137" s="79">
        <v>43</v>
      </c>
      <c r="G137" t="s" s="96">
        <v>1417</v>
      </c>
      <c r="H137" t="s" s="96">
        <v>1418</v>
      </c>
      <c r="I137" s="79">
        <v>96</v>
      </c>
      <c r="J137" s="79">
        <v>1</v>
      </c>
      <c r="K137" s="16"/>
      <c r="L137" s="16"/>
      <c r="M137" s="16"/>
      <c r="N137" t="s" s="96">
        <v>11</v>
      </c>
      <c r="O137" s="16"/>
      <c r="P137" s="16"/>
      <c r="Q137" s="16"/>
      <c r="R137" s="16"/>
      <c r="S137" s="79">
        <v>1</v>
      </c>
      <c r="T137" s="79">
        <v>20</v>
      </c>
      <c r="U137" s="16"/>
      <c r="V137" s="16"/>
      <c r="W137" s="16"/>
      <c r="X137" s="79">
        <v>1901</v>
      </c>
      <c r="Y137" s="16"/>
      <c r="Z137" s="16"/>
      <c r="AA137" t="s" s="96">
        <v>45</v>
      </c>
      <c r="AB137" t="s" s="96">
        <v>1416</v>
      </c>
      <c r="AC137" s="79">
        <v>1</v>
      </c>
      <c r="AD137" s="16"/>
      <c r="AE137" s="16"/>
      <c r="AF137" s="16"/>
      <c r="AG137" t="s" s="96">
        <v>553</v>
      </c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</row>
    <row r="138" ht="15.35" customHeight="1">
      <c r="A138" t="s" s="83">
        <v>1251</v>
      </c>
      <c r="B138" s="112">
        <v>2021</v>
      </c>
      <c r="C138" s="30"/>
      <c r="D138" t="s" s="83">
        <v>1252</v>
      </c>
      <c r="E138" s="74"/>
      <c r="F138" s="16"/>
      <c r="G138" s="16"/>
      <c r="H138" s="79">
        <v>4</v>
      </c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</row>
    <row r="139" ht="15.35" customHeight="1">
      <c r="A139" t="s" s="83">
        <v>1251</v>
      </c>
      <c r="B139" s="112">
        <v>2021</v>
      </c>
      <c r="C139" s="30"/>
      <c r="D139" t="s" s="83">
        <v>1252</v>
      </c>
      <c r="E139" s="74"/>
      <c r="F139" s="16"/>
      <c r="G139" t="s" s="96">
        <v>1</v>
      </c>
      <c r="H139" t="s" s="96">
        <v>0</v>
      </c>
      <c r="I139" s="16"/>
      <c r="J139" t="s" s="96">
        <v>3</v>
      </c>
      <c r="K139" s="16"/>
      <c r="L139" s="16"/>
      <c r="M139" s="16"/>
      <c r="N139" t="s" s="96">
        <v>2</v>
      </c>
      <c r="O139" s="16"/>
      <c r="P139" s="16"/>
      <c r="Q139" s="16"/>
      <c r="R139" s="16"/>
      <c r="S139" s="16"/>
      <c r="T139" t="s" s="96">
        <v>5</v>
      </c>
      <c r="U139" s="16"/>
      <c r="V139" s="16"/>
      <c r="W139" s="16"/>
      <c r="X139" t="s" s="96">
        <v>4</v>
      </c>
      <c r="Y139" s="16"/>
      <c r="Z139" s="16"/>
      <c r="AA139" t="s" s="96">
        <v>7</v>
      </c>
      <c r="AB139" t="s" s="96">
        <v>8</v>
      </c>
      <c r="AC139" s="16"/>
      <c r="AD139" s="16"/>
      <c r="AE139" s="16"/>
      <c r="AF139" s="16"/>
      <c r="AG139" t="s" s="96">
        <v>6</v>
      </c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</row>
    <row r="140" ht="15.35" customHeight="1">
      <c r="A140" t="s" s="83">
        <v>1251</v>
      </c>
      <c r="B140" s="112">
        <v>2021</v>
      </c>
      <c r="C140" s="112">
        <v>22</v>
      </c>
      <c r="D140" t="s" s="83">
        <v>1252</v>
      </c>
      <c r="E140" s="74"/>
      <c r="F140" s="79">
        <v>45</v>
      </c>
      <c r="G140" t="s" s="96">
        <v>1419</v>
      </c>
      <c r="H140" t="s" s="96">
        <v>1420</v>
      </c>
      <c r="I140" s="79">
        <v>97</v>
      </c>
      <c r="J140" t="s" s="96">
        <v>37</v>
      </c>
      <c r="K140" s="79">
        <v>1</v>
      </c>
      <c r="L140" s="16"/>
      <c r="M140" s="16"/>
      <c r="N140" s="79">
        <v>1</v>
      </c>
      <c r="O140" s="16"/>
      <c r="P140" s="16"/>
      <c r="Q140" s="16"/>
      <c r="R140" s="16"/>
      <c r="S140" s="16"/>
      <c r="T140" s="79">
        <v>70</v>
      </c>
      <c r="U140" s="16"/>
      <c r="V140" s="16"/>
      <c r="W140" s="16"/>
      <c r="X140" s="79">
        <v>1851</v>
      </c>
      <c r="Y140" s="16"/>
      <c r="Z140" s="16"/>
      <c r="AA140" t="s" s="96">
        <v>1421</v>
      </c>
      <c r="AB140" t="s" s="96">
        <v>1422</v>
      </c>
      <c r="AC140" s="16"/>
      <c r="AD140" s="16"/>
      <c r="AE140" s="16"/>
      <c r="AF140" s="16"/>
      <c r="AG140" t="s" s="96">
        <v>929</v>
      </c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</row>
    <row r="141" ht="15.35" customHeight="1">
      <c r="A141" t="s" s="83">
        <v>1251</v>
      </c>
      <c r="B141" s="112">
        <v>2021</v>
      </c>
      <c r="C141" s="112">
        <v>22</v>
      </c>
      <c r="D141" t="s" s="83">
        <v>1252</v>
      </c>
      <c r="E141" s="74"/>
      <c r="F141" s="79">
        <v>45</v>
      </c>
      <c r="G141" t="s" s="96">
        <v>1423</v>
      </c>
      <c r="H141" t="s" s="96">
        <v>26</v>
      </c>
      <c r="I141" s="79">
        <v>98</v>
      </c>
      <c r="J141" s="79">
        <v>1</v>
      </c>
      <c r="K141" s="16"/>
      <c r="L141" s="16"/>
      <c r="M141" s="16"/>
      <c r="N141" t="s" s="96">
        <v>163</v>
      </c>
      <c r="O141" s="16"/>
      <c r="P141" s="16"/>
      <c r="Q141" s="16"/>
      <c r="R141" s="16"/>
      <c r="S141" s="79">
        <v>1</v>
      </c>
      <c r="T141" s="79">
        <v>53</v>
      </c>
      <c r="U141" s="16"/>
      <c r="V141" s="16"/>
      <c r="W141" s="16"/>
      <c r="X141" s="79">
        <v>1868</v>
      </c>
      <c r="Y141" s="16"/>
      <c r="Z141" s="16"/>
      <c r="AA141" t="s" s="96">
        <v>33</v>
      </c>
      <c r="AB141" t="s" s="96">
        <v>34</v>
      </c>
      <c r="AC141" s="16"/>
      <c r="AD141" s="16"/>
      <c r="AE141" s="16"/>
      <c r="AF141" s="16"/>
      <c r="AG141" t="s" s="96">
        <v>1424</v>
      </c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</row>
    <row r="142" ht="15.35" customHeight="1">
      <c r="A142" t="s" s="83">
        <v>1251</v>
      </c>
      <c r="B142" s="112">
        <v>2021</v>
      </c>
      <c r="C142" s="112">
        <v>22</v>
      </c>
      <c r="D142" t="s" s="83">
        <v>1252</v>
      </c>
      <c r="E142" s="74"/>
      <c r="F142" s="79">
        <v>45</v>
      </c>
      <c r="G142" t="s" s="96">
        <v>1423</v>
      </c>
      <c r="H142" t="s" s="96">
        <v>1425</v>
      </c>
      <c r="I142" s="79">
        <v>99</v>
      </c>
      <c r="J142" t="s" s="96">
        <v>37</v>
      </c>
      <c r="K142" s="16"/>
      <c r="L142" s="16"/>
      <c r="M142" s="79">
        <v>1</v>
      </c>
      <c r="N142" t="s" s="96">
        <v>1426</v>
      </c>
      <c r="O142" s="16"/>
      <c r="P142" s="16"/>
      <c r="Q142" s="79">
        <v>1</v>
      </c>
      <c r="R142" s="16"/>
      <c r="S142" s="16"/>
      <c r="T142" s="79">
        <v>9</v>
      </c>
      <c r="U142" s="16"/>
      <c r="V142" s="16"/>
      <c r="W142" s="16"/>
      <c r="X142" s="79">
        <v>1912</v>
      </c>
      <c r="Y142" s="16"/>
      <c r="Z142" s="16"/>
      <c r="AA142" t="s" s="96">
        <v>34</v>
      </c>
      <c r="AB142" t="s" s="96">
        <v>34</v>
      </c>
      <c r="AC142" s="16"/>
      <c r="AD142" s="16"/>
      <c r="AE142" s="16"/>
      <c r="AF142" s="79">
        <v>1</v>
      </c>
      <c r="AG142" t="s" s="96">
        <v>13</v>
      </c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</row>
    <row r="143" ht="15.35" customHeight="1">
      <c r="A143" t="s" s="83">
        <v>1251</v>
      </c>
      <c r="B143" s="112">
        <v>2021</v>
      </c>
      <c r="C143" s="112">
        <v>22</v>
      </c>
      <c r="D143" t="s" s="83">
        <v>1252</v>
      </c>
      <c r="E143" s="74"/>
      <c r="F143" s="79">
        <v>45</v>
      </c>
      <c r="G143" t="s" s="96">
        <v>1427</v>
      </c>
      <c r="H143" t="s" s="96">
        <v>1428</v>
      </c>
      <c r="I143" s="79">
        <v>100</v>
      </c>
      <c r="J143" s="79">
        <v>1</v>
      </c>
      <c r="K143" s="16"/>
      <c r="L143" s="16"/>
      <c r="M143" s="16"/>
      <c r="N143" t="s" s="96">
        <v>41</v>
      </c>
      <c r="O143" s="16"/>
      <c r="P143" s="16"/>
      <c r="Q143" s="16"/>
      <c r="R143" s="79">
        <v>1</v>
      </c>
      <c r="S143" s="16"/>
      <c r="T143" s="79">
        <v>20</v>
      </c>
      <c r="U143" s="16"/>
      <c r="V143" s="16"/>
      <c r="W143" s="16"/>
      <c r="X143" s="79">
        <v>1900</v>
      </c>
      <c r="Y143" s="16"/>
      <c r="Z143" s="16"/>
      <c r="AA143" t="s" s="96">
        <v>105</v>
      </c>
      <c r="AB143" t="s" s="96">
        <v>34</v>
      </c>
      <c r="AC143" s="79">
        <v>1</v>
      </c>
      <c r="AD143" s="16"/>
      <c r="AE143" s="16"/>
      <c r="AF143" s="79">
        <v>1</v>
      </c>
      <c r="AG143" t="s" s="96">
        <v>13</v>
      </c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</row>
    <row r="144" ht="15.35" customHeight="1">
      <c r="A144" t="s" s="83">
        <v>1251</v>
      </c>
      <c r="B144" s="112">
        <v>2021</v>
      </c>
      <c r="C144" s="112">
        <v>22</v>
      </c>
      <c r="D144" t="s" s="83">
        <v>1252</v>
      </c>
      <c r="E144" s="74"/>
      <c r="F144" s="79">
        <v>45</v>
      </c>
      <c r="G144" t="s" s="96">
        <v>1427</v>
      </c>
      <c r="H144" t="s" s="96">
        <v>1429</v>
      </c>
      <c r="I144" s="79">
        <v>101</v>
      </c>
      <c r="J144" t="s" s="96">
        <v>12</v>
      </c>
      <c r="K144" s="16"/>
      <c r="L144" s="79">
        <v>1</v>
      </c>
      <c r="M144" s="16"/>
      <c r="N144" t="s" s="96">
        <v>41</v>
      </c>
      <c r="O144" s="16"/>
      <c r="P144" s="16"/>
      <c r="Q144" s="16"/>
      <c r="R144" s="79">
        <v>1</v>
      </c>
      <c r="S144" s="16"/>
      <c r="T144" t="s" s="96">
        <v>34</v>
      </c>
      <c r="U144" s="16"/>
      <c r="V144" s="16"/>
      <c r="W144" s="16"/>
      <c r="X144" s="79">
        <v>1920</v>
      </c>
      <c r="Y144" s="16"/>
      <c r="Z144" s="16"/>
      <c r="AA144" t="s" s="96">
        <v>34</v>
      </c>
      <c r="AB144" t="s" s="96">
        <v>34</v>
      </c>
      <c r="AC144" s="16"/>
      <c r="AD144" s="16"/>
      <c r="AE144" s="16"/>
      <c r="AF144" s="79">
        <v>1</v>
      </c>
      <c r="AG144" t="s" s="96">
        <v>13</v>
      </c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</row>
    <row r="145" ht="15.35" customHeight="1">
      <c r="A145" t="s" s="83">
        <v>1251</v>
      </c>
      <c r="B145" s="112">
        <v>2021</v>
      </c>
      <c r="C145" s="30"/>
      <c r="D145" t="s" s="83">
        <v>1252</v>
      </c>
      <c r="E145" s="74"/>
      <c r="F145" s="16"/>
      <c r="G145" s="16"/>
      <c r="H145" s="79">
        <v>5</v>
      </c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</row>
    <row r="146" ht="15.35" customHeight="1">
      <c r="A146" t="s" s="83">
        <v>1251</v>
      </c>
      <c r="B146" s="112">
        <v>2021</v>
      </c>
      <c r="C146" s="30"/>
      <c r="D146" t="s" s="83">
        <v>1252</v>
      </c>
      <c r="E146" s="74"/>
      <c r="F146" s="16"/>
      <c r="G146" t="s" s="96">
        <v>1</v>
      </c>
      <c r="H146" t="s" s="96">
        <v>0</v>
      </c>
      <c r="I146" s="16"/>
      <c r="J146" t="s" s="96">
        <v>3</v>
      </c>
      <c r="K146" s="16"/>
      <c r="L146" s="16"/>
      <c r="M146" s="16"/>
      <c r="N146" t="s" s="96">
        <v>2</v>
      </c>
      <c r="O146" s="16"/>
      <c r="P146" s="16"/>
      <c r="Q146" s="16"/>
      <c r="R146" s="16"/>
      <c r="S146" s="16"/>
      <c r="T146" t="s" s="96">
        <v>5</v>
      </c>
      <c r="U146" s="16"/>
      <c r="V146" s="16"/>
      <c r="W146" s="16"/>
      <c r="X146" t="s" s="96">
        <v>4</v>
      </c>
      <c r="Y146" s="16"/>
      <c r="Z146" s="16"/>
      <c r="AA146" t="s" s="96">
        <v>7</v>
      </c>
      <c r="AB146" t="s" s="96">
        <v>8</v>
      </c>
      <c r="AC146" s="16"/>
      <c r="AD146" s="16"/>
      <c r="AE146" s="16"/>
      <c r="AF146" s="16"/>
      <c r="AG146" t="s" s="96">
        <v>6</v>
      </c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</row>
    <row r="147" ht="15.35" customHeight="1">
      <c r="A147" t="s" s="83">
        <v>1251</v>
      </c>
      <c r="B147" s="112">
        <v>2021</v>
      </c>
      <c r="C147" s="112">
        <v>23</v>
      </c>
      <c r="D147" t="s" s="83">
        <v>1252</v>
      </c>
      <c r="E147" s="74"/>
      <c r="F147" s="79">
        <v>47</v>
      </c>
      <c r="G147" t="s" s="96">
        <v>1430</v>
      </c>
      <c r="H147" t="s" s="96">
        <v>1431</v>
      </c>
      <c r="I147" s="79">
        <v>102</v>
      </c>
      <c r="J147" s="79">
        <v>1</v>
      </c>
      <c r="K147" s="16"/>
      <c r="L147" s="16"/>
      <c r="M147" s="16"/>
      <c r="N147" s="79">
        <v>1</v>
      </c>
      <c r="O147" s="16"/>
      <c r="P147" s="16"/>
      <c r="Q147" s="16"/>
      <c r="R147" s="16"/>
      <c r="S147" s="16"/>
      <c r="T147" s="79">
        <v>36</v>
      </c>
      <c r="U147" s="16"/>
      <c r="V147" s="16"/>
      <c r="W147" s="16"/>
      <c r="X147" s="79">
        <v>1885</v>
      </c>
      <c r="Y147" s="16"/>
      <c r="Z147" s="16"/>
      <c r="AA147" t="s" s="96">
        <v>33</v>
      </c>
      <c r="AB147" t="s" s="96">
        <v>34</v>
      </c>
      <c r="AC147" s="16"/>
      <c r="AD147" s="16"/>
      <c r="AE147" s="16"/>
      <c r="AF147" s="16"/>
      <c r="AG147" t="s" s="96">
        <v>915</v>
      </c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</row>
    <row r="148" ht="15.35" customHeight="1">
      <c r="A148" t="s" s="83">
        <v>1251</v>
      </c>
      <c r="B148" s="112">
        <v>2021</v>
      </c>
      <c r="C148" s="112">
        <v>23</v>
      </c>
      <c r="D148" t="s" s="83">
        <v>1252</v>
      </c>
      <c r="E148" s="74"/>
      <c r="F148" s="79">
        <v>47</v>
      </c>
      <c r="G148" t="s" s="96">
        <v>1430</v>
      </c>
      <c r="H148" t="s" s="96">
        <v>1432</v>
      </c>
      <c r="I148" s="79">
        <v>103</v>
      </c>
      <c r="J148" t="s" s="96">
        <v>37</v>
      </c>
      <c r="K148" s="16"/>
      <c r="L148" s="16"/>
      <c r="M148" s="79">
        <v>1</v>
      </c>
      <c r="N148" t="s" s="96">
        <v>36</v>
      </c>
      <c r="O148" s="16"/>
      <c r="P148" s="16"/>
      <c r="Q148" s="79">
        <v>1</v>
      </c>
      <c r="R148" s="16"/>
      <c r="S148" s="16"/>
      <c r="T148" s="79">
        <v>5</v>
      </c>
      <c r="U148" s="16"/>
      <c r="V148" s="16"/>
      <c r="W148" s="16"/>
      <c r="X148" s="79">
        <v>1915</v>
      </c>
      <c r="Y148" s="16"/>
      <c r="Z148" s="16"/>
      <c r="AA148" t="s" s="96">
        <v>34</v>
      </c>
      <c r="AB148" t="s" s="96">
        <v>34</v>
      </c>
      <c r="AC148" s="16"/>
      <c r="AD148" s="16"/>
      <c r="AE148" s="16"/>
      <c r="AF148" s="16"/>
      <c r="AG148" t="s" s="96">
        <v>915</v>
      </c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</row>
    <row r="149" ht="15.35" customHeight="1">
      <c r="A149" t="s" s="83">
        <v>1251</v>
      </c>
      <c r="B149" s="112">
        <v>2021</v>
      </c>
      <c r="C149" s="112">
        <v>23</v>
      </c>
      <c r="D149" t="s" s="83">
        <v>1252</v>
      </c>
      <c r="E149" s="74"/>
      <c r="F149" s="79">
        <v>47</v>
      </c>
      <c r="G149" t="s" s="96">
        <v>1430</v>
      </c>
      <c r="H149" t="s" s="96">
        <v>1433</v>
      </c>
      <c r="I149" s="79">
        <v>104</v>
      </c>
      <c r="J149" t="s" s="96">
        <v>37</v>
      </c>
      <c r="K149" s="16"/>
      <c r="L149" s="16"/>
      <c r="M149" s="79">
        <v>1</v>
      </c>
      <c r="N149" t="s" s="96">
        <v>36</v>
      </c>
      <c r="O149" s="16"/>
      <c r="P149" s="16"/>
      <c r="Q149" s="79">
        <v>1</v>
      </c>
      <c r="R149" s="16"/>
      <c r="S149" s="16"/>
      <c r="T149" s="79">
        <v>2</v>
      </c>
      <c r="U149" s="16"/>
      <c r="V149" s="16"/>
      <c r="W149" s="16"/>
      <c r="X149" s="79">
        <v>1918</v>
      </c>
      <c r="Y149" s="16"/>
      <c r="Z149" s="16"/>
      <c r="AA149" t="s" s="96">
        <v>34</v>
      </c>
      <c r="AB149" t="s" s="96">
        <v>34</v>
      </c>
      <c r="AC149" s="16"/>
      <c r="AD149" s="16"/>
      <c r="AE149" s="16"/>
      <c r="AF149" s="16"/>
      <c r="AG149" t="s" s="96">
        <v>1434</v>
      </c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</row>
    <row r="150" ht="15.35" customHeight="1">
      <c r="A150" t="s" s="83">
        <v>1251</v>
      </c>
      <c r="B150" s="112">
        <v>2021</v>
      </c>
      <c r="C150" s="112">
        <v>23</v>
      </c>
      <c r="D150" t="s" s="83">
        <v>1252</v>
      </c>
      <c r="E150" s="74"/>
      <c r="F150" s="79">
        <v>47</v>
      </c>
      <c r="G150" t="s" s="96">
        <v>1430</v>
      </c>
      <c r="H150" t="s" s="96">
        <v>1435</v>
      </c>
      <c r="I150" s="79">
        <v>105</v>
      </c>
      <c r="J150" t="s" s="96">
        <v>37</v>
      </c>
      <c r="K150" s="16"/>
      <c r="L150" s="16"/>
      <c r="M150" s="79">
        <v>1</v>
      </c>
      <c r="N150" t="s" s="96">
        <v>36</v>
      </c>
      <c r="O150" s="16"/>
      <c r="P150" s="16"/>
      <c r="Q150" s="79">
        <v>1</v>
      </c>
      <c r="R150" s="16"/>
      <c r="S150" s="16"/>
      <c r="T150" t="s" s="96">
        <v>34</v>
      </c>
      <c r="U150" s="16"/>
      <c r="V150" s="16"/>
      <c r="W150" s="16"/>
      <c r="X150" s="79">
        <v>1921</v>
      </c>
      <c r="Y150" s="16"/>
      <c r="Z150" s="16"/>
      <c r="AA150" t="s" s="96">
        <v>34</v>
      </c>
      <c r="AB150" t="s" s="96">
        <v>34</v>
      </c>
      <c r="AC150" s="16"/>
      <c r="AD150" s="16"/>
      <c r="AE150" s="16"/>
      <c r="AF150" s="79">
        <v>1</v>
      </c>
      <c r="AG150" t="s" s="96">
        <v>13</v>
      </c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</row>
    <row r="151" ht="15.35" customHeight="1">
      <c r="A151" t="s" s="83">
        <v>1251</v>
      </c>
      <c r="B151" s="112">
        <v>2021</v>
      </c>
      <c r="C151" s="112">
        <v>23</v>
      </c>
      <c r="D151" t="s" s="83">
        <v>1252</v>
      </c>
      <c r="E151" s="74"/>
      <c r="F151" s="79">
        <v>47</v>
      </c>
      <c r="G151" t="s" s="96">
        <v>1436</v>
      </c>
      <c r="H151" t="s" s="96">
        <v>1437</v>
      </c>
      <c r="I151" s="79">
        <v>106</v>
      </c>
      <c r="J151" s="79">
        <v>1</v>
      </c>
      <c r="K151" s="16"/>
      <c r="L151" s="16"/>
      <c r="M151" s="16"/>
      <c r="N151" t="s" s="96">
        <v>11</v>
      </c>
      <c r="O151" s="16"/>
      <c r="P151" s="16"/>
      <c r="Q151" s="16"/>
      <c r="R151" s="16"/>
      <c r="S151" s="79">
        <v>1</v>
      </c>
      <c r="T151" s="79">
        <v>29</v>
      </c>
      <c r="U151" s="16"/>
      <c r="V151" s="16"/>
      <c r="W151" s="16"/>
      <c r="X151" s="79">
        <v>1891</v>
      </c>
      <c r="Y151" s="16"/>
      <c r="Z151" s="16"/>
      <c r="AA151" t="s" s="96">
        <v>1438</v>
      </c>
      <c r="AB151" t="s" s="96">
        <v>15</v>
      </c>
      <c r="AC151" s="79">
        <v>1</v>
      </c>
      <c r="AD151" s="16"/>
      <c r="AE151" s="16"/>
      <c r="AF151" s="16"/>
      <c r="AG151" t="s" s="96">
        <v>1439</v>
      </c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</row>
    <row r="152" ht="15.35" customHeight="1">
      <c r="A152" t="s" s="83">
        <v>1251</v>
      </c>
      <c r="B152" s="112">
        <v>2021</v>
      </c>
      <c r="C152" s="112">
        <v>23</v>
      </c>
      <c r="D152" t="s" s="83">
        <v>1252</v>
      </c>
      <c r="E152" s="74"/>
      <c r="F152" s="79">
        <v>47</v>
      </c>
      <c r="G152" t="s" s="96">
        <v>1440</v>
      </c>
      <c r="H152" t="s" s="96">
        <v>839</v>
      </c>
      <c r="I152" s="79">
        <v>107</v>
      </c>
      <c r="J152" t="s" s="96">
        <v>37</v>
      </c>
      <c r="K152" s="79">
        <v>1</v>
      </c>
      <c r="L152" s="16"/>
      <c r="M152" s="16"/>
      <c r="N152" t="s" s="96">
        <v>65</v>
      </c>
      <c r="O152" s="16"/>
      <c r="P152" s="16"/>
      <c r="Q152" s="16"/>
      <c r="R152" s="79">
        <v>1</v>
      </c>
      <c r="S152" s="16"/>
      <c r="T152" s="79">
        <v>25</v>
      </c>
      <c r="U152" s="16"/>
      <c r="V152" s="16"/>
      <c r="W152" s="16"/>
      <c r="X152" s="79">
        <v>1896</v>
      </c>
      <c r="Y152" s="16"/>
      <c r="Z152" s="16"/>
      <c r="AA152" t="s" s="96">
        <v>1441</v>
      </c>
      <c r="AB152" t="s" s="96">
        <v>1442</v>
      </c>
      <c r="AC152" s="79">
        <v>1</v>
      </c>
      <c r="AD152" s="16"/>
      <c r="AE152" s="16"/>
      <c r="AF152" s="79">
        <v>1</v>
      </c>
      <c r="AG152" t="s" s="96">
        <v>13</v>
      </c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</row>
    <row r="153" ht="15.35" customHeight="1">
      <c r="A153" t="s" s="83">
        <v>1251</v>
      </c>
      <c r="B153" s="112">
        <v>2021</v>
      </c>
      <c r="C153" s="112">
        <v>23</v>
      </c>
      <c r="D153" t="s" s="83">
        <v>1252</v>
      </c>
      <c r="E153" s="74"/>
      <c r="F153" s="79">
        <v>47</v>
      </c>
      <c r="G153" t="s" s="96">
        <v>1440</v>
      </c>
      <c r="H153" t="s" s="96">
        <v>192</v>
      </c>
      <c r="I153" s="79">
        <v>108</v>
      </c>
      <c r="J153" s="79">
        <v>1</v>
      </c>
      <c r="K153" s="16"/>
      <c r="L153" s="16"/>
      <c r="M153" s="16"/>
      <c r="N153" t="s" s="96">
        <v>65</v>
      </c>
      <c r="O153" s="16"/>
      <c r="P153" s="16"/>
      <c r="Q153" s="16"/>
      <c r="R153" s="79">
        <v>1</v>
      </c>
      <c r="S153" s="16"/>
      <c r="T153" s="79">
        <v>25</v>
      </c>
      <c r="U153" s="16"/>
      <c r="V153" s="16"/>
      <c r="W153" s="16"/>
      <c r="X153" s="79">
        <v>1896</v>
      </c>
      <c r="Y153" s="16"/>
      <c r="Z153" s="16"/>
      <c r="AA153" t="s" s="96">
        <v>33</v>
      </c>
      <c r="AB153" t="s" s="96">
        <v>34</v>
      </c>
      <c r="AC153" s="16"/>
      <c r="AD153" s="16"/>
      <c r="AE153" s="16"/>
      <c r="AF153" s="16"/>
      <c r="AG153" t="s" s="96">
        <v>202</v>
      </c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</row>
    <row r="154" ht="15.35" customHeight="1">
      <c r="A154" t="s" s="83">
        <v>1251</v>
      </c>
      <c r="B154" s="112">
        <v>2021</v>
      </c>
      <c r="C154" s="112">
        <v>23</v>
      </c>
      <c r="D154" t="s" s="83">
        <v>1252</v>
      </c>
      <c r="E154" s="74"/>
      <c r="F154" s="16"/>
      <c r="G154" s="16"/>
      <c r="H154" s="79">
        <v>7</v>
      </c>
      <c r="I154" s="79">
        <v>108</v>
      </c>
      <c r="J154" s="79" cm="1">
        <f t="array" ref="J154">SUM(J3:J153)</f>
        <v>69</v>
      </c>
      <c r="K154" s="79" cm="1">
        <f t="array" ref="K154">SUM(K3:K153)</f>
        <v>24</v>
      </c>
      <c r="L154" s="79" cm="1">
        <f t="array" ref="L154">SUM(L3:L153)</f>
        <v>6</v>
      </c>
      <c r="M154" s="79" cm="1">
        <f t="array" ref="M154">SUM(M3:M153)</f>
        <v>9</v>
      </c>
      <c r="N154" s="79" cm="1">
        <f t="array" ref="N154">SUM(N3:N153)</f>
        <v>21</v>
      </c>
      <c r="O154" s="79" cm="1">
        <f t="array" ref="O154">SUM(O3:O153)</f>
        <v>14</v>
      </c>
      <c r="P154" s="79" cm="1">
        <f t="array" ref="P154">SUM(P3:P153)</f>
        <v>12</v>
      </c>
      <c r="Q154" s="79" cm="1">
        <f t="array" ref="Q154">SUM(Q3:Q153)</f>
        <v>15</v>
      </c>
      <c r="R154" s="79" cm="1">
        <f t="array" ref="R154">SUM(R3:R153)</f>
        <v>10</v>
      </c>
      <c r="S154" s="79" cm="1">
        <f t="array" ref="S154">SUM(S3:S153)</f>
        <v>36</v>
      </c>
      <c r="T154" s="79" cm="1">
        <f t="array" ref="T154">SUM(T3:T153)</f>
        <v>3867</v>
      </c>
      <c r="U154" s="79" cm="1">
        <f t="array" ref="U154">SUM(U3:U153)</f>
        <v>0</v>
      </c>
      <c r="V154" s="79" cm="1">
        <f t="array" ref="V154">SUM(V3:V153)</f>
        <v>0</v>
      </c>
      <c r="W154" s="79" cm="1">
        <f t="array" ref="W154">SUM(W3:W153)</f>
        <v>0</v>
      </c>
      <c r="X154" s="16"/>
      <c r="Y154" s="16"/>
      <c r="Z154" s="79" cm="1">
        <f t="array" ref="Z154">SUM(Z3:Z153)</f>
        <v>0</v>
      </c>
      <c r="AA154" s="79" cm="1">
        <f t="array" ref="AA154">SUM(AA3:AA153)</f>
        <v>0</v>
      </c>
      <c r="AB154" s="79" cm="1">
        <f t="array" ref="AB154">SUM(AB3:AB153)</f>
        <v>0</v>
      </c>
      <c r="AC154" s="79" cm="1">
        <f t="array" ref="AC154">SUM(AC3:AC153)</f>
        <v>53</v>
      </c>
      <c r="AD154" s="79" cm="1">
        <f t="array" ref="AD154">SUM(AD3:AD153)</f>
        <v>6</v>
      </c>
      <c r="AE154" s="79" cm="1">
        <f t="array" ref="AE154">AC154-AD154</f>
        <v>47</v>
      </c>
      <c r="AF154" s="79" cm="1">
        <f t="array" ref="AF154">SUM(AF3:AF153)</f>
        <v>52</v>
      </c>
      <c r="AG154" s="79" cm="1">
        <f t="array" ref="AG154">N155-AF154</f>
        <v>56</v>
      </c>
      <c r="AH154" s="79" cm="1">
        <f t="array" ref="AH154">AG154+AF154</f>
        <v>108</v>
      </c>
      <c r="AI154" s="79" cm="1">
        <f t="array" ref="AI154">SUM(AI3:AI153)</f>
        <v>0</v>
      </c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</row>
    <row r="155" ht="15.35" customHeight="1">
      <c r="A155" t="s" s="83">
        <v>1251</v>
      </c>
      <c r="B155" s="112">
        <v>2021</v>
      </c>
      <c r="C155" s="112">
        <v>23</v>
      </c>
      <c r="D155" t="s" s="83">
        <v>1252</v>
      </c>
      <c r="E155" s="74"/>
      <c r="F155" s="16"/>
      <c r="G155" s="16"/>
      <c r="H155" s="16"/>
      <c r="I155" s="79" cm="1">
        <f t="array" ref="I155">SUM(J154:M154)</f>
        <v>108</v>
      </c>
      <c r="J155" s="16"/>
      <c r="K155" s="16"/>
      <c r="L155" s="16"/>
      <c r="M155" s="16"/>
      <c r="N155" s="79" cm="1">
        <f t="array" ref="N155">SUM(N154:S154)</f>
        <v>108</v>
      </c>
      <c r="O155" s="16"/>
      <c r="P155" s="16"/>
      <c r="Q155" s="16"/>
      <c r="R155" s="16"/>
      <c r="S155" s="16"/>
      <c r="T155" s="99" cm="1">
        <f t="array" ref="T155">T154/N155</f>
        <v>35.8055555555556</v>
      </c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</row>
    <row r="156" ht="15.35" customHeight="1">
      <c r="A156" s="62"/>
      <c r="B156" s="62"/>
      <c r="C156" s="62"/>
      <c r="D156" s="62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</row>
    <row r="157" ht="15.3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</row>
    <row r="158" ht="15.3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</row>
    <row r="159" ht="15.3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</row>
    <row r="160" ht="15.3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</row>
    <row r="161" ht="15.3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</row>
    <row r="162" ht="15.3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</row>
    <row r="163" ht="15.3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</row>
    <row r="164" ht="15.3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</row>
    <row r="165" ht="15.3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</row>
    <row r="166" ht="15.3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</row>
    <row r="167" ht="15.3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</row>
    <row r="168" ht="15.3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</row>
    <row r="169" ht="15.3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</row>
    <row r="170" ht="15.3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</row>
    <row r="171" ht="15.3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</row>
    <row r="172" ht="15.3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</row>
    <row r="173" ht="15.3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</row>
    <row r="174" ht="15.3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</row>
    <row r="175" ht="15.3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</row>
    <row r="176" ht="15.3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</row>
    <row r="177" ht="15.3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</row>
    <row r="178" ht="15.3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</row>
    <row r="179" ht="15.3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</row>
    <row r="180" ht="15.3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</row>
    <row r="181" ht="15.3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</row>
    <row r="182" ht="15.3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</row>
    <row r="183" ht="15.3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</row>
    <row r="184" ht="15.3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</row>
    <row r="185" ht="15.3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</row>
    <row r="186" ht="15.3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</row>
    <row r="187" ht="15.3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</row>
    <row r="188" ht="15.3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</row>
    <row r="189" ht="15.3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</row>
    <row r="190" ht="15.3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</row>
    <row r="191" ht="15.3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</row>
    <row r="192" ht="15.3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</row>
    <row r="193" ht="15.3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</row>
    <row r="194" ht="15.3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</row>
    <row r="195" ht="15.3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</row>
    <row r="196" ht="15.3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</row>
    <row r="197" ht="15.3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</row>
    <row r="198" ht="15.3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</row>
    <row r="199" ht="15.3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</row>
    <row r="200" ht="15.3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</row>
    <row r="201" ht="15.3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</row>
    <row r="202" ht="15.3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</row>
    <row r="203" ht="15.3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</row>
    <row r="204" ht="15.3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</row>
    <row r="205" ht="15.3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</row>
    <row r="206" ht="15.3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</row>
    <row r="207" ht="15.3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</row>
    <row r="208" ht="15.3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</row>
    <row r="209" ht="15.3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</row>
    <row r="210" ht="15.3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</row>
    <row r="211" ht="15.3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</row>
    <row r="212" ht="15.3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</row>
    <row r="213" ht="15.3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</row>
    <row r="214" ht="15.3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</row>
    <row r="215" ht="15.3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</row>
    <row r="216" ht="15.3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</row>
    <row r="217" ht="15.3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</row>
    <row r="218" ht="15.3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</row>
    <row r="219" ht="15.3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</row>
    <row r="220" ht="15.3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</row>
    <row r="221" ht="15.3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</row>
    <row r="222" ht="15.3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</row>
    <row r="223" ht="15.3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</row>
    <row r="224" ht="15.3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</row>
    <row r="225" ht="15.3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</row>
    <row r="226" ht="15.3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</row>
    <row r="227" ht="15.3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</row>
    <row r="228" ht="15.3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</row>
    <row r="229" ht="15.3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</row>
    <row r="230" ht="15.3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</row>
    <row r="231" ht="15.3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</row>
    <row r="232" ht="15.3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</row>
    <row r="233" ht="15.3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</row>
    <row r="234" ht="15.3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</row>
    <row r="235" ht="15.3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</row>
    <row r="236" ht="15.3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</row>
    <row r="237" ht="15.3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</row>
    <row r="238" ht="15.3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</row>
    <row r="239" ht="15.3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</row>
    <row r="240" ht="15.3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</row>
    <row r="241" ht="15.3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</row>
    <row r="242" ht="15.3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</row>
    <row r="243" ht="15.3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</row>
    <row r="244" ht="15.3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</row>
    <row r="245" ht="15.35" customHeight="1">
      <c r="A245" s="16"/>
      <c r="B245" s="16"/>
      <c r="C245" s="16"/>
      <c r="D245" s="16"/>
      <c r="E245" s="16"/>
      <c r="F245" s="16"/>
      <c r="G245" s="16"/>
      <c r="H245" s="16"/>
      <c r="I245" s="105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</row>
    <row r="246" ht="15.35" customHeight="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</row>
    <row r="247" ht="15.3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</row>
    <row r="248" ht="15.35" customHeight="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</row>
    <row r="249" ht="15.3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</row>
    <row r="250" ht="15.35" customHeight="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</row>
    <row r="251" ht="15.3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</row>
    <row r="252" ht="15.3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</row>
    <row r="253" ht="15.3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</row>
    <row r="254" ht="15.35" customHeight="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</row>
    <row r="255" ht="15.3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</row>
    <row r="256" ht="15.3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</row>
    <row r="257" ht="15.3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</row>
    <row r="258" ht="15.3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</row>
    <row r="259" ht="15.3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</row>
    <row r="260" ht="15.35" customHeight="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</row>
    <row r="261" ht="15.3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</row>
    <row r="262" ht="15.35" customHeight="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</row>
    <row r="263" ht="15.3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</row>
    <row r="264" ht="15.35" customHeight="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</row>
    <row r="265" ht="15.3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</row>
    <row r="266" ht="15.3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</row>
    <row r="267" ht="15.3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</row>
    <row r="268" ht="15.35" customHeight="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</row>
    <row r="269" ht="15.3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</row>
    <row r="270" ht="15.3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</row>
    <row r="271" ht="15.3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</row>
    <row r="272" ht="15.35" customHeight="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</row>
    <row r="273" ht="15.3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</row>
    <row r="274" ht="15.35" customHeight="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</row>
    <row r="275" ht="15.3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</row>
    <row r="276" ht="15.3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</row>
    <row r="277" ht="15.3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</row>
    <row r="278" ht="15.35" customHeight="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</row>
    <row r="279" ht="15.3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</row>
    <row r="280" ht="15.3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</row>
    <row r="281" ht="15.3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</row>
    <row r="282" ht="15.3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</row>
    <row r="283" ht="15.3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</row>
    <row r="284" ht="15.3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</row>
    <row r="285" ht="15.3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</row>
    <row r="286" ht="15.3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</row>
    <row r="287" ht="15.3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</row>
    <row r="288" ht="15.3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</row>
    <row r="289" ht="15.3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</row>
    <row r="290" ht="15.3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</row>
    <row r="291" ht="15.3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</row>
    <row r="292" ht="15.3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</row>
    <row r="293" ht="15.3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</row>
    <row r="294" ht="15.3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</row>
    <row r="295" ht="15.3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</row>
    <row r="296" ht="15.3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</row>
    <row r="297" ht="15.3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</row>
    <row r="298" ht="15.3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</row>
    <row r="299" ht="15.3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</row>
    <row r="300" ht="15.3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</row>
    <row r="301" ht="15.3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</row>
    <row r="302" ht="15.3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</row>
    <row r="303" ht="15.3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</row>
    <row r="304" ht="15.3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</row>
    <row r="305" ht="15.3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</row>
    <row r="306" ht="15.3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</row>
    <row r="307" ht="15.3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</row>
    <row r="308" ht="15.3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</row>
    <row r="309" ht="15.3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</row>
    <row r="310" ht="15.3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</row>
    <row r="311" ht="15.3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</row>
    <row r="312" ht="15.3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</row>
    <row r="313" ht="15.3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</row>
    <row r="314" ht="15.3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</row>
    <row r="315" ht="15.3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</row>
    <row r="316" ht="15.3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</row>
    <row r="317" ht="15.3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</row>
    <row r="318" ht="15.3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</row>
    <row r="319" ht="15.3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</row>
    <row r="320" ht="15.3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</row>
    <row r="321" ht="15.3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</row>
    <row r="322" ht="15.3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</row>
    <row r="323" ht="15.3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</row>
    <row r="324" ht="15.3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</row>
    <row r="325" ht="15.3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</row>
    <row r="326" ht="15.3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</row>
    <row r="327" ht="15.3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</row>
    <row r="328" ht="15.3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</row>
    <row r="329" ht="15.3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</row>
    <row r="330" ht="15.3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</row>
    <row r="331" ht="15.3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</row>
    <row r="332" ht="15.3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</row>
    <row r="333" ht="15.3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</row>
    <row r="334" ht="15.3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</row>
    <row r="335" ht="15.3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</row>
    <row r="336" ht="15.3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</row>
    <row r="337" ht="15.3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</row>
    <row r="338" ht="15.3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</row>
    <row r="339" ht="15.3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</row>
    <row r="340" ht="15.3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</row>
    <row r="341" ht="15.3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</row>
    <row r="342" ht="15.3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</row>
    <row r="343" ht="15.3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</row>
    <row r="344" ht="15.3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</row>
    <row r="345" ht="15.3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</row>
    <row r="346" ht="15.3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</row>
    <row r="347" ht="15.3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</row>
    <row r="348" ht="15.3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</row>
    <row r="349" ht="15.3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</row>
    <row r="350" ht="15.3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</row>
    <row r="351" ht="15.3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6.xml><?xml version="1.0" encoding="utf-8"?>
<worksheet xmlns:r="http://schemas.openxmlformats.org/officeDocument/2006/relationships" xmlns="http://schemas.openxmlformats.org/spreadsheetml/2006/main">
  <dimension ref="A1:BC63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325" customWidth="1"/>
    <col min="4" max="4" width="17.8516" style="325" customWidth="1"/>
    <col min="5" max="5" width="20.1719" style="325" customWidth="1"/>
    <col min="6" max="6" width="22.8516" style="325" customWidth="1"/>
    <col min="7" max="10" width="10.8516" style="325" customWidth="1"/>
    <col min="11" max="11" width="19.1719" style="325" customWidth="1"/>
    <col min="12" max="12" width="7.85156" style="325" customWidth="1"/>
    <col min="13" max="13" width="10" style="325" customWidth="1"/>
    <col min="14" max="14" width="44.3516" style="325" customWidth="1"/>
    <col min="15" max="15" width="18.5" style="325" customWidth="1"/>
    <col min="16" max="16" width="11.5" style="325" customWidth="1"/>
    <col min="17" max="17" width="11.6719" style="325" customWidth="1"/>
    <col min="18" max="18" width="12.3516" style="325" customWidth="1"/>
    <col min="19" max="19" width="10.8516" style="325" customWidth="1"/>
    <col min="20" max="20" width="15.1719" style="325" customWidth="1"/>
    <col min="21" max="23" width="10.8516" style="325" customWidth="1"/>
    <col min="24" max="24" width="31" style="325" customWidth="1"/>
    <col min="25" max="25" width="19.8516" style="325" customWidth="1"/>
    <col min="26" max="26" width="12.1719" style="325" customWidth="1"/>
    <col min="27" max="29" width="16.5" style="325" customWidth="1"/>
    <col min="30" max="30" width="25.3516" style="325" customWidth="1"/>
    <col min="31" max="31" width="14.6719" style="325" customWidth="1"/>
    <col min="32" max="32" width="10.8516" style="325" customWidth="1"/>
    <col min="33" max="33" width="42.5" style="325" customWidth="1"/>
    <col min="34" max="34" width="11.1719" style="325" customWidth="1"/>
    <col min="35" max="35" width="7.85156" style="325" customWidth="1"/>
    <col min="36" max="37" width="10.8516" style="325" customWidth="1"/>
    <col min="38" max="38" width="7.35156" style="325" customWidth="1"/>
    <col min="39" max="39" width="10.8516" style="325" customWidth="1"/>
    <col min="40" max="40" width="9.17188" style="325" customWidth="1"/>
    <col min="41" max="41" width="10.8516" style="325" customWidth="1"/>
    <col min="42" max="42" width="12.5" style="325" customWidth="1"/>
    <col min="43" max="43" width="13" style="325" customWidth="1"/>
    <col min="44" max="55" width="10.8516" style="325" customWidth="1"/>
    <col min="56" max="16384" width="10.8516" style="325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34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109">
        <v>302</v>
      </c>
      <c r="V2" t="s" s="109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1443</v>
      </c>
      <c r="B3" s="141"/>
      <c r="C3" s="30"/>
      <c r="D3" s="30"/>
      <c r="E3" s="30"/>
      <c r="F3" s="29"/>
      <c r="G3" t="s" s="83">
        <v>1444</v>
      </c>
      <c r="H3" t="s" s="83">
        <v>199</v>
      </c>
      <c r="I3" s="116"/>
      <c r="J3" s="155">
        <v>1</v>
      </c>
      <c r="K3" s="29"/>
      <c r="L3" s="29"/>
      <c r="M3" s="29"/>
      <c r="N3" s="114">
        <v>1</v>
      </c>
      <c r="O3" s="29"/>
      <c r="P3" s="29"/>
      <c r="Q3" s="29"/>
      <c r="R3" s="29"/>
      <c r="S3" s="29"/>
      <c r="T3" s="118">
        <v>56</v>
      </c>
      <c r="U3" s="29"/>
      <c r="V3" s="29"/>
      <c r="W3" s="29"/>
      <c r="X3" s="29"/>
      <c r="Y3" s="29"/>
      <c r="Z3" s="29"/>
      <c r="AA3" t="s" s="119">
        <v>1445</v>
      </c>
      <c r="AB3" s="115"/>
      <c r="AC3" s="114">
        <v>1</v>
      </c>
      <c r="AD3" t="s" s="119">
        <v>1446</v>
      </c>
      <c r="AE3" t="s" s="83">
        <v>31</v>
      </c>
      <c r="AF3" s="30"/>
      <c r="AG3" t="s" s="119">
        <v>1447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9" customHeight="1">
      <c r="A4" s="30"/>
      <c r="B4" s="30"/>
      <c r="C4" s="30"/>
      <c r="D4" s="30"/>
      <c r="E4" s="30"/>
      <c r="F4" s="29"/>
      <c r="G4" t="s" s="83">
        <v>731</v>
      </c>
      <c r="H4" t="s" s="83">
        <v>1055</v>
      </c>
      <c r="I4" s="74"/>
      <c r="J4" s="123">
        <v>1</v>
      </c>
      <c r="K4" s="29"/>
      <c r="L4" s="29"/>
      <c r="M4" s="29"/>
      <c r="N4" s="29"/>
      <c r="O4" s="29"/>
      <c r="P4" s="29"/>
      <c r="Q4" s="29"/>
      <c r="R4" s="29"/>
      <c r="S4" s="29"/>
      <c r="T4" s="118">
        <v>27</v>
      </c>
      <c r="U4" s="29"/>
      <c r="V4" s="29"/>
      <c r="W4" s="29"/>
      <c r="X4" s="29"/>
      <c r="Y4" s="29"/>
      <c r="Z4" s="29"/>
      <c r="AA4" t="s" s="119">
        <v>1448</v>
      </c>
      <c r="AB4" s="122"/>
      <c r="AC4" s="114">
        <v>1</v>
      </c>
      <c r="AD4" t="s" s="119">
        <v>1449</v>
      </c>
      <c r="AE4" t="s" s="83">
        <v>1450</v>
      </c>
      <c r="AF4" s="30"/>
      <c r="AG4" t="s" s="119">
        <v>1451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9" customHeight="1">
      <c r="A5" s="30"/>
      <c r="B5" s="30"/>
      <c r="C5" s="30"/>
      <c r="D5" s="30"/>
      <c r="E5" s="30"/>
      <c r="F5" s="29"/>
      <c r="G5" t="s" s="83">
        <v>1444</v>
      </c>
      <c r="H5" t="s" s="83">
        <v>1452</v>
      </c>
      <c r="I5" s="74"/>
      <c r="J5" s="123">
        <v>1</v>
      </c>
      <c r="K5" s="29"/>
      <c r="L5" s="29"/>
      <c r="M5" s="29"/>
      <c r="N5" s="29"/>
      <c r="O5" s="29"/>
      <c r="P5" s="29"/>
      <c r="Q5" s="29"/>
      <c r="R5" s="29"/>
      <c r="S5" s="114">
        <v>1</v>
      </c>
      <c r="T5" s="118">
        <v>24</v>
      </c>
      <c r="U5" s="29"/>
      <c r="V5" s="29"/>
      <c r="W5" s="29"/>
      <c r="X5" s="29"/>
      <c r="Y5" s="29"/>
      <c r="Z5" s="29"/>
      <c r="AA5" t="s" s="119">
        <v>1453</v>
      </c>
      <c r="AB5" s="122"/>
      <c r="AC5" s="114">
        <v>1</v>
      </c>
      <c r="AD5" t="s" s="119">
        <v>1454</v>
      </c>
      <c r="AE5" t="s" s="83">
        <v>11</v>
      </c>
      <c r="AF5" s="112">
        <v>1</v>
      </c>
      <c r="AG5" t="s" s="119">
        <v>1455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9" customHeight="1">
      <c r="A6" s="30"/>
      <c r="B6" s="30"/>
      <c r="C6" s="30"/>
      <c r="D6" s="30"/>
      <c r="E6" s="30"/>
      <c r="F6" s="29"/>
      <c r="G6" t="s" s="83">
        <v>705</v>
      </c>
      <c r="H6" t="s" s="83">
        <v>704</v>
      </c>
      <c r="I6" s="74"/>
      <c r="J6" s="123">
        <v>1</v>
      </c>
      <c r="K6" s="29"/>
      <c r="L6" s="29"/>
      <c r="M6" s="29"/>
      <c r="N6" s="29"/>
      <c r="O6" s="29"/>
      <c r="P6" s="29"/>
      <c r="Q6" s="29"/>
      <c r="R6" s="29"/>
      <c r="S6" s="114">
        <v>1</v>
      </c>
      <c r="T6" s="118">
        <v>19</v>
      </c>
      <c r="U6" s="29"/>
      <c r="V6" s="29"/>
      <c r="W6" s="29"/>
      <c r="X6" s="29"/>
      <c r="Y6" s="29"/>
      <c r="Z6" s="29"/>
      <c r="AA6" t="s" s="119">
        <v>1456</v>
      </c>
      <c r="AB6" s="122"/>
      <c r="AC6" s="114">
        <v>1</v>
      </c>
      <c r="AD6" t="s" s="119">
        <v>1457</v>
      </c>
      <c r="AE6" t="s" s="83">
        <v>11</v>
      </c>
      <c r="AF6" s="30"/>
      <c r="AG6" t="s" s="119">
        <v>1458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9" customHeight="1">
      <c r="A7" s="30"/>
      <c r="B7" s="30"/>
      <c r="C7" s="30"/>
      <c r="D7" s="30"/>
      <c r="E7" s="30"/>
      <c r="F7" s="29"/>
      <c r="G7" t="s" s="83">
        <v>1459</v>
      </c>
      <c r="H7" t="s" s="83">
        <v>106</v>
      </c>
      <c r="I7" s="74"/>
      <c r="J7" s="123">
        <v>1</v>
      </c>
      <c r="K7" s="29"/>
      <c r="L7" s="29"/>
      <c r="M7" s="29"/>
      <c r="N7" s="29"/>
      <c r="O7" s="29"/>
      <c r="P7" s="29"/>
      <c r="Q7" s="29"/>
      <c r="R7" s="29"/>
      <c r="S7" s="29"/>
      <c r="T7" s="112">
        <v>25</v>
      </c>
      <c r="U7" s="29"/>
      <c r="V7" s="29"/>
      <c r="W7" s="29"/>
      <c r="X7" s="29"/>
      <c r="Y7" s="29"/>
      <c r="Z7" s="29"/>
      <c r="AA7" t="s" s="83">
        <v>1460</v>
      </c>
      <c r="AB7" s="122"/>
      <c r="AC7" s="114">
        <v>1</v>
      </c>
      <c r="AD7" t="s" s="83">
        <v>1461</v>
      </c>
      <c r="AE7" t="s" s="83">
        <v>11</v>
      </c>
      <c r="AF7" s="30"/>
      <c r="AG7" t="s" s="83">
        <v>183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9" customHeight="1">
      <c r="A8" s="30"/>
      <c r="B8" s="30"/>
      <c r="C8" s="30"/>
      <c r="D8" s="30"/>
      <c r="E8" s="30"/>
      <c r="F8" s="29"/>
      <c r="G8" t="s" s="83">
        <v>309</v>
      </c>
      <c r="H8" t="s" s="83">
        <v>774</v>
      </c>
      <c r="I8" s="74"/>
      <c r="J8" s="123">
        <v>1</v>
      </c>
      <c r="K8" s="29"/>
      <c r="L8" s="29"/>
      <c r="M8" s="29"/>
      <c r="N8" s="29"/>
      <c r="O8" s="29"/>
      <c r="P8" s="29"/>
      <c r="Q8" s="29"/>
      <c r="R8" s="29"/>
      <c r="S8" s="29"/>
      <c r="T8" s="118">
        <v>23</v>
      </c>
      <c r="U8" s="29"/>
      <c r="V8" s="29"/>
      <c r="W8" s="29"/>
      <c r="X8" s="29"/>
      <c r="Y8" s="29"/>
      <c r="Z8" s="29"/>
      <c r="AA8" t="s" s="119">
        <v>1462</v>
      </c>
      <c r="AB8" s="122"/>
      <c r="AC8" s="114">
        <v>1</v>
      </c>
      <c r="AD8" t="s" s="119">
        <v>1463</v>
      </c>
      <c r="AE8" t="s" s="83">
        <v>11</v>
      </c>
      <c r="AF8" s="30"/>
      <c r="AG8" t="s" s="119">
        <v>183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9" customHeight="1">
      <c r="A9" s="30"/>
      <c r="B9" s="30"/>
      <c r="C9" s="30"/>
      <c r="D9" s="30"/>
      <c r="E9" s="30"/>
      <c r="F9" s="29"/>
      <c r="G9" t="s" s="83">
        <v>1464</v>
      </c>
      <c r="H9" t="s" s="83">
        <v>321</v>
      </c>
      <c r="I9" s="74"/>
      <c r="J9" s="123">
        <v>1</v>
      </c>
      <c r="K9" s="29"/>
      <c r="L9" s="29"/>
      <c r="M9" s="29"/>
      <c r="N9" s="29"/>
      <c r="O9" s="29"/>
      <c r="P9" s="29"/>
      <c r="Q9" s="29"/>
      <c r="R9" s="29"/>
      <c r="S9" s="29"/>
      <c r="T9" s="118">
        <v>36</v>
      </c>
      <c r="U9" s="29"/>
      <c r="V9" s="29"/>
      <c r="W9" s="29"/>
      <c r="X9" s="29"/>
      <c r="Y9" s="29"/>
      <c r="Z9" s="29"/>
      <c r="AA9" t="s" s="119">
        <v>1465</v>
      </c>
      <c r="AB9" s="122"/>
      <c r="AC9" s="114">
        <v>1</v>
      </c>
      <c r="AD9" t="s" s="119">
        <v>1466</v>
      </c>
      <c r="AE9" t="s" s="83">
        <v>11</v>
      </c>
      <c r="AF9" s="30"/>
      <c r="AG9" t="s" s="119">
        <v>1386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9" customHeight="1">
      <c r="A10" s="30"/>
      <c r="B10" s="30"/>
      <c r="C10" s="30"/>
      <c r="D10" s="30"/>
      <c r="E10" s="30"/>
      <c r="F10" s="29"/>
      <c r="G10" t="s" s="83">
        <v>1467</v>
      </c>
      <c r="H10" t="s" s="83">
        <v>115</v>
      </c>
      <c r="I10" s="74"/>
      <c r="J10" s="123">
        <v>1</v>
      </c>
      <c r="K10" s="29"/>
      <c r="L10" s="29"/>
      <c r="M10" s="29"/>
      <c r="N10" s="29"/>
      <c r="O10" s="29"/>
      <c r="P10" s="29"/>
      <c r="Q10" s="29"/>
      <c r="R10" s="29"/>
      <c r="S10" s="29"/>
      <c r="T10" s="118">
        <v>25</v>
      </c>
      <c r="U10" s="29"/>
      <c r="V10" s="29"/>
      <c r="W10" s="29"/>
      <c r="X10" s="29"/>
      <c r="Y10" s="29"/>
      <c r="Z10" s="29"/>
      <c r="AA10" t="s" s="119">
        <v>1465</v>
      </c>
      <c r="AB10" s="122"/>
      <c r="AC10" s="114">
        <v>1</v>
      </c>
      <c r="AD10" t="s" s="119">
        <v>1466</v>
      </c>
      <c r="AE10" t="s" s="83">
        <v>11</v>
      </c>
      <c r="AF10" s="30"/>
      <c r="AG10" t="s" s="119">
        <v>1468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9" customHeight="1">
      <c r="A11" s="30"/>
      <c r="B11" s="30"/>
      <c r="C11" s="30"/>
      <c r="D11" s="30"/>
      <c r="E11" s="30"/>
      <c r="F11" s="29"/>
      <c r="G11" t="s" s="83">
        <v>137</v>
      </c>
      <c r="H11" t="s" s="83">
        <v>1469</v>
      </c>
      <c r="I11" s="74"/>
      <c r="J11" s="123">
        <v>1</v>
      </c>
      <c r="K11" s="29"/>
      <c r="L11" s="29"/>
      <c r="M11" s="29"/>
      <c r="N11" s="29"/>
      <c r="O11" s="29"/>
      <c r="P11" s="29"/>
      <c r="Q11" s="29"/>
      <c r="R11" s="29"/>
      <c r="S11" s="29"/>
      <c r="T11" s="118">
        <v>22</v>
      </c>
      <c r="U11" s="29"/>
      <c r="V11" s="29"/>
      <c r="W11" s="29"/>
      <c r="X11" s="29"/>
      <c r="Y11" s="29"/>
      <c r="Z11" s="29"/>
      <c r="AA11" t="s" s="119">
        <v>1465</v>
      </c>
      <c r="AB11" s="122"/>
      <c r="AC11" s="114">
        <v>1</v>
      </c>
      <c r="AD11" t="s" s="119">
        <v>1466</v>
      </c>
      <c r="AE11" t="s" s="83">
        <v>11</v>
      </c>
      <c r="AF11" s="30"/>
      <c r="AG11" t="s" s="119">
        <v>1470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9" customHeight="1">
      <c r="A12" s="30"/>
      <c r="B12" s="30"/>
      <c r="C12" s="30"/>
      <c r="D12" s="30"/>
      <c r="E12" s="30"/>
      <c r="F12" s="29"/>
      <c r="G12" t="s" s="83">
        <v>1471</v>
      </c>
      <c r="H12" t="s" s="83">
        <v>1472</v>
      </c>
      <c r="I12" s="74"/>
      <c r="J12" s="123">
        <v>1</v>
      </c>
      <c r="K12" s="29"/>
      <c r="L12" s="29"/>
      <c r="M12" s="29"/>
      <c r="N12" s="29"/>
      <c r="O12" s="29"/>
      <c r="P12" s="29"/>
      <c r="Q12" s="29"/>
      <c r="R12" s="29"/>
      <c r="S12" s="29"/>
      <c r="T12" s="118">
        <v>21</v>
      </c>
      <c r="U12" s="29"/>
      <c r="V12" s="29"/>
      <c r="W12" s="29"/>
      <c r="X12" s="29"/>
      <c r="Y12" s="29"/>
      <c r="Z12" s="29"/>
      <c r="AA12" t="s" s="119">
        <v>1465</v>
      </c>
      <c r="AB12" s="122"/>
      <c r="AC12" s="114">
        <v>1</v>
      </c>
      <c r="AD12" t="s" s="119">
        <v>1473</v>
      </c>
      <c r="AE12" t="s" s="83">
        <v>11</v>
      </c>
      <c r="AF12" s="30"/>
      <c r="AG12" t="s" s="119">
        <v>1474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9" customHeight="1">
      <c r="A13" s="30"/>
      <c r="B13" s="30"/>
      <c r="C13" s="30"/>
      <c r="D13" s="30"/>
      <c r="E13" s="30"/>
      <c r="F13" s="29"/>
      <c r="G13" t="s" s="83">
        <v>1475</v>
      </c>
      <c r="H13" t="s" s="83">
        <v>109</v>
      </c>
      <c r="I13" s="74"/>
      <c r="J13" s="123">
        <v>1</v>
      </c>
      <c r="K13" s="29"/>
      <c r="L13" s="29"/>
      <c r="M13" s="29"/>
      <c r="N13" s="29"/>
      <c r="O13" s="29"/>
      <c r="P13" s="29"/>
      <c r="Q13" s="29"/>
      <c r="R13" s="29"/>
      <c r="S13" s="29"/>
      <c r="T13" s="118">
        <v>32</v>
      </c>
      <c r="U13" s="29"/>
      <c r="V13" s="29"/>
      <c r="W13" s="29"/>
      <c r="X13" s="29"/>
      <c r="Y13" s="29"/>
      <c r="Z13" s="29"/>
      <c r="AA13" t="s" s="119">
        <v>1476</v>
      </c>
      <c r="AB13" s="122"/>
      <c r="AC13" s="114">
        <v>1</v>
      </c>
      <c r="AD13" t="s" s="119">
        <v>1477</v>
      </c>
      <c r="AE13" t="s" s="83">
        <v>34</v>
      </c>
      <c r="AF13" s="30"/>
      <c r="AG13" t="s" s="119">
        <v>183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9" customHeight="1">
      <c r="A14" s="30"/>
      <c r="B14" s="30"/>
      <c r="C14" s="30"/>
      <c r="D14" s="30"/>
      <c r="E14" s="30"/>
      <c r="F14" s="29"/>
      <c r="G14" t="s" s="83">
        <v>1478</v>
      </c>
      <c r="H14" t="s" s="83">
        <v>1479</v>
      </c>
      <c r="I14" s="74"/>
      <c r="J14" s="123">
        <v>1</v>
      </c>
      <c r="K14" s="29"/>
      <c r="L14" s="29"/>
      <c r="M14" s="29"/>
      <c r="N14" s="29"/>
      <c r="O14" s="29"/>
      <c r="P14" s="29"/>
      <c r="Q14" s="29"/>
      <c r="R14" s="29"/>
      <c r="S14" s="29"/>
      <c r="T14" s="118">
        <v>50</v>
      </c>
      <c r="U14" s="29"/>
      <c r="V14" s="29"/>
      <c r="W14" s="29"/>
      <c r="X14" s="29"/>
      <c r="Y14" s="29"/>
      <c r="Z14" s="29"/>
      <c r="AA14" t="s" s="119">
        <v>1480</v>
      </c>
      <c r="AB14" s="122"/>
      <c r="AC14" s="114">
        <v>1</v>
      </c>
      <c r="AD14" t="s" s="119">
        <v>1477</v>
      </c>
      <c r="AE14" t="s" s="83">
        <v>34</v>
      </c>
      <c r="AF14" s="30"/>
      <c r="AG14" t="s" s="119">
        <v>1140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9" customHeight="1">
      <c r="A15" s="30"/>
      <c r="B15" s="30"/>
      <c r="C15" s="30"/>
      <c r="D15" s="30"/>
      <c r="E15" s="30"/>
      <c r="F15" s="29"/>
      <c r="G15" t="s" s="83">
        <v>170</v>
      </c>
      <c r="H15" t="s" s="83">
        <v>1481</v>
      </c>
      <c r="I15" s="74"/>
      <c r="J15" s="123">
        <v>1</v>
      </c>
      <c r="K15" s="29"/>
      <c r="L15" s="29"/>
      <c r="M15" s="29"/>
      <c r="N15" s="29"/>
      <c r="O15" s="29"/>
      <c r="P15" s="29"/>
      <c r="Q15" s="29"/>
      <c r="R15" s="29"/>
      <c r="S15" s="29"/>
      <c r="T15" s="112">
        <v>35</v>
      </c>
      <c r="U15" s="29"/>
      <c r="V15" s="29"/>
      <c r="W15" s="29"/>
      <c r="X15" s="29"/>
      <c r="Y15" s="29"/>
      <c r="Z15" s="29"/>
      <c r="AA15" t="s" s="83">
        <v>1480</v>
      </c>
      <c r="AB15" s="122"/>
      <c r="AC15" s="114">
        <v>1</v>
      </c>
      <c r="AD15" t="s" s="83">
        <v>1477</v>
      </c>
      <c r="AE15" t="s" s="83">
        <v>34</v>
      </c>
      <c r="AF15" s="30"/>
      <c r="AG15" t="s" s="83">
        <v>1482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9" customHeight="1">
      <c r="A16" s="30"/>
      <c r="B16" s="30"/>
      <c r="C16" s="30"/>
      <c r="D16" s="30"/>
      <c r="E16" s="30"/>
      <c r="F16" s="29"/>
      <c r="G16" t="s" s="83">
        <v>1483</v>
      </c>
      <c r="H16" t="s" s="83">
        <v>48</v>
      </c>
      <c r="I16" s="74"/>
      <c r="J16" s="123">
        <v>1</v>
      </c>
      <c r="K16" s="29"/>
      <c r="L16" s="29"/>
      <c r="M16" s="29"/>
      <c r="N16" s="29"/>
      <c r="O16" s="29"/>
      <c r="P16" s="29"/>
      <c r="Q16" s="29"/>
      <c r="R16" s="29"/>
      <c r="S16" s="29"/>
      <c r="T16" s="112">
        <v>27</v>
      </c>
      <c r="U16" s="29"/>
      <c r="V16" s="29"/>
      <c r="W16" s="29"/>
      <c r="X16" s="29"/>
      <c r="Y16" s="29"/>
      <c r="Z16" s="29"/>
      <c r="AA16" t="s" s="83">
        <v>1484</v>
      </c>
      <c r="AB16" s="122"/>
      <c r="AC16" s="114">
        <v>1</v>
      </c>
      <c r="AD16" t="s" s="83">
        <v>1477</v>
      </c>
      <c r="AE16" t="s" s="83">
        <v>34</v>
      </c>
      <c r="AF16" s="30"/>
      <c r="AG16" t="s" s="83">
        <v>1485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9" customHeight="1">
      <c r="A17" s="30"/>
      <c r="B17" s="30"/>
      <c r="C17" s="30"/>
      <c r="D17" s="30"/>
      <c r="E17" s="30"/>
      <c r="F17" s="29"/>
      <c r="G17" t="s" s="83">
        <v>1486</v>
      </c>
      <c r="H17" t="s" s="83">
        <v>1469</v>
      </c>
      <c r="I17" s="74"/>
      <c r="J17" s="123">
        <v>1</v>
      </c>
      <c r="K17" s="29"/>
      <c r="L17" s="29"/>
      <c r="M17" s="29"/>
      <c r="N17" s="29"/>
      <c r="O17" s="29"/>
      <c r="P17" s="29"/>
      <c r="Q17" s="29"/>
      <c r="R17" s="29"/>
      <c r="S17" s="29"/>
      <c r="T17" s="112">
        <v>38</v>
      </c>
      <c r="U17" s="29"/>
      <c r="V17" s="29"/>
      <c r="W17" s="29"/>
      <c r="X17" s="29"/>
      <c r="Y17" s="29"/>
      <c r="Z17" s="29"/>
      <c r="AA17" t="s" s="83">
        <v>1487</v>
      </c>
      <c r="AB17" s="122"/>
      <c r="AC17" s="114">
        <v>1</v>
      </c>
      <c r="AD17" t="s" s="83">
        <v>1477</v>
      </c>
      <c r="AE17" t="s" s="83">
        <v>34</v>
      </c>
      <c r="AF17" s="30"/>
      <c r="AG17" t="s" s="83">
        <v>553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9" customHeight="1">
      <c r="A18" s="30"/>
      <c r="B18" s="30"/>
      <c r="C18" s="30"/>
      <c r="D18" s="30"/>
      <c r="E18" s="30"/>
      <c r="F18" s="29"/>
      <c r="G18" t="s" s="83">
        <v>1488</v>
      </c>
      <c r="H18" t="s" s="83">
        <v>109</v>
      </c>
      <c r="I18" s="74"/>
      <c r="J18" s="123">
        <v>1</v>
      </c>
      <c r="K18" s="29"/>
      <c r="L18" s="29"/>
      <c r="M18" s="29"/>
      <c r="N18" s="29"/>
      <c r="O18" s="29"/>
      <c r="P18" s="29"/>
      <c r="Q18" s="29"/>
      <c r="R18" s="29"/>
      <c r="S18" s="29"/>
      <c r="T18" s="112">
        <v>46</v>
      </c>
      <c r="U18" s="29"/>
      <c r="V18" s="29"/>
      <c r="W18" s="29"/>
      <c r="X18" s="29"/>
      <c r="Y18" s="29"/>
      <c r="Z18" s="29"/>
      <c r="AA18" t="s" s="83">
        <v>1489</v>
      </c>
      <c r="AB18" s="122"/>
      <c r="AC18" s="114">
        <v>1</v>
      </c>
      <c r="AD18" t="s" s="83">
        <v>1477</v>
      </c>
      <c r="AE18" t="s" s="83">
        <v>34</v>
      </c>
      <c r="AF18" s="30"/>
      <c r="AG18" t="s" s="83">
        <v>1490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9" customHeight="1">
      <c r="A19" s="30"/>
      <c r="B19" s="30"/>
      <c r="C19" s="30"/>
      <c r="D19" s="30"/>
      <c r="E19" s="30"/>
      <c r="F19" s="29"/>
      <c r="G19" t="s" s="83">
        <v>1282</v>
      </c>
      <c r="H19" t="s" s="83">
        <v>1491</v>
      </c>
      <c r="I19" s="74"/>
      <c r="J19" s="123">
        <v>1</v>
      </c>
      <c r="K19" s="29"/>
      <c r="L19" s="29"/>
      <c r="M19" s="29"/>
      <c r="N19" s="29"/>
      <c r="O19" s="29"/>
      <c r="P19" s="29"/>
      <c r="Q19" s="29"/>
      <c r="R19" s="29"/>
      <c r="S19" s="29"/>
      <c r="T19" s="112">
        <v>27</v>
      </c>
      <c r="U19" s="29"/>
      <c r="V19" s="29"/>
      <c r="W19" s="29"/>
      <c r="X19" s="29"/>
      <c r="Y19" s="29"/>
      <c r="Z19" s="29"/>
      <c r="AA19" t="s" s="83">
        <v>1465</v>
      </c>
      <c r="AB19" s="122"/>
      <c r="AC19" s="114">
        <v>1</v>
      </c>
      <c r="AD19" t="s" s="83">
        <v>1477</v>
      </c>
      <c r="AE19" t="s" s="83">
        <v>34</v>
      </c>
      <c r="AF19" s="30"/>
      <c r="AG19" t="s" s="83">
        <v>1492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9" customHeight="1">
      <c r="A20" s="30"/>
      <c r="B20" s="30"/>
      <c r="C20" s="30"/>
      <c r="D20" s="30"/>
      <c r="E20" s="30"/>
      <c r="F20" s="29"/>
      <c r="G20" t="s" s="83">
        <v>1253</v>
      </c>
      <c r="H20" t="s" s="83">
        <v>1493</v>
      </c>
      <c r="I20" s="74"/>
      <c r="J20" s="123">
        <v>1</v>
      </c>
      <c r="K20" s="29"/>
      <c r="L20" s="29"/>
      <c r="M20" s="29"/>
      <c r="N20" s="29"/>
      <c r="O20" s="29"/>
      <c r="P20" s="29"/>
      <c r="Q20" s="29"/>
      <c r="R20" s="29"/>
      <c r="S20" s="29"/>
      <c r="T20" s="112">
        <v>21</v>
      </c>
      <c r="U20" s="29"/>
      <c r="V20" s="29"/>
      <c r="W20" s="29"/>
      <c r="X20" s="29"/>
      <c r="Y20" s="29"/>
      <c r="Z20" s="29"/>
      <c r="AA20" t="s" s="83">
        <v>1465</v>
      </c>
      <c r="AB20" s="122"/>
      <c r="AC20" s="114">
        <v>1</v>
      </c>
      <c r="AD20" t="s" s="83">
        <v>1477</v>
      </c>
      <c r="AE20" t="s" s="83">
        <v>34</v>
      </c>
      <c r="AF20" s="112">
        <v>1</v>
      </c>
      <c r="AG20" t="s" s="83">
        <v>25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9" customHeight="1">
      <c r="A21" s="30"/>
      <c r="B21" s="30"/>
      <c r="C21" s="30"/>
      <c r="D21" s="30"/>
      <c r="E21" s="30"/>
      <c r="F21" s="29"/>
      <c r="G21" t="s" s="326">
        <v>1494</v>
      </c>
      <c r="H21" t="s" s="327">
        <v>1495</v>
      </c>
      <c r="I21" s="132"/>
      <c r="J21" s="142">
        <v>1</v>
      </c>
      <c r="K21" s="29"/>
      <c r="L21" s="29"/>
      <c r="M21" s="29"/>
      <c r="N21" s="29"/>
      <c r="O21" s="29"/>
      <c r="P21" s="29"/>
      <c r="Q21" s="29"/>
      <c r="R21" s="29"/>
      <c r="S21" s="114" cm="1">
        <f t="array" ref="S21">SUM(S5:S20)</f>
        <v>2</v>
      </c>
      <c r="T21" s="112">
        <v>22</v>
      </c>
      <c r="U21" s="29"/>
      <c r="V21" s="29"/>
      <c r="W21" s="29"/>
      <c r="X21" s="29"/>
      <c r="Y21" s="29"/>
      <c r="Z21" s="29"/>
      <c r="AA21" t="s" s="326">
        <v>1465</v>
      </c>
      <c r="AB21" s="133"/>
      <c r="AC21" s="114">
        <v>1</v>
      </c>
      <c r="AD21" t="s" s="326">
        <v>1477</v>
      </c>
      <c r="AE21" t="s" s="328">
        <v>34</v>
      </c>
      <c r="AF21" s="30"/>
      <c r="AG21" t="s" s="83">
        <v>1492</v>
      </c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9" customHeight="1">
      <c r="A22" s="30"/>
      <c r="B22" s="30"/>
      <c r="C22" s="30"/>
      <c r="D22" s="30"/>
      <c r="E22" s="30"/>
      <c r="F22" s="29"/>
      <c r="G22" s="29"/>
      <c r="H22" s="29"/>
      <c r="I22" s="29"/>
      <c r="J22" s="114" cm="1">
        <f t="array" ref="J22">SUM(J3:J21)</f>
        <v>19</v>
      </c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30"/>
      <c r="AF22" s="112" cm="1">
        <f t="array" ref="AF22">SUM(AF3:AF21)</f>
        <v>2</v>
      </c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9" customHeight="1">
      <c r="A23" s="30"/>
      <c r="B23" s="30"/>
      <c r="C23" s="30"/>
      <c r="D23" s="30"/>
      <c r="E23" s="30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9" customHeight="1">
      <c r="A24" s="30"/>
      <c r="B24" s="30"/>
      <c r="C24" s="30"/>
      <c r="D24" s="30"/>
      <c r="E24" s="30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9" customHeight="1">
      <c r="A25" s="30"/>
      <c r="B25" s="30"/>
      <c r="C25" s="30"/>
      <c r="D25" s="30"/>
      <c r="E25" s="30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9" customHeight="1">
      <c r="A26" s="30"/>
      <c r="B26" s="30"/>
      <c r="C26" s="30"/>
      <c r="D26" s="30"/>
      <c r="E26" s="30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9" customHeight="1">
      <c r="A27" s="30"/>
      <c r="B27" s="30"/>
      <c r="C27" s="30"/>
      <c r="D27" s="30"/>
      <c r="E27" s="30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121"/>
      <c r="N28" s="121"/>
      <c r="O28" s="121"/>
      <c r="P28" s="121"/>
      <c r="Q28" s="30"/>
      <c r="R28" s="121"/>
      <c r="S28" s="121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121"/>
      <c r="N29" s="121"/>
      <c r="O29" s="121"/>
      <c r="P29" s="121"/>
      <c r="Q29" s="121"/>
      <c r="R29" s="121"/>
      <c r="S29" s="121"/>
      <c r="T29" s="121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121"/>
      <c r="N30" s="121"/>
      <c r="O30" s="121"/>
      <c r="P30" s="121"/>
      <c r="Q30" s="121"/>
      <c r="R30" s="121"/>
      <c r="S30" s="121"/>
      <c r="T30" s="121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121"/>
      <c r="R31" s="121"/>
      <c r="S31" s="121"/>
      <c r="T31" s="121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121"/>
      <c r="R32" s="121"/>
      <c r="S32" s="121"/>
      <c r="T32" s="121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.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121"/>
      <c r="N33" s="121"/>
      <c r="O33" s="121"/>
      <c r="P33" s="121"/>
      <c r="Q33" s="30"/>
      <c r="R33" s="121"/>
      <c r="S33" s="12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.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121"/>
      <c r="N34" s="121"/>
      <c r="O34" s="121"/>
      <c r="P34" s="121"/>
      <c r="Q34" s="121"/>
      <c r="R34" s="121"/>
      <c r="S34" s="121"/>
      <c r="T34" s="121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121"/>
      <c r="N35" s="121"/>
      <c r="O35" s="121"/>
      <c r="P35" s="121"/>
      <c r="Q35" s="121"/>
      <c r="R35" s="121"/>
      <c r="S35" s="121"/>
      <c r="T35" s="121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" customHeight="1">
      <c r="A36" t="s" s="83">
        <v>723</v>
      </c>
      <c r="B36" s="30"/>
      <c r="C36" s="30"/>
      <c r="D36" s="30"/>
      <c r="E36" s="30"/>
      <c r="F36" s="30"/>
      <c r="G36" s="112" cm="1">
        <f t="array" ref="G36">SUM(G3:G35)</f>
        <v>0</v>
      </c>
      <c r="H36" s="112" cm="1">
        <f t="array" ref="H36">SUM(H3:H35)</f>
        <v>0</v>
      </c>
      <c r="I36" s="112" cm="1">
        <f t="array" ref="I36">SUM(I3:I35)</f>
        <v>0</v>
      </c>
      <c r="J36" s="112" cm="1">
        <f t="array" ref="J36">SUM(J3:J35)</f>
        <v>38</v>
      </c>
      <c r="K36" s="112" cm="1">
        <f t="array" ref="K36">SUM(K3:K35)</f>
        <v>0</v>
      </c>
      <c r="L36" s="112" cm="1">
        <f t="array" ref="L36">SUM(L3:L35)</f>
        <v>0</v>
      </c>
      <c r="M36" s="112" cm="1">
        <f t="array" ref="M36">SUM(M3:M35)</f>
        <v>0</v>
      </c>
      <c r="N36" s="112" cm="1">
        <f t="array" ref="N36">SUM(N3:N35)</f>
        <v>1</v>
      </c>
      <c r="O36" s="112" cm="1">
        <f t="array" ref="O36">SUM(O3:O35)</f>
        <v>0</v>
      </c>
      <c r="P36" s="112" cm="1">
        <f t="array" ref="P36">SUM(P3:P35)</f>
        <v>0</v>
      </c>
      <c r="Q36" s="112" cm="1">
        <f t="array" ref="Q36">SUM(Q3:Q35)</f>
        <v>0</v>
      </c>
      <c r="R36" s="112" cm="1">
        <f t="array" ref="R36">SUM(R3:R35)</f>
        <v>0</v>
      </c>
      <c r="S36" s="112" cm="1">
        <f t="array" ref="S36">SUM(S3:S35)</f>
        <v>4</v>
      </c>
      <c r="T36" s="112" cm="1">
        <f t="array" ref="T36">SUM(T3:T35)</f>
        <v>576</v>
      </c>
      <c r="U36" s="112" cm="1">
        <f t="array" ref="U36">SUM(U3:U35)</f>
        <v>0</v>
      </c>
      <c r="V36" s="112" cm="1">
        <f t="array" ref="V36">SUM(V3:V35)</f>
        <v>0</v>
      </c>
      <c r="W36" s="112" cm="1">
        <f t="array" ref="W36">SUM(W3:W35)</f>
        <v>0</v>
      </c>
      <c r="X36" s="112" cm="1">
        <f t="array" ref="X36">SUM(X3:X35)</f>
        <v>0</v>
      </c>
      <c r="Y36" s="112" cm="1">
        <f t="array" ref="Y36">SUM(Y3:Y35)</f>
        <v>0</v>
      </c>
      <c r="Z36" s="112" cm="1">
        <f t="array" ref="Z36">SUM(Z3:Z35)</f>
        <v>0</v>
      </c>
      <c r="AA36" s="112" cm="1">
        <f t="array" ref="AA36">SUM(AA3:AA35)</f>
        <v>0</v>
      </c>
      <c r="AB36" s="112" cm="1">
        <f t="array" ref="AB36">SUM(AB3:AB35)</f>
        <v>0</v>
      </c>
      <c r="AC36" s="112" cm="1">
        <f t="array" ref="AC36">SUM(AC3:AC35)</f>
        <v>19</v>
      </c>
      <c r="AD36" s="112" cm="1">
        <f t="array" ref="AD36">SUM(AD3:AD35)</f>
        <v>0</v>
      </c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s="30"/>
      <c r="B37" s="30"/>
      <c r="C37" s="30"/>
      <c r="D37" s="30"/>
      <c r="E37" s="30"/>
      <c r="F37" s="30"/>
      <c r="G37" s="112" cm="1">
        <f t="array" ref="G37">G36+H36+I36+J36</f>
        <v>38</v>
      </c>
      <c r="H37" s="30"/>
      <c r="I37" s="30"/>
      <c r="J37" s="30"/>
      <c r="K37" s="112" cm="1">
        <f t="array" ref="K37">K36+L36+M36+N36+O36+P36</f>
        <v>1</v>
      </c>
      <c r="L37" s="30"/>
      <c r="M37" s="121"/>
      <c r="N37" s="121"/>
      <c r="O37" s="121"/>
      <c r="P37" s="121"/>
      <c r="Q37" s="118" cm="1">
        <f t="array" ref="Q37">Q36/K37</f>
        <v>0</v>
      </c>
      <c r="R37" s="121"/>
      <c r="S37" s="121"/>
      <c r="T37" s="121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121"/>
      <c r="N38" s="121"/>
      <c r="O38" s="121"/>
      <c r="P38" s="121"/>
      <c r="Q38" s="121"/>
      <c r="R38" s="121"/>
      <c r="S38" s="121"/>
      <c r="T38" s="121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s="124"/>
      <c r="B39" s="124"/>
      <c r="C39" s="124"/>
      <c r="D39" s="28"/>
      <c r="E39" s="124"/>
      <c r="F39" s="28"/>
      <c r="G39" s="28"/>
      <c r="H39" s="28"/>
      <c r="I39" s="28"/>
      <c r="J39" s="28"/>
      <c r="K39" s="125"/>
      <c r="L39" s="28"/>
      <c r="M39" s="28"/>
      <c r="N39" s="28"/>
      <c r="O39" s="28"/>
      <c r="P39" s="28"/>
      <c r="Q39" s="125"/>
      <c r="R39" s="125"/>
      <c r="S39" s="125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28" customHeight="1">
      <c r="A40" s="124"/>
      <c r="B40" s="124"/>
      <c r="C40" s="124"/>
      <c r="D40" s="28"/>
      <c r="E40" s="124"/>
      <c r="F40" s="28"/>
      <c r="G40" s="28"/>
      <c r="H40" s="28"/>
      <c r="I40" s="28"/>
      <c r="J40" s="163"/>
      <c r="K40" s="164"/>
      <c r="L40" s="165"/>
      <c r="M40" s="28"/>
      <c r="N40" s="28"/>
      <c r="O40" s="28"/>
      <c r="P40" s="163"/>
      <c r="Q40" s="164"/>
      <c r="R40" s="164"/>
      <c r="S40" s="164"/>
      <c r="T40" s="166"/>
      <c r="U40" s="28"/>
      <c r="V40" s="28"/>
      <c r="W40" s="28"/>
      <c r="X40" s="28"/>
      <c r="Y40" s="28"/>
      <c r="Z40" s="28"/>
      <c r="AA40" s="28"/>
      <c r="AB40" s="28"/>
      <c r="AC40" s="28"/>
      <c r="AD40" s="124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s="146"/>
      <c r="B41" s="30"/>
      <c r="C41" s="30"/>
      <c r="D41" s="30"/>
      <c r="E41" s="30"/>
      <c r="F41" s="30"/>
      <c r="G41" s="30"/>
      <c r="H41" s="30"/>
      <c r="I41" s="30"/>
      <c r="J41" s="30"/>
      <c r="K41" s="141"/>
      <c r="L41" s="30"/>
      <c r="M41" s="121"/>
      <c r="N41" s="121"/>
      <c r="O41" s="121"/>
      <c r="P41" s="121"/>
      <c r="Q41" s="147"/>
      <c r="R41" s="147"/>
      <c r="S41" s="147"/>
      <c r="T41" s="121"/>
      <c r="U41" s="121"/>
      <c r="V41" s="121"/>
      <c r="W41" s="121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.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121"/>
      <c r="N42" s="121"/>
      <c r="O42" s="121"/>
      <c r="P42" s="121"/>
      <c r="Q42" s="30"/>
      <c r="R42" s="121"/>
      <c r="S42" s="12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7.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121"/>
      <c r="N43" s="121"/>
      <c r="O43" s="121"/>
      <c r="P43" s="121"/>
      <c r="Q43" s="121"/>
      <c r="R43" s="121"/>
      <c r="S43" s="12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121"/>
      <c r="N44" s="121"/>
      <c r="O44" s="121"/>
      <c r="P44" s="121"/>
      <c r="Q44" s="121"/>
      <c r="R44" s="121"/>
      <c r="S44" s="121"/>
      <c r="T44" s="30"/>
      <c r="U44" s="121"/>
      <c r="V44" s="121"/>
      <c r="W44" s="121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121"/>
      <c r="N45" s="121"/>
      <c r="O45" s="121"/>
      <c r="P45" s="121"/>
      <c r="Q45" s="30"/>
      <c r="R45" s="121"/>
      <c r="S45" s="121"/>
      <c r="T45" s="30"/>
      <c r="U45" s="121"/>
      <c r="V45" s="121"/>
      <c r="W45" s="121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121"/>
      <c r="N46" s="121"/>
      <c r="O46" s="121"/>
      <c r="P46" s="121"/>
      <c r="Q46" s="30"/>
      <c r="R46" s="121"/>
      <c r="S46" s="121"/>
      <c r="T46" s="30"/>
      <c r="U46" s="121"/>
      <c r="V46" s="121"/>
      <c r="W46" s="121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.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121"/>
      <c r="N47" s="121"/>
      <c r="O47" s="121"/>
      <c r="P47" s="121"/>
      <c r="Q47" s="30"/>
      <c r="R47" s="121"/>
      <c r="S47" s="121"/>
      <c r="T47" s="30"/>
      <c r="U47" s="121"/>
      <c r="V47" s="121"/>
      <c r="W47" s="121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.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121"/>
      <c r="N48" s="121"/>
      <c r="O48" s="121"/>
      <c r="P48" s="121"/>
      <c r="Q48" s="30"/>
      <c r="R48" s="121"/>
      <c r="S48" s="121"/>
      <c r="T48" s="30"/>
      <c r="U48" s="121"/>
      <c r="V48" s="121"/>
      <c r="W48" s="121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121"/>
      <c r="N50" s="121"/>
      <c r="O50" s="121"/>
      <c r="P50" s="121"/>
      <c r="Q50" s="30"/>
      <c r="R50" s="121"/>
      <c r="S50" s="121"/>
      <c r="T50" s="129"/>
      <c r="U50" s="121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121"/>
      <c r="N51" s="121"/>
      <c r="O51" s="121"/>
      <c r="P51" s="121"/>
      <c r="Q51" s="30"/>
      <c r="R51" s="121"/>
      <c r="S51" s="121"/>
      <c r="T51" s="30"/>
      <c r="U51" s="121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.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121"/>
      <c r="N52" s="121"/>
      <c r="O52" s="121"/>
      <c r="P52" s="121"/>
      <c r="Q52" s="30"/>
      <c r="R52" s="121"/>
      <c r="S52" s="121"/>
      <c r="T52" s="30"/>
      <c r="U52" s="121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121"/>
      <c r="N53" s="121"/>
      <c r="O53" s="121"/>
      <c r="P53" s="121"/>
      <c r="Q53" s="30"/>
      <c r="R53" s="121"/>
      <c r="S53" s="121"/>
      <c r="T53" s="129"/>
      <c r="U53" s="121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121"/>
      <c r="N54" s="121"/>
      <c r="O54" s="121"/>
      <c r="P54" s="121"/>
      <c r="Q54" s="30"/>
      <c r="R54" s="121"/>
      <c r="S54" s="121"/>
      <c r="T54" s="30"/>
      <c r="U54" s="121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.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121"/>
      <c r="N55" s="121"/>
      <c r="O55" s="121"/>
      <c r="P55" s="121"/>
      <c r="Q55" s="30"/>
      <c r="R55" s="121"/>
      <c r="S55" s="121"/>
      <c r="T55" s="30"/>
      <c r="U55" s="121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.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121"/>
      <c r="N56" s="121"/>
      <c r="O56" s="121"/>
      <c r="P56" s="121"/>
      <c r="Q56" s="30"/>
      <c r="R56" s="121"/>
      <c r="S56" s="121"/>
      <c r="T56" s="30"/>
      <c r="U56" s="121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" customHeight="1">
      <c r="A57" t="s" s="83">
        <v>723</v>
      </c>
      <c r="B57" s="30"/>
      <c r="C57" s="30"/>
      <c r="D57" s="30"/>
      <c r="E57" s="30"/>
      <c r="F57" s="30"/>
      <c r="G57" s="112" cm="1">
        <f t="array" ref="G57">SUM(G3:G56)</f>
        <v>38</v>
      </c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112" cm="1">
        <f t="array" ref="R57">SUM(R3:R56)</f>
        <v>0</v>
      </c>
      <c r="S57" s="112" cm="1">
        <f t="array" ref="S57">SUM(S3:S56)</f>
        <v>8</v>
      </c>
      <c r="T57" s="112" cm="1">
        <f t="array" ref="T57">SUM(T3:T56)</f>
        <v>1152</v>
      </c>
      <c r="U57" s="112" cm="1">
        <f t="array" ref="U57">SUM(U3:U56)</f>
        <v>0</v>
      </c>
      <c r="V57" s="112" cm="1">
        <f t="array" ref="V57">SUM(V3:V56)</f>
        <v>0</v>
      </c>
      <c r="W57" s="112" cm="1">
        <f t="array" ref="W57">SUM(W3:W56)</f>
        <v>0</v>
      </c>
      <c r="X57" s="30"/>
      <c r="Y57" s="30"/>
      <c r="Z57" s="112" cm="1">
        <f t="array" ref="Z57">SUM(Z3:Z56)</f>
        <v>0</v>
      </c>
      <c r="AA57" s="112" cm="1">
        <f t="array" ref="AA57">SUM(AA3:AA56)</f>
        <v>0</v>
      </c>
      <c r="AB57" s="112" cm="1">
        <f t="array" ref="AB57">SUM(AB3:AB56)</f>
        <v>0</v>
      </c>
      <c r="AC57" s="112" cm="1">
        <f t="array" ref="AC57">SUM(AC3:AC56)</f>
        <v>38</v>
      </c>
      <c r="AD57" s="112" cm="1">
        <f t="array" ref="AD57">SUM(AD3:AD56)</f>
        <v>0</v>
      </c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87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" customHeight="1">
      <c r="A59" s="30"/>
      <c r="B59" s="30"/>
      <c r="C59" s="30"/>
      <c r="D59" s="30"/>
      <c r="E59" s="30"/>
      <c r="F59" s="30"/>
      <c r="G59" s="130"/>
      <c r="H59" s="30"/>
      <c r="I59" s="30"/>
      <c r="J59" s="30"/>
      <c r="K59" s="30"/>
      <c r="L59" s="30"/>
      <c r="M59" s="30"/>
      <c r="N59" s="30"/>
      <c r="O59" s="30"/>
      <c r="P59" s="30"/>
      <c r="Q59" s="87"/>
      <c r="R59" s="130"/>
      <c r="S59" s="130"/>
      <c r="T59" s="1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.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121"/>
      <c r="S60" s="121"/>
      <c r="T60" s="129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130"/>
      <c r="S61" s="130"/>
      <c r="T61" s="130"/>
      <c r="U61" s="30"/>
      <c r="V61" s="30"/>
      <c r="W61" s="30"/>
      <c r="X61" s="30"/>
      <c r="Y61" s="30"/>
      <c r="Z61" s="30"/>
      <c r="AA61" s="30"/>
      <c r="AB61" s="30"/>
      <c r="AC61" s="134"/>
      <c r="AD61" s="134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7.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121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5.35" customHeight="1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  <c r="AS63" s="62"/>
      <c r="AT63" s="62"/>
      <c r="AU63" s="62"/>
      <c r="AV63" s="62"/>
      <c r="AW63" s="62"/>
      <c r="AX63" s="62"/>
      <c r="AY63" s="62"/>
      <c r="AZ63" s="16"/>
      <c r="BA63" s="16"/>
      <c r="BB63" s="16"/>
      <c r="BC63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7.xml><?xml version="1.0" encoding="utf-8"?>
<worksheet xmlns:r="http://schemas.openxmlformats.org/officeDocument/2006/relationships" xmlns="http://schemas.openxmlformats.org/spreadsheetml/2006/main">
  <dimension ref="A1:BC282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329" customWidth="1"/>
    <col min="4" max="4" width="17.8516" style="329" customWidth="1"/>
    <col min="5" max="5" width="20.1719" style="329" customWidth="1"/>
    <col min="6" max="10" width="10.8516" style="329" customWidth="1"/>
    <col min="11" max="11" width="19.1719" style="329" customWidth="1"/>
    <col min="12" max="12" width="7.85156" style="329" customWidth="1"/>
    <col min="13" max="13" width="10" style="329" customWidth="1"/>
    <col min="14" max="14" width="8.67188" style="329" customWidth="1"/>
    <col min="15" max="15" width="9" style="329" customWidth="1"/>
    <col min="16" max="16" width="11.5" style="329" customWidth="1"/>
    <col min="17" max="17" width="11.6719" style="329" customWidth="1"/>
    <col min="18" max="18" width="12.3516" style="329" customWidth="1"/>
    <col min="19" max="19" width="10.8516" style="329" customWidth="1"/>
    <col min="20" max="20" width="15.1719" style="329" customWidth="1"/>
    <col min="21" max="23" width="10.8516" style="329" customWidth="1"/>
    <col min="24" max="24" width="31" style="329" customWidth="1"/>
    <col min="25" max="25" width="19.8516" style="329" customWidth="1"/>
    <col min="26" max="26" width="12.1719" style="329" customWidth="1"/>
    <col min="27" max="30" width="16.5" style="329" customWidth="1"/>
    <col min="31" max="31" width="14.6719" style="329" customWidth="1"/>
    <col min="32" max="32" width="10.8516" style="329" customWidth="1"/>
    <col min="33" max="33" width="11" style="329" customWidth="1"/>
    <col min="34" max="34" width="11.1719" style="329" customWidth="1"/>
    <col min="35" max="35" width="7.85156" style="329" customWidth="1"/>
    <col min="36" max="37" width="10.8516" style="329" customWidth="1"/>
    <col min="38" max="38" width="7.35156" style="329" customWidth="1"/>
    <col min="39" max="39" width="10.8516" style="329" customWidth="1"/>
    <col min="40" max="40" width="9.17188" style="329" customWidth="1"/>
    <col min="41" max="41" width="10.8516" style="329" customWidth="1"/>
    <col min="42" max="42" width="12.5" style="329" customWidth="1"/>
    <col min="43" max="43" width="13" style="329" customWidth="1"/>
    <col min="44" max="55" width="10.8516" style="329" customWidth="1"/>
    <col min="56" max="16384" width="10.8516" style="329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1496</v>
      </c>
      <c r="B3" s="111">
        <v>1921</v>
      </c>
      <c r="C3" s="112">
        <v>1</v>
      </c>
      <c r="D3" t="s" s="83">
        <v>1497</v>
      </c>
      <c r="E3" s="30"/>
      <c r="F3" s="306">
        <v>17</v>
      </c>
      <c r="G3" t="s" s="98">
        <v>1498</v>
      </c>
      <c r="H3" t="s" s="98">
        <v>1499</v>
      </c>
      <c r="I3" s="97">
        <v>1</v>
      </c>
      <c r="J3" t="s" s="98">
        <v>37</v>
      </c>
      <c r="K3" s="97">
        <v>1</v>
      </c>
      <c r="L3" s="62"/>
      <c r="M3" s="62"/>
      <c r="N3" s="79">
        <v>1</v>
      </c>
      <c r="O3" s="62"/>
      <c r="P3" s="62"/>
      <c r="Q3" s="62"/>
      <c r="R3" s="62"/>
      <c r="S3" s="62"/>
      <c r="T3" s="79">
        <v>32</v>
      </c>
      <c r="U3" s="16"/>
      <c r="V3" s="16"/>
      <c r="W3" s="62"/>
      <c r="X3" s="62"/>
      <c r="Y3" s="62"/>
      <c r="Z3" s="62"/>
      <c r="AA3" t="s" s="98">
        <v>1500</v>
      </c>
      <c r="AB3" s="117"/>
      <c r="AC3" s="114">
        <v>1</v>
      </c>
      <c r="AD3" s="113">
        <v>1</v>
      </c>
      <c r="AE3" s="30"/>
      <c r="AF3" s="112">
        <v>1</v>
      </c>
      <c r="AG3" t="s" s="82">
        <v>13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9" customHeight="1">
      <c r="A4" t="s" s="83">
        <v>1496</v>
      </c>
      <c r="B4" s="112">
        <v>1921</v>
      </c>
      <c r="C4" s="112">
        <v>1</v>
      </c>
      <c r="D4" t="s" s="83">
        <v>1497</v>
      </c>
      <c r="E4" s="30"/>
      <c r="F4" s="306">
        <v>17</v>
      </c>
      <c r="G4" t="s" s="96">
        <v>1498</v>
      </c>
      <c r="H4" t="s" s="96">
        <v>1501</v>
      </c>
      <c r="I4" s="79">
        <v>2</v>
      </c>
      <c r="J4" s="79">
        <v>1</v>
      </c>
      <c r="K4" s="16"/>
      <c r="L4" s="16"/>
      <c r="M4" s="16"/>
      <c r="N4" t="s" s="96">
        <v>72</v>
      </c>
      <c r="O4" s="79">
        <v>1</v>
      </c>
      <c r="P4" s="16"/>
      <c r="Q4" s="16"/>
      <c r="R4" s="16"/>
      <c r="S4" s="16"/>
      <c r="T4" s="79">
        <v>26</v>
      </c>
      <c r="U4" s="16"/>
      <c r="V4" s="16"/>
      <c r="W4" s="16"/>
      <c r="X4" s="16"/>
      <c r="Y4" s="16"/>
      <c r="Z4" s="16"/>
      <c r="AA4" t="s" s="96">
        <v>33</v>
      </c>
      <c r="AB4" s="75"/>
      <c r="AC4" s="29"/>
      <c r="AD4" t="s" s="159">
        <v>34</v>
      </c>
      <c r="AE4" s="30"/>
      <c r="AF4" s="30"/>
      <c r="AG4" t="s" s="159">
        <v>1502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9" customHeight="1">
      <c r="A5" t="s" s="83">
        <v>1496</v>
      </c>
      <c r="B5" s="112">
        <v>1921</v>
      </c>
      <c r="C5" s="112">
        <v>1</v>
      </c>
      <c r="D5" t="s" s="83">
        <v>1497</v>
      </c>
      <c r="E5" s="30"/>
      <c r="F5" s="306">
        <v>17</v>
      </c>
      <c r="G5" t="s" s="96">
        <v>1498</v>
      </c>
      <c r="H5" t="s" s="96">
        <v>1503</v>
      </c>
      <c r="I5" s="79">
        <v>3</v>
      </c>
      <c r="J5" s="16"/>
      <c r="K5" s="16"/>
      <c r="L5" s="79">
        <v>1</v>
      </c>
      <c r="M5" s="16"/>
      <c r="N5" t="s" s="96">
        <v>78</v>
      </c>
      <c r="O5" s="16"/>
      <c r="P5" s="79">
        <v>1</v>
      </c>
      <c r="Q5" s="16"/>
      <c r="R5" s="16"/>
      <c r="S5" s="16"/>
      <c r="T5" s="79">
        <v>3</v>
      </c>
      <c r="U5" s="16"/>
      <c r="V5" s="16"/>
      <c r="W5" s="16"/>
      <c r="X5" s="16"/>
      <c r="Y5" s="16"/>
      <c r="Z5" s="16"/>
      <c r="AA5" t="s" s="96">
        <v>34</v>
      </c>
      <c r="AB5" s="75"/>
      <c r="AC5" s="29"/>
      <c r="AD5" t="s" s="159">
        <v>34</v>
      </c>
      <c r="AE5" s="30"/>
      <c r="AF5" s="112">
        <v>1</v>
      </c>
      <c r="AG5" t="s" s="159">
        <v>13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9" customHeight="1">
      <c r="A6" t="s" s="83">
        <v>1496</v>
      </c>
      <c r="B6" s="112">
        <v>1921</v>
      </c>
      <c r="C6" s="112">
        <v>1</v>
      </c>
      <c r="D6" t="s" s="83">
        <v>1497</v>
      </c>
      <c r="E6" s="30"/>
      <c r="F6" s="306">
        <v>17</v>
      </c>
      <c r="G6" t="s" s="96">
        <v>1504</v>
      </c>
      <c r="H6" t="s" s="96">
        <v>432</v>
      </c>
      <c r="I6" s="79">
        <v>4</v>
      </c>
      <c r="J6" s="79">
        <v>1</v>
      </c>
      <c r="K6" s="16"/>
      <c r="L6" s="16"/>
      <c r="M6" s="16"/>
      <c r="N6" t="s" s="96">
        <v>11</v>
      </c>
      <c r="O6" s="16"/>
      <c r="P6" s="16"/>
      <c r="Q6" s="16"/>
      <c r="R6" s="16"/>
      <c r="S6" s="79">
        <v>1</v>
      </c>
      <c r="T6" s="79">
        <v>31</v>
      </c>
      <c r="U6" s="16"/>
      <c r="V6" s="16"/>
      <c r="W6" s="16"/>
      <c r="X6" s="16"/>
      <c r="Y6" s="16"/>
      <c r="Z6" s="16"/>
      <c r="AA6" t="s" s="96">
        <v>45</v>
      </c>
      <c r="AB6" s="75"/>
      <c r="AC6" s="114">
        <v>1</v>
      </c>
      <c r="AD6" t="s" s="159">
        <v>15</v>
      </c>
      <c r="AE6" s="30"/>
      <c r="AF6" s="30"/>
      <c r="AG6" t="s" s="159">
        <v>134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9" customHeight="1">
      <c r="A7" t="s" s="83">
        <v>1496</v>
      </c>
      <c r="B7" s="112">
        <v>1921</v>
      </c>
      <c r="C7" s="112">
        <v>1</v>
      </c>
      <c r="D7" t="s" s="83">
        <v>1497</v>
      </c>
      <c r="E7" s="30"/>
      <c r="F7" s="306">
        <v>17</v>
      </c>
      <c r="G7" t="s" s="96">
        <v>1505</v>
      </c>
      <c r="H7" t="s" s="96">
        <v>774</v>
      </c>
      <c r="I7" s="79">
        <v>5</v>
      </c>
      <c r="J7" s="79">
        <v>1</v>
      </c>
      <c r="K7" s="16"/>
      <c r="L7" s="16"/>
      <c r="M7" s="16"/>
      <c r="N7" t="s" s="96">
        <v>11</v>
      </c>
      <c r="O7" s="16"/>
      <c r="P7" s="16"/>
      <c r="Q7" s="16"/>
      <c r="R7" s="16"/>
      <c r="S7" s="79">
        <v>1</v>
      </c>
      <c r="T7" s="79">
        <v>20</v>
      </c>
      <c r="U7" s="16"/>
      <c r="V7" s="16"/>
      <c r="W7" s="16"/>
      <c r="X7" s="16"/>
      <c r="Y7" s="16"/>
      <c r="Z7" s="16"/>
      <c r="AA7" t="s" s="96">
        <v>188</v>
      </c>
      <c r="AB7" s="75"/>
      <c r="AC7" s="114">
        <v>1</v>
      </c>
      <c r="AD7" t="s" s="159">
        <v>15</v>
      </c>
      <c r="AE7" s="30"/>
      <c r="AF7" s="30"/>
      <c r="AG7" t="s" s="159">
        <v>1291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9" customHeight="1">
      <c r="A8" t="s" s="83">
        <v>1496</v>
      </c>
      <c r="B8" s="112">
        <v>1921</v>
      </c>
      <c r="C8" s="112">
        <v>1</v>
      </c>
      <c r="D8" t="s" s="83">
        <v>1497</v>
      </c>
      <c r="E8" s="30"/>
      <c r="F8" s="190">
        <v>17</v>
      </c>
      <c r="G8" t="s" s="96">
        <v>1101</v>
      </c>
      <c r="H8" t="s" s="96">
        <v>1506</v>
      </c>
      <c r="I8" s="79">
        <v>6</v>
      </c>
      <c r="J8" s="79">
        <v>1</v>
      </c>
      <c r="K8" s="16"/>
      <c r="L8" s="16"/>
      <c r="M8" s="16"/>
      <c r="N8" t="s" s="96">
        <v>1070</v>
      </c>
      <c r="O8" s="16"/>
      <c r="P8" s="16"/>
      <c r="Q8" s="16"/>
      <c r="R8" s="79">
        <v>1</v>
      </c>
      <c r="S8" s="16"/>
      <c r="T8" s="79">
        <v>26</v>
      </c>
      <c r="U8" s="16"/>
      <c r="V8" s="16"/>
      <c r="W8" s="16"/>
      <c r="X8" s="16"/>
      <c r="Y8" s="16"/>
      <c r="Z8" s="16"/>
      <c r="AA8" t="s" s="96">
        <v>1070</v>
      </c>
      <c r="AB8" s="75"/>
      <c r="AC8" s="114">
        <v>1</v>
      </c>
      <c r="AD8" t="s" s="159">
        <v>15</v>
      </c>
      <c r="AE8" s="30"/>
      <c r="AF8" s="30"/>
      <c r="AG8" t="s" s="159">
        <v>155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9" customHeight="1">
      <c r="A9" t="s" s="83">
        <v>1496</v>
      </c>
      <c r="B9" s="112">
        <v>1921</v>
      </c>
      <c r="C9" s="30"/>
      <c r="D9" t="s" s="83">
        <v>1497</v>
      </c>
      <c r="E9" s="30"/>
      <c r="F9" s="74"/>
      <c r="G9" s="16"/>
      <c r="H9" s="79">
        <v>6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75"/>
      <c r="AC9" s="29"/>
      <c r="AD9" s="122"/>
      <c r="AE9" s="30"/>
      <c r="AF9" s="30"/>
      <c r="AG9" s="122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9" customHeight="1">
      <c r="A10" t="s" s="83">
        <v>1496</v>
      </c>
      <c r="B10" s="112">
        <v>1921</v>
      </c>
      <c r="C10" s="112">
        <v>2</v>
      </c>
      <c r="D10" t="s" s="83">
        <v>1497</v>
      </c>
      <c r="E10" s="30"/>
      <c r="F10" s="156">
        <v>2</v>
      </c>
      <c r="G10" t="s" s="96">
        <v>1507</v>
      </c>
      <c r="H10" t="s" s="96">
        <v>1508</v>
      </c>
      <c r="I10" s="79">
        <v>7</v>
      </c>
      <c r="J10" t="s" s="96">
        <v>37</v>
      </c>
      <c r="K10" s="79">
        <v>1</v>
      </c>
      <c r="L10" s="16"/>
      <c r="M10" s="16"/>
      <c r="N10" s="79">
        <v>1</v>
      </c>
      <c r="O10" s="16"/>
      <c r="P10" s="16"/>
      <c r="Q10" s="16"/>
      <c r="R10" s="16"/>
      <c r="S10" s="16"/>
      <c r="T10" s="79">
        <v>43</v>
      </c>
      <c r="U10" s="16"/>
      <c r="V10" s="16"/>
      <c r="W10" s="16"/>
      <c r="X10" s="16"/>
      <c r="Y10" s="16"/>
      <c r="Z10" s="16"/>
      <c r="AA10" t="s" s="96">
        <v>1509</v>
      </c>
      <c r="AB10" t="s" s="158">
        <v>1510</v>
      </c>
      <c r="AC10" s="114">
        <v>1</v>
      </c>
      <c r="AD10" s="122"/>
      <c r="AE10" s="30"/>
      <c r="AF10" s="30"/>
      <c r="AG10" t="s" s="159">
        <v>1511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9" customHeight="1">
      <c r="A11" t="s" s="83">
        <v>1496</v>
      </c>
      <c r="B11" s="112">
        <v>1921</v>
      </c>
      <c r="C11" s="112">
        <v>2</v>
      </c>
      <c r="D11" t="s" s="83">
        <v>1497</v>
      </c>
      <c r="E11" s="30"/>
      <c r="F11" s="156">
        <v>2</v>
      </c>
      <c r="G11" t="s" s="96">
        <v>1507</v>
      </c>
      <c r="H11" t="s" s="96">
        <v>1512</v>
      </c>
      <c r="I11" s="79">
        <v>8</v>
      </c>
      <c r="J11" s="79">
        <v>1</v>
      </c>
      <c r="K11" s="16"/>
      <c r="L11" s="16"/>
      <c r="M11" s="16"/>
      <c r="N11" t="s" s="96">
        <v>72</v>
      </c>
      <c r="O11" s="79">
        <v>1</v>
      </c>
      <c r="P11" s="16"/>
      <c r="Q11" s="16"/>
      <c r="R11" s="16"/>
      <c r="S11" s="16"/>
      <c r="T11" s="79">
        <v>43</v>
      </c>
      <c r="U11" s="16"/>
      <c r="V11" s="16"/>
      <c r="W11" s="16"/>
      <c r="X11" s="16"/>
      <c r="Y11" s="16"/>
      <c r="Z11" s="16"/>
      <c r="AA11" t="s" s="96">
        <v>1513</v>
      </c>
      <c r="AB11" t="s" s="158">
        <v>15</v>
      </c>
      <c r="AC11" s="29"/>
      <c r="AD11" s="122"/>
      <c r="AE11" s="30"/>
      <c r="AF11" s="30"/>
      <c r="AG11" t="s" s="159">
        <v>134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9" customHeight="1">
      <c r="A12" t="s" s="83">
        <v>1496</v>
      </c>
      <c r="B12" s="112">
        <v>1921</v>
      </c>
      <c r="C12" s="112">
        <v>2</v>
      </c>
      <c r="D12" t="s" s="83">
        <v>1497</v>
      </c>
      <c r="E12" s="30"/>
      <c r="F12" s="156">
        <v>2</v>
      </c>
      <c r="G12" t="s" s="96">
        <v>1507</v>
      </c>
      <c r="H12" t="s" s="96">
        <v>77</v>
      </c>
      <c r="I12" s="79">
        <v>9</v>
      </c>
      <c r="J12" s="79">
        <v>1</v>
      </c>
      <c r="K12" s="16"/>
      <c r="L12" s="16"/>
      <c r="M12" s="16"/>
      <c r="N12" t="s" s="96">
        <v>78</v>
      </c>
      <c r="O12" s="16"/>
      <c r="P12" s="79">
        <v>1</v>
      </c>
      <c r="Q12" s="16"/>
      <c r="R12" s="16"/>
      <c r="S12" s="16"/>
      <c r="T12" s="79">
        <v>19</v>
      </c>
      <c r="U12" s="16"/>
      <c r="V12" s="16"/>
      <c r="W12" s="16"/>
      <c r="X12" s="16"/>
      <c r="Y12" s="16"/>
      <c r="Z12" s="16"/>
      <c r="AA12" t="s" s="96">
        <v>1514</v>
      </c>
      <c r="AB12" t="s" s="158">
        <v>1515</v>
      </c>
      <c r="AC12" s="114">
        <v>1</v>
      </c>
      <c r="AD12" s="122"/>
      <c r="AE12" s="30"/>
      <c r="AF12" s="30"/>
      <c r="AG12" t="s" s="159">
        <v>1516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9" customHeight="1">
      <c r="A13" t="s" s="83">
        <v>1496</v>
      </c>
      <c r="B13" s="112">
        <v>1921</v>
      </c>
      <c r="C13" s="112">
        <v>1</v>
      </c>
      <c r="D13" t="s" s="83">
        <v>1497</v>
      </c>
      <c r="E13" s="30"/>
      <c r="F13" s="74"/>
      <c r="G13" s="16"/>
      <c r="H13" s="79">
        <v>3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75"/>
      <c r="AC13" s="29"/>
      <c r="AD13" s="122"/>
      <c r="AE13" s="30"/>
      <c r="AF13" s="30"/>
      <c r="AG13" s="122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9" customHeight="1">
      <c r="A14" t="s" s="83">
        <v>1496</v>
      </c>
      <c r="B14" s="112">
        <v>1921</v>
      </c>
      <c r="C14" s="112">
        <v>3</v>
      </c>
      <c r="D14" t="s" s="83">
        <v>1497</v>
      </c>
      <c r="E14" s="30"/>
      <c r="F14" s="156">
        <v>3</v>
      </c>
      <c r="G14" t="s" s="96">
        <v>137</v>
      </c>
      <c r="H14" t="s" s="96">
        <v>1517</v>
      </c>
      <c r="I14" s="79">
        <v>10</v>
      </c>
      <c r="J14" t="s" s="96">
        <v>37</v>
      </c>
      <c r="K14" s="79">
        <v>1</v>
      </c>
      <c r="L14" s="16"/>
      <c r="M14" s="16"/>
      <c r="N14" s="79">
        <v>1</v>
      </c>
      <c r="O14" s="16"/>
      <c r="P14" s="16"/>
      <c r="Q14" s="16"/>
      <c r="R14" s="16"/>
      <c r="S14" s="16"/>
      <c r="T14" s="79">
        <v>33</v>
      </c>
      <c r="U14" s="16"/>
      <c r="V14" s="16"/>
      <c r="W14" s="16"/>
      <c r="X14" s="16"/>
      <c r="Y14" s="16"/>
      <c r="Z14" s="16"/>
      <c r="AA14" t="s" s="96">
        <v>1518</v>
      </c>
      <c r="AB14" s="75"/>
      <c r="AC14" s="114">
        <v>1</v>
      </c>
      <c r="AD14" s="120">
        <v>1</v>
      </c>
      <c r="AE14" s="30"/>
      <c r="AF14" s="112">
        <v>1</v>
      </c>
      <c r="AG14" t="s" s="159">
        <v>13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9" customHeight="1">
      <c r="A15" t="s" s="83">
        <v>1496</v>
      </c>
      <c r="B15" s="112">
        <v>1921</v>
      </c>
      <c r="C15" s="112">
        <v>3</v>
      </c>
      <c r="D15" t="s" s="83">
        <v>1497</v>
      </c>
      <c r="E15" s="30"/>
      <c r="F15" s="156">
        <v>3</v>
      </c>
      <c r="G15" t="s" s="96">
        <v>137</v>
      </c>
      <c r="H15" t="s" s="96">
        <v>1519</v>
      </c>
      <c r="I15" s="79">
        <v>11</v>
      </c>
      <c r="J15" s="79">
        <v>1</v>
      </c>
      <c r="K15" s="16"/>
      <c r="L15" s="16"/>
      <c r="M15" s="16"/>
      <c r="N15" t="s" s="96">
        <v>72</v>
      </c>
      <c r="O15" s="79">
        <v>1</v>
      </c>
      <c r="P15" s="16"/>
      <c r="Q15" s="16"/>
      <c r="R15" s="16"/>
      <c r="S15" s="16"/>
      <c r="T15" s="79">
        <v>26</v>
      </c>
      <c r="U15" s="16"/>
      <c r="V15" s="16"/>
      <c r="W15" s="16"/>
      <c r="X15" s="16"/>
      <c r="Y15" s="16"/>
      <c r="Z15" s="16"/>
      <c r="AA15" t="s" s="96">
        <v>33</v>
      </c>
      <c r="AB15" s="75"/>
      <c r="AC15" s="29"/>
      <c r="AD15" t="s" s="159">
        <v>34</v>
      </c>
      <c r="AE15" s="30"/>
      <c r="AF15" s="30"/>
      <c r="AG15" t="s" s="159">
        <v>1520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9" customHeight="1">
      <c r="A16" t="s" s="83">
        <v>1496</v>
      </c>
      <c r="B16" s="112">
        <v>1921</v>
      </c>
      <c r="C16" s="30"/>
      <c r="D16" t="s" s="83">
        <v>1497</v>
      </c>
      <c r="E16" s="30"/>
      <c r="F16" s="74"/>
      <c r="G16" s="16"/>
      <c r="H16" s="79">
        <v>2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75"/>
      <c r="AC16" s="29"/>
      <c r="AD16" s="122"/>
      <c r="AE16" s="30"/>
      <c r="AF16" s="30"/>
      <c r="AG16" s="122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9" customHeight="1">
      <c r="A17" t="s" s="83">
        <v>1496</v>
      </c>
      <c r="B17" s="112">
        <v>1921</v>
      </c>
      <c r="C17" s="30"/>
      <c r="D17" t="s" s="83">
        <v>1497</v>
      </c>
      <c r="E17" s="30"/>
      <c r="F17" s="74"/>
      <c r="G17" t="s" s="96">
        <v>1</v>
      </c>
      <c r="H17" t="s" s="96">
        <v>0</v>
      </c>
      <c r="I17" s="16"/>
      <c r="J17" t="s" s="96">
        <v>3</v>
      </c>
      <c r="K17" s="16"/>
      <c r="L17" s="16"/>
      <c r="M17" s="16"/>
      <c r="N17" t="s" s="96">
        <v>2</v>
      </c>
      <c r="O17" s="16"/>
      <c r="P17" s="16"/>
      <c r="Q17" s="16"/>
      <c r="R17" s="16"/>
      <c r="S17" s="16"/>
      <c r="T17" t="s" s="96">
        <v>5</v>
      </c>
      <c r="U17" s="16"/>
      <c r="V17" s="16"/>
      <c r="W17" s="16"/>
      <c r="X17" s="16"/>
      <c r="Y17" s="16"/>
      <c r="Z17" s="16"/>
      <c r="AA17" t="s" s="96">
        <v>7</v>
      </c>
      <c r="AB17" s="75"/>
      <c r="AC17" s="29"/>
      <c r="AD17" s="122"/>
      <c r="AE17" s="30"/>
      <c r="AF17" s="30"/>
      <c r="AG17" t="s" s="159">
        <v>6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9" customHeight="1">
      <c r="A18" t="s" s="83">
        <v>1496</v>
      </c>
      <c r="B18" s="112">
        <v>1921</v>
      </c>
      <c r="C18" s="112">
        <v>4</v>
      </c>
      <c r="D18" t="s" s="83">
        <v>1497</v>
      </c>
      <c r="E18" s="30"/>
      <c r="F18" s="156">
        <v>4</v>
      </c>
      <c r="G18" t="s" s="96">
        <v>1521</v>
      </c>
      <c r="H18" t="s" s="96">
        <v>1522</v>
      </c>
      <c r="I18" s="79">
        <v>12</v>
      </c>
      <c r="J18" t="s" s="96">
        <v>37</v>
      </c>
      <c r="K18" s="79">
        <v>1</v>
      </c>
      <c r="L18" s="16"/>
      <c r="M18" s="16"/>
      <c r="N18" s="79">
        <v>1</v>
      </c>
      <c r="O18" s="16"/>
      <c r="P18" s="16"/>
      <c r="Q18" s="16"/>
      <c r="R18" s="16"/>
      <c r="S18" s="16"/>
      <c r="T18" s="79">
        <v>40</v>
      </c>
      <c r="U18" s="16"/>
      <c r="V18" s="16"/>
      <c r="W18" s="16"/>
      <c r="X18" s="16"/>
      <c r="Y18" s="16"/>
      <c r="Z18" s="16"/>
      <c r="AA18" t="s" s="96">
        <v>1523</v>
      </c>
      <c r="AB18" t="s" s="158">
        <v>1524</v>
      </c>
      <c r="AC18" s="114">
        <v>1</v>
      </c>
      <c r="AD18" s="122"/>
      <c r="AE18" s="30"/>
      <c r="AF18" s="30"/>
      <c r="AG18" t="s" s="159">
        <v>1133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9" customHeight="1">
      <c r="A19" t="s" s="83">
        <v>1496</v>
      </c>
      <c r="B19" s="112">
        <v>1921</v>
      </c>
      <c r="C19" s="112">
        <v>4</v>
      </c>
      <c r="D19" t="s" s="83">
        <v>1497</v>
      </c>
      <c r="E19" s="30"/>
      <c r="F19" s="156">
        <v>4</v>
      </c>
      <c r="G19" t="s" s="96">
        <v>1521</v>
      </c>
      <c r="H19" t="s" s="96">
        <v>1525</v>
      </c>
      <c r="I19" s="79">
        <v>13</v>
      </c>
      <c r="J19" s="79">
        <v>1</v>
      </c>
      <c r="K19" s="16"/>
      <c r="L19" s="16"/>
      <c r="M19" s="16"/>
      <c r="N19" t="s" s="96">
        <v>72</v>
      </c>
      <c r="O19" s="79">
        <v>1</v>
      </c>
      <c r="P19" s="16"/>
      <c r="Q19" s="16"/>
      <c r="R19" s="16"/>
      <c r="S19" s="16"/>
      <c r="T19" s="79">
        <v>32</v>
      </c>
      <c r="U19" s="16"/>
      <c r="V19" s="16"/>
      <c r="W19" s="16"/>
      <c r="X19" s="16"/>
      <c r="Y19" s="16"/>
      <c r="Z19" s="16"/>
      <c r="AA19" t="s" s="96">
        <v>33</v>
      </c>
      <c r="AB19" s="75"/>
      <c r="AC19" s="29"/>
      <c r="AD19" t="s" s="159">
        <v>34</v>
      </c>
      <c r="AE19" s="30"/>
      <c r="AF19" s="30"/>
      <c r="AG19" t="s" s="159">
        <v>1526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9" customHeight="1">
      <c r="A20" t="s" s="83">
        <v>1496</v>
      </c>
      <c r="B20" s="112">
        <v>1921</v>
      </c>
      <c r="C20" s="112">
        <v>4</v>
      </c>
      <c r="D20" t="s" s="83">
        <v>1497</v>
      </c>
      <c r="E20" s="30"/>
      <c r="F20" s="156">
        <v>4</v>
      </c>
      <c r="G20" t="s" s="96">
        <v>1521</v>
      </c>
      <c r="H20" t="s" s="96">
        <v>1527</v>
      </c>
      <c r="I20" s="79">
        <v>14</v>
      </c>
      <c r="J20" s="16"/>
      <c r="K20" s="16"/>
      <c r="L20" s="79">
        <v>1</v>
      </c>
      <c r="M20" s="16"/>
      <c r="N20" t="s" s="96">
        <v>78</v>
      </c>
      <c r="O20" s="16"/>
      <c r="P20" s="79">
        <v>1</v>
      </c>
      <c r="Q20" s="16"/>
      <c r="R20" s="16"/>
      <c r="S20" s="16"/>
      <c r="T20" s="79">
        <v>6</v>
      </c>
      <c r="U20" s="16"/>
      <c r="V20" s="16"/>
      <c r="W20" s="16"/>
      <c r="X20" s="16"/>
      <c r="Y20" s="16"/>
      <c r="Z20" s="16"/>
      <c r="AA20" t="s" s="96">
        <v>34</v>
      </c>
      <c r="AB20" s="75"/>
      <c r="AC20" s="29"/>
      <c r="AD20" t="s" s="159">
        <v>34</v>
      </c>
      <c r="AE20" s="30"/>
      <c r="AF20" s="30"/>
      <c r="AG20" t="s" s="159">
        <v>1528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9" customHeight="1">
      <c r="A21" t="s" s="83">
        <v>1496</v>
      </c>
      <c r="B21" s="112">
        <v>1921</v>
      </c>
      <c r="C21" s="30"/>
      <c r="D21" t="s" s="83">
        <v>1497</v>
      </c>
      <c r="E21" s="30"/>
      <c r="F21" s="74"/>
      <c r="G21" s="16"/>
      <c r="H21" s="79">
        <v>3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75"/>
      <c r="AC21" s="29"/>
      <c r="AD21" s="122"/>
      <c r="AE21" s="30"/>
      <c r="AF21" s="30"/>
      <c r="AG21" s="122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9" customHeight="1">
      <c r="A22" t="s" s="83">
        <v>1496</v>
      </c>
      <c r="B22" s="112">
        <v>1921</v>
      </c>
      <c r="C22" s="30"/>
      <c r="D22" t="s" s="83">
        <v>1497</v>
      </c>
      <c r="E22" s="30"/>
      <c r="F22" s="74"/>
      <c r="G22" t="s" s="96">
        <v>1</v>
      </c>
      <c r="H22" t="s" s="96">
        <v>0</v>
      </c>
      <c r="I22" s="16"/>
      <c r="J22" t="s" s="96">
        <v>3</v>
      </c>
      <c r="K22" s="16"/>
      <c r="L22" s="16"/>
      <c r="M22" s="16"/>
      <c r="N22" t="s" s="96">
        <v>2</v>
      </c>
      <c r="O22" s="16"/>
      <c r="P22" s="16"/>
      <c r="Q22" s="16"/>
      <c r="R22" s="16"/>
      <c r="S22" s="16"/>
      <c r="T22" t="s" s="96">
        <v>5</v>
      </c>
      <c r="U22" s="16"/>
      <c r="V22" s="16"/>
      <c r="W22" s="16"/>
      <c r="X22" s="16"/>
      <c r="Y22" s="16"/>
      <c r="Z22" s="16"/>
      <c r="AA22" t="s" s="96">
        <v>7</v>
      </c>
      <c r="AB22" s="75"/>
      <c r="AC22" s="29"/>
      <c r="AD22" s="122"/>
      <c r="AE22" s="30"/>
      <c r="AF22" s="30"/>
      <c r="AG22" t="s" s="159">
        <v>6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9" customHeight="1">
      <c r="A23" t="s" s="83">
        <v>1496</v>
      </c>
      <c r="B23" s="112">
        <v>1921</v>
      </c>
      <c r="C23" s="112">
        <v>5</v>
      </c>
      <c r="D23" t="s" s="83">
        <v>1497</v>
      </c>
      <c r="E23" s="30"/>
      <c r="F23" s="156">
        <v>5</v>
      </c>
      <c r="G23" t="s" s="96">
        <v>1529</v>
      </c>
      <c r="H23" t="s" s="96">
        <v>1530</v>
      </c>
      <c r="I23" s="79">
        <v>15</v>
      </c>
      <c r="J23" t="s" s="96">
        <v>37</v>
      </c>
      <c r="K23" s="79">
        <v>1</v>
      </c>
      <c r="L23" s="16"/>
      <c r="M23" s="16"/>
      <c r="N23" s="79">
        <v>1</v>
      </c>
      <c r="O23" s="16"/>
      <c r="P23" s="16"/>
      <c r="Q23" s="16"/>
      <c r="R23" s="16"/>
      <c r="S23" s="16"/>
      <c r="T23" s="79">
        <v>56</v>
      </c>
      <c r="U23" s="16"/>
      <c r="V23" s="16"/>
      <c r="W23" s="16"/>
      <c r="X23" s="16"/>
      <c r="Y23" s="16"/>
      <c r="Z23" s="16"/>
      <c r="AA23" t="s" s="96">
        <v>1531</v>
      </c>
      <c r="AB23" t="s" s="158">
        <v>1532</v>
      </c>
      <c r="AC23" s="114">
        <v>1</v>
      </c>
      <c r="AD23" s="122"/>
      <c r="AE23" s="30"/>
      <c r="AF23" s="112">
        <v>1</v>
      </c>
      <c r="AG23" t="s" s="159">
        <v>13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9" customHeight="1">
      <c r="A24" t="s" s="83">
        <v>1496</v>
      </c>
      <c r="B24" s="112">
        <v>1921</v>
      </c>
      <c r="C24" s="112">
        <v>5</v>
      </c>
      <c r="D24" t="s" s="83">
        <v>1497</v>
      </c>
      <c r="E24" s="30"/>
      <c r="F24" s="156">
        <v>5</v>
      </c>
      <c r="G24" t="s" s="96">
        <v>1529</v>
      </c>
      <c r="H24" t="s" s="96">
        <v>1533</v>
      </c>
      <c r="I24" s="79">
        <v>16</v>
      </c>
      <c r="J24" s="79">
        <v>1</v>
      </c>
      <c r="K24" s="16"/>
      <c r="L24" s="16"/>
      <c r="M24" s="16"/>
      <c r="N24" t="s" s="96">
        <v>72</v>
      </c>
      <c r="O24" s="79">
        <v>1</v>
      </c>
      <c r="P24" s="16"/>
      <c r="Q24" s="16"/>
      <c r="R24" s="16"/>
      <c r="S24" s="16"/>
      <c r="T24" s="79">
        <v>52</v>
      </c>
      <c r="U24" s="16"/>
      <c r="V24" s="16"/>
      <c r="W24" s="16"/>
      <c r="X24" s="16"/>
      <c r="Y24" s="16"/>
      <c r="Z24" s="16"/>
      <c r="AA24" t="s" s="96">
        <v>94</v>
      </c>
      <c r="AB24" t="s" s="158">
        <v>34</v>
      </c>
      <c r="AC24" s="29"/>
      <c r="AD24" s="122"/>
      <c r="AE24" s="30"/>
      <c r="AF24" s="30"/>
      <c r="AG24" t="s" s="159">
        <v>790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9" customHeight="1">
      <c r="A25" t="s" s="83">
        <v>1496</v>
      </c>
      <c r="B25" s="112">
        <v>1921</v>
      </c>
      <c r="C25" s="112">
        <v>5</v>
      </c>
      <c r="D25" t="s" s="83">
        <v>1497</v>
      </c>
      <c r="E25" s="30"/>
      <c r="F25" s="156">
        <v>5</v>
      </c>
      <c r="G25" t="s" s="96">
        <v>1534</v>
      </c>
      <c r="H25" t="s" s="96">
        <v>1535</v>
      </c>
      <c r="I25" s="79">
        <v>17</v>
      </c>
      <c r="J25" s="79">
        <v>1</v>
      </c>
      <c r="K25" s="16"/>
      <c r="L25" s="16"/>
      <c r="M25" s="16"/>
      <c r="N25" t="s" s="96">
        <v>11</v>
      </c>
      <c r="O25" s="16"/>
      <c r="P25" s="16"/>
      <c r="Q25" s="16"/>
      <c r="R25" s="16"/>
      <c r="S25" s="79">
        <v>1</v>
      </c>
      <c r="T25" s="79">
        <v>39</v>
      </c>
      <c r="U25" s="16"/>
      <c r="V25" s="16"/>
      <c r="W25" s="16"/>
      <c r="X25" s="16"/>
      <c r="Y25" s="16"/>
      <c r="Z25" s="16"/>
      <c r="AA25" t="s" s="96">
        <v>45</v>
      </c>
      <c r="AB25" t="s" s="158">
        <v>1536</v>
      </c>
      <c r="AC25" s="114">
        <v>1</v>
      </c>
      <c r="AD25" s="122"/>
      <c r="AE25" s="30"/>
      <c r="AF25" s="30"/>
      <c r="AG25" t="s" s="159">
        <v>1537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9" customHeight="1">
      <c r="A26" t="s" s="83">
        <v>1496</v>
      </c>
      <c r="B26" s="112">
        <v>1921</v>
      </c>
      <c r="C26" s="112">
        <v>5</v>
      </c>
      <c r="D26" t="s" s="83">
        <v>1497</v>
      </c>
      <c r="E26" s="30"/>
      <c r="F26" s="156">
        <v>5</v>
      </c>
      <c r="G26" t="s" s="96">
        <v>1534</v>
      </c>
      <c r="H26" t="s" s="96">
        <v>1525</v>
      </c>
      <c r="I26" s="79">
        <v>18</v>
      </c>
      <c r="J26" s="79">
        <v>1</v>
      </c>
      <c r="K26" s="16"/>
      <c r="L26" s="16"/>
      <c r="M26" s="16"/>
      <c r="N26" t="s" s="96">
        <v>11</v>
      </c>
      <c r="O26" s="16"/>
      <c r="P26" s="16"/>
      <c r="Q26" s="16"/>
      <c r="R26" s="16"/>
      <c r="S26" s="79">
        <v>1</v>
      </c>
      <c r="T26" s="79">
        <v>18</v>
      </c>
      <c r="U26" s="16"/>
      <c r="V26" s="16"/>
      <c r="W26" s="16"/>
      <c r="X26" s="16"/>
      <c r="Y26" s="16"/>
      <c r="Z26" s="16"/>
      <c r="AA26" t="s" s="96">
        <v>55</v>
      </c>
      <c r="AB26" t="s" s="158">
        <v>1536</v>
      </c>
      <c r="AC26" s="114">
        <v>1</v>
      </c>
      <c r="AD26" s="122"/>
      <c r="AE26" s="30"/>
      <c r="AF26" s="30"/>
      <c r="AG26" t="s" s="159">
        <v>1538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9" customHeight="1">
      <c r="A27" t="s" s="83">
        <v>1496</v>
      </c>
      <c r="B27" s="112">
        <v>1921</v>
      </c>
      <c r="C27" s="30"/>
      <c r="D27" t="s" s="83">
        <v>1497</v>
      </c>
      <c r="E27" s="30"/>
      <c r="F27" s="74"/>
      <c r="G27" s="16"/>
      <c r="H27" s="79">
        <v>4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75"/>
      <c r="AC27" s="29"/>
      <c r="AD27" s="122"/>
      <c r="AE27" s="30"/>
      <c r="AF27" s="30"/>
      <c r="AG27" s="122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9" customHeight="1">
      <c r="A28" t="s" s="83">
        <v>1496</v>
      </c>
      <c r="B28" s="112">
        <v>1921</v>
      </c>
      <c r="C28" s="30"/>
      <c r="D28" t="s" s="83">
        <v>1497</v>
      </c>
      <c r="E28" s="30"/>
      <c r="F28" s="74"/>
      <c r="G28" t="s" s="96">
        <v>1</v>
      </c>
      <c r="H28" t="s" s="96">
        <v>0</v>
      </c>
      <c r="I28" s="16"/>
      <c r="J28" t="s" s="96">
        <v>3</v>
      </c>
      <c r="K28" s="16"/>
      <c r="L28" s="16"/>
      <c r="M28" s="16"/>
      <c r="N28" t="s" s="96">
        <v>2</v>
      </c>
      <c r="O28" s="16"/>
      <c r="P28" s="16"/>
      <c r="Q28" s="16"/>
      <c r="R28" s="16"/>
      <c r="S28" s="16"/>
      <c r="T28" t="s" s="96">
        <v>5</v>
      </c>
      <c r="U28" s="16"/>
      <c r="V28" s="16"/>
      <c r="W28" s="16"/>
      <c r="X28" s="16"/>
      <c r="Y28" s="16"/>
      <c r="Z28" s="16"/>
      <c r="AA28" t="s" s="96">
        <v>7</v>
      </c>
      <c r="AB28" s="75"/>
      <c r="AC28" s="29"/>
      <c r="AD28" s="122"/>
      <c r="AE28" s="30"/>
      <c r="AF28" s="30"/>
      <c r="AG28" t="s" s="159">
        <v>6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9" customHeight="1">
      <c r="A29" t="s" s="83">
        <v>1496</v>
      </c>
      <c r="B29" s="112">
        <v>1921</v>
      </c>
      <c r="C29" s="112">
        <v>6</v>
      </c>
      <c r="D29" t="s" s="83">
        <v>1497</v>
      </c>
      <c r="E29" s="30"/>
      <c r="F29" s="156">
        <v>6</v>
      </c>
      <c r="G29" t="s" s="96">
        <v>1539</v>
      </c>
      <c r="H29" t="s" s="96">
        <v>1001</v>
      </c>
      <c r="I29" s="79">
        <v>19</v>
      </c>
      <c r="J29" t="s" s="96">
        <v>37</v>
      </c>
      <c r="K29" s="79">
        <v>1</v>
      </c>
      <c r="L29" s="16"/>
      <c r="M29" s="16"/>
      <c r="N29" s="79">
        <v>1</v>
      </c>
      <c r="O29" s="16"/>
      <c r="P29" s="16"/>
      <c r="Q29" s="16"/>
      <c r="R29" s="16"/>
      <c r="S29" s="16"/>
      <c r="T29" s="79">
        <v>33</v>
      </c>
      <c r="U29" s="16"/>
      <c r="V29" s="16"/>
      <c r="W29" s="16"/>
      <c r="X29" s="16"/>
      <c r="Y29" s="16"/>
      <c r="Z29" s="16"/>
      <c r="AA29" t="s" s="96">
        <v>1540</v>
      </c>
      <c r="AB29" t="s" s="158">
        <v>1541</v>
      </c>
      <c r="AC29" s="114">
        <v>1</v>
      </c>
      <c r="AD29" s="122"/>
      <c r="AE29" s="30"/>
      <c r="AF29" s="30"/>
      <c r="AG29" t="s" s="159">
        <v>1542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9" customHeight="1">
      <c r="A30" t="s" s="83">
        <v>1496</v>
      </c>
      <c r="B30" s="112">
        <v>1921</v>
      </c>
      <c r="C30" s="112">
        <v>6</v>
      </c>
      <c r="D30" t="s" s="83">
        <v>1497</v>
      </c>
      <c r="E30" s="30"/>
      <c r="F30" s="156">
        <v>6</v>
      </c>
      <c r="G30" t="s" s="96">
        <v>1539</v>
      </c>
      <c r="H30" t="s" s="96">
        <v>192</v>
      </c>
      <c r="I30" s="79">
        <v>20</v>
      </c>
      <c r="J30" s="79">
        <v>1</v>
      </c>
      <c r="K30" s="16"/>
      <c r="L30" s="16"/>
      <c r="M30" s="16"/>
      <c r="N30" t="s" s="96">
        <v>72</v>
      </c>
      <c r="O30" s="79">
        <v>1</v>
      </c>
      <c r="P30" s="16"/>
      <c r="Q30" s="16"/>
      <c r="R30" s="16"/>
      <c r="S30" s="16"/>
      <c r="T30" s="79">
        <v>34</v>
      </c>
      <c r="U30" s="16"/>
      <c r="V30" s="16"/>
      <c r="W30" s="16"/>
      <c r="X30" s="16"/>
      <c r="Y30" s="16"/>
      <c r="Z30" s="16"/>
      <c r="AA30" t="s" s="96">
        <v>33</v>
      </c>
      <c r="AB30" s="75"/>
      <c r="AC30" s="29"/>
      <c r="AD30" t="s" s="159">
        <v>34</v>
      </c>
      <c r="AE30" s="30"/>
      <c r="AF30" s="30"/>
      <c r="AG30" t="s" s="159">
        <v>1543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9" customHeight="1">
      <c r="A31" t="s" s="83">
        <v>1496</v>
      </c>
      <c r="B31" s="112">
        <v>1921</v>
      </c>
      <c r="C31" s="112">
        <v>6</v>
      </c>
      <c r="D31" t="s" s="83">
        <v>1497</v>
      </c>
      <c r="E31" s="30"/>
      <c r="F31" s="156">
        <v>6</v>
      </c>
      <c r="G31" t="s" s="96">
        <v>1539</v>
      </c>
      <c r="H31" t="s" s="96">
        <v>1544</v>
      </c>
      <c r="I31" s="79">
        <v>21</v>
      </c>
      <c r="J31" t="s" s="96">
        <v>37</v>
      </c>
      <c r="K31" s="79">
        <v>1</v>
      </c>
      <c r="L31" s="16"/>
      <c r="M31" s="16"/>
      <c r="N31" t="s" s="96">
        <v>36</v>
      </c>
      <c r="O31" s="16"/>
      <c r="P31" s="16"/>
      <c r="Q31" s="79">
        <v>1</v>
      </c>
      <c r="R31" s="16"/>
      <c r="S31" s="16"/>
      <c r="T31" t="s" s="96">
        <v>34</v>
      </c>
      <c r="U31" s="16"/>
      <c r="V31" s="16"/>
      <c r="W31" s="16"/>
      <c r="X31" s="16"/>
      <c r="Y31" s="16"/>
      <c r="Z31" s="16"/>
      <c r="AA31" t="s" s="96">
        <v>34</v>
      </c>
      <c r="AB31" s="75"/>
      <c r="AC31" s="29"/>
      <c r="AD31" t="s" s="159">
        <v>34</v>
      </c>
      <c r="AE31" s="30"/>
      <c r="AF31" s="30"/>
      <c r="AG31" t="s" s="159">
        <v>1543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9" customHeight="1">
      <c r="A32" t="s" s="83">
        <v>1496</v>
      </c>
      <c r="B32" s="112">
        <v>1921</v>
      </c>
      <c r="C32" s="112">
        <v>6</v>
      </c>
      <c r="D32" t="s" s="83">
        <v>1497</v>
      </c>
      <c r="E32" s="30"/>
      <c r="F32" s="156">
        <v>6</v>
      </c>
      <c r="G32" t="s" s="96">
        <v>1539</v>
      </c>
      <c r="H32" t="s" s="96">
        <v>1384</v>
      </c>
      <c r="I32" s="79">
        <v>22</v>
      </c>
      <c r="J32" t="s" s="96">
        <v>37</v>
      </c>
      <c r="K32" s="79">
        <v>1</v>
      </c>
      <c r="L32" s="16"/>
      <c r="M32" s="16"/>
      <c r="N32" t="s" s="96">
        <v>228</v>
      </c>
      <c r="O32" s="16"/>
      <c r="P32" s="16"/>
      <c r="Q32" s="16"/>
      <c r="R32" s="79">
        <v>1</v>
      </c>
      <c r="S32" s="16"/>
      <c r="T32" s="79">
        <v>16</v>
      </c>
      <c r="U32" s="16"/>
      <c r="V32" s="16"/>
      <c r="W32" s="16"/>
      <c r="X32" s="16"/>
      <c r="Y32" s="16"/>
      <c r="Z32" s="16"/>
      <c r="AA32" t="s" s="96">
        <v>1545</v>
      </c>
      <c r="AB32" s="75"/>
      <c r="AC32" s="114">
        <v>1</v>
      </c>
      <c r="AD32" t="s" s="159">
        <v>34</v>
      </c>
      <c r="AE32" s="30"/>
      <c r="AF32" s="30"/>
      <c r="AG32" t="s" s="159">
        <v>1546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9" customHeight="1">
      <c r="A33" t="s" s="83">
        <v>1496</v>
      </c>
      <c r="B33" s="112">
        <v>1921</v>
      </c>
      <c r="C33" s="30"/>
      <c r="D33" t="s" s="83">
        <v>1497</v>
      </c>
      <c r="E33" s="30"/>
      <c r="F33" s="74"/>
      <c r="G33" s="16"/>
      <c r="H33" s="79">
        <v>4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75"/>
      <c r="AC33" s="29"/>
      <c r="AD33" s="122"/>
      <c r="AE33" s="30"/>
      <c r="AF33" s="30"/>
      <c r="AG33" s="122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9" customHeight="1">
      <c r="A34" t="s" s="83">
        <v>1496</v>
      </c>
      <c r="B34" s="112">
        <v>1921</v>
      </c>
      <c r="C34" s="30"/>
      <c r="D34" t="s" s="83">
        <v>1497</v>
      </c>
      <c r="E34" s="30"/>
      <c r="F34" s="74"/>
      <c r="G34" t="s" s="96">
        <v>1</v>
      </c>
      <c r="H34" t="s" s="96">
        <v>0</v>
      </c>
      <c r="I34" s="16"/>
      <c r="J34" t="s" s="96">
        <v>3</v>
      </c>
      <c r="K34" s="16"/>
      <c r="L34" s="16"/>
      <c r="M34" s="16"/>
      <c r="N34" t="s" s="96">
        <v>2</v>
      </c>
      <c r="O34" s="16"/>
      <c r="P34" s="16"/>
      <c r="Q34" s="16"/>
      <c r="R34" s="16"/>
      <c r="S34" s="16"/>
      <c r="T34" t="s" s="96">
        <v>5</v>
      </c>
      <c r="U34" s="16"/>
      <c r="V34" s="16"/>
      <c r="W34" s="16"/>
      <c r="X34" s="16"/>
      <c r="Y34" s="16"/>
      <c r="Z34" s="16"/>
      <c r="AA34" t="s" s="96">
        <v>7</v>
      </c>
      <c r="AB34" s="75"/>
      <c r="AC34" s="29"/>
      <c r="AD34" t="s" s="159">
        <v>8</v>
      </c>
      <c r="AE34" s="30"/>
      <c r="AF34" s="30"/>
      <c r="AG34" t="s" s="159">
        <v>6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9" customHeight="1">
      <c r="A35" t="s" s="83">
        <v>1496</v>
      </c>
      <c r="B35" s="112">
        <v>1921</v>
      </c>
      <c r="C35" s="112">
        <v>7</v>
      </c>
      <c r="D35" t="s" s="83">
        <v>1497</v>
      </c>
      <c r="E35" s="30"/>
      <c r="F35" s="156">
        <v>7</v>
      </c>
      <c r="G35" t="s" s="96">
        <v>1547</v>
      </c>
      <c r="H35" t="s" s="96">
        <v>1548</v>
      </c>
      <c r="I35" s="79">
        <v>23</v>
      </c>
      <c r="J35" t="s" s="96">
        <v>37</v>
      </c>
      <c r="K35" s="79">
        <v>1</v>
      </c>
      <c r="L35" s="16"/>
      <c r="M35" s="16"/>
      <c r="N35" s="79">
        <v>1</v>
      </c>
      <c r="O35" s="16"/>
      <c r="P35" s="16"/>
      <c r="Q35" s="16"/>
      <c r="R35" s="16"/>
      <c r="S35" s="16"/>
      <c r="T35" s="79">
        <v>58</v>
      </c>
      <c r="U35" s="16"/>
      <c r="V35" s="16"/>
      <c r="W35" s="16"/>
      <c r="X35" s="16"/>
      <c r="Y35" s="16"/>
      <c r="Z35" s="16"/>
      <c r="AA35" t="s" s="96">
        <v>1549</v>
      </c>
      <c r="AB35" s="75"/>
      <c r="AC35" s="114">
        <v>1</v>
      </c>
      <c r="AD35" s="120">
        <v>1</v>
      </c>
      <c r="AE35" s="30"/>
      <c r="AF35" s="112">
        <v>1</v>
      </c>
      <c r="AG35" t="s" s="159">
        <v>13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9" customHeight="1">
      <c r="A36" t="s" s="83">
        <v>1496</v>
      </c>
      <c r="B36" s="112">
        <v>1921</v>
      </c>
      <c r="C36" s="112">
        <v>7</v>
      </c>
      <c r="D36" t="s" s="83">
        <v>1497</v>
      </c>
      <c r="E36" s="30"/>
      <c r="F36" s="156">
        <v>7</v>
      </c>
      <c r="G36" t="s" s="96">
        <v>1547</v>
      </c>
      <c r="H36" t="s" s="96">
        <v>406</v>
      </c>
      <c r="I36" s="79">
        <v>24</v>
      </c>
      <c r="J36" s="79">
        <v>1</v>
      </c>
      <c r="K36" s="16"/>
      <c r="L36" s="16"/>
      <c r="M36" s="16"/>
      <c r="N36" t="s" s="96">
        <v>72</v>
      </c>
      <c r="O36" s="79">
        <v>1</v>
      </c>
      <c r="P36" s="16"/>
      <c r="Q36" s="16"/>
      <c r="R36" s="16"/>
      <c r="S36" s="16"/>
      <c r="T36" s="79">
        <v>64</v>
      </c>
      <c r="U36" s="16"/>
      <c r="V36" s="16"/>
      <c r="W36" s="16"/>
      <c r="X36" s="16"/>
      <c r="Y36" s="16"/>
      <c r="Z36" s="16"/>
      <c r="AA36" t="s" s="96">
        <v>33</v>
      </c>
      <c r="AB36" s="75"/>
      <c r="AC36" s="29"/>
      <c r="AD36" t="s" s="159">
        <v>34</v>
      </c>
      <c r="AE36" s="30"/>
      <c r="AF36" s="112">
        <v>1</v>
      </c>
      <c r="AG36" t="s" s="159">
        <v>13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9" customHeight="1">
      <c r="A37" t="s" s="83">
        <v>1496</v>
      </c>
      <c r="B37" s="112">
        <v>1921</v>
      </c>
      <c r="C37" s="112">
        <v>7</v>
      </c>
      <c r="D37" t="s" s="83">
        <v>1497</v>
      </c>
      <c r="E37" s="30"/>
      <c r="F37" s="156">
        <v>7</v>
      </c>
      <c r="G37" t="s" s="96">
        <v>1550</v>
      </c>
      <c r="H37" t="s" s="96">
        <v>406</v>
      </c>
      <c r="I37" s="79">
        <v>25</v>
      </c>
      <c r="J37" s="79">
        <v>1</v>
      </c>
      <c r="K37" s="16"/>
      <c r="L37" s="16"/>
      <c r="M37" s="16"/>
      <c r="N37" t="s" s="96">
        <v>11</v>
      </c>
      <c r="O37" s="16"/>
      <c r="P37" s="16"/>
      <c r="Q37" s="16"/>
      <c r="R37" s="16"/>
      <c r="S37" s="79">
        <v>1</v>
      </c>
      <c r="T37" s="79">
        <v>47</v>
      </c>
      <c r="U37" s="16"/>
      <c r="V37" s="16"/>
      <c r="W37" s="16"/>
      <c r="X37" s="16"/>
      <c r="Y37" s="16"/>
      <c r="Z37" s="16"/>
      <c r="AA37" t="s" s="96">
        <v>105</v>
      </c>
      <c r="AB37" s="75"/>
      <c r="AC37" s="114">
        <v>1</v>
      </c>
      <c r="AD37" t="s" s="159">
        <v>15</v>
      </c>
      <c r="AE37" s="30"/>
      <c r="AF37" s="30"/>
      <c r="AG37" t="s" s="159">
        <v>222</v>
      </c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9" customHeight="1">
      <c r="A38" t="s" s="83">
        <v>1496</v>
      </c>
      <c r="B38" s="112">
        <v>1921</v>
      </c>
      <c r="C38" s="112">
        <v>7</v>
      </c>
      <c r="D38" t="s" s="83">
        <v>1497</v>
      </c>
      <c r="E38" s="30"/>
      <c r="F38" s="156">
        <v>7</v>
      </c>
      <c r="G38" t="s" s="96">
        <v>1551</v>
      </c>
      <c r="H38" t="s" s="96">
        <v>704</v>
      </c>
      <c r="I38" s="79">
        <v>26</v>
      </c>
      <c r="J38" s="79">
        <v>1</v>
      </c>
      <c r="K38" s="16"/>
      <c r="L38" s="16"/>
      <c r="M38" s="16"/>
      <c r="N38" t="s" s="96">
        <v>11</v>
      </c>
      <c r="O38" s="16"/>
      <c r="P38" s="16"/>
      <c r="Q38" s="16"/>
      <c r="R38" s="16"/>
      <c r="S38" s="79">
        <v>1</v>
      </c>
      <c r="T38" s="79">
        <v>33</v>
      </c>
      <c r="U38" s="16"/>
      <c r="V38" s="16"/>
      <c r="W38" s="16"/>
      <c r="X38" s="16"/>
      <c r="Y38" s="16"/>
      <c r="Z38" s="16"/>
      <c r="AA38" t="s" s="96">
        <v>105</v>
      </c>
      <c r="AB38" s="75"/>
      <c r="AC38" s="114">
        <v>1</v>
      </c>
      <c r="AD38" t="s" s="159">
        <v>15</v>
      </c>
      <c r="AE38" s="30"/>
      <c r="AF38" s="30"/>
      <c r="AG38" t="s" s="159">
        <v>1552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9" customHeight="1">
      <c r="A39" t="s" s="83">
        <v>1496</v>
      </c>
      <c r="B39" s="112">
        <v>1921</v>
      </c>
      <c r="C39" s="30"/>
      <c r="D39" t="s" s="83">
        <v>1497</v>
      </c>
      <c r="E39" s="30"/>
      <c r="F39" s="74"/>
      <c r="G39" s="16"/>
      <c r="H39" s="79">
        <v>4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75"/>
      <c r="AC39" s="29"/>
      <c r="AD39" s="122"/>
      <c r="AE39" s="30"/>
      <c r="AF39" s="30"/>
      <c r="AG39" s="122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9" customHeight="1">
      <c r="A40" t="s" s="83">
        <v>1496</v>
      </c>
      <c r="B40" s="112">
        <v>1921</v>
      </c>
      <c r="C40" s="30"/>
      <c r="D40" t="s" s="83">
        <v>1497</v>
      </c>
      <c r="E40" s="30"/>
      <c r="F40" s="74"/>
      <c r="G40" t="s" s="96">
        <v>1</v>
      </c>
      <c r="H40" t="s" s="96">
        <v>0</v>
      </c>
      <c r="I40" s="16"/>
      <c r="J40" t="s" s="96">
        <v>3</v>
      </c>
      <c r="K40" s="16"/>
      <c r="L40" s="16"/>
      <c r="M40" s="16"/>
      <c r="N40" t="s" s="96">
        <v>2</v>
      </c>
      <c r="O40" s="16"/>
      <c r="P40" s="16"/>
      <c r="Q40" s="16"/>
      <c r="R40" s="16"/>
      <c r="S40" s="16"/>
      <c r="T40" t="s" s="96">
        <v>5</v>
      </c>
      <c r="U40" s="16"/>
      <c r="V40" s="16"/>
      <c r="W40" s="16"/>
      <c r="X40" s="16"/>
      <c r="Y40" s="16"/>
      <c r="Z40" s="16"/>
      <c r="AA40" t="s" s="96">
        <v>7</v>
      </c>
      <c r="AB40" s="75"/>
      <c r="AC40" s="29"/>
      <c r="AD40" t="s" s="159">
        <v>8</v>
      </c>
      <c r="AE40" s="30"/>
      <c r="AF40" s="30"/>
      <c r="AG40" t="s" s="159">
        <v>6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9" customHeight="1">
      <c r="A41" t="s" s="83">
        <v>1496</v>
      </c>
      <c r="B41" s="112">
        <v>1921</v>
      </c>
      <c r="C41" s="112">
        <v>8</v>
      </c>
      <c r="D41" t="s" s="83">
        <v>1497</v>
      </c>
      <c r="E41" s="30"/>
      <c r="F41" s="156">
        <v>8</v>
      </c>
      <c r="G41" t="s" s="96">
        <v>1553</v>
      </c>
      <c r="H41" t="s" s="96">
        <v>1554</v>
      </c>
      <c r="I41" s="79">
        <v>27</v>
      </c>
      <c r="J41" t="s" s="96">
        <v>37</v>
      </c>
      <c r="K41" s="79">
        <v>1</v>
      </c>
      <c r="L41" s="16"/>
      <c r="M41" s="16"/>
      <c r="N41" s="79">
        <v>1</v>
      </c>
      <c r="O41" s="16"/>
      <c r="P41" s="16"/>
      <c r="Q41" s="16"/>
      <c r="R41" s="16"/>
      <c r="S41" s="16"/>
      <c r="T41" s="79">
        <v>65</v>
      </c>
      <c r="U41" s="16"/>
      <c r="V41" s="16"/>
      <c r="W41" s="16"/>
      <c r="X41" s="16"/>
      <c r="Y41" s="16"/>
      <c r="Z41" s="16"/>
      <c r="AA41" t="s" s="96">
        <v>707</v>
      </c>
      <c r="AB41" t="s" s="158">
        <v>1555</v>
      </c>
      <c r="AC41" s="114">
        <v>1</v>
      </c>
      <c r="AD41" s="122"/>
      <c r="AE41" s="30"/>
      <c r="AF41" s="30"/>
      <c r="AG41" t="s" s="159">
        <v>208</v>
      </c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9" customHeight="1">
      <c r="A42" t="s" s="83">
        <v>1496</v>
      </c>
      <c r="B42" s="112">
        <v>1921</v>
      </c>
      <c r="C42" s="112">
        <v>8</v>
      </c>
      <c r="D42" t="s" s="83">
        <v>1497</v>
      </c>
      <c r="E42" s="30"/>
      <c r="F42" s="156">
        <v>8</v>
      </c>
      <c r="G42" t="s" s="96">
        <v>1553</v>
      </c>
      <c r="H42" t="s" s="96">
        <v>235</v>
      </c>
      <c r="I42" s="79">
        <v>28</v>
      </c>
      <c r="J42" s="79">
        <v>1</v>
      </c>
      <c r="K42" s="16"/>
      <c r="L42" s="16"/>
      <c r="M42" s="16"/>
      <c r="N42" t="s" s="96">
        <v>72</v>
      </c>
      <c r="O42" s="79">
        <v>1</v>
      </c>
      <c r="P42" s="16"/>
      <c r="Q42" s="16"/>
      <c r="R42" s="16"/>
      <c r="S42" s="16"/>
      <c r="T42" s="79">
        <v>66</v>
      </c>
      <c r="U42" s="16"/>
      <c r="V42" s="16"/>
      <c r="W42" s="16"/>
      <c r="X42" s="16"/>
      <c r="Y42" s="16"/>
      <c r="Z42" s="16"/>
      <c r="AA42" t="s" s="96">
        <v>33</v>
      </c>
      <c r="AB42" t="s" s="158">
        <v>34</v>
      </c>
      <c r="AC42" s="29"/>
      <c r="AD42" s="122"/>
      <c r="AE42" s="30"/>
      <c r="AF42" s="30"/>
      <c r="AG42" t="s" s="159">
        <v>512</v>
      </c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9" customHeight="1">
      <c r="A43" t="s" s="83">
        <v>1496</v>
      </c>
      <c r="B43" s="112">
        <v>1921</v>
      </c>
      <c r="C43" s="112">
        <v>8</v>
      </c>
      <c r="D43" t="s" s="83">
        <v>1497</v>
      </c>
      <c r="E43" s="30"/>
      <c r="F43" s="156">
        <v>8</v>
      </c>
      <c r="G43" t="s" s="96">
        <v>1556</v>
      </c>
      <c r="H43" t="s" s="96">
        <v>1557</v>
      </c>
      <c r="I43" s="79">
        <v>29</v>
      </c>
      <c r="J43" s="79">
        <v>1</v>
      </c>
      <c r="K43" s="16"/>
      <c r="L43" s="16"/>
      <c r="M43" s="16"/>
      <c r="N43" t="s" s="96">
        <v>65</v>
      </c>
      <c r="O43" s="16"/>
      <c r="P43" s="16"/>
      <c r="Q43" s="16"/>
      <c r="R43" s="79">
        <v>1</v>
      </c>
      <c r="S43" s="16"/>
      <c r="T43" s="79">
        <v>29</v>
      </c>
      <c r="U43" s="16"/>
      <c r="V43" s="16"/>
      <c r="W43" s="16"/>
      <c r="X43" s="16"/>
      <c r="Y43" s="16"/>
      <c r="Z43" s="16"/>
      <c r="AA43" t="s" s="96">
        <v>1558</v>
      </c>
      <c r="AB43" t="s" s="158">
        <v>1559</v>
      </c>
      <c r="AC43" s="114">
        <v>1</v>
      </c>
      <c r="AD43" s="122"/>
      <c r="AE43" s="30"/>
      <c r="AF43" s="30"/>
      <c r="AG43" t="s" s="159">
        <v>1560</v>
      </c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9" customHeight="1">
      <c r="A44" t="s" s="83">
        <v>1496</v>
      </c>
      <c r="B44" s="112">
        <v>1921</v>
      </c>
      <c r="C44" s="30"/>
      <c r="D44" t="s" s="83">
        <v>1497</v>
      </c>
      <c r="E44" s="30"/>
      <c r="F44" s="74"/>
      <c r="G44" s="16"/>
      <c r="H44" s="79">
        <v>3</v>
      </c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75"/>
      <c r="AC44" s="29"/>
      <c r="AD44" s="122"/>
      <c r="AE44" s="30"/>
      <c r="AF44" s="30"/>
      <c r="AG44" s="122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9" customHeight="1">
      <c r="A45" t="s" s="83">
        <v>1496</v>
      </c>
      <c r="B45" s="112">
        <v>1921</v>
      </c>
      <c r="C45" s="30"/>
      <c r="D45" t="s" s="83">
        <v>1497</v>
      </c>
      <c r="E45" s="30"/>
      <c r="F45" s="74"/>
      <c r="G45" t="s" s="96">
        <v>1</v>
      </c>
      <c r="H45" t="s" s="96">
        <v>0</v>
      </c>
      <c r="I45" s="16"/>
      <c r="J45" t="s" s="96">
        <v>3</v>
      </c>
      <c r="K45" s="16"/>
      <c r="L45" s="16"/>
      <c r="M45" s="16"/>
      <c r="N45" t="s" s="96">
        <v>2</v>
      </c>
      <c r="O45" s="16"/>
      <c r="P45" s="16"/>
      <c r="Q45" s="16"/>
      <c r="R45" s="16"/>
      <c r="S45" s="16"/>
      <c r="T45" t="s" s="96">
        <v>5</v>
      </c>
      <c r="U45" s="16"/>
      <c r="V45" s="16"/>
      <c r="W45" s="16"/>
      <c r="X45" s="16"/>
      <c r="Y45" s="16"/>
      <c r="Z45" s="16"/>
      <c r="AA45" t="s" s="96">
        <v>7</v>
      </c>
      <c r="AB45" s="75"/>
      <c r="AC45" s="29"/>
      <c r="AD45" t="s" s="159">
        <v>8</v>
      </c>
      <c r="AE45" s="30"/>
      <c r="AF45" s="30"/>
      <c r="AG45" t="s" s="159">
        <v>6</v>
      </c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9" customHeight="1">
      <c r="A46" t="s" s="83">
        <v>1496</v>
      </c>
      <c r="B46" s="112">
        <v>1921</v>
      </c>
      <c r="C46" s="112">
        <v>9</v>
      </c>
      <c r="D46" t="s" s="83">
        <v>1497</v>
      </c>
      <c r="E46" s="30"/>
      <c r="F46" s="156">
        <v>9</v>
      </c>
      <c r="G46" t="s" s="96">
        <v>1561</v>
      </c>
      <c r="H46" t="s" s="96">
        <v>1562</v>
      </c>
      <c r="I46" s="79">
        <v>30</v>
      </c>
      <c r="J46" t="s" s="96">
        <v>37</v>
      </c>
      <c r="K46" s="79">
        <v>1</v>
      </c>
      <c r="L46" s="16"/>
      <c r="M46" s="16"/>
      <c r="N46" s="79">
        <v>1</v>
      </c>
      <c r="O46" s="16"/>
      <c r="P46" s="16"/>
      <c r="Q46" s="16"/>
      <c r="R46" s="16"/>
      <c r="S46" s="16"/>
      <c r="T46" s="79">
        <v>31</v>
      </c>
      <c r="U46" s="16"/>
      <c r="V46" s="16"/>
      <c r="W46" s="16"/>
      <c r="X46" s="16"/>
      <c r="Y46" s="16"/>
      <c r="Z46" s="16"/>
      <c r="AA46" t="s" s="96">
        <v>1563</v>
      </c>
      <c r="AB46" t="s" s="158">
        <v>1564</v>
      </c>
      <c r="AC46" s="114">
        <v>1</v>
      </c>
      <c r="AD46" s="122"/>
      <c r="AE46" s="30"/>
      <c r="AF46" s="112">
        <v>1</v>
      </c>
      <c r="AG46" t="s" s="159">
        <v>13</v>
      </c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9" customHeight="1">
      <c r="A47" t="s" s="83">
        <v>1496</v>
      </c>
      <c r="B47" s="112">
        <v>1921</v>
      </c>
      <c r="C47" s="112">
        <v>9</v>
      </c>
      <c r="D47" t="s" s="83">
        <v>1497</v>
      </c>
      <c r="E47" s="30"/>
      <c r="F47" s="156">
        <v>9</v>
      </c>
      <c r="G47" t="s" s="96">
        <v>1561</v>
      </c>
      <c r="H47" t="s" s="96">
        <v>1565</v>
      </c>
      <c r="I47" s="79">
        <v>31</v>
      </c>
      <c r="J47" s="79">
        <v>1</v>
      </c>
      <c r="K47" s="16"/>
      <c r="L47" s="16"/>
      <c r="M47" s="16"/>
      <c r="N47" t="s" s="96">
        <v>72</v>
      </c>
      <c r="O47" s="79">
        <v>1</v>
      </c>
      <c r="P47" s="16"/>
      <c r="Q47" s="16"/>
      <c r="R47" s="16"/>
      <c r="S47" s="16"/>
      <c r="T47" s="79">
        <v>30</v>
      </c>
      <c r="U47" s="16"/>
      <c r="V47" s="16"/>
      <c r="W47" s="16"/>
      <c r="X47" s="16"/>
      <c r="Y47" s="16"/>
      <c r="Z47" s="16"/>
      <c r="AA47" t="s" s="96">
        <v>33</v>
      </c>
      <c r="AB47" t="s" s="158">
        <v>34</v>
      </c>
      <c r="AC47" s="29"/>
      <c r="AD47" s="122"/>
      <c r="AE47" s="30"/>
      <c r="AF47" s="30"/>
      <c r="AG47" t="s" s="159">
        <v>567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9" customHeight="1">
      <c r="A48" t="s" s="83">
        <v>1496</v>
      </c>
      <c r="B48" s="112">
        <v>1921</v>
      </c>
      <c r="C48" s="112">
        <v>9</v>
      </c>
      <c r="D48" t="s" s="83">
        <v>1497</v>
      </c>
      <c r="E48" s="30"/>
      <c r="F48" s="156">
        <v>9</v>
      </c>
      <c r="G48" t="s" s="96">
        <v>1561</v>
      </c>
      <c r="H48" t="s" s="96">
        <v>1566</v>
      </c>
      <c r="I48" s="79">
        <v>32</v>
      </c>
      <c r="J48" t="s" s="96">
        <v>37</v>
      </c>
      <c r="K48" s="79">
        <v>1</v>
      </c>
      <c r="L48" s="16"/>
      <c r="M48" s="79">
        <v>1</v>
      </c>
      <c r="N48" t="s" s="96">
        <v>36</v>
      </c>
      <c r="O48" s="16"/>
      <c r="P48" s="16"/>
      <c r="Q48" s="79">
        <v>1</v>
      </c>
      <c r="R48" s="16"/>
      <c r="S48" s="16"/>
      <c r="T48" s="79">
        <v>1</v>
      </c>
      <c r="U48" s="16"/>
      <c r="V48" s="16"/>
      <c r="W48" s="16"/>
      <c r="X48" s="16"/>
      <c r="Y48" s="16"/>
      <c r="Z48" s="16"/>
      <c r="AA48" t="s" s="96">
        <v>34</v>
      </c>
      <c r="AB48" t="s" s="158">
        <v>34</v>
      </c>
      <c r="AC48" s="29"/>
      <c r="AD48" s="122"/>
      <c r="AE48" s="30"/>
      <c r="AF48" s="112">
        <v>1</v>
      </c>
      <c r="AG48" t="s" s="159">
        <v>13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9" customHeight="1">
      <c r="A49" t="s" s="83">
        <v>1496</v>
      </c>
      <c r="B49" s="112">
        <v>1921</v>
      </c>
      <c r="C49" s="112">
        <v>9</v>
      </c>
      <c r="D49" t="s" s="83">
        <v>1497</v>
      </c>
      <c r="E49" s="30"/>
      <c r="F49" s="156">
        <v>9</v>
      </c>
      <c r="G49" t="s" s="96">
        <v>1567</v>
      </c>
      <c r="H49" t="s" s="96">
        <v>1568</v>
      </c>
      <c r="I49" s="79">
        <v>33</v>
      </c>
      <c r="J49" t="s" s="96">
        <v>37</v>
      </c>
      <c r="K49" s="79">
        <v>1</v>
      </c>
      <c r="L49" s="16"/>
      <c r="M49" s="16"/>
      <c r="N49" t="s" s="96">
        <v>1569</v>
      </c>
      <c r="O49" s="16"/>
      <c r="P49" s="16"/>
      <c r="Q49" s="16"/>
      <c r="R49" s="79">
        <v>1</v>
      </c>
      <c r="S49" s="16"/>
      <c r="T49" s="79">
        <v>73</v>
      </c>
      <c r="U49" s="16"/>
      <c r="V49" s="16"/>
      <c r="W49" s="16"/>
      <c r="X49" s="16"/>
      <c r="Y49" s="16"/>
      <c r="Z49" s="16"/>
      <c r="AA49" t="s" s="96">
        <v>1570</v>
      </c>
      <c r="AB49" t="s" s="158">
        <v>1571</v>
      </c>
      <c r="AC49" s="114">
        <v>1</v>
      </c>
      <c r="AD49" s="122"/>
      <c r="AE49" s="30"/>
      <c r="AF49" s="30"/>
      <c r="AG49" t="s" s="159">
        <v>1572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9" customHeight="1">
      <c r="A50" t="s" s="83">
        <v>1496</v>
      </c>
      <c r="B50" s="112">
        <v>1921</v>
      </c>
      <c r="C50" s="112">
        <v>9</v>
      </c>
      <c r="D50" t="s" s="83">
        <v>1497</v>
      </c>
      <c r="E50" s="30"/>
      <c r="F50" s="156">
        <v>9</v>
      </c>
      <c r="G50" t="s" s="96">
        <v>1567</v>
      </c>
      <c r="H50" t="s" s="96">
        <v>366</v>
      </c>
      <c r="I50" s="79">
        <v>34</v>
      </c>
      <c r="J50" s="79">
        <v>1</v>
      </c>
      <c r="K50" s="16"/>
      <c r="L50" s="16"/>
      <c r="M50" s="16"/>
      <c r="N50" t="s" s="96">
        <v>1032</v>
      </c>
      <c r="O50" s="16"/>
      <c r="P50" s="16"/>
      <c r="Q50" s="16"/>
      <c r="R50" s="79">
        <v>1</v>
      </c>
      <c r="S50" s="16"/>
      <c r="T50" s="79">
        <v>73</v>
      </c>
      <c r="U50" s="16"/>
      <c r="V50" s="16"/>
      <c r="W50" s="16"/>
      <c r="X50" s="16"/>
      <c r="Y50" s="16"/>
      <c r="Z50" s="16"/>
      <c r="AA50" t="s" s="96">
        <v>94</v>
      </c>
      <c r="AB50" s="75"/>
      <c r="AC50" s="29"/>
      <c r="AD50" t="s" s="159">
        <v>34</v>
      </c>
      <c r="AE50" s="30"/>
      <c r="AF50" s="30"/>
      <c r="AG50" t="s" s="159">
        <v>567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9" customHeight="1">
      <c r="A51" t="s" s="83">
        <v>1496</v>
      </c>
      <c r="B51" s="112">
        <v>1921</v>
      </c>
      <c r="C51" s="112">
        <v>9</v>
      </c>
      <c r="D51" t="s" s="83">
        <v>1497</v>
      </c>
      <c r="E51" s="30"/>
      <c r="F51" s="156">
        <v>9</v>
      </c>
      <c r="G51" t="s" s="96">
        <v>1573</v>
      </c>
      <c r="H51" t="s" s="96">
        <v>1574</v>
      </c>
      <c r="I51" s="79">
        <v>35</v>
      </c>
      <c r="J51" s="79">
        <v>1</v>
      </c>
      <c r="K51" s="16"/>
      <c r="L51" s="16"/>
      <c r="M51" s="16"/>
      <c r="N51" t="s" s="96">
        <v>1575</v>
      </c>
      <c r="O51" s="16"/>
      <c r="P51" s="16"/>
      <c r="Q51" s="16"/>
      <c r="R51" s="79">
        <v>1</v>
      </c>
      <c r="S51" s="16"/>
      <c r="T51" s="79">
        <v>37</v>
      </c>
      <c r="U51" s="16"/>
      <c r="V51" s="16"/>
      <c r="W51" s="16"/>
      <c r="X51" s="16"/>
      <c r="Y51" s="16"/>
      <c r="Z51" s="16"/>
      <c r="AA51" t="s" s="96">
        <v>1575</v>
      </c>
      <c r="AB51" s="75"/>
      <c r="AC51" s="29"/>
      <c r="AD51" t="s" s="159">
        <v>34</v>
      </c>
      <c r="AE51" s="30"/>
      <c r="AF51" s="30"/>
      <c r="AG51" t="s" s="159">
        <v>134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9" customHeight="1">
      <c r="A52" t="s" s="83">
        <v>1496</v>
      </c>
      <c r="B52" s="112">
        <v>1921</v>
      </c>
      <c r="C52" s="112">
        <v>9</v>
      </c>
      <c r="D52" t="s" s="83">
        <v>1497</v>
      </c>
      <c r="E52" s="30"/>
      <c r="F52" s="156">
        <v>9</v>
      </c>
      <c r="G52" t="s" s="96">
        <v>1576</v>
      </c>
      <c r="H52" t="s" s="96">
        <v>98</v>
      </c>
      <c r="I52" s="79">
        <v>36</v>
      </c>
      <c r="J52" s="79">
        <v>1</v>
      </c>
      <c r="K52" s="16"/>
      <c r="L52" s="16"/>
      <c r="M52" s="16"/>
      <c r="N52" t="s" s="96">
        <v>11</v>
      </c>
      <c r="O52" s="16"/>
      <c r="P52" s="16"/>
      <c r="Q52" s="16"/>
      <c r="R52" s="16"/>
      <c r="S52" s="79">
        <v>1</v>
      </c>
      <c r="T52" s="79">
        <v>19</v>
      </c>
      <c r="U52" s="16"/>
      <c r="V52" s="16"/>
      <c r="W52" s="16"/>
      <c r="X52" s="16"/>
      <c r="Y52" s="16"/>
      <c r="Z52" s="16"/>
      <c r="AA52" t="s" s="96">
        <v>105</v>
      </c>
      <c r="AB52" s="75"/>
      <c r="AC52" s="114">
        <v>1</v>
      </c>
      <c r="AD52" t="s" s="159">
        <v>15</v>
      </c>
      <c r="AE52" s="30"/>
      <c r="AF52" s="30"/>
      <c r="AG52" t="s" s="159">
        <v>1577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9" customHeight="1">
      <c r="A53" t="s" s="83">
        <v>1496</v>
      </c>
      <c r="B53" s="112">
        <v>1921</v>
      </c>
      <c r="C53" s="30"/>
      <c r="D53" t="s" s="83">
        <v>1497</v>
      </c>
      <c r="E53" s="30"/>
      <c r="F53" s="74"/>
      <c r="G53" s="16"/>
      <c r="H53" s="79">
        <v>7</v>
      </c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75"/>
      <c r="AC53" s="29"/>
      <c r="AD53" s="122"/>
      <c r="AE53" s="30"/>
      <c r="AF53" s="30"/>
      <c r="AG53" s="122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9" customHeight="1">
      <c r="A54" t="s" s="83">
        <v>1496</v>
      </c>
      <c r="B54" s="112">
        <v>1921</v>
      </c>
      <c r="C54" s="30"/>
      <c r="D54" t="s" s="83">
        <v>1497</v>
      </c>
      <c r="E54" s="30"/>
      <c r="F54" s="74"/>
      <c r="G54" t="s" s="96">
        <v>1</v>
      </c>
      <c r="H54" t="s" s="96">
        <v>0</v>
      </c>
      <c r="I54" s="16"/>
      <c r="J54" t="s" s="96">
        <v>3</v>
      </c>
      <c r="K54" s="16"/>
      <c r="L54" s="16"/>
      <c r="M54" s="16"/>
      <c r="N54" t="s" s="96">
        <v>2</v>
      </c>
      <c r="O54" s="16"/>
      <c r="P54" s="16"/>
      <c r="Q54" s="16"/>
      <c r="R54" s="16"/>
      <c r="S54" s="16"/>
      <c r="T54" t="s" s="96">
        <v>5</v>
      </c>
      <c r="U54" s="16"/>
      <c r="V54" s="16"/>
      <c r="W54" s="16"/>
      <c r="X54" s="16"/>
      <c r="Y54" s="16"/>
      <c r="Z54" s="16"/>
      <c r="AA54" t="s" s="96">
        <v>7</v>
      </c>
      <c r="AB54" s="75"/>
      <c r="AC54" s="29"/>
      <c r="AD54" t="s" s="159">
        <v>8</v>
      </c>
      <c r="AE54" s="30"/>
      <c r="AF54" s="30"/>
      <c r="AG54" t="s" s="159">
        <v>6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9" customHeight="1">
      <c r="A55" t="s" s="83">
        <v>1496</v>
      </c>
      <c r="B55" s="112">
        <v>1921</v>
      </c>
      <c r="C55" s="112">
        <v>10</v>
      </c>
      <c r="D55" t="s" s="83">
        <v>1497</v>
      </c>
      <c r="E55" s="30"/>
      <c r="F55" s="156">
        <v>10</v>
      </c>
      <c r="G55" t="s" s="96">
        <v>1578</v>
      </c>
      <c r="H55" t="s" s="96">
        <v>153</v>
      </c>
      <c r="I55" s="79">
        <v>37</v>
      </c>
      <c r="J55" t="s" s="96">
        <v>37</v>
      </c>
      <c r="K55" s="79">
        <v>1</v>
      </c>
      <c r="L55" s="16"/>
      <c r="M55" s="16"/>
      <c r="N55" s="79">
        <v>1</v>
      </c>
      <c r="O55" s="16"/>
      <c r="P55" s="16"/>
      <c r="Q55" s="16"/>
      <c r="R55" s="16"/>
      <c r="S55" s="16"/>
      <c r="T55" s="79">
        <v>80</v>
      </c>
      <c r="U55" s="16"/>
      <c r="V55" s="16"/>
      <c r="W55" s="16"/>
      <c r="X55" s="16"/>
      <c r="Y55" s="16"/>
      <c r="Z55" s="16"/>
      <c r="AA55" t="s" s="96">
        <v>1579</v>
      </c>
      <c r="AB55" t="s" s="158">
        <v>1580</v>
      </c>
      <c r="AC55" s="114">
        <v>1</v>
      </c>
      <c r="AD55" s="122"/>
      <c r="AE55" s="30"/>
      <c r="AF55" s="112">
        <v>1</v>
      </c>
      <c r="AG55" t="s" s="159">
        <v>1581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9" customHeight="1">
      <c r="A56" t="s" s="83">
        <v>1496</v>
      </c>
      <c r="B56" s="112">
        <v>1921</v>
      </c>
      <c r="C56" s="112">
        <v>10</v>
      </c>
      <c r="D56" t="s" s="83">
        <v>1497</v>
      </c>
      <c r="E56" s="30"/>
      <c r="F56" s="156">
        <v>10</v>
      </c>
      <c r="G56" t="s" s="96">
        <v>1578</v>
      </c>
      <c r="H56" t="s" s="96">
        <v>251</v>
      </c>
      <c r="I56" s="79">
        <v>38</v>
      </c>
      <c r="J56" s="79">
        <v>1</v>
      </c>
      <c r="K56" s="16"/>
      <c r="L56" s="16"/>
      <c r="M56" s="16"/>
      <c r="N56" t="s" s="96">
        <v>78</v>
      </c>
      <c r="O56" s="16"/>
      <c r="P56" s="79">
        <v>1</v>
      </c>
      <c r="Q56" s="16"/>
      <c r="R56" s="16"/>
      <c r="S56" s="16"/>
      <c r="T56" s="79">
        <v>45</v>
      </c>
      <c r="U56" s="16"/>
      <c r="V56" s="16"/>
      <c r="W56" s="16"/>
      <c r="X56" s="16"/>
      <c r="Y56" s="16"/>
      <c r="Z56" s="16"/>
      <c r="AA56" t="s" s="96">
        <v>175</v>
      </c>
      <c r="AB56" s="75"/>
      <c r="AC56" s="114">
        <v>1</v>
      </c>
      <c r="AD56" t="s" s="159">
        <v>34</v>
      </c>
      <c r="AE56" s="30"/>
      <c r="AF56" s="112">
        <v>1</v>
      </c>
      <c r="AG56" t="s" s="159">
        <v>599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9" customHeight="1">
      <c r="A57" t="s" s="83">
        <v>1496</v>
      </c>
      <c r="B57" s="112">
        <v>1921</v>
      </c>
      <c r="C57" s="112">
        <v>10</v>
      </c>
      <c r="D57" t="s" s="83">
        <v>1497</v>
      </c>
      <c r="E57" s="30"/>
      <c r="F57" s="156">
        <v>10</v>
      </c>
      <c r="G57" t="s" s="96">
        <v>1578</v>
      </c>
      <c r="H57" t="s" s="96">
        <v>109</v>
      </c>
      <c r="I57" s="79">
        <v>39</v>
      </c>
      <c r="J57" s="79">
        <v>1</v>
      </c>
      <c r="K57" s="16"/>
      <c r="L57" s="16"/>
      <c r="M57" s="16"/>
      <c r="N57" t="s" s="96">
        <v>78</v>
      </c>
      <c r="O57" s="16"/>
      <c r="P57" s="79">
        <v>1</v>
      </c>
      <c r="Q57" s="16"/>
      <c r="R57" s="16"/>
      <c r="S57" s="16"/>
      <c r="T57" s="79">
        <v>43</v>
      </c>
      <c r="U57" s="16"/>
      <c r="V57" s="16"/>
      <c r="W57" s="16"/>
      <c r="X57" s="16"/>
      <c r="Y57" s="16"/>
      <c r="Z57" s="16"/>
      <c r="AA57" t="s" s="96">
        <v>1582</v>
      </c>
      <c r="AB57" t="s" s="158">
        <v>1583</v>
      </c>
      <c r="AC57" s="114">
        <v>1</v>
      </c>
      <c r="AD57" s="122"/>
      <c r="AE57" s="30"/>
      <c r="AF57" s="112">
        <v>1</v>
      </c>
      <c r="AG57" t="s" s="159">
        <v>599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9" customHeight="1">
      <c r="A58" t="s" s="83">
        <v>1496</v>
      </c>
      <c r="B58" s="112">
        <v>1921</v>
      </c>
      <c r="C58" s="30"/>
      <c r="D58" t="s" s="83">
        <v>1497</v>
      </c>
      <c r="E58" s="30"/>
      <c r="F58" s="74"/>
      <c r="G58" s="16"/>
      <c r="H58" s="79">
        <v>3</v>
      </c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75"/>
      <c r="AC58" s="29"/>
      <c r="AD58" s="122"/>
      <c r="AE58" s="30"/>
      <c r="AF58" s="30"/>
      <c r="AG58" s="122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9" customHeight="1">
      <c r="A59" t="s" s="83">
        <v>1496</v>
      </c>
      <c r="B59" s="112">
        <v>1921</v>
      </c>
      <c r="C59" s="30"/>
      <c r="D59" t="s" s="83">
        <v>1497</v>
      </c>
      <c r="E59" s="30"/>
      <c r="F59" s="74"/>
      <c r="G59" t="s" s="96">
        <v>1</v>
      </c>
      <c r="H59" t="s" s="96">
        <v>0</v>
      </c>
      <c r="I59" s="16"/>
      <c r="J59" t="s" s="96">
        <v>3</v>
      </c>
      <c r="K59" s="16"/>
      <c r="L59" s="16"/>
      <c r="M59" s="16"/>
      <c r="N59" t="s" s="96">
        <v>2</v>
      </c>
      <c r="O59" s="16"/>
      <c r="P59" s="16"/>
      <c r="Q59" s="16"/>
      <c r="R59" s="16"/>
      <c r="S59" s="16"/>
      <c r="T59" t="s" s="96">
        <v>5</v>
      </c>
      <c r="U59" s="16"/>
      <c r="V59" s="16"/>
      <c r="W59" s="16"/>
      <c r="X59" s="16"/>
      <c r="Y59" s="16"/>
      <c r="Z59" s="16"/>
      <c r="AA59" t="s" s="96">
        <v>7</v>
      </c>
      <c r="AB59" s="75"/>
      <c r="AC59" s="29"/>
      <c r="AD59" t="s" s="159">
        <v>8</v>
      </c>
      <c r="AE59" s="30"/>
      <c r="AF59" s="30"/>
      <c r="AG59" t="s" s="159">
        <v>6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9" customHeight="1">
      <c r="A60" t="s" s="83">
        <v>1496</v>
      </c>
      <c r="B60" s="112">
        <v>1921</v>
      </c>
      <c r="C60" s="112">
        <v>11</v>
      </c>
      <c r="D60" t="s" s="83">
        <v>1497</v>
      </c>
      <c r="E60" s="30"/>
      <c r="F60" s="156">
        <v>12</v>
      </c>
      <c r="G60" t="s" s="96">
        <v>1584</v>
      </c>
      <c r="H60" t="s" s="96">
        <v>214</v>
      </c>
      <c r="I60" s="79">
        <v>40</v>
      </c>
      <c r="J60" t="s" s="96">
        <v>37</v>
      </c>
      <c r="K60" s="79">
        <v>1</v>
      </c>
      <c r="L60" s="16"/>
      <c r="M60" s="16"/>
      <c r="N60" s="79">
        <v>1</v>
      </c>
      <c r="O60" s="16"/>
      <c r="P60" s="16"/>
      <c r="Q60" s="16"/>
      <c r="R60" s="16"/>
      <c r="S60" s="16"/>
      <c r="T60" s="79">
        <v>67</v>
      </c>
      <c r="U60" s="16"/>
      <c r="V60" s="16"/>
      <c r="W60" s="16"/>
      <c r="X60" s="16"/>
      <c r="Y60" s="16"/>
      <c r="Z60" s="16"/>
      <c r="AA60" t="s" s="96">
        <v>1585</v>
      </c>
      <c r="AB60" t="s" s="158">
        <v>603</v>
      </c>
      <c r="AC60" s="114">
        <v>1</v>
      </c>
      <c r="AD60" s="122"/>
      <c r="AE60" s="30"/>
      <c r="AF60" s="112">
        <v>1</v>
      </c>
      <c r="AG60" t="s" s="159">
        <v>1586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9" customHeight="1">
      <c r="A61" t="s" s="83">
        <v>1496</v>
      </c>
      <c r="B61" s="112">
        <v>1921</v>
      </c>
      <c r="C61" s="112">
        <v>11</v>
      </c>
      <c r="D61" t="s" s="83">
        <v>1497</v>
      </c>
      <c r="E61" s="30"/>
      <c r="F61" s="156">
        <v>12</v>
      </c>
      <c r="G61" t="s" s="96">
        <v>1584</v>
      </c>
      <c r="H61" t="s" s="96">
        <v>406</v>
      </c>
      <c r="I61" s="79">
        <v>41</v>
      </c>
      <c r="J61" s="79">
        <v>1</v>
      </c>
      <c r="K61" s="16"/>
      <c r="L61" s="16"/>
      <c r="M61" s="16"/>
      <c r="N61" t="s" s="96">
        <v>72</v>
      </c>
      <c r="O61" s="79">
        <v>1</v>
      </c>
      <c r="P61" s="16"/>
      <c r="Q61" s="16"/>
      <c r="R61" s="16"/>
      <c r="S61" s="16"/>
      <c r="T61" s="79">
        <v>65</v>
      </c>
      <c r="U61" s="16"/>
      <c r="V61" s="16"/>
      <c r="W61" s="16"/>
      <c r="X61" s="16"/>
      <c r="Y61" s="16"/>
      <c r="Z61" s="16"/>
      <c r="AA61" t="s" s="96">
        <v>33</v>
      </c>
      <c r="AB61" s="75"/>
      <c r="AC61" s="29"/>
      <c r="AD61" t="s" s="159">
        <v>34</v>
      </c>
      <c r="AE61" s="30"/>
      <c r="AF61" s="112">
        <v>1</v>
      </c>
      <c r="AG61" t="s" s="159">
        <v>1587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9" customHeight="1">
      <c r="A62" t="s" s="83">
        <v>1496</v>
      </c>
      <c r="B62" s="112">
        <v>1921</v>
      </c>
      <c r="C62" s="30"/>
      <c r="D62" t="s" s="83">
        <v>1497</v>
      </c>
      <c r="E62" s="30"/>
      <c r="F62" s="74"/>
      <c r="G62" s="16"/>
      <c r="H62" s="79">
        <v>2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75"/>
      <c r="AC62" s="29"/>
      <c r="AD62" s="122"/>
      <c r="AE62" s="30"/>
      <c r="AF62" s="30"/>
      <c r="AG62" s="122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9" customHeight="1">
      <c r="A63" t="s" s="83">
        <v>1496</v>
      </c>
      <c r="B63" s="112">
        <v>1921</v>
      </c>
      <c r="C63" s="30"/>
      <c r="D63" t="s" s="83">
        <v>1497</v>
      </c>
      <c r="E63" s="30"/>
      <c r="F63" s="74"/>
      <c r="G63" t="s" s="96">
        <v>1</v>
      </c>
      <c r="H63" t="s" s="96">
        <v>0</v>
      </c>
      <c r="I63" s="16"/>
      <c r="J63" t="s" s="96">
        <v>3</v>
      </c>
      <c r="K63" s="16"/>
      <c r="L63" s="16"/>
      <c r="M63" s="16"/>
      <c r="N63" t="s" s="96">
        <v>2</v>
      </c>
      <c r="O63" s="16"/>
      <c r="P63" s="16"/>
      <c r="Q63" s="16"/>
      <c r="R63" s="16"/>
      <c r="S63" s="16"/>
      <c r="T63" t="s" s="96">
        <v>5</v>
      </c>
      <c r="U63" s="16"/>
      <c r="V63" s="16"/>
      <c r="W63" s="16"/>
      <c r="X63" s="16"/>
      <c r="Y63" s="16"/>
      <c r="Z63" s="16"/>
      <c r="AA63" t="s" s="96">
        <v>7</v>
      </c>
      <c r="AB63" s="75"/>
      <c r="AC63" s="29"/>
      <c r="AD63" t="s" s="159">
        <v>8</v>
      </c>
      <c r="AE63" s="30"/>
      <c r="AF63" s="30"/>
      <c r="AG63" t="s" s="159">
        <v>6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</row>
    <row r="64" ht="19" customHeight="1">
      <c r="A64" t="s" s="83">
        <v>1496</v>
      </c>
      <c r="B64" s="112">
        <v>1921</v>
      </c>
      <c r="C64" s="112">
        <v>12</v>
      </c>
      <c r="D64" t="s" s="83">
        <v>1497</v>
      </c>
      <c r="E64" s="30"/>
      <c r="F64" s="156">
        <v>13</v>
      </c>
      <c r="G64" t="s" s="96">
        <v>1588</v>
      </c>
      <c r="H64" t="s" s="96">
        <v>192</v>
      </c>
      <c r="I64" s="79">
        <v>42</v>
      </c>
      <c r="J64" s="79">
        <v>1</v>
      </c>
      <c r="K64" s="16"/>
      <c r="L64" s="16"/>
      <c r="M64" s="16"/>
      <c r="N64" s="79">
        <v>1</v>
      </c>
      <c r="O64" s="16"/>
      <c r="P64" s="16"/>
      <c r="Q64" s="16"/>
      <c r="R64" s="16"/>
      <c r="S64" s="16"/>
      <c r="T64" s="79">
        <v>58</v>
      </c>
      <c r="U64" s="16"/>
      <c r="V64" s="16"/>
      <c r="W64" s="16"/>
      <c r="X64" s="16"/>
      <c r="Y64" s="16"/>
      <c r="Z64" s="16"/>
      <c r="AA64" t="s" s="96">
        <v>34</v>
      </c>
      <c r="AB64" s="75"/>
      <c r="AC64" s="29"/>
      <c r="AD64" t="s" s="159">
        <v>34</v>
      </c>
      <c r="AE64" s="30"/>
      <c r="AF64" s="30"/>
      <c r="AG64" t="s" s="159">
        <v>1015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</row>
    <row r="65" ht="19" customHeight="1">
      <c r="A65" t="s" s="83">
        <v>1496</v>
      </c>
      <c r="B65" s="112">
        <v>1921</v>
      </c>
      <c r="C65" s="112">
        <v>12</v>
      </c>
      <c r="D65" t="s" s="83">
        <v>1497</v>
      </c>
      <c r="E65" s="30"/>
      <c r="F65" s="156">
        <v>13</v>
      </c>
      <c r="G65" t="s" s="96">
        <v>1588</v>
      </c>
      <c r="H65" t="s" s="96">
        <v>1565</v>
      </c>
      <c r="I65" s="79">
        <v>43</v>
      </c>
      <c r="J65" s="79">
        <v>1</v>
      </c>
      <c r="K65" s="16"/>
      <c r="L65" s="16"/>
      <c r="M65" s="16"/>
      <c r="N65" t="s" s="96">
        <v>78</v>
      </c>
      <c r="O65" s="16"/>
      <c r="P65" s="79">
        <v>1</v>
      </c>
      <c r="Q65" s="16"/>
      <c r="R65" s="16"/>
      <c r="S65" s="16"/>
      <c r="T65" s="79">
        <v>29</v>
      </c>
      <c r="U65" s="16"/>
      <c r="V65" s="16"/>
      <c r="W65" s="16"/>
      <c r="X65" s="16"/>
      <c r="Y65" s="16"/>
      <c r="Z65" s="16"/>
      <c r="AA65" t="s" s="96">
        <v>33</v>
      </c>
      <c r="AB65" s="75"/>
      <c r="AC65" s="29"/>
      <c r="AD65" t="s" s="159">
        <v>34</v>
      </c>
      <c r="AE65" s="30"/>
      <c r="AF65" s="30"/>
      <c r="AG65" t="s" s="159">
        <v>42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</row>
    <row r="66" ht="19" customHeight="1">
      <c r="A66" t="s" s="83">
        <v>1496</v>
      </c>
      <c r="B66" s="112">
        <v>1921</v>
      </c>
      <c r="C66" s="112">
        <v>12</v>
      </c>
      <c r="D66" t="s" s="83">
        <v>1497</v>
      </c>
      <c r="E66" s="30"/>
      <c r="F66" s="156">
        <v>13</v>
      </c>
      <c r="G66" t="s" s="96">
        <v>1589</v>
      </c>
      <c r="H66" t="s" s="96">
        <v>95</v>
      </c>
      <c r="I66" s="79">
        <v>44</v>
      </c>
      <c r="J66" s="79">
        <v>1</v>
      </c>
      <c r="K66" s="16"/>
      <c r="L66" s="16"/>
      <c r="M66" s="16"/>
      <c r="N66" t="s" s="96">
        <v>11</v>
      </c>
      <c r="O66" s="16"/>
      <c r="P66" s="16"/>
      <c r="Q66" s="16"/>
      <c r="R66" s="16"/>
      <c r="S66" s="79">
        <v>1</v>
      </c>
      <c r="T66" s="79">
        <v>36</v>
      </c>
      <c r="U66" s="16"/>
      <c r="V66" s="16"/>
      <c r="W66" s="16"/>
      <c r="X66" s="16"/>
      <c r="Y66" s="16"/>
      <c r="Z66" s="16"/>
      <c r="AA66" t="s" s="96">
        <v>105</v>
      </c>
      <c r="AB66" s="75"/>
      <c r="AC66" s="114">
        <v>1</v>
      </c>
      <c r="AD66" t="s" s="159">
        <v>15</v>
      </c>
      <c r="AE66" s="30"/>
      <c r="AF66" s="30"/>
      <c r="AG66" t="s" s="159">
        <v>54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74"/>
      <c r="BA66" s="16"/>
      <c r="BB66" s="16"/>
      <c r="BC66" s="16"/>
    </row>
    <row r="67" ht="19" customHeight="1">
      <c r="A67" t="s" s="83">
        <v>1496</v>
      </c>
      <c r="B67" s="112">
        <v>1921</v>
      </c>
      <c r="C67" s="30"/>
      <c r="D67" t="s" s="83">
        <v>1497</v>
      </c>
      <c r="E67" s="30"/>
      <c r="F67" s="74"/>
      <c r="G67" s="16"/>
      <c r="H67" s="79">
        <v>3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75"/>
      <c r="AC67" s="29"/>
      <c r="AD67" s="122"/>
      <c r="AE67" s="30"/>
      <c r="AF67" s="30"/>
      <c r="AG67" s="122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</row>
    <row r="68" ht="19" customHeight="1">
      <c r="A68" t="s" s="83">
        <v>1496</v>
      </c>
      <c r="B68" s="112">
        <v>1921</v>
      </c>
      <c r="C68" s="30"/>
      <c r="D68" t="s" s="83">
        <v>1497</v>
      </c>
      <c r="E68" s="30"/>
      <c r="F68" s="74"/>
      <c r="G68" t="s" s="96">
        <v>1</v>
      </c>
      <c r="H68" t="s" s="96">
        <v>0</v>
      </c>
      <c r="I68" s="16"/>
      <c r="J68" t="s" s="96">
        <v>3</v>
      </c>
      <c r="K68" s="16"/>
      <c r="L68" s="16"/>
      <c r="M68" s="16"/>
      <c r="N68" t="s" s="96">
        <v>2</v>
      </c>
      <c r="O68" s="16"/>
      <c r="P68" s="16"/>
      <c r="Q68" s="16"/>
      <c r="R68" s="16"/>
      <c r="S68" s="16"/>
      <c r="T68" t="s" s="96">
        <v>5</v>
      </c>
      <c r="U68" s="16"/>
      <c r="V68" s="16"/>
      <c r="W68" s="16"/>
      <c r="X68" s="16"/>
      <c r="Y68" s="16"/>
      <c r="Z68" s="16"/>
      <c r="AA68" t="s" s="96">
        <v>7</v>
      </c>
      <c r="AB68" s="75"/>
      <c r="AC68" s="29"/>
      <c r="AD68" t="s" s="159">
        <v>8</v>
      </c>
      <c r="AE68" s="30"/>
      <c r="AF68" s="30"/>
      <c r="AG68" t="s" s="159">
        <v>6</v>
      </c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74"/>
      <c r="BA68" s="16"/>
      <c r="BB68" s="16"/>
      <c r="BC68" s="16"/>
    </row>
    <row r="69" ht="19" customHeight="1">
      <c r="A69" t="s" s="83">
        <v>1496</v>
      </c>
      <c r="B69" s="112">
        <v>1921</v>
      </c>
      <c r="C69" s="112">
        <v>13</v>
      </c>
      <c r="D69" t="s" s="83">
        <v>1497</v>
      </c>
      <c r="E69" s="30"/>
      <c r="F69" s="156">
        <v>15</v>
      </c>
      <c r="G69" t="s" s="96">
        <v>1181</v>
      </c>
      <c r="H69" t="s" s="96">
        <v>1590</v>
      </c>
      <c r="I69" s="79">
        <v>45</v>
      </c>
      <c r="J69" t="s" s="96">
        <v>37</v>
      </c>
      <c r="K69" s="79">
        <v>1</v>
      </c>
      <c r="L69" s="16"/>
      <c r="M69" s="16"/>
      <c r="N69" t="s" s="96">
        <v>36</v>
      </c>
      <c r="O69" s="16"/>
      <c r="P69" s="16"/>
      <c r="Q69" s="79">
        <v>1</v>
      </c>
      <c r="R69" s="16"/>
      <c r="S69" s="16"/>
      <c r="T69" s="79">
        <v>19</v>
      </c>
      <c r="U69" s="16"/>
      <c r="V69" s="16"/>
      <c r="W69" s="16"/>
      <c r="X69" s="16"/>
      <c r="Y69" s="16"/>
      <c r="Z69" s="16"/>
      <c r="AA69" t="s" s="96">
        <v>1591</v>
      </c>
      <c r="AB69" t="s" s="158">
        <v>1592</v>
      </c>
      <c r="AC69" s="114">
        <v>1</v>
      </c>
      <c r="AD69" s="122"/>
      <c r="AE69" s="30"/>
      <c r="AF69" s="112">
        <v>1</v>
      </c>
      <c r="AG69" t="s" s="159">
        <v>13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74"/>
      <c r="BA69" s="16"/>
      <c r="BB69" s="16"/>
      <c r="BC69" s="16"/>
    </row>
    <row r="70" ht="19" customHeight="1">
      <c r="A70" t="s" s="83">
        <v>1496</v>
      </c>
      <c r="B70" s="112">
        <v>1921</v>
      </c>
      <c r="C70" s="112">
        <v>13</v>
      </c>
      <c r="D70" t="s" s="83">
        <v>1497</v>
      </c>
      <c r="E70" s="30"/>
      <c r="F70" s="156">
        <v>15</v>
      </c>
      <c r="G70" t="s" s="96">
        <v>1181</v>
      </c>
      <c r="H70" t="s" s="96">
        <v>1593</v>
      </c>
      <c r="I70" s="79">
        <v>46</v>
      </c>
      <c r="J70" s="79">
        <v>1</v>
      </c>
      <c r="K70" s="16"/>
      <c r="L70" s="16"/>
      <c r="M70" s="16"/>
      <c r="N70" t="s" s="96">
        <v>78</v>
      </c>
      <c r="O70" s="16"/>
      <c r="P70" s="79">
        <v>1</v>
      </c>
      <c r="Q70" s="16"/>
      <c r="R70" s="16"/>
      <c r="S70" s="16"/>
      <c r="T70" s="79">
        <v>25</v>
      </c>
      <c r="U70" s="16"/>
      <c r="V70" s="16"/>
      <c r="W70" s="16"/>
      <c r="X70" s="16"/>
      <c r="Y70" s="16"/>
      <c r="Z70" s="16"/>
      <c r="AA70" t="s" s="96">
        <v>33</v>
      </c>
      <c r="AB70" t="s" s="158">
        <v>34</v>
      </c>
      <c r="AC70" s="29"/>
      <c r="AD70" s="122"/>
      <c r="AE70" s="30"/>
      <c r="AF70" s="112">
        <v>1</v>
      </c>
      <c r="AG70" t="s" s="159">
        <v>13</v>
      </c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74"/>
      <c r="BA70" s="16"/>
      <c r="BB70" s="16"/>
      <c r="BC70" s="16"/>
    </row>
    <row r="71" ht="19" customHeight="1">
      <c r="A71" t="s" s="83">
        <v>1496</v>
      </c>
      <c r="B71" s="112">
        <v>1921</v>
      </c>
      <c r="C71" s="112">
        <v>13</v>
      </c>
      <c r="D71" t="s" s="83">
        <v>1497</v>
      </c>
      <c r="E71" s="30"/>
      <c r="F71" s="156">
        <v>15</v>
      </c>
      <c r="G71" t="s" s="96">
        <v>1181</v>
      </c>
      <c r="H71" t="s" s="96">
        <v>1594</v>
      </c>
      <c r="I71" s="79">
        <v>47</v>
      </c>
      <c r="J71" s="79">
        <v>1</v>
      </c>
      <c r="K71" s="16"/>
      <c r="L71" s="16"/>
      <c r="M71" s="16"/>
      <c r="N71" t="s" s="96">
        <v>78</v>
      </c>
      <c r="O71" s="16"/>
      <c r="P71" s="79">
        <v>1</v>
      </c>
      <c r="Q71" s="16"/>
      <c r="R71" s="16"/>
      <c r="S71" s="16"/>
      <c r="T71" s="79">
        <v>22</v>
      </c>
      <c r="U71" s="16"/>
      <c r="V71" s="16"/>
      <c r="W71" s="16"/>
      <c r="X71" s="16"/>
      <c r="Y71" s="16"/>
      <c r="Z71" s="16"/>
      <c r="AA71" t="s" s="96">
        <v>1595</v>
      </c>
      <c r="AB71" t="s" s="158">
        <v>1596</v>
      </c>
      <c r="AC71" s="114">
        <v>1</v>
      </c>
      <c r="AD71" s="122"/>
      <c r="AE71" s="30"/>
      <c r="AF71" s="112">
        <v>1</v>
      </c>
      <c r="AG71" t="s" s="159">
        <v>13</v>
      </c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74"/>
      <c r="BA71" s="16"/>
      <c r="BB71" s="16"/>
      <c r="BC71" s="16"/>
    </row>
    <row r="72" ht="19" customHeight="1">
      <c r="A72" t="s" s="83">
        <v>1496</v>
      </c>
      <c r="B72" s="112">
        <v>1921</v>
      </c>
      <c r="C72" s="112">
        <v>13</v>
      </c>
      <c r="D72" t="s" s="83">
        <v>1497</v>
      </c>
      <c r="E72" s="30"/>
      <c r="F72" s="156">
        <v>15</v>
      </c>
      <c r="G72" t="s" s="96">
        <v>1597</v>
      </c>
      <c r="H72" t="s" s="96">
        <v>1598</v>
      </c>
      <c r="I72" s="79">
        <v>48</v>
      </c>
      <c r="J72" s="79">
        <v>1</v>
      </c>
      <c r="K72" s="16"/>
      <c r="L72" s="16"/>
      <c r="M72" s="16"/>
      <c r="N72" t="s" s="96">
        <v>11</v>
      </c>
      <c r="O72" s="16"/>
      <c r="P72" s="16"/>
      <c r="Q72" s="16"/>
      <c r="R72" s="16"/>
      <c r="S72" s="79">
        <v>1</v>
      </c>
      <c r="T72" s="79">
        <v>28</v>
      </c>
      <c r="U72" s="16"/>
      <c r="V72" s="16"/>
      <c r="W72" s="16"/>
      <c r="X72" s="16"/>
      <c r="Y72" s="16"/>
      <c r="Z72" s="16"/>
      <c r="AA72" t="s" s="96">
        <v>45</v>
      </c>
      <c r="AB72" s="75"/>
      <c r="AC72" s="114">
        <v>1</v>
      </c>
      <c r="AD72" t="s" s="159">
        <v>15</v>
      </c>
      <c r="AE72" s="30"/>
      <c r="AF72" s="112">
        <v>1</v>
      </c>
      <c r="AG72" t="s" s="159">
        <v>138</v>
      </c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74"/>
      <c r="BA72" s="16"/>
      <c r="BB72" s="16"/>
      <c r="BC72" s="16"/>
    </row>
    <row r="73" ht="19" customHeight="1">
      <c r="A73" t="s" s="83">
        <v>1496</v>
      </c>
      <c r="B73" s="112">
        <v>1921</v>
      </c>
      <c r="C73" s="112">
        <v>13</v>
      </c>
      <c r="D73" t="s" s="83">
        <v>1497</v>
      </c>
      <c r="E73" s="30"/>
      <c r="F73" s="156">
        <v>15</v>
      </c>
      <c r="G73" t="s" s="96">
        <v>1599</v>
      </c>
      <c r="H73" t="s" s="96">
        <v>1600</v>
      </c>
      <c r="I73" s="79">
        <v>49</v>
      </c>
      <c r="J73" s="79">
        <v>1</v>
      </c>
      <c r="K73" s="16"/>
      <c r="L73" s="16"/>
      <c r="M73" s="16"/>
      <c r="N73" t="s" s="96">
        <v>11</v>
      </c>
      <c r="O73" s="16"/>
      <c r="P73" s="16"/>
      <c r="Q73" s="16"/>
      <c r="R73" s="16"/>
      <c r="S73" s="79">
        <v>1</v>
      </c>
      <c r="T73" s="79">
        <v>18</v>
      </c>
      <c r="U73" s="16"/>
      <c r="V73" s="16"/>
      <c r="W73" s="16"/>
      <c r="X73" s="16"/>
      <c r="Y73" s="16"/>
      <c r="Z73" s="16"/>
      <c r="AA73" t="s" s="96">
        <v>101</v>
      </c>
      <c r="AB73" s="75"/>
      <c r="AC73" s="114">
        <v>1</v>
      </c>
      <c r="AD73" t="s" s="159">
        <v>15</v>
      </c>
      <c r="AE73" s="30"/>
      <c r="AF73" s="112">
        <v>1</v>
      </c>
      <c r="AG73" t="s" s="159">
        <v>54</v>
      </c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74"/>
      <c r="BA73" s="16"/>
      <c r="BB73" s="16"/>
      <c r="BC73" s="16"/>
    </row>
    <row r="74" ht="19" customHeight="1">
      <c r="A74" t="s" s="83">
        <v>1496</v>
      </c>
      <c r="B74" s="112">
        <v>1921</v>
      </c>
      <c r="C74" s="30"/>
      <c r="D74" t="s" s="83">
        <v>1497</v>
      </c>
      <c r="E74" s="30"/>
      <c r="F74" s="74"/>
      <c r="G74" s="16"/>
      <c r="H74" s="79">
        <v>5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75"/>
      <c r="AC74" s="29"/>
      <c r="AD74" s="122"/>
      <c r="AE74" s="30"/>
      <c r="AF74" s="30"/>
      <c r="AG74" s="122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74"/>
      <c r="BA74" s="16"/>
      <c r="BB74" s="16"/>
      <c r="BC74" s="16"/>
    </row>
    <row r="75" ht="19" customHeight="1">
      <c r="A75" t="s" s="83">
        <v>1496</v>
      </c>
      <c r="B75" s="112">
        <v>1921</v>
      </c>
      <c r="C75" s="30"/>
      <c r="D75" t="s" s="83">
        <v>1497</v>
      </c>
      <c r="E75" s="30"/>
      <c r="F75" s="156">
        <v>19</v>
      </c>
      <c r="G75" t="s" s="96">
        <v>1</v>
      </c>
      <c r="H75" t="s" s="96">
        <v>0</v>
      </c>
      <c r="I75" s="16"/>
      <c r="J75" t="s" s="96">
        <v>3</v>
      </c>
      <c r="K75" s="16"/>
      <c r="L75" s="16"/>
      <c r="M75" s="16"/>
      <c r="N75" t="s" s="96">
        <v>2</v>
      </c>
      <c r="O75" s="16"/>
      <c r="P75" s="16"/>
      <c r="Q75" s="16"/>
      <c r="R75" s="16"/>
      <c r="S75" s="16"/>
      <c r="T75" t="s" s="96">
        <v>5</v>
      </c>
      <c r="U75" s="16"/>
      <c r="V75" s="16"/>
      <c r="W75" s="16"/>
      <c r="X75" s="16"/>
      <c r="Y75" s="16"/>
      <c r="Z75" s="16"/>
      <c r="AA75" t="s" s="96">
        <v>7</v>
      </c>
      <c r="AB75" s="75"/>
      <c r="AC75" s="29"/>
      <c r="AD75" t="s" s="159">
        <v>8</v>
      </c>
      <c r="AE75" s="30"/>
      <c r="AF75" s="30"/>
      <c r="AG75" t="s" s="159">
        <v>6</v>
      </c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74"/>
      <c r="BA75" s="16"/>
      <c r="BB75" s="16"/>
      <c r="BC75" s="16"/>
    </row>
    <row r="76" ht="19" customHeight="1">
      <c r="A76" t="s" s="83">
        <v>1496</v>
      </c>
      <c r="B76" s="112">
        <v>1921</v>
      </c>
      <c r="C76" s="112">
        <v>14</v>
      </c>
      <c r="D76" t="s" s="83">
        <v>1497</v>
      </c>
      <c r="E76" s="30"/>
      <c r="F76" s="156">
        <v>19</v>
      </c>
      <c r="G76" t="s" s="96">
        <v>1601</v>
      </c>
      <c r="H76" t="s" s="96">
        <v>809</v>
      </c>
      <c r="I76" s="79">
        <v>50</v>
      </c>
      <c r="J76" t="s" s="96">
        <v>37</v>
      </c>
      <c r="K76" s="79">
        <v>1</v>
      </c>
      <c r="L76" s="16"/>
      <c r="M76" s="16"/>
      <c r="N76" s="79">
        <v>1</v>
      </c>
      <c r="O76" s="16"/>
      <c r="P76" s="16"/>
      <c r="Q76" s="16"/>
      <c r="R76" s="16"/>
      <c r="S76" s="16"/>
      <c r="T76" s="79">
        <v>72</v>
      </c>
      <c r="U76" s="16"/>
      <c r="V76" s="16"/>
      <c r="W76" s="16"/>
      <c r="X76" s="16"/>
      <c r="Y76" s="16"/>
      <c r="Z76" s="16"/>
      <c r="AA76" t="s" s="96">
        <v>1602</v>
      </c>
      <c r="AB76" s="75"/>
      <c r="AC76" s="114">
        <v>1</v>
      </c>
      <c r="AD76" s="120">
        <v>1</v>
      </c>
      <c r="AE76" s="30"/>
      <c r="AF76" s="30"/>
      <c r="AG76" t="s" s="159">
        <v>790</v>
      </c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74"/>
      <c r="BA76" s="16"/>
      <c r="BB76" s="16"/>
      <c r="BC76" s="16"/>
    </row>
    <row r="77" ht="19" customHeight="1">
      <c r="A77" t="s" s="83">
        <v>1496</v>
      </c>
      <c r="B77" s="112">
        <v>1921</v>
      </c>
      <c r="C77" s="112">
        <v>14</v>
      </c>
      <c r="D77" t="s" s="83">
        <v>1497</v>
      </c>
      <c r="E77" s="30"/>
      <c r="F77" s="156">
        <v>19</v>
      </c>
      <c r="G77" t="s" s="96">
        <v>1601</v>
      </c>
      <c r="H77" t="s" s="96">
        <v>1603</v>
      </c>
      <c r="I77" s="79">
        <v>51</v>
      </c>
      <c r="J77" s="79">
        <v>1</v>
      </c>
      <c r="K77" s="16"/>
      <c r="L77" s="16"/>
      <c r="M77" s="16"/>
      <c r="N77" t="s" s="96">
        <v>72</v>
      </c>
      <c r="O77" s="79">
        <v>1</v>
      </c>
      <c r="P77" s="16"/>
      <c r="Q77" s="16"/>
      <c r="R77" s="16"/>
      <c r="S77" s="16"/>
      <c r="T77" s="79">
        <v>27</v>
      </c>
      <c r="U77" s="16"/>
      <c r="V77" s="16"/>
      <c r="W77" s="16"/>
      <c r="X77" s="16"/>
      <c r="Y77" s="16"/>
      <c r="Z77" s="16"/>
      <c r="AA77" t="s" s="96">
        <v>33</v>
      </c>
      <c r="AB77" s="75"/>
      <c r="AC77" s="29"/>
      <c r="AD77" t="s" s="159">
        <v>34</v>
      </c>
      <c r="AE77" s="30"/>
      <c r="AF77" s="30"/>
      <c r="AG77" t="s" s="159">
        <v>553</v>
      </c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74"/>
      <c r="BA77" s="16"/>
      <c r="BB77" s="16"/>
      <c r="BC77" s="16"/>
    </row>
    <row r="78" ht="19" customHeight="1">
      <c r="A78" t="s" s="83">
        <v>1496</v>
      </c>
      <c r="B78" s="112">
        <v>1921</v>
      </c>
      <c r="C78" s="112">
        <v>14</v>
      </c>
      <c r="D78" t="s" s="83">
        <v>1497</v>
      </c>
      <c r="E78" s="30"/>
      <c r="F78" s="156">
        <v>19</v>
      </c>
      <c r="G78" t="s" s="96">
        <v>1601</v>
      </c>
      <c r="H78" t="s" s="96">
        <v>1604</v>
      </c>
      <c r="I78" s="79">
        <v>52</v>
      </c>
      <c r="J78" t="s" s="96">
        <v>37</v>
      </c>
      <c r="K78" s="16"/>
      <c r="L78" s="16"/>
      <c r="M78" s="79">
        <v>1</v>
      </c>
      <c r="N78" t="s" s="96">
        <v>36</v>
      </c>
      <c r="O78" s="16"/>
      <c r="P78" s="16"/>
      <c r="Q78" s="79">
        <v>1</v>
      </c>
      <c r="R78" s="16"/>
      <c r="S78" s="16"/>
      <c r="T78" s="79">
        <v>1</v>
      </c>
      <c r="U78" s="16"/>
      <c r="V78" s="16"/>
      <c r="W78" s="16"/>
      <c r="X78" s="16"/>
      <c r="Y78" s="16"/>
      <c r="Z78" s="16"/>
      <c r="AA78" t="s" s="96">
        <v>34</v>
      </c>
      <c r="AB78" s="75"/>
      <c r="AC78" s="29"/>
      <c r="AD78" t="s" s="159">
        <v>34</v>
      </c>
      <c r="AE78" s="30"/>
      <c r="AF78" s="112">
        <v>1</v>
      </c>
      <c r="AG78" t="s" s="159">
        <v>54</v>
      </c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74"/>
      <c r="BA78" s="16"/>
      <c r="BB78" s="16"/>
      <c r="BC78" s="16"/>
    </row>
    <row r="79" ht="19" customHeight="1">
      <c r="A79" t="s" s="83">
        <v>1496</v>
      </c>
      <c r="B79" s="112">
        <v>1921</v>
      </c>
      <c r="C79" s="112">
        <v>14</v>
      </c>
      <c r="D79" t="s" s="83">
        <v>1497</v>
      </c>
      <c r="E79" s="30"/>
      <c r="F79" s="156">
        <v>19</v>
      </c>
      <c r="G79" t="s" s="96">
        <v>1605</v>
      </c>
      <c r="H79" t="s" s="96">
        <v>1606</v>
      </c>
      <c r="I79" s="79">
        <v>53</v>
      </c>
      <c r="J79" s="79">
        <v>1</v>
      </c>
      <c r="K79" s="16"/>
      <c r="L79" s="16"/>
      <c r="M79" s="16"/>
      <c r="N79" t="s" s="96">
        <v>41</v>
      </c>
      <c r="O79" s="16"/>
      <c r="P79" s="16"/>
      <c r="Q79" s="16"/>
      <c r="R79" s="79">
        <v>1</v>
      </c>
      <c r="S79" s="16"/>
      <c r="T79" s="79">
        <v>23</v>
      </c>
      <c r="U79" s="16"/>
      <c r="V79" s="16"/>
      <c r="W79" s="16"/>
      <c r="X79" s="16"/>
      <c r="Y79" s="16"/>
      <c r="Z79" s="16"/>
      <c r="AA79" t="s" s="96">
        <v>34</v>
      </c>
      <c r="AB79" s="75"/>
      <c r="AC79" s="29"/>
      <c r="AD79" t="s" s="159">
        <v>34</v>
      </c>
      <c r="AE79" s="30"/>
      <c r="AF79" s="30"/>
      <c r="AG79" t="s" s="159">
        <v>1607</v>
      </c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74"/>
      <c r="BA79" s="16"/>
      <c r="BB79" s="16"/>
      <c r="BC79" s="16"/>
    </row>
    <row r="80" ht="19" customHeight="1">
      <c r="A80" t="s" s="83">
        <v>1496</v>
      </c>
      <c r="B80" s="112">
        <v>1921</v>
      </c>
      <c r="C80" s="112">
        <v>14</v>
      </c>
      <c r="D80" t="s" s="83">
        <v>1497</v>
      </c>
      <c r="E80" s="30"/>
      <c r="F80" s="156">
        <v>19</v>
      </c>
      <c r="G80" t="s" s="96">
        <v>933</v>
      </c>
      <c r="H80" t="s" s="96">
        <v>166</v>
      </c>
      <c r="I80" s="79">
        <v>54</v>
      </c>
      <c r="J80" s="79">
        <v>1</v>
      </c>
      <c r="K80" s="16"/>
      <c r="L80" s="16"/>
      <c r="M80" s="16"/>
      <c r="N80" t="s" s="96">
        <v>11</v>
      </c>
      <c r="O80" s="16"/>
      <c r="P80" s="16"/>
      <c r="Q80" s="16"/>
      <c r="R80" s="16"/>
      <c r="S80" s="79">
        <v>1</v>
      </c>
      <c r="T80" s="79">
        <v>17</v>
      </c>
      <c r="U80" s="16"/>
      <c r="V80" s="16"/>
      <c r="W80" s="16"/>
      <c r="X80" s="16"/>
      <c r="Y80" s="16"/>
      <c r="Z80" s="16"/>
      <c r="AA80" t="s" s="96">
        <v>105</v>
      </c>
      <c r="AB80" s="75"/>
      <c r="AC80" s="114">
        <v>1</v>
      </c>
      <c r="AD80" t="s" s="159">
        <v>15</v>
      </c>
      <c r="AE80" s="30"/>
      <c r="AF80" s="30"/>
      <c r="AG80" t="s" s="159">
        <v>118</v>
      </c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74"/>
      <c r="BA80" s="16"/>
      <c r="BB80" s="16"/>
      <c r="BC80" s="16"/>
    </row>
    <row r="81" ht="19" customHeight="1">
      <c r="A81" t="s" s="83">
        <v>1496</v>
      </c>
      <c r="B81" s="112">
        <v>1921</v>
      </c>
      <c r="C81" s="30"/>
      <c r="D81" t="s" s="83">
        <v>1497</v>
      </c>
      <c r="E81" s="30"/>
      <c r="F81" s="74"/>
      <c r="G81" s="16"/>
      <c r="H81" s="79">
        <v>5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75"/>
      <c r="AC81" s="29"/>
      <c r="AD81" s="122"/>
      <c r="AE81" s="30"/>
      <c r="AF81" s="30"/>
      <c r="AG81" s="122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74"/>
      <c r="BA81" s="16"/>
      <c r="BB81" s="16"/>
      <c r="BC81" s="16"/>
    </row>
    <row r="82" ht="19" customHeight="1">
      <c r="A82" t="s" s="83">
        <v>1496</v>
      </c>
      <c r="B82" s="112">
        <v>1921</v>
      </c>
      <c r="C82" s="30"/>
      <c r="D82" t="s" s="83">
        <v>1497</v>
      </c>
      <c r="E82" s="30"/>
      <c r="F82" s="74"/>
      <c r="G82" t="s" s="96">
        <v>1</v>
      </c>
      <c r="H82" t="s" s="96">
        <v>0</v>
      </c>
      <c r="I82" s="16"/>
      <c r="J82" t="s" s="96">
        <v>3</v>
      </c>
      <c r="K82" s="16"/>
      <c r="L82" s="16"/>
      <c r="M82" s="16"/>
      <c r="N82" t="s" s="96">
        <v>2</v>
      </c>
      <c r="O82" s="16"/>
      <c r="P82" s="16"/>
      <c r="Q82" s="16"/>
      <c r="R82" s="16"/>
      <c r="S82" s="16"/>
      <c r="T82" t="s" s="96">
        <v>5</v>
      </c>
      <c r="U82" s="16"/>
      <c r="V82" s="16"/>
      <c r="W82" s="16"/>
      <c r="X82" s="16"/>
      <c r="Y82" s="16"/>
      <c r="Z82" s="16"/>
      <c r="AA82" t="s" s="96">
        <v>7</v>
      </c>
      <c r="AB82" s="75"/>
      <c r="AC82" s="29"/>
      <c r="AD82" t="s" s="159">
        <v>8</v>
      </c>
      <c r="AE82" s="30"/>
      <c r="AF82" s="30"/>
      <c r="AG82" t="s" s="159">
        <v>6</v>
      </c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74"/>
      <c r="BA82" s="16"/>
      <c r="BB82" s="16"/>
      <c r="BC82" s="16"/>
    </row>
    <row r="83" ht="19" customHeight="1">
      <c r="A83" t="s" s="83">
        <v>1496</v>
      </c>
      <c r="B83" s="112">
        <v>1921</v>
      </c>
      <c r="C83" s="112">
        <v>15</v>
      </c>
      <c r="D83" t="s" s="83">
        <v>1497</v>
      </c>
      <c r="E83" s="30"/>
      <c r="F83" s="156">
        <v>21</v>
      </c>
      <c r="G83" t="s" s="96">
        <v>1608</v>
      </c>
      <c r="H83" t="s" s="96">
        <v>1609</v>
      </c>
      <c r="I83" s="79">
        <v>55</v>
      </c>
      <c r="J83" t="s" s="96">
        <v>37</v>
      </c>
      <c r="K83" s="79">
        <v>1</v>
      </c>
      <c r="L83" s="16"/>
      <c r="M83" s="16"/>
      <c r="N83" s="79">
        <v>1</v>
      </c>
      <c r="O83" s="16"/>
      <c r="P83" s="16"/>
      <c r="Q83" s="16"/>
      <c r="R83" s="16"/>
      <c r="S83" s="16"/>
      <c r="T83" s="79">
        <v>46</v>
      </c>
      <c r="U83" s="16"/>
      <c r="V83" s="16"/>
      <c r="W83" s="16"/>
      <c r="X83" s="16"/>
      <c r="Y83" s="16"/>
      <c r="Z83" s="16"/>
      <c r="AA83" t="s" s="96">
        <v>257</v>
      </c>
      <c r="AB83" t="s" s="158">
        <v>1610</v>
      </c>
      <c r="AC83" s="114">
        <v>1</v>
      </c>
      <c r="AD83" s="122"/>
      <c r="AE83" s="30"/>
      <c r="AF83" s="30"/>
      <c r="AG83" t="s" s="159">
        <v>1220</v>
      </c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74"/>
      <c r="BA83" s="16"/>
      <c r="BB83" s="16"/>
      <c r="BC83" s="16"/>
    </row>
    <row r="84" ht="19" customHeight="1">
      <c r="A84" t="s" s="83">
        <v>1496</v>
      </c>
      <c r="B84" s="112">
        <v>1921</v>
      </c>
      <c r="C84" s="112">
        <v>15</v>
      </c>
      <c r="D84" t="s" s="83">
        <v>1497</v>
      </c>
      <c r="E84" s="30"/>
      <c r="F84" s="156">
        <v>21</v>
      </c>
      <c r="G84" t="s" s="96">
        <v>1608</v>
      </c>
      <c r="H84" t="s" s="96">
        <v>1611</v>
      </c>
      <c r="I84" s="79">
        <v>56</v>
      </c>
      <c r="J84" s="79">
        <v>1</v>
      </c>
      <c r="K84" s="16"/>
      <c r="L84" s="16"/>
      <c r="M84" s="16"/>
      <c r="N84" t="s" s="96">
        <v>72</v>
      </c>
      <c r="O84" s="79">
        <v>1</v>
      </c>
      <c r="P84" s="16"/>
      <c r="Q84" s="16"/>
      <c r="R84" s="16"/>
      <c r="S84" s="16"/>
      <c r="T84" s="79">
        <v>46</v>
      </c>
      <c r="U84" s="16"/>
      <c r="V84" s="16"/>
      <c r="W84" s="16"/>
      <c r="X84" s="16"/>
      <c r="Y84" s="16"/>
      <c r="Z84" s="16"/>
      <c r="AA84" t="s" s="96">
        <v>34</v>
      </c>
      <c r="AB84" s="75"/>
      <c r="AC84" s="29"/>
      <c r="AD84" t="s" s="159">
        <v>34</v>
      </c>
      <c r="AE84" s="30"/>
      <c r="AF84" s="30"/>
      <c r="AG84" t="s" s="159">
        <v>1612</v>
      </c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74"/>
      <c r="BA84" s="16"/>
      <c r="BB84" s="16"/>
      <c r="BC84" s="16"/>
    </row>
    <row r="85" ht="19" customHeight="1">
      <c r="A85" t="s" s="83">
        <v>1496</v>
      </c>
      <c r="B85" s="112">
        <v>1921</v>
      </c>
      <c r="C85" s="112">
        <v>15</v>
      </c>
      <c r="D85" t="s" s="83">
        <v>1497</v>
      </c>
      <c r="E85" s="30"/>
      <c r="F85" s="156">
        <v>21</v>
      </c>
      <c r="G85" t="s" s="96">
        <v>1608</v>
      </c>
      <c r="H85" t="s" s="96">
        <v>1613</v>
      </c>
      <c r="I85" s="79">
        <v>57</v>
      </c>
      <c r="J85" t="s" s="96">
        <v>12</v>
      </c>
      <c r="K85" s="16"/>
      <c r="L85" s="79">
        <v>1</v>
      </c>
      <c r="M85" s="16"/>
      <c r="N85" t="s" s="96">
        <v>78</v>
      </c>
      <c r="O85" s="16"/>
      <c r="P85" s="79">
        <v>1</v>
      </c>
      <c r="Q85" s="16"/>
      <c r="R85" s="16"/>
      <c r="S85" s="16"/>
      <c r="T85" s="79">
        <v>15</v>
      </c>
      <c r="U85" s="16"/>
      <c r="V85" s="16"/>
      <c r="W85" s="16"/>
      <c r="X85" s="16"/>
      <c r="Y85" s="16"/>
      <c r="Z85" s="16"/>
      <c r="AA85" t="s" s="96">
        <v>34</v>
      </c>
      <c r="AB85" s="75"/>
      <c r="AC85" s="29"/>
      <c r="AD85" t="s" s="159">
        <v>34</v>
      </c>
      <c r="AE85" s="30"/>
      <c r="AF85" s="30"/>
      <c r="AG85" t="s" s="159">
        <v>1614</v>
      </c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74"/>
      <c r="BA85" s="16"/>
      <c r="BB85" s="16"/>
      <c r="BC85" s="16"/>
    </row>
    <row r="86" ht="19" customHeight="1">
      <c r="A86" t="s" s="83">
        <v>1496</v>
      </c>
      <c r="B86" s="112">
        <v>1921</v>
      </c>
      <c r="C86" s="30"/>
      <c r="D86" t="s" s="83">
        <v>1497</v>
      </c>
      <c r="E86" s="30"/>
      <c r="F86" s="74"/>
      <c r="G86" s="16"/>
      <c r="H86" s="79">
        <v>3</v>
      </c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75"/>
      <c r="AC86" s="29"/>
      <c r="AD86" s="122"/>
      <c r="AE86" s="30"/>
      <c r="AF86" s="30"/>
      <c r="AG86" s="122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74"/>
      <c r="BA86" s="16"/>
      <c r="BB86" s="16"/>
      <c r="BC86" s="16"/>
    </row>
    <row r="87" ht="19" customHeight="1">
      <c r="A87" t="s" s="83">
        <v>1496</v>
      </c>
      <c r="B87" s="112">
        <v>1921</v>
      </c>
      <c r="C87" s="30"/>
      <c r="D87" t="s" s="83">
        <v>1497</v>
      </c>
      <c r="E87" s="30"/>
      <c r="F87" s="192"/>
      <c r="G87" t="s" s="2">
        <v>1</v>
      </c>
      <c r="H87" t="s" s="2">
        <v>0</v>
      </c>
      <c r="I87" s="3"/>
      <c r="J87" t="s" s="2">
        <v>3</v>
      </c>
      <c r="K87" s="3"/>
      <c r="L87" s="3"/>
      <c r="M87" s="3"/>
      <c r="N87" t="s" s="2">
        <v>2</v>
      </c>
      <c r="O87" s="3"/>
      <c r="P87" s="3"/>
      <c r="Q87" s="3"/>
      <c r="R87" s="3"/>
      <c r="S87" s="3"/>
      <c r="T87" t="s" s="2">
        <v>5</v>
      </c>
      <c r="U87" s="3"/>
      <c r="V87" s="3"/>
      <c r="W87" s="3"/>
      <c r="X87" s="3"/>
      <c r="Y87" s="3"/>
      <c r="Z87" s="3"/>
      <c r="AA87" t="s" s="2">
        <v>7</v>
      </c>
      <c r="AB87" s="193"/>
      <c r="AC87" s="29"/>
      <c r="AD87" t="s" s="330">
        <v>8</v>
      </c>
      <c r="AE87" s="30"/>
      <c r="AF87" s="30"/>
      <c r="AG87" t="s" s="330">
        <v>6</v>
      </c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192"/>
      <c r="BA87" s="3"/>
      <c r="BB87" s="3"/>
      <c r="BC87" s="3"/>
    </row>
    <row r="88" ht="19" customHeight="1">
      <c r="A88" t="s" s="83">
        <v>1496</v>
      </c>
      <c r="B88" s="112">
        <v>1921</v>
      </c>
      <c r="C88" s="331">
        <v>16</v>
      </c>
      <c r="D88" t="s" s="83">
        <v>1497</v>
      </c>
      <c r="E88" s="30"/>
      <c r="F88" s="313">
        <v>23</v>
      </c>
      <c r="G88" t="s" s="5">
        <v>1615</v>
      </c>
      <c r="H88" t="s" s="5">
        <v>366</v>
      </c>
      <c r="I88" s="6">
        <v>58</v>
      </c>
      <c r="J88" s="6">
        <v>1</v>
      </c>
      <c r="K88" s="13"/>
      <c r="L88" s="13"/>
      <c r="M88" s="13"/>
      <c r="N88" s="6">
        <v>1</v>
      </c>
      <c r="O88" s="13"/>
      <c r="P88" s="13"/>
      <c r="Q88" s="13"/>
      <c r="R88" s="13"/>
      <c r="S88" s="13"/>
      <c r="T88" s="6">
        <v>81</v>
      </c>
      <c r="U88" s="13"/>
      <c r="V88" s="13"/>
      <c r="W88" s="13"/>
      <c r="X88" t="s" s="5">
        <v>1616</v>
      </c>
      <c r="Y88" s="13"/>
      <c r="Z88" s="13"/>
      <c r="AA88" t="s" s="5">
        <v>34</v>
      </c>
      <c r="AB88" s="196"/>
      <c r="AC88" s="332"/>
      <c r="AD88" t="s" s="314">
        <v>34</v>
      </c>
      <c r="AE88" s="30"/>
      <c r="AF88" s="112">
        <v>1</v>
      </c>
      <c r="AG88" t="s" s="314">
        <v>54</v>
      </c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195"/>
      <c r="BA88" s="13"/>
      <c r="BB88" s="13"/>
      <c r="BC88" s="10"/>
    </row>
    <row r="89" ht="19" customHeight="1">
      <c r="A89" t="s" s="83">
        <v>1496</v>
      </c>
      <c r="B89" s="112">
        <v>1921</v>
      </c>
      <c r="C89" s="112">
        <v>16</v>
      </c>
      <c r="D89" t="s" s="83">
        <v>1497</v>
      </c>
      <c r="E89" s="30"/>
      <c r="F89" s="316">
        <v>23</v>
      </c>
      <c r="G89" t="s" s="285">
        <v>704</v>
      </c>
      <c r="H89" t="s" s="285">
        <v>321</v>
      </c>
      <c r="I89" s="264">
        <v>59</v>
      </c>
      <c r="J89" s="264">
        <v>1</v>
      </c>
      <c r="K89" s="14"/>
      <c r="L89" s="14"/>
      <c r="M89" s="14"/>
      <c r="N89" t="s" s="285">
        <v>11</v>
      </c>
      <c r="O89" s="14"/>
      <c r="P89" s="14"/>
      <c r="Q89" s="14"/>
      <c r="R89" s="14"/>
      <c r="S89" s="264">
        <v>1</v>
      </c>
      <c r="T89" s="264">
        <v>27</v>
      </c>
      <c r="U89" s="14"/>
      <c r="V89" s="14"/>
      <c r="W89" s="14"/>
      <c r="X89" s="14"/>
      <c r="Y89" s="14"/>
      <c r="Z89" s="14"/>
      <c r="AA89" t="s" s="285">
        <v>188</v>
      </c>
      <c r="AB89" s="201"/>
      <c r="AC89" s="114">
        <v>1</v>
      </c>
      <c r="AD89" t="s" s="317">
        <v>15</v>
      </c>
      <c r="AE89" s="30"/>
      <c r="AF89" s="30"/>
      <c r="AG89" t="s" s="317">
        <v>1617</v>
      </c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200"/>
      <c r="BA89" s="14"/>
      <c r="BB89" s="14"/>
      <c r="BC89" s="14"/>
    </row>
    <row r="90" ht="19" customHeight="1">
      <c r="A90" t="s" s="83">
        <v>1496</v>
      </c>
      <c r="B90" s="112">
        <v>1921</v>
      </c>
      <c r="C90" s="112">
        <v>16</v>
      </c>
      <c r="D90" t="s" s="83">
        <v>1497</v>
      </c>
      <c r="E90" s="30"/>
      <c r="F90" s="156">
        <v>23</v>
      </c>
      <c r="G90" t="s" s="96">
        <v>167</v>
      </c>
      <c r="H90" t="s" s="96">
        <v>1618</v>
      </c>
      <c r="I90" s="79">
        <v>60</v>
      </c>
      <c r="J90" s="79">
        <v>1</v>
      </c>
      <c r="K90" s="16"/>
      <c r="L90" s="16"/>
      <c r="M90" s="16"/>
      <c r="N90" t="s" s="96">
        <v>11</v>
      </c>
      <c r="O90" s="16"/>
      <c r="P90" s="16"/>
      <c r="Q90" s="16"/>
      <c r="R90" s="16"/>
      <c r="S90" s="79">
        <v>1</v>
      </c>
      <c r="T90" s="79">
        <v>24</v>
      </c>
      <c r="U90" s="16"/>
      <c r="V90" s="16"/>
      <c r="W90" s="16"/>
      <c r="X90" s="16"/>
      <c r="Y90" s="16"/>
      <c r="Z90" s="16"/>
      <c r="AA90" t="s" s="96">
        <v>188</v>
      </c>
      <c r="AB90" s="75"/>
      <c r="AC90" s="114">
        <v>1</v>
      </c>
      <c r="AD90" t="s" s="159">
        <v>15</v>
      </c>
      <c r="AE90" s="30"/>
      <c r="AF90" s="30"/>
      <c r="AG90" t="s" s="159">
        <v>868</v>
      </c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74"/>
      <c r="BA90" s="16"/>
      <c r="BB90" s="16"/>
      <c r="BC90" s="16"/>
    </row>
    <row r="91" ht="19" customHeight="1">
      <c r="A91" t="s" s="83">
        <v>1496</v>
      </c>
      <c r="B91" s="112">
        <v>1921</v>
      </c>
      <c r="C91" s="30"/>
      <c r="D91" t="s" s="83">
        <v>1497</v>
      </c>
      <c r="E91" s="30"/>
      <c r="F91" s="74"/>
      <c r="G91" s="16"/>
      <c r="H91" s="79">
        <v>3</v>
      </c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75"/>
      <c r="AC91" s="29"/>
      <c r="AD91" s="122"/>
      <c r="AE91" s="30"/>
      <c r="AF91" s="30"/>
      <c r="AG91" s="122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74"/>
      <c r="BA91" s="16"/>
      <c r="BB91" s="16"/>
      <c r="BC91" s="16"/>
    </row>
    <row r="92" ht="19" customHeight="1">
      <c r="A92" t="s" s="83">
        <v>1496</v>
      </c>
      <c r="B92" s="112">
        <v>1921</v>
      </c>
      <c r="C92" s="30"/>
      <c r="D92" t="s" s="83">
        <v>1497</v>
      </c>
      <c r="E92" s="30"/>
      <c r="F92" s="74"/>
      <c r="G92" t="s" s="96">
        <v>1</v>
      </c>
      <c r="H92" t="s" s="96">
        <v>0</v>
      </c>
      <c r="I92" s="16"/>
      <c r="J92" t="s" s="96">
        <v>3</v>
      </c>
      <c r="K92" s="16"/>
      <c r="L92" s="16"/>
      <c r="M92" s="16"/>
      <c r="N92" t="s" s="96">
        <v>2</v>
      </c>
      <c r="O92" s="16"/>
      <c r="P92" s="16"/>
      <c r="Q92" s="16"/>
      <c r="R92" s="16"/>
      <c r="S92" s="16"/>
      <c r="T92" t="s" s="96">
        <v>5</v>
      </c>
      <c r="U92" s="16"/>
      <c r="V92" s="16"/>
      <c r="W92" s="16"/>
      <c r="X92" t="s" s="96">
        <v>1619</v>
      </c>
      <c r="Y92" s="16"/>
      <c r="Z92" s="16"/>
      <c r="AA92" t="s" s="96">
        <v>7</v>
      </c>
      <c r="AB92" s="75"/>
      <c r="AC92" s="29"/>
      <c r="AD92" t="s" s="159">
        <v>8</v>
      </c>
      <c r="AE92" s="30"/>
      <c r="AF92" s="30"/>
      <c r="AG92" t="s" s="159">
        <v>6</v>
      </c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74"/>
      <c r="BA92" s="16"/>
      <c r="BB92" s="16"/>
      <c r="BC92" s="16"/>
    </row>
    <row r="93" ht="19" customHeight="1">
      <c r="A93" t="s" s="83">
        <v>1496</v>
      </c>
      <c r="B93" s="112">
        <v>1921</v>
      </c>
      <c r="C93" s="112">
        <v>17</v>
      </c>
      <c r="D93" t="s" s="83">
        <v>1497</v>
      </c>
      <c r="E93" s="30"/>
      <c r="F93" s="156">
        <v>33</v>
      </c>
      <c r="G93" t="s" s="96">
        <v>1620</v>
      </c>
      <c r="H93" t="s" s="96">
        <v>1621</v>
      </c>
      <c r="I93" s="79">
        <v>61</v>
      </c>
      <c r="J93" t="s" s="96">
        <v>37</v>
      </c>
      <c r="K93" s="79">
        <v>1</v>
      </c>
      <c r="L93" s="16"/>
      <c r="M93" s="16"/>
      <c r="N93" s="79">
        <v>1</v>
      </c>
      <c r="O93" s="16"/>
      <c r="P93" s="16"/>
      <c r="Q93" s="16"/>
      <c r="R93" s="16"/>
      <c r="S93" s="16"/>
      <c r="T93" s="79">
        <v>83</v>
      </c>
      <c r="U93" s="16"/>
      <c r="V93" s="16"/>
      <c r="W93" s="16"/>
      <c r="X93" s="16"/>
      <c r="Y93" s="16"/>
      <c r="Z93" s="16"/>
      <c r="AA93" t="s" s="96">
        <v>1622</v>
      </c>
      <c r="AB93" s="75"/>
      <c r="AC93" s="114">
        <v>1</v>
      </c>
      <c r="AD93" t="s" s="159">
        <v>34</v>
      </c>
      <c r="AE93" s="30"/>
      <c r="AF93" s="112">
        <v>1</v>
      </c>
      <c r="AG93" t="s" s="159">
        <v>13</v>
      </c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74"/>
      <c r="BA93" s="16"/>
      <c r="BB93" s="16"/>
      <c r="BC93" s="16"/>
    </row>
    <row r="94" ht="19" customHeight="1">
      <c r="A94" t="s" s="83">
        <v>1496</v>
      </c>
      <c r="B94" s="112">
        <v>1921</v>
      </c>
      <c r="C94" s="112">
        <v>17</v>
      </c>
      <c r="D94" t="s" s="83">
        <v>1497</v>
      </c>
      <c r="E94" s="30"/>
      <c r="F94" s="156">
        <v>33</v>
      </c>
      <c r="G94" t="s" s="96">
        <v>1620</v>
      </c>
      <c r="H94" t="s" s="96">
        <v>1623</v>
      </c>
      <c r="I94" s="79">
        <v>62</v>
      </c>
      <c r="J94" s="79">
        <v>1</v>
      </c>
      <c r="K94" s="16"/>
      <c r="L94" s="16"/>
      <c r="M94" s="16"/>
      <c r="N94" t="s" s="96">
        <v>78</v>
      </c>
      <c r="O94" s="16"/>
      <c r="P94" s="79">
        <v>1</v>
      </c>
      <c r="Q94" s="16"/>
      <c r="R94" s="16"/>
      <c r="S94" s="16"/>
      <c r="T94" s="79">
        <v>45</v>
      </c>
      <c r="U94" s="16"/>
      <c r="V94" s="16"/>
      <c r="W94" s="16"/>
      <c r="X94" s="16"/>
      <c r="Y94" s="16"/>
      <c r="Z94" s="16"/>
      <c r="AA94" t="s" s="96">
        <v>33</v>
      </c>
      <c r="AB94" s="75"/>
      <c r="AC94" s="29"/>
      <c r="AD94" t="s" s="159">
        <v>34</v>
      </c>
      <c r="AE94" s="30"/>
      <c r="AF94" s="112">
        <v>1</v>
      </c>
      <c r="AG94" t="s" s="159">
        <v>54</v>
      </c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74"/>
      <c r="BA94" s="16"/>
      <c r="BB94" s="16"/>
      <c r="BC94" s="16"/>
    </row>
    <row r="95" ht="19" customHeight="1">
      <c r="A95" t="s" s="83">
        <v>1496</v>
      </c>
      <c r="B95" s="112">
        <v>1921</v>
      </c>
      <c r="C95" s="112">
        <v>17</v>
      </c>
      <c r="D95" t="s" s="83">
        <v>1497</v>
      </c>
      <c r="E95" s="30"/>
      <c r="F95" s="156">
        <v>33</v>
      </c>
      <c r="G95" t="s" s="96">
        <v>1624</v>
      </c>
      <c r="H95" t="s" s="96">
        <v>469</v>
      </c>
      <c r="I95" s="79">
        <v>63</v>
      </c>
      <c r="J95" s="79">
        <v>1</v>
      </c>
      <c r="K95" s="16"/>
      <c r="L95" s="16"/>
      <c r="M95" s="16"/>
      <c r="N95" t="s" s="96">
        <v>11</v>
      </c>
      <c r="O95" s="16"/>
      <c r="P95" s="16"/>
      <c r="Q95" s="16"/>
      <c r="R95" s="16"/>
      <c r="S95" s="79">
        <v>1</v>
      </c>
      <c r="T95" s="79">
        <v>47</v>
      </c>
      <c r="U95" s="16"/>
      <c r="V95" s="16"/>
      <c r="W95" s="16"/>
      <c r="X95" s="16"/>
      <c r="Y95" s="16"/>
      <c r="Z95" s="16"/>
      <c r="AA95" t="s" s="96">
        <v>45</v>
      </c>
      <c r="AB95" s="75"/>
      <c r="AC95" s="114">
        <v>1</v>
      </c>
      <c r="AD95" t="s" s="159">
        <v>34</v>
      </c>
      <c r="AE95" s="30"/>
      <c r="AF95" s="30"/>
      <c r="AG95" t="s" s="159">
        <v>1625</v>
      </c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74"/>
      <c r="BA95" s="16"/>
      <c r="BB95" s="16"/>
      <c r="BC95" s="16"/>
    </row>
    <row r="96" ht="19" customHeight="1">
      <c r="A96" t="s" s="83">
        <v>1496</v>
      </c>
      <c r="B96" s="112">
        <v>1921</v>
      </c>
      <c r="C96" s="112">
        <v>17</v>
      </c>
      <c r="D96" t="s" s="83">
        <v>1497</v>
      </c>
      <c r="E96" s="30"/>
      <c r="F96" s="156">
        <v>33</v>
      </c>
      <c r="G96" t="s" s="96">
        <v>1626</v>
      </c>
      <c r="H96" t="s" s="96">
        <v>48</v>
      </c>
      <c r="I96" s="79">
        <v>64</v>
      </c>
      <c r="J96" s="79">
        <v>1</v>
      </c>
      <c r="K96" s="16"/>
      <c r="L96" s="16"/>
      <c r="M96" s="16"/>
      <c r="N96" t="s" s="96">
        <v>11</v>
      </c>
      <c r="O96" s="16"/>
      <c r="P96" s="16"/>
      <c r="Q96" s="16"/>
      <c r="R96" s="16"/>
      <c r="S96" s="79">
        <v>1</v>
      </c>
      <c r="T96" s="79">
        <v>42</v>
      </c>
      <c r="U96" s="16"/>
      <c r="V96" s="16"/>
      <c r="W96" s="16"/>
      <c r="X96" s="16"/>
      <c r="Y96" s="16"/>
      <c r="Z96" s="16"/>
      <c r="AA96" t="s" s="96">
        <v>1627</v>
      </c>
      <c r="AB96" s="75"/>
      <c r="AC96" s="114">
        <v>1</v>
      </c>
      <c r="AD96" t="s" s="159">
        <v>34</v>
      </c>
      <c r="AE96" s="30"/>
      <c r="AF96" s="30"/>
      <c r="AG96" t="s" s="159">
        <v>134</v>
      </c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74"/>
      <c r="BA96" s="16"/>
      <c r="BB96" s="16"/>
      <c r="BC96" s="16"/>
    </row>
    <row r="97" ht="19" customHeight="1">
      <c r="A97" t="s" s="83">
        <v>1496</v>
      </c>
      <c r="B97" s="112">
        <v>1921</v>
      </c>
      <c r="C97" s="112">
        <v>17</v>
      </c>
      <c r="D97" t="s" s="83">
        <v>1497</v>
      </c>
      <c r="E97" s="30"/>
      <c r="F97" s="156">
        <v>33</v>
      </c>
      <c r="G97" t="s" s="96">
        <v>1628</v>
      </c>
      <c r="H97" t="s" s="96">
        <v>109</v>
      </c>
      <c r="I97" s="79">
        <v>65</v>
      </c>
      <c r="J97" s="79">
        <v>1</v>
      </c>
      <c r="K97" s="16"/>
      <c r="L97" s="16"/>
      <c r="M97" s="16"/>
      <c r="N97" t="s" s="96">
        <v>11</v>
      </c>
      <c r="O97" s="16"/>
      <c r="P97" s="16"/>
      <c r="Q97" s="16"/>
      <c r="R97" s="16"/>
      <c r="S97" s="79">
        <v>1</v>
      </c>
      <c r="T97" s="79">
        <v>17</v>
      </c>
      <c r="U97" s="16"/>
      <c r="V97" s="16"/>
      <c r="W97" s="16"/>
      <c r="X97" s="16"/>
      <c r="Y97" s="16"/>
      <c r="Z97" s="16"/>
      <c r="AA97" t="s" s="96">
        <v>55</v>
      </c>
      <c r="AB97" s="75"/>
      <c r="AC97" s="114">
        <v>1</v>
      </c>
      <c r="AD97" t="s" s="159">
        <v>34</v>
      </c>
      <c r="AE97" s="30"/>
      <c r="AF97" s="30"/>
      <c r="AG97" t="s" s="159">
        <v>1408</v>
      </c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74"/>
      <c r="BA97" s="16"/>
      <c r="BB97" s="16"/>
      <c r="BC97" s="16"/>
    </row>
    <row r="98" ht="19" customHeight="1">
      <c r="A98" t="s" s="83">
        <v>1496</v>
      </c>
      <c r="B98" s="112">
        <v>1921</v>
      </c>
      <c r="C98" s="30"/>
      <c r="D98" t="s" s="83">
        <v>1497</v>
      </c>
      <c r="E98" s="30"/>
      <c r="F98" s="74"/>
      <c r="G98" s="16"/>
      <c r="H98" s="79">
        <v>5</v>
      </c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75"/>
      <c r="AC98" s="29"/>
      <c r="AD98" s="122"/>
      <c r="AE98" s="30"/>
      <c r="AF98" s="30"/>
      <c r="AG98" s="122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74"/>
      <c r="BA98" s="16"/>
      <c r="BB98" s="16"/>
      <c r="BC98" s="16"/>
    </row>
    <row r="99" ht="19" customHeight="1">
      <c r="A99" t="s" s="83">
        <v>1496</v>
      </c>
      <c r="B99" s="112">
        <v>1921</v>
      </c>
      <c r="C99" s="30"/>
      <c r="D99" t="s" s="83">
        <v>1497</v>
      </c>
      <c r="E99" s="30"/>
      <c r="F99" s="156">
        <v>25</v>
      </c>
      <c r="G99" t="s" s="96">
        <v>1</v>
      </c>
      <c r="H99" t="s" s="96">
        <v>0</v>
      </c>
      <c r="I99" s="16"/>
      <c r="J99" t="s" s="96">
        <v>3</v>
      </c>
      <c r="K99" s="16"/>
      <c r="L99" s="16"/>
      <c r="M99" s="16"/>
      <c r="N99" t="s" s="96">
        <v>2</v>
      </c>
      <c r="O99" s="16"/>
      <c r="P99" s="16"/>
      <c r="Q99" s="16"/>
      <c r="R99" s="16"/>
      <c r="S99" s="16"/>
      <c r="T99" t="s" s="96">
        <v>5</v>
      </c>
      <c r="U99" s="16"/>
      <c r="V99" s="16"/>
      <c r="W99" s="16"/>
      <c r="X99" s="16"/>
      <c r="Y99" s="16"/>
      <c r="Z99" s="16"/>
      <c r="AA99" t="s" s="96">
        <v>7</v>
      </c>
      <c r="AB99" s="75"/>
      <c r="AC99" s="29"/>
      <c r="AD99" t="s" s="159">
        <v>8</v>
      </c>
      <c r="AE99" s="30"/>
      <c r="AF99" s="30"/>
      <c r="AG99" t="s" s="159">
        <v>6</v>
      </c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74"/>
      <c r="BA99" s="16"/>
      <c r="BB99" s="16"/>
      <c r="BC99" s="16"/>
    </row>
    <row r="100" ht="19" customHeight="1">
      <c r="A100" t="s" s="83">
        <v>1496</v>
      </c>
      <c r="B100" s="112">
        <v>1921</v>
      </c>
      <c r="C100" s="112">
        <v>18</v>
      </c>
      <c r="D100" t="s" s="83">
        <v>1497</v>
      </c>
      <c r="E100" s="30"/>
      <c r="F100" s="156">
        <v>25</v>
      </c>
      <c r="G100" t="s" s="96">
        <v>1561</v>
      </c>
      <c r="H100" t="s" s="96">
        <v>1629</v>
      </c>
      <c r="I100" s="79">
        <v>66</v>
      </c>
      <c r="J100" t="s" s="96">
        <v>37</v>
      </c>
      <c r="K100" s="79">
        <v>1</v>
      </c>
      <c r="L100" s="16"/>
      <c r="M100" s="16"/>
      <c r="N100" s="79">
        <v>1</v>
      </c>
      <c r="O100" s="16"/>
      <c r="P100" s="16"/>
      <c r="Q100" s="16"/>
      <c r="R100" s="16"/>
      <c r="S100" s="16"/>
      <c r="T100" s="79">
        <v>57</v>
      </c>
      <c r="U100" s="16"/>
      <c r="V100" s="16"/>
      <c r="W100" s="16"/>
      <c r="X100" s="16"/>
      <c r="Y100" s="16"/>
      <c r="Z100" s="16"/>
      <c r="AA100" t="s" s="96">
        <v>1630</v>
      </c>
      <c r="AB100" s="75"/>
      <c r="AC100" s="114">
        <v>1</v>
      </c>
      <c r="AD100" s="120">
        <v>1</v>
      </c>
      <c r="AE100" s="30"/>
      <c r="AF100" s="112">
        <v>1</v>
      </c>
      <c r="AG100" t="s" s="159">
        <v>54</v>
      </c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74"/>
      <c r="BA100" s="16"/>
      <c r="BB100" s="16"/>
      <c r="BC100" s="16"/>
    </row>
    <row r="101" ht="19" customHeight="1">
      <c r="A101" t="s" s="83">
        <v>1496</v>
      </c>
      <c r="B101" s="112">
        <v>1921</v>
      </c>
      <c r="C101" s="112">
        <v>18</v>
      </c>
      <c r="D101" t="s" s="83">
        <v>1497</v>
      </c>
      <c r="E101" s="30"/>
      <c r="F101" s="156">
        <v>25</v>
      </c>
      <c r="G101" t="s" s="96">
        <v>1561</v>
      </c>
      <c r="H101" t="s" s="96">
        <v>947</v>
      </c>
      <c r="I101" s="79">
        <v>67</v>
      </c>
      <c r="J101" s="79">
        <v>1</v>
      </c>
      <c r="K101" s="16"/>
      <c r="L101" s="16"/>
      <c r="M101" s="16"/>
      <c r="N101" t="s" s="96">
        <v>72</v>
      </c>
      <c r="O101" s="79">
        <v>1</v>
      </c>
      <c r="P101" s="16"/>
      <c r="Q101" s="16"/>
      <c r="R101" s="16"/>
      <c r="S101" s="16"/>
      <c r="T101" s="79">
        <v>58</v>
      </c>
      <c r="U101" s="16"/>
      <c r="V101" s="16"/>
      <c r="W101" s="16"/>
      <c r="X101" s="16"/>
      <c r="Y101" s="16"/>
      <c r="Z101" s="16"/>
      <c r="AA101" t="s" s="96">
        <v>34</v>
      </c>
      <c r="AB101" s="75"/>
      <c r="AC101" s="29"/>
      <c r="AD101" t="s" s="159">
        <v>34</v>
      </c>
      <c r="AE101" s="30"/>
      <c r="AF101" s="112">
        <v>1</v>
      </c>
      <c r="AG101" t="s" s="159">
        <v>54</v>
      </c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74"/>
      <c r="BA101" s="16"/>
      <c r="BB101" s="16"/>
      <c r="BC101" s="16"/>
    </row>
    <row r="102" ht="19" customHeight="1">
      <c r="A102" t="s" s="83">
        <v>1496</v>
      </c>
      <c r="B102" s="112">
        <v>1921</v>
      </c>
      <c r="C102" s="112">
        <v>18</v>
      </c>
      <c r="D102" t="s" s="83">
        <v>1497</v>
      </c>
      <c r="E102" s="30"/>
      <c r="F102" s="156">
        <v>25</v>
      </c>
      <c r="G102" t="s" s="96">
        <v>1561</v>
      </c>
      <c r="H102" t="s" s="96">
        <v>1631</v>
      </c>
      <c r="I102" s="79">
        <v>68</v>
      </c>
      <c r="J102" t="s" s="96">
        <v>37</v>
      </c>
      <c r="K102" s="79">
        <v>1</v>
      </c>
      <c r="L102" s="16"/>
      <c r="M102" s="16"/>
      <c r="N102" t="s" s="96">
        <v>36</v>
      </c>
      <c r="O102" s="16"/>
      <c r="P102" s="16"/>
      <c r="Q102" s="79">
        <v>1</v>
      </c>
      <c r="R102" s="16"/>
      <c r="S102" s="16"/>
      <c r="T102" s="79">
        <v>24</v>
      </c>
      <c r="U102" s="16"/>
      <c r="V102" s="16"/>
      <c r="W102" s="16"/>
      <c r="X102" s="16"/>
      <c r="Y102" s="16"/>
      <c r="Z102" s="16"/>
      <c r="AA102" t="s" s="96">
        <v>751</v>
      </c>
      <c r="AB102" t="s" s="158">
        <v>1632</v>
      </c>
      <c r="AC102" s="114">
        <v>1</v>
      </c>
      <c r="AD102" s="122"/>
      <c r="AE102" s="30"/>
      <c r="AF102" s="112">
        <v>1</v>
      </c>
      <c r="AG102" t="s" s="159">
        <v>54</v>
      </c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74"/>
      <c r="BA102" s="16"/>
      <c r="BB102" s="16"/>
      <c r="BC102" s="16"/>
    </row>
    <row r="103" ht="19" customHeight="1">
      <c r="A103" t="s" s="83">
        <v>1496</v>
      </c>
      <c r="B103" s="112">
        <v>1921</v>
      </c>
      <c r="C103" s="112">
        <v>18</v>
      </c>
      <c r="D103" t="s" s="83">
        <v>1497</v>
      </c>
      <c r="E103" s="30"/>
      <c r="F103" s="156">
        <v>25</v>
      </c>
      <c r="G103" t="s" s="96">
        <v>1633</v>
      </c>
      <c r="H103" t="s" s="96">
        <v>1634</v>
      </c>
      <c r="I103" s="79">
        <v>69</v>
      </c>
      <c r="J103" s="79">
        <v>1</v>
      </c>
      <c r="K103" s="16"/>
      <c r="L103" s="16"/>
      <c r="M103" s="16"/>
      <c r="N103" t="s" s="96">
        <v>41</v>
      </c>
      <c r="O103" s="16"/>
      <c r="P103" s="16"/>
      <c r="Q103" s="16"/>
      <c r="R103" s="79">
        <v>1</v>
      </c>
      <c r="S103" s="16"/>
      <c r="T103" s="79">
        <v>25</v>
      </c>
      <c r="U103" s="16"/>
      <c r="V103" s="16"/>
      <c r="W103" s="16"/>
      <c r="X103" s="16"/>
      <c r="Y103" s="16"/>
      <c r="Z103" s="16"/>
      <c r="AA103" t="s" s="96">
        <v>34</v>
      </c>
      <c r="AB103" s="75"/>
      <c r="AC103" s="29"/>
      <c r="AD103" t="s" s="159">
        <v>34</v>
      </c>
      <c r="AE103" s="30"/>
      <c r="AF103" s="112">
        <v>1</v>
      </c>
      <c r="AG103" t="s" s="159">
        <v>54</v>
      </c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74"/>
      <c r="BA103" s="16"/>
      <c r="BB103" s="16"/>
      <c r="BC103" s="16"/>
    </row>
    <row r="104" ht="19" customHeight="1">
      <c r="A104" t="s" s="83">
        <v>1496</v>
      </c>
      <c r="B104" s="112">
        <v>1921</v>
      </c>
      <c r="C104" s="112">
        <v>18</v>
      </c>
      <c r="D104" t="s" s="83">
        <v>1497</v>
      </c>
      <c r="E104" s="30"/>
      <c r="F104" s="156">
        <v>25</v>
      </c>
      <c r="G104" t="s" s="96">
        <v>1635</v>
      </c>
      <c r="H104" t="s" s="96">
        <v>1636</v>
      </c>
      <c r="I104" s="79">
        <v>70</v>
      </c>
      <c r="J104" s="79">
        <v>1</v>
      </c>
      <c r="K104" s="16"/>
      <c r="L104" s="16"/>
      <c r="M104" s="16"/>
      <c r="N104" t="s" s="96">
        <v>11</v>
      </c>
      <c r="O104" s="16"/>
      <c r="P104" s="16"/>
      <c r="Q104" s="16"/>
      <c r="R104" s="16"/>
      <c r="S104" s="79">
        <v>1</v>
      </c>
      <c r="T104" s="79">
        <v>25</v>
      </c>
      <c r="U104" s="16"/>
      <c r="V104" s="16"/>
      <c r="W104" s="16"/>
      <c r="X104" s="16"/>
      <c r="Y104" s="16"/>
      <c r="Z104" s="16"/>
      <c r="AA104" t="s" s="96">
        <v>188</v>
      </c>
      <c r="AB104" s="75"/>
      <c r="AC104" s="114">
        <v>1</v>
      </c>
      <c r="AD104" t="s" s="159">
        <v>15</v>
      </c>
      <c r="AE104" s="30"/>
      <c r="AF104" s="30"/>
      <c r="AG104" t="s" s="159">
        <v>1637</v>
      </c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74"/>
      <c r="BA104" s="16"/>
      <c r="BB104" s="16"/>
      <c r="BC104" s="16"/>
    </row>
    <row r="105" ht="19" customHeight="1">
      <c r="A105" t="s" s="83">
        <v>1496</v>
      </c>
      <c r="B105" s="112">
        <v>1921</v>
      </c>
      <c r="C105" s="30"/>
      <c r="D105" t="s" s="83">
        <v>1497</v>
      </c>
      <c r="E105" s="30"/>
      <c r="F105" s="74"/>
      <c r="G105" s="16"/>
      <c r="H105" s="79">
        <v>5</v>
      </c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75"/>
      <c r="AC105" s="29"/>
      <c r="AD105" s="122"/>
      <c r="AE105" s="30"/>
      <c r="AF105" s="30"/>
      <c r="AG105" s="122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74"/>
      <c r="BA105" s="16"/>
      <c r="BB105" s="16"/>
      <c r="BC105" s="16"/>
    </row>
    <row r="106" ht="19" customHeight="1">
      <c r="A106" t="s" s="83">
        <v>1496</v>
      </c>
      <c r="B106" s="112">
        <v>1921</v>
      </c>
      <c r="C106" s="30"/>
      <c r="D106" t="s" s="83">
        <v>1497</v>
      </c>
      <c r="E106" s="30"/>
      <c r="F106" s="74"/>
      <c r="G106" t="s" s="96">
        <v>1</v>
      </c>
      <c r="H106" t="s" s="96">
        <v>0</v>
      </c>
      <c r="I106" s="16"/>
      <c r="J106" t="s" s="96">
        <v>3</v>
      </c>
      <c r="K106" s="16"/>
      <c r="L106" s="16"/>
      <c r="M106" s="16"/>
      <c r="N106" t="s" s="96">
        <v>2</v>
      </c>
      <c r="O106" s="16"/>
      <c r="P106" s="16"/>
      <c r="Q106" s="16"/>
      <c r="R106" s="16"/>
      <c r="S106" s="16"/>
      <c r="T106" t="s" s="96">
        <v>5</v>
      </c>
      <c r="U106" s="16"/>
      <c r="V106" s="16"/>
      <c r="W106" s="16"/>
      <c r="X106" s="16"/>
      <c r="Y106" s="16"/>
      <c r="Z106" s="16"/>
      <c r="AA106" t="s" s="96">
        <v>7</v>
      </c>
      <c r="AB106" s="75"/>
      <c r="AC106" s="29"/>
      <c r="AD106" t="s" s="159">
        <v>8</v>
      </c>
      <c r="AE106" s="30"/>
      <c r="AF106" s="30"/>
      <c r="AG106" t="s" s="159">
        <v>6</v>
      </c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74"/>
      <c r="BA106" s="16"/>
      <c r="BB106" s="16"/>
      <c r="BC106" s="16"/>
    </row>
    <row r="107" ht="19" customHeight="1">
      <c r="A107" t="s" s="83">
        <v>1496</v>
      </c>
      <c r="B107" s="112">
        <v>1921</v>
      </c>
      <c r="C107" s="112">
        <v>19</v>
      </c>
      <c r="D107" t="s" s="83">
        <v>1497</v>
      </c>
      <c r="E107" s="30"/>
      <c r="F107" s="156">
        <v>11</v>
      </c>
      <c r="G107" t="s" s="96">
        <v>1106</v>
      </c>
      <c r="H107" t="s" s="96">
        <v>1638</v>
      </c>
      <c r="I107" s="79">
        <v>71</v>
      </c>
      <c r="J107" t="s" s="96">
        <v>37</v>
      </c>
      <c r="K107" s="79">
        <v>1</v>
      </c>
      <c r="L107" s="16"/>
      <c r="M107" s="16"/>
      <c r="N107" s="79">
        <v>1</v>
      </c>
      <c r="O107" s="16"/>
      <c r="P107" s="16"/>
      <c r="Q107" s="16"/>
      <c r="R107" s="16"/>
      <c r="S107" s="16"/>
      <c r="T107" s="79">
        <v>42</v>
      </c>
      <c r="U107" s="16"/>
      <c r="V107" s="16"/>
      <c r="W107" s="16"/>
      <c r="X107" t="s" s="96">
        <v>1639</v>
      </c>
      <c r="Y107" s="16"/>
      <c r="Z107" s="16"/>
      <c r="AA107" t="s" s="96">
        <v>1640</v>
      </c>
      <c r="AB107" s="75"/>
      <c r="AC107" s="114">
        <v>1</v>
      </c>
      <c r="AD107" s="120">
        <v>1</v>
      </c>
      <c r="AE107" s="30"/>
      <c r="AF107" s="112">
        <v>1</v>
      </c>
      <c r="AG107" t="s" s="159">
        <v>13</v>
      </c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74"/>
      <c r="BA107" s="16"/>
      <c r="BB107" s="16"/>
      <c r="BC107" s="16"/>
    </row>
    <row r="108" ht="19" customHeight="1">
      <c r="A108" t="s" s="83">
        <v>1496</v>
      </c>
      <c r="B108" s="112">
        <v>1921</v>
      </c>
      <c r="C108" s="112">
        <v>19</v>
      </c>
      <c r="D108" t="s" s="83">
        <v>1497</v>
      </c>
      <c r="E108" s="30"/>
      <c r="F108" s="156">
        <v>11</v>
      </c>
      <c r="G108" t="s" s="96">
        <v>1106</v>
      </c>
      <c r="H108" t="s" s="96">
        <v>1641</v>
      </c>
      <c r="I108" s="79">
        <v>72</v>
      </c>
      <c r="J108" s="79">
        <v>1</v>
      </c>
      <c r="K108" s="16"/>
      <c r="L108" s="16"/>
      <c r="M108" s="16"/>
      <c r="N108" t="s" s="96">
        <v>72</v>
      </c>
      <c r="O108" s="79">
        <v>1</v>
      </c>
      <c r="P108" s="16"/>
      <c r="Q108" s="16"/>
      <c r="R108" s="16"/>
      <c r="S108" s="16"/>
      <c r="T108" s="79">
        <v>37</v>
      </c>
      <c r="U108" s="16"/>
      <c r="V108" s="16"/>
      <c r="W108" s="16"/>
      <c r="X108" s="16"/>
      <c r="Y108" s="16"/>
      <c r="Z108" s="16"/>
      <c r="AA108" t="s" s="96">
        <v>33</v>
      </c>
      <c r="AB108" s="75"/>
      <c r="AC108" s="29"/>
      <c r="AD108" t="s" s="159">
        <v>34</v>
      </c>
      <c r="AE108" s="30"/>
      <c r="AF108" s="112">
        <v>1</v>
      </c>
      <c r="AG108" t="s" s="159">
        <v>13</v>
      </c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74"/>
      <c r="BA108" s="16"/>
      <c r="BB108" s="16"/>
      <c r="BC108" s="16"/>
    </row>
    <row r="109" ht="19" customHeight="1">
      <c r="A109" t="s" s="83">
        <v>1496</v>
      </c>
      <c r="B109" s="112">
        <v>1921</v>
      </c>
      <c r="C109" s="112">
        <v>19</v>
      </c>
      <c r="D109" t="s" s="83">
        <v>1497</v>
      </c>
      <c r="E109" s="30"/>
      <c r="F109" s="156">
        <v>11</v>
      </c>
      <c r="G109" t="s" s="96">
        <v>1106</v>
      </c>
      <c r="H109" t="s" s="96">
        <v>1642</v>
      </c>
      <c r="I109" s="79">
        <v>73</v>
      </c>
      <c r="J109" t="s" s="96">
        <v>12</v>
      </c>
      <c r="K109" s="16"/>
      <c r="L109" s="79">
        <v>1</v>
      </c>
      <c r="M109" s="16"/>
      <c r="N109" t="s" s="96">
        <v>78</v>
      </c>
      <c r="O109" s="16"/>
      <c r="P109" s="79">
        <v>1</v>
      </c>
      <c r="Q109" s="16"/>
      <c r="R109" s="16"/>
      <c r="S109" s="16"/>
      <c r="T109" s="79">
        <v>15</v>
      </c>
      <c r="U109" s="16"/>
      <c r="V109" s="16"/>
      <c r="W109" s="16"/>
      <c r="X109" s="16"/>
      <c r="Y109" s="16"/>
      <c r="Z109" s="16"/>
      <c r="AA109" t="s" s="96">
        <v>34</v>
      </c>
      <c r="AB109" s="75"/>
      <c r="AC109" s="29"/>
      <c r="AD109" t="s" s="159">
        <v>34</v>
      </c>
      <c r="AE109" s="30"/>
      <c r="AF109" s="112">
        <v>1</v>
      </c>
      <c r="AG109" t="s" s="159">
        <v>1643</v>
      </c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74"/>
      <c r="BA109" s="16"/>
      <c r="BB109" s="16"/>
      <c r="BC109" s="16"/>
    </row>
    <row r="110" ht="19" customHeight="1">
      <c r="A110" t="s" s="83">
        <v>1496</v>
      </c>
      <c r="B110" s="112">
        <v>1921</v>
      </c>
      <c r="C110" s="112">
        <v>19</v>
      </c>
      <c r="D110" t="s" s="83">
        <v>1497</v>
      </c>
      <c r="E110" s="30"/>
      <c r="F110" s="156">
        <v>11</v>
      </c>
      <c r="G110" t="s" s="96">
        <v>1106</v>
      </c>
      <c r="H110" t="s" s="96">
        <v>1644</v>
      </c>
      <c r="I110" s="79">
        <v>74</v>
      </c>
      <c r="J110" t="s" s="96">
        <v>12</v>
      </c>
      <c r="K110" s="16"/>
      <c r="L110" s="79">
        <v>1</v>
      </c>
      <c r="M110" s="16"/>
      <c r="N110" t="s" s="96">
        <v>78</v>
      </c>
      <c r="O110" s="16"/>
      <c r="P110" s="79">
        <v>1</v>
      </c>
      <c r="Q110" s="16"/>
      <c r="R110" s="16"/>
      <c r="S110" s="16"/>
      <c r="T110" s="79">
        <v>13</v>
      </c>
      <c r="U110" s="16"/>
      <c r="V110" s="16"/>
      <c r="W110" s="16"/>
      <c r="X110" s="16"/>
      <c r="Y110" s="16"/>
      <c r="Z110" s="16"/>
      <c r="AA110" t="s" s="96">
        <v>34</v>
      </c>
      <c r="AB110" s="75"/>
      <c r="AC110" s="29"/>
      <c r="AD110" t="s" s="159">
        <v>34</v>
      </c>
      <c r="AE110" s="30"/>
      <c r="AF110" s="112">
        <v>1</v>
      </c>
      <c r="AG110" t="s" s="159">
        <v>1643</v>
      </c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74"/>
      <c r="BA110" s="16"/>
      <c r="BB110" s="16"/>
      <c r="BC110" s="16"/>
    </row>
    <row r="111" ht="19" customHeight="1">
      <c r="A111" t="s" s="83">
        <v>1496</v>
      </c>
      <c r="B111" s="112">
        <v>1921</v>
      </c>
      <c r="C111" s="112">
        <v>19</v>
      </c>
      <c r="D111" t="s" s="83">
        <v>1497</v>
      </c>
      <c r="E111" s="30"/>
      <c r="F111" s="156">
        <v>11</v>
      </c>
      <c r="G111" t="s" s="96">
        <v>1106</v>
      </c>
      <c r="H111" t="s" s="96">
        <v>1645</v>
      </c>
      <c r="I111" s="79">
        <v>75</v>
      </c>
      <c r="J111" s="79">
        <v>1</v>
      </c>
      <c r="K111" s="16"/>
      <c r="L111" s="16"/>
      <c r="M111" s="16"/>
      <c r="N111" t="s" s="96">
        <v>78</v>
      </c>
      <c r="O111" s="16"/>
      <c r="P111" s="79">
        <v>1</v>
      </c>
      <c r="Q111" s="16"/>
      <c r="R111" s="16"/>
      <c r="S111" s="16"/>
      <c r="T111" s="79">
        <v>29</v>
      </c>
      <c r="U111" s="16"/>
      <c r="V111" s="16"/>
      <c r="W111" s="16"/>
      <c r="X111" s="16"/>
      <c r="Y111" s="16"/>
      <c r="Z111" s="16"/>
      <c r="AA111" t="s" s="96">
        <v>34</v>
      </c>
      <c r="AB111" s="75"/>
      <c r="AC111" s="29"/>
      <c r="AD111" t="s" s="159">
        <v>34</v>
      </c>
      <c r="AE111" s="30"/>
      <c r="AF111" s="112">
        <v>1</v>
      </c>
      <c r="AG111" t="s" s="159">
        <v>1643</v>
      </c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74"/>
      <c r="BA111" s="16"/>
      <c r="BB111" s="16"/>
      <c r="BC111" s="16"/>
    </row>
    <row r="112" ht="17.5" customHeight="1">
      <c r="A112" t="s" s="83">
        <v>1496</v>
      </c>
      <c r="B112" s="112">
        <v>1921</v>
      </c>
      <c r="C112" s="30"/>
      <c r="D112" t="s" s="83">
        <v>1497</v>
      </c>
      <c r="E112" s="30"/>
      <c r="F112" s="74"/>
      <c r="G112" s="16"/>
      <c r="H112" s="79">
        <v>5</v>
      </c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75"/>
      <c r="AC112" s="30"/>
      <c r="AD112" s="122"/>
      <c r="AE112" s="30"/>
      <c r="AF112" s="30"/>
      <c r="AG112" s="122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74"/>
      <c r="BA112" s="16"/>
      <c r="BB112" s="16"/>
      <c r="BC112" s="16"/>
    </row>
    <row r="113" ht="17.5" customHeight="1">
      <c r="A113" t="s" s="83">
        <v>1496</v>
      </c>
      <c r="B113" s="112">
        <v>1921</v>
      </c>
      <c r="C113" s="112">
        <v>20</v>
      </c>
      <c r="D113" t="s" s="83">
        <v>1497</v>
      </c>
      <c r="E113" s="30"/>
      <c r="F113" s="156">
        <v>1</v>
      </c>
      <c r="G113" t="s" s="96">
        <v>1</v>
      </c>
      <c r="H113" t="s" s="96">
        <v>0</v>
      </c>
      <c r="I113" s="16"/>
      <c r="J113" t="s" s="96">
        <v>3</v>
      </c>
      <c r="K113" s="16"/>
      <c r="L113" s="16"/>
      <c r="M113" s="16"/>
      <c r="N113" t="s" s="96">
        <v>2</v>
      </c>
      <c r="O113" s="16"/>
      <c r="P113" s="16"/>
      <c r="Q113" s="16"/>
      <c r="R113" s="16"/>
      <c r="S113" s="16"/>
      <c r="T113" t="s" s="96">
        <v>5</v>
      </c>
      <c r="U113" s="16"/>
      <c r="V113" s="16"/>
      <c r="W113" s="16"/>
      <c r="X113" t="s" s="96">
        <v>1646</v>
      </c>
      <c r="Y113" s="16"/>
      <c r="Z113" s="16"/>
      <c r="AA113" t="s" s="96">
        <v>7</v>
      </c>
      <c r="AB113" s="75"/>
      <c r="AC113" s="30"/>
      <c r="AD113" t="s" s="159">
        <v>8</v>
      </c>
      <c r="AE113" s="30"/>
      <c r="AF113" s="30"/>
      <c r="AG113" t="s" s="159">
        <v>6</v>
      </c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74"/>
      <c r="BA113" s="16"/>
      <c r="BB113" s="16"/>
      <c r="BC113" s="16"/>
    </row>
    <row r="114" ht="17.5" customHeight="1">
      <c r="A114" t="s" s="83">
        <v>1496</v>
      </c>
      <c r="B114" s="112">
        <v>1921</v>
      </c>
      <c r="C114" s="112">
        <v>20</v>
      </c>
      <c r="D114" t="s" s="83">
        <v>1497</v>
      </c>
      <c r="E114" s="30"/>
      <c r="F114" s="156">
        <v>1</v>
      </c>
      <c r="G114" t="s" s="96">
        <v>604</v>
      </c>
      <c r="H114" t="s" s="96">
        <v>1647</v>
      </c>
      <c r="I114" s="79">
        <v>76</v>
      </c>
      <c r="J114" t="s" s="96">
        <v>37</v>
      </c>
      <c r="K114" s="79">
        <v>1</v>
      </c>
      <c r="L114" s="16"/>
      <c r="M114" s="16"/>
      <c r="N114" s="79">
        <v>1</v>
      </c>
      <c r="O114" s="16"/>
      <c r="P114" s="16"/>
      <c r="Q114" s="16"/>
      <c r="R114" s="16"/>
      <c r="S114" s="16"/>
      <c r="T114" s="79">
        <v>63</v>
      </c>
      <c r="U114" s="16"/>
      <c r="V114" s="16"/>
      <c r="W114" s="16"/>
      <c r="X114" s="16"/>
      <c r="Y114" s="16"/>
      <c r="Z114" s="16"/>
      <c r="AA114" t="s" s="96">
        <v>92</v>
      </c>
      <c r="AB114" s="75"/>
      <c r="AC114" s="112">
        <v>1</v>
      </c>
      <c r="AD114" s="120">
        <v>1</v>
      </c>
      <c r="AE114" s="30"/>
      <c r="AF114" s="112">
        <v>1</v>
      </c>
      <c r="AG114" t="s" s="159">
        <v>54</v>
      </c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74"/>
      <c r="BA114" s="16"/>
      <c r="BB114" s="16"/>
      <c r="BC114" s="16"/>
    </row>
    <row r="115" ht="17.5" customHeight="1">
      <c r="A115" t="s" s="83">
        <v>1496</v>
      </c>
      <c r="B115" s="112">
        <v>1921</v>
      </c>
      <c r="C115" s="112">
        <v>20</v>
      </c>
      <c r="D115" t="s" s="83">
        <v>1497</v>
      </c>
      <c r="E115" s="30"/>
      <c r="F115" s="156">
        <v>1</v>
      </c>
      <c r="G115" t="s" s="96">
        <v>604</v>
      </c>
      <c r="H115" t="s" s="96">
        <v>1306</v>
      </c>
      <c r="I115" s="79">
        <v>77</v>
      </c>
      <c r="J115" t="s" s="96">
        <v>12</v>
      </c>
      <c r="K115" s="16"/>
      <c r="L115" s="16"/>
      <c r="M115" s="16"/>
      <c r="N115" t="s" s="96">
        <v>72</v>
      </c>
      <c r="O115" s="79">
        <v>1</v>
      </c>
      <c r="P115" s="16"/>
      <c r="Q115" s="16"/>
      <c r="R115" s="16"/>
      <c r="S115" s="16"/>
      <c r="T115" s="79">
        <v>62</v>
      </c>
      <c r="U115" s="16"/>
      <c r="V115" s="16"/>
      <c r="W115" s="16"/>
      <c r="X115" s="16"/>
      <c r="Y115" s="16"/>
      <c r="Z115" s="16"/>
      <c r="AA115" t="s" s="96">
        <v>33</v>
      </c>
      <c r="AB115" s="75"/>
      <c r="AC115" s="30"/>
      <c r="AD115" t="s" s="159">
        <v>34</v>
      </c>
      <c r="AE115" s="30"/>
      <c r="AF115" s="30"/>
      <c r="AG115" t="s" s="159">
        <v>1648</v>
      </c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74"/>
      <c r="BA115" s="16"/>
      <c r="BB115" s="16"/>
      <c r="BC115" s="16"/>
    </row>
    <row r="116" ht="17.5" customHeight="1">
      <c r="A116" t="s" s="83">
        <v>1496</v>
      </c>
      <c r="B116" s="112">
        <v>1921</v>
      </c>
      <c r="C116" s="112">
        <v>20</v>
      </c>
      <c r="D116" t="s" s="83">
        <v>1497</v>
      </c>
      <c r="E116" s="30"/>
      <c r="F116" s="156">
        <v>1</v>
      </c>
      <c r="G116" t="s" s="96">
        <v>604</v>
      </c>
      <c r="H116" t="s" s="96">
        <v>839</v>
      </c>
      <c r="I116" s="79">
        <v>78</v>
      </c>
      <c r="J116" t="s" s="96">
        <v>37</v>
      </c>
      <c r="K116" s="79">
        <v>1</v>
      </c>
      <c r="L116" s="16"/>
      <c r="M116" s="16"/>
      <c r="N116" t="s" s="96">
        <v>36</v>
      </c>
      <c r="O116" s="16"/>
      <c r="P116" s="16"/>
      <c r="Q116" s="79">
        <v>1</v>
      </c>
      <c r="R116" s="16"/>
      <c r="S116" s="16"/>
      <c r="T116" s="79">
        <v>25</v>
      </c>
      <c r="U116" s="16"/>
      <c r="V116" s="16"/>
      <c r="W116" s="16"/>
      <c r="X116" s="16"/>
      <c r="Y116" s="16"/>
      <c r="Z116" s="16"/>
      <c r="AA116" t="s" s="96">
        <v>1649</v>
      </c>
      <c r="AB116" t="s" s="158">
        <v>1650</v>
      </c>
      <c r="AC116" s="112">
        <v>1</v>
      </c>
      <c r="AD116" s="122"/>
      <c r="AE116" s="30"/>
      <c r="AF116" s="112">
        <v>1</v>
      </c>
      <c r="AG116" t="s" s="159">
        <v>13</v>
      </c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74"/>
      <c r="BA116" s="16"/>
      <c r="BB116" s="16"/>
      <c r="BC116" s="16"/>
    </row>
    <row r="117" ht="17.5" customHeight="1">
      <c r="A117" t="s" s="83">
        <v>1496</v>
      </c>
      <c r="B117" s="112">
        <v>1921</v>
      </c>
      <c r="C117" s="112">
        <v>20</v>
      </c>
      <c r="D117" t="s" s="83">
        <v>1497</v>
      </c>
      <c r="E117" s="30"/>
      <c r="F117" s="156">
        <v>1</v>
      </c>
      <c r="G117" t="s" s="96">
        <v>1651</v>
      </c>
      <c r="H117" t="s" s="96">
        <v>71</v>
      </c>
      <c r="I117" s="79">
        <v>79</v>
      </c>
      <c r="J117" s="79">
        <v>1</v>
      </c>
      <c r="K117" s="16"/>
      <c r="L117" s="16"/>
      <c r="M117" s="16"/>
      <c r="N117" t="s" s="96">
        <v>11</v>
      </c>
      <c r="O117" s="16"/>
      <c r="P117" s="16"/>
      <c r="Q117" s="16"/>
      <c r="R117" s="16"/>
      <c r="S117" s="79">
        <v>1</v>
      </c>
      <c r="T117" s="79">
        <v>25</v>
      </c>
      <c r="U117" s="16"/>
      <c r="V117" s="16"/>
      <c r="W117" s="16"/>
      <c r="X117" s="16"/>
      <c r="Y117" s="16"/>
      <c r="Z117" s="16"/>
      <c r="AA117" t="s" s="96">
        <v>105</v>
      </c>
      <c r="AB117" s="75"/>
      <c r="AC117" s="112">
        <v>1</v>
      </c>
      <c r="AD117" t="s" s="159">
        <v>15</v>
      </c>
      <c r="AE117" s="30"/>
      <c r="AF117" s="30"/>
      <c r="AG117" t="s" s="159">
        <v>790</v>
      </c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74"/>
      <c r="BA117" s="16"/>
      <c r="BB117" s="16"/>
      <c r="BC117" s="16"/>
    </row>
    <row r="118" ht="17.5" customHeight="1">
      <c r="A118" s="30"/>
      <c r="B118" s="30"/>
      <c r="C118" s="30"/>
      <c r="D118" s="30"/>
      <c r="E118" s="30"/>
      <c r="F118" s="74"/>
      <c r="G118" s="16"/>
      <c r="H118" s="79">
        <v>4</v>
      </c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75"/>
      <c r="AC118" s="30"/>
      <c r="AD118" s="122"/>
      <c r="AE118" s="30"/>
      <c r="AF118" s="30"/>
      <c r="AG118" s="122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74"/>
      <c r="BA118" s="16"/>
      <c r="BB118" s="16"/>
      <c r="BC118" s="16"/>
    </row>
    <row r="119" ht="17.5" customHeight="1">
      <c r="A119" t="s" s="83">
        <v>1496</v>
      </c>
      <c r="B119" s="112">
        <v>1921</v>
      </c>
      <c r="C119" s="112">
        <v>21</v>
      </c>
      <c r="D119" t="s" s="83">
        <v>1497</v>
      </c>
      <c r="E119" s="30"/>
      <c r="F119" s="156">
        <v>31</v>
      </c>
      <c r="G119" t="s" s="96">
        <v>69</v>
      </c>
      <c r="H119" t="s" s="96">
        <v>1652</v>
      </c>
      <c r="I119" s="79">
        <v>80</v>
      </c>
      <c r="J119" s="16"/>
      <c r="K119" s="79">
        <v>1</v>
      </c>
      <c r="L119" s="16"/>
      <c r="M119" s="16"/>
      <c r="N119" s="79">
        <v>1</v>
      </c>
      <c r="O119" s="16"/>
      <c r="P119" s="16"/>
      <c r="Q119" s="16"/>
      <c r="R119" s="16"/>
      <c r="S119" s="16"/>
      <c r="T119" s="79">
        <v>27</v>
      </c>
      <c r="U119" s="16"/>
      <c r="V119" s="16"/>
      <c r="W119" s="16"/>
      <c r="X119" s="16"/>
      <c r="Y119" s="16"/>
      <c r="Z119" s="16"/>
      <c r="AA119" t="s" s="96">
        <v>75</v>
      </c>
      <c r="AB119" t="s" s="158">
        <v>1653</v>
      </c>
      <c r="AC119" s="112">
        <v>1</v>
      </c>
      <c r="AD119" s="120">
        <v>1</v>
      </c>
      <c r="AE119" s="30"/>
      <c r="AF119" s="112">
        <v>1</v>
      </c>
      <c r="AG119" t="s" s="157">
        <v>13</v>
      </c>
      <c r="AH119" s="62"/>
      <c r="AI119" s="62"/>
      <c r="AJ119" s="117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74"/>
      <c r="BA119" s="16"/>
      <c r="BB119" s="16"/>
      <c r="BC119" s="16"/>
    </row>
    <row r="120" ht="17.5" customHeight="1">
      <c r="A120" t="s" s="83">
        <v>1496</v>
      </c>
      <c r="B120" s="112">
        <v>1921</v>
      </c>
      <c r="C120" s="112">
        <v>21</v>
      </c>
      <c r="D120" t="s" s="83">
        <v>1497</v>
      </c>
      <c r="E120" s="30"/>
      <c r="F120" s="156">
        <v>31</v>
      </c>
      <c r="G120" t="s" s="96">
        <v>69</v>
      </c>
      <c r="H120" t="s" s="96">
        <v>1654</v>
      </c>
      <c r="I120" s="79">
        <v>81</v>
      </c>
      <c r="J120" s="79">
        <v>1</v>
      </c>
      <c r="K120" s="16"/>
      <c r="L120" s="16"/>
      <c r="M120" s="16"/>
      <c r="N120" t="s" s="96">
        <v>72</v>
      </c>
      <c r="O120" s="79">
        <v>1</v>
      </c>
      <c r="P120" s="16"/>
      <c r="Q120" s="16"/>
      <c r="R120" s="16"/>
      <c r="S120" s="16"/>
      <c r="T120" s="79">
        <v>28</v>
      </c>
      <c r="U120" s="16"/>
      <c r="V120" s="16"/>
      <c r="W120" s="16"/>
      <c r="X120" s="16"/>
      <c r="Y120" s="16"/>
      <c r="Z120" s="16"/>
      <c r="AA120" t="s" s="96">
        <v>33</v>
      </c>
      <c r="AB120" t="s" s="158">
        <v>34</v>
      </c>
      <c r="AC120" s="30"/>
      <c r="AD120" s="122"/>
      <c r="AE120" s="30"/>
      <c r="AF120" s="30"/>
      <c r="AG120" t="s" s="157">
        <v>1655</v>
      </c>
      <c r="AH120" s="16"/>
      <c r="AI120" s="16"/>
      <c r="AJ120" t="s" s="158">
        <v>1656</v>
      </c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74"/>
      <c r="BA120" s="16"/>
      <c r="BB120" s="16"/>
      <c r="BC120" s="16"/>
    </row>
    <row r="121" ht="17.5" customHeight="1">
      <c r="A121" t="s" s="83">
        <v>1496</v>
      </c>
      <c r="B121" s="112">
        <v>1921</v>
      </c>
      <c r="C121" s="112">
        <v>21</v>
      </c>
      <c r="D121" t="s" s="83">
        <v>1497</v>
      </c>
      <c r="E121" s="30"/>
      <c r="F121" s="156">
        <v>31</v>
      </c>
      <c r="G121" t="s" s="96">
        <v>69</v>
      </c>
      <c r="H121" t="s" s="96">
        <v>1657</v>
      </c>
      <c r="I121" s="79">
        <v>82</v>
      </c>
      <c r="J121" s="79">
        <v>1</v>
      </c>
      <c r="K121" s="16"/>
      <c r="L121" s="16"/>
      <c r="M121" s="16"/>
      <c r="N121" t="s" s="96">
        <v>78</v>
      </c>
      <c r="O121" s="16"/>
      <c r="P121" s="16"/>
      <c r="Q121" s="16"/>
      <c r="R121" s="79">
        <v>1</v>
      </c>
      <c r="S121" s="16"/>
      <c r="T121" s="79">
        <v>2</v>
      </c>
      <c r="U121" s="16"/>
      <c r="V121" s="16"/>
      <c r="W121" s="16"/>
      <c r="X121" s="16"/>
      <c r="Y121" s="16"/>
      <c r="Z121" s="16"/>
      <c r="AA121" t="s" s="96">
        <v>34</v>
      </c>
      <c r="AB121" t="s" s="158">
        <v>34</v>
      </c>
      <c r="AC121" s="30"/>
      <c r="AD121" s="122"/>
      <c r="AE121" s="30"/>
      <c r="AF121" s="112">
        <v>1</v>
      </c>
      <c r="AG121" t="s" s="157">
        <v>13</v>
      </c>
      <c r="AH121" s="16"/>
      <c r="AI121" s="16"/>
      <c r="AJ121" s="75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74"/>
      <c r="BA121" s="16"/>
      <c r="BB121" s="16"/>
      <c r="BC121" s="16"/>
    </row>
    <row r="122" ht="17.5" customHeight="1">
      <c r="A122" t="s" s="83">
        <v>1496</v>
      </c>
      <c r="B122" s="112">
        <v>1921</v>
      </c>
      <c r="C122" s="112">
        <v>21</v>
      </c>
      <c r="D122" t="s" s="83">
        <v>1497</v>
      </c>
      <c r="E122" s="30"/>
      <c r="F122" s="156">
        <v>31</v>
      </c>
      <c r="G122" t="s" s="96">
        <v>69</v>
      </c>
      <c r="H122" t="s" s="96">
        <v>1658</v>
      </c>
      <c r="I122" s="79">
        <v>83</v>
      </c>
      <c r="J122" s="79">
        <v>1</v>
      </c>
      <c r="K122" s="16"/>
      <c r="L122" s="16"/>
      <c r="M122" s="16"/>
      <c r="N122" t="s" s="96">
        <v>78</v>
      </c>
      <c r="O122" s="16"/>
      <c r="P122" s="16"/>
      <c r="Q122" s="16"/>
      <c r="R122" s="79">
        <v>1</v>
      </c>
      <c r="S122" s="16"/>
      <c r="T122" t="s" s="96">
        <v>34</v>
      </c>
      <c r="U122" s="16"/>
      <c r="V122" s="16"/>
      <c r="W122" s="16"/>
      <c r="X122" s="16"/>
      <c r="Y122" s="16"/>
      <c r="Z122" s="16"/>
      <c r="AA122" t="s" s="96">
        <v>34</v>
      </c>
      <c r="AB122" t="s" s="158">
        <v>34</v>
      </c>
      <c r="AC122" s="30"/>
      <c r="AD122" s="122"/>
      <c r="AE122" s="30"/>
      <c r="AF122" s="112">
        <v>1</v>
      </c>
      <c r="AG122" t="s" s="157">
        <v>13</v>
      </c>
      <c r="AH122" s="16"/>
      <c r="AI122" s="16"/>
      <c r="AJ122" s="75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74"/>
      <c r="BA122" s="16"/>
      <c r="BB122" s="16"/>
      <c r="BC122" s="16"/>
    </row>
    <row r="123" ht="17.5" customHeight="1">
      <c r="A123" t="s" s="83">
        <v>1496</v>
      </c>
      <c r="B123" s="112">
        <v>1921</v>
      </c>
      <c r="C123" s="112">
        <v>21</v>
      </c>
      <c r="D123" t="s" s="83">
        <v>1497</v>
      </c>
      <c r="E123" s="30"/>
      <c r="F123" s="156">
        <v>31</v>
      </c>
      <c r="G123" t="s" s="96">
        <v>1125</v>
      </c>
      <c r="H123" t="s" s="96">
        <v>1320</v>
      </c>
      <c r="I123" s="79">
        <v>84</v>
      </c>
      <c r="J123" s="79">
        <v>1</v>
      </c>
      <c r="K123" s="16"/>
      <c r="L123" s="16"/>
      <c r="M123" s="16"/>
      <c r="N123" t="s" s="96">
        <v>11</v>
      </c>
      <c r="O123" s="16"/>
      <c r="P123" s="16"/>
      <c r="Q123" s="16"/>
      <c r="R123" s="16"/>
      <c r="S123" s="79">
        <v>1</v>
      </c>
      <c r="T123" s="79">
        <v>38</v>
      </c>
      <c r="U123" s="16"/>
      <c r="V123" s="16"/>
      <c r="W123" s="16"/>
      <c r="X123" s="16"/>
      <c r="Y123" s="16"/>
      <c r="Z123" s="16"/>
      <c r="AA123" t="s" s="96">
        <v>45</v>
      </c>
      <c r="AB123" t="s" s="158">
        <v>15</v>
      </c>
      <c r="AC123" s="112">
        <v>1</v>
      </c>
      <c r="AD123" s="122"/>
      <c r="AE123" s="112">
        <v>1</v>
      </c>
      <c r="AF123" s="30"/>
      <c r="AG123" t="s" s="157">
        <v>1659</v>
      </c>
      <c r="AH123" s="16"/>
      <c r="AI123" s="16"/>
      <c r="AJ123" s="75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74"/>
      <c r="BA123" s="16"/>
      <c r="BB123" s="16"/>
      <c r="BC123" s="16"/>
    </row>
    <row r="124" ht="17.5" customHeight="1">
      <c r="A124" t="s" s="83">
        <v>1496</v>
      </c>
      <c r="B124" s="112">
        <v>1921</v>
      </c>
      <c r="C124" s="112">
        <v>21</v>
      </c>
      <c r="D124" t="s" s="83">
        <v>1497</v>
      </c>
      <c r="E124" s="30"/>
      <c r="F124" s="156">
        <v>31</v>
      </c>
      <c r="G124" t="s" s="96">
        <v>1660</v>
      </c>
      <c r="H124" t="s" s="96">
        <v>109</v>
      </c>
      <c r="I124" s="79">
        <v>85</v>
      </c>
      <c r="J124" s="79">
        <v>1</v>
      </c>
      <c r="K124" s="16"/>
      <c r="L124" s="16"/>
      <c r="M124" s="16"/>
      <c r="N124" t="s" s="96">
        <v>11</v>
      </c>
      <c r="O124" s="16"/>
      <c r="P124" s="16"/>
      <c r="Q124" s="16"/>
      <c r="R124" s="16"/>
      <c r="S124" s="79">
        <v>1</v>
      </c>
      <c r="T124" s="79">
        <v>16</v>
      </c>
      <c r="U124" s="16"/>
      <c r="V124" s="16"/>
      <c r="W124" s="16"/>
      <c r="X124" s="16"/>
      <c r="Y124" s="16"/>
      <c r="Z124" s="16"/>
      <c r="AA124" t="s" s="96">
        <v>101</v>
      </c>
      <c r="AB124" t="s" s="158">
        <v>15</v>
      </c>
      <c r="AC124" s="112">
        <v>1</v>
      </c>
      <c r="AD124" s="122"/>
      <c r="AE124" s="112">
        <v>1</v>
      </c>
      <c r="AF124" s="30"/>
      <c r="AG124" t="s" s="157">
        <v>1661</v>
      </c>
      <c r="AH124" s="16"/>
      <c r="AI124" s="16"/>
      <c r="AJ124" s="75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74"/>
      <c r="BA124" s="16"/>
      <c r="BB124" s="16"/>
      <c r="BC124" s="16"/>
    </row>
    <row r="125" ht="17.5" customHeight="1">
      <c r="A125" t="s" s="83">
        <v>1496</v>
      </c>
      <c r="B125" s="112">
        <v>1921</v>
      </c>
      <c r="C125" s="112">
        <v>21</v>
      </c>
      <c r="D125" t="s" s="83">
        <v>1497</v>
      </c>
      <c r="E125" s="30"/>
      <c r="F125" s="162">
        <v>31</v>
      </c>
      <c r="G125" t="s" s="181">
        <v>1662</v>
      </c>
      <c r="H125" t="s" s="181">
        <v>109</v>
      </c>
      <c r="I125" s="126">
        <v>86</v>
      </c>
      <c r="J125" s="126">
        <v>1</v>
      </c>
      <c r="K125" s="132"/>
      <c r="L125" s="132"/>
      <c r="M125" s="132"/>
      <c r="N125" t="s" s="181">
        <v>11</v>
      </c>
      <c r="O125" s="132"/>
      <c r="P125" s="132"/>
      <c r="Q125" s="132"/>
      <c r="R125" s="132"/>
      <c r="S125" s="126">
        <v>1</v>
      </c>
      <c r="T125" s="126">
        <v>17</v>
      </c>
      <c r="U125" s="132"/>
      <c r="V125" s="132"/>
      <c r="W125" s="132"/>
      <c r="X125" s="132"/>
      <c r="Y125" s="132"/>
      <c r="Z125" s="132"/>
      <c r="AA125" t="s" s="181">
        <v>1438</v>
      </c>
      <c r="AB125" t="s" s="161">
        <v>15</v>
      </c>
      <c r="AC125" s="112">
        <v>1</v>
      </c>
      <c r="AD125" s="141"/>
      <c r="AE125" s="112">
        <v>1</v>
      </c>
      <c r="AF125" s="30"/>
      <c r="AG125" t="s" s="160">
        <v>1663</v>
      </c>
      <c r="AH125" s="132"/>
      <c r="AI125" s="132"/>
      <c r="AJ125" s="133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74"/>
      <c r="BA125" s="16"/>
      <c r="BB125" s="16"/>
      <c r="BC125" s="16"/>
    </row>
    <row r="126" ht="17.5" customHeight="1">
      <c r="A126" t="s" s="83">
        <v>1496</v>
      </c>
      <c r="B126" s="112">
        <v>1921</v>
      </c>
      <c r="C126" s="112">
        <v>21</v>
      </c>
      <c r="D126" t="s" s="83">
        <v>1497</v>
      </c>
      <c r="E126" s="30"/>
      <c r="F126" s="30"/>
      <c r="G126" s="30"/>
      <c r="H126" s="30"/>
      <c r="I126" s="112">
        <v>86</v>
      </c>
      <c r="J126" s="112" cm="1">
        <f t="array" ref="J126">SUM(J3:J125)</f>
        <v>54</v>
      </c>
      <c r="K126" s="112" cm="1">
        <f t="array" ref="K126">SUM(K3:K125)</f>
        <v>25</v>
      </c>
      <c r="L126" s="112" cm="1">
        <f t="array" ref="L126">SUM(L3:L125)</f>
        <v>5</v>
      </c>
      <c r="M126" s="112" cm="1">
        <f t="array" ref="M126">SUM(M3:M125)</f>
        <v>2</v>
      </c>
      <c r="N126" s="112" cm="1">
        <f t="array" ref="N126">SUM(N3:N125)</f>
        <v>20</v>
      </c>
      <c r="O126" s="112" cm="1">
        <f t="array" ref="O126">SUM(O3:O125)</f>
        <v>16</v>
      </c>
      <c r="P126" s="112" cm="1">
        <f t="array" ref="P126">SUM(P3:P125)</f>
        <v>13</v>
      </c>
      <c r="Q126" s="112" cm="1">
        <f t="array" ref="Q126">SUM(Q3:Q125)</f>
        <v>6</v>
      </c>
      <c r="R126" s="112" cm="1">
        <f t="array" ref="R126">SUM(R3:R125)</f>
        <v>10</v>
      </c>
      <c r="S126" s="112" cm="1">
        <f t="array" ref="S126">SUM(S3:S125)</f>
        <v>21</v>
      </c>
      <c r="T126" s="112" cm="1">
        <f t="array" ref="T126">SUM(T3:T125)</f>
        <v>3030</v>
      </c>
      <c r="U126" s="112" cm="1">
        <f t="array" ref="U126">SUM(U3:U125)</f>
        <v>0</v>
      </c>
      <c r="V126" s="112" cm="1">
        <f t="array" ref="V126">SUM(V3:V125)</f>
        <v>0</v>
      </c>
      <c r="W126" s="112" cm="1">
        <f t="array" ref="W126">SUM(W3:W125)</f>
        <v>0</v>
      </c>
      <c r="X126" s="112" cm="1">
        <f t="array" ref="X126">SUM(X3:X125)</f>
        <v>0</v>
      </c>
      <c r="Y126" s="112" cm="1">
        <f t="array" ref="Y126">SUM(Y3:Y125)</f>
        <v>0</v>
      </c>
      <c r="Z126" s="112" cm="1">
        <f t="array" ref="Z126">SUM(Z3:Z125)</f>
        <v>0</v>
      </c>
      <c r="AA126" s="112" cm="1">
        <f t="array" ref="AA126">SUM(AA3:AA125)</f>
        <v>0</v>
      </c>
      <c r="AB126" s="112" cm="1">
        <f t="array" ref="AB126">SUM(AB3:AB125)</f>
        <v>0</v>
      </c>
      <c r="AC126" s="112" cm="1">
        <f t="array" ref="AC126">SUM(AC3:AC125)</f>
        <v>50</v>
      </c>
      <c r="AD126" s="112" cm="1">
        <f t="array" ref="AD126">SUM(AD3:AD125)</f>
        <v>8</v>
      </c>
      <c r="AE126" s="112" cm="1">
        <f t="array" ref="AE126">AC126-AD126</f>
        <v>42</v>
      </c>
      <c r="AF126" s="112" cm="1">
        <f t="array" ref="AF126">SUM(AF3:AF125)</f>
        <v>36</v>
      </c>
      <c r="AG126" s="112" cm="1">
        <f t="array" ref="AG126">N127-AF126</f>
        <v>50</v>
      </c>
      <c r="AH126" s="112" cm="1">
        <f t="array" ref="AH126">AG126+AF126</f>
        <v>86</v>
      </c>
      <c r="AI126" s="112" cm="1">
        <f t="array" ref="AI126">SUM(AI3:AI125)</f>
        <v>0</v>
      </c>
      <c r="AJ126" s="112" cm="1">
        <f t="array" ref="AJ126">SUM(AJ3:AJ125)</f>
        <v>0</v>
      </c>
      <c r="AK126" s="112" cm="1">
        <f t="array" ref="AK126">SUM(AK3:AK117)</f>
        <v>0</v>
      </c>
      <c r="AL126" s="112" cm="1">
        <f t="array" ref="AL126">SUM(AL3:AL117)</f>
        <v>0</v>
      </c>
      <c r="AM126" s="112" cm="1">
        <f t="array" ref="AM126">SUM(AM3:AM117)</f>
        <v>0</v>
      </c>
      <c r="AN126" s="112" cm="1">
        <f t="array" ref="AN126">SUM(AN3:AN117)</f>
        <v>0</v>
      </c>
      <c r="AO126" s="112" cm="1">
        <f t="array" ref="AO126">SUM(AO3:AO117)</f>
        <v>0</v>
      </c>
      <c r="AP126" s="112" cm="1">
        <f t="array" ref="AP126">SUM(AP3:AP117)</f>
        <v>0</v>
      </c>
      <c r="AQ126" s="112" cm="1">
        <f t="array" ref="AQ126">SUM(AQ3:AQ117)</f>
        <v>0</v>
      </c>
      <c r="AR126" s="112" cm="1">
        <f t="array" ref="AR126">SUM(AR3:AR117)</f>
        <v>0</v>
      </c>
      <c r="AS126" s="112" cm="1">
        <f t="array" ref="AS126">SUM(AS3:AS117)</f>
        <v>0</v>
      </c>
      <c r="AT126" s="112" cm="1">
        <f t="array" ref="AT126">SUM(AT3:AT117)</f>
        <v>0</v>
      </c>
      <c r="AU126" s="112" cm="1">
        <f t="array" ref="AU126">SUM(AU3:AU117)</f>
        <v>0</v>
      </c>
      <c r="AV126" s="112" cm="1">
        <f t="array" ref="AV126">SUM(AV3:AV117)</f>
        <v>0</v>
      </c>
      <c r="AW126" s="30"/>
      <c r="AX126" s="30"/>
      <c r="AY126" s="30"/>
      <c r="AZ126" s="74"/>
      <c r="BA126" s="16"/>
      <c r="BB126" s="16"/>
      <c r="BC126" s="16"/>
    </row>
    <row r="127" ht="17.5" customHeight="1">
      <c r="A127" t="s" s="83">
        <v>1496</v>
      </c>
      <c r="B127" s="112">
        <v>1921</v>
      </c>
      <c r="C127" s="112">
        <v>21</v>
      </c>
      <c r="D127" t="s" s="83">
        <v>1497</v>
      </c>
      <c r="E127" s="30"/>
      <c r="F127" s="30"/>
      <c r="G127" s="30"/>
      <c r="H127" s="112">
        <v>7</v>
      </c>
      <c r="I127" s="112" cm="1">
        <f t="array" ref="I127">SUM(J126:M126)</f>
        <v>86</v>
      </c>
      <c r="J127" s="30"/>
      <c r="K127" s="30"/>
      <c r="L127" s="30"/>
      <c r="M127" s="121"/>
      <c r="N127" s="118" cm="1">
        <f t="array" ref="N127">SUM(N126:S126)</f>
        <v>86</v>
      </c>
      <c r="O127" s="121"/>
      <c r="P127" s="121"/>
      <c r="Q127" s="121"/>
      <c r="R127" s="121"/>
      <c r="S127" s="121"/>
      <c r="T127" s="86" cm="1">
        <f t="array" ref="T127">T126/N127</f>
        <v>35.2325581395349</v>
      </c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74"/>
      <c r="BA127" s="16"/>
      <c r="BB127" s="16"/>
      <c r="BC127" s="16"/>
    </row>
    <row r="128" ht="17" customHeight="1">
      <c r="A128" s="83"/>
      <c r="B128" s="30"/>
      <c r="C128" t="s" s="83">
        <v>1664</v>
      </c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74"/>
      <c r="BA128" s="16"/>
      <c r="BB128" s="16"/>
      <c r="BC128" s="16"/>
    </row>
    <row r="129" ht="17.5" customHeight="1">
      <c r="A129" s="30"/>
      <c r="B129" s="30"/>
      <c r="C129" t="s" s="83">
        <v>1665</v>
      </c>
      <c r="D129" s="30"/>
      <c r="E129" s="30"/>
      <c r="F129" s="30"/>
      <c r="G129" s="30"/>
      <c r="H129" s="30"/>
      <c r="I129" s="30"/>
      <c r="J129" s="30"/>
      <c r="K129" s="30"/>
      <c r="L129" s="30"/>
      <c r="M129" s="121"/>
      <c r="N129" s="121"/>
      <c r="O129" s="121"/>
      <c r="P129" s="121"/>
      <c r="Q129" s="121"/>
      <c r="R129" s="121"/>
      <c r="S129" s="121"/>
      <c r="T129" s="121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74"/>
      <c r="BA129" s="16"/>
      <c r="BB129" s="16"/>
      <c r="BC129" s="16"/>
    </row>
    <row r="130" ht="17.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121"/>
      <c r="N130" s="121"/>
      <c r="O130" s="121"/>
      <c r="P130" s="121"/>
      <c r="Q130" s="121"/>
      <c r="R130" s="121"/>
      <c r="S130" s="121"/>
      <c r="T130" s="121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74"/>
      <c r="BA130" s="16"/>
      <c r="BB130" s="16"/>
      <c r="BC130" s="16"/>
    </row>
    <row r="131" ht="17.5" customHeight="1">
      <c r="A131" s="124"/>
      <c r="B131" s="124"/>
      <c r="C131" s="124"/>
      <c r="D131" s="28"/>
      <c r="E131" s="124"/>
      <c r="F131" s="28"/>
      <c r="G131" s="28"/>
      <c r="H131" s="28"/>
      <c r="I131" s="28"/>
      <c r="J131" s="28"/>
      <c r="K131" s="125"/>
      <c r="L131" s="28"/>
      <c r="M131" s="28"/>
      <c r="N131" s="28"/>
      <c r="O131" s="28"/>
      <c r="P131" s="28"/>
      <c r="Q131" s="125"/>
      <c r="R131" s="125"/>
      <c r="S131" s="125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74"/>
      <c r="BA131" s="16"/>
      <c r="BB131" s="16"/>
      <c r="BC131" s="16"/>
    </row>
    <row r="132" ht="28" customHeight="1">
      <c r="A132" s="124"/>
      <c r="B132" s="124"/>
      <c r="C132" s="124"/>
      <c r="D132" s="28"/>
      <c r="E132" s="124"/>
      <c r="F132" s="28"/>
      <c r="G132" s="28"/>
      <c r="H132" s="28"/>
      <c r="I132" s="28"/>
      <c r="J132" s="163"/>
      <c r="K132" s="164"/>
      <c r="L132" s="165"/>
      <c r="M132" s="28"/>
      <c r="N132" s="28"/>
      <c r="O132" s="28"/>
      <c r="P132" s="163"/>
      <c r="Q132" s="164"/>
      <c r="R132" s="164"/>
      <c r="S132" s="164"/>
      <c r="T132" s="166"/>
      <c r="U132" s="28"/>
      <c r="V132" s="28"/>
      <c r="W132" s="28"/>
      <c r="X132" s="28"/>
      <c r="Y132" s="28"/>
      <c r="Z132" s="28"/>
      <c r="AA132" s="28"/>
      <c r="AB132" s="28"/>
      <c r="AC132" s="28"/>
      <c r="AD132" s="124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74"/>
      <c r="BA132" s="16"/>
      <c r="BB132" s="16"/>
      <c r="BC132" s="16"/>
    </row>
    <row r="133" ht="17.5" customHeight="1">
      <c r="A133" s="146"/>
      <c r="B133" s="30"/>
      <c r="C133" s="30"/>
      <c r="D133" s="30"/>
      <c r="E133" s="30"/>
      <c r="F133" s="30"/>
      <c r="G133" s="30"/>
      <c r="H133" s="30"/>
      <c r="I133" s="30"/>
      <c r="J133" s="30"/>
      <c r="K133" s="141"/>
      <c r="L133" s="30"/>
      <c r="M133" s="121"/>
      <c r="N133" s="121"/>
      <c r="O133" s="121"/>
      <c r="P133" s="121"/>
      <c r="Q133" s="147"/>
      <c r="R133" s="147"/>
      <c r="S133" s="147"/>
      <c r="T133" s="121"/>
      <c r="U133" s="121"/>
      <c r="V133" s="121"/>
      <c r="W133" s="121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74"/>
      <c r="BA133" s="16"/>
      <c r="BB133" s="16"/>
      <c r="BC133" s="16"/>
    </row>
    <row r="134" ht="17.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121"/>
      <c r="N134" s="121"/>
      <c r="O134" s="121"/>
      <c r="P134" s="121"/>
      <c r="Q134" s="30"/>
      <c r="R134" s="121"/>
      <c r="S134" s="121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74"/>
      <c r="BA134" s="16"/>
      <c r="BB134" s="16"/>
      <c r="BC134" s="16"/>
    </row>
    <row r="135" ht="17.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121"/>
      <c r="N135" s="121"/>
      <c r="O135" s="121"/>
      <c r="P135" s="121"/>
      <c r="Q135" s="121"/>
      <c r="R135" s="121"/>
      <c r="S135" s="121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74"/>
      <c r="BA135" s="16"/>
      <c r="BB135" s="16"/>
      <c r="BC135" s="16"/>
    </row>
    <row r="136" ht="17.5" customHeight="1">
      <c r="A136" s="30"/>
      <c r="B136" s="30"/>
      <c r="C136" s="30"/>
      <c r="D136" s="30"/>
      <c r="E136" s="30"/>
      <c r="F136" s="30"/>
      <c r="G136" s="30"/>
      <c r="H136" s="116"/>
      <c r="I136" s="62"/>
      <c r="J136" t="s" s="98">
        <v>0</v>
      </c>
      <c r="K136" t="s" s="98">
        <v>1</v>
      </c>
      <c r="L136" t="s" s="98">
        <v>2</v>
      </c>
      <c r="M136" t="s" s="98">
        <v>3</v>
      </c>
      <c r="N136" t="s" s="98">
        <v>4</v>
      </c>
      <c r="O136" t="s" s="98">
        <v>5</v>
      </c>
      <c r="P136" t="s" s="98">
        <v>6</v>
      </c>
      <c r="Q136" t="s" s="98">
        <v>7</v>
      </c>
      <c r="R136" t="s" s="98">
        <v>8</v>
      </c>
      <c r="S136" s="62"/>
      <c r="T136" s="62"/>
      <c r="U136" t="s" s="154">
        <v>1666</v>
      </c>
      <c r="V136" s="121"/>
      <c r="W136" s="121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74"/>
      <c r="BA136" s="16"/>
      <c r="BB136" s="16"/>
      <c r="BC136" s="16"/>
    </row>
    <row r="137" ht="17.5" customHeight="1">
      <c r="A137" s="30"/>
      <c r="B137" s="30"/>
      <c r="C137" s="30"/>
      <c r="D137" s="30"/>
      <c r="E137" s="30"/>
      <c r="F137" s="30"/>
      <c r="G137" s="30"/>
      <c r="H137" s="156">
        <v>31</v>
      </c>
      <c r="I137" s="16"/>
      <c r="J137" t="s" s="96">
        <v>1652</v>
      </c>
      <c r="K137" t="s" s="96">
        <v>69</v>
      </c>
      <c r="L137" t="s" s="96">
        <v>31</v>
      </c>
      <c r="M137" t="s" s="96">
        <v>37</v>
      </c>
      <c r="N137" s="79">
        <v>1894</v>
      </c>
      <c r="O137" s="79">
        <v>27</v>
      </c>
      <c r="P137" t="s" s="96">
        <v>13</v>
      </c>
      <c r="Q137" t="s" s="96">
        <v>75</v>
      </c>
      <c r="R137" t="s" s="96">
        <v>1653</v>
      </c>
      <c r="S137" s="16"/>
      <c r="T137" s="16"/>
      <c r="U137" s="75"/>
      <c r="V137" s="121"/>
      <c r="W137" s="121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74"/>
      <c r="BA137" s="16"/>
      <c r="BB137" s="16"/>
      <c r="BC137" s="16"/>
    </row>
    <row r="138" ht="17.5" customHeight="1">
      <c r="A138" s="30"/>
      <c r="B138" s="30"/>
      <c r="C138" s="30"/>
      <c r="D138" s="30"/>
      <c r="E138" s="30"/>
      <c r="F138" s="30"/>
      <c r="G138" s="30"/>
      <c r="H138" s="74"/>
      <c r="I138" s="16"/>
      <c r="J138" t="s" s="96">
        <v>1654</v>
      </c>
      <c r="K138" t="s" s="96">
        <v>69</v>
      </c>
      <c r="L138" t="s" s="96">
        <v>72</v>
      </c>
      <c r="M138" t="s" s="96">
        <v>12</v>
      </c>
      <c r="N138" s="79">
        <v>1893</v>
      </c>
      <c r="O138" s="79">
        <v>28</v>
      </c>
      <c r="P138" t="s" s="96">
        <v>1655</v>
      </c>
      <c r="Q138" t="s" s="96">
        <v>33</v>
      </c>
      <c r="R138" t="s" s="96">
        <v>34</v>
      </c>
      <c r="S138" t="s" s="96">
        <v>1656</v>
      </c>
      <c r="T138" s="16"/>
      <c r="U138" s="75"/>
      <c r="V138" s="121"/>
      <c r="W138" s="121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74"/>
      <c r="BA138" s="16"/>
      <c r="BB138" s="16"/>
      <c r="BC138" s="16"/>
    </row>
    <row r="139" ht="17.5" customHeight="1">
      <c r="A139" s="30"/>
      <c r="B139" s="30"/>
      <c r="C139" s="30"/>
      <c r="D139" s="30"/>
      <c r="E139" s="30"/>
      <c r="F139" s="30"/>
      <c r="G139" s="30"/>
      <c r="H139" s="74"/>
      <c r="I139" s="16"/>
      <c r="J139" t="s" s="96">
        <v>1657</v>
      </c>
      <c r="K139" t="s" s="96">
        <v>69</v>
      </c>
      <c r="L139" t="s" s="96">
        <v>78</v>
      </c>
      <c r="M139" t="s" s="96">
        <v>12</v>
      </c>
      <c r="N139" s="79">
        <v>1919</v>
      </c>
      <c r="O139" s="79">
        <v>2</v>
      </c>
      <c r="P139" t="s" s="96">
        <v>13</v>
      </c>
      <c r="Q139" t="s" s="96">
        <v>34</v>
      </c>
      <c r="R139" t="s" s="96">
        <v>34</v>
      </c>
      <c r="S139" s="16"/>
      <c r="T139" s="16"/>
      <c r="U139" s="75"/>
      <c r="V139" s="121"/>
      <c r="W139" s="121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74"/>
      <c r="BA139" s="16"/>
      <c r="BB139" s="16"/>
      <c r="BC139" s="16"/>
    </row>
    <row r="140" ht="17.5" customHeight="1">
      <c r="A140" s="30"/>
      <c r="B140" s="30"/>
      <c r="C140" s="30"/>
      <c r="D140" s="30"/>
      <c r="E140" s="30"/>
      <c r="F140" s="30"/>
      <c r="G140" s="30"/>
      <c r="H140" s="74"/>
      <c r="I140" s="16"/>
      <c r="J140" t="s" s="96">
        <v>1658</v>
      </c>
      <c r="K140" t="s" s="96">
        <v>69</v>
      </c>
      <c r="L140" t="s" s="96">
        <v>78</v>
      </c>
      <c r="M140" t="s" s="96">
        <v>12</v>
      </c>
      <c r="N140" s="79">
        <v>1921</v>
      </c>
      <c r="O140" t="s" s="96">
        <v>34</v>
      </c>
      <c r="P140" t="s" s="96">
        <v>13</v>
      </c>
      <c r="Q140" t="s" s="96">
        <v>34</v>
      </c>
      <c r="R140" t="s" s="96">
        <v>34</v>
      </c>
      <c r="S140" s="16"/>
      <c r="T140" s="16"/>
      <c r="U140" s="75"/>
      <c r="V140" s="121"/>
      <c r="W140" s="121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74"/>
      <c r="BA140" s="16"/>
      <c r="BB140" s="16"/>
      <c r="BC140" s="16"/>
    </row>
    <row r="141" ht="17" customHeight="1">
      <c r="A141" s="30"/>
      <c r="B141" s="30"/>
      <c r="C141" s="30"/>
      <c r="D141" s="30"/>
      <c r="E141" s="30"/>
      <c r="F141" s="30"/>
      <c r="G141" s="30"/>
      <c r="H141" s="74"/>
      <c r="I141" s="16"/>
      <c r="J141" t="s" s="96">
        <v>1320</v>
      </c>
      <c r="K141" t="s" s="96">
        <v>1125</v>
      </c>
      <c r="L141" t="s" s="96">
        <v>11</v>
      </c>
      <c r="M141" t="s" s="96">
        <v>12</v>
      </c>
      <c r="N141" s="79">
        <v>1882</v>
      </c>
      <c r="O141" s="79">
        <v>38</v>
      </c>
      <c r="P141" t="s" s="96">
        <v>1659</v>
      </c>
      <c r="Q141" t="s" s="96">
        <v>45</v>
      </c>
      <c r="R141" t="s" s="96">
        <v>15</v>
      </c>
      <c r="S141" s="16"/>
      <c r="T141" s="16"/>
      <c r="U141" s="75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74"/>
      <c r="BA141" s="16"/>
      <c r="BB141" s="16"/>
      <c r="BC141" s="16"/>
    </row>
    <row r="142" ht="17.5" customHeight="1">
      <c r="A142" s="30"/>
      <c r="B142" s="30"/>
      <c r="C142" s="30"/>
      <c r="D142" s="30"/>
      <c r="E142" s="30"/>
      <c r="F142" s="30"/>
      <c r="G142" s="30"/>
      <c r="H142" s="74"/>
      <c r="I142" s="16"/>
      <c r="J142" t="s" s="96">
        <v>109</v>
      </c>
      <c r="K142" t="s" s="96">
        <v>1660</v>
      </c>
      <c r="L142" t="s" s="96">
        <v>11</v>
      </c>
      <c r="M142" t="s" s="96">
        <v>12</v>
      </c>
      <c r="N142" s="79">
        <v>1904</v>
      </c>
      <c r="O142" s="79">
        <v>16</v>
      </c>
      <c r="P142" t="s" s="96">
        <v>1661</v>
      </c>
      <c r="Q142" t="s" s="96">
        <v>101</v>
      </c>
      <c r="R142" t="s" s="96">
        <v>15</v>
      </c>
      <c r="S142" s="16"/>
      <c r="T142" s="16"/>
      <c r="U142" s="75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74"/>
      <c r="BA142" s="16"/>
      <c r="BB142" s="16"/>
      <c r="BC142" s="16"/>
    </row>
    <row r="143" ht="17.5" customHeight="1">
      <c r="A143" s="30"/>
      <c r="B143" s="30"/>
      <c r="C143" s="30"/>
      <c r="D143" s="30"/>
      <c r="E143" s="30"/>
      <c r="F143" s="30"/>
      <c r="G143" s="30"/>
      <c r="H143" s="131"/>
      <c r="I143" s="132"/>
      <c r="J143" t="s" s="181">
        <v>109</v>
      </c>
      <c r="K143" t="s" s="181">
        <v>1662</v>
      </c>
      <c r="L143" t="s" s="181">
        <v>11</v>
      </c>
      <c r="M143" t="s" s="181">
        <v>12</v>
      </c>
      <c r="N143" s="126">
        <v>1904</v>
      </c>
      <c r="O143" s="126">
        <v>17</v>
      </c>
      <c r="P143" t="s" s="181">
        <v>1663</v>
      </c>
      <c r="Q143" t="s" s="181">
        <v>1438</v>
      </c>
      <c r="R143" t="s" s="181">
        <v>15</v>
      </c>
      <c r="S143" s="132"/>
      <c r="T143" s="132"/>
      <c r="U143" s="133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74"/>
      <c r="BA143" s="16"/>
      <c r="BB143" s="16"/>
      <c r="BC143" s="16"/>
    </row>
    <row r="144" ht="17.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121"/>
      <c r="N144" s="121"/>
      <c r="O144" s="121"/>
      <c r="P144" s="121"/>
      <c r="Q144" s="30"/>
      <c r="R144" s="121"/>
      <c r="S144" s="121"/>
      <c r="T144" s="30"/>
      <c r="U144" s="121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74"/>
      <c r="BA144" s="16"/>
      <c r="BB144" s="16"/>
      <c r="BC144" s="16"/>
    </row>
    <row r="145" ht="17.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121"/>
      <c r="N145" s="121"/>
      <c r="O145" s="121"/>
      <c r="P145" s="121"/>
      <c r="Q145" s="30"/>
      <c r="R145" s="121"/>
      <c r="S145" s="121"/>
      <c r="T145" s="129"/>
      <c r="U145" s="121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74"/>
      <c r="BA145" s="16"/>
      <c r="BB145" s="16"/>
      <c r="BC145" s="16"/>
    </row>
    <row r="146" ht="17.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121"/>
      <c r="N146" s="121"/>
      <c r="O146" s="121"/>
      <c r="P146" s="121"/>
      <c r="Q146" s="30"/>
      <c r="R146" s="121"/>
      <c r="S146" s="121"/>
      <c r="T146" s="30"/>
      <c r="U146" s="121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74"/>
      <c r="BA146" s="16"/>
      <c r="BB146" s="16"/>
      <c r="BC146" s="16"/>
    </row>
    <row r="147" ht="17.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121"/>
      <c r="N147" s="121"/>
      <c r="O147" s="121"/>
      <c r="P147" s="121"/>
      <c r="Q147" s="30"/>
      <c r="R147" s="121"/>
      <c r="S147" s="121"/>
      <c r="T147" s="30"/>
      <c r="U147" s="121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74"/>
      <c r="BA147" s="16"/>
      <c r="BB147" s="16"/>
      <c r="BC147" s="16"/>
    </row>
    <row r="148" ht="17.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121"/>
      <c r="N148" s="121"/>
      <c r="O148" s="121"/>
      <c r="P148" s="121"/>
      <c r="Q148" s="30"/>
      <c r="R148" s="121"/>
      <c r="S148" s="121"/>
      <c r="T148" s="30"/>
      <c r="U148" s="121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74"/>
      <c r="BA148" s="16"/>
      <c r="BB148" s="16"/>
      <c r="BC148" s="16"/>
    </row>
    <row r="149" ht="17" customHeight="1">
      <c r="A149" t="s" s="83">
        <v>723</v>
      </c>
      <c r="B149" s="30"/>
      <c r="C149" s="30"/>
      <c r="D149" s="30"/>
      <c r="E149" s="30"/>
      <c r="F149" s="30"/>
      <c r="G149" s="112" cm="1">
        <f t="array" ref="G149">SUM(G3:G148)</f>
        <v>0</v>
      </c>
      <c r="H149" s="112" cm="1">
        <f t="array" ref="H149">SUM(H3:H148)</f>
        <v>117</v>
      </c>
      <c r="I149" s="112" cm="1">
        <f t="array" ref="I149">SUM(I3:I148)</f>
        <v>3913</v>
      </c>
      <c r="J149" s="112" cm="1">
        <f t="array" ref="J149">SUM(J3:J148)</f>
        <v>108</v>
      </c>
      <c r="K149" s="112" cm="1">
        <f t="array" ref="K149">SUM(K3:K148)</f>
        <v>50</v>
      </c>
      <c r="L149" s="112" cm="1">
        <f t="array" ref="L149">SUM(L3:L148)</f>
        <v>10</v>
      </c>
      <c r="M149" s="112" cm="1">
        <f t="array" ref="M149">SUM(M3:M148)</f>
        <v>4</v>
      </c>
      <c r="N149" s="112" cm="1">
        <f t="array" ref="N149">SUM(N3:N148)</f>
        <v>13443</v>
      </c>
      <c r="O149" s="30"/>
      <c r="P149" s="112" cm="1">
        <f t="array" ref="P149">SUM(P3:P148)</f>
        <v>26</v>
      </c>
      <c r="Q149" s="112" cm="1">
        <f t="array" ref="Q149">SUM(Q3:Q148)</f>
        <v>12</v>
      </c>
      <c r="R149" s="112" cm="1">
        <f t="array" ref="R149">SUM(R3:R148)</f>
        <v>20</v>
      </c>
      <c r="S149" s="112" cm="1">
        <f t="array" ref="S149">SUM(S3:S148)</f>
        <v>42</v>
      </c>
      <c r="T149" s="112" cm="1">
        <f t="array" ref="T149">SUM(T3:T148)</f>
        <v>6095.232558139530</v>
      </c>
      <c r="U149" s="112" cm="1">
        <f t="array" ref="U149">SUM(U3:U148)</f>
        <v>0</v>
      </c>
      <c r="V149" s="112" cm="1">
        <f t="array" ref="V149">SUM(V3:V148)</f>
        <v>0</v>
      </c>
      <c r="W149" s="112" cm="1">
        <f t="array" ref="W149">SUM(W3:W148)</f>
        <v>0</v>
      </c>
      <c r="X149" s="30"/>
      <c r="Y149" s="30"/>
      <c r="Z149" s="112" cm="1">
        <f t="array" ref="Z149">SUM(Z3:Z148)</f>
        <v>0</v>
      </c>
      <c r="AA149" s="112" cm="1">
        <f t="array" ref="AA149">SUM(AA3:AA148)</f>
        <v>0</v>
      </c>
      <c r="AB149" s="112" cm="1">
        <f t="array" ref="AB149">SUM(AB3:AB148)</f>
        <v>0</v>
      </c>
      <c r="AC149" s="112" cm="1">
        <f t="array" ref="AC149">SUM(AC3:AC148)</f>
        <v>100</v>
      </c>
      <c r="AD149" s="112" cm="1">
        <f t="array" ref="AD149">SUM(AD3:AD148)</f>
        <v>16</v>
      </c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74"/>
      <c r="BA149" s="16"/>
      <c r="BB149" s="16"/>
      <c r="BC149" s="16"/>
    </row>
    <row r="150" ht="17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87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74"/>
      <c r="BA150" s="16"/>
      <c r="BB150" s="16"/>
      <c r="BC150" s="16"/>
    </row>
    <row r="151" ht="17" customHeight="1">
      <c r="A151" s="30"/>
      <c r="B151" s="30"/>
      <c r="C151" s="30"/>
      <c r="D151" s="30"/>
      <c r="E151" s="30"/>
      <c r="F151" s="30"/>
      <c r="G151" s="130"/>
      <c r="H151" s="130"/>
      <c r="I151" s="130"/>
      <c r="J151" s="30"/>
      <c r="K151" s="30"/>
      <c r="L151" s="30"/>
      <c r="M151" s="30"/>
      <c r="N151" s="30"/>
      <c r="O151" s="30"/>
      <c r="P151" s="30"/>
      <c r="Q151" s="87"/>
      <c r="R151" s="130"/>
      <c r="S151" s="130"/>
      <c r="T151" s="1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74"/>
      <c r="BA151" s="16"/>
      <c r="BB151" s="16"/>
      <c r="BC151" s="16"/>
    </row>
    <row r="152" ht="17.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121"/>
      <c r="S152" s="121"/>
      <c r="T152" s="129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74"/>
      <c r="BA152" s="16"/>
      <c r="BB152" s="16"/>
      <c r="BC152" s="16"/>
    </row>
    <row r="153" ht="17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130"/>
      <c r="S153" s="130"/>
      <c r="T153" s="130"/>
      <c r="U153" s="30"/>
      <c r="V153" s="30"/>
      <c r="W153" s="30"/>
      <c r="X153" s="30"/>
      <c r="Y153" s="30"/>
      <c r="Z153" s="30"/>
      <c r="AA153" s="30"/>
      <c r="AB153" s="30"/>
      <c r="AC153" s="134"/>
      <c r="AD153" s="134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74"/>
      <c r="BA153" s="16"/>
      <c r="BB153" s="16"/>
      <c r="BC153" s="16"/>
    </row>
    <row r="154" ht="17.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121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74"/>
      <c r="BA154" s="16"/>
      <c r="BB154" s="16"/>
      <c r="BC154" s="16"/>
    </row>
    <row r="155" ht="15.35" customHeight="1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62"/>
      <c r="AF155" s="62"/>
      <c r="AG155" s="62"/>
      <c r="AH155" s="62"/>
      <c r="AI155" s="62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16"/>
      <c r="BA155" s="16"/>
      <c r="BB155" s="16"/>
      <c r="BC155" s="16"/>
    </row>
    <row r="156" ht="15.3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</row>
    <row r="157" ht="15.3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</row>
    <row r="158" ht="15.35" customHeight="1">
      <c r="A158" s="16"/>
      <c r="B158" s="16"/>
      <c r="C158" s="16"/>
      <c r="D158" s="16"/>
      <c r="E158" s="16"/>
      <c r="F158" s="16"/>
      <c r="G158" s="16"/>
      <c r="H158" t="s" s="96">
        <v>0</v>
      </c>
      <c r="I158" t="s" s="96">
        <v>1</v>
      </c>
      <c r="J158" t="s" s="96">
        <v>2</v>
      </c>
      <c r="K158" t="s" s="96">
        <v>3</v>
      </c>
      <c r="L158" t="s" s="96">
        <v>4</v>
      </c>
      <c r="M158" t="s" s="96">
        <v>5</v>
      </c>
      <c r="N158" t="s" s="96">
        <v>6</v>
      </c>
      <c r="O158" t="s" s="96">
        <v>7</v>
      </c>
      <c r="P158" t="s" s="96">
        <v>8</v>
      </c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</row>
    <row r="159" ht="15.35" customHeight="1">
      <c r="A159" s="16"/>
      <c r="B159" s="16"/>
      <c r="C159" s="16"/>
      <c r="D159" s="16"/>
      <c r="E159" s="16"/>
      <c r="F159" s="79">
        <v>17</v>
      </c>
      <c r="G159" s="16"/>
      <c r="H159" t="s" s="96">
        <v>1499</v>
      </c>
      <c r="I159" t="s" s="96">
        <v>1498</v>
      </c>
      <c r="J159" t="s" s="96">
        <v>31</v>
      </c>
      <c r="K159" t="s" s="96">
        <v>37</v>
      </c>
      <c r="L159" s="79">
        <v>1889</v>
      </c>
      <c r="M159" s="79">
        <v>32</v>
      </c>
      <c r="N159" t="s" s="96">
        <v>13</v>
      </c>
      <c r="O159" t="s" s="96">
        <v>1500</v>
      </c>
      <c r="P159" t="s" s="96">
        <v>8</v>
      </c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</row>
    <row r="160" ht="15.35" customHeight="1">
      <c r="A160" s="16"/>
      <c r="B160" s="16"/>
      <c r="C160" s="16"/>
      <c r="D160" s="16"/>
      <c r="E160" s="16"/>
      <c r="F160" s="16"/>
      <c r="G160" s="16"/>
      <c r="H160" t="s" s="96">
        <v>1501</v>
      </c>
      <c r="I160" t="s" s="96">
        <v>1498</v>
      </c>
      <c r="J160" t="s" s="96">
        <v>72</v>
      </c>
      <c r="K160" t="s" s="96">
        <v>12</v>
      </c>
      <c r="L160" s="79">
        <v>1895</v>
      </c>
      <c r="M160" s="79">
        <v>26</v>
      </c>
      <c r="N160" t="s" s="96">
        <v>1502</v>
      </c>
      <c r="O160" t="s" s="96">
        <v>33</v>
      </c>
      <c r="P160" t="s" s="96">
        <v>34</v>
      </c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</row>
    <row r="161" ht="15.35" customHeight="1">
      <c r="A161" s="16"/>
      <c r="B161" s="16"/>
      <c r="C161" s="16"/>
      <c r="D161" s="16"/>
      <c r="E161" s="16"/>
      <c r="F161" s="16"/>
      <c r="G161" s="16"/>
      <c r="H161" t="s" s="96">
        <v>1503</v>
      </c>
      <c r="I161" t="s" s="96">
        <v>1498</v>
      </c>
      <c r="J161" t="s" s="96">
        <v>78</v>
      </c>
      <c r="K161" t="s" s="96">
        <v>12</v>
      </c>
      <c r="L161" s="79">
        <v>1918</v>
      </c>
      <c r="M161" s="79">
        <v>3</v>
      </c>
      <c r="N161" t="s" s="96">
        <v>13</v>
      </c>
      <c r="O161" t="s" s="96">
        <v>34</v>
      </c>
      <c r="P161" t="s" s="96">
        <v>34</v>
      </c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</row>
    <row r="162" ht="15.35" customHeight="1">
      <c r="A162" s="16"/>
      <c r="B162" s="16"/>
      <c r="C162" s="16"/>
      <c r="D162" s="16"/>
      <c r="E162" s="16"/>
      <c r="F162" s="16"/>
      <c r="G162" s="16"/>
      <c r="H162" t="s" s="96">
        <v>432</v>
      </c>
      <c r="I162" t="s" s="96">
        <v>1504</v>
      </c>
      <c r="J162" t="s" s="96">
        <v>11</v>
      </c>
      <c r="K162" t="s" s="96">
        <v>12</v>
      </c>
      <c r="L162" s="79">
        <v>1889</v>
      </c>
      <c r="M162" s="79">
        <v>31</v>
      </c>
      <c r="N162" t="s" s="96">
        <v>134</v>
      </c>
      <c r="O162" t="s" s="96">
        <v>45</v>
      </c>
      <c r="P162" t="s" s="96">
        <v>15</v>
      </c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</row>
    <row r="163" ht="15.35" customHeight="1">
      <c r="A163" s="16"/>
      <c r="B163" s="16"/>
      <c r="C163" s="16"/>
      <c r="D163" s="16"/>
      <c r="E163" s="16"/>
      <c r="F163" s="16"/>
      <c r="G163" s="16"/>
      <c r="H163" t="s" s="96">
        <v>774</v>
      </c>
      <c r="I163" t="s" s="96">
        <v>1505</v>
      </c>
      <c r="J163" t="s" s="96">
        <v>11</v>
      </c>
      <c r="K163" t="s" s="96">
        <v>12</v>
      </c>
      <c r="L163" s="79">
        <v>1900</v>
      </c>
      <c r="M163" s="79">
        <v>20</v>
      </c>
      <c r="N163" t="s" s="96">
        <v>1291</v>
      </c>
      <c r="O163" t="s" s="96">
        <v>188</v>
      </c>
      <c r="P163" t="s" s="96">
        <v>15</v>
      </c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</row>
    <row r="164" ht="15.35" customHeight="1">
      <c r="A164" s="16"/>
      <c r="B164" s="16"/>
      <c r="C164" s="16"/>
      <c r="D164" s="16"/>
      <c r="E164" s="16"/>
      <c r="F164" s="16"/>
      <c r="G164" s="16"/>
      <c r="H164" t="s" s="96">
        <v>1506</v>
      </c>
      <c r="I164" t="s" s="96">
        <v>1101</v>
      </c>
      <c r="J164" t="s" s="96">
        <v>1070</v>
      </c>
      <c r="K164" t="s" s="96">
        <v>12</v>
      </c>
      <c r="L164" s="79">
        <v>1895</v>
      </c>
      <c r="M164" s="79">
        <v>26</v>
      </c>
      <c r="N164" t="s" s="96">
        <v>155</v>
      </c>
      <c r="O164" t="s" s="96">
        <v>1070</v>
      </c>
      <c r="P164" t="s" s="96">
        <v>15</v>
      </c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</row>
    <row r="165" ht="15.3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</row>
    <row r="166" ht="15.35" customHeight="1">
      <c r="A166" s="16"/>
      <c r="B166" s="16"/>
      <c r="C166" s="16"/>
      <c r="D166" s="16"/>
      <c r="E166" s="16"/>
      <c r="F166" s="79">
        <v>2</v>
      </c>
      <c r="G166" s="16"/>
      <c r="H166" t="s" s="96">
        <v>0</v>
      </c>
      <c r="I166" t="s" s="96">
        <v>1</v>
      </c>
      <c r="J166" t="s" s="96">
        <v>2</v>
      </c>
      <c r="K166" t="s" s="96">
        <v>3</v>
      </c>
      <c r="L166" t="s" s="96">
        <v>4</v>
      </c>
      <c r="M166" t="s" s="96">
        <v>5</v>
      </c>
      <c r="N166" t="s" s="96">
        <v>6</v>
      </c>
      <c r="O166" t="s" s="96">
        <v>7</v>
      </c>
      <c r="P166" t="s" s="96">
        <v>8</v>
      </c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</row>
    <row r="167" ht="15.35" customHeight="1">
      <c r="A167" s="16"/>
      <c r="B167" s="16"/>
      <c r="C167" s="16"/>
      <c r="D167" s="16"/>
      <c r="E167" s="16"/>
      <c r="F167" s="16"/>
      <c r="G167" s="16"/>
      <c r="H167" t="s" s="96">
        <v>1508</v>
      </c>
      <c r="I167" t="s" s="96">
        <v>1507</v>
      </c>
      <c r="J167" t="s" s="96">
        <v>31</v>
      </c>
      <c r="K167" t="s" s="96">
        <v>37</v>
      </c>
      <c r="L167" s="79">
        <v>1878</v>
      </c>
      <c r="M167" s="79">
        <v>43</v>
      </c>
      <c r="N167" t="s" s="96">
        <v>1511</v>
      </c>
      <c r="O167" t="s" s="96">
        <v>1509</v>
      </c>
      <c r="P167" t="s" s="96">
        <v>1510</v>
      </c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</row>
    <row r="168" ht="15.35" customHeight="1">
      <c r="A168" s="16"/>
      <c r="B168" s="16"/>
      <c r="C168" s="16"/>
      <c r="D168" s="16"/>
      <c r="E168" s="16"/>
      <c r="F168" s="16"/>
      <c r="G168" s="16"/>
      <c r="H168" t="s" s="96">
        <v>1512</v>
      </c>
      <c r="I168" t="s" s="96">
        <v>1507</v>
      </c>
      <c r="J168" t="s" s="96">
        <v>72</v>
      </c>
      <c r="K168" t="s" s="96">
        <v>12</v>
      </c>
      <c r="L168" s="79">
        <v>1878</v>
      </c>
      <c r="M168" s="79">
        <v>43</v>
      </c>
      <c r="N168" t="s" s="96">
        <v>134</v>
      </c>
      <c r="O168" t="s" s="96">
        <v>1513</v>
      </c>
      <c r="P168" t="s" s="96">
        <v>15</v>
      </c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</row>
    <row r="169" ht="15.35" customHeight="1">
      <c r="A169" s="16"/>
      <c r="B169" s="16"/>
      <c r="C169" s="16"/>
      <c r="D169" s="16"/>
      <c r="E169" s="16"/>
      <c r="F169" s="16"/>
      <c r="G169" s="16"/>
      <c r="H169" t="s" s="96">
        <v>77</v>
      </c>
      <c r="I169" t="s" s="96">
        <v>1507</v>
      </c>
      <c r="J169" t="s" s="96">
        <v>78</v>
      </c>
      <c r="K169" t="s" s="96">
        <v>12</v>
      </c>
      <c r="L169" s="79">
        <v>1902</v>
      </c>
      <c r="M169" s="79">
        <v>19</v>
      </c>
      <c r="N169" t="s" s="96">
        <v>1516</v>
      </c>
      <c r="O169" t="s" s="96">
        <v>1514</v>
      </c>
      <c r="P169" t="s" s="96">
        <v>1515</v>
      </c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</row>
    <row r="170" ht="15.3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</row>
    <row r="171" ht="15.35" customHeight="1">
      <c r="A171" s="16"/>
      <c r="B171" s="16"/>
      <c r="C171" s="16"/>
      <c r="D171" s="16"/>
      <c r="E171" s="16"/>
      <c r="F171" s="16"/>
      <c r="G171" s="16"/>
      <c r="H171" t="s" s="96">
        <v>0</v>
      </c>
      <c r="I171" t="s" s="96">
        <v>1</v>
      </c>
      <c r="J171" t="s" s="96">
        <v>2</v>
      </c>
      <c r="K171" t="s" s="96">
        <v>3</v>
      </c>
      <c r="L171" t="s" s="96">
        <v>4</v>
      </c>
      <c r="M171" t="s" s="96">
        <v>5</v>
      </c>
      <c r="N171" t="s" s="96">
        <v>6</v>
      </c>
      <c r="O171" t="s" s="96">
        <v>7</v>
      </c>
      <c r="P171" t="s" s="96">
        <v>8</v>
      </c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</row>
    <row r="172" ht="15.35" customHeight="1">
      <c r="A172" s="16"/>
      <c r="B172" s="16"/>
      <c r="C172" s="16"/>
      <c r="D172" s="16"/>
      <c r="E172" s="16"/>
      <c r="F172" s="79">
        <v>3</v>
      </c>
      <c r="G172" s="16"/>
      <c r="H172" t="s" s="96">
        <v>1517</v>
      </c>
      <c r="I172" t="s" s="96">
        <v>137</v>
      </c>
      <c r="J172" t="s" s="96">
        <v>31</v>
      </c>
      <c r="K172" t="s" s="96">
        <v>37</v>
      </c>
      <c r="L172" s="79">
        <v>1888</v>
      </c>
      <c r="M172" s="79">
        <v>33</v>
      </c>
      <c r="N172" t="s" s="96">
        <v>13</v>
      </c>
      <c r="O172" t="s" s="96">
        <v>1518</v>
      </c>
      <c r="P172" t="s" s="96">
        <v>8</v>
      </c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</row>
    <row r="173" ht="15.35" customHeight="1">
      <c r="A173" s="16"/>
      <c r="B173" s="16"/>
      <c r="C173" s="16"/>
      <c r="D173" s="16"/>
      <c r="E173" s="16"/>
      <c r="F173" s="16"/>
      <c r="G173" s="16"/>
      <c r="H173" t="s" s="96">
        <v>1519</v>
      </c>
      <c r="I173" t="s" s="96">
        <v>137</v>
      </c>
      <c r="J173" t="s" s="96">
        <v>72</v>
      </c>
      <c r="K173" t="s" s="96">
        <v>12</v>
      </c>
      <c r="L173" s="79">
        <v>1895</v>
      </c>
      <c r="M173" s="79">
        <v>26</v>
      </c>
      <c r="N173" t="s" s="96">
        <v>1520</v>
      </c>
      <c r="O173" t="s" s="96">
        <v>33</v>
      </c>
      <c r="P173" t="s" s="96">
        <v>34</v>
      </c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</row>
    <row r="174" ht="15.3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</row>
    <row r="175" ht="15.35" customHeight="1">
      <c r="A175" s="16"/>
      <c r="B175" s="16"/>
      <c r="C175" s="16"/>
      <c r="D175" s="16"/>
      <c r="E175" s="16"/>
      <c r="F175" s="16"/>
      <c r="G175" s="16"/>
      <c r="H175" t="s" s="96">
        <v>0</v>
      </c>
      <c r="I175" t="s" s="96">
        <v>1</v>
      </c>
      <c r="J175" t="s" s="96">
        <v>2</v>
      </c>
      <c r="K175" t="s" s="96">
        <v>3</v>
      </c>
      <c r="L175" t="s" s="96">
        <v>4</v>
      </c>
      <c r="M175" t="s" s="96">
        <v>5</v>
      </c>
      <c r="N175" t="s" s="96">
        <v>6</v>
      </c>
      <c r="O175" t="s" s="96">
        <v>7</v>
      </c>
      <c r="P175" t="s" s="96">
        <v>8</v>
      </c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</row>
    <row r="176" ht="15.35" customHeight="1">
      <c r="A176" s="16"/>
      <c r="B176" s="16"/>
      <c r="C176" s="16"/>
      <c r="D176" s="16"/>
      <c r="E176" s="16"/>
      <c r="F176" s="79">
        <v>4</v>
      </c>
      <c r="G176" s="16"/>
      <c r="H176" t="s" s="96">
        <v>1522</v>
      </c>
      <c r="I176" t="s" s="96">
        <v>1521</v>
      </c>
      <c r="J176" t="s" s="96">
        <v>31</v>
      </c>
      <c r="K176" t="s" s="96">
        <v>37</v>
      </c>
      <c r="L176" s="79">
        <v>1880</v>
      </c>
      <c r="M176" s="79">
        <v>40</v>
      </c>
      <c r="N176" t="s" s="96">
        <v>1133</v>
      </c>
      <c r="O176" t="s" s="96">
        <v>1523</v>
      </c>
      <c r="P176" t="s" s="96">
        <v>1524</v>
      </c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</row>
    <row r="177" ht="15.35" customHeight="1">
      <c r="A177" s="16"/>
      <c r="B177" s="16"/>
      <c r="C177" s="16"/>
      <c r="D177" s="16"/>
      <c r="E177" s="16"/>
      <c r="F177" s="16"/>
      <c r="G177" s="16"/>
      <c r="H177" t="s" s="96">
        <v>1525</v>
      </c>
      <c r="I177" t="s" s="96">
        <v>1521</v>
      </c>
      <c r="J177" t="s" s="96">
        <v>72</v>
      </c>
      <c r="K177" t="s" s="96">
        <v>12</v>
      </c>
      <c r="L177" s="79">
        <v>1889</v>
      </c>
      <c r="M177" s="79">
        <v>32</v>
      </c>
      <c r="N177" t="s" s="96">
        <v>1526</v>
      </c>
      <c r="O177" t="s" s="96">
        <v>33</v>
      </c>
      <c r="P177" t="s" s="96">
        <v>34</v>
      </c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</row>
    <row r="178" ht="15.35" customHeight="1">
      <c r="A178" s="16"/>
      <c r="B178" s="16"/>
      <c r="C178" s="16"/>
      <c r="D178" s="16"/>
      <c r="E178" s="16"/>
      <c r="F178" s="16"/>
      <c r="G178" s="16"/>
      <c r="H178" t="s" s="96">
        <v>1527</v>
      </c>
      <c r="I178" t="s" s="96">
        <v>1521</v>
      </c>
      <c r="J178" t="s" s="96">
        <v>78</v>
      </c>
      <c r="K178" t="s" s="96">
        <v>12</v>
      </c>
      <c r="L178" s="79">
        <v>1914</v>
      </c>
      <c r="M178" s="79">
        <v>6</v>
      </c>
      <c r="N178" t="s" s="96">
        <v>1528</v>
      </c>
      <c r="O178" t="s" s="96">
        <v>34</v>
      </c>
      <c r="P178" t="s" s="96">
        <v>34</v>
      </c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</row>
    <row r="179" ht="15.3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</row>
    <row r="180" ht="15.35" customHeight="1">
      <c r="A180" s="16"/>
      <c r="B180" s="16"/>
      <c r="C180" s="16"/>
      <c r="D180" s="16"/>
      <c r="E180" s="16"/>
      <c r="F180" s="16"/>
      <c r="G180" s="16"/>
      <c r="H180" t="s" s="96">
        <v>0</v>
      </c>
      <c r="I180" t="s" s="96">
        <v>1</v>
      </c>
      <c r="J180" t="s" s="96">
        <v>2</v>
      </c>
      <c r="K180" t="s" s="96">
        <v>3</v>
      </c>
      <c r="L180" t="s" s="96">
        <v>4</v>
      </c>
      <c r="M180" t="s" s="96">
        <v>5</v>
      </c>
      <c r="N180" t="s" s="96">
        <v>6</v>
      </c>
      <c r="O180" t="s" s="96">
        <v>7</v>
      </c>
      <c r="P180" t="s" s="96">
        <v>8</v>
      </c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</row>
    <row r="181" ht="15.35" customHeight="1">
      <c r="A181" s="16"/>
      <c r="B181" s="16"/>
      <c r="C181" s="16"/>
      <c r="D181" s="16"/>
      <c r="E181" s="16"/>
      <c r="F181" s="79">
        <v>5</v>
      </c>
      <c r="G181" s="16"/>
      <c r="H181" t="s" s="96">
        <v>1530</v>
      </c>
      <c r="I181" t="s" s="96">
        <v>1529</v>
      </c>
      <c r="J181" t="s" s="96">
        <v>31</v>
      </c>
      <c r="K181" t="s" s="96">
        <v>37</v>
      </c>
      <c r="L181" s="79">
        <v>1865</v>
      </c>
      <c r="M181" s="79">
        <v>56</v>
      </c>
      <c r="N181" t="s" s="96">
        <v>13</v>
      </c>
      <c r="O181" t="s" s="96">
        <v>1531</v>
      </c>
      <c r="P181" t="s" s="96">
        <v>1532</v>
      </c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</row>
    <row r="182" ht="15.35" customHeight="1">
      <c r="A182" s="16"/>
      <c r="B182" s="16"/>
      <c r="C182" s="16"/>
      <c r="D182" s="16"/>
      <c r="E182" s="16"/>
      <c r="F182" s="16"/>
      <c r="G182" s="16"/>
      <c r="H182" t="s" s="96">
        <v>1533</v>
      </c>
      <c r="I182" t="s" s="96">
        <v>1529</v>
      </c>
      <c r="J182" t="s" s="96">
        <v>72</v>
      </c>
      <c r="K182" t="s" s="96">
        <v>12</v>
      </c>
      <c r="L182" s="79">
        <v>1869</v>
      </c>
      <c r="M182" s="79">
        <v>52</v>
      </c>
      <c r="N182" t="s" s="96">
        <v>790</v>
      </c>
      <c r="O182" t="s" s="96">
        <v>94</v>
      </c>
      <c r="P182" t="s" s="96">
        <v>34</v>
      </c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</row>
    <row r="183" ht="15.35" customHeight="1">
      <c r="A183" s="16"/>
      <c r="B183" s="16"/>
      <c r="C183" s="16"/>
      <c r="D183" s="16"/>
      <c r="E183" s="16"/>
      <c r="F183" s="16"/>
      <c r="G183" s="16"/>
      <c r="H183" t="s" s="96">
        <v>1535</v>
      </c>
      <c r="I183" t="s" s="96">
        <v>1534</v>
      </c>
      <c r="J183" t="s" s="96">
        <v>11</v>
      </c>
      <c r="K183" t="s" s="96">
        <v>12</v>
      </c>
      <c r="L183" s="79">
        <v>1882</v>
      </c>
      <c r="M183" s="79">
        <v>39</v>
      </c>
      <c r="N183" t="s" s="96">
        <v>1537</v>
      </c>
      <c r="O183" t="s" s="96">
        <v>45</v>
      </c>
      <c r="P183" t="s" s="96">
        <v>1536</v>
      </c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</row>
    <row r="184" ht="15.35" customHeight="1">
      <c r="A184" s="16"/>
      <c r="B184" s="16"/>
      <c r="C184" s="16"/>
      <c r="D184" s="16"/>
      <c r="E184" s="16"/>
      <c r="F184" s="16"/>
      <c r="G184" s="16"/>
      <c r="H184" t="s" s="96">
        <v>1525</v>
      </c>
      <c r="I184" t="s" s="96">
        <v>1534</v>
      </c>
      <c r="J184" t="s" s="96">
        <v>11</v>
      </c>
      <c r="K184" t="s" s="96">
        <v>12</v>
      </c>
      <c r="L184" s="79">
        <v>1903</v>
      </c>
      <c r="M184" s="79">
        <v>18</v>
      </c>
      <c r="N184" t="s" s="96">
        <v>1538</v>
      </c>
      <c r="O184" t="s" s="96">
        <v>55</v>
      </c>
      <c r="P184" t="s" s="96">
        <v>1536</v>
      </c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</row>
    <row r="185" ht="15.3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</row>
    <row r="186" ht="15.35" customHeight="1">
      <c r="A186" s="16"/>
      <c r="B186" s="16"/>
      <c r="C186" s="16"/>
      <c r="D186" s="16"/>
      <c r="E186" s="16"/>
      <c r="F186" s="16"/>
      <c r="G186" s="16"/>
      <c r="H186" t="s" s="96">
        <v>0</v>
      </c>
      <c r="I186" t="s" s="96">
        <v>1</v>
      </c>
      <c r="J186" t="s" s="96">
        <v>2</v>
      </c>
      <c r="K186" t="s" s="96">
        <v>3</v>
      </c>
      <c r="L186" t="s" s="96">
        <v>4</v>
      </c>
      <c r="M186" t="s" s="96">
        <v>5</v>
      </c>
      <c r="N186" t="s" s="96">
        <v>6</v>
      </c>
      <c r="O186" t="s" s="96">
        <v>7</v>
      </c>
      <c r="P186" t="s" s="96">
        <v>8</v>
      </c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</row>
    <row r="187" ht="15.35" customHeight="1">
      <c r="A187" s="16"/>
      <c r="B187" s="16"/>
      <c r="C187" s="16"/>
      <c r="D187" s="16"/>
      <c r="E187" s="16"/>
      <c r="F187" s="79">
        <v>6</v>
      </c>
      <c r="G187" s="16"/>
      <c r="H187" t="s" s="96">
        <v>1001</v>
      </c>
      <c r="I187" t="s" s="96">
        <v>1539</v>
      </c>
      <c r="J187" t="s" s="96">
        <v>31</v>
      </c>
      <c r="K187" t="s" s="96">
        <v>37</v>
      </c>
      <c r="L187" s="79">
        <v>1887</v>
      </c>
      <c r="M187" s="79">
        <v>33</v>
      </c>
      <c r="N187" t="s" s="96">
        <v>1542</v>
      </c>
      <c r="O187" t="s" s="96">
        <v>1540</v>
      </c>
      <c r="P187" t="s" s="96">
        <v>1541</v>
      </c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</row>
    <row r="188" ht="15.35" customHeight="1">
      <c r="A188" s="16"/>
      <c r="B188" s="16"/>
      <c r="C188" s="16"/>
      <c r="D188" s="16"/>
      <c r="E188" s="16"/>
      <c r="F188" s="16"/>
      <c r="G188" s="16"/>
      <c r="H188" t="s" s="96">
        <v>192</v>
      </c>
      <c r="I188" t="s" s="96">
        <v>1539</v>
      </c>
      <c r="J188" t="s" s="96">
        <v>72</v>
      </c>
      <c r="K188" t="s" s="96">
        <v>12</v>
      </c>
      <c r="L188" s="79">
        <v>1886</v>
      </c>
      <c r="M188" s="79">
        <v>34</v>
      </c>
      <c r="N188" t="s" s="96">
        <v>1543</v>
      </c>
      <c r="O188" t="s" s="96">
        <v>33</v>
      </c>
      <c r="P188" t="s" s="96">
        <v>34</v>
      </c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</row>
    <row r="189" ht="15.35" customHeight="1">
      <c r="A189" s="16"/>
      <c r="B189" s="16"/>
      <c r="C189" s="16"/>
      <c r="D189" s="16"/>
      <c r="E189" s="16"/>
      <c r="F189" s="16"/>
      <c r="G189" s="16"/>
      <c r="H189" t="s" s="96">
        <v>1544</v>
      </c>
      <c r="I189" t="s" s="96">
        <v>1539</v>
      </c>
      <c r="J189" t="s" s="96">
        <v>36</v>
      </c>
      <c r="K189" t="s" s="96">
        <v>37</v>
      </c>
      <c r="L189" s="79">
        <v>1921</v>
      </c>
      <c r="M189" t="s" s="96">
        <v>34</v>
      </c>
      <c r="N189" t="s" s="96">
        <v>1543</v>
      </c>
      <c r="O189" t="s" s="96">
        <v>34</v>
      </c>
      <c r="P189" t="s" s="96">
        <v>34</v>
      </c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</row>
    <row r="190" ht="15.35" customHeight="1">
      <c r="A190" s="16"/>
      <c r="B190" s="16"/>
      <c r="C190" s="16"/>
      <c r="D190" s="16"/>
      <c r="E190" s="16"/>
      <c r="F190" s="16"/>
      <c r="G190" s="16"/>
      <c r="H190" t="s" s="96">
        <v>1384</v>
      </c>
      <c r="I190" t="s" s="96">
        <v>1539</v>
      </c>
      <c r="J190" t="s" s="96">
        <v>228</v>
      </c>
      <c r="K190" t="s" s="96">
        <v>37</v>
      </c>
      <c r="L190" s="79">
        <v>1905</v>
      </c>
      <c r="M190" s="79">
        <v>16</v>
      </c>
      <c r="N190" t="s" s="96">
        <v>1546</v>
      </c>
      <c r="O190" t="s" s="96">
        <v>1545</v>
      </c>
      <c r="P190" t="s" s="96">
        <v>34</v>
      </c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</row>
    <row r="191" ht="15.3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</row>
    <row r="192" ht="15.35" customHeight="1">
      <c r="A192" s="16"/>
      <c r="B192" s="16"/>
      <c r="C192" s="16"/>
      <c r="D192" s="16"/>
      <c r="E192" s="16"/>
      <c r="F192" s="16"/>
      <c r="G192" s="16"/>
      <c r="H192" t="s" s="96">
        <v>0</v>
      </c>
      <c r="I192" t="s" s="96">
        <v>1</v>
      </c>
      <c r="J192" t="s" s="96">
        <v>2</v>
      </c>
      <c r="K192" t="s" s="96">
        <v>3</v>
      </c>
      <c r="L192" t="s" s="96">
        <v>4</v>
      </c>
      <c r="M192" t="s" s="96">
        <v>5</v>
      </c>
      <c r="N192" t="s" s="96">
        <v>6</v>
      </c>
      <c r="O192" t="s" s="96">
        <v>7</v>
      </c>
      <c r="P192" t="s" s="96">
        <v>8</v>
      </c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</row>
    <row r="193" ht="15.35" customHeight="1">
      <c r="A193" s="16"/>
      <c r="B193" s="16"/>
      <c r="C193" s="16"/>
      <c r="D193" s="16"/>
      <c r="E193" s="16"/>
      <c r="F193" s="79">
        <v>7</v>
      </c>
      <c r="G193" s="16"/>
      <c r="H193" t="s" s="96">
        <v>1548</v>
      </c>
      <c r="I193" t="s" s="96">
        <v>1547</v>
      </c>
      <c r="J193" t="s" s="96">
        <v>31</v>
      </c>
      <c r="K193" t="s" s="96">
        <v>37</v>
      </c>
      <c r="L193" s="79">
        <v>1862</v>
      </c>
      <c r="M193" s="79">
        <v>58</v>
      </c>
      <c r="N193" t="s" s="96">
        <v>13</v>
      </c>
      <c r="O193" t="s" s="96">
        <v>1549</v>
      </c>
      <c r="P193" t="s" s="96">
        <v>8</v>
      </c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</row>
    <row r="194" ht="15.35" customHeight="1">
      <c r="A194" s="16"/>
      <c r="B194" s="16"/>
      <c r="C194" s="16"/>
      <c r="D194" s="16"/>
      <c r="E194" s="16"/>
      <c r="F194" s="16"/>
      <c r="G194" s="16"/>
      <c r="H194" t="s" s="96">
        <v>406</v>
      </c>
      <c r="I194" t="s" s="96">
        <v>1547</v>
      </c>
      <c r="J194" t="s" s="96">
        <v>72</v>
      </c>
      <c r="K194" t="s" s="96">
        <v>12</v>
      </c>
      <c r="L194" s="79">
        <v>1856</v>
      </c>
      <c r="M194" s="79">
        <v>64</v>
      </c>
      <c r="N194" t="s" s="96">
        <v>13</v>
      </c>
      <c r="O194" t="s" s="96">
        <v>33</v>
      </c>
      <c r="P194" t="s" s="96">
        <v>34</v>
      </c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</row>
    <row r="195" ht="15.35" customHeight="1">
      <c r="A195" s="16"/>
      <c r="B195" s="16"/>
      <c r="C195" s="16"/>
      <c r="D195" s="16"/>
      <c r="E195" s="16"/>
      <c r="F195" s="16"/>
      <c r="G195" s="16"/>
      <c r="H195" t="s" s="96">
        <v>406</v>
      </c>
      <c r="I195" t="s" s="96">
        <v>1550</v>
      </c>
      <c r="J195" t="s" s="96">
        <v>11</v>
      </c>
      <c r="K195" t="s" s="96">
        <v>12</v>
      </c>
      <c r="L195" s="79">
        <v>1874</v>
      </c>
      <c r="M195" s="79">
        <v>47</v>
      </c>
      <c r="N195" t="s" s="96">
        <v>222</v>
      </c>
      <c r="O195" t="s" s="96">
        <v>105</v>
      </c>
      <c r="P195" t="s" s="96">
        <v>15</v>
      </c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</row>
    <row r="196" ht="15.35" customHeight="1">
      <c r="A196" s="16"/>
      <c r="B196" s="16"/>
      <c r="C196" s="16"/>
      <c r="D196" s="16"/>
      <c r="E196" s="16"/>
      <c r="F196" s="16"/>
      <c r="G196" s="16"/>
      <c r="H196" t="s" s="96">
        <v>704</v>
      </c>
      <c r="I196" t="s" s="96">
        <v>1551</v>
      </c>
      <c r="J196" t="s" s="96">
        <v>11</v>
      </c>
      <c r="K196" t="s" s="96">
        <v>12</v>
      </c>
      <c r="L196" s="79">
        <v>1888</v>
      </c>
      <c r="M196" s="79">
        <v>33</v>
      </c>
      <c r="N196" t="s" s="96">
        <v>1552</v>
      </c>
      <c r="O196" t="s" s="96">
        <v>105</v>
      </c>
      <c r="P196" t="s" s="96">
        <v>15</v>
      </c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</row>
    <row r="197" ht="15.3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</row>
    <row r="198" ht="15.35" customHeight="1">
      <c r="A198" s="16"/>
      <c r="B198" s="16"/>
      <c r="C198" s="16"/>
      <c r="D198" s="16"/>
      <c r="E198" s="16"/>
      <c r="F198" s="16"/>
      <c r="G198" s="16"/>
      <c r="H198" t="s" s="96">
        <v>0</v>
      </c>
      <c r="I198" t="s" s="96">
        <v>1</v>
      </c>
      <c r="J198" t="s" s="96">
        <v>2</v>
      </c>
      <c r="K198" t="s" s="96">
        <v>3</v>
      </c>
      <c r="L198" t="s" s="96">
        <v>4</v>
      </c>
      <c r="M198" t="s" s="96">
        <v>5</v>
      </c>
      <c r="N198" t="s" s="96">
        <v>6</v>
      </c>
      <c r="O198" t="s" s="96">
        <v>7</v>
      </c>
      <c r="P198" t="s" s="96">
        <v>8</v>
      </c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</row>
    <row r="199" ht="15.35" customHeight="1">
      <c r="A199" s="16"/>
      <c r="B199" s="16"/>
      <c r="C199" s="16"/>
      <c r="D199" s="16"/>
      <c r="E199" s="16"/>
      <c r="F199" s="79">
        <v>8</v>
      </c>
      <c r="G199" s="16"/>
      <c r="H199" t="s" s="96">
        <v>1554</v>
      </c>
      <c r="I199" t="s" s="96">
        <v>1553</v>
      </c>
      <c r="J199" t="s" s="96">
        <v>31</v>
      </c>
      <c r="K199" t="s" s="96">
        <v>37</v>
      </c>
      <c r="L199" s="79">
        <v>1856</v>
      </c>
      <c r="M199" s="79">
        <v>65</v>
      </c>
      <c r="N199" t="s" s="96">
        <v>208</v>
      </c>
      <c r="O199" t="s" s="96">
        <v>707</v>
      </c>
      <c r="P199" t="s" s="96">
        <v>1555</v>
      </c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</row>
    <row r="200" ht="15.35" customHeight="1">
      <c r="A200" s="16"/>
      <c r="B200" s="16"/>
      <c r="C200" s="16"/>
      <c r="D200" s="16"/>
      <c r="E200" s="16"/>
      <c r="F200" s="16"/>
      <c r="G200" s="16"/>
      <c r="H200" t="s" s="96">
        <v>235</v>
      </c>
      <c r="I200" t="s" s="96">
        <v>1553</v>
      </c>
      <c r="J200" t="s" s="96">
        <v>72</v>
      </c>
      <c r="K200" t="s" s="96">
        <v>12</v>
      </c>
      <c r="L200" s="79">
        <v>1855</v>
      </c>
      <c r="M200" s="79">
        <v>66</v>
      </c>
      <c r="N200" t="s" s="96">
        <v>512</v>
      </c>
      <c r="O200" t="s" s="96">
        <v>33</v>
      </c>
      <c r="P200" t="s" s="96">
        <v>34</v>
      </c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</row>
    <row r="201" ht="15.35" customHeight="1">
      <c r="A201" s="16"/>
      <c r="B201" s="16"/>
      <c r="C201" s="16"/>
      <c r="D201" s="16"/>
      <c r="E201" s="16"/>
      <c r="F201" s="16"/>
      <c r="G201" s="16"/>
      <c r="H201" t="s" s="96">
        <v>1557</v>
      </c>
      <c r="I201" t="s" s="96">
        <v>1556</v>
      </c>
      <c r="J201" t="s" s="96">
        <v>65</v>
      </c>
      <c r="K201" t="s" s="96">
        <v>12</v>
      </c>
      <c r="L201" s="79">
        <v>1891</v>
      </c>
      <c r="M201" s="79">
        <v>29</v>
      </c>
      <c r="N201" t="s" s="96">
        <v>1560</v>
      </c>
      <c r="O201" t="s" s="96">
        <v>1558</v>
      </c>
      <c r="P201" t="s" s="96">
        <v>1559</v>
      </c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</row>
    <row r="202" ht="15.3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</row>
    <row r="203" ht="15.35" customHeight="1">
      <c r="A203" s="16"/>
      <c r="B203" s="16"/>
      <c r="C203" s="16"/>
      <c r="D203" s="16"/>
      <c r="E203" s="16"/>
      <c r="F203" s="16"/>
      <c r="G203" s="16"/>
      <c r="H203" t="s" s="96">
        <v>0</v>
      </c>
      <c r="I203" t="s" s="96">
        <v>1</v>
      </c>
      <c r="J203" t="s" s="96">
        <v>2</v>
      </c>
      <c r="K203" t="s" s="96">
        <v>3</v>
      </c>
      <c r="L203" t="s" s="96">
        <v>4</v>
      </c>
      <c r="M203" t="s" s="96">
        <v>5</v>
      </c>
      <c r="N203" t="s" s="96">
        <v>6</v>
      </c>
      <c r="O203" t="s" s="96">
        <v>7</v>
      </c>
      <c r="P203" t="s" s="96">
        <v>8</v>
      </c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</row>
    <row r="204" ht="15.35" customHeight="1">
      <c r="A204" s="16"/>
      <c r="B204" s="16"/>
      <c r="C204" s="16"/>
      <c r="D204" s="16"/>
      <c r="E204" s="16"/>
      <c r="F204" s="79">
        <v>9</v>
      </c>
      <c r="G204" s="16"/>
      <c r="H204" t="s" s="96">
        <v>1562</v>
      </c>
      <c r="I204" t="s" s="96">
        <v>1561</v>
      </c>
      <c r="J204" t="s" s="96">
        <v>31</v>
      </c>
      <c r="K204" t="s" s="96">
        <v>37</v>
      </c>
      <c r="L204" s="79">
        <v>1890</v>
      </c>
      <c r="M204" s="79">
        <v>31</v>
      </c>
      <c r="N204" t="s" s="96">
        <v>13</v>
      </c>
      <c r="O204" t="s" s="96">
        <v>1563</v>
      </c>
      <c r="P204" t="s" s="96">
        <v>1564</v>
      </c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</row>
    <row r="205" ht="15.35" customHeight="1">
      <c r="A205" s="16"/>
      <c r="B205" s="16"/>
      <c r="C205" s="16"/>
      <c r="D205" s="16"/>
      <c r="E205" s="16"/>
      <c r="F205" s="16"/>
      <c r="G205" s="16"/>
      <c r="H205" t="s" s="96">
        <v>1565</v>
      </c>
      <c r="I205" t="s" s="96">
        <v>1561</v>
      </c>
      <c r="J205" t="s" s="96">
        <v>72</v>
      </c>
      <c r="K205" t="s" s="96">
        <v>12</v>
      </c>
      <c r="L205" s="79">
        <v>1890</v>
      </c>
      <c r="M205" s="79">
        <v>30</v>
      </c>
      <c r="N205" t="s" s="96">
        <v>567</v>
      </c>
      <c r="O205" t="s" s="96">
        <v>33</v>
      </c>
      <c r="P205" t="s" s="96">
        <v>34</v>
      </c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</row>
    <row r="206" ht="15.35" customHeight="1">
      <c r="A206" s="16"/>
      <c r="B206" s="16"/>
      <c r="C206" s="16"/>
      <c r="D206" s="16"/>
      <c r="E206" s="16"/>
      <c r="F206" s="16"/>
      <c r="G206" s="16"/>
      <c r="H206" t="s" s="96">
        <v>1566</v>
      </c>
      <c r="I206" t="s" s="96">
        <v>1561</v>
      </c>
      <c r="J206" t="s" s="96">
        <v>36</v>
      </c>
      <c r="K206" t="s" s="96">
        <v>37</v>
      </c>
      <c r="L206" s="79">
        <v>1919</v>
      </c>
      <c r="M206" s="79">
        <v>1</v>
      </c>
      <c r="N206" t="s" s="96">
        <v>13</v>
      </c>
      <c r="O206" t="s" s="96">
        <v>34</v>
      </c>
      <c r="P206" t="s" s="96">
        <v>34</v>
      </c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</row>
    <row r="207" ht="15.35" customHeight="1">
      <c r="A207" s="16"/>
      <c r="B207" s="16"/>
      <c r="C207" s="16"/>
      <c r="D207" s="16"/>
      <c r="E207" s="16"/>
      <c r="F207" s="16"/>
      <c r="G207" s="16"/>
      <c r="H207" t="s" s="96">
        <v>1568</v>
      </c>
      <c r="I207" t="s" s="96">
        <v>1567</v>
      </c>
      <c r="J207" t="s" s="96">
        <v>1569</v>
      </c>
      <c r="K207" t="s" s="96">
        <v>37</v>
      </c>
      <c r="L207" s="79">
        <v>1848</v>
      </c>
      <c r="M207" s="79">
        <v>73</v>
      </c>
      <c r="N207" t="s" s="96">
        <v>1572</v>
      </c>
      <c r="O207" t="s" s="96">
        <v>1570</v>
      </c>
      <c r="P207" t="s" s="96">
        <v>1571</v>
      </c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</row>
    <row r="208" ht="15.35" customHeight="1">
      <c r="A208" s="16"/>
      <c r="B208" s="16"/>
      <c r="C208" s="16"/>
      <c r="D208" s="16"/>
      <c r="E208" s="16"/>
      <c r="F208" s="16"/>
      <c r="G208" s="16"/>
      <c r="H208" t="s" s="96">
        <v>366</v>
      </c>
      <c r="I208" t="s" s="96">
        <v>1567</v>
      </c>
      <c r="J208" t="s" s="96">
        <v>1032</v>
      </c>
      <c r="K208" t="s" s="96">
        <v>12</v>
      </c>
      <c r="L208" s="79">
        <v>1848</v>
      </c>
      <c r="M208" s="79">
        <v>73</v>
      </c>
      <c r="N208" t="s" s="96">
        <v>567</v>
      </c>
      <c r="O208" t="s" s="96">
        <v>94</v>
      </c>
      <c r="P208" t="s" s="96">
        <v>34</v>
      </c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</row>
    <row r="209" ht="15.35" customHeight="1">
      <c r="A209" s="16"/>
      <c r="B209" s="16"/>
      <c r="C209" s="16"/>
      <c r="D209" s="16"/>
      <c r="E209" s="16"/>
      <c r="F209" s="16"/>
      <c r="G209" s="16"/>
      <c r="H209" t="s" s="96">
        <v>1574</v>
      </c>
      <c r="I209" t="s" s="96">
        <v>1573</v>
      </c>
      <c r="J209" t="s" s="96">
        <v>1575</v>
      </c>
      <c r="K209" t="s" s="96">
        <v>12</v>
      </c>
      <c r="L209" s="79">
        <v>1884</v>
      </c>
      <c r="M209" s="79">
        <v>37</v>
      </c>
      <c r="N209" t="s" s="96">
        <v>134</v>
      </c>
      <c r="O209" t="s" s="96">
        <v>1575</v>
      </c>
      <c r="P209" t="s" s="96">
        <v>34</v>
      </c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</row>
    <row r="210" ht="15.35" customHeight="1">
      <c r="A210" s="16"/>
      <c r="B210" s="16"/>
      <c r="C210" s="16"/>
      <c r="D210" s="16"/>
      <c r="E210" s="16"/>
      <c r="F210" s="16"/>
      <c r="G210" s="16"/>
      <c r="H210" t="s" s="96">
        <v>98</v>
      </c>
      <c r="I210" t="s" s="96">
        <v>1576</v>
      </c>
      <c r="J210" t="s" s="96">
        <v>11</v>
      </c>
      <c r="K210" t="s" s="96">
        <v>12</v>
      </c>
      <c r="L210" s="79">
        <v>1901</v>
      </c>
      <c r="M210" s="79">
        <v>19</v>
      </c>
      <c r="N210" t="s" s="96">
        <v>1577</v>
      </c>
      <c r="O210" t="s" s="96">
        <v>105</v>
      </c>
      <c r="P210" t="s" s="96">
        <v>15</v>
      </c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</row>
    <row r="211" ht="15.3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</row>
    <row r="212" ht="15.35" customHeight="1">
      <c r="A212" s="16"/>
      <c r="B212" s="16"/>
      <c r="C212" s="16"/>
      <c r="D212" s="16"/>
      <c r="E212" s="16"/>
      <c r="F212" s="16"/>
      <c r="G212" s="16"/>
      <c r="H212" t="s" s="96">
        <v>0</v>
      </c>
      <c r="I212" t="s" s="96">
        <v>1</v>
      </c>
      <c r="J212" t="s" s="96">
        <v>2</v>
      </c>
      <c r="K212" t="s" s="96">
        <v>3</v>
      </c>
      <c r="L212" t="s" s="96">
        <v>4</v>
      </c>
      <c r="M212" t="s" s="96">
        <v>5</v>
      </c>
      <c r="N212" t="s" s="96">
        <v>6</v>
      </c>
      <c r="O212" t="s" s="96">
        <v>7</v>
      </c>
      <c r="P212" t="s" s="96">
        <v>8</v>
      </c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</row>
    <row r="213" ht="15.35" customHeight="1">
      <c r="A213" s="16"/>
      <c r="B213" s="16"/>
      <c r="C213" s="16"/>
      <c r="D213" s="16"/>
      <c r="E213" s="16"/>
      <c r="F213" s="79">
        <v>10</v>
      </c>
      <c r="G213" s="16"/>
      <c r="H213" t="s" s="96">
        <v>153</v>
      </c>
      <c r="I213" t="s" s="96">
        <v>1578</v>
      </c>
      <c r="J213" t="s" s="96">
        <v>31</v>
      </c>
      <c r="K213" t="s" s="96">
        <v>37</v>
      </c>
      <c r="L213" s="79">
        <v>1841</v>
      </c>
      <c r="M213" s="79">
        <v>80</v>
      </c>
      <c r="N213" t="s" s="96">
        <v>1581</v>
      </c>
      <c r="O213" t="s" s="96">
        <v>1579</v>
      </c>
      <c r="P213" t="s" s="96">
        <v>1580</v>
      </c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</row>
    <row r="214" ht="15.35" customHeight="1">
      <c r="A214" s="16"/>
      <c r="B214" s="16"/>
      <c r="C214" s="16"/>
      <c r="D214" s="16"/>
      <c r="E214" s="16"/>
      <c r="F214" s="16"/>
      <c r="G214" s="16"/>
      <c r="H214" t="s" s="96">
        <v>251</v>
      </c>
      <c r="I214" t="s" s="96">
        <v>1578</v>
      </c>
      <c r="J214" t="s" s="96">
        <v>78</v>
      </c>
      <c r="K214" t="s" s="96">
        <v>12</v>
      </c>
      <c r="L214" s="79">
        <v>1876</v>
      </c>
      <c r="M214" s="79">
        <v>45</v>
      </c>
      <c r="N214" t="s" s="96">
        <v>599</v>
      </c>
      <c r="O214" t="s" s="96">
        <v>175</v>
      </c>
      <c r="P214" t="s" s="96">
        <v>34</v>
      </c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</row>
    <row r="215" ht="15.35" customHeight="1">
      <c r="A215" s="16"/>
      <c r="B215" s="16"/>
      <c r="C215" s="16"/>
      <c r="D215" s="16"/>
      <c r="E215" s="16"/>
      <c r="F215" s="16"/>
      <c r="G215" s="16"/>
      <c r="H215" t="s" s="96">
        <v>109</v>
      </c>
      <c r="I215" t="s" s="96">
        <v>1578</v>
      </c>
      <c r="J215" t="s" s="96">
        <v>78</v>
      </c>
      <c r="K215" t="s" s="96">
        <v>12</v>
      </c>
      <c r="L215" s="79">
        <v>1878</v>
      </c>
      <c r="M215" s="79">
        <v>43</v>
      </c>
      <c r="N215" t="s" s="96">
        <v>599</v>
      </c>
      <c r="O215" t="s" s="96">
        <v>1582</v>
      </c>
      <c r="P215" t="s" s="96">
        <v>1583</v>
      </c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</row>
    <row r="216" ht="15.3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</row>
    <row r="217" ht="15.35" customHeight="1">
      <c r="A217" s="16"/>
      <c r="B217" s="16"/>
      <c r="C217" s="16"/>
      <c r="D217" s="16"/>
      <c r="E217" s="16"/>
      <c r="F217" s="16"/>
      <c r="G217" s="16"/>
      <c r="H217" t="s" s="96">
        <v>0</v>
      </c>
      <c r="I217" t="s" s="96">
        <v>1</v>
      </c>
      <c r="J217" t="s" s="96">
        <v>2</v>
      </c>
      <c r="K217" t="s" s="96">
        <v>3</v>
      </c>
      <c r="L217" t="s" s="96">
        <v>4</v>
      </c>
      <c r="M217" t="s" s="96">
        <v>5</v>
      </c>
      <c r="N217" t="s" s="96">
        <v>6</v>
      </c>
      <c r="O217" t="s" s="96">
        <v>7</v>
      </c>
      <c r="P217" t="s" s="96">
        <v>8</v>
      </c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</row>
    <row r="218" ht="15.35" customHeight="1">
      <c r="A218" s="16"/>
      <c r="B218" s="16"/>
      <c r="C218" s="16"/>
      <c r="D218" s="16"/>
      <c r="E218" s="16"/>
      <c r="F218" s="79">
        <v>12</v>
      </c>
      <c r="G218" s="16"/>
      <c r="H218" t="s" s="96">
        <v>214</v>
      </c>
      <c r="I218" t="s" s="96">
        <v>1584</v>
      </c>
      <c r="J218" t="s" s="96">
        <v>31</v>
      </c>
      <c r="K218" t="s" s="96">
        <v>37</v>
      </c>
      <c r="L218" s="79">
        <v>1854</v>
      </c>
      <c r="M218" s="79">
        <v>67</v>
      </c>
      <c r="N218" t="s" s="96">
        <v>1586</v>
      </c>
      <c r="O218" t="s" s="96">
        <v>1585</v>
      </c>
      <c r="P218" t="s" s="96">
        <v>603</v>
      </c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</row>
    <row r="219" ht="15.35" customHeight="1">
      <c r="A219" s="16"/>
      <c r="B219" s="16"/>
      <c r="C219" s="16"/>
      <c r="D219" s="16"/>
      <c r="E219" s="16"/>
      <c r="F219" s="16"/>
      <c r="G219" s="16"/>
      <c r="H219" t="s" s="96">
        <v>406</v>
      </c>
      <c r="I219" t="s" s="96">
        <v>1584</v>
      </c>
      <c r="J219" t="s" s="96">
        <v>72</v>
      </c>
      <c r="K219" t="s" s="96">
        <v>12</v>
      </c>
      <c r="L219" s="79">
        <v>1856</v>
      </c>
      <c r="M219" s="79">
        <v>65</v>
      </c>
      <c r="N219" t="s" s="96">
        <v>1587</v>
      </c>
      <c r="O219" t="s" s="96">
        <v>33</v>
      </c>
      <c r="P219" t="s" s="96">
        <v>34</v>
      </c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</row>
    <row r="220" ht="15.3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</row>
    <row r="221" ht="15.35" customHeight="1">
      <c r="A221" s="16"/>
      <c r="B221" s="16"/>
      <c r="C221" s="16"/>
      <c r="D221" s="16"/>
      <c r="E221" s="16"/>
      <c r="F221" s="16"/>
      <c r="G221" s="16"/>
      <c r="H221" t="s" s="96">
        <v>0</v>
      </c>
      <c r="I221" t="s" s="96">
        <v>1</v>
      </c>
      <c r="J221" t="s" s="96">
        <v>2</v>
      </c>
      <c r="K221" t="s" s="96">
        <v>3</v>
      </c>
      <c r="L221" t="s" s="96">
        <v>4</v>
      </c>
      <c r="M221" t="s" s="96">
        <v>5</v>
      </c>
      <c r="N221" t="s" s="96">
        <v>6</v>
      </c>
      <c r="O221" t="s" s="96">
        <v>7</v>
      </c>
      <c r="P221" t="s" s="96">
        <v>8</v>
      </c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</row>
    <row r="222" ht="15.35" customHeight="1">
      <c r="A222" s="16"/>
      <c r="B222" s="16"/>
      <c r="C222" s="16"/>
      <c r="D222" s="16"/>
      <c r="E222" s="16"/>
      <c r="F222" s="79">
        <v>13</v>
      </c>
      <c r="G222" s="16"/>
      <c r="H222" t="s" s="96">
        <v>192</v>
      </c>
      <c r="I222" t="s" s="96">
        <v>1588</v>
      </c>
      <c r="J222" t="s" s="96">
        <v>31</v>
      </c>
      <c r="K222" t="s" s="96">
        <v>12</v>
      </c>
      <c r="L222" s="79">
        <v>1863</v>
      </c>
      <c r="M222" s="79">
        <v>58</v>
      </c>
      <c r="N222" t="s" s="96">
        <v>1015</v>
      </c>
      <c r="O222" t="s" s="96">
        <v>34</v>
      </c>
      <c r="P222" t="s" s="96">
        <v>34</v>
      </c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</row>
    <row r="223" ht="15.35" customHeight="1">
      <c r="A223" s="16"/>
      <c r="B223" s="16"/>
      <c r="C223" s="16"/>
      <c r="D223" s="16"/>
      <c r="E223" s="16"/>
      <c r="F223" s="16"/>
      <c r="G223" s="16"/>
      <c r="H223" t="s" s="96">
        <v>1565</v>
      </c>
      <c r="I223" t="s" s="96">
        <v>1588</v>
      </c>
      <c r="J223" t="s" s="96">
        <v>78</v>
      </c>
      <c r="K223" t="s" s="96">
        <v>12</v>
      </c>
      <c r="L223" s="79">
        <v>1892</v>
      </c>
      <c r="M223" s="79">
        <v>29</v>
      </c>
      <c r="N223" t="s" s="96">
        <v>42</v>
      </c>
      <c r="O223" t="s" s="96">
        <v>33</v>
      </c>
      <c r="P223" t="s" s="96">
        <v>34</v>
      </c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</row>
    <row r="224" ht="15.35" customHeight="1">
      <c r="A224" s="16"/>
      <c r="B224" s="16"/>
      <c r="C224" s="16"/>
      <c r="D224" s="16"/>
      <c r="E224" s="16"/>
      <c r="F224" s="16"/>
      <c r="G224" s="16"/>
      <c r="H224" t="s" s="96">
        <v>95</v>
      </c>
      <c r="I224" t="s" s="96">
        <v>1589</v>
      </c>
      <c r="J224" t="s" s="96">
        <v>11</v>
      </c>
      <c r="K224" t="s" s="96">
        <v>12</v>
      </c>
      <c r="L224" s="79">
        <v>1885</v>
      </c>
      <c r="M224" s="79">
        <v>36</v>
      </c>
      <c r="N224" t="s" s="96">
        <v>54</v>
      </c>
      <c r="O224" t="s" s="96">
        <v>105</v>
      </c>
      <c r="P224" t="s" s="96">
        <v>15</v>
      </c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</row>
    <row r="225" ht="15.3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</row>
    <row r="226" ht="15.35" customHeight="1">
      <c r="A226" s="16"/>
      <c r="B226" s="16"/>
      <c r="C226" s="16"/>
      <c r="D226" s="16"/>
      <c r="E226" s="16"/>
      <c r="F226" s="16"/>
      <c r="G226" s="16"/>
      <c r="H226" t="s" s="96">
        <v>0</v>
      </c>
      <c r="I226" t="s" s="96">
        <v>1</v>
      </c>
      <c r="J226" t="s" s="96">
        <v>2</v>
      </c>
      <c r="K226" t="s" s="96">
        <v>3</v>
      </c>
      <c r="L226" t="s" s="96">
        <v>4</v>
      </c>
      <c r="M226" t="s" s="96">
        <v>5</v>
      </c>
      <c r="N226" t="s" s="96">
        <v>6</v>
      </c>
      <c r="O226" t="s" s="96">
        <v>7</v>
      </c>
      <c r="P226" t="s" s="96">
        <v>8</v>
      </c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</row>
    <row r="227" ht="15.35" customHeight="1">
      <c r="A227" s="16"/>
      <c r="B227" s="16"/>
      <c r="C227" s="16"/>
      <c r="D227" s="16"/>
      <c r="E227" s="16"/>
      <c r="F227" s="79">
        <v>15</v>
      </c>
      <c r="G227" s="16"/>
      <c r="H227" t="s" s="96">
        <v>1590</v>
      </c>
      <c r="I227" t="s" s="96">
        <v>1181</v>
      </c>
      <c r="J227" t="s" s="96">
        <v>36</v>
      </c>
      <c r="K227" t="s" s="96">
        <v>37</v>
      </c>
      <c r="L227" s="79">
        <v>1901</v>
      </c>
      <c r="M227" s="79">
        <v>19</v>
      </c>
      <c r="N227" t="s" s="96">
        <v>13</v>
      </c>
      <c r="O227" t="s" s="96">
        <v>1591</v>
      </c>
      <c r="P227" t="s" s="96">
        <v>1592</v>
      </c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</row>
    <row r="228" ht="15.35" customHeight="1">
      <c r="A228" s="16"/>
      <c r="B228" s="16"/>
      <c r="C228" s="16"/>
      <c r="D228" s="16"/>
      <c r="E228" s="16"/>
      <c r="F228" s="16"/>
      <c r="G228" s="16"/>
      <c r="H228" t="s" s="96">
        <v>1593</v>
      </c>
      <c r="I228" t="s" s="96">
        <v>1181</v>
      </c>
      <c r="J228" t="s" s="96">
        <v>78</v>
      </c>
      <c r="K228" t="s" s="96">
        <v>12</v>
      </c>
      <c r="L228" s="79">
        <v>1896</v>
      </c>
      <c r="M228" s="79">
        <v>25</v>
      </c>
      <c r="N228" t="s" s="96">
        <v>13</v>
      </c>
      <c r="O228" t="s" s="96">
        <v>33</v>
      </c>
      <c r="P228" t="s" s="96">
        <v>34</v>
      </c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</row>
    <row r="229" ht="15.35" customHeight="1">
      <c r="A229" s="16"/>
      <c r="B229" s="16"/>
      <c r="C229" s="16"/>
      <c r="D229" s="16"/>
      <c r="E229" s="16"/>
      <c r="F229" s="16"/>
      <c r="G229" s="16"/>
      <c r="H229" t="s" s="96">
        <v>1594</v>
      </c>
      <c r="I229" t="s" s="96">
        <v>1181</v>
      </c>
      <c r="J229" t="s" s="96">
        <v>78</v>
      </c>
      <c r="K229" t="s" s="96">
        <v>12</v>
      </c>
      <c r="L229" s="79">
        <v>1898</v>
      </c>
      <c r="M229" s="79">
        <v>22</v>
      </c>
      <c r="N229" t="s" s="96">
        <v>13</v>
      </c>
      <c r="O229" t="s" s="96">
        <v>1595</v>
      </c>
      <c r="P229" t="s" s="96">
        <v>1596</v>
      </c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</row>
    <row r="230" ht="15.35" customHeight="1">
      <c r="A230" s="16"/>
      <c r="B230" s="16"/>
      <c r="C230" s="16"/>
      <c r="D230" s="16"/>
      <c r="E230" s="16"/>
      <c r="F230" s="16"/>
      <c r="G230" s="16"/>
      <c r="H230" t="s" s="96">
        <v>1598</v>
      </c>
      <c r="I230" t="s" s="96">
        <v>1597</v>
      </c>
      <c r="J230" t="s" s="96">
        <v>11</v>
      </c>
      <c r="K230" t="s" s="96">
        <v>12</v>
      </c>
      <c r="L230" s="79">
        <v>1892</v>
      </c>
      <c r="M230" s="79">
        <v>28</v>
      </c>
      <c r="N230" t="s" s="96">
        <v>138</v>
      </c>
      <c r="O230" t="s" s="96">
        <v>45</v>
      </c>
      <c r="P230" t="s" s="96">
        <v>15</v>
      </c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</row>
    <row r="231" ht="15.35" customHeight="1">
      <c r="A231" s="16"/>
      <c r="B231" s="16"/>
      <c r="C231" s="16"/>
      <c r="D231" s="16"/>
      <c r="E231" s="16"/>
      <c r="F231" s="16"/>
      <c r="G231" s="16"/>
      <c r="H231" t="s" s="96">
        <v>1600</v>
      </c>
      <c r="I231" t="s" s="96">
        <v>1599</v>
      </c>
      <c r="J231" t="s" s="96">
        <v>11</v>
      </c>
      <c r="K231" t="s" s="96">
        <v>12</v>
      </c>
      <c r="L231" s="79">
        <v>1903</v>
      </c>
      <c r="M231" s="79">
        <v>18</v>
      </c>
      <c r="N231" t="s" s="96">
        <v>54</v>
      </c>
      <c r="O231" t="s" s="96">
        <v>101</v>
      </c>
      <c r="P231" t="s" s="96">
        <v>15</v>
      </c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</row>
    <row r="232" ht="15.3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</row>
    <row r="233" ht="15.35" customHeight="1">
      <c r="A233" s="16"/>
      <c r="B233" s="16"/>
      <c r="C233" s="16"/>
      <c r="D233" s="16"/>
      <c r="E233" s="16"/>
      <c r="F233" s="79">
        <v>19</v>
      </c>
      <c r="G233" s="16"/>
      <c r="H233" t="s" s="96">
        <v>0</v>
      </c>
      <c r="I233" t="s" s="96">
        <v>1</v>
      </c>
      <c r="J233" t="s" s="96">
        <v>2</v>
      </c>
      <c r="K233" t="s" s="96">
        <v>3</v>
      </c>
      <c r="L233" t="s" s="96">
        <v>4</v>
      </c>
      <c r="M233" t="s" s="96">
        <v>5</v>
      </c>
      <c r="N233" t="s" s="96">
        <v>6</v>
      </c>
      <c r="O233" t="s" s="96">
        <v>7</v>
      </c>
      <c r="P233" t="s" s="96">
        <v>8</v>
      </c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</row>
    <row r="234" ht="15.35" customHeight="1">
      <c r="A234" s="16"/>
      <c r="B234" s="16"/>
      <c r="C234" s="16"/>
      <c r="D234" s="16"/>
      <c r="E234" s="16"/>
      <c r="F234" s="16"/>
      <c r="G234" s="16"/>
      <c r="H234" t="s" s="96">
        <v>809</v>
      </c>
      <c r="I234" t="s" s="96">
        <v>1601</v>
      </c>
      <c r="J234" t="s" s="96">
        <v>31</v>
      </c>
      <c r="K234" t="s" s="96">
        <v>37</v>
      </c>
      <c r="L234" s="79">
        <v>1848</v>
      </c>
      <c r="M234" s="79">
        <v>72</v>
      </c>
      <c r="N234" t="s" s="96">
        <v>790</v>
      </c>
      <c r="O234" t="s" s="96">
        <v>1602</v>
      </c>
      <c r="P234" t="s" s="96">
        <v>8</v>
      </c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</row>
    <row r="235" ht="15.35" customHeight="1">
      <c r="A235" s="16"/>
      <c r="B235" s="16"/>
      <c r="C235" s="16"/>
      <c r="D235" s="16"/>
      <c r="E235" s="16"/>
      <c r="F235" s="16"/>
      <c r="G235" s="16"/>
      <c r="H235" t="s" s="96">
        <v>1603</v>
      </c>
      <c r="I235" t="s" s="96">
        <v>1601</v>
      </c>
      <c r="J235" t="s" s="96">
        <v>72</v>
      </c>
      <c r="K235" t="s" s="96">
        <v>12</v>
      </c>
      <c r="L235" s="79">
        <v>1894</v>
      </c>
      <c r="M235" s="79">
        <v>27</v>
      </c>
      <c r="N235" t="s" s="96">
        <v>553</v>
      </c>
      <c r="O235" t="s" s="96">
        <v>33</v>
      </c>
      <c r="P235" t="s" s="96">
        <v>34</v>
      </c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</row>
    <row r="236" ht="15.35" customHeight="1">
      <c r="A236" s="16"/>
      <c r="B236" s="16"/>
      <c r="C236" s="16"/>
      <c r="D236" s="16"/>
      <c r="E236" s="16"/>
      <c r="F236" s="16"/>
      <c r="G236" s="16"/>
      <c r="H236" t="s" s="96">
        <v>1604</v>
      </c>
      <c r="I236" t="s" s="96">
        <v>1601</v>
      </c>
      <c r="J236" t="s" s="96">
        <v>36</v>
      </c>
      <c r="K236" t="s" s="96">
        <v>37</v>
      </c>
      <c r="L236" s="79">
        <v>1921</v>
      </c>
      <c r="M236" t="s" s="96">
        <v>34</v>
      </c>
      <c r="N236" t="s" s="96">
        <v>54</v>
      </c>
      <c r="O236" t="s" s="96">
        <v>34</v>
      </c>
      <c r="P236" t="s" s="96">
        <v>34</v>
      </c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</row>
    <row r="237" ht="15.35" customHeight="1">
      <c r="A237" s="16"/>
      <c r="B237" s="16"/>
      <c r="C237" s="16"/>
      <c r="D237" s="16"/>
      <c r="E237" s="16"/>
      <c r="F237" s="16"/>
      <c r="G237" s="16"/>
      <c r="H237" t="s" s="96">
        <v>1606</v>
      </c>
      <c r="I237" t="s" s="96">
        <v>1605</v>
      </c>
      <c r="J237" t="s" s="96">
        <v>41</v>
      </c>
      <c r="K237" t="s" s="96">
        <v>12</v>
      </c>
      <c r="L237" s="79">
        <v>1898</v>
      </c>
      <c r="M237" s="79">
        <v>23</v>
      </c>
      <c r="N237" t="s" s="96">
        <v>1607</v>
      </c>
      <c r="O237" t="s" s="96">
        <v>34</v>
      </c>
      <c r="P237" t="s" s="96">
        <v>34</v>
      </c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</row>
    <row r="238" ht="15.35" customHeight="1">
      <c r="A238" s="16"/>
      <c r="B238" s="16"/>
      <c r="C238" s="16"/>
      <c r="D238" s="16"/>
      <c r="E238" s="16"/>
      <c r="F238" s="16"/>
      <c r="G238" s="16"/>
      <c r="H238" t="s" s="96">
        <v>166</v>
      </c>
      <c r="I238" t="s" s="96">
        <v>933</v>
      </c>
      <c r="J238" t="s" s="96">
        <v>11</v>
      </c>
      <c r="K238" t="s" s="96">
        <v>12</v>
      </c>
      <c r="L238" s="79">
        <v>1904</v>
      </c>
      <c r="M238" s="79">
        <v>17</v>
      </c>
      <c r="N238" t="s" s="96">
        <v>118</v>
      </c>
      <c r="O238" t="s" s="96">
        <v>105</v>
      </c>
      <c r="P238" t="s" s="96">
        <v>15</v>
      </c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</row>
    <row r="239" ht="15.3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</row>
    <row r="240" ht="15.35" customHeight="1">
      <c r="A240" s="16"/>
      <c r="B240" s="16"/>
      <c r="C240" s="16"/>
      <c r="D240" s="16"/>
      <c r="E240" s="16"/>
      <c r="F240" s="16"/>
      <c r="G240" s="16"/>
      <c r="H240" t="s" s="96">
        <v>0</v>
      </c>
      <c r="I240" t="s" s="96">
        <v>1</v>
      </c>
      <c r="J240" t="s" s="96">
        <v>2</v>
      </c>
      <c r="K240" t="s" s="96">
        <v>3</v>
      </c>
      <c r="L240" t="s" s="96">
        <v>4</v>
      </c>
      <c r="M240" t="s" s="96">
        <v>5</v>
      </c>
      <c r="N240" t="s" s="96">
        <v>6</v>
      </c>
      <c r="O240" t="s" s="96">
        <v>7</v>
      </c>
      <c r="P240" t="s" s="96">
        <v>8</v>
      </c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</row>
    <row r="241" ht="15.35" customHeight="1">
      <c r="A241" s="16"/>
      <c r="B241" s="16"/>
      <c r="C241" s="16"/>
      <c r="D241" s="16"/>
      <c r="E241" s="16"/>
      <c r="F241" s="79">
        <v>21</v>
      </c>
      <c r="G241" s="16"/>
      <c r="H241" t="s" s="96">
        <v>1609</v>
      </c>
      <c r="I241" t="s" s="96">
        <v>1608</v>
      </c>
      <c r="J241" t="s" s="96">
        <v>31</v>
      </c>
      <c r="K241" t="s" s="96">
        <v>37</v>
      </c>
      <c r="L241" s="79">
        <v>1875</v>
      </c>
      <c r="M241" s="79">
        <v>46</v>
      </c>
      <c r="N241" t="s" s="96">
        <v>1220</v>
      </c>
      <c r="O241" t="s" s="96">
        <v>257</v>
      </c>
      <c r="P241" t="s" s="96">
        <v>1610</v>
      </c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</row>
    <row r="242" ht="15.35" customHeight="1">
      <c r="A242" s="16"/>
      <c r="B242" s="16"/>
      <c r="C242" s="16"/>
      <c r="D242" s="16"/>
      <c r="E242" s="16"/>
      <c r="F242" s="16"/>
      <c r="G242" s="16"/>
      <c r="H242" t="s" s="96">
        <v>1611</v>
      </c>
      <c r="I242" t="s" s="96">
        <v>1608</v>
      </c>
      <c r="J242" t="s" s="96">
        <v>72</v>
      </c>
      <c r="K242" t="s" s="96">
        <v>12</v>
      </c>
      <c r="L242" s="79">
        <v>1875</v>
      </c>
      <c r="M242" s="79">
        <v>46</v>
      </c>
      <c r="N242" t="s" s="96">
        <v>1612</v>
      </c>
      <c r="O242" t="s" s="96">
        <v>34</v>
      </c>
      <c r="P242" t="s" s="96">
        <v>34</v>
      </c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</row>
    <row r="243" ht="15.35" customHeight="1">
      <c r="A243" s="16"/>
      <c r="B243" s="16"/>
      <c r="C243" s="16"/>
      <c r="D243" s="16"/>
      <c r="E243" s="16"/>
      <c r="F243" s="16"/>
      <c r="G243" s="16"/>
      <c r="H243" t="s" s="96">
        <v>1613</v>
      </c>
      <c r="I243" t="s" s="96">
        <v>1608</v>
      </c>
      <c r="J243" t="s" s="96">
        <v>78</v>
      </c>
      <c r="K243" t="s" s="96">
        <v>12</v>
      </c>
      <c r="L243" s="79">
        <v>1906</v>
      </c>
      <c r="M243" s="79">
        <v>15</v>
      </c>
      <c r="N243" t="s" s="96">
        <v>1614</v>
      </c>
      <c r="O243" t="s" s="96">
        <v>34</v>
      </c>
      <c r="P243" t="s" s="96">
        <v>34</v>
      </c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</row>
    <row r="244" ht="15.3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</row>
    <row r="245" ht="15.35" customHeight="1">
      <c r="A245" s="16"/>
      <c r="B245" s="16"/>
      <c r="C245" s="16"/>
      <c r="D245" s="16"/>
      <c r="E245" s="16"/>
      <c r="F245" s="16"/>
      <c r="G245" s="16"/>
      <c r="H245" t="s" s="96">
        <v>0</v>
      </c>
      <c r="I245" t="s" s="96">
        <v>1</v>
      </c>
      <c r="J245" t="s" s="96">
        <v>2</v>
      </c>
      <c r="K245" t="s" s="96">
        <v>3</v>
      </c>
      <c r="L245" t="s" s="96">
        <v>4</v>
      </c>
      <c r="M245" t="s" s="96">
        <v>5</v>
      </c>
      <c r="N245" t="s" s="96">
        <v>6</v>
      </c>
      <c r="O245" t="s" s="96">
        <v>7</v>
      </c>
      <c r="P245" t="s" s="96">
        <v>8</v>
      </c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</row>
    <row r="246" ht="15.35" customHeight="1">
      <c r="A246" s="16"/>
      <c r="B246" s="16"/>
      <c r="C246" s="16"/>
      <c r="D246" s="16"/>
      <c r="E246" s="16"/>
      <c r="F246" s="79">
        <v>23</v>
      </c>
      <c r="G246" s="16"/>
      <c r="H246" t="s" s="96">
        <v>366</v>
      </c>
      <c r="I246" t="s" s="96">
        <v>1615</v>
      </c>
      <c r="J246" t="s" s="96">
        <v>31</v>
      </c>
      <c r="K246" t="s" s="96">
        <v>12</v>
      </c>
      <c r="L246" s="79">
        <v>1839</v>
      </c>
      <c r="M246" s="79">
        <v>81</v>
      </c>
      <c r="N246" t="s" s="96">
        <v>54</v>
      </c>
      <c r="O246" t="s" s="96">
        <v>34</v>
      </c>
      <c r="P246" t="s" s="96">
        <v>34</v>
      </c>
      <c r="Q246" t="s" s="96">
        <v>1616</v>
      </c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</row>
    <row r="247" ht="15.35" customHeight="1">
      <c r="A247" s="16"/>
      <c r="B247" s="16"/>
      <c r="C247" s="16"/>
      <c r="D247" s="16"/>
      <c r="E247" s="16"/>
      <c r="F247" s="16"/>
      <c r="G247" s="16"/>
      <c r="H247" t="s" s="96">
        <v>321</v>
      </c>
      <c r="I247" t="s" s="96">
        <v>704</v>
      </c>
      <c r="J247" t="s" s="96">
        <v>11</v>
      </c>
      <c r="K247" t="s" s="96">
        <v>12</v>
      </c>
      <c r="L247" s="79">
        <v>1893</v>
      </c>
      <c r="M247" s="79">
        <v>27</v>
      </c>
      <c r="N247" t="s" s="96">
        <v>1617</v>
      </c>
      <c r="O247" t="s" s="96">
        <v>188</v>
      </c>
      <c r="P247" t="s" s="96">
        <v>15</v>
      </c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</row>
    <row r="248" ht="15.35" customHeight="1">
      <c r="A248" s="16"/>
      <c r="B248" s="16"/>
      <c r="C248" s="16"/>
      <c r="D248" s="16"/>
      <c r="E248" s="16"/>
      <c r="F248" s="16"/>
      <c r="G248" s="16"/>
      <c r="H248" t="s" s="96">
        <v>1618</v>
      </c>
      <c r="I248" t="s" s="96">
        <v>167</v>
      </c>
      <c r="J248" t="s" s="96">
        <v>11</v>
      </c>
      <c r="K248" t="s" s="96">
        <v>12</v>
      </c>
      <c r="L248" s="79">
        <v>1897</v>
      </c>
      <c r="M248" s="79">
        <v>24</v>
      </c>
      <c r="N248" t="s" s="96">
        <v>868</v>
      </c>
      <c r="O248" t="s" s="96">
        <v>188</v>
      </c>
      <c r="P248" t="s" s="96">
        <v>15</v>
      </c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</row>
    <row r="249" ht="15.3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</row>
    <row r="250" ht="15.35" customHeight="1">
      <c r="A250" s="16"/>
      <c r="B250" s="16"/>
      <c r="C250" s="16"/>
      <c r="D250" s="16"/>
      <c r="E250" s="16"/>
      <c r="F250" s="16"/>
      <c r="G250" s="16"/>
      <c r="H250" t="s" s="96">
        <v>0</v>
      </c>
      <c r="I250" t="s" s="96">
        <v>1</v>
      </c>
      <c r="J250" t="s" s="96">
        <v>2</v>
      </c>
      <c r="K250" t="s" s="96">
        <v>3</v>
      </c>
      <c r="L250" t="s" s="96">
        <v>4</v>
      </c>
      <c r="M250" t="s" s="96">
        <v>5</v>
      </c>
      <c r="N250" t="s" s="96">
        <v>6</v>
      </c>
      <c r="O250" t="s" s="96">
        <v>7</v>
      </c>
      <c r="P250" t="s" s="96">
        <v>8</v>
      </c>
      <c r="Q250" t="s" s="96">
        <v>1619</v>
      </c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</row>
    <row r="251" ht="15.35" customHeight="1">
      <c r="A251" s="16"/>
      <c r="B251" s="16"/>
      <c r="C251" s="16"/>
      <c r="D251" s="16"/>
      <c r="E251" s="16"/>
      <c r="F251" t="s" s="96">
        <v>1667</v>
      </c>
      <c r="G251" s="16"/>
      <c r="H251" t="s" s="96">
        <v>1621</v>
      </c>
      <c r="I251" t="s" s="96">
        <v>1620</v>
      </c>
      <c r="J251" t="s" s="96">
        <v>31</v>
      </c>
      <c r="K251" t="s" s="96">
        <v>37</v>
      </c>
      <c r="L251" s="79">
        <v>1838</v>
      </c>
      <c r="M251" s="79">
        <v>83</v>
      </c>
      <c r="N251" t="s" s="96">
        <v>13</v>
      </c>
      <c r="O251" t="s" s="96">
        <v>1622</v>
      </c>
      <c r="P251" t="s" s="96">
        <v>34</v>
      </c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</row>
    <row r="252" ht="15.35" customHeight="1">
      <c r="A252" s="16"/>
      <c r="B252" s="16"/>
      <c r="C252" s="16"/>
      <c r="D252" s="16"/>
      <c r="E252" s="16"/>
      <c r="F252" s="16"/>
      <c r="G252" s="16"/>
      <c r="H252" t="s" s="96">
        <v>1623</v>
      </c>
      <c r="I252" t="s" s="96">
        <v>1620</v>
      </c>
      <c r="J252" t="s" s="96">
        <v>78</v>
      </c>
      <c r="K252" t="s" s="96">
        <v>12</v>
      </c>
      <c r="L252" s="79">
        <v>1876</v>
      </c>
      <c r="M252" s="79">
        <v>45</v>
      </c>
      <c r="N252" t="s" s="96">
        <v>54</v>
      </c>
      <c r="O252" t="s" s="96">
        <v>33</v>
      </c>
      <c r="P252" t="s" s="96">
        <v>34</v>
      </c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</row>
    <row r="253" ht="15.35" customHeight="1">
      <c r="A253" s="16"/>
      <c r="B253" s="16"/>
      <c r="C253" s="16"/>
      <c r="D253" s="16"/>
      <c r="E253" s="16"/>
      <c r="F253" s="16"/>
      <c r="G253" s="16"/>
      <c r="H253" t="s" s="96">
        <v>469</v>
      </c>
      <c r="I253" t="s" s="96">
        <v>1624</v>
      </c>
      <c r="J253" t="s" s="96">
        <v>11</v>
      </c>
      <c r="K253" t="s" s="96">
        <v>12</v>
      </c>
      <c r="L253" s="79">
        <v>1874</v>
      </c>
      <c r="M253" s="79">
        <v>47</v>
      </c>
      <c r="N253" t="s" s="96">
        <v>1625</v>
      </c>
      <c r="O253" t="s" s="96">
        <v>45</v>
      </c>
      <c r="P253" t="s" s="96">
        <v>34</v>
      </c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</row>
    <row r="254" ht="15.35" customHeight="1">
      <c r="A254" s="16"/>
      <c r="B254" s="16"/>
      <c r="C254" s="16"/>
      <c r="D254" s="16"/>
      <c r="E254" s="16"/>
      <c r="F254" s="16"/>
      <c r="G254" s="16"/>
      <c r="H254" t="s" s="96">
        <v>48</v>
      </c>
      <c r="I254" t="s" s="96">
        <v>1626</v>
      </c>
      <c r="J254" t="s" s="96">
        <v>11</v>
      </c>
      <c r="K254" t="s" s="96">
        <v>12</v>
      </c>
      <c r="L254" s="79">
        <v>1878</v>
      </c>
      <c r="M254" s="79">
        <v>42</v>
      </c>
      <c r="N254" t="s" s="96">
        <v>134</v>
      </c>
      <c r="O254" t="s" s="96">
        <v>1627</v>
      </c>
      <c r="P254" t="s" s="96">
        <v>34</v>
      </c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</row>
    <row r="255" ht="15.35" customHeight="1">
      <c r="A255" s="16"/>
      <c r="B255" s="16"/>
      <c r="C255" s="16"/>
      <c r="D255" s="16"/>
      <c r="E255" s="16"/>
      <c r="F255" s="16"/>
      <c r="G255" s="16"/>
      <c r="H255" t="s" s="96">
        <v>109</v>
      </c>
      <c r="I255" t="s" s="96">
        <v>1628</v>
      </c>
      <c r="J255" t="s" s="96">
        <v>11</v>
      </c>
      <c r="K255" t="s" s="96">
        <v>12</v>
      </c>
      <c r="L255" s="79">
        <v>1904</v>
      </c>
      <c r="M255" s="79">
        <v>17</v>
      </c>
      <c r="N255" t="s" s="96">
        <v>1408</v>
      </c>
      <c r="O255" t="s" s="96">
        <v>55</v>
      </c>
      <c r="P255" t="s" s="96">
        <v>34</v>
      </c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</row>
    <row r="256" ht="15.3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</row>
    <row r="257" ht="15.35" customHeight="1">
      <c r="A257" s="16"/>
      <c r="B257" s="16"/>
      <c r="C257" s="16"/>
      <c r="D257" s="16"/>
      <c r="E257" s="16"/>
      <c r="F257" s="79">
        <v>25</v>
      </c>
      <c r="G257" s="16"/>
      <c r="H257" t="s" s="96">
        <v>0</v>
      </c>
      <c r="I257" t="s" s="96">
        <v>1</v>
      </c>
      <c r="J257" t="s" s="96">
        <v>2</v>
      </c>
      <c r="K257" t="s" s="96">
        <v>3</v>
      </c>
      <c r="L257" t="s" s="96">
        <v>4</v>
      </c>
      <c r="M257" t="s" s="96">
        <v>5</v>
      </c>
      <c r="N257" t="s" s="96">
        <v>6</v>
      </c>
      <c r="O257" t="s" s="96">
        <v>7</v>
      </c>
      <c r="P257" t="s" s="96">
        <v>8</v>
      </c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</row>
    <row r="258" ht="15.35" customHeight="1">
      <c r="A258" s="16"/>
      <c r="B258" s="16"/>
      <c r="C258" s="16"/>
      <c r="D258" s="16"/>
      <c r="E258" s="16"/>
      <c r="F258" s="16"/>
      <c r="G258" s="16"/>
      <c r="H258" t="s" s="96">
        <v>1629</v>
      </c>
      <c r="I258" t="s" s="96">
        <v>1561</v>
      </c>
      <c r="J258" t="s" s="96">
        <v>31</v>
      </c>
      <c r="K258" t="s" s="96">
        <v>37</v>
      </c>
      <c r="L258" s="79">
        <v>1864</v>
      </c>
      <c r="M258" s="79">
        <v>57</v>
      </c>
      <c r="N258" t="s" s="96">
        <v>54</v>
      </c>
      <c r="O258" t="s" s="96">
        <v>1630</v>
      </c>
      <c r="P258" t="s" s="96">
        <v>8</v>
      </c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</row>
    <row r="259" ht="15.35" customHeight="1">
      <c r="A259" s="16"/>
      <c r="B259" s="16"/>
      <c r="C259" s="16"/>
      <c r="D259" s="16"/>
      <c r="E259" s="16"/>
      <c r="F259" s="16"/>
      <c r="G259" s="16"/>
      <c r="H259" t="s" s="96">
        <v>947</v>
      </c>
      <c r="I259" t="s" s="96">
        <v>1561</v>
      </c>
      <c r="J259" t="s" s="96">
        <v>72</v>
      </c>
      <c r="K259" t="s" s="96">
        <v>12</v>
      </c>
      <c r="L259" s="79">
        <v>1863</v>
      </c>
      <c r="M259" s="79">
        <v>58</v>
      </c>
      <c r="N259" t="s" s="96">
        <v>54</v>
      </c>
      <c r="O259" t="s" s="96">
        <v>34</v>
      </c>
      <c r="P259" t="s" s="96">
        <v>34</v>
      </c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</row>
    <row r="260" ht="15.35" customHeight="1">
      <c r="A260" s="16"/>
      <c r="B260" s="16"/>
      <c r="C260" s="16"/>
      <c r="D260" s="16"/>
      <c r="E260" s="16"/>
      <c r="F260" s="16"/>
      <c r="G260" s="16"/>
      <c r="H260" t="s" s="96">
        <v>1631</v>
      </c>
      <c r="I260" t="s" s="96">
        <v>1561</v>
      </c>
      <c r="J260" t="s" s="96">
        <v>36</v>
      </c>
      <c r="K260" t="s" s="96">
        <v>37</v>
      </c>
      <c r="L260" s="79">
        <v>1897</v>
      </c>
      <c r="M260" s="79">
        <v>24</v>
      </c>
      <c r="N260" t="s" s="96">
        <v>54</v>
      </c>
      <c r="O260" t="s" s="96">
        <v>751</v>
      </c>
      <c r="P260" t="s" s="96">
        <v>1632</v>
      </c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</row>
    <row r="261" ht="15.35" customHeight="1">
      <c r="A261" s="16"/>
      <c r="B261" s="16"/>
      <c r="C261" s="16"/>
      <c r="D261" s="16"/>
      <c r="E261" s="16"/>
      <c r="F261" s="16"/>
      <c r="G261" s="16"/>
      <c r="H261" t="s" s="96">
        <v>1634</v>
      </c>
      <c r="I261" t="s" s="96">
        <v>1633</v>
      </c>
      <c r="J261" t="s" s="96">
        <v>41</v>
      </c>
      <c r="K261" t="s" s="96">
        <v>12</v>
      </c>
      <c r="L261" s="79">
        <v>1896</v>
      </c>
      <c r="M261" s="79">
        <v>25</v>
      </c>
      <c r="N261" t="s" s="96">
        <v>54</v>
      </c>
      <c r="O261" t="s" s="96">
        <v>34</v>
      </c>
      <c r="P261" t="s" s="96">
        <v>34</v>
      </c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</row>
    <row r="262" ht="15.35" customHeight="1">
      <c r="A262" s="16"/>
      <c r="B262" s="16"/>
      <c r="C262" s="16"/>
      <c r="D262" s="16"/>
      <c r="E262" s="16"/>
      <c r="F262" s="16"/>
      <c r="G262" s="16"/>
      <c r="H262" t="s" s="96">
        <v>1636</v>
      </c>
      <c r="I262" t="s" s="96">
        <v>1635</v>
      </c>
      <c r="J262" t="s" s="96">
        <v>11</v>
      </c>
      <c r="K262" t="s" s="96">
        <v>12</v>
      </c>
      <c r="L262" s="79">
        <v>1896</v>
      </c>
      <c r="M262" s="79">
        <v>25</v>
      </c>
      <c r="N262" t="s" s="96">
        <v>1637</v>
      </c>
      <c r="O262" t="s" s="96">
        <v>188</v>
      </c>
      <c r="P262" t="s" s="96">
        <v>15</v>
      </c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</row>
    <row r="263" ht="15.3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</row>
    <row r="264" ht="15.35" customHeight="1">
      <c r="A264" s="16"/>
      <c r="B264" s="16"/>
      <c r="C264" s="16"/>
      <c r="D264" s="16"/>
      <c r="E264" s="16"/>
      <c r="F264" s="16"/>
      <c r="G264" s="16"/>
      <c r="H264" t="s" s="96">
        <v>0</v>
      </c>
      <c r="I264" t="s" s="96">
        <v>1</v>
      </c>
      <c r="J264" t="s" s="96">
        <v>2</v>
      </c>
      <c r="K264" t="s" s="96">
        <v>3</v>
      </c>
      <c r="L264" t="s" s="96">
        <v>4</v>
      </c>
      <c r="M264" t="s" s="96">
        <v>5</v>
      </c>
      <c r="N264" t="s" s="96">
        <v>6</v>
      </c>
      <c r="O264" t="s" s="96">
        <v>7</v>
      </c>
      <c r="P264" t="s" s="96">
        <v>8</v>
      </c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</row>
    <row r="265" ht="15.35" customHeight="1">
      <c r="A265" s="16"/>
      <c r="B265" s="16"/>
      <c r="C265" s="16"/>
      <c r="D265" s="16"/>
      <c r="E265" s="16"/>
      <c r="F265" s="79">
        <v>11</v>
      </c>
      <c r="G265" s="16"/>
      <c r="H265" t="s" s="96">
        <v>1638</v>
      </c>
      <c r="I265" t="s" s="96">
        <v>1106</v>
      </c>
      <c r="J265" t="s" s="96">
        <v>31</v>
      </c>
      <c r="K265" t="s" s="96">
        <v>37</v>
      </c>
      <c r="L265" s="79">
        <v>1879</v>
      </c>
      <c r="M265" s="79">
        <v>42</v>
      </c>
      <c r="N265" t="s" s="96">
        <v>13</v>
      </c>
      <c r="O265" t="s" s="96">
        <v>1640</v>
      </c>
      <c r="P265" t="s" s="96">
        <v>8</v>
      </c>
      <c r="Q265" t="s" s="96">
        <v>1639</v>
      </c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</row>
    <row r="266" ht="15.35" customHeight="1">
      <c r="A266" s="16"/>
      <c r="B266" s="16"/>
      <c r="C266" s="16"/>
      <c r="D266" s="16"/>
      <c r="E266" s="16"/>
      <c r="F266" s="16"/>
      <c r="G266" s="16"/>
      <c r="H266" t="s" s="96">
        <v>1641</v>
      </c>
      <c r="I266" t="s" s="96">
        <v>1106</v>
      </c>
      <c r="J266" t="s" s="96">
        <v>72</v>
      </c>
      <c r="K266" t="s" s="96">
        <v>12</v>
      </c>
      <c r="L266" s="79">
        <v>1884</v>
      </c>
      <c r="M266" s="79">
        <v>37</v>
      </c>
      <c r="N266" t="s" s="96">
        <v>13</v>
      </c>
      <c r="O266" t="s" s="96">
        <v>33</v>
      </c>
      <c r="P266" t="s" s="96">
        <v>34</v>
      </c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</row>
    <row r="267" ht="15.35" customHeight="1">
      <c r="A267" s="16"/>
      <c r="B267" s="16"/>
      <c r="C267" s="16"/>
      <c r="D267" s="16"/>
      <c r="E267" s="16"/>
      <c r="F267" s="16"/>
      <c r="G267" s="16"/>
      <c r="H267" t="s" s="96">
        <v>1642</v>
      </c>
      <c r="I267" t="s" s="96">
        <v>1106</v>
      </c>
      <c r="J267" t="s" s="96">
        <v>78</v>
      </c>
      <c r="K267" t="s" s="96">
        <v>12</v>
      </c>
      <c r="L267" s="79">
        <v>1905</v>
      </c>
      <c r="M267" s="79">
        <v>15</v>
      </c>
      <c r="N267" t="s" s="96">
        <v>1643</v>
      </c>
      <c r="O267" t="s" s="96">
        <v>34</v>
      </c>
      <c r="P267" t="s" s="96">
        <v>34</v>
      </c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</row>
    <row r="268" ht="15.35" customHeight="1">
      <c r="A268" s="16"/>
      <c r="B268" s="16"/>
      <c r="C268" s="16"/>
      <c r="D268" s="16"/>
      <c r="E268" s="16"/>
      <c r="F268" s="16"/>
      <c r="G268" s="16"/>
      <c r="H268" t="s" s="96">
        <v>1644</v>
      </c>
      <c r="I268" t="s" s="96">
        <v>1106</v>
      </c>
      <c r="J268" t="s" s="96">
        <v>78</v>
      </c>
      <c r="K268" t="s" s="96">
        <v>12</v>
      </c>
      <c r="L268" s="79">
        <v>1907</v>
      </c>
      <c r="M268" s="79">
        <v>13</v>
      </c>
      <c r="N268" t="s" s="96">
        <v>1643</v>
      </c>
      <c r="O268" t="s" s="96">
        <v>34</v>
      </c>
      <c r="P268" t="s" s="96">
        <v>34</v>
      </c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</row>
    <row r="269" ht="15.35" customHeight="1">
      <c r="A269" s="16"/>
      <c r="B269" s="16"/>
      <c r="C269" s="16"/>
      <c r="D269" s="16"/>
      <c r="E269" s="16"/>
      <c r="F269" s="16"/>
      <c r="G269" s="16"/>
      <c r="H269" t="s" s="96">
        <v>1645</v>
      </c>
      <c r="I269" t="s" s="96">
        <v>1106</v>
      </c>
      <c r="J269" t="s" s="96">
        <v>78</v>
      </c>
      <c r="K269" t="s" s="96">
        <v>12</v>
      </c>
      <c r="L269" s="79">
        <v>1891</v>
      </c>
      <c r="M269" s="79">
        <v>29</v>
      </c>
      <c r="N269" t="s" s="96">
        <v>1643</v>
      </c>
      <c r="O269" t="s" s="96">
        <v>34</v>
      </c>
      <c r="P269" t="s" s="96">
        <v>34</v>
      </c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</row>
    <row r="270" ht="15.3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</row>
    <row r="271" ht="15.35" customHeight="1">
      <c r="A271" s="16"/>
      <c r="B271" s="16"/>
      <c r="C271" s="16"/>
      <c r="D271" s="16"/>
      <c r="E271" s="16"/>
      <c r="F271" s="79">
        <v>1</v>
      </c>
      <c r="G271" s="16"/>
      <c r="H271" t="s" s="96">
        <v>0</v>
      </c>
      <c r="I271" t="s" s="96">
        <v>1</v>
      </c>
      <c r="J271" t="s" s="96">
        <v>2</v>
      </c>
      <c r="K271" t="s" s="96">
        <v>3</v>
      </c>
      <c r="L271" t="s" s="96">
        <v>4</v>
      </c>
      <c r="M271" t="s" s="96">
        <v>5</v>
      </c>
      <c r="N271" t="s" s="96">
        <v>6</v>
      </c>
      <c r="O271" t="s" s="96">
        <v>7</v>
      </c>
      <c r="P271" t="s" s="96">
        <v>8</v>
      </c>
      <c r="Q271" t="s" s="96">
        <v>1646</v>
      </c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</row>
    <row r="272" ht="15.35" customHeight="1">
      <c r="A272" s="16"/>
      <c r="B272" s="16"/>
      <c r="C272" s="16"/>
      <c r="D272" s="16"/>
      <c r="E272" s="16"/>
      <c r="F272" s="16"/>
      <c r="G272" s="16"/>
      <c r="H272" t="s" s="96">
        <v>1647</v>
      </c>
      <c r="I272" t="s" s="96">
        <v>604</v>
      </c>
      <c r="J272" t="s" s="96">
        <v>31</v>
      </c>
      <c r="K272" t="s" s="96">
        <v>37</v>
      </c>
      <c r="L272" s="79">
        <v>1858</v>
      </c>
      <c r="M272" s="79">
        <v>63</v>
      </c>
      <c r="N272" t="s" s="96">
        <v>54</v>
      </c>
      <c r="O272" t="s" s="96">
        <v>92</v>
      </c>
      <c r="P272" t="s" s="96">
        <v>8</v>
      </c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</row>
    <row r="273" ht="15.35" customHeight="1">
      <c r="A273" s="16"/>
      <c r="B273" s="16"/>
      <c r="C273" s="16"/>
      <c r="D273" s="16"/>
      <c r="E273" s="16"/>
      <c r="F273" s="16"/>
      <c r="G273" s="16"/>
      <c r="H273" t="s" s="96">
        <v>1306</v>
      </c>
      <c r="I273" t="s" s="96">
        <v>604</v>
      </c>
      <c r="J273" t="s" s="96">
        <v>72</v>
      </c>
      <c r="K273" t="s" s="96">
        <v>12</v>
      </c>
      <c r="L273" s="79">
        <v>1858</v>
      </c>
      <c r="M273" s="79">
        <v>62</v>
      </c>
      <c r="N273" t="s" s="96">
        <v>1648</v>
      </c>
      <c r="O273" t="s" s="96">
        <v>33</v>
      </c>
      <c r="P273" t="s" s="96">
        <v>34</v>
      </c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</row>
    <row r="274" ht="15.35" customHeight="1">
      <c r="A274" s="16"/>
      <c r="B274" s="16"/>
      <c r="C274" s="16"/>
      <c r="D274" s="16"/>
      <c r="E274" s="16"/>
      <c r="F274" s="16"/>
      <c r="G274" s="16"/>
      <c r="H274" t="s" s="96">
        <v>839</v>
      </c>
      <c r="I274" t="s" s="96">
        <v>604</v>
      </c>
      <c r="J274" t="s" s="96">
        <v>36</v>
      </c>
      <c r="K274" t="s" s="96">
        <v>37</v>
      </c>
      <c r="L274" s="79">
        <v>1895</v>
      </c>
      <c r="M274" s="79">
        <v>25</v>
      </c>
      <c r="N274" t="s" s="96">
        <v>13</v>
      </c>
      <c r="O274" t="s" s="96">
        <v>1649</v>
      </c>
      <c r="P274" t="s" s="96">
        <v>1650</v>
      </c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</row>
    <row r="275" ht="15.35" customHeight="1">
      <c r="A275" s="16"/>
      <c r="B275" s="16"/>
      <c r="C275" s="16"/>
      <c r="D275" s="16"/>
      <c r="E275" s="16"/>
      <c r="F275" s="16"/>
      <c r="G275" s="16"/>
      <c r="H275" t="s" s="96">
        <v>71</v>
      </c>
      <c r="I275" t="s" s="96">
        <v>1651</v>
      </c>
      <c r="J275" t="s" s="96">
        <v>11</v>
      </c>
      <c r="K275" t="s" s="96">
        <v>12</v>
      </c>
      <c r="L275" s="79">
        <v>1895</v>
      </c>
      <c r="M275" s="79">
        <v>25</v>
      </c>
      <c r="N275" t="s" s="96">
        <v>790</v>
      </c>
      <c r="O275" t="s" s="96">
        <v>105</v>
      </c>
      <c r="P275" t="s" s="96">
        <v>15</v>
      </c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</row>
    <row r="276" ht="15.3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</row>
    <row r="277" ht="15.3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</row>
    <row r="278" ht="15.35" customHeight="1">
      <c r="A278" t="s" s="333">
        <v>1668</v>
      </c>
      <c r="B278" s="334">
        <v>1911</v>
      </c>
      <c r="C278" t="s" s="96">
        <v>1669</v>
      </c>
      <c r="D278" s="16"/>
      <c r="E278" s="16"/>
      <c r="F278" s="335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</row>
    <row r="279" ht="15.35" customHeight="1">
      <c r="A279" s="16"/>
      <c r="B279" s="16"/>
      <c r="C279" s="16"/>
      <c r="D279" s="16"/>
      <c r="E279" s="16"/>
      <c r="F279" s="334">
        <v>14</v>
      </c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</row>
    <row r="280" ht="15.35" customHeight="1">
      <c r="A280" s="16"/>
      <c r="B280" s="16"/>
      <c r="C280" s="16"/>
      <c r="D280" s="16"/>
      <c r="E280" s="16"/>
      <c r="F280" s="335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</row>
    <row r="281" ht="15.35" customHeight="1">
      <c r="A281" s="16"/>
      <c r="B281" s="16"/>
      <c r="C281" s="16"/>
      <c r="D281" s="16"/>
      <c r="E281" s="16"/>
      <c r="F281" s="334">
        <v>29</v>
      </c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</row>
    <row r="282" ht="15.35" customHeight="1">
      <c r="A282" s="16"/>
      <c r="B282" s="16"/>
      <c r="C282" s="16"/>
      <c r="D282" s="16"/>
      <c r="E282" s="16"/>
      <c r="F282" s="334">
        <v>27</v>
      </c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8.xml><?xml version="1.0" encoding="utf-8"?>
<worksheet xmlns:r="http://schemas.openxmlformats.org/officeDocument/2006/relationships" xmlns="http://schemas.openxmlformats.org/spreadsheetml/2006/main">
  <dimension ref="A1:BC61"/>
  <sheetViews>
    <sheetView workbookViewId="0" showGridLines="0" defaultGridColor="1"/>
  </sheetViews>
  <sheetFormatPr defaultColWidth="10.8333" defaultRowHeight="16" customHeight="1" outlineLevelRow="0" outlineLevelCol="0"/>
  <cols>
    <col min="1" max="1" width="10.8516" style="336" customWidth="1"/>
    <col min="2" max="2" width="6" style="336" customWidth="1"/>
    <col min="3" max="3" width="10.8516" style="336" customWidth="1"/>
    <col min="4" max="4" width="17.8516" style="336" customWidth="1"/>
    <col min="5" max="5" width="19.5" style="336" customWidth="1"/>
    <col min="6" max="6" width="11.5" style="336" customWidth="1"/>
    <col min="7" max="7" width="10.8516" style="336" customWidth="1"/>
    <col min="8" max="8" width="17.1719" style="336" customWidth="1"/>
    <col min="9" max="9" width="10.8516" style="336" customWidth="1"/>
    <col min="10" max="10" width="11.3516" style="336" customWidth="1"/>
    <col min="11" max="11" width="8.17188" style="336" customWidth="1"/>
    <col min="12" max="12" width="7.85156" style="336" customWidth="1"/>
    <col min="13" max="13" width="10" style="336" customWidth="1"/>
    <col min="14" max="14" width="8.67188" style="336" customWidth="1"/>
    <col min="15" max="15" width="8.5" style="336" customWidth="1"/>
    <col min="16" max="16" width="11.5" style="336" customWidth="1"/>
    <col min="17" max="17" width="11.6719" style="336" customWidth="1"/>
    <col min="18" max="18" width="12.3516" style="336" customWidth="1"/>
    <col min="19" max="19" width="10.8516" style="336" customWidth="1"/>
    <col min="20" max="20" width="15.1719" style="336" customWidth="1"/>
    <col min="21" max="23" width="10.8516" style="336" customWidth="1"/>
    <col min="24" max="24" width="11.1719" style="336" customWidth="1"/>
    <col min="25" max="25" width="19.8516" style="336" customWidth="1"/>
    <col min="26" max="26" width="12.1719" style="336" customWidth="1"/>
    <col min="27" max="30" width="16.5" style="336" customWidth="1"/>
    <col min="31" max="31" width="14.6719" style="336" customWidth="1"/>
    <col min="32" max="32" width="10.8516" style="336" customWidth="1"/>
    <col min="33" max="33" width="11" style="336" customWidth="1"/>
    <col min="34" max="34" width="11.1719" style="336" customWidth="1"/>
    <col min="35" max="35" width="7.85156" style="336" customWidth="1"/>
    <col min="36" max="37" width="10.8516" style="336" customWidth="1"/>
    <col min="38" max="38" width="7.35156" style="336" customWidth="1"/>
    <col min="39" max="39" width="10.8516" style="336" customWidth="1"/>
    <col min="40" max="40" width="9.17188" style="336" customWidth="1"/>
    <col min="41" max="41" width="10.8516" style="336" customWidth="1"/>
    <col min="42" max="42" width="12.5" style="336" customWidth="1"/>
    <col min="43" max="43" width="13" style="336" customWidth="1"/>
    <col min="44" max="55" width="10.8516" style="336" customWidth="1"/>
    <col min="56" max="16384" width="10.8516" style="336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227">
        <v>290</v>
      </c>
      <c r="B2" s="228"/>
      <c r="C2" s="228"/>
      <c r="D2" s="228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206">
        <v>302</v>
      </c>
      <c r="V2" t="s" s="206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30" customHeight="1">
      <c r="A3" t="s" s="233">
        <v>1670</v>
      </c>
      <c r="B3" s="234">
        <v>1921</v>
      </c>
      <c r="C3" t="s" s="235">
        <v>1671</v>
      </c>
      <c r="D3" t="s" s="259">
        <v>1672</v>
      </c>
      <c r="E3" t="s" s="337">
        <v>1673</v>
      </c>
      <c r="F3" s="338"/>
      <c r="G3" t="s" s="83">
        <v>1674</v>
      </c>
      <c r="H3" t="s" s="83">
        <v>1150</v>
      </c>
      <c r="I3" s="339">
        <v>1</v>
      </c>
      <c r="J3" s="112">
        <v>1</v>
      </c>
      <c r="K3" s="340"/>
      <c r="L3" s="341"/>
      <c r="M3" s="342"/>
      <c r="N3" s="112">
        <v>1</v>
      </c>
      <c r="O3" s="340"/>
      <c r="P3" s="341"/>
      <c r="Q3" s="341"/>
      <c r="R3" s="342"/>
      <c r="S3" s="30"/>
      <c r="T3" s="197">
        <v>72</v>
      </c>
      <c r="U3" s="238"/>
      <c r="V3" s="239"/>
      <c r="W3" s="342"/>
      <c r="X3" s="243"/>
      <c r="Y3" s="243"/>
      <c r="Z3" s="243"/>
      <c r="AA3" t="s" s="198">
        <v>33</v>
      </c>
      <c r="AB3" t="s" s="198">
        <v>15</v>
      </c>
      <c r="AC3" s="243"/>
      <c r="AD3" s="243"/>
      <c r="AE3" s="243"/>
      <c r="AF3" s="243"/>
      <c r="AG3" t="s" s="198">
        <v>1675</v>
      </c>
      <c r="AH3" s="87"/>
      <c r="AI3" s="8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340"/>
      <c r="BA3" s="341"/>
      <c r="BB3" s="341"/>
      <c r="BC3" s="343"/>
    </row>
    <row r="4" ht="51" customHeight="1">
      <c r="A4" t="s" s="245">
        <v>1670</v>
      </c>
      <c r="B4" s="246">
        <v>1921</v>
      </c>
      <c r="C4" t="s" s="247">
        <v>1671</v>
      </c>
      <c r="D4" t="s" s="344">
        <v>1672</v>
      </c>
      <c r="E4" t="s" s="83">
        <v>1673</v>
      </c>
      <c r="F4" s="30"/>
      <c r="G4" t="s" s="83">
        <v>1674</v>
      </c>
      <c r="H4" t="s" s="83">
        <v>1676</v>
      </c>
      <c r="I4" s="249">
        <v>2</v>
      </c>
      <c r="J4" s="112">
        <v>1</v>
      </c>
      <c r="K4" s="200"/>
      <c r="L4" s="14"/>
      <c r="M4" s="201"/>
      <c r="N4" t="s" s="83">
        <v>78</v>
      </c>
      <c r="O4" s="200"/>
      <c r="P4" s="250">
        <v>1</v>
      </c>
      <c r="Q4" s="14"/>
      <c r="R4" s="201"/>
      <c r="S4" s="30"/>
      <c r="T4" s="118">
        <v>45</v>
      </c>
      <c r="U4" s="200"/>
      <c r="V4" s="14"/>
      <c r="W4" s="201"/>
      <c r="X4" s="84"/>
      <c r="Y4" s="84"/>
      <c r="Z4" s="84"/>
      <c r="AA4" t="s" s="119">
        <v>33</v>
      </c>
      <c r="AB4" t="s" s="119">
        <v>15</v>
      </c>
      <c r="AC4" s="84"/>
      <c r="AD4" s="84"/>
      <c r="AE4" s="84"/>
      <c r="AF4" s="84"/>
      <c r="AG4" t="s" s="119">
        <v>1520</v>
      </c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200"/>
      <c r="BA4" s="14"/>
      <c r="BB4" s="14"/>
      <c r="BC4" s="14"/>
    </row>
    <row r="5" ht="51" customHeight="1">
      <c r="A5" t="s" s="88">
        <v>1670</v>
      </c>
      <c r="B5" s="89">
        <v>1921</v>
      </c>
      <c r="C5" t="s" s="90">
        <v>1671</v>
      </c>
      <c r="D5" t="s" s="216">
        <v>1672</v>
      </c>
      <c r="E5" t="s" s="83">
        <v>1673</v>
      </c>
      <c r="F5" s="30"/>
      <c r="G5" t="s" s="83">
        <v>1674</v>
      </c>
      <c r="H5" t="s" s="83">
        <v>1677</v>
      </c>
      <c r="I5" s="176">
        <v>3</v>
      </c>
      <c r="J5" s="112">
        <v>1</v>
      </c>
      <c r="K5" s="74"/>
      <c r="L5" s="16"/>
      <c r="M5" s="75"/>
      <c r="N5" t="s" s="83">
        <v>78</v>
      </c>
      <c r="O5" s="74"/>
      <c r="P5" s="99">
        <v>1</v>
      </c>
      <c r="Q5" s="16"/>
      <c r="R5" s="75"/>
      <c r="S5" s="30"/>
      <c r="T5" s="118">
        <v>29</v>
      </c>
      <c r="U5" s="74"/>
      <c r="V5" s="16"/>
      <c r="W5" s="75"/>
      <c r="X5" s="84"/>
      <c r="Y5" s="84"/>
      <c r="Z5" s="84"/>
      <c r="AA5" t="s" s="119">
        <v>33</v>
      </c>
      <c r="AB5" t="s" s="119">
        <v>15</v>
      </c>
      <c r="AC5" s="84"/>
      <c r="AD5" s="84"/>
      <c r="AE5" s="84"/>
      <c r="AF5" s="84"/>
      <c r="AG5" t="s" s="119">
        <v>1520</v>
      </c>
      <c r="AH5" s="87"/>
      <c r="AI5" s="87"/>
      <c r="AJ5" s="87"/>
      <c r="AK5" s="87"/>
      <c r="AL5" s="87"/>
      <c r="AM5" s="87"/>
      <c r="AN5" s="87"/>
      <c r="AO5" s="87"/>
      <c r="AP5" s="87"/>
      <c r="AQ5" s="87"/>
      <c r="AR5" s="87"/>
      <c r="AS5" s="87"/>
      <c r="AT5" s="87"/>
      <c r="AU5" s="87"/>
      <c r="AV5" s="87"/>
      <c r="AW5" s="87"/>
      <c r="AX5" s="87"/>
      <c r="AY5" s="87"/>
      <c r="AZ5" s="74"/>
      <c r="BA5" s="16"/>
      <c r="BB5" s="16"/>
      <c r="BC5" s="16"/>
    </row>
    <row r="6" ht="51" customHeight="1">
      <c r="A6" t="s" s="88">
        <v>1670</v>
      </c>
      <c r="B6" s="89">
        <v>1921</v>
      </c>
      <c r="C6" t="s" s="90">
        <v>1671</v>
      </c>
      <c r="D6" t="s" s="216">
        <v>1672</v>
      </c>
      <c r="E6" t="s" s="83">
        <v>1673</v>
      </c>
      <c r="F6" s="30"/>
      <c r="G6" t="s" s="83">
        <v>386</v>
      </c>
      <c r="H6" t="s" s="83">
        <v>71</v>
      </c>
      <c r="I6" s="176">
        <v>4</v>
      </c>
      <c r="J6" s="112">
        <v>1</v>
      </c>
      <c r="K6" s="74"/>
      <c r="L6" s="16"/>
      <c r="M6" s="75"/>
      <c r="N6" t="s" s="83">
        <v>11</v>
      </c>
      <c r="O6" s="74"/>
      <c r="P6" s="16"/>
      <c r="Q6" s="16"/>
      <c r="R6" s="75"/>
      <c r="S6" s="112">
        <v>1</v>
      </c>
      <c r="T6" s="118">
        <v>19</v>
      </c>
      <c r="U6" s="74"/>
      <c r="V6" s="16"/>
      <c r="W6" s="75"/>
      <c r="X6" s="84"/>
      <c r="Y6" s="84"/>
      <c r="Z6" s="84"/>
      <c r="AA6" t="s" s="119">
        <v>105</v>
      </c>
      <c r="AB6" t="s" s="119">
        <v>15</v>
      </c>
      <c r="AC6" s="84">
        <v>1</v>
      </c>
      <c r="AD6" s="84"/>
      <c r="AE6" s="84"/>
      <c r="AF6" s="84">
        <v>1</v>
      </c>
      <c r="AG6" t="s" s="119">
        <v>54</v>
      </c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87"/>
      <c r="AS6" s="87"/>
      <c r="AT6" s="87"/>
      <c r="AU6" s="87"/>
      <c r="AV6" s="87"/>
      <c r="AW6" s="87"/>
      <c r="AX6" s="87"/>
      <c r="AY6" s="87"/>
      <c r="AZ6" s="74"/>
      <c r="BA6" s="16"/>
      <c r="BB6" s="16"/>
      <c r="BC6" s="16"/>
    </row>
    <row r="7" ht="17.45" customHeight="1">
      <c r="A7" s="168"/>
      <c r="B7" s="89"/>
      <c r="C7" s="89"/>
      <c r="D7" s="89"/>
      <c r="E7" s="266"/>
      <c r="F7" s="91"/>
      <c r="G7" s="30"/>
      <c r="H7" s="112">
        <v>4</v>
      </c>
      <c r="I7" s="122"/>
      <c r="J7" s="30"/>
      <c r="K7" s="74"/>
      <c r="L7" s="16"/>
      <c r="M7" s="75"/>
      <c r="N7" s="30"/>
      <c r="O7" s="74"/>
      <c r="P7" s="16"/>
      <c r="Q7" s="16"/>
      <c r="R7" s="75"/>
      <c r="S7" s="30"/>
      <c r="T7" s="121"/>
      <c r="U7" s="74"/>
      <c r="V7" s="16"/>
      <c r="W7" s="75"/>
      <c r="X7" s="84"/>
      <c r="Y7" s="84"/>
      <c r="Z7" s="84"/>
      <c r="AA7" s="121"/>
      <c r="AB7" s="121"/>
      <c r="AC7" s="84"/>
      <c r="AD7" s="84"/>
      <c r="AE7" s="84"/>
      <c r="AF7" s="84"/>
      <c r="AG7" s="121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74"/>
      <c r="BA7" s="16"/>
      <c r="BB7" s="16"/>
      <c r="BC7" s="16"/>
    </row>
    <row r="8" ht="17" customHeight="1">
      <c r="A8" t="s" s="88">
        <v>1670</v>
      </c>
      <c r="B8" s="89">
        <v>1921</v>
      </c>
      <c r="C8" t="s" s="90">
        <v>1678</v>
      </c>
      <c r="D8" t="s" s="90">
        <v>1672</v>
      </c>
      <c r="E8" s="89"/>
      <c r="F8" s="91"/>
      <c r="G8" t="s" s="83">
        <v>1</v>
      </c>
      <c r="H8" t="s" s="83">
        <v>0</v>
      </c>
      <c r="I8" s="122"/>
      <c r="J8" t="s" s="83">
        <v>3</v>
      </c>
      <c r="K8" s="74"/>
      <c r="L8" s="16"/>
      <c r="M8" s="75"/>
      <c r="N8" t="s" s="83">
        <v>2</v>
      </c>
      <c r="O8" s="74"/>
      <c r="P8" s="16"/>
      <c r="Q8" s="16"/>
      <c r="R8" s="75"/>
      <c r="S8" s="30"/>
      <c r="T8" t="s" s="119">
        <v>5</v>
      </c>
      <c r="U8" s="74"/>
      <c r="V8" s="16"/>
      <c r="W8" s="75"/>
      <c r="X8" s="84"/>
      <c r="Y8" s="84"/>
      <c r="Z8" s="84"/>
      <c r="AA8" t="s" s="119">
        <v>7</v>
      </c>
      <c r="AB8" t="s" s="119">
        <v>8</v>
      </c>
      <c r="AC8" s="84"/>
      <c r="AD8" s="84"/>
      <c r="AE8" s="84"/>
      <c r="AF8" s="84"/>
      <c r="AG8" t="s" s="119">
        <v>6</v>
      </c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74"/>
      <c r="BA8" s="16"/>
      <c r="BB8" s="16"/>
      <c r="BC8" s="16"/>
    </row>
    <row r="9" ht="51" customHeight="1">
      <c r="A9" t="s" s="88">
        <v>1670</v>
      </c>
      <c r="B9" s="89">
        <v>1921</v>
      </c>
      <c r="C9" t="s" s="90">
        <v>1678</v>
      </c>
      <c r="D9" t="s" s="90">
        <v>1672</v>
      </c>
      <c r="E9" t="s" s="90">
        <v>1679</v>
      </c>
      <c r="F9" s="91">
        <v>5</v>
      </c>
      <c r="G9" t="s" s="83">
        <v>1680</v>
      </c>
      <c r="H9" t="s" s="83">
        <v>1681</v>
      </c>
      <c r="I9" s="176">
        <v>5</v>
      </c>
      <c r="J9" t="s" s="83">
        <v>37</v>
      </c>
      <c r="K9" s="177">
        <v>1</v>
      </c>
      <c r="L9" s="16"/>
      <c r="M9" s="75"/>
      <c r="N9" s="112">
        <v>1</v>
      </c>
      <c r="O9" s="74"/>
      <c r="P9" s="16"/>
      <c r="Q9" s="16"/>
      <c r="R9" s="75"/>
      <c r="S9" s="30"/>
      <c r="T9" s="118">
        <v>68</v>
      </c>
      <c r="U9" s="74"/>
      <c r="V9" s="16"/>
      <c r="W9" s="75"/>
      <c r="X9" s="84"/>
      <c r="Y9" s="84"/>
      <c r="Z9" s="84"/>
      <c r="AA9" t="s" s="119">
        <v>1682</v>
      </c>
      <c r="AB9" t="s" s="119">
        <v>8</v>
      </c>
      <c r="AC9" s="84">
        <v>1</v>
      </c>
      <c r="AD9" s="84">
        <v>1</v>
      </c>
      <c r="AE9" s="84"/>
      <c r="AF9" s="84"/>
      <c r="AG9" t="s" s="119">
        <v>1683</v>
      </c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87"/>
      <c r="AS9" s="87"/>
      <c r="AT9" s="87"/>
      <c r="AU9" s="87"/>
      <c r="AV9" s="87"/>
      <c r="AW9" s="87"/>
      <c r="AX9" s="87"/>
      <c r="AY9" s="87"/>
      <c r="AZ9" s="74"/>
      <c r="BA9" s="16"/>
      <c r="BB9" s="16"/>
      <c r="BC9" s="16"/>
    </row>
    <row r="10" ht="68" customHeight="1">
      <c r="A10" t="s" s="88">
        <v>1670</v>
      </c>
      <c r="B10" s="89">
        <v>1921</v>
      </c>
      <c r="C10" t="s" s="90">
        <v>1678</v>
      </c>
      <c r="D10" t="s" s="90">
        <v>1672</v>
      </c>
      <c r="E10" t="s" s="90">
        <v>1679</v>
      </c>
      <c r="F10" s="91">
        <v>5</v>
      </c>
      <c r="G10" t="s" s="83">
        <v>1680</v>
      </c>
      <c r="H10" t="s" s="83">
        <v>1684</v>
      </c>
      <c r="I10" s="176">
        <v>6</v>
      </c>
      <c r="J10" s="112">
        <v>1</v>
      </c>
      <c r="K10" s="74"/>
      <c r="L10" s="16"/>
      <c r="M10" s="75"/>
      <c r="N10" t="s" s="83">
        <v>78</v>
      </c>
      <c r="O10" s="74"/>
      <c r="P10" s="99">
        <v>1</v>
      </c>
      <c r="Q10" s="16"/>
      <c r="R10" s="75"/>
      <c r="S10" s="30"/>
      <c r="T10" s="118">
        <v>25</v>
      </c>
      <c r="U10" s="74"/>
      <c r="V10" s="16"/>
      <c r="W10" s="75"/>
      <c r="X10" s="84"/>
      <c r="Y10" s="84"/>
      <c r="Z10" s="84"/>
      <c r="AA10" t="s" s="119">
        <v>94</v>
      </c>
      <c r="AB10" t="s" s="119">
        <v>34</v>
      </c>
      <c r="AC10" s="84"/>
      <c r="AD10" s="84"/>
      <c r="AE10" s="84"/>
      <c r="AF10" s="84">
        <v>1</v>
      </c>
      <c r="AG10" t="s" s="119">
        <v>13</v>
      </c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74"/>
      <c r="BA10" s="16"/>
      <c r="BB10" s="16"/>
      <c r="BC10" s="16"/>
    </row>
    <row r="11" ht="34" customHeight="1">
      <c r="A11" t="s" s="88">
        <v>1670</v>
      </c>
      <c r="B11" s="89">
        <v>1921</v>
      </c>
      <c r="C11" t="s" s="90">
        <v>1678</v>
      </c>
      <c r="D11" t="s" s="90">
        <v>1672</v>
      </c>
      <c r="E11" t="s" s="90">
        <v>1679</v>
      </c>
      <c r="F11" s="91">
        <v>5</v>
      </c>
      <c r="G11" t="s" s="83">
        <v>1680</v>
      </c>
      <c r="H11" t="s" s="83">
        <v>1685</v>
      </c>
      <c r="I11" s="176">
        <v>7</v>
      </c>
      <c r="J11" s="112">
        <v>1</v>
      </c>
      <c r="K11" s="74"/>
      <c r="L11" s="16"/>
      <c r="M11" s="75"/>
      <c r="N11" t="s" s="83">
        <v>78</v>
      </c>
      <c r="O11" s="74"/>
      <c r="P11" s="99">
        <v>1</v>
      </c>
      <c r="Q11" s="16"/>
      <c r="R11" s="75"/>
      <c r="S11" s="30"/>
      <c r="T11" s="112">
        <v>19</v>
      </c>
      <c r="U11" s="74"/>
      <c r="V11" s="16"/>
      <c r="W11" s="75"/>
      <c r="X11" s="84"/>
      <c r="Y11" s="84"/>
      <c r="Z11" s="84"/>
      <c r="AA11" t="s" s="83">
        <v>94</v>
      </c>
      <c r="AB11" t="s" s="83">
        <v>34</v>
      </c>
      <c r="AC11" s="84"/>
      <c r="AD11" s="84"/>
      <c r="AE11" s="84"/>
      <c r="AF11" s="84">
        <v>1</v>
      </c>
      <c r="AG11" t="s" s="83">
        <v>13</v>
      </c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74"/>
      <c r="BA11" s="16"/>
      <c r="BB11" s="16"/>
      <c r="BC11" s="16"/>
    </row>
    <row r="12" ht="17.45" customHeight="1">
      <c r="A12" s="168"/>
      <c r="B12" s="89"/>
      <c r="C12" s="89"/>
      <c r="D12" s="89"/>
      <c r="E12" s="89"/>
      <c r="F12" s="91"/>
      <c r="G12" s="30"/>
      <c r="H12" s="112">
        <v>3</v>
      </c>
      <c r="I12" s="122"/>
      <c r="J12" s="30"/>
      <c r="K12" s="74"/>
      <c r="L12" s="16"/>
      <c r="M12" s="75"/>
      <c r="N12" s="30"/>
      <c r="O12" s="74"/>
      <c r="P12" s="16"/>
      <c r="Q12" s="16"/>
      <c r="R12" s="75"/>
      <c r="S12" s="30"/>
      <c r="T12" s="121"/>
      <c r="U12" s="74"/>
      <c r="V12" s="16"/>
      <c r="W12" s="75"/>
      <c r="X12" s="84"/>
      <c r="Y12" s="84"/>
      <c r="Z12" s="84"/>
      <c r="AA12" s="121"/>
      <c r="AB12" s="121"/>
      <c r="AC12" s="84"/>
      <c r="AD12" s="84"/>
      <c r="AE12" s="84"/>
      <c r="AF12" s="84"/>
      <c r="AG12" s="121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74"/>
      <c r="BA12" s="16"/>
      <c r="BB12" s="16"/>
      <c r="BC12" s="16"/>
    </row>
    <row r="13" ht="17" customHeight="1">
      <c r="A13" t="s" s="88">
        <v>1670</v>
      </c>
      <c r="B13" s="89">
        <v>1921</v>
      </c>
      <c r="C13" s="89"/>
      <c r="D13" t="s" s="90">
        <v>1672</v>
      </c>
      <c r="E13" s="89"/>
      <c r="F13" s="91"/>
      <c r="G13" t="s" s="83">
        <v>1</v>
      </c>
      <c r="H13" t="s" s="83">
        <v>0</v>
      </c>
      <c r="I13" s="122"/>
      <c r="J13" t="s" s="83">
        <v>3</v>
      </c>
      <c r="K13" s="74"/>
      <c r="L13" s="16"/>
      <c r="M13" s="75"/>
      <c r="N13" t="s" s="83">
        <v>2</v>
      </c>
      <c r="O13" s="74"/>
      <c r="P13" s="16"/>
      <c r="Q13" s="16"/>
      <c r="R13" s="75"/>
      <c r="S13" s="30"/>
      <c r="T13" t="s" s="119">
        <v>5</v>
      </c>
      <c r="U13" s="74"/>
      <c r="V13" s="16"/>
      <c r="W13" s="75"/>
      <c r="X13" s="84"/>
      <c r="Y13" s="84"/>
      <c r="Z13" s="84"/>
      <c r="AA13" t="s" s="119">
        <v>7</v>
      </c>
      <c r="AB13" t="s" s="119">
        <v>8</v>
      </c>
      <c r="AC13" s="84"/>
      <c r="AD13" s="84"/>
      <c r="AE13" s="84"/>
      <c r="AF13" s="84"/>
      <c r="AG13" t="s" s="119">
        <v>6</v>
      </c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74"/>
      <c r="BA13" s="16"/>
      <c r="BB13" s="16"/>
      <c r="BC13" s="16"/>
    </row>
    <row r="14" ht="68" customHeight="1">
      <c r="A14" t="s" s="88">
        <v>1670</v>
      </c>
      <c r="B14" s="89">
        <v>1921</v>
      </c>
      <c r="C14" t="s" s="90">
        <v>1686</v>
      </c>
      <c r="D14" t="s" s="90">
        <v>1672</v>
      </c>
      <c r="E14" s="89"/>
      <c r="F14" t="s" s="328">
        <v>1687</v>
      </c>
      <c r="G14" t="s" s="83">
        <v>1688</v>
      </c>
      <c r="H14" t="s" s="83">
        <v>1689</v>
      </c>
      <c r="I14" s="176">
        <v>8</v>
      </c>
      <c r="J14" t="s" s="83">
        <v>37</v>
      </c>
      <c r="K14" s="177">
        <v>1</v>
      </c>
      <c r="L14" s="16"/>
      <c r="M14" s="75"/>
      <c r="N14" s="112">
        <v>1</v>
      </c>
      <c r="O14" s="74"/>
      <c r="P14" s="16"/>
      <c r="Q14" s="16"/>
      <c r="R14" s="75"/>
      <c r="S14" s="30"/>
      <c r="T14" s="118">
        <v>55</v>
      </c>
      <c r="U14" s="74"/>
      <c r="V14" s="16"/>
      <c r="W14" s="75"/>
      <c r="X14" s="84"/>
      <c r="Y14" s="84"/>
      <c r="Z14" s="84"/>
      <c r="AA14" t="s" s="119">
        <v>1690</v>
      </c>
      <c r="AB14" t="s" s="119">
        <v>8</v>
      </c>
      <c r="AC14" s="84">
        <v>1</v>
      </c>
      <c r="AD14" s="84">
        <v>1</v>
      </c>
      <c r="AE14" s="84"/>
      <c r="AF14" s="84">
        <v>1</v>
      </c>
      <c r="AG14" t="s" s="119">
        <v>13</v>
      </c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74"/>
      <c r="BA14" s="16"/>
      <c r="BB14" s="16"/>
      <c r="BC14" s="16"/>
    </row>
    <row r="15" ht="51" customHeight="1">
      <c r="A15" t="s" s="88">
        <v>1670</v>
      </c>
      <c r="B15" s="89">
        <v>1921</v>
      </c>
      <c r="C15" t="s" s="90">
        <v>1686</v>
      </c>
      <c r="D15" t="s" s="90">
        <v>1672</v>
      </c>
      <c r="E15" s="89"/>
      <c r="F15" s="91"/>
      <c r="G15" t="s" s="83">
        <v>1688</v>
      </c>
      <c r="H15" t="s" s="83">
        <v>1691</v>
      </c>
      <c r="I15" s="176">
        <v>9</v>
      </c>
      <c r="J15" s="112">
        <v>1</v>
      </c>
      <c r="K15" s="74"/>
      <c r="L15" s="16"/>
      <c r="M15" s="75"/>
      <c r="N15" t="s" s="83">
        <v>72</v>
      </c>
      <c r="O15" s="177">
        <v>1</v>
      </c>
      <c r="P15" s="16"/>
      <c r="Q15" s="16"/>
      <c r="R15" s="75"/>
      <c r="S15" s="30"/>
      <c r="T15" s="118">
        <v>45</v>
      </c>
      <c r="U15" s="74"/>
      <c r="V15" s="16"/>
      <c r="W15" s="75"/>
      <c r="X15" s="84"/>
      <c r="Y15" s="84"/>
      <c r="Z15" s="84"/>
      <c r="AA15" t="s" s="119">
        <v>33</v>
      </c>
      <c r="AB15" t="s" s="119">
        <v>34</v>
      </c>
      <c r="AC15" s="84"/>
      <c r="AD15" s="84"/>
      <c r="AE15" s="84"/>
      <c r="AF15" s="84"/>
      <c r="AG15" t="s" s="119">
        <v>1692</v>
      </c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74"/>
      <c r="BA15" s="16"/>
      <c r="BB15" s="16"/>
      <c r="BC15" s="16"/>
    </row>
    <row r="16" ht="68" customHeight="1">
      <c r="A16" t="s" s="88">
        <v>1670</v>
      </c>
      <c r="B16" s="89">
        <v>1921</v>
      </c>
      <c r="C16" t="s" s="90">
        <v>1686</v>
      </c>
      <c r="D16" t="s" s="90">
        <v>1672</v>
      </c>
      <c r="E16" s="89"/>
      <c r="F16" s="91"/>
      <c r="G16" t="s" s="83">
        <v>1688</v>
      </c>
      <c r="H16" t="s" s="83">
        <v>1693</v>
      </c>
      <c r="I16" s="176">
        <v>10</v>
      </c>
      <c r="J16" t="s" s="83">
        <v>37</v>
      </c>
      <c r="K16" s="74"/>
      <c r="L16" s="16"/>
      <c r="M16" s="178">
        <v>1</v>
      </c>
      <c r="N16" t="s" s="83">
        <v>36</v>
      </c>
      <c r="O16" s="74"/>
      <c r="P16" s="16"/>
      <c r="Q16" s="99">
        <v>1</v>
      </c>
      <c r="R16" s="75"/>
      <c r="S16" s="30"/>
      <c r="T16" s="118">
        <v>11</v>
      </c>
      <c r="U16" s="74"/>
      <c r="V16" s="16"/>
      <c r="W16" s="75"/>
      <c r="X16" s="84"/>
      <c r="Y16" s="84"/>
      <c r="Z16" s="84"/>
      <c r="AA16" t="s" s="119">
        <v>34</v>
      </c>
      <c r="AB16" t="s" s="119">
        <v>34</v>
      </c>
      <c r="AC16" s="84"/>
      <c r="AD16" s="84"/>
      <c r="AE16" s="84"/>
      <c r="AF16" s="84">
        <v>1</v>
      </c>
      <c r="AG16" t="s" s="119">
        <v>13</v>
      </c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74"/>
      <c r="BA16" s="16"/>
      <c r="BB16" s="16"/>
      <c r="BC16" s="16"/>
    </row>
    <row r="17" ht="68" customHeight="1">
      <c r="A17" t="s" s="88">
        <v>1670</v>
      </c>
      <c r="B17" s="89">
        <v>1921</v>
      </c>
      <c r="C17" t="s" s="90">
        <v>1694</v>
      </c>
      <c r="D17" t="s" s="90">
        <v>1672</v>
      </c>
      <c r="E17" s="89"/>
      <c r="F17" s="91"/>
      <c r="G17" t="s" s="83">
        <v>1695</v>
      </c>
      <c r="H17" t="s" s="83">
        <v>369</v>
      </c>
      <c r="I17" s="176">
        <v>11</v>
      </c>
      <c r="J17" s="112">
        <v>1</v>
      </c>
      <c r="K17" s="74"/>
      <c r="L17" s="16"/>
      <c r="M17" s="75"/>
      <c r="N17" t="s" s="83">
        <v>11</v>
      </c>
      <c r="O17" s="74"/>
      <c r="P17" s="16"/>
      <c r="Q17" s="16"/>
      <c r="R17" s="75"/>
      <c r="S17" s="112">
        <v>1</v>
      </c>
      <c r="T17" s="118">
        <v>18</v>
      </c>
      <c r="U17" s="74"/>
      <c r="V17" s="16"/>
      <c r="W17" s="75"/>
      <c r="X17" s="84"/>
      <c r="Y17" s="84"/>
      <c r="Z17" s="84"/>
      <c r="AA17" t="s" s="119">
        <v>105</v>
      </c>
      <c r="AB17" t="s" s="119">
        <v>15</v>
      </c>
      <c r="AC17" s="84">
        <v>1</v>
      </c>
      <c r="AD17" s="84"/>
      <c r="AE17" s="84"/>
      <c r="AF17" s="84">
        <v>1</v>
      </c>
      <c r="AG17" t="s" s="119">
        <v>1696</v>
      </c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74"/>
      <c r="BA17" s="16"/>
      <c r="BB17" s="16"/>
      <c r="BC17" s="16"/>
    </row>
    <row r="18" ht="17" customHeight="1">
      <c r="A18" t="s" s="88">
        <v>1670</v>
      </c>
      <c r="B18" s="89">
        <v>1921</v>
      </c>
      <c r="C18" s="89"/>
      <c r="D18" t="s" s="90">
        <v>1672</v>
      </c>
      <c r="E18" s="89"/>
      <c r="F18" s="91"/>
      <c r="G18" s="30"/>
      <c r="H18" s="112">
        <v>4</v>
      </c>
      <c r="I18" s="122"/>
      <c r="J18" s="30"/>
      <c r="K18" s="74"/>
      <c r="L18" s="16"/>
      <c r="M18" s="75"/>
      <c r="N18" s="30"/>
      <c r="O18" s="74"/>
      <c r="P18" s="16"/>
      <c r="Q18" s="16"/>
      <c r="R18" s="75"/>
      <c r="S18" s="30"/>
      <c r="T18" s="121"/>
      <c r="U18" s="74"/>
      <c r="V18" s="16"/>
      <c r="W18" s="75"/>
      <c r="X18" s="84"/>
      <c r="Y18" s="84"/>
      <c r="Z18" s="84"/>
      <c r="AA18" s="121"/>
      <c r="AB18" s="121"/>
      <c r="AC18" s="84"/>
      <c r="AD18" s="84"/>
      <c r="AE18" s="84"/>
      <c r="AF18" s="84"/>
      <c r="AG18" s="121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74"/>
      <c r="BA18" s="16"/>
      <c r="BB18" s="16"/>
      <c r="BC18" s="16"/>
    </row>
    <row r="19" ht="17" customHeight="1">
      <c r="A19" t="s" s="88">
        <v>1670</v>
      </c>
      <c r="B19" s="89">
        <v>1921</v>
      </c>
      <c r="C19" s="89"/>
      <c r="D19" t="s" s="90">
        <v>1672</v>
      </c>
      <c r="E19" s="89"/>
      <c r="F19" s="91"/>
      <c r="G19" t="s" s="83">
        <v>1</v>
      </c>
      <c r="H19" t="s" s="83">
        <v>0</v>
      </c>
      <c r="I19" s="122"/>
      <c r="J19" t="s" s="83">
        <v>3</v>
      </c>
      <c r="K19" s="74"/>
      <c r="L19" s="16"/>
      <c r="M19" s="75"/>
      <c r="N19" t="s" s="83">
        <v>2</v>
      </c>
      <c r="O19" s="74"/>
      <c r="P19" s="16"/>
      <c r="Q19" s="16"/>
      <c r="R19" s="75"/>
      <c r="S19" s="30"/>
      <c r="T19" t="s" s="83">
        <v>5</v>
      </c>
      <c r="U19" s="74"/>
      <c r="V19" s="16"/>
      <c r="W19" s="75"/>
      <c r="X19" s="84"/>
      <c r="Y19" s="84"/>
      <c r="Z19" s="84"/>
      <c r="AA19" t="s" s="83">
        <v>7</v>
      </c>
      <c r="AB19" t="s" s="83">
        <v>8</v>
      </c>
      <c r="AC19" s="84">
        <v>1</v>
      </c>
      <c r="AD19" s="84"/>
      <c r="AE19" s="84"/>
      <c r="AF19" s="84"/>
      <c r="AG19" t="s" s="83">
        <v>6</v>
      </c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74"/>
      <c r="BA19" s="16"/>
      <c r="BB19" s="16"/>
      <c r="BC19" s="16"/>
    </row>
    <row r="20" ht="17" customHeight="1">
      <c r="A20" t="s" s="88">
        <v>1670</v>
      </c>
      <c r="B20" s="89">
        <v>1921</v>
      </c>
      <c r="C20" t="s" s="90">
        <v>1697</v>
      </c>
      <c r="D20" t="s" s="90">
        <v>1672</v>
      </c>
      <c r="E20" t="s" s="90">
        <v>1698</v>
      </c>
      <c r="F20" t="s" s="328">
        <v>1699</v>
      </c>
      <c r="G20" t="s" s="83">
        <v>1700</v>
      </c>
      <c r="H20" t="s" s="83">
        <v>193</v>
      </c>
      <c r="I20" s="176">
        <v>12</v>
      </c>
      <c r="J20" t="s" s="83">
        <v>37</v>
      </c>
      <c r="K20" s="177">
        <v>1</v>
      </c>
      <c r="L20" s="16"/>
      <c r="M20" s="75"/>
      <c r="N20" s="112">
        <v>1</v>
      </c>
      <c r="O20" s="74"/>
      <c r="P20" s="16"/>
      <c r="Q20" s="16"/>
      <c r="R20" s="75"/>
      <c r="S20" s="30"/>
      <c r="T20" s="112">
        <v>69</v>
      </c>
      <c r="U20" s="74"/>
      <c r="V20" s="16"/>
      <c r="W20" s="75"/>
      <c r="X20" s="84"/>
      <c r="Y20" s="84"/>
      <c r="Z20" s="84"/>
      <c r="AA20" t="s" s="83">
        <v>1701</v>
      </c>
      <c r="AB20" t="s" s="83">
        <v>1702</v>
      </c>
      <c r="AC20" s="84">
        <v>1</v>
      </c>
      <c r="AD20" s="84"/>
      <c r="AE20" s="84"/>
      <c r="AF20" s="84"/>
      <c r="AG20" t="s" s="83">
        <v>1703</v>
      </c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74"/>
      <c r="BA20" s="16"/>
      <c r="BB20" s="16"/>
      <c r="BC20" s="16"/>
    </row>
    <row r="21" ht="17" customHeight="1">
      <c r="A21" t="s" s="88">
        <v>1670</v>
      </c>
      <c r="B21" s="89">
        <v>1921</v>
      </c>
      <c r="C21" t="s" s="90">
        <v>1697</v>
      </c>
      <c r="D21" t="s" s="90">
        <v>1672</v>
      </c>
      <c r="E21" s="89"/>
      <c r="F21" s="91"/>
      <c r="G21" t="s" s="83">
        <v>1700</v>
      </c>
      <c r="H21" t="s" s="83">
        <v>1298</v>
      </c>
      <c r="I21" s="176">
        <v>13</v>
      </c>
      <c r="J21" s="112">
        <v>1</v>
      </c>
      <c r="K21" s="74"/>
      <c r="L21" s="16"/>
      <c r="M21" s="75"/>
      <c r="N21" t="s" s="83">
        <v>72</v>
      </c>
      <c r="O21" s="177">
        <v>1</v>
      </c>
      <c r="P21" s="16"/>
      <c r="Q21" s="16"/>
      <c r="R21" s="75"/>
      <c r="S21" s="30"/>
      <c r="T21" s="112">
        <v>61</v>
      </c>
      <c r="U21" s="74"/>
      <c r="V21" s="16"/>
      <c r="W21" s="75"/>
      <c r="X21" s="84"/>
      <c r="Y21" s="84"/>
      <c r="Z21" s="84"/>
      <c r="AA21" t="s" s="83">
        <v>33</v>
      </c>
      <c r="AB21" t="s" s="83">
        <v>34</v>
      </c>
      <c r="AC21" s="84"/>
      <c r="AD21" s="84"/>
      <c r="AE21" s="84"/>
      <c r="AF21" s="84"/>
      <c r="AG21" t="s" s="83">
        <v>1704</v>
      </c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74"/>
      <c r="BA21" s="16"/>
      <c r="BB21" s="16"/>
      <c r="BC21" s="16"/>
    </row>
    <row r="22" ht="17" customHeight="1">
      <c r="A22" t="s" s="88">
        <v>1670</v>
      </c>
      <c r="B22" s="89">
        <v>1921</v>
      </c>
      <c r="C22" t="s" s="90">
        <v>1697</v>
      </c>
      <c r="D22" t="s" s="90">
        <v>1672</v>
      </c>
      <c r="E22" s="89"/>
      <c r="F22" s="91"/>
      <c r="G22" t="s" s="83">
        <v>1700</v>
      </c>
      <c r="H22" t="s" s="83">
        <v>1705</v>
      </c>
      <c r="I22" s="176">
        <v>14</v>
      </c>
      <c r="J22" t="s" s="83">
        <v>37</v>
      </c>
      <c r="K22" s="177">
        <v>1</v>
      </c>
      <c r="L22" s="16"/>
      <c r="M22" s="75"/>
      <c r="N22" t="s" s="83">
        <v>36</v>
      </c>
      <c r="O22" s="74"/>
      <c r="P22" s="16"/>
      <c r="Q22" s="99">
        <v>1</v>
      </c>
      <c r="R22" s="75"/>
      <c r="S22" s="30"/>
      <c r="T22" s="112">
        <v>35</v>
      </c>
      <c r="U22" s="74"/>
      <c r="V22" s="16"/>
      <c r="W22" s="75"/>
      <c r="X22" s="84"/>
      <c r="Y22" s="84"/>
      <c r="Z22" s="84"/>
      <c r="AA22" t="s" s="83">
        <v>1097</v>
      </c>
      <c r="AB22" t="s" s="83">
        <v>1706</v>
      </c>
      <c r="AC22" s="84">
        <v>1</v>
      </c>
      <c r="AD22" s="84"/>
      <c r="AE22" s="84"/>
      <c r="AF22" s="84">
        <v>1</v>
      </c>
      <c r="AG22" t="s" s="83">
        <v>13</v>
      </c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74"/>
      <c r="BA22" s="16"/>
      <c r="BB22" s="16"/>
      <c r="BC22" s="16"/>
    </row>
    <row r="23" ht="17" customHeight="1">
      <c r="A23" t="s" s="88">
        <v>1670</v>
      </c>
      <c r="B23" s="89">
        <v>1921</v>
      </c>
      <c r="C23" t="s" s="90">
        <v>1697</v>
      </c>
      <c r="D23" t="s" s="90">
        <v>1672</v>
      </c>
      <c r="E23" s="89"/>
      <c r="F23" s="91"/>
      <c r="G23" t="s" s="83">
        <v>1700</v>
      </c>
      <c r="H23" t="s" s="83">
        <v>1621</v>
      </c>
      <c r="I23" s="176">
        <v>15</v>
      </c>
      <c r="J23" t="s" s="83">
        <v>37</v>
      </c>
      <c r="K23" s="177">
        <v>1</v>
      </c>
      <c r="L23" s="132"/>
      <c r="M23" s="133"/>
      <c r="N23" t="s" s="83">
        <v>36</v>
      </c>
      <c r="O23" s="131"/>
      <c r="P23" s="132"/>
      <c r="Q23" s="99">
        <v>1</v>
      </c>
      <c r="R23" s="75"/>
      <c r="S23" s="30"/>
      <c r="T23" s="112">
        <v>34</v>
      </c>
      <c r="U23" s="74"/>
      <c r="V23" s="16"/>
      <c r="W23" s="133"/>
      <c r="X23" s="84"/>
      <c r="Y23" s="84"/>
      <c r="Z23" s="84"/>
      <c r="AA23" t="s" s="83">
        <v>1707</v>
      </c>
      <c r="AB23" t="s" s="83">
        <v>1708</v>
      </c>
      <c r="AC23" s="84"/>
      <c r="AD23" s="84"/>
      <c r="AE23" s="84"/>
      <c r="AF23" s="84">
        <v>1</v>
      </c>
      <c r="AG23" t="s" s="83">
        <v>1709</v>
      </c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74"/>
      <c r="BA23" s="16"/>
      <c r="BB23" s="16"/>
      <c r="BC23" s="16"/>
    </row>
    <row r="24" ht="17" customHeight="1">
      <c r="A24" t="s" s="88">
        <v>1670</v>
      </c>
      <c r="B24" s="89">
        <v>1921</v>
      </c>
      <c r="C24" s="89"/>
      <c r="D24" t="s" s="90">
        <v>1672</v>
      </c>
      <c r="E24" s="89"/>
      <c r="F24" s="91"/>
      <c r="G24" s="84"/>
      <c r="H24" s="84">
        <v>4</v>
      </c>
      <c r="I24" s="141"/>
      <c r="J24" s="84"/>
      <c r="K24" s="183"/>
      <c r="L24" s="84"/>
      <c r="M24" s="169"/>
      <c r="N24" s="254"/>
      <c r="O24" s="171"/>
      <c r="P24" s="84"/>
      <c r="Q24" s="183"/>
      <c r="R24" s="183"/>
      <c r="S24" s="169"/>
      <c r="T24" s="254"/>
      <c r="U24" s="170"/>
      <c r="V24" s="170"/>
      <c r="W24" s="173"/>
      <c r="X24" s="84"/>
      <c r="Y24" s="84"/>
      <c r="Z24" s="84"/>
      <c r="AA24" s="84"/>
      <c r="AB24" s="84"/>
      <c r="AC24" s="84"/>
      <c r="AD24" s="84"/>
      <c r="AE24" s="84"/>
      <c r="AF24" s="84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74"/>
      <c r="BA24" s="16"/>
      <c r="BB24" s="16"/>
      <c r="BC24" s="16"/>
    </row>
    <row r="25" ht="17" customHeight="1">
      <c r="A25" t="s" s="88">
        <v>1670</v>
      </c>
      <c r="B25" s="89">
        <v>1921</v>
      </c>
      <c r="C25" s="107">
        <v>4</v>
      </c>
      <c r="D25" t="s" s="108">
        <v>1672</v>
      </c>
      <c r="E25" s="107"/>
      <c r="F25" s="91"/>
      <c r="G25" s="87"/>
      <c r="H25" s="84"/>
      <c r="I25" s="84">
        <v>15</v>
      </c>
      <c r="J25" s="84" cm="1">
        <f t="array" ref="J25">SUM(J3:J23)</f>
        <v>9</v>
      </c>
      <c r="K25" s="84" cm="1">
        <f t="array" ref="K25">SUM(K3:K23)</f>
        <v>5</v>
      </c>
      <c r="L25" s="84" cm="1">
        <f t="array" ref="L25">SUM(L3:L23)</f>
        <v>0</v>
      </c>
      <c r="M25" s="84" cm="1">
        <f t="array" ref="M25">SUM(M3:M23)</f>
        <v>1</v>
      </c>
      <c r="N25" s="84" cm="1">
        <f t="array" ref="N25">SUM(N3:N23)</f>
        <v>4</v>
      </c>
      <c r="O25" s="84" cm="1">
        <f t="array" ref="O25">SUM(O3:O23)</f>
        <v>2</v>
      </c>
      <c r="P25" s="84" cm="1">
        <f t="array" ref="P25">SUM(P3:P23)</f>
        <v>4</v>
      </c>
      <c r="Q25" s="84" cm="1">
        <f t="array" ref="Q25">SUM(Q3:Q23)</f>
        <v>3</v>
      </c>
      <c r="R25" s="84" cm="1">
        <f t="array" ref="R25">SUM(R3:R23)</f>
        <v>0</v>
      </c>
      <c r="S25" s="84" cm="1">
        <f t="array" ref="S25">SUM(S3:S23)</f>
        <v>2</v>
      </c>
      <c r="T25" s="84" cm="1">
        <f t="array" ref="T25">SUM(T3:T23)</f>
        <v>605</v>
      </c>
      <c r="U25" s="84" cm="1">
        <f t="array" ref="U25">SUM(AG3:AG23)</f>
        <v>0</v>
      </c>
      <c r="V25" s="84" cm="1">
        <f t="array" ref="V25">SUM(AA3:AA23)</f>
        <v>0</v>
      </c>
      <c r="W25" s="84" cm="1">
        <f t="array" ref="W25">SUM(AB3:AB23)</f>
        <v>0</v>
      </c>
      <c r="X25" s="84" cm="1">
        <f t="array" ref="X25">SUM(X3:X23)</f>
        <v>0</v>
      </c>
      <c r="Y25" s="84" cm="1">
        <f t="array" ref="Y25">SUM(Y3:Y23)</f>
        <v>0</v>
      </c>
      <c r="Z25" s="84" cm="1">
        <f t="array" ref="Z25">SUM(Z3:Z23)</f>
        <v>0</v>
      </c>
      <c r="AA25" s="84"/>
      <c r="AB25" s="84"/>
      <c r="AC25" s="84" cm="1">
        <f t="array" ref="AC25">SUM(AC3:AC23)</f>
        <v>7</v>
      </c>
      <c r="AD25" s="84" cm="1">
        <f t="array" ref="AD25">SUM(AD3:AD23)</f>
        <v>2</v>
      </c>
      <c r="AE25" s="84" cm="1">
        <f t="array" ref="AE25">AC25-AD25</f>
        <v>5</v>
      </c>
      <c r="AF25" s="84" cm="1">
        <f t="array" ref="AF25">SUM(AF3:AF23)</f>
        <v>8</v>
      </c>
      <c r="AG25" s="84" cm="1">
        <f t="array" ref="AG25">J26-AF25</f>
        <v>7</v>
      </c>
      <c r="AH25" s="84" cm="1">
        <f t="array" ref="AH25">AG25+AF25</f>
        <v>15</v>
      </c>
      <c r="AI25" s="84" cm="1">
        <f t="array" ref="AI25">SUM(AI3:AI23)</f>
        <v>0</v>
      </c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74"/>
      <c r="BA25" s="16"/>
      <c r="BB25" s="16"/>
      <c r="BC25" s="16"/>
    </row>
    <row r="26" ht="19" customHeight="1">
      <c r="A26" s="141"/>
      <c r="B26" s="141"/>
      <c r="C26" s="30"/>
      <c r="D26" s="30"/>
      <c r="E26" s="30"/>
      <c r="F26" s="29"/>
      <c r="G26" s="29"/>
      <c r="H26" s="29"/>
      <c r="I26" s="29"/>
      <c r="J26" s="84" cm="1">
        <f t="array" ref="J26">SUM(J25:M25)</f>
        <v>15</v>
      </c>
      <c r="K26" s="29"/>
      <c r="L26" s="29"/>
      <c r="M26" s="29"/>
      <c r="N26" s="84" cm="1">
        <f t="array" ref="N26">SUM(N25:S25)</f>
        <v>15</v>
      </c>
      <c r="O26" s="29"/>
      <c r="P26" s="29"/>
      <c r="Q26" s="29"/>
      <c r="R26" s="29"/>
      <c r="S26" s="29"/>
      <c r="T26" s="84" cm="1">
        <f t="array" ref="T26">T25/N26</f>
        <v>40.3333333333333</v>
      </c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121"/>
      <c r="N27" s="121"/>
      <c r="O27" s="121"/>
      <c r="P27" s="121"/>
      <c r="Q27" s="30"/>
      <c r="R27" s="121"/>
      <c r="S27" s="121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121"/>
      <c r="N28" s="121"/>
      <c r="O28" s="121"/>
      <c r="P28" s="121"/>
      <c r="Q28" s="121"/>
      <c r="R28" s="121"/>
      <c r="S28" s="121"/>
      <c r="T28" s="121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121"/>
      <c r="N29" s="121"/>
      <c r="O29" s="121"/>
      <c r="P29" s="121"/>
      <c r="Q29" s="121"/>
      <c r="R29" s="121"/>
      <c r="S29" s="121"/>
      <c r="T29" s="121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121"/>
      <c r="N30" s="121"/>
      <c r="O30" s="121"/>
      <c r="P30" s="121"/>
      <c r="Q30" s="121"/>
      <c r="R30" s="121"/>
      <c r="S30" s="121"/>
      <c r="T30" s="121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121"/>
      <c r="R31" s="121"/>
      <c r="S31" s="121"/>
      <c r="T31" s="121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30"/>
      <c r="R32" s="121"/>
      <c r="S32" s="121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.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121"/>
      <c r="N33" s="121"/>
      <c r="O33" s="121"/>
      <c r="P33" s="121"/>
      <c r="Q33" s="121"/>
      <c r="R33" s="121"/>
      <c r="S33" s="121"/>
      <c r="T33" s="121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.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121"/>
      <c r="N34" s="121"/>
      <c r="O34" s="121"/>
      <c r="P34" s="121"/>
      <c r="Q34" s="121"/>
      <c r="R34" s="121"/>
      <c r="S34" s="121"/>
      <c r="T34" s="121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" customHeight="1">
      <c r="A35" s="83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121"/>
      <c r="N36" s="121"/>
      <c r="O36" s="121"/>
      <c r="P36" s="121"/>
      <c r="Q36" s="121"/>
      <c r="R36" s="121"/>
      <c r="S36" s="121"/>
      <c r="T36" s="121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121"/>
      <c r="N37" s="121"/>
      <c r="O37" s="121"/>
      <c r="P37" s="121"/>
      <c r="Q37" s="121"/>
      <c r="R37" s="121"/>
      <c r="S37" s="121"/>
      <c r="T37" s="121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124"/>
      <c r="B38" s="124"/>
      <c r="C38" s="124"/>
      <c r="D38" s="28"/>
      <c r="E38" s="124"/>
      <c r="F38" s="28"/>
      <c r="G38" s="28"/>
      <c r="H38" s="28"/>
      <c r="I38" s="28"/>
      <c r="J38" s="28"/>
      <c r="K38" s="125"/>
      <c r="L38" s="28"/>
      <c r="M38" s="28"/>
      <c r="N38" s="28"/>
      <c r="O38" s="28"/>
      <c r="P38" s="28"/>
      <c r="Q38" s="125"/>
      <c r="R38" s="125"/>
      <c r="S38" s="125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28" customHeight="1">
      <c r="A39" s="124"/>
      <c r="B39" s="124"/>
      <c r="C39" s="124"/>
      <c r="D39" s="28"/>
      <c r="E39" s="124"/>
      <c r="F39" s="28"/>
      <c r="G39" s="28"/>
      <c r="H39" t="s" s="148">
        <v>0</v>
      </c>
      <c r="I39" t="s" s="148">
        <v>1</v>
      </c>
      <c r="J39" t="s" s="149">
        <v>2</v>
      </c>
      <c r="K39" t="s" s="150">
        <v>3</v>
      </c>
      <c r="L39" t="s" s="151">
        <v>4</v>
      </c>
      <c r="M39" t="s" s="148">
        <v>5</v>
      </c>
      <c r="N39" t="s" s="148">
        <v>6</v>
      </c>
      <c r="O39" t="s" s="148">
        <v>7</v>
      </c>
      <c r="P39" t="s" s="149">
        <v>8</v>
      </c>
      <c r="Q39" s="164"/>
      <c r="R39" s="164"/>
      <c r="S39" s="164"/>
      <c r="T39" s="166"/>
      <c r="U39" s="28"/>
      <c r="V39" s="28"/>
      <c r="W39" s="28"/>
      <c r="X39" s="28"/>
      <c r="Y39" s="28"/>
      <c r="Z39" s="28"/>
      <c r="AA39" s="28"/>
      <c r="AB39" s="28"/>
      <c r="AC39" s="28"/>
      <c r="AD39" s="124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.5" customHeight="1">
      <c r="A40" s="146"/>
      <c r="B40" s="30"/>
      <c r="C40" s="30"/>
      <c r="D40" s="30"/>
      <c r="E40" t="s" s="83">
        <v>1673</v>
      </c>
      <c r="F40" s="30"/>
      <c r="G40" s="30"/>
      <c r="H40" t="s" s="83">
        <v>1150</v>
      </c>
      <c r="I40" t="s" s="83">
        <v>1674</v>
      </c>
      <c r="J40" t="s" s="83">
        <v>31</v>
      </c>
      <c r="K40" t="s" s="110">
        <v>12</v>
      </c>
      <c r="L40" s="112">
        <v>1849</v>
      </c>
      <c r="M40" s="118">
        <v>72</v>
      </c>
      <c r="N40" t="s" s="119">
        <v>1675</v>
      </c>
      <c r="O40" t="s" s="119">
        <v>33</v>
      </c>
      <c r="P40" t="s" s="119">
        <v>15</v>
      </c>
      <c r="Q40" s="147"/>
      <c r="R40" s="147"/>
      <c r="S40" s="147"/>
      <c r="T40" s="121"/>
      <c r="U40" s="121"/>
      <c r="V40" s="121"/>
      <c r="W40" s="121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s="30"/>
      <c r="B41" s="30"/>
      <c r="C41" s="30"/>
      <c r="D41" s="30"/>
      <c r="E41" s="30"/>
      <c r="F41" s="30"/>
      <c r="G41" s="30"/>
      <c r="H41" t="s" s="83">
        <v>1676</v>
      </c>
      <c r="I41" t="s" s="83">
        <v>1674</v>
      </c>
      <c r="J41" t="s" s="83">
        <v>78</v>
      </c>
      <c r="K41" t="s" s="83">
        <v>12</v>
      </c>
      <c r="L41" s="112">
        <v>1875</v>
      </c>
      <c r="M41" s="118">
        <v>45</v>
      </c>
      <c r="N41" t="s" s="119">
        <v>1520</v>
      </c>
      <c r="O41" t="s" s="119">
        <v>33</v>
      </c>
      <c r="P41" t="s" s="119">
        <v>15</v>
      </c>
      <c r="Q41" s="30"/>
      <c r="R41" s="121"/>
      <c r="S41" s="12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.5" customHeight="1">
      <c r="A42" s="30"/>
      <c r="B42" s="30"/>
      <c r="C42" s="30"/>
      <c r="D42" s="30"/>
      <c r="E42" s="30"/>
      <c r="F42" s="30"/>
      <c r="G42" s="30"/>
      <c r="H42" t="s" s="83">
        <v>1677</v>
      </c>
      <c r="I42" t="s" s="83">
        <v>1674</v>
      </c>
      <c r="J42" t="s" s="83">
        <v>78</v>
      </c>
      <c r="K42" t="s" s="83">
        <v>12</v>
      </c>
      <c r="L42" s="112">
        <v>1892</v>
      </c>
      <c r="M42" s="118">
        <v>29</v>
      </c>
      <c r="N42" t="s" s="119">
        <v>1520</v>
      </c>
      <c r="O42" t="s" s="119">
        <v>33</v>
      </c>
      <c r="P42" t="s" s="119">
        <v>15</v>
      </c>
      <c r="Q42" s="121"/>
      <c r="R42" s="121"/>
      <c r="S42" s="12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7.5" customHeight="1">
      <c r="A43" s="30"/>
      <c r="B43" s="30"/>
      <c r="C43" s="30"/>
      <c r="D43" s="30"/>
      <c r="E43" s="30"/>
      <c r="F43" s="30"/>
      <c r="G43" s="30"/>
      <c r="H43" t="s" s="83">
        <v>71</v>
      </c>
      <c r="I43" t="s" s="83">
        <v>386</v>
      </c>
      <c r="J43" t="s" s="83">
        <v>11</v>
      </c>
      <c r="K43" t="s" s="83">
        <v>12</v>
      </c>
      <c r="L43" s="112">
        <v>1901</v>
      </c>
      <c r="M43" s="118">
        <v>19</v>
      </c>
      <c r="N43" t="s" s="119">
        <v>54</v>
      </c>
      <c r="O43" t="s" s="119">
        <v>105</v>
      </c>
      <c r="P43" t="s" s="119">
        <v>15</v>
      </c>
      <c r="Q43" s="121"/>
      <c r="R43" s="121"/>
      <c r="S43" s="121"/>
      <c r="T43" s="30"/>
      <c r="U43" s="121"/>
      <c r="V43" s="121"/>
      <c r="W43" s="121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121"/>
      <c r="N44" s="121"/>
      <c r="O44" s="121"/>
      <c r="P44" s="121"/>
      <c r="Q44" s="30"/>
      <c r="R44" s="121"/>
      <c r="S44" s="121"/>
      <c r="T44" s="30"/>
      <c r="U44" s="121"/>
      <c r="V44" s="121"/>
      <c r="W44" s="121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s="30"/>
      <c r="B45" s="30"/>
      <c r="C45" s="30"/>
      <c r="D45" s="30"/>
      <c r="E45" s="30"/>
      <c r="F45" s="30"/>
      <c r="G45" s="30"/>
      <c r="H45" t="s" s="83">
        <v>0</v>
      </c>
      <c r="I45" t="s" s="83">
        <v>1</v>
      </c>
      <c r="J45" t="s" s="83">
        <v>2</v>
      </c>
      <c r="K45" t="s" s="83">
        <v>3</v>
      </c>
      <c r="L45" t="s" s="83">
        <v>4</v>
      </c>
      <c r="M45" t="s" s="119">
        <v>5</v>
      </c>
      <c r="N45" t="s" s="119">
        <v>6</v>
      </c>
      <c r="O45" t="s" s="119">
        <v>7</v>
      </c>
      <c r="P45" t="s" s="119">
        <v>8</v>
      </c>
      <c r="Q45" s="30"/>
      <c r="R45" s="121"/>
      <c r="S45" s="121"/>
      <c r="T45" s="30"/>
      <c r="U45" s="121"/>
      <c r="V45" s="121"/>
      <c r="W45" s="121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s="30"/>
      <c r="B46" s="30"/>
      <c r="C46" s="30"/>
      <c r="D46" s="30"/>
      <c r="E46" t="s" s="83">
        <v>1710</v>
      </c>
      <c r="F46" t="s" s="83">
        <v>1711</v>
      </c>
      <c r="G46" s="30"/>
      <c r="H46" t="s" s="83">
        <v>1681</v>
      </c>
      <c r="I46" t="s" s="83">
        <v>1680</v>
      </c>
      <c r="J46" t="s" s="83">
        <v>31</v>
      </c>
      <c r="K46" t="s" s="83">
        <v>37</v>
      </c>
      <c r="L46" s="112">
        <v>1853</v>
      </c>
      <c r="M46" s="118">
        <v>68</v>
      </c>
      <c r="N46" t="s" s="119">
        <v>1683</v>
      </c>
      <c r="O46" t="s" s="119">
        <v>1682</v>
      </c>
      <c r="P46" t="s" s="119">
        <v>8</v>
      </c>
      <c r="Q46" s="30"/>
      <c r="R46" s="121"/>
      <c r="S46" s="121"/>
      <c r="T46" s="30"/>
      <c r="U46" s="121"/>
      <c r="V46" s="121"/>
      <c r="W46" s="121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.5" customHeight="1">
      <c r="A47" s="30"/>
      <c r="B47" s="30"/>
      <c r="C47" s="30"/>
      <c r="D47" s="30"/>
      <c r="E47" s="30"/>
      <c r="F47" s="30"/>
      <c r="G47" s="30"/>
      <c r="H47" t="s" s="83">
        <v>1684</v>
      </c>
      <c r="I47" t="s" s="83">
        <v>1680</v>
      </c>
      <c r="J47" t="s" s="83">
        <v>78</v>
      </c>
      <c r="K47" t="s" s="83">
        <v>12</v>
      </c>
      <c r="L47" s="112">
        <v>1896</v>
      </c>
      <c r="M47" s="118">
        <v>25</v>
      </c>
      <c r="N47" t="s" s="119">
        <v>13</v>
      </c>
      <c r="O47" t="s" s="119">
        <v>94</v>
      </c>
      <c r="P47" t="s" s="119">
        <v>34</v>
      </c>
      <c r="Q47" s="30"/>
      <c r="R47" s="121"/>
      <c r="S47" s="121"/>
      <c r="T47" s="30"/>
      <c r="U47" s="121"/>
      <c r="V47" s="121"/>
      <c r="W47" s="121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" customHeight="1">
      <c r="A48" s="30"/>
      <c r="B48" s="30"/>
      <c r="C48" s="30"/>
      <c r="D48" s="30"/>
      <c r="E48" s="30"/>
      <c r="F48" s="30"/>
      <c r="G48" s="30"/>
      <c r="H48" t="s" s="83">
        <v>1685</v>
      </c>
      <c r="I48" t="s" s="83">
        <v>1680</v>
      </c>
      <c r="J48" t="s" s="83">
        <v>78</v>
      </c>
      <c r="K48" t="s" s="83">
        <v>12</v>
      </c>
      <c r="L48" s="112">
        <v>1902</v>
      </c>
      <c r="M48" s="112">
        <v>19</v>
      </c>
      <c r="N48" t="s" s="83">
        <v>13</v>
      </c>
      <c r="O48" t="s" s="83">
        <v>94</v>
      </c>
      <c r="P48" t="s" s="83">
        <v>34</v>
      </c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.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121"/>
      <c r="N49" s="121"/>
      <c r="O49" s="121"/>
      <c r="P49" s="121"/>
      <c r="Q49" s="30"/>
      <c r="R49" s="121"/>
      <c r="S49" s="121"/>
      <c r="T49" s="129"/>
      <c r="U49" s="121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s="30"/>
      <c r="B50" s="30"/>
      <c r="C50" s="30"/>
      <c r="D50" s="30"/>
      <c r="E50" s="30"/>
      <c r="F50" s="30"/>
      <c r="G50" s="30"/>
      <c r="H50" t="s" s="83">
        <v>0</v>
      </c>
      <c r="I50" t="s" s="83">
        <v>1</v>
      </c>
      <c r="J50" t="s" s="83">
        <v>2</v>
      </c>
      <c r="K50" t="s" s="83">
        <v>3</v>
      </c>
      <c r="L50" t="s" s="83">
        <v>4</v>
      </c>
      <c r="M50" t="s" s="119">
        <v>5</v>
      </c>
      <c r="N50" t="s" s="119">
        <v>6</v>
      </c>
      <c r="O50" t="s" s="119">
        <v>7</v>
      </c>
      <c r="P50" t="s" s="119">
        <v>8</v>
      </c>
      <c r="Q50" s="30"/>
      <c r="R50" s="121"/>
      <c r="S50" s="121"/>
      <c r="T50" s="30"/>
      <c r="U50" s="121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s="30"/>
      <c r="B51" s="30"/>
      <c r="C51" s="30"/>
      <c r="D51" s="30"/>
      <c r="E51" s="30"/>
      <c r="F51" t="s" s="83">
        <v>1712</v>
      </c>
      <c r="G51" s="30"/>
      <c r="H51" t="s" s="83">
        <v>1689</v>
      </c>
      <c r="I51" t="s" s="83">
        <v>1688</v>
      </c>
      <c r="J51" t="s" s="83">
        <v>31</v>
      </c>
      <c r="K51" t="s" s="83">
        <v>37</v>
      </c>
      <c r="L51" s="112">
        <v>1866</v>
      </c>
      <c r="M51" s="118">
        <v>55</v>
      </c>
      <c r="N51" t="s" s="119">
        <v>13</v>
      </c>
      <c r="O51" t="s" s="119">
        <v>1690</v>
      </c>
      <c r="P51" t="s" s="119">
        <v>8</v>
      </c>
      <c r="Q51" s="30"/>
      <c r="R51" s="121"/>
      <c r="S51" s="121"/>
      <c r="T51" s="30"/>
      <c r="U51" s="121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.5" customHeight="1">
      <c r="A52" s="30"/>
      <c r="B52" s="30"/>
      <c r="C52" s="30"/>
      <c r="D52" s="30"/>
      <c r="E52" s="30"/>
      <c r="F52" s="30"/>
      <c r="G52" s="30"/>
      <c r="H52" t="s" s="83">
        <v>1691</v>
      </c>
      <c r="I52" t="s" s="83">
        <v>1688</v>
      </c>
      <c r="J52" t="s" s="83">
        <v>72</v>
      </c>
      <c r="K52" t="s" s="83">
        <v>12</v>
      </c>
      <c r="L52" s="112">
        <v>1876</v>
      </c>
      <c r="M52" s="118">
        <v>45</v>
      </c>
      <c r="N52" t="s" s="119">
        <v>1692</v>
      </c>
      <c r="O52" t="s" s="119">
        <v>33</v>
      </c>
      <c r="P52" t="s" s="119">
        <v>34</v>
      </c>
      <c r="Q52" s="30"/>
      <c r="R52" s="121"/>
      <c r="S52" s="121"/>
      <c r="T52" s="129"/>
      <c r="U52" s="121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s="30"/>
      <c r="B53" s="30"/>
      <c r="C53" s="30"/>
      <c r="D53" s="30"/>
      <c r="E53" s="30"/>
      <c r="F53" s="30"/>
      <c r="G53" s="30"/>
      <c r="H53" t="s" s="83">
        <v>1693</v>
      </c>
      <c r="I53" t="s" s="83">
        <v>1688</v>
      </c>
      <c r="J53" t="s" s="83">
        <v>36</v>
      </c>
      <c r="K53" t="s" s="83">
        <v>37</v>
      </c>
      <c r="L53" s="112">
        <v>1910</v>
      </c>
      <c r="M53" s="118">
        <v>11</v>
      </c>
      <c r="N53" t="s" s="119">
        <v>13</v>
      </c>
      <c r="O53" t="s" s="119">
        <v>34</v>
      </c>
      <c r="P53" t="s" s="119">
        <v>34</v>
      </c>
      <c r="Q53" s="30"/>
      <c r="R53" s="121"/>
      <c r="S53" s="121"/>
      <c r="T53" s="30"/>
      <c r="U53" s="121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s="30"/>
      <c r="B54" s="30"/>
      <c r="C54" s="30"/>
      <c r="D54" s="30"/>
      <c r="E54" s="30"/>
      <c r="F54" s="30"/>
      <c r="G54" s="30"/>
      <c r="H54" t="s" s="83">
        <v>369</v>
      </c>
      <c r="I54" t="s" s="83">
        <v>1695</v>
      </c>
      <c r="J54" t="s" s="83">
        <v>11</v>
      </c>
      <c r="K54" t="s" s="83">
        <v>12</v>
      </c>
      <c r="L54" s="112">
        <v>1903</v>
      </c>
      <c r="M54" s="118">
        <v>18</v>
      </c>
      <c r="N54" t="s" s="119">
        <v>1696</v>
      </c>
      <c r="O54" t="s" s="119">
        <v>105</v>
      </c>
      <c r="P54" t="s" s="119">
        <v>15</v>
      </c>
      <c r="Q54" s="30"/>
      <c r="R54" s="121"/>
      <c r="S54" s="121"/>
      <c r="T54" s="30"/>
      <c r="U54" s="121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.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121"/>
      <c r="N55" s="121"/>
      <c r="O55" s="121"/>
      <c r="P55" s="121"/>
      <c r="Q55" s="30"/>
      <c r="R55" s="121"/>
      <c r="S55" s="121"/>
      <c r="T55" s="30"/>
      <c r="U55" s="121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" customHeight="1">
      <c r="A56" t="s" s="83">
        <v>723</v>
      </c>
      <c r="B56" s="30"/>
      <c r="C56" s="30"/>
      <c r="D56" s="30"/>
      <c r="E56" s="30"/>
      <c r="F56" s="30"/>
      <c r="G56" s="30"/>
      <c r="H56" t="s" s="83">
        <v>0</v>
      </c>
      <c r="I56" t="s" s="83">
        <v>1</v>
      </c>
      <c r="J56" t="s" s="83">
        <v>2</v>
      </c>
      <c r="K56" t="s" s="83">
        <v>3</v>
      </c>
      <c r="L56" t="s" s="83">
        <v>4</v>
      </c>
      <c r="M56" t="s" s="83">
        <v>5</v>
      </c>
      <c r="N56" t="s" s="83">
        <v>6</v>
      </c>
      <c r="O56" t="s" s="83">
        <v>7</v>
      </c>
      <c r="P56" t="s" s="83">
        <v>8</v>
      </c>
      <c r="Q56" s="112" cm="1">
        <f t="array" ref="Q56">SUM(Q26:Q55)</f>
        <v>0</v>
      </c>
      <c r="R56" s="112" cm="1">
        <f t="array" ref="R56">SUM(R26:R55)</f>
        <v>0</v>
      </c>
      <c r="S56" s="112" cm="1">
        <f t="array" ref="S56">SUM(S26:S55)</f>
        <v>0</v>
      </c>
      <c r="T56" s="87" cm="1">
        <f t="array" ref="T56">SUM(T26:T55)</f>
        <v>40.3333333333333</v>
      </c>
      <c r="U56" s="112" cm="1">
        <f t="array" ref="U56">SUM(U26:U55)</f>
        <v>0</v>
      </c>
      <c r="V56" s="112" cm="1">
        <f t="array" ref="V56">SUM(V26:V55)</f>
        <v>0</v>
      </c>
      <c r="W56" s="112" cm="1">
        <f t="array" ref="W56">SUM(W26:W55)</f>
        <v>0</v>
      </c>
      <c r="X56" s="30"/>
      <c r="Y56" s="30"/>
      <c r="Z56" s="112" cm="1">
        <f t="array" ref="Z56">SUM(Z26:Z55)</f>
        <v>0</v>
      </c>
      <c r="AA56" s="112" cm="1">
        <f t="array" ref="AA56">SUM(AA26:AA55)</f>
        <v>0</v>
      </c>
      <c r="AB56" s="112" cm="1">
        <f t="array" ref="AB56">SUM(AB26:AB55)</f>
        <v>0</v>
      </c>
      <c r="AC56" s="112" cm="1">
        <f t="array" ref="AC56">SUM(AC26:AC55)</f>
        <v>0</v>
      </c>
      <c r="AD56" s="112" cm="1">
        <f t="array" ref="AD56">SUM(AD26:AD55)</f>
        <v>0</v>
      </c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" customHeight="1">
      <c r="A57" s="30"/>
      <c r="B57" s="30"/>
      <c r="C57" s="30"/>
      <c r="D57" s="30"/>
      <c r="E57" s="30"/>
      <c r="F57" s="30"/>
      <c r="G57" s="30"/>
      <c r="H57" t="s" s="83">
        <v>193</v>
      </c>
      <c r="I57" t="s" s="83">
        <v>1700</v>
      </c>
      <c r="J57" t="s" s="83">
        <v>31</v>
      </c>
      <c r="K57" t="s" s="83">
        <v>37</v>
      </c>
      <c r="L57" s="112">
        <v>1852</v>
      </c>
      <c r="M57" s="112">
        <v>69</v>
      </c>
      <c r="N57" t="s" s="83">
        <v>1703</v>
      </c>
      <c r="O57" t="s" s="83">
        <v>1701</v>
      </c>
      <c r="P57" t="s" s="83">
        <v>1702</v>
      </c>
      <c r="Q57" s="87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" customHeight="1">
      <c r="A58" s="30"/>
      <c r="B58" s="30"/>
      <c r="C58" s="30"/>
      <c r="D58" s="30"/>
      <c r="E58" s="30"/>
      <c r="F58" s="30"/>
      <c r="G58" s="130"/>
      <c r="H58" t="s" s="83">
        <v>1298</v>
      </c>
      <c r="I58" t="s" s="83">
        <v>1700</v>
      </c>
      <c r="J58" t="s" s="83">
        <v>72</v>
      </c>
      <c r="K58" t="s" s="83">
        <v>12</v>
      </c>
      <c r="L58" s="112">
        <v>1860</v>
      </c>
      <c r="M58" s="112">
        <v>61</v>
      </c>
      <c r="N58" t="s" s="83">
        <v>1704</v>
      </c>
      <c r="O58" t="s" s="83">
        <v>33</v>
      </c>
      <c r="P58" t="s" s="83">
        <v>34</v>
      </c>
      <c r="Q58" s="87"/>
      <c r="R58" s="130"/>
      <c r="S58" s="130"/>
      <c r="T58" s="1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.5" customHeight="1">
      <c r="A59" s="30"/>
      <c r="B59" s="30"/>
      <c r="C59" s="30"/>
      <c r="D59" s="30"/>
      <c r="E59" s="30"/>
      <c r="F59" s="30"/>
      <c r="G59" s="30"/>
      <c r="H59" t="s" s="83">
        <v>1705</v>
      </c>
      <c r="I59" t="s" s="83">
        <v>1700</v>
      </c>
      <c r="J59" t="s" s="83">
        <v>36</v>
      </c>
      <c r="K59" t="s" s="83">
        <v>37</v>
      </c>
      <c r="L59" s="112">
        <v>1885</v>
      </c>
      <c r="M59" s="112">
        <v>35</v>
      </c>
      <c r="N59" t="s" s="83">
        <v>13</v>
      </c>
      <c r="O59" t="s" s="83">
        <v>1097</v>
      </c>
      <c r="P59" t="s" s="83">
        <v>1706</v>
      </c>
      <c r="Q59" s="30"/>
      <c r="R59" s="121"/>
      <c r="S59" s="121"/>
      <c r="T59" s="129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" customHeight="1">
      <c r="A60" s="30"/>
      <c r="B60" s="30"/>
      <c r="C60" s="30"/>
      <c r="D60" s="30"/>
      <c r="E60" s="30"/>
      <c r="F60" s="30"/>
      <c r="G60" s="30"/>
      <c r="H60" t="s" s="83">
        <v>1621</v>
      </c>
      <c r="I60" t="s" s="83">
        <v>1700</v>
      </c>
      <c r="J60" t="s" s="83">
        <v>36</v>
      </c>
      <c r="K60" t="s" s="83">
        <v>37</v>
      </c>
      <c r="L60" s="112">
        <v>1886</v>
      </c>
      <c r="M60" s="112">
        <v>34</v>
      </c>
      <c r="N60" t="s" s="83">
        <v>1709</v>
      </c>
      <c r="O60" t="s" s="83">
        <v>1707</v>
      </c>
      <c r="P60" t="s" s="83">
        <v>1708</v>
      </c>
      <c r="Q60" s="30"/>
      <c r="R60" s="130"/>
      <c r="S60" s="130"/>
      <c r="T60" s="130"/>
      <c r="U60" s="30"/>
      <c r="V60" s="30"/>
      <c r="W60" s="30"/>
      <c r="X60" s="30"/>
      <c r="Y60" s="30"/>
      <c r="Z60" s="30"/>
      <c r="AA60" s="30"/>
      <c r="AB60" s="30"/>
      <c r="AC60" s="134"/>
      <c r="AD60" s="134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.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121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19.xml><?xml version="1.0" encoding="utf-8"?>
<worksheet xmlns:r="http://schemas.openxmlformats.org/officeDocument/2006/relationships" xmlns="http://schemas.openxmlformats.org/spreadsheetml/2006/main">
  <dimension ref="A1:BC63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345" customWidth="1"/>
    <col min="4" max="4" width="14.1719" style="345" customWidth="1"/>
    <col min="5" max="5" width="12.1719" style="345" customWidth="1"/>
    <col min="6" max="6" width="10.3516" style="345" customWidth="1"/>
    <col min="7" max="10" width="10.8516" style="345" customWidth="1"/>
    <col min="11" max="11" width="5.67188" style="345" customWidth="1"/>
    <col min="12" max="12" width="7.85156" style="345" customWidth="1"/>
    <col min="13" max="13" width="10" style="345" customWidth="1"/>
    <col min="14" max="14" width="8.67188" style="345" customWidth="1"/>
    <col min="15" max="15" width="7.85156" style="345" customWidth="1"/>
    <col min="16" max="16" width="11.5" style="345" customWidth="1"/>
    <col min="17" max="17" width="11.6719" style="345" customWidth="1"/>
    <col min="18" max="18" width="12.3516" style="345" customWidth="1"/>
    <col min="19" max="19" width="10.8516" style="345" customWidth="1"/>
    <col min="20" max="20" width="15.1719" style="345" customWidth="1"/>
    <col min="21" max="23" width="10.8516" style="345" customWidth="1"/>
    <col min="24" max="24" width="31" style="345" customWidth="1"/>
    <col min="25" max="25" width="19.8516" style="345" customWidth="1"/>
    <col min="26" max="26" width="12.1719" style="345" customWidth="1"/>
    <col min="27" max="30" width="16.5" style="345" customWidth="1"/>
    <col min="31" max="31" width="14.6719" style="345" customWidth="1"/>
    <col min="32" max="32" width="10.8516" style="345" customWidth="1"/>
    <col min="33" max="33" width="11" style="345" customWidth="1"/>
    <col min="34" max="34" width="11.1719" style="345" customWidth="1"/>
    <col min="35" max="35" width="7.85156" style="345" customWidth="1"/>
    <col min="36" max="37" width="10.8516" style="345" customWidth="1"/>
    <col min="38" max="38" width="7.35156" style="345" customWidth="1"/>
    <col min="39" max="39" width="10.8516" style="345" customWidth="1"/>
    <col min="40" max="40" width="9.17188" style="345" customWidth="1"/>
    <col min="41" max="41" width="10.8516" style="345" customWidth="1"/>
    <col min="42" max="42" width="12.5" style="345" customWidth="1"/>
    <col min="43" max="43" width="13" style="345" customWidth="1"/>
    <col min="44" max="55" width="10.8516" style="345" customWidth="1"/>
    <col min="56" max="16384" width="10.8516" style="345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1713</v>
      </c>
      <c r="B3" s="111">
        <v>1921</v>
      </c>
      <c r="C3" s="112">
        <v>1</v>
      </c>
      <c r="D3" t="s" s="83">
        <v>1714</v>
      </c>
      <c r="E3" s="30"/>
      <c r="F3" s="306">
        <v>2</v>
      </c>
      <c r="G3" t="s" s="98">
        <v>524</v>
      </c>
      <c r="H3" t="s" s="98">
        <v>1715</v>
      </c>
      <c r="I3" s="97">
        <v>1</v>
      </c>
      <c r="J3" t="s" s="98">
        <v>37</v>
      </c>
      <c r="K3" s="97">
        <v>1</v>
      </c>
      <c r="L3" s="62"/>
      <c r="M3" s="62"/>
      <c r="N3" s="79">
        <v>1</v>
      </c>
      <c r="O3" s="62"/>
      <c r="P3" s="62"/>
      <c r="Q3" s="62"/>
      <c r="R3" s="62"/>
      <c r="S3" s="62"/>
      <c r="T3" s="79">
        <v>56</v>
      </c>
      <c r="U3" s="16"/>
      <c r="V3" s="16"/>
      <c r="W3" s="62"/>
      <c r="X3" s="117"/>
      <c r="Y3" s="29"/>
      <c r="Z3" s="29"/>
      <c r="AA3" t="s" s="153">
        <v>1716</v>
      </c>
      <c r="AB3" t="s" s="154">
        <v>1717</v>
      </c>
      <c r="AC3" s="114">
        <v>1</v>
      </c>
      <c r="AD3" s="30"/>
      <c r="AE3" s="30"/>
      <c r="AF3" s="30"/>
      <c r="AG3" t="s" s="153">
        <v>84</v>
      </c>
      <c r="AH3" s="62"/>
      <c r="AI3" s="62"/>
      <c r="AJ3" s="62"/>
      <c r="AK3" s="62"/>
      <c r="AL3" s="62"/>
      <c r="AM3" s="117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1713</v>
      </c>
      <c r="B4" s="112">
        <v>1921</v>
      </c>
      <c r="C4" s="112">
        <v>1</v>
      </c>
      <c r="D4" t="s" s="83">
        <v>1714</v>
      </c>
      <c r="E4" s="30"/>
      <c r="F4" s="306">
        <v>2</v>
      </c>
      <c r="G4" t="s" s="96">
        <v>524</v>
      </c>
      <c r="H4" t="s" s="96">
        <v>1718</v>
      </c>
      <c r="I4" s="79">
        <v>2</v>
      </c>
      <c r="J4" s="79">
        <v>1</v>
      </c>
      <c r="K4" s="16"/>
      <c r="L4" s="16"/>
      <c r="M4" s="16"/>
      <c r="N4" t="s" s="96">
        <v>72</v>
      </c>
      <c r="O4" s="79">
        <v>1</v>
      </c>
      <c r="P4" s="16"/>
      <c r="Q4" s="16"/>
      <c r="R4" s="16"/>
      <c r="S4" s="16"/>
      <c r="T4" s="79">
        <v>54</v>
      </c>
      <c r="U4" s="16"/>
      <c r="V4" s="16"/>
      <c r="W4" s="16"/>
      <c r="X4" s="75"/>
      <c r="Y4" s="121"/>
      <c r="Z4" s="121"/>
      <c r="AA4" t="s" s="157">
        <v>33</v>
      </c>
      <c r="AB4" t="s" s="158">
        <v>34</v>
      </c>
      <c r="AC4" s="30"/>
      <c r="AD4" s="30"/>
      <c r="AE4" s="30"/>
      <c r="AF4" s="112">
        <v>1</v>
      </c>
      <c r="AG4" t="s" s="157">
        <v>13</v>
      </c>
      <c r="AH4" s="16"/>
      <c r="AI4" s="16"/>
      <c r="AJ4" s="16"/>
      <c r="AK4" s="16"/>
      <c r="AL4" s="16"/>
      <c r="AM4" s="75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1713</v>
      </c>
      <c r="B5" s="112">
        <v>1921</v>
      </c>
      <c r="C5" s="112">
        <v>1</v>
      </c>
      <c r="D5" t="s" s="83">
        <v>1714</v>
      </c>
      <c r="E5" s="30"/>
      <c r="F5" s="306">
        <v>2</v>
      </c>
      <c r="G5" t="s" s="96">
        <v>524</v>
      </c>
      <c r="H5" t="s" s="96">
        <v>1719</v>
      </c>
      <c r="I5" s="79">
        <v>3</v>
      </c>
      <c r="J5" s="79">
        <v>1</v>
      </c>
      <c r="K5" s="16"/>
      <c r="L5" s="16"/>
      <c r="M5" s="16"/>
      <c r="N5" t="s" s="96">
        <v>78</v>
      </c>
      <c r="O5" s="16"/>
      <c r="P5" s="79">
        <v>1</v>
      </c>
      <c r="Q5" s="16"/>
      <c r="R5" s="16"/>
      <c r="S5" s="16"/>
      <c r="T5" s="79">
        <v>26</v>
      </c>
      <c r="U5" s="16"/>
      <c r="V5" s="16"/>
      <c r="W5" s="16"/>
      <c r="X5" s="75"/>
      <c r="Y5" s="121"/>
      <c r="Z5" s="121"/>
      <c r="AA5" t="s" s="157">
        <v>1720</v>
      </c>
      <c r="AB5" t="s" s="158">
        <v>1721</v>
      </c>
      <c r="AC5" s="118">
        <v>1</v>
      </c>
      <c r="AD5" s="30"/>
      <c r="AE5" s="30"/>
      <c r="AF5" s="112">
        <v>1</v>
      </c>
      <c r="AG5" t="s" s="157">
        <v>13</v>
      </c>
      <c r="AH5" s="16"/>
      <c r="AI5" s="16"/>
      <c r="AJ5" s="16"/>
      <c r="AK5" s="16"/>
      <c r="AL5" s="16"/>
      <c r="AM5" s="75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1713</v>
      </c>
      <c r="B6" s="112">
        <v>1921</v>
      </c>
      <c r="C6" s="112">
        <v>1</v>
      </c>
      <c r="D6" t="s" s="83">
        <v>1714</v>
      </c>
      <c r="E6" s="30"/>
      <c r="F6" s="306">
        <v>2</v>
      </c>
      <c r="G6" t="s" s="96">
        <v>524</v>
      </c>
      <c r="H6" t="s" s="96">
        <v>1722</v>
      </c>
      <c r="I6" s="79">
        <v>4</v>
      </c>
      <c r="J6" s="79">
        <v>1</v>
      </c>
      <c r="K6" s="16"/>
      <c r="L6" s="16"/>
      <c r="M6" s="16"/>
      <c r="N6" t="s" s="96">
        <v>78</v>
      </c>
      <c r="O6" s="16"/>
      <c r="P6" s="79">
        <v>1</v>
      </c>
      <c r="Q6" s="16"/>
      <c r="R6" s="16"/>
      <c r="S6" s="16"/>
      <c r="T6" s="79">
        <v>24</v>
      </c>
      <c r="U6" s="16"/>
      <c r="V6" s="16"/>
      <c r="W6" s="16"/>
      <c r="X6" s="75"/>
      <c r="Y6" s="121"/>
      <c r="Z6" s="121"/>
      <c r="AA6" t="s" s="157">
        <v>1723</v>
      </c>
      <c r="AB6" t="s" s="158">
        <v>1724</v>
      </c>
      <c r="AC6" s="118">
        <v>1</v>
      </c>
      <c r="AD6" s="30"/>
      <c r="AE6" s="30"/>
      <c r="AF6" s="112">
        <v>1</v>
      </c>
      <c r="AG6" t="s" s="157">
        <v>13</v>
      </c>
      <c r="AH6" s="16"/>
      <c r="AI6" s="16"/>
      <c r="AJ6" s="16"/>
      <c r="AK6" s="16"/>
      <c r="AL6" s="16"/>
      <c r="AM6" s="75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1713</v>
      </c>
      <c r="B7" s="112">
        <v>1921</v>
      </c>
      <c r="C7" s="112">
        <v>1</v>
      </c>
      <c r="D7" t="s" s="83">
        <v>1714</v>
      </c>
      <c r="E7" s="30"/>
      <c r="F7" s="190">
        <v>2</v>
      </c>
      <c r="G7" t="s" s="96">
        <v>524</v>
      </c>
      <c r="H7" t="s" s="96">
        <v>1725</v>
      </c>
      <c r="I7" s="79">
        <v>5</v>
      </c>
      <c r="J7" s="79">
        <v>1</v>
      </c>
      <c r="K7" s="16"/>
      <c r="L7" s="16"/>
      <c r="M7" s="16"/>
      <c r="N7" t="s" s="96">
        <v>78</v>
      </c>
      <c r="O7" s="16"/>
      <c r="P7" s="79">
        <v>1</v>
      </c>
      <c r="Q7" s="16"/>
      <c r="R7" s="16"/>
      <c r="S7" s="16"/>
      <c r="T7" s="79">
        <v>21</v>
      </c>
      <c r="U7" s="16"/>
      <c r="V7" s="16"/>
      <c r="W7" s="16"/>
      <c r="X7" s="75"/>
      <c r="Y7" s="121"/>
      <c r="Z7" s="121"/>
      <c r="AA7" t="s" s="157">
        <v>1726</v>
      </c>
      <c r="AB7" t="s" s="158">
        <v>34</v>
      </c>
      <c r="AC7" s="121"/>
      <c r="AD7" s="30"/>
      <c r="AE7" s="30"/>
      <c r="AF7" s="112">
        <v>1</v>
      </c>
      <c r="AG7" t="s" s="157">
        <v>13</v>
      </c>
      <c r="AH7" s="16"/>
      <c r="AI7" s="16"/>
      <c r="AJ7" s="16"/>
      <c r="AK7" s="16"/>
      <c r="AL7" s="16"/>
      <c r="AM7" s="75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1713</v>
      </c>
      <c r="B8" s="112">
        <v>1921</v>
      </c>
      <c r="C8" s="112">
        <v>1</v>
      </c>
      <c r="D8" t="s" s="83">
        <v>1714</v>
      </c>
      <c r="E8" s="30"/>
      <c r="F8" s="74"/>
      <c r="G8" s="16"/>
      <c r="H8" s="79">
        <v>5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75"/>
      <c r="Y8" s="121"/>
      <c r="Z8" s="121"/>
      <c r="AA8" s="74"/>
      <c r="AB8" s="75"/>
      <c r="AC8" s="121"/>
      <c r="AD8" s="30"/>
      <c r="AE8" s="30"/>
      <c r="AF8" s="30"/>
      <c r="AG8" s="74"/>
      <c r="AH8" s="16"/>
      <c r="AI8" s="16"/>
      <c r="AJ8" s="16"/>
      <c r="AK8" s="16"/>
      <c r="AL8" s="16"/>
      <c r="AM8" s="75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1713</v>
      </c>
      <c r="B9" s="112">
        <v>1921</v>
      </c>
      <c r="C9" s="30"/>
      <c r="D9" t="s" s="83">
        <v>1714</v>
      </c>
      <c r="E9" s="30"/>
      <c r="F9" s="74"/>
      <c r="G9" t="s" s="96">
        <v>1</v>
      </c>
      <c r="H9" t="s" s="96">
        <v>0</v>
      </c>
      <c r="I9" s="16"/>
      <c r="J9" t="s" s="96">
        <v>3</v>
      </c>
      <c r="K9" s="16"/>
      <c r="L9" s="16"/>
      <c r="M9" s="16"/>
      <c r="N9" t="s" s="96">
        <v>2</v>
      </c>
      <c r="O9" s="16"/>
      <c r="P9" s="16"/>
      <c r="Q9" s="16"/>
      <c r="R9" s="16"/>
      <c r="S9" s="16"/>
      <c r="T9" t="s" s="96">
        <v>5</v>
      </c>
      <c r="U9" s="16"/>
      <c r="V9" s="16"/>
      <c r="W9" s="16"/>
      <c r="X9" s="75"/>
      <c r="Y9" s="121"/>
      <c r="Z9" s="121"/>
      <c r="AA9" t="s" s="157">
        <v>7</v>
      </c>
      <c r="AB9" t="s" s="158">
        <v>8</v>
      </c>
      <c r="AC9" s="30"/>
      <c r="AD9" s="30"/>
      <c r="AE9" s="30"/>
      <c r="AF9" s="30"/>
      <c r="AG9" t="s" s="157">
        <v>6</v>
      </c>
      <c r="AH9" s="16"/>
      <c r="AI9" s="16"/>
      <c r="AJ9" s="16"/>
      <c r="AK9" s="16"/>
      <c r="AL9" s="16"/>
      <c r="AM9" s="75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1713</v>
      </c>
      <c r="B10" s="112">
        <v>1921</v>
      </c>
      <c r="C10" s="30"/>
      <c r="D10" t="s" s="83">
        <v>1714</v>
      </c>
      <c r="E10" s="30"/>
      <c r="F10" s="156">
        <v>4</v>
      </c>
      <c r="G10" t="s" s="96">
        <v>494</v>
      </c>
      <c r="H10" t="s" s="96">
        <v>1715</v>
      </c>
      <c r="I10" s="79">
        <v>6</v>
      </c>
      <c r="J10" t="s" s="96">
        <v>37</v>
      </c>
      <c r="K10" s="79">
        <v>1</v>
      </c>
      <c r="L10" s="16"/>
      <c r="M10" s="16"/>
      <c r="N10" s="79">
        <v>1</v>
      </c>
      <c r="O10" s="16"/>
      <c r="P10" s="16"/>
      <c r="Q10" s="16"/>
      <c r="R10" s="16"/>
      <c r="S10" s="16"/>
      <c r="T10" s="79">
        <v>43</v>
      </c>
      <c r="U10" s="16"/>
      <c r="V10" s="16"/>
      <c r="W10" s="16"/>
      <c r="X10" s="75"/>
      <c r="Y10" s="121"/>
      <c r="Z10" s="121"/>
      <c r="AA10" t="s" s="157">
        <v>1727</v>
      </c>
      <c r="AB10" t="s" s="158">
        <v>1728</v>
      </c>
      <c r="AC10" s="118">
        <v>1</v>
      </c>
      <c r="AD10" s="30"/>
      <c r="AE10" s="30"/>
      <c r="AF10" s="30"/>
      <c r="AG10" t="s" s="157">
        <v>1729</v>
      </c>
      <c r="AH10" s="16"/>
      <c r="AI10" s="16"/>
      <c r="AJ10" s="16"/>
      <c r="AK10" s="16"/>
      <c r="AL10" s="16"/>
      <c r="AM10" s="75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83">
        <v>1713</v>
      </c>
      <c r="B11" s="112">
        <v>1921</v>
      </c>
      <c r="C11" s="112">
        <v>2</v>
      </c>
      <c r="D11" t="s" s="83">
        <v>1714</v>
      </c>
      <c r="E11" s="30"/>
      <c r="F11" s="156">
        <v>4</v>
      </c>
      <c r="G11" t="s" s="96">
        <v>494</v>
      </c>
      <c r="H11" t="s" s="96">
        <v>1730</v>
      </c>
      <c r="I11" s="79">
        <v>7</v>
      </c>
      <c r="J11" s="79">
        <v>1</v>
      </c>
      <c r="K11" s="16"/>
      <c r="L11" s="16"/>
      <c r="M11" s="16"/>
      <c r="N11" t="s" s="96">
        <v>72</v>
      </c>
      <c r="O11" s="79">
        <v>1</v>
      </c>
      <c r="P11" s="16"/>
      <c r="Q11" s="16"/>
      <c r="R11" s="16"/>
      <c r="S11" s="16"/>
      <c r="T11" s="79">
        <v>39</v>
      </c>
      <c r="U11" s="16"/>
      <c r="V11" s="16"/>
      <c r="W11" s="16"/>
      <c r="X11" s="75"/>
      <c r="Y11" s="121"/>
      <c r="Z11" s="121"/>
      <c r="AA11" t="s" s="157">
        <v>33</v>
      </c>
      <c r="AB11" t="s" s="158">
        <v>34</v>
      </c>
      <c r="AC11" s="121"/>
      <c r="AD11" s="30"/>
      <c r="AE11" s="30"/>
      <c r="AF11" s="30"/>
      <c r="AG11" t="s" s="157">
        <v>1731</v>
      </c>
      <c r="AH11" s="16"/>
      <c r="AI11" s="16"/>
      <c r="AJ11" s="16"/>
      <c r="AK11" s="16"/>
      <c r="AL11" s="16"/>
      <c r="AM11" s="75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" customHeight="1">
      <c r="A12" t="s" s="83">
        <v>1713</v>
      </c>
      <c r="B12" s="112">
        <v>1921</v>
      </c>
      <c r="C12" s="112">
        <v>2</v>
      </c>
      <c r="D12" t="s" s="83">
        <v>1714</v>
      </c>
      <c r="E12" s="30"/>
      <c r="F12" s="156">
        <v>4</v>
      </c>
      <c r="G12" t="s" s="96">
        <v>494</v>
      </c>
      <c r="H12" t="s" s="96">
        <v>1732</v>
      </c>
      <c r="I12" s="79">
        <v>8</v>
      </c>
      <c r="J12" s="79">
        <v>1</v>
      </c>
      <c r="K12" s="16"/>
      <c r="L12" s="16"/>
      <c r="M12" s="16"/>
      <c r="N12" t="s" s="96">
        <v>78</v>
      </c>
      <c r="O12" s="16"/>
      <c r="P12" s="79">
        <v>1</v>
      </c>
      <c r="Q12" s="16"/>
      <c r="R12" s="16"/>
      <c r="S12" s="16"/>
      <c r="T12" s="79">
        <v>21</v>
      </c>
      <c r="U12" s="16"/>
      <c r="V12" s="16"/>
      <c r="W12" s="16"/>
      <c r="X12" s="75"/>
      <c r="Y12" s="112" cm="1">
        <f t="array" ref="Y12">SUM(Y3:Y11)</f>
        <v>0</v>
      </c>
      <c r="Z12" s="112" cm="1">
        <f t="array" ref="Z12">SUM(Z3:Z11)</f>
        <v>0</v>
      </c>
      <c r="AA12" t="s" s="157">
        <v>1733</v>
      </c>
      <c r="AB12" t="s" s="158">
        <v>1734</v>
      </c>
      <c r="AC12" s="112">
        <v>1</v>
      </c>
      <c r="AD12" s="30"/>
      <c r="AE12" s="30"/>
      <c r="AF12" s="112">
        <v>1</v>
      </c>
      <c r="AG12" t="s" s="157">
        <v>13</v>
      </c>
      <c r="AH12" s="16"/>
      <c r="AI12" s="16"/>
      <c r="AJ12" s="16"/>
      <c r="AK12" s="16"/>
      <c r="AL12" s="16"/>
      <c r="AM12" s="75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1713</v>
      </c>
      <c r="B13" s="112">
        <v>1921</v>
      </c>
      <c r="C13" s="112">
        <v>2</v>
      </c>
      <c r="D13" t="s" s="83">
        <v>1714</v>
      </c>
      <c r="E13" s="30"/>
      <c r="F13" s="156">
        <v>4</v>
      </c>
      <c r="G13" t="s" s="96">
        <v>494</v>
      </c>
      <c r="H13" t="s" s="96">
        <v>135</v>
      </c>
      <c r="I13" s="79">
        <v>9</v>
      </c>
      <c r="J13" t="s" s="96">
        <v>37</v>
      </c>
      <c r="K13" s="16"/>
      <c r="L13" s="16"/>
      <c r="M13" s="79">
        <v>1</v>
      </c>
      <c r="N13" t="s" s="96">
        <v>36</v>
      </c>
      <c r="O13" s="16"/>
      <c r="P13" s="16"/>
      <c r="Q13" s="79">
        <v>1</v>
      </c>
      <c r="R13" s="16"/>
      <c r="S13" s="16"/>
      <c r="T13" s="79">
        <v>15</v>
      </c>
      <c r="U13" s="16"/>
      <c r="V13" s="16"/>
      <c r="W13" s="16"/>
      <c r="X13" s="75"/>
      <c r="Y13" s="121"/>
      <c r="Z13" s="121"/>
      <c r="AA13" t="s" s="157">
        <v>1735</v>
      </c>
      <c r="AB13" t="s" s="158">
        <v>1736</v>
      </c>
      <c r="AC13" s="118">
        <v>1</v>
      </c>
      <c r="AD13" s="30"/>
      <c r="AE13" s="30"/>
      <c r="AF13" s="112">
        <v>1</v>
      </c>
      <c r="AG13" t="s" s="157">
        <v>13</v>
      </c>
      <c r="AH13" s="16"/>
      <c r="AI13" s="16"/>
      <c r="AJ13" s="16"/>
      <c r="AK13" s="16"/>
      <c r="AL13" s="16"/>
      <c r="AM13" s="75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1713</v>
      </c>
      <c r="B14" s="112">
        <v>1921</v>
      </c>
      <c r="C14" s="112">
        <v>2</v>
      </c>
      <c r="D14" t="s" s="83">
        <v>1714</v>
      </c>
      <c r="E14" s="30"/>
      <c r="F14" s="156">
        <v>4</v>
      </c>
      <c r="G14" t="s" s="96">
        <v>1737</v>
      </c>
      <c r="H14" t="s" s="96">
        <v>115</v>
      </c>
      <c r="I14" s="79">
        <v>10</v>
      </c>
      <c r="J14" s="79">
        <v>1</v>
      </c>
      <c r="K14" s="16"/>
      <c r="L14" s="16"/>
      <c r="M14" s="16"/>
      <c r="N14" t="s" s="96">
        <v>78</v>
      </c>
      <c r="O14" s="79">
        <v>1</v>
      </c>
      <c r="P14" s="16"/>
      <c r="Q14" s="16"/>
      <c r="R14" s="16"/>
      <c r="S14" s="16"/>
      <c r="T14" t="s" s="96">
        <v>34</v>
      </c>
      <c r="U14" s="16"/>
      <c r="V14" s="16"/>
      <c r="W14" s="16"/>
      <c r="X14" s="75"/>
      <c r="Y14" s="121"/>
      <c r="Z14" s="121"/>
      <c r="AA14" t="s" s="157">
        <v>34</v>
      </c>
      <c r="AB14" t="s" s="158">
        <v>34</v>
      </c>
      <c r="AC14" s="121"/>
      <c r="AD14" s="30"/>
      <c r="AE14" s="30"/>
      <c r="AF14" s="112">
        <v>1</v>
      </c>
      <c r="AG14" t="s" s="157">
        <v>13</v>
      </c>
      <c r="AH14" s="16"/>
      <c r="AI14" s="16"/>
      <c r="AJ14" s="16"/>
      <c r="AK14" s="16"/>
      <c r="AL14" s="16"/>
      <c r="AM14" s="75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1713</v>
      </c>
      <c r="B15" s="112">
        <v>1921</v>
      </c>
      <c r="C15" s="112">
        <v>2</v>
      </c>
      <c r="D15" t="s" s="83">
        <v>1714</v>
      </c>
      <c r="E15" s="124"/>
      <c r="F15" s="156">
        <v>4</v>
      </c>
      <c r="G15" t="s" s="96">
        <v>1737</v>
      </c>
      <c r="H15" t="s" s="96">
        <v>135</v>
      </c>
      <c r="I15" s="79">
        <v>11</v>
      </c>
      <c r="J15" t="s" s="96">
        <v>37</v>
      </c>
      <c r="K15" s="79">
        <v>1</v>
      </c>
      <c r="L15" s="16"/>
      <c r="M15" s="16"/>
      <c r="N15" t="s" s="96">
        <v>1738</v>
      </c>
      <c r="O15" s="16"/>
      <c r="P15" s="16"/>
      <c r="Q15" s="16"/>
      <c r="R15" s="79">
        <v>1</v>
      </c>
      <c r="S15" s="16"/>
      <c r="T15" s="79">
        <v>44</v>
      </c>
      <c r="U15" s="16"/>
      <c r="V15" s="16"/>
      <c r="W15" s="16"/>
      <c r="X15" s="75"/>
      <c r="Y15" s="125"/>
      <c r="Z15" s="125"/>
      <c r="AA15" t="s" s="157">
        <v>898</v>
      </c>
      <c r="AB15" t="s" s="158">
        <v>1739</v>
      </c>
      <c r="AC15" s="346">
        <v>1</v>
      </c>
      <c r="AD15" s="30"/>
      <c r="AE15" s="30"/>
      <c r="AF15" s="30"/>
      <c r="AG15" t="s" s="157">
        <v>1731</v>
      </c>
      <c r="AH15" s="16"/>
      <c r="AI15" s="16"/>
      <c r="AJ15" s="16"/>
      <c r="AK15" s="16"/>
      <c r="AL15" s="16"/>
      <c r="AM15" s="75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28" customHeight="1">
      <c r="A16" t="s" s="83">
        <v>1713</v>
      </c>
      <c r="B16" s="112">
        <v>1921</v>
      </c>
      <c r="C16" s="30"/>
      <c r="D16" t="s" s="83">
        <v>1714</v>
      </c>
      <c r="E16" s="124"/>
      <c r="F16" s="74"/>
      <c r="G16" s="16"/>
      <c r="H16" s="79">
        <v>6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4"/>
      <c r="Z16" s="164"/>
      <c r="AA16" s="16"/>
      <c r="AB16" s="16"/>
      <c r="AC16" s="347"/>
      <c r="AD16" s="30"/>
      <c r="AE16" s="30"/>
      <c r="AF16" s="30"/>
      <c r="AG16" s="74"/>
      <c r="AH16" s="16"/>
      <c r="AI16" s="16"/>
      <c r="AJ16" s="16"/>
      <c r="AK16" s="16"/>
      <c r="AL16" s="16"/>
      <c r="AM16" s="75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1713</v>
      </c>
      <c r="B17" s="112">
        <v>1921</v>
      </c>
      <c r="C17" s="112">
        <v>3</v>
      </c>
      <c r="D17" t="s" s="83">
        <v>1714</v>
      </c>
      <c r="E17" s="30"/>
      <c r="F17" s="156">
        <v>6</v>
      </c>
      <c r="G17" t="s" s="96">
        <v>1</v>
      </c>
      <c r="H17" t="s" s="96">
        <v>0</v>
      </c>
      <c r="I17" s="16"/>
      <c r="J17" t="s" s="96">
        <v>3</v>
      </c>
      <c r="K17" s="16"/>
      <c r="L17" s="16"/>
      <c r="M17" s="16"/>
      <c r="N17" t="s" s="96">
        <v>2</v>
      </c>
      <c r="O17" s="16"/>
      <c r="P17" s="16"/>
      <c r="Q17" s="16"/>
      <c r="R17" s="16"/>
      <c r="S17" s="16"/>
      <c r="T17" t="s" s="96">
        <v>5</v>
      </c>
      <c r="U17" s="16"/>
      <c r="V17" s="16"/>
      <c r="W17" s="16"/>
      <c r="X17" s="75"/>
      <c r="Y17" s="147"/>
      <c r="Z17" s="147"/>
      <c r="AA17" t="s" s="157">
        <v>7</v>
      </c>
      <c r="AB17" t="s" s="158">
        <v>8</v>
      </c>
      <c r="AC17" s="147"/>
      <c r="AD17" s="30"/>
      <c r="AE17" s="30"/>
      <c r="AF17" s="30"/>
      <c r="AG17" t="s" s="157">
        <v>6</v>
      </c>
      <c r="AH17" s="16"/>
      <c r="AI17" s="16"/>
      <c r="AJ17" s="16"/>
      <c r="AK17" s="16"/>
      <c r="AL17" s="16"/>
      <c r="AM17" s="75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1713</v>
      </c>
      <c r="B18" s="112">
        <v>1921</v>
      </c>
      <c r="C18" s="112">
        <v>3</v>
      </c>
      <c r="D18" t="s" s="83">
        <v>1714</v>
      </c>
      <c r="E18" s="30"/>
      <c r="F18" s="156">
        <v>6</v>
      </c>
      <c r="G18" t="s" s="96">
        <v>1740</v>
      </c>
      <c r="H18" t="s" s="96">
        <v>809</v>
      </c>
      <c r="I18" s="79">
        <v>12</v>
      </c>
      <c r="J18" s="16"/>
      <c r="K18" s="79">
        <v>1</v>
      </c>
      <c r="L18" s="16"/>
      <c r="M18" s="16"/>
      <c r="N18" s="79">
        <v>1</v>
      </c>
      <c r="O18" s="16"/>
      <c r="P18" s="16"/>
      <c r="Q18" s="16"/>
      <c r="R18" s="16"/>
      <c r="S18" s="16"/>
      <c r="T18" s="79">
        <v>53</v>
      </c>
      <c r="U18" s="16"/>
      <c r="V18" s="16"/>
      <c r="W18" s="16"/>
      <c r="X18" s="75"/>
      <c r="Y18" s="121"/>
      <c r="Z18" s="121"/>
      <c r="AA18" t="s" s="157">
        <v>1741</v>
      </c>
      <c r="AB18" t="s" s="158">
        <v>1742</v>
      </c>
      <c r="AC18" s="112">
        <v>1</v>
      </c>
      <c r="AD18" s="30"/>
      <c r="AE18" s="30"/>
      <c r="AF18" s="30"/>
      <c r="AG18" t="s" s="157">
        <v>1743</v>
      </c>
      <c r="AH18" s="16"/>
      <c r="AI18" s="16"/>
      <c r="AJ18" s="16"/>
      <c r="AK18" s="16"/>
      <c r="AL18" s="16"/>
      <c r="AM18" s="75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1713</v>
      </c>
      <c r="B19" s="112">
        <v>1921</v>
      </c>
      <c r="C19" s="112">
        <v>3</v>
      </c>
      <c r="D19" t="s" s="83">
        <v>1714</v>
      </c>
      <c r="E19" s="30"/>
      <c r="F19" s="156">
        <v>6</v>
      </c>
      <c r="G19" t="s" s="96">
        <v>1740</v>
      </c>
      <c r="H19" t="s" s="96">
        <v>1744</v>
      </c>
      <c r="I19" s="79">
        <v>13</v>
      </c>
      <c r="J19" s="79">
        <v>1</v>
      </c>
      <c r="K19" s="16"/>
      <c r="L19" s="16"/>
      <c r="M19" s="16"/>
      <c r="N19" t="s" s="96">
        <v>72</v>
      </c>
      <c r="O19" s="79">
        <v>1</v>
      </c>
      <c r="P19" s="16"/>
      <c r="Q19" s="16"/>
      <c r="R19" s="16"/>
      <c r="S19" s="16"/>
      <c r="T19" s="79">
        <v>49</v>
      </c>
      <c r="U19" s="16"/>
      <c r="V19" s="16"/>
      <c r="W19" s="16"/>
      <c r="X19" s="75"/>
      <c r="Y19" s="121"/>
      <c r="Z19" s="121"/>
      <c r="AA19" t="s" s="157">
        <v>1745</v>
      </c>
      <c r="AB19" t="s" s="158">
        <v>603</v>
      </c>
      <c r="AC19" s="118">
        <v>1</v>
      </c>
      <c r="AD19" s="30"/>
      <c r="AE19" s="30"/>
      <c r="AF19" s="112">
        <v>1</v>
      </c>
      <c r="AG19" t="s" s="157">
        <v>13</v>
      </c>
      <c r="AH19" s="16"/>
      <c r="AI19" s="16"/>
      <c r="AJ19" s="16"/>
      <c r="AK19" s="16"/>
      <c r="AL19" s="16"/>
      <c r="AM19" s="75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1713</v>
      </c>
      <c r="B20" s="112">
        <v>1921</v>
      </c>
      <c r="C20" s="112">
        <v>3</v>
      </c>
      <c r="D20" t="s" s="83">
        <v>1714</v>
      </c>
      <c r="E20" s="30"/>
      <c r="F20" s="156">
        <v>6</v>
      </c>
      <c r="G20" t="s" s="96">
        <v>1746</v>
      </c>
      <c r="H20" t="s" s="96">
        <v>1747</v>
      </c>
      <c r="I20" s="79">
        <v>14</v>
      </c>
      <c r="J20" s="79">
        <v>1</v>
      </c>
      <c r="K20" s="16"/>
      <c r="L20" s="16"/>
      <c r="M20" s="16"/>
      <c r="N20" t="s" s="96">
        <v>1748</v>
      </c>
      <c r="O20" s="16"/>
      <c r="P20" s="79">
        <v>1</v>
      </c>
      <c r="Q20" s="16"/>
      <c r="R20" s="16"/>
      <c r="S20" s="16"/>
      <c r="T20" s="79">
        <v>27</v>
      </c>
      <c r="U20" s="16"/>
      <c r="V20" s="16"/>
      <c r="W20" s="16"/>
      <c r="X20" s="75"/>
      <c r="Y20" s="121"/>
      <c r="Z20" s="121"/>
      <c r="AA20" t="s" s="157">
        <v>1453</v>
      </c>
      <c r="AB20" t="s" s="158">
        <v>15</v>
      </c>
      <c r="AC20" s="118">
        <v>1</v>
      </c>
      <c r="AD20" s="30"/>
      <c r="AE20" s="30"/>
      <c r="AF20" s="30"/>
      <c r="AG20" t="s" s="157">
        <v>134</v>
      </c>
      <c r="AH20" s="16"/>
      <c r="AI20" s="16"/>
      <c r="AJ20" s="16"/>
      <c r="AK20" s="16"/>
      <c r="AL20" s="16"/>
      <c r="AM20" s="75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1713</v>
      </c>
      <c r="B21" s="112">
        <v>1921</v>
      </c>
      <c r="C21" s="112">
        <v>3</v>
      </c>
      <c r="D21" t="s" s="83">
        <v>1714</v>
      </c>
      <c r="E21" s="30"/>
      <c r="F21" s="156">
        <v>6</v>
      </c>
      <c r="G21" t="s" s="96">
        <v>1749</v>
      </c>
      <c r="H21" t="s" s="96">
        <v>1750</v>
      </c>
      <c r="I21" s="79">
        <v>15</v>
      </c>
      <c r="J21" t="s" s="96">
        <v>37</v>
      </c>
      <c r="K21" s="79">
        <v>1</v>
      </c>
      <c r="L21" s="16"/>
      <c r="M21" s="16"/>
      <c r="N21" t="s" s="96">
        <v>65</v>
      </c>
      <c r="O21" s="16"/>
      <c r="P21" s="16"/>
      <c r="Q21" s="16"/>
      <c r="R21" s="79">
        <v>1</v>
      </c>
      <c r="S21" s="16"/>
      <c r="T21" s="79">
        <v>38</v>
      </c>
      <c r="U21" s="16"/>
      <c r="V21" s="16"/>
      <c r="W21" s="16"/>
      <c r="X21" s="75"/>
      <c r="Y21" s="121"/>
      <c r="Z21" s="121"/>
      <c r="AA21" t="s" s="157">
        <v>1102</v>
      </c>
      <c r="AB21" t="s" s="158">
        <v>8</v>
      </c>
      <c r="AC21" s="112">
        <v>1</v>
      </c>
      <c r="AD21" s="112">
        <v>1</v>
      </c>
      <c r="AE21" s="30"/>
      <c r="AF21" s="30"/>
      <c r="AG21" t="s" s="157">
        <v>1751</v>
      </c>
      <c r="AH21" s="16"/>
      <c r="AI21" s="16"/>
      <c r="AJ21" s="16"/>
      <c r="AK21" s="16"/>
      <c r="AL21" s="16"/>
      <c r="AM21" s="75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1713</v>
      </c>
      <c r="B22" s="112">
        <v>1921</v>
      </c>
      <c r="C22" s="112">
        <v>3</v>
      </c>
      <c r="D22" t="s" s="83">
        <v>1714</v>
      </c>
      <c r="E22" s="30"/>
      <c r="F22" s="156">
        <v>6</v>
      </c>
      <c r="G22" t="s" s="96">
        <v>1749</v>
      </c>
      <c r="H22" t="s" s="96">
        <v>48</v>
      </c>
      <c r="I22" s="79">
        <v>16</v>
      </c>
      <c r="J22" s="79">
        <v>1</v>
      </c>
      <c r="K22" s="16"/>
      <c r="L22" s="16"/>
      <c r="M22" s="16"/>
      <c r="N22" t="s" s="96">
        <v>65</v>
      </c>
      <c r="O22" s="16"/>
      <c r="P22" s="16"/>
      <c r="Q22" s="16"/>
      <c r="R22" s="79">
        <v>1</v>
      </c>
      <c r="S22" s="16"/>
      <c r="T22" s="79">
        <v>23</v>
      </c>
      <c r="U22" s="16"/>
      <c r="V22" s="16"/>
      <c r="W22" s="16"/>
      <c r="X22" s="75"/>
      <c r="Y22" s="121"/>
      <c r="Z22" s="121"/>
      <c r="AA22" t="s" s="157">
        <v>261</v>
      </c>
      <c r="AB22" t="s" s="158">
        <v>34</v>
      </c>
      <c r="AC22" s="30"/>
      <c r="AD22" s="30"/>
      <c r="AE22" s="30"/>
      <c r="AF22" s="30"/>
      <c r="AG22" t="s" s="157">
        <v>790</v>
      </c>
      <c r="AH22" s="16"/>
      <c r="AI22" s="16"/>
      <c r="AJ22" s="16"/>
      <c r="AK22" s="16"/>
      <c r="AL22" s="16"/>
      <c r="AM22" s="75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1713</v>
      </c>
      <c r="B23" s="112">
        <v>1921</v>
      </c>
      <c r="C23" s="112">
        <v>3</v>
      </c>
      <c r="D23" t="s" s="83">
        <v>1714</v>
      </c>
      <c r="E23" s="30"/>
      <c r="F23" s="156">
        <v>6</v>
      </c>
      <c r="G23" t="s" s="96">
        <v>1752</v>
      </c>
      <c r="H23" t="s" s="96">
        <v>193</v>
      </c>
      <c r="I23" s="79">
        <v>17</v>
      </c>
      <c r="J23" t="s" s="96">
        <v>37</v>
      </c>
      <c r="K23" s="79">
        <v>1</v>
      </c>
      <c r="L23" s="16"/>
      <c r="M23" s="16"/>
      <c r="N23" t="s" s="96">
        <v>65</v>
      </c>
      <c r="O23" s="16"/>
      <c r="P23" s="16"/>
      <c r="Q23" s="16"/>
      <c r="R23" s="79">
        <v>1</v>
      </c>
      <c r="S23" s="16"/>
      <c r="T23" s="79">
        <v>36</v>
      </c>
      <c r="U23" s="16"/>
      <c r="V23" s="16"/>
      <c r="W23" s="16"/>
      <c r="X23" s="75"/>
      <c r="Y23" s="121"/>
      <c r="Z23" s="121"/>
      <c r="AA23" t="s" s="157">
        <v>1753</v>
      </c>
      <c r="AB23" t="s" s="158">
        <v>8</v>
      </c>
      <c r="AC23" s="112">
        <v>1</v>
      </c>
      <c r="AD23" s="112">
        <v>1</v>
      </c>
      <c r="AE23" s="30"/>
      <c r="AF23" s="30"/>
      <c r="AG23" t="s" s="157">
        <v>370</v>
      </c>
      <c r="AH23" s="16"/>
      <c r="AI23" s="16"/>
      <c r="AJ23" s="16"/>
      <c r="AK23" s="16"/>
      <c r="AL23" s="16"/>
      <c r="AM23" s="75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t="s" s="83">
        <v>1713</v>
      </c>
      <c r="B24" s="112">
        <v>1921</v>
      </c>
      <c r="C24" s="112">
        <v>3</v>
      </c>
      <c r="D24" t="s" s="83">
        <v>1714</v>
      </c>
      <c r="E24" s="30"/>
      <c r="F24" s="156">
        <v>6</v>
      </c>
      <c r="G24" t="s" s="96">
        <v>1754</v>
      </c>
      <c r="H24" t="s" s="96">
        <v>1755</v>
      </c>
      <c r="I24" s="79">
        <v>18</v>
      </c>
      <c r="J24" t="s" s="96">
        <v>37</v>
      </c>
      <c r="K24" s="79">
        <v>1</v>
      </c>
      <c r="L24" s="16"/>
      <c r="M24" s="16"/>
      <c r="N24" t="s" s="96">
        <v>65</v>
      </c>
      <c r="O24" s="16"/>
      <c r="P24" s="16"/>
      <c r="Q24" s="16"/>
      <c r="R24" s="79">
        <v>1</v>
      </c>
      <c r="S24" s="16"/>
      <c r="T24" s="79">
        <v>49</v>
      </c>
      <c r="U24" s="16"/>
      <c r="V24" s="16"/>
      <c r="W24" s="16"/>
      <c r="X24" s="75"/>
      <c r="Y24" s="121"/>
      <c r="Z24" s="121"/>
      <c r="AA24" t="s" s="157">
        <v>689</v>
      </c>
      <c r="AB24" t="s" s="158">
        <v>8</v>
      </c>
      <c r="AC24" s="112">
        <v>1</v>
      </c>
      <c r="AD24" s="112">
        <v>1</v>
      </c>
      <c r="AE24" s="30"/>
      <c r="AF24" s="112">
        <v>1</v>
      </c>
      <c r="AG24" t="s" s="157">
        <v>13</v>
      </c>
      <c r="AH24" s="16"/>
      <c r="AI24" s="16"/>
      <c r="AJ24" s="16"/>
      <c r="AK24" s="16"/>
      <c r="AL24" s="16"/>
      <c r="AM24" s="75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t="s" s="83">
        <v>1713</v>
      </c>
      <c r="B25" s="112">
        <v>1921</v>
      </c>
      <c r="C25" s="112">
        <v>3</v>
      </c>
      <c r="D25" t="s" s="83">
        <v>1714</v>
      </c>
      <c r="E25" s="30"/>
      <c r="F25" s="162">
        <v>6</v>
      </c>
      <c r="G25" t="s" s="181">
        <v>1628</v>
      </c>
      <c r="H25" t="s" s="181">
        <v>1756</v>
      </c>
      <c r="I25" s="126">
        <v>19</v>
      </c>
      <c r="J25" t="s" s="181">
        <v>37</v>
      </c>
      <c r="K25" s="126">
        <v>1</v>
      </c>
      <c r="L25" s="132"/>
      <c r="M25" s="132"/>
      <c r="N25" t="s" s="181">
        <v>65</v>
      </c>
      <c r="O25" s="132"/>
      <c r="P25" s="132"/>
      <c r="Q25" s="132"/>
      <c r="R25" s="126">
        <v>1</v>
      </c>
      <c r="S25" s="132"/>
      <c r="T25" s="126">
        <v>31</v>
      </c>
      <c r="U25" s="132"/>
      <c r="V25" s="132"/>
      <c r="W25" s="132"/>
      <c r="X25" s="133"/>
      <c r="Y25" s="30"/>
      <c r="Z25" s="30"/>
      <c r="AA25" t="s" s="160">
        <v>1757</v>
      </c>
      <c r="AB25" t="s" s="161">
        <v>1758</v>
      </c>
      <c r="AC25" s="112">
        <v>1</v>
      </c>
      <c r="AD25" s="30"/>
      <c r="AE25" s="30"/>
      <c r="AF25" s="112">
        <v>1</v>
      </c>
      <c r="AG25" t="s" s="160">
        <v>13</v>
      </c>
      <c r="AH25" s="132"/>
      <c r="AI25" s="132"/>
      <c r="AJ25" s="132"/>
      <c r="AK25" s="132"/>
      <c r="AL25" s="132"/>
      <c r="AM25" s="133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t="s" s="83">
        <v>1713</v>
      </c>
      <c r="B26" s="112">
        <v>1921</v>
      </c>
      <c r="C26" s="30"/>
      <c r="D26" t="s" s="83">
        <v>1714</v>
      </c>
      <c r="E26" s="30"/>
      <c r="F26" s="30"/>
      <c r="G26" s="30"/>
      <c r="H26" s="112">
        <v>8</v>
      </c>
      <c r="I26" s="30"/>
      <c r="J26" s="30"/>
      <c r="K26" s="30"/>
      <c r="L26" s="30"/>
      <c r="M26" s="121"/>
      <c r="N26" s="121"/>
      <c r="O26" s="121"/>
      <c r="P26" s="121"/>
      <c r="Q26" s="30"/>
      <c r="R26" s="121"/>
      <c r="S26" s="121"/>
      <c r="T26" s="129"/>
      <c r="U26" s="121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1713</v>
      </c>
      <c r="B27" s="112">
        <v>1921</v>
      </c>
      <c r="C27" s="112">
        <v>3</v>
      </c>
      <c r="D27" t="s" s="83">
        <v>1714</v>
      </c>
      <c r="E27" s="30"/>
      <c r="F27" s="30"/>
      <c r="G27" s="30"/>
      <c r="H27" s="30"/>
      <c r="I27" s="112">
        <v>19</v>
      </c>
      <c r="J27" s="112" cm="1">
        <f t="array" ref="J27">SUM(J3:J26)</f>
        <v>10</v>
      </c>
      <c r="K27" s="112" cm="1">
        <f t="array" ref="K27">SUM(K3:K26)</f>
        <v>8</v>
      </c>
      <c r="L27" s="112" cm="1">
        <f t="array" ref="L27">SUM(L3:L26)</f>
        <v>0</v>
      </c>
      <c r="M27" s="112" cm="1">
        <f t="array" ref="M27">SUM(M3:M26)</f>
        <v>1</v>
      </c>
      <c r="N27" s="112" cm="1">
        <f t="array" ref="N27">SUM(N3:N26)</f>
        <v>3</v>
      </c>
      <c r="O27" s="112" cm="1">
        <f t="array" ref="O27">SUM(O3:O26)</f>
        <v>4</v>
      </c>
      <c r="P27" s="112" cm="1">
        <f t="array" ref="P27">SUM(P3:P26)</f>
        <v>5</v>
      </c>
      <c r="Q27" s="112" cm="1">
        <f t="array" ref="Q27">SUM(Q3:Q26)</f>
        <v>1</v>
      </c>
      <c r="R27" s="112" cm="1">
        <f t="array" ref="R27">SUM(R3:R26)</f>
        <v>6</v>
      </c>
      <c r="S27" s="112" cm="1">
        <f t="array" ref="S27">SUM(S3:S26)</f>
        <v>0</v>
      </c>
      <c r="T27" s="112" cm="1">
        <f t="array" ref="T27">SUM(T3:T26)</f>
        <v>649</v>
      </c>
      <c r="U27" s="112" cm="1">
        <f t="array" ref="U27">SUM(U3:U26)</f>
        <v>0</v>
      </c>
      <c r="V27" s="112" cm="1">
        <f t="array" ref="V27">SUM(V3:V26)</f>
        <v>0</v>
      </c>
      <c r="W27" s="112" cm="1">
        <f t="array" ref="W27">SUM(W3:W26)</f>
        <v>0</v>
      </c>
      <c r="X27" s="112" cm="1">
        <f t="array" ref="X27">SUM(X3:X26)</f>
        <v>0</v>
      </c>
      <c r="Y27" s="112" cm="1">
        <f t="array" ref="Y27">SUM(Y3:Y26)</f>
        <v>0</v>
      </c>
      <c r="Z27" s="112" cm="1">
        <f t="array" ref="Z27">SUM(Z3:Z26)</f>
        <v>0</v>
      </c>
      <c r="AA27" s="112" cm="1">
        <f t="array" ref="AA27">SUM(AA3:AA26)</f>
        <v>0</v>
      </c>
      <c r="AB27" s="112" cm="1">
        <f t="array" ref="AB27">SUM(AB3:AB26)</f>
        <v>0</v>
      </c>
      <c r="AC27" s="112" cm="1">
        <f t="array" ref="AC27">SUM(AC3:AC26)</f>
        <v>14</v>
      </c>
      <c r="AD27" s="112" cm="1">
        <f t="array" ref="AD27">SUM(AD3:AD26)</f>
        <v>3</v>
      </c>
      <c r="AE27" s="112" cm="1">
        <f t="array" ref="AE27">AC27-AD27</f>
        <v>11</v>
      </c>
      <c r="AF27" s="112" cm="1">
        <f t="array" ref="AF27">SUM(AF3:AF26)</f>
        <v>10</v>
      </c>
      <c r="AG27" s="112" cm="1">
        <f t="array" ref="AG27">I27-AF27</f>
        <v>9</v>
      </c>
      <c r="AH27" s="112" cm="1">
        <f t="array" ref="AH27">SUM(AH3:AH26)</f>
        <v>0</v>
      </c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121"/>
      <c r="N28" s="121"/>
      <c r="O28" s="121"/>
      <c r="P28" s="121"/>
      <c r="Q28" s="30"/>
      <c r="R28" s="121"/>
      <c r="S28" s="121"/>
      <c r="T28" s="87" cm="1">
        <f t="array" ref="T28">T27/I27</f>
        <v>34.1578947368421</v>
      </c>
      <c r="U28" s="121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121"/>
      <c r="N29" s="121"/>
      <c r="O29" s="121"/>
      <c r="P29" s="121"/>
      <c r="Q29" s="30"/>
      <c r="R29" s="121"/>
      <c r="S29" s="121"/>
      <c r="T29" s="129"/>
      <c r="U29" s="121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121"/>
      <c r="N30" s="121"/>
      <c r="O30" s="121"/>
      <c r="P30" s="121"/>
      <c r="Q30" s="30"/>
      <c r="R30" s="121"/>
      <c r="S30" s="121"/>
      <c r="T30" s="30"/>
      <c r="U30" s="121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30"/>
      <c r="R31" s="121"/>
      <c r="S31" s="121"/>
      <c r="T31" s="30"/>
      <c r="U31" s="121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30"/>
      <c r="R32" s="121"/>
      <c r="S32" s="121"/>
      <c r="T32" s="30"/>
      <c r="U32" s="121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t="s" s="83">
        <v>723</v>
      </c>
      <c r="B33" s="30"/>
      <c r="C33" s="30"/>
      <c r="D33" s="30"/>
      <c r="E33" s="30"/>
      <c r="F33" s="30"/>
      <c r="G33" s="112" cm="1">
        <f t="array" ref="G33">SUM(G3:G32)</f>
        <v>0</v>
      </c>
      <c r="H33" s="112" cm="1">
        <f t="array" ref="H33">SUM(H3:H32)</f>
        <v>19</v>
      </c>
      <c r="I33" s="112" cm="1">
        <f t="array" ref="I33">SUM(I3:I32)</f>
        <v>209</v>
      </c>
      <c r="J33" s="112" cm="1">
        <f t="array" ref="J33">SUM(J3:J32)</f>
        <v>20</v>
      </c>
      <c r="K33" s="112" cm="1">
        <f t="array" ref="K33">SUM(K3:K32)</f>
        <v>16</v>
      </c>
      <c r="L33" s="112" cm="1">
        <f t="array" ref="L33">SUM(L3:L32)</f>
        <v>0</v>
      </c>
      <c r="M33" s="112" cm="1">
        <f t="array" ref="M33">SUM(M3:M32)</f>
        <v>2</v>
      </c>
      <c r="N33" s="112" cm="1">
        <f t="array" ref="N33">SUM(N3:N32)</f>
        <v>6</v>
      </c>
      <c r="O33" s="30"/>
      <c r="P33" s="112" cm="1">
        <f t="array" ref="P33">SUM(P3:P32)</f>
        <v>10</v>
      </c>
      <c r="Q33" s="112" cm="1">
        <f t="array" ref="Q33">SUM(Q3:Q32)</f>
        <v>2</v>
      </c>
      <c r="R33" s="112" cm="1">
        <f t="array" ref="R33">SUM(R3:R32)</f>
        <v>12</v>
      </c>
      <c r="S33" s="112" cm="1">
        <f t="array" ref="S33">SUM(S3:S32)</f>
        <v>0</v>
      </c>
      <c r="T33" s="112" cm="1">
        <f t="array" ref="T33">SUM(T3:T32)</f>
        <v>1332.157894736840</v>
      </c>
      <c r="U33" s="112" cm="1">
        <f t="array" ref="U33">SUM(U3:U32)</f>
        <v>0</v>
      </c>
      <c r="V33" s="112" cm="1">
        <f t="array" ref="V33">SUM(V3:V32)</f>
        <v>0</v>
      </c>
      <c r="W33" s="112" cm="1">
        <f t="array" ref="W33">SUM(W3:W32)</f>
        <v>0</v>
      </c>
      <c r="X33" s="30"/>
      <c r="Y33" s="30"/>
      <c r="Z33" s="112" cm="1">
        <f t="array" ref="Z33">SUM(Z3:Z32)</f>
        <v>0</v>
      </c>
      <c r="AA33" s="112" cm="1">
        <f t="array" ref="AA33">SUM(AA3:AA32)</f>
        <v>0</v>
      </c>
      <c r="AB33" s="112" cm="1">
        <f t="array" ref="AB33">SUM(AB3:AB32)</f>
        <v>0</v>
      </c>
      <c r="AC33" s="112" cm="1">
        <f t="array" ref="AC33">SUM(AC3:AC32)</f>
        <v>28</v>
      </c>
      <c r="AD33" s="112" cm="1">
        <f t="array" ref="AD33">SUM(AD3:AD32)</f>
        <v>6</v>
      </c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87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" customHeight="1">
      <c r="A35" s="30"/>
      <c r="B35" s="30"/>
      <c r="C35" s="30"/>
      <c r="D35" s="30"/>
      <c r="E35" s="30"/>
      <c r="F35" s="30"/>
      <c r="G35" s="130"/>
      <c r="H35" s="130"/>
      <c r="I35" s="130"/>
      <c r="J35" s="30"/>
      <c r="K35" s="30"/>
      <c r="L35" s="30"/>
      <c r="M35" s="30"/>
      <c r="N35" s="30"/>
      <c r="O35" s="30"/>
      <c r="P35" s="30"/>
      <c r="Q35" s="87"/>
      <c r="R35" s="130"/>
      <c r="S35" s="130"/>
      <c r="T35" s="1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121"/>
      <c r="S36" s="121"/>
      <c r="T36" s="129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130"/>
      <c r="S37" s="130"/>
      <c r="T37" s="130"/>
      <c r="U37" s="30"/>
      <c r="V37" s="30"/>
      <c r="W37" s="30"/>
      <c r="X37" s="30"/>
      <c r="Y37" s="30"/>
      <c r="Z37" s="30"/>
      <c r="AA37" s="30"/>
      <c r="AB37" s="30"/>
      <c r="AC37" s="134"/>
      <c r="AD37" s="134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121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5.35" customHeight="1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16"/>
      <c r="BA39" s="16"/>
      <c r="BB39" s="16"/>
      <c r="BC39" s="16"/>
    </row>
    <row r="40" ht="15.35" customHeight="1">
      <c r="A40" s="16"/>
      <c r="B40" s="16"/>
      <c r="C40" s="16"/>
      <c r="D40" s="16"/>
      <c r="E40" s="16"/>
      <c r="F40" s="16"/>
      <c r="G40" s="16"/>
      <c r="H40" t="s" s="96">
        <v>0</v>
      </c>
      <c r="I40" t="s" s="96">
        <v>1</v>
      </c>
      <c r="J40" t="s" s="96">
        <v>2</v>
      </c>
      <c r="K40" t="s" s="96">
        <v>3</v>
      </c>
      <c r="L40" t="s" s="96">
        <v>4</v>
      </c>
      <c r="M40" t="s" s="96">
        <v>5</v>
      </c>
      <c r="N40" t="s" s="96">
        <v>6</v>
      </c>
      <c r="O40" t="s" s="96">
        <v>7</v>
      </c>
      <c r="P40" t="s" s="96">
        <v>8</v>
      </c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5.35" customHeight="1">
      <c r="A41" s="16"/>
      <c r="B41" s="16"/>
      <c r="C41" s="16"/>
      <c r="D41" s="16"/>
      <c r="E41" s="16"/>
      <c r="F41" s="79">
        <v>2</v>
      </c>
      <c r="G41" s="16"/>
      <c r="H41" t="s" s="96">
        <v>1715</v>
      </c>
      <c r="I41" t="s" s="96">
        <v>524</v>
      </c>
      <c r="J41" t="s" s="96">
        <v>31</v>
      </c>
      <c r="K41" t="s" s="96">
        <v>37</v>
      </c>
      <c r="L41" s="79">
        <v>1865</v>
      </c>
      <c r="M41" s="79">
        <v>56</v>
      </c>
      <c r="N41" t="s" s="96">
        <v>84</v>
      </c>
      <c r="O41" t="s" s="96">
        <v>1716</v>
      </c>
      <c r="P41" t="s" s="96">
        <v>1717</v>
      </c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5.35" customHeight="1">
      <c r="A42" s="16"/>
      <c r="B42" s="16"/>
      <c r="C42" s="16"/>
      <c r="D42" s="16"/>
      <c r="E42" s="16"/>
      <c r="F42" s="16"/>
      <c r="G42" s="16"/>
      <c r="H42" t="s" s="96">
        <v>1718</v>
      </c>
      <c r="I42" t="s" s="96">
        <v>524</v>
      </c>
      <c r="J42" t="s" s="96">
        <v>72</v>
      </c>
      <c r="K42" t="s" s="96">
        <v>12</v>
      </c>
      <c r="L42" s="79">
        <v>1866</v>
      </c>
      <c r="M42" s="79">
        <v>54</v>
      </c>
      <c r="N42" t="s" s="96">
        <v>13</v>
      </c>
      <c r="O42" t="s" s="96">
        <v>33</v>
      </c>
      <c r="P42" t="s" s="96">
        <v>34</v>
      </c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5.35" customHeight="1">
      <c r="A43" s="16"/>
      <c r="B43" s="16"/>
      <c r="C43" s="16"/>
      <c r="D43" s="16"/>
      <c r="E43" s="16"/>
      <c r="F43" s="16"/>
      <c r="G43" s="16"/>
      <c r="H43" t="s" s="96">
        <v>1719</v>
      </c>
      <c r="I43" t="s" s="96">
        <v>524</v>
      </c>
      <c r="J43" t="s" s="96">
        <v>78</v>
      </c>
      <c r="K43" t="s" s="96">
        <v>12</v>
      </c>
      <c r="L43" s="79">
        <v>1894</v>
      </c>
      <c r="M43" s="79">
        <v>26</v>
      </c>
      <c r="N43" t="s" s="96">
        <v>13</v>
      </c>
      <c r="O43" t="s" s="96">
        <v>1720</v>
      </c>
      <c r="P43" t="s" s="96">
        <v>1721</v>
      </c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</row>
    <row r="44" ht="15.35" customHeight="1">
      <c r="A44" s="16"/>
      <c r="B44" s="16"/>
      <c r="C44" s="16"/>
      <c r="D44" s="16"/>
      <c r="E44" s="16"/>
      <c r="F44" s="16"/>
      <c r="G44" s="16"/>
      <c r="H44" t="s" s="96">
        <v>1722</v>
      </c>
      <c r="I44" t="s" s="96">
        <v>524</v>
      </c>
      <c r="J44" t="s" s="96">
        <v>78</v>
      </c>
      <c r="K44" t="s" s="96">
        <v>12</v>
      </c>
      <c r="L44" s="79">
        <v>1896</v>
      </c>
      <c r="M44" s="79">
        <v>24</v>
      </c>
      <c r="N44" t="s" s="96">
        <v>13</v>
      </c>
      <c r="O44" t="s" s="96">
        <v>1723</v>
      </c>
      <c r="P44" t="s" s="96">
        <v>1724</v>
      </c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</row>
    <row r="45" ht="15.35" customHeight="1">
      <c r="A45" s="16"/>
      <c r="B45" s="16"/>
      <c r="C45" s="16"/>
      <c r="D45" s="16"/>
      <c r="E45" s="16"/>
      <c r="F45" s="16"/>
      <c r="G45" s="16"/>
      <c r="H45" t="s" s="96">
        <v>1725</v>
      </c>
      <c r="I45" t="s" s="96">
        <v>524</v>
      </c>
      <c r="J45" t="s" s="96">
        <v>78</v>
      </c>
      <c r="K45" t="s" s="96">
        <v>12</v>
      </c>
      <c r="L45" s="79">
        <v>1900</v>
      </c>
      <c r="M45" s="79">
        <v>21</v>
      </c>
      <c r="N45" t="s" s="96">
        <v>13</v>
      </c>
      <c r="O45" t="s" s="96">
        <v>1726</v>
      </c>
      <c r="P45" t="s" s="96">
        <v>34</v>
      </c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</row>
    <row r="46" ht="15.35" customHeight="1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5.35" customHeight="1">
      <c r="A47" s="16"/>
      <c r="B47" s="16"/>
      <c r="C47" s="16"/>
      <c r="D47" s="16"/>
      <c r="E47" s="16"/>
      <c r="F47" s="16"/>
      <c r="G47" s="16"/>
      <c r="H47" t="s" s="96">
        <v>0</v>
      </c>
      <c r="I47" t="s" s="96">
        <v>1</v>
      </c>
      <c r="J47" t="s" s="96">
        <v>2</v>
      </c>
      <c r="K47" t="s" s="96">
        <v>3</v>
      </c>
      <c r="L47" t="s" s="96">
        <v>4</v>
      </c>
      <c r="M47" t="s" s="96">
        <v>5</v>
      </c>
      <c r="N47" t="s" s="96">
        <v>6</v>
      </c>
      <c r="O47" t="s" s="96">
        <v>7</v>
      </c>
      <c r="P47" t="s" s="96">
        <v>8</v>
      </c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</row>
    <row r="48" ht="15.35" customHeight="1">
      <c r="A48" s="16"/>
      <c r="B48" s="16"/>
      <c r="C48" s="16"/>
      <c r="D48" s="16"/>
      <c r="E48" s="16"/>
      <c r="F48" s="79">
        <v>4</v>
      </c>
      <c r="G48" s="16"/>
      <c r="H48" t="s" s="96">
        <v>1715</v>
      </c>
      <c r="I48" t="s" s="96">
        <v>494</v>
      </c>
      <c r="J48" t="s" s="96">
        <v>31</v>
      </c>
      <c r="K48" t="s" s="96">
        <v>37</v>
      </c>
      <c r="L48" s="79">
        <v>1877</v>
      </c>
      <c r="M48" s="79">
        <v>43</v>
      </c>
      <c r="N48" t="s" s="96">
        <v>1729</v>
      </c>
      <c r="O48" t="s" s="96">
        <v>1727</v>
      </c>
      <c r="P48" t="s" s="96">
        <v>1728</v>
      </c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5.35" customHeight="1">
      <c r="A49" s="16"/>
      <c r="B49" s="16"/>
      <c r="C49" s="16"/>
      <c r="D49" s="16"/>
      <c r="E49" s="16"/>
      <c r="F49" s="16"/>
      <c r="G49" s="16"/>
      <c r="H49" t="s" s="96">
        <v>1730</v>
      </c>
      <c r="I49" t="s" s="96">
        <v>494</v>
      </c>
      <c r="J49" t="s" s="96">
        <v>72</v>
      </c>
      <c r="K49" t="s" s="96">
        <v>12</v>
      </c>
      <c r="L49" s="79">
        <v>1882</v>
      </c>
      <c r="M49" s="79">
        <v>39</v>
      </c>
      <c r="N49" t="s" s="96">
        <v>1731</v>
      </c>
      <c r="O49" t="s" s="96">
        <v>33</v>
      </c>
      <c r="P49" t="s" s="96">
        <v>34</v>
      </c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s="16"/>
      <c r="B50" s="16"/>
      <c r="C50" s="16"/>
      <c r="D50" s="16"/>
      <c r="E50" s="16"/>
      <c r="F50" s="16"/>
      <c r="G50" s="16"/>
      <c r="H50" t="s" s="96">
        <v>1732</v>
      </c>
      <c r="I50" t="s" s="96">
        <v>494</v>
      </c>
      <c r="J50" t="s" s="96">
        <v>78</v>
      </c>
      <c r="K50" t="s" s="96">
        <v>12</v>
      </c>
      <c r="L50" s="79">
        <v>1900</v>
      </c>
      <c r="M50" s="79">
        <v>21</v>
      </c>
      <c r="N50" t="s" s="96">
        <v>13</v>
      </c>
      <c r="O50" t="s" s="96">
        <v>1733</v>
      </c>
      <c r="P50" t="s" s="96">
        <v>1734</v>
      </c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5.35" customHeight="1">
      <c r="A51" s="16"/>
      <c r="B51" s="16"/>
      <c r="C51" s="16"/>
      <c r="D51" s="16"/>
      <c r="E51" s="16"/>
      <c r="F51" s="16"/>
      <c r="G51" s="16"/>
      <c r="H51" t="s" s="96">
        <v>135</v>
      </c>
      <c r="I51" t="s" s="96">
        <v>494</v>
      </c>
      <c r="J51" t="s" s="96">
        <v>36</v>
      </c>
      <c r="K51" t="s" s="96">
        <v>37</v>
      </c>
      <c r="L51" s="79">
        <v>1905</v>
      </c>
      <c r="M51" s="79">
        <v>15</v>
      </c>
      <c r="N51" t="s" s="96">
        <v>13</v>
      </c>
      <c r="O51" t="s" s="96">
        <v>1735</v>
      </c>
      <c r="P51" t="s" s="96">
        <v>1736</v>
      </c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15.35" customHeight="1">
      <c r="A52" s="16"/>
      <c r="B52" s="16"/>
      <c r="C52" s="16"/>
      <c r="D52" s="16"/>
      <c r="E52" s="16"/>
      <c r="F52" s="16"/>
      <c r="G52" s="16"/>
      <c r="H52" t="s" s="96">
        <v>115</v>
      </c>
      <c r="I52" t="s" s="96">
        <v>1737</v>
      </c>
      <c r="J52" t="s" s="96">
        <v>78</v>
      </c>
      <c r="K52" t="s" s="96">
        <v>12</v>
      </c>
      <c r="L52" s="79">
        <v>1921</v>
      </c>
      <c r="M52" t="s" s="96">
        <v>34</v>
      </c>
      <c r="N52" t="s" s="96">
        <v>13</v>
      </c>
      <c r="O52" t="s" s="96">
        <v>34</v>
      </c>
      <c r="P52" t="s" s="96">
        <v>34</v>
      </c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5.35" customHeight="1">
      <c r="A53" s="16"/>
      <c r="B53" s="16"/>
      <c r="C53" s="16"/>
      <c r="D53" s="16"/>
      <c r="E53" s="16"/>
      <c r="F53" s="16"/>
      <c r="G53" s="16"/>
      <c r="H53" t="s" s="96">
        <v>135</v>
      </c>
      <c r="I53" t="s" s="96">
        <v>1737</v>
      </c>
      <c r="J53" t="s" s="96">
        <v>1738</v>
      </c>
      <c r="K53" t="s" s="96">
        <v>37</v>
      </c>
      <c r="L53" s="79">
        <v>1877</v>
      </c>
      <c r="M53" s="79">
        <v>44</v>
      </c>
      <c r="N53" t="s" s="96">
        <v>1731</v>
      </c>
      <c r="O53" t="s" s="96">
        <v>898</v>
      </c>
      <c r="P53" t="s" s="96">
        <v>1739</v>
      </c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15.35" customHeight="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15.35" customHeight="1">
      <c r="A55" s="16"/>
      <c r="B55" s="16"/>
      <c r="C55" s="16"/>
      <c r="D55" s="16"/>
      <c r="E55" s="16"/>
      <c r="F55" s="79">
        <v>6</v>
      </c>
      <c r="G55" s="16"/>
      <c r="H55" t="s" s="96">
        <v>0</v>
      </c>
      <c r="I55" t="s" s="96">
        <v>1</v>
      </c>
      <c r="J55" t="s" s="96">
        <v>2</v>
      </c>
      <c r="K55" t="s" s="96">
        <v>3</v>
      </c>
      <c r="L55" t="s" s="96">
        <v>4</v>
      </c>
      <c r="M55" t="s" s="96">
        <v>5</v>
      </c>
      <c r="N55" t="s" s="96">
        <v>6</v>
      </c>
      <c r="O55" t="s" s="96">
        <v>7</v>
      </c>
      <c r="P55" t="s" s="96">
        <v>8</v>
      </c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</row>
    <row r="56" ht="15.35" customHeight="1">
      <c r="A56" s="16"/>
      <c r="B56" s="16"/>
      <c r="C56" s="16"/>
      <c r="D56" s="16"/>
      <c r="E56" s="16"/>
      <c r="F56" s="16"/>
      <c r="G56" s="16"/>
      <c r="H56" t="s" s="96">
        <v>809</v>
      </c>
      <c r="I56" t="s" s="96">
        <v>1740</v>
      </c>
      <c r="J56" t="s" s="96">
        <v>31</v>
      </c>
      <c r="K56" t="s" s="96">
        <v>37</v>
      </c>
      <c r="L56" s="79">
        <v>1868</v>
      </c>
      <c r="M56" s="79">
        <v>53</v>
      </c>
      <c r="N56" t="s" s="96">
        <v>1743</v>
      </c>
      <c r="O56" t="s" s="96">
        <v>1741</v>
      </c>
      <c r="P56" t="s" s="96">
        <v>1742</v>
      </c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</row>
    <row r="57" ht="15.35" customHeight="1">
      <c r="A57" s="16"/>
      <c r="B57" s="16"/>
      <c r="C57" s="16"/>
      <c r="D57" s="16"/>
      <c r="E57" s="16"/>
      <c r="F57" s="16"/>
      <c r="G57" s="16"/>
      <c r="H57" t="s" s="96">
        <v>1744</v>
      </c>
      <c r="I57" t="s" s="96">
        <v>1740</v>
      </c>
      <c r="J57" t="s" s="96">
        <v>72</v>
      </c>
      <c r="K57" t="s" s="96">
        <v>12</v>
      </c>
      <c r="L57" s="79">
        <v>1871</v>
      </c>
      <c r="M57" s="79">
        <v>49</v>
      </c>
      <c r="N57" t="s" s="96">
        <v>13</v>
      </c>
      <c r="O57" t="s" s="96">
        <v>1745</v>
      </c>
      <c r="P57" t="s" s="96">
        <v>603</v>
      </c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</row>
    <row r="58" ht="15.35" customHeight="1">
      <c r="A58" s="16"/>
      <c r="B58" s="16"/>
      <c r="C58" s="16"/>
      <c r="D58" s="16"/>
      <c r="E58" s="16"/>
      <c r="F58" s="16"/>
      <c r="G58" s="16"/>
      <c r="H58" t="s" s="96">
        <v>1747</v>
      </c>
      <c r="I58" t="s" s="96">
        <v>1746</v>
      </c>
      <c r="J58" t="s" s="96">
        <v>1748</v>
      </c>
      <c r="K58" t="s" s="96">
        <v>12</v>
      </c>
      <c r="L58" s="79">
        <v>1894</v>
      </c>
      <c r="M58" s="79">
        <v>27</v>
      </c>
      <c r="N58" t="s" s="96">
        <v>134</v>
      </c>
      <c r="O58" t="s" s="96">
        <v>1453</v>
      </c>
      <c r="P58" t="s" s="96">
        <v>15</v>
      </c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</row>
    <row r="59" ht="15.35" customHeight="1">
      <c r="A59" s="16"/>
      <c r="B59" s="16"/>
      <c r="C59" s="16"/>
      <c r="D59" s="16"/>
      <c r="E59" s="16"/>
      <c r="F59" s="16"/>
      <c r="G59" s="16"/>
      <c r="H59" t="s" s="96">
        <v>1750</v>
      </c>
      <c r="I59" t="s" s="96">
        <v>1749</v>
      </c>
      <c r="J59" t="s" s="96">
        <v>65</v>
      </c>
      <c r="K59" t="s" s="96">
        <v>37</v>
      </c>
      <c r="L59" s="79">
        <v>1883</v>
      </c>
      <c r="M59" s="79">
        <v>38</v>
      </c>
      <c r="N59" t="s" s="96">
        <v>1751</v>
      </c>
      <c r="O59" t="s" s="96">
        <v>1102</v>
      </c>
      <c r="P59" t="s" s="96">
        <v>8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</row>
    <row r="60" ht="15.35" customHeight="1">
      <c r="A60" s="16"/>
      <c r="B60" s="16"/>
      <c r="C60" s="16"/>
      <c r="D60" s="16"/>
      <c r="E60" s="16"/>
      <c r="F60" s="16"/>
      <c r="G60" s="16"/>
      <c r="H60" t="s" s="96">
        <v>48</v>
      </c>
      <c r="I60" t="s" s="96">
        <v>1749</v>
      </c>
      <c r="J60" t="s" s="96">
        <v>65</v>
      </c>
      <c r="K60" t="s" s="96">
        <v>12</v>
      </c>
      <c r="L60" s="79">
        <v>1898</v>
      </c>
      <c r="M60" s="79">
        <v>23</v>
      </c>
      <c r="N60" t="s" s="96">
        <v>790</v>
      </c>
      <c r="O60" t="s" s="96">
        <v>261</v>
      </c>
      <c r="P60" t="s" s="96">
        <v>34</v>
      </c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5.35" customHeight="1">
      <c r="A61" s="16"/>
      <c r="B61" s="16"/>
      <c r="C61" s="16"/>
      <c r="D61" s="16"/>
      <c r="E61" s="16"/>
      <c r="F61" s="16"/>
      <c r="G61" s="16"/>
      <c r="H61" t="s" s="96">
        <v>193</v>
      </c>
      <c r="I61" t="s" s="96">
        <v>1752</v>
      </c>
      <c r="J61" t="s" s="96">
        <v>65</v>
      </c>
      <c r="K61" t="s" s="96">
        <v>37</v>
      </c>
      <c r="L61" s="79">
        <v>1885</v>
      </c>
      <c r="M61" s="79">
        <v>36</v>
      </c>
      <c r="N61" t="s" s="96">
        <v>370</v>
      </c>
      <c r="O61" t="s" s="96">
        <v>1753</v>
      </c>
      <c r="P61" t="s" s="96">
        <v>8</v>
      </c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15.35" customHeight="1">
      <c r="A62" s="16"/>
      <c r="B62" s="16"/>
      <c r="C62" s="16"/>
      <c r="D62" s="16"/>
      <c r="E62" s="16"/>
      <c r="F62" s="16"/>
      <c r="G62" s="16"/>
      <c r="H62" t="s" s="96">
        <v>1755</v>
      </c>
      <c r="I62" t="s" s="96">
        <v>1754</v>
      </c>
      <c r="J62" t="s" s="96">
        <v>65</v>
      </c>
      <c r="K62" t="s" s="96">
        <v>37</v>
      </c>
      <c r="L62" s="79">
        <v>1872</v>
      </c>
      <c r="M62" s="79">
        <v>49</v>
      </c>
      <c r="N62" t="s" s="96">
        <v>13</v>
      </c>
      <c r="O62" t="s" s="96">
        <v>689</v>
      </c>
      <c r="P62" t="s" s="96">
        <v>8</v>
      </c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s="16"/>
      <c r="B63" s="16"/>
      <c r="C63" s="16"/>
      <c r="D63" s="16"/>
      <c r="E63" s="16"/>
      <c r="F63" s="16"/>
      <c r="G63" s="16"/>
      <c r="H63" t="s" s="96">
        <v>1756</v>
      </c>
      <c r="I63" t="s" s="96">
        <v>1628</v>
      </c>
      <c r="J63" t="s" s="96">
        <v>65</v>
      </c>
      <c r="K63" t="s" s="96">
        <v>37</v>
      </c>
      <c r="L63" s="79">
        <v>1890</v>
      </c>
      <c r="M63" s="79">
        <v>31</v>
      </c>
      <c r="N63" t="s" s="96">
        <v>13</v>
      </c>
      <c r="O63" t="s" s="96">
        <v>1757</v>
      </c>
      <c r="P63" t="s" s="96">
        <v>1758</v>
      </c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0.xml><?xml version="1.0" encoding="utf-8"?>
<worksheet xmlns:r="http://schemas.openxmlformats.org/officeDocument/2006/relationships" xmlns="http://schemas.openxmlformats.org/spreadsheetml/2006/main">
  <dimension ref="A1:BC243"/>
  <sheetViews>
    <sheetView workbookViewId="0" showGridLines="0" defaultGridColor="1"/>
  </sheetViews>
  <sheetFormatPr defaultColWidth="10.8333" defaultRowHeight="16" customHeight="1" outlineLevelRow="0" outlineLevelCol="0"/>
  <cols>
    <col min="1" max="1" width="10.8516" style="348" customWidth="1"/>
    <col min="2" max="2" width="5.67188" style="348" customWidth="1"/>
    <col min="3" max="3" width="10.8516" style="348" customWidth="1"/>
    <col min="4" max="4" width="17.8516" style="348" customWidth="1"/>
    <col min="5" max="5" width="11.6719" style="348" customWidth="1"/>
    <col min="6" max="6" width="10.3516" style="348" customWidth="1"/>
    <col min="7" max="7" width="8.85156" style="348" customWidth="1"/>
    <col min="8" max="10" width="10.8516" style="348" customWidth="1"/>
    <col min="11" max="11" width="5.85156" style="348" customWidth="1"/>
    <col min="12" max="12" width="7.85156" style="348" customWidth="1"/>
    <col min="13" max="13" width="10" style="348" customWidth="1"/>
    <col min="14" max="14" width="8.67188" style="348" customWidth="1"/>
    <col min="15" max="15" width="9.67188" style="348" customWidth="1"/>
    <col min="16" max="16" width="11.5" style="348" customWidth="1"/>
    <col min="17" max="17" width="11.6719" style="348" customWidth="1"/>
    <col min="18" max="18" width="12.3516" style="348" customWidth="1"/>
    <col min="19" max="19" width="10.8516" style="348" customWidth="1"/>
    <col min="20" max="20" width="15.1719" style="348" customWidth="1"/>
    <col min="21" max="23" width="10.8516" style="348" customWidth="1"/>
    <col min="24" max="24" width="12.1719" style="348" customWidth="1"/>
    <col min="25" max="25" width="14" style="348" customWidth="1"/>
    <col min="26" max="26" width="12.1719" style="348" customWidth="1"/>
    <col min="27" max="30" width="16.5" style="348" customWidth="1"/>
    <col min="31" max="31" width="14.6719" style="348" customWidth="1"/>
    <col min="32" max="32" width="10.8516" style="348" customWidth="1"/>
    <col min="33" max="33" width="11" style="348" customWidth="1"/>
    <col min="34" max="34" width="11.1719" style="348" customWidth="1"/>
    <col min="35" max="35" width="7.85156" style="348" customWidth="1"/>
    <col min="36" max="37" width="10.8516" style="348" customWidth="1"/>
    <col min="38" max="38" width="7.35156" style="348" customWidth="1"/>
    <col min="39" max="39" width="10.8516" style="348" customWidth="1"/>
    <col min="40" max="40" width="9.17188" style="348" customWidth="1"/>
    <col min="41" max="41" width="10.8516" style="348" customWidth="1"/>
    <col min="42" max="42" width="12.5" style="348" customWidth="1"/>
    <col min="43" max="43" width="13" style="348" customWidth="1"/>
    <col min="44" max="55" width="10.8516" style="348" customWidth="1"/>
    <col min="56" max="16384" width="10.8516" style="348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90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7.5" customHeight="1">
      <c r="A3" t="s" s="110">
        <v>1759</v>
      </c>
      <c r="B3" s="111">
        <v>1921</v>
      </c>
      <c r="C3" s="112">
        <v>1</v>
      </c>
      <c r="D3" t="s" s="83">
        <v>1760</v>
      </c>
      <c r="E3" s="74"/>
      <c r="F3" s="62"/>
      <c r="G3" t="s" s="98">
        <v>698</v>
      </c>
      <c r="H3" t="s" s="98">
        <v>193</v>
      </c>
      <c r="I3" s="97">
        <v>1</v>
      </c>
      <c r="J3" t="s" s="98">
        <v>37</v>
      </c>
      <c r="K3" s="97">
        <v>1</v>
      </c>
      <c r="L3" s="62"/>
      <c r="M3" s="62"/>
      <c r="N3" s="79">
        <v>1</v>
      </c>
      <c r="O3" s="62"/>
      <c r="P3" s="62"/>
      <c r="Q3" s="62"/>
      <c r="R3" s="62"/>
      <c r="S3" s="62"/>
      <c r="T3" s="79">
        <v>70</v>
      </c>
      <c r="U3" s="16"/>
      <c r="V3" s="16"/>
      <c r="W3" s="62"/>
      <c r="X3" s="117"/>
      <c r="Y3" s="121"/>
      <c r="Z3" s="30"/>
      <c r="AA3" t="s" s="153">
        <v>34</v>
      </c>
      <c r="AB3" s="117"/>
      <c r="AC3" s="30"/>
      <c r="AD3" s="30"/>
      <c r="AE3" s="30"/>
      <c r="AF3" s="112">
        <v>1</v>
      </c>
      <c r="AG3" t="s" s="82">
        <v>1761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1759</v>
      </c>
      <c r="B4" s="112">
        <v>1921</v>
      </c>
      <c r="C4" s="112">
        <v>1</v>
      </c>
      <c r="D4" t="s" s="83">
        <v>1760</v>
      </c>
      <c r="E4" s="74"/>
      <c r="F4" s="16"/>
      <c r="G4" t="s" s="96">
        <v>698</v>
      </c>
      <c r="H4" t="s" s="96">
        <v>95</v>
      </c>
      <c r="I4" s="79">
        <v>2</v>
      </c>
      <c r="J4" s="79">
        <v>1</v>
      </c>
      <c r="K4" s="16"/>
      <c r="L4" s="16"/>
      <c r="M4" s="16"/>
      <c r="N4" t="s" s="96">
        <v>72</v>
      </c>
      <c r="O4" s="79">
        <v>1</v>
      </c>
      <c r="P4" s="16"/>
      <c r="Q4" s="16"/>
      <c r="R4" s="16"/>
      <c r="S4" s="16"/>
      <c r="T4" s="79">
        <v>75</v>
      </c>
      <c r="U4" s="16"/>
      <c r="V4" s="16"/>
      <c r="W4" s="16"/>
      <c r="X4" s="75"/>
      <c r="Y4" s="121"/>
      <c r="Z4" s="30"/>
      <c r="AA4" t="s" s="157">
        <v>34</v>
      </c>
      <c r="AB4" s="75"/>
      <c r="AC4" s="121"/>
      <c r="AD4" s="30"/>
      <c r="AE4" s="30"/>
      <c r="AF4" s="112">
        <v>1</v>
      </c>
      <c r="AG4" t="s" s="159">
        <v>1762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1759</v>
      </c>
      <c r="B5" s="112">
        <v>1921</v>
      </c>
      <c r="C5" s="112">
        <v>1</v>
      </c>
      <c r="D5" t="s" s="83">
        <v>1760</v>
      </c>
      <c r="E5" s="74"/>
      <c r="F5" s="16"/>
      <c r="G5" t="s" s="96">
        <v>698</v>
      </c>
      <c r="H5" t="s" s="96">
        <v>704</v>
      </c>
      <c r="I5" s="79">
        <v>3</v>
      </c>
      <c r="J5" s="79">
        <v>1</v>
      </c>
      <c r="K5" s="16"/>
      <c r="L5" s="16"/>
      <c r="M5" s="16"/>
      <c r="N5" t="s" s="96">
        <v>78</v>
      </c>
      <c r="O5" s="16"/>
      <c r="P5" s="79">
        <v>1</v>
      </c>
      <c r="Q5" s="16"/>
      <c r="R5" s="16"/>
      <c r="S5" s="16"/>
      <c r="T5" s="79">
        <v>38</v>
      </c>
      <c r="U5" s="16"/>
      <c r="V5" s="16"/>
      <c r="W5" s="16"/>
      <c r="X5" s="75"/>
      <c r="Y5" s="121"/>
      <c r="Z5" s="30"/>
      <c r="AA5" t="s" s="157">
        <v>1763</v>
      </c>
      <c r="AB5" s="75"/>
      <c r="AC5" s="118">
        <v>1</v>
      </c>
      <c r="AD5" s="30"/>
      <c r="AE5" s="30"/>
      <c r="AF5" s="30"/>
      <c r="AG5" t="s" s="159">
        <v>791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s="30"/>
      <c r="B6" s="30"/>
      <c r="C6" s="30"/>
      <c r="D6" s="30"/>
      <c r="E6" s="74"/>
      <c r="F6" s="16"/>
      <c r="G6" s="16"/>
      <c r="H6" s="79">
        <v>3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75"/>
      <c r="Y6" s="121"/>
      <c r="Z6" s="30"/>
      <c r="AA6" s="74"/>
      <c r="AB6" s="75"/>
      <c r="AC6" s="121"/>
      <c r="AD6" s="30"/>
      <c r="AE6" s="30"/>
      <c r="AF6" s="30"/>
      <c r="AG6" s="122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1759</v>
      </c>
      <c r="B7" s="112">
        <v>1921</v>
      </c>
      <c r="C7" s="112">
        <v>2</v>
      </c>
      <c r="D7" t="s" s="83">
        <v>1760</v>
      </c>
      <c r="E7" s="74"/>
      <c r="F7" s="16"/>
      <c r="G7" t="s" s="96">
        <v>1</v>
      </c>
      <c r="H7" t="s" s="96">
        <v>0</v>
      </c>
      <c r="I7" s="16"/>
      <c r="J7" t="s" s="96">
        <v>3</v>
      </c>
      <c r="K7" s="16"/>
      <c r="L7" s="16"/>
      <c r="M7" s="16"/>
      <c r="N7" t="s" s="96">
        <v>2</v>
      </c>
      <c r="O7" s="16"/>
      <c r="P7" s="16"/>
      <c r="Q7" s="16"/>
      <c r="R7" s="16"/>
      <c r="S7" s="16"/>
      <c r="T7" t="s" s="96">
        <v>5</v>
      </c>
      <c r="U7" s="16"/>
      <c r="V7" s="16"/>
      <c r="W7" s="16"/>
      <c r="X7" s="75"/>
      <c r="Y7" s="121"/>
      <c r="Z7" s="30"/>
      <c r="AA7" t="s" s="157">
        <v>7</v>
      </c>
      <c r="AB7" t="s" s="158">
        <v>8</v>
      </c>
      <c r="AC7" s="121"/>
      <c r="AD7" s="30"/>
      <c r="AE7" s="30"/>
      <c r="AF7" s="30"/>
      <c r="AG7" t="s" s="159">
        <v>6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1759</v>
      </c>
      <c r="B8" s="112">
        <v>1921</v>
      </c>
      <c r="C8" s="112">
        <v>2</v>
      </c>
      <c r="D8" t="s" s="83">
        <v>1760</v>
      </c>
      <c r="E8" t="s" s="157">
        <v>1764</v>
      </c>
      <c r="F8" s="79">
        <v>1</v>
      </c>
      <c r="G8" t="s" s="96">
        <v>141</v>
      </c>
      <c r="H8" t="s" s="96">
        <v>1765</v>
      </c>
      <c r="I8" s="79">
        <v>4</v>
      </c>
      <c r="J8" t="s" s="96">
        <v>37</v>
      </c>
      <c r="K8" s="79">
        <v>1</v>
      </c>
      <c r="L8" s="16"/>
      <c r="M8" s="16"/>
      <c r="N8" s="79">
        <v>1</v>
      </c>
      <c r="O8" s="16"/>
      <c r="P8" s="16"/>
      <c r="Q8" s="16"/>
      <c r="R8" s="16"/>
      <c r="S8" s="16"/>
      <c r="T8" s="79">
        <v>28</v>
      </c>
      <c r="U8" s="16"/>
      <c r="V8" s="16"/>
      <c r="W8" s="16"/>
      <c r="X8" s="75"/>
      <c r="Y8" s="121"/>
      <c r="Z8" s="30"/>
      <c r="AA8" t="s" s="157">
        <v>1766</v>
      </c>
      <c r="AB8" t="s" s="158">
        <v>1767</v>
      </c>
      <c r="AC8" s="112">
        <v>1</v>
      </c>
      <c r="AD8" s="30"/>
      <c r="AE8" s="30"/>
      <c r="AF8" s="30"/>
      <c r="AG8" t="s" s="159">
        <v>183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1759</v>
      </c>
      <c r="B9" s="112">
        <v>1921</v>
      </c>
      <c r="C9" s="112">
        <v>2</v>
      </c>
      <c r="D9" t="s" s="83">
        <v>1760</v>
      </c>
      <c r="E9" t="s" s="157">
        <v>1764</v>
      </c>
      <c r="F9" s="79">
        <v>1</v>
      </c>
      <c r="G9" t="s" s="96">
        <v>1768</v>
      </c>
      <c r="H9" t="s" s="96">
        <v>1621</v>
      </c>
      <c r="I9" s="79">
        <v>5</v>
      </c>
      <c r="J9" t="s" s="96">
        <v>37</v>
      </c>
      <c r="K9" s="79">
        <v>1</v>
      </c>
      <c r="L9" s="16"/>
      <c r="M9" s="16"/>
      <c r="N9" t="s" s="96">
        <v>34</v>
      </c>
      <c r="O9" s="16"/>
      <c r="P9" s="16"/>
      <c r="Q9" s="16"/>
      <c r="R9" s="79">
        <v>1</v>
      </c>
      <c r="S9" s="16"/>
      <c r="T9" s="79">
        <v>56</v>
      </c>
      <c r="U9" s="16"/>
      <c r="V9" s="16"/>
      <c r="W9" s="16"/>
      <c r="X9" s="75"/>
      <c r="Y9" s="121"/>
      <c r="Z9" s="30"/>
      <c r="AA9" t="s" s="157">
        <v>1769</v>
      </c>
      <c r="AB9" t="s" s="158">
        <v>1767</v>
      </c>
      <c r="AC9" s="118">
        <v>1</v>
      </c>
      <c r="AD9" s="30"/>
      <c r="AE9" s="30"/>
      <c r="AF9" s="30"/>
      <c r="AG9" t="s" s="159">
        <v>1770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s="30"/>
      <c r="B10" s="30"/>
      <c r="C10" s="30"/>
      <c r="D10" s="30"/>
      <c r="E10" s="74"/>
      <c r="F10" s="16"/>
      <c r="G10" s="16"/>
      <c r="H10" s="79">
        <v>2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75"/>
      <c r="Y10" s="121"/>
      <c r="Z10" s="30"/>
      <c r="AA10" s="74"/>
      <c r="AB10" s="75"/>
      <c r="AC10" s="121"/>
      <c r="AD10" s="30"/>
      <c r="AE10" s="30"/>
      <c r="AF10" s="30"/>
      <c r="AG10" s="122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" customHeight="1">
      <c r="A11" t="s" s="83">
        <v>1759</v>
      </c>
      <c r="B11" s="112">
        <v>1921</v>
      </c>
      <c r="C11" s="112">
        <v>3</v>
      </c>
      <c r="D11" t="s" s="83">
        <v>1760</v>
      </c>
      <c r="E11" s="74"/>
      <c r="F11" s="16"/>
      <c r="G11" t="s" s="96">
        <v>1</v>
      </c>
      <c r="H11" t="s" s="96">
        <v>0</v>
      </c>
      <c r="I11" s="16"/>
      <c r="J11" t="s" s="96">
        <v>3</v>
      </c>
      <c r="K11" s="16"/>
      <c r="L11" s="16"/>
      <c r="M11" s="16"/>
      <c r="N11" t="s" s="96">
        <v>2</v>
      </c>
      <c r="O11" s="16"/>
      <c r="P11" s="16"/>
      <c r="Q11" s="16"/>
      <c r="R11" s="16"/>
      <c r="S11" s="16"/>
      <c r="T11" t="s" s="96">
        <v>5</v>
      </c>
      <c r="U11" s="16"/>
      <c r="V11" s="16"/>
      <c r="W11" s="16"/>
      <c r="X11" s="75"/>
      <c r="Y11" s="112" cm="1">
        <f t="array" ref="Y11">SUM(Y3:Y10)</f>
        <v>0</v>
      </c>
      <c r="Z11" s="112" cm="1">
        <f t="array" ref="Z11">SUM(Z3:Z10)</f>
        <v>0</v>
      </c>
      <c r="AA11" t="s" s="157">
        <v>7</v>
      </c>
      <c r="AB11" t="s" s="158">
        <v>8</v>
      </c>
      <c r="AC11" s="112" cm="1">
        <f t="array" ref="AC11">SUM(AC3:AC10)</f>
        <v>3</v>
      </c>
      <c r="AD11" s="112" cm="1">
        <f t="array" ref="AD11">SUM(AD3:AD10)</f>
        <v>0</v>
      </c>
      <c r="AE11" s="30"/>
      <c r="AF11" s="30"/>
      <c r="AG11" t="s" s="159">
        <v>6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.5" customHeight="1">
      <c r="A12" t="s" s="83">
        <v>1759</v>
      </c>
      <c r="B12" s="112">
        <v>1921</v>
      </c>
      <c r="C12" s="112">
        <v>3</v>
      </c>
      <c r="D12" t="s" s="83">
        <v>1760</v>
      </c>
      <c r="E12" s="74"/>
      <c r="F12" s="79">
        <v>2</v>
      </c>
      <c r="G12" t="s" s="96">
        <v>1771</v>
      </c>
      <c r="H12" t="s" s="96">
        <v>792</v>
      </c>
      <c r="I12" s="79">
        <v>6</v>
      </c>
      <c r="J12" t="s" s="96">
        <v>37</v>
      </c>
      <c r="K12" s="79">
        <v>1</v>
      </c>
      <c r="L12" s="16"/>
      <c r="M12" s="16"/>
      <c r="N12" s="79">
        <v>1</v>
      </c>
      <c r="O12" s="16"/>
      <c r="P12" s="16"/>
      <c r="Q12" s="16"/>
      <c r="R12" s="16"/>
      <c r="S12" s="16"/>
      <c r="T12" s="79">
        <v>58</v>
      </c>
      <c r="U12" s="16"/>
      <c r="V12" s="16"/>
      <c r="W12" s="16"/>
      <c r="X12" s="75"/>
      <c r="Y12" s="121"/>
      <c r="Z12" s="30"/>
      <c r="AA12" t="s" s="157">
        <v>589</v>
      </c>
      <c r="AB12" t="s" s="158">
        <v>1708</v>
      </c>
      <c r="AC12" s="121"/>
      <c r="AD12" s="30"/>
      <c r="AE12" s="30"/>
      <c r="AF12" s="112">
        <v>1</v>
      </c>
      <c r="AG12" t="s" s="159">
        <v>489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1759</v>
      </c>
      <c r="B13" s="112">
        <v>1921</v>
      </c>
      <c r="C13" s="112">
        <v>3</v>
      </c>
      <c r="D13" t="s" s="83">
        <v>1760</v>
      </c>
      <c r="E13" s="74"/>
      <c r="F13" s="79">
        <v>2</v>
      </c>
      <c r="G13" t="s" s="96">
        <v>1771</v>
      </c>
      <c r="H13" t="s" s="96">
        <v>792</v>
      </c>
      <c r="I13" s="79">
        <v>7</v>
      </c>
      <c r="J13" t="s" s="96">
        <v>37</v>
      </c>
      <c r="K13" s="79">
        <v>1</v>
      </c>
      <c r="L13" s="16"/>
      <c r="M13" s="16"/>
      <c r="N13" t="s" s="96">
        <v>36</v>
      </c>
      <c r="O13" s="16"/>
      <c r="P13" s="16"/>
      <c r="Q13" s="79">
        <v>1</v>
      </c>
      <c r="R13" s="16"/>
      <c r="S13" s="16"/>
      <c r="T13" s="79">
        <v>34</v>
      </c>
      <c r="U13" s="16"/>
      <c r="V13" s="16"/>
      <c r="W13" s="16"/>
      <c r="X13" s="75"/>
      <c r="Y13" s="121"/>
      <c r="Z13" s="30"/>
      <c r="AA13" t="s" s="157">
        <v>1772</v>
      </c>
      <c r="AB13" t="s" s="158">
        <v>603</v>
      </c>
      <c r="AC13" s="118">
        <v>1</v>
      </c>
      <c r="AD13" s="30"/>
      <c r="AE13" s="30"/>
      <c r="AF13" s="112">
        <v>1</v>
      </c>
      <c r="AG13" t="s" s="159">
        <v>489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1759</v>
      </c>
      <c r="B14" s="112">
        <v>1921</v>
      </c>
      <c r="C14" s="112">
        <v>3</v>
      </c>
      <c r="D14" t="s" s="83">
        <v>1760</v>
      </c>
      <c r="E14" s="74"/>
      <c r="F14" s="79">
        <v>2</v>
      </c>
      <c r="G14" t="s" s="96">
        <v>1771</v>
      </c>
      <c r="H14" t="s" s="96">
        <v>1773</v>
      </c>
      <c r="I14" s="79">
        <v>8</v>
      </c>
      <c r="J14" s="79">
        <v>1</v>
      </c>
      <c r="K14" s="16"/>
      <c r="L14" s="16"/>
      <c r="M14" s="16"/>
      <c r="N14" t="s" s="96">
        <v>78</v>
      </c>
      <c r="O14" s="16"/>
      <c r="P14" s="79">
        <v>1</v>
      </c>
      <c r="Q14" s="16"/>
      <c r="R14" s="16"/>
      <c r="S14" s="16"/>
      <c r="T14" s="79">
        <v>26</v>
      </c>
      <c r="U14" s="16"/>
      <c r="V14" s="16"/>
      <c r="W14" s="16"/>
      <c r="X14" s="75"/>
      <c r="Y14" s="125"/>
      <c r="Z14" s="28"/>
      <c r="AA14" t="s" s="157">
        <v>1774</v>
      </c>
      <c r="AB14" t="s" s="158">
        <v>34</v>
      </c>
      <c r="AC14" s="125"/>
      <c r="AD14" s="28"/>
      <c r="AE14" s="30"/>
      <c r="AF14" s="112">
        <v>1</v>
      </c>
      <c r="AG14" t="s" s="159">
        <v>489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28" customHeight="1">
      <c r="A15" t="s" s="83">
        <v>1759</v>
      </c>
      <c r="B15" s="112">
        <v>1921</v>
      </c>
      <c r="C15" s="112">
        <v>3</v>
      </c>
      <c r="D15" t="s" s="83">
        <v>1760</v>
      </c>
      <c r="E15" s="74"/>
      <c r="F15" s="79">
        <v>2</v>
      </c>
      <c r="G15" t="s" s="96">
        <v>1417</v>
      </c>
      <c r="H15" t="s" s="96">
        <v>1125</v>
      </c>
      <c r="I15" s="79">
        <v>9</v>
      </c>
      <c r="J15" t="s" s="96">
        <v>37</v>
      </c>
      <c r="K15" s="79">
        <v>1</v>
      </c>
      <c r="L15" s="16"/>
      <c r="M15" s="16"/>
      <c r="N15" t="s" s="96">
        <v>1775</v>
      </c>
      <c r="O15" s="16"/>
      <c r="P15" s="16"/>
      <c r="Q15" s="16"/>
      <c r="R15" s="79">
        <v>1</v>
      </c>
      <c r="S15" s="16"/>
      <c r="T15" s="79">
        <v>65</v>
      </c>
      <c r="U15" s="16"/>
      <c r="V15" s="16"/>
      <c r="W15" s="16"/>
      <c r="X15" s="16"/>
      <c r="Y15" s="347"/>
      <c r="Z15" s="28"/>
      <c r="AA15" t="s" s="157">
        <v>1776</v>
      </c>
      <c r="AB15" t="s" s="96">
        <v>1777</v>
      </c>
      <c r="AC15" s="349">
        <v>1</v>
      </c>
      <c r="AD15" s="124"/>
      <c r="AE15" s="30"/>
      <c r="AF15" s="112">
        <v>1</v>
      </c>
      <c r="AG15" t="s" s="159">
        <v>54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s="30"/>
      <c r="B16" s="30"/>
      <c r="C16" s="30"/>
      <c r="D16" s="30"/>
      <c r="E16" s="74"/>
      <c r="F16" s="16"/>
      <c r="G16" s="16"/>
      <c r="H16" s="79">
        <v>4</v>
      </c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75"/>
      <c r="Y16" s="147"/>
      <c r="Z16" s="30"/>
      <c r="AA16" s="74"/>
      <c r="AB16" s="75"/>
      <c r="AC16" s="147"/>
      <c r="AD16" s="30"/>
      <c r="AE16" s="30"/>
      <c r="AF16" s="30"/>
      <c r="AG16" s="122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1759</v>
      </c>
      <c r="B17" s="112">
        <v>1921</v>
      </c>
      <c r="C17" s="112">
        <v>4</v>
      </c>
      <c r="D17" t="s" s="83">
        <v>1760</v>
      </c>
      <c r="E17" s="74"/>
      <c r="F17" s="16"/>
      <c r="G17" t="s" s="96">
        <v>1</v>
      </c>
      <c r="H17" t="s" s="96">
        <v>0</v>
      </c>
      <c r="I17" s="16"/>
      <c r="J17" t="s" s="96">
        <v>3</v>
      </c>
      <c r="K17" s="16"/>
      <c r="L17" s="16"/>
      <c r="M17" s="16"/>
      <c r="N17" t="s" s="96">
        <v>2</v>
      </c>
      <c r="O17" s="16"/>
      <c r="P17" s="16"/>
      <c r="Q17" s="16"/>
      <c r="R17" s="16"/>
      <c r="S17" s="16"/>
      <c r="T17" t="s" s="96">
        <v>5</v>
      </c>
      <c r="U17" s="16"/>
      <c r="V17" s="16"/>
      <c r="W17" s="16"/>
      <c r="X17" s="75"/>
      <c r="Y17" s="121"/>
      <c r="Z17" s="30"/>
      <c r="AA17" t="s" s="157">
        <v>7</v>
      </c>
      <c r="AB17" t="s" s="158">
        <v>8</v>
      </c>
      <c r="AC17" s="30"/>
      <c r="AD17" s="30"/>
      <c r="AE17" s="30"/>
      <c r="AF17" s="30"/>
      <c r="AG17" t="s" s="159">
        <v>6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1759</v>
      </c>
      <c r="B18" s="112">
        <v>1921</v>
      </c>
      <c r="C18" s="112">
        <v>4</v>
      </c>
      <c r="D18" t="s" s="83">
        <v>1760</v>
      </c>
      <c r="E18" s="74"/>
      <c r="F18" s="79">
        <v>3</v>
      </c>
      <c r="G18" t="s" s="96">
        <v>1778</v>
      </c>
      <c r="H18" t="s" s="96">
        <v>1621</v>
      </c>
      <c r="I18" s="79">
        <v>10</v>
      </c>
      <c r="J18" t="s" s="96">
        <v>37</v>
      </c>
      <c r="K18" s="79">
        <v>1</v>
      </c>
      <c r="L18" s="16"/>
      <c r="M18" s="16"/>
      <c r="N18" s="79">
        <v>1</v>
      </c>
      <c r="O18" s="16"/>
      <c r="P18" s="16"/>
      <c r="Q18" s="16"/>
      <c r="R18" s="16"/>
      <c r="S18" s="16"/>
      <c r="T18" s="79">
        <v>55</v>
      </c>
      <c r="U18" s="16"/>
      <c r="V18" s="16"/>
      <c r="W18" s="16"/>
      <c r="X18" s="75"/>
      <c r="Y18" s="121"/>
      <c r="Z18" s="30"/>
      <c r="AA18" t="s" s="157">
        <v>1779</v>
      </c>
      <c r="AB18" t="s" s="158">
        <v>1780</v>
      </c>
      <c r="AC18" s="118">
        <v>1</v>
      </c>
      <c r="AD18" s="30"/>
      <c r="AE18" s="30"/>
      <c r="AF18" s="112">
        <v>1</v>
      </c>
      <c r="AG18" t="s" s="159">
        <v>1781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1759</v>
      </c>
      <c r="B19" s="112">
        <v>1921</v>
      </c>
      <c r="C19" s="112">
        <v>4</v>
      </c>
      <c r="D19" t="s" s="83">
        <v>1760</v>
      </c>
      <c r="E19" s="74"/>
      <c r="F19" s="79">
        <v>3</v>
      </c>
      <c r="G19" t="s" s="96">
        <v>1778</v>
      </c>
      <c r="H19" t="s" s="96">
        <v>1782</v>
      </c>
      <c r="I19" s="79">
        <v>11</v>
      </c>
      <c r="J19" s="79">
        <v>1</v>
      </c>
      <c r="K19" s="16"/>
      <c r="L19" s="16"/>
      <c r="M19" s="16"/>
      <c r="N19" t="s" s="96">
        <v>72</v>
      </c>
      <c r="O19" s="79">
        <v>1</v>
      </c>
      <c r="P19" s="16"/>
      <c r="Q19" s="16"/>
      <c r="R19" s="16"/>
      <c r="S19" s="16"/>
      <c r="T19" s="79">
        <v>54</v>
      </c>
      <c r="U19" s="16"/>
      <c r="V19" s="16"/>
      <c r="W19" s="16"/>
      <c r="X19" s="75"/>
      <c r="Y19" s="121"/>
      <c r="Z19" s="30"/>
      <c r="AA19" t="s" s="157">
        <v>33</v>
      </c>
      <c r="AB19" t="s" s="158">
        <v>34</v>
      </c>
      <c r="AC19" s="121"/>
      <c r="AD19" s="30"/>
      <c r="AE19" s="30"/>
      <c r="AF19" s="30"/>
      <c r="AG19" t="s" s="159">
        <v>1783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1759</v>
      </c>
      <c r="B20" s="112">
        <v>1921</v>
      </c>
      <c r="C20" s="112">
        <v>4</v>
      </c>
      <c r="D20" t="s" s="83">
        <v>1760</v>
      </c>
      <c r="E20" s="74"/>
      <c r="F20" s="79">
        <v>3</v>
      </c>
      <c r="G20" t="s" s="96">
        <v>1778</v>
      </c>
      <c r="H20" t="s" s="96">
        <v>1784</v>
      </c>
      <c r="I20" s="79">
        <v>12</v>
      </c>
      <c r="J20" t="s" s="96">
        <v>37</v>
      </c>
      <c r="K20" s="79">
        <v>1</v>
      </c>
      <c r="L20" s="16"/>
      <c r="M20" s="16"/>
      <c r="N20" t="s" s="96">
        <v>36</v>
      </c>
      <c r="O20" s="16"/>
      <c r="P20" s="16"/>
      <c r="Q20" s="79">
        <v>1</v>
      </c>
      <c r="R20" s="16"/>
      <c r="S20" s="16"/>
      <c r="T20" s="79">
        <v>28</v>
      </c>
      <c r="U20" s="16"/>
      <c r="V20" s="16"/>
      <c r="W20" s="16"/>
      <c r="X20" s="75"/>
      <c r="Y20" s="121"/>
      <c r="Z20" s="30"/>
      <c r="AA20" t="s" s="157">
        <v>1785</v>
      </c>
      <c r="AB20" t="s" s="158">
        <v>1786</v>
      </c>
      <c r="AC20" s="112">
        <v>1</v>
      </c>
      <c r="AD20" s="30"/>
      <c r="AE20" s="30"/>
      <c r="AF20" s="112">
        <v>1</v>
      </c>
      <c r="AG20" t="s" s="159">
        <v>13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1759</v>
      </c>
      <c r="B21" s="112">
        <v>1921</v>
      </c>
      <c r="C21" s="112">
        <v>4</v>
      </c>
      <c r="D21" t="s" s="83">
        <v>1760</v>
      </c>
      <c r="E21" s="74"/>
      <c r="F21" s="79">
        <v>3</v>
      </c>
      <c r="G21" t="s" s="96">
        <v>1787</v>
      </c>
      <c r="H21" t="s" s="96">
        <v>1788</v>
      </c>
      <c r="I21" s="79">
        <v>13</v>
      </c>
      <c r="J21" t="s" s="96">
        <v>37</v>
      </c>
      <c r="K21" s="79">
        <v>1</v>
      </c>
      <c r="L21" s="16"/>
      <c r="M21" s="16"/>
      <c r="N21" t="s" s="96">
        <v>1789</v>
      </c>
      <c r="O21" s="16"/>
      <c r="P21" s="16"/>
      <c r="Q21" s="16"/>
      <c r="R21" s="79">
        <v>1</v>
      </c>
      <c r="S21" s="16"/>
      <c r="T21" s="79">
        <v>27</v>
      </c>
      <c r="U21" s="16"/>
      <c r="V21" s="16"/>
      <c r="W21" s="16"/>
      <c r="X21" s="75"/>
      <c r="Y21" s="121"/>
      <c r="Z21" s="30"/>
      <c r="AA21" t="s" s="157">
        <v>1790</v>
      </c>
      <c r="AB21" t="s" s="158">
        <v>1791</v>
      </c>
      <c r="AC21" s="112">
        <v>1</v>
      </c>
      <c r="AD21" s="30"/>
      <c r="AE21" s="30"/>
      <c r="AF21" s="112">
        <v>1</v>
      </c>
      <c r="AG21" t="s" s="159">
        <v>13</v>
      </c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1759</v>
      </c>
      <c r="B22" s="112">
        <v>1921</v>
      </c>
      <c r="C22" s="112">
        <v>4</v>
      </c>
      <c r="D22" t="s" s="83">
        <v>1760</v>
      </c>
      <c r="E22" s="74"/>
      <c r="F22" s="79">
        <v>3</v>
      </c>
      <c r="G22" t="s" s="96">
        <v>1787</v>
      </c>
      <c r="H22" t="s" s="96">
        <v>1792</v>
      </c>
      <c r="I22" s="79">
        <v>14</v>
      </c>
      <c r="J22" s="79">
        <v>1</v>
      </c>
      <c r="K22" s="16"/>
      <c r="L22" s="16"/>
      <c r="M22" s="16"/>
      <c r="N22" t="s" s="96">
        <v>78</v>
      </c>
      <c r="O22" s="16"/>
      <c r="P22" s="79">
        <v>1</v>
      </c>
      <c r="Q22" s="16"/>
      <c r="R22" s="16"/>
      <c r="S22" s="16"/>
      <c r="T22" s="79">
        <v>27</v>
      </c>
      <c r="U22" s="16"/>
      <c r="V22" s="16"/>
      <c r="W22" s="16"/>
      <c r="X22" s="75"/>
      <c r="Y22" s="121"/>
      <c r="Z22" s="30"/>
      <c r="AA22" t="s" s="157">
        <v>33</v>
      </c>
      <c r="AB22" t="s" s="158">
        <v>34</v>
      </c>
      <c r="AC22" s="30"/>
      <c r="AD22" s="30"/>
      <c r="AE22" s="30"/>
      <c r="AF22" s="112">
        <v>1</v>
      </c>
      <c r="AG22" t="s" s="159">
        <v>13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1759</v>
      </c>
      <c r="B23" s="112">
        <v>1921</v>
      </c>
      <c r="C23" s="112">
        <v>4</v>
      </c>
      <c r="D23" t="s" s="83">
        <v>1760</v>
      </c>
      <c r="E23" s="74"/>
      <c r="F23" s="79">
        <v>3</v>
      </c>
      <c r="G23" t="s" s="96">
        <v>1787</v>
      </c>
      <c r="H23" t="s" s="96">
        <v>1793</v>
      </c>
      <c r="I23" s="79">
        <v>15</v>
      </c>
      <c r="J23" t="s" s="96">
        <v>12</v>
      </c>
      <c r="K23" s="16"/>
      <c r="L23" s="79">
        <v>1</v>
      </c>
      <c r="M23" s="16"/>
      <c r="N23" t="s" s="96">
        <v>1794</v>
      </c>
      <c r="O23" s="16"/>
      <c r="P23" s="16"/>
      <c r="Q23" s="16"/>
      <c r="R23" s="79">
        <v>1</v>
      </c>
      <c r="S23" s="16"/>
      <c r="T23" s="79">
        <v>3</v>
      </c>
      <c r="U23" s="16"/>
      <c r="V23" s="16"/>
      <c r="W23" s="16"/>
      <c r="X23" s="75"/>
      <c r="Y23" s="121"/>
      <c r="Z23" s="30"/>
      <c r="AA23" t="s" s="157">
        <v>34</v>
      </c>
      <c r="AB23" t="s" s="158">
        <v>34</v>
      </c>
      <c r="AC23" s="30"/>
      <c r="AD23" s="30"/>
      <c r="AE23" s="30"/>
      <c r="AF23" s="112">
        <v>1</v>
      </c>
      <c r="AG23" t="s" s="159">
        <v>13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" customHeight="1">
      <c r="A24" t="s" s="83">
        <v>1759</v>
      </c>
      <c r="B24" s="112">
        <v>1921</v>
      </c>
      <c r="C24" s="112">
        <v>4</v>
      </c>
      <c r="D24" t="s" s="83">
        <v>1760</v>
      </c>
      <c r="E24" s="74"/>
      <c r="F24" s="79">
        <v>3</v>
      </c>
      <c r="G24" t="s" s="96">
        <v>1787</v>
      </c>
      <c r="H24" t="s" s="96">
        <v>1795</v>
      </c>
      <c r="I24" s="79">
        <v>16</v>
      </c>
      <c r="J24" t="s" s="96">
        <v>37</v>
      </c>
      <c r="K24" s="16"/>
      <c r="L24" s="16"/>
      <c r="M24" s="79">
        <v>1</v>
      </c>
      <c r="N24" t="s" s="96">
        <v>826</v>
      </c>
      <c r="O24" s="16"/>
      <c r="P24" s="16"/>
      <c r="Q24" s="16"/>
      <c r="R24" s="79">
        <v>1</v>
      </c>
      <c r="S24" s="16"/>
      <c r="T24" s="79">
        <v>1</v>
      </c>
      <c r="U24" s="16"/>
      <c r="V24" s="16"/>
      <c r="W24" s="16"/>
      <c r="X24" s="75"/>
      <c r="Y24" s="30"/>
      <c r="Z24" s="30"/>
      <c r="AA24" t="s" s="157">
        <v>34</v>
      </c>
      <c r="AB24" t="s" s="158">
        <v>34</v>
      </c>
      <c r="AC24" s="30"/>
      <c r="AD24" s="30"/>
      <c r="AE24" s="30"/>
      <c r="AF24" s="112">
        <v>1</v>
      </c>
      <c r="AG24" t="s" s="159">
        <v>13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t="s" s="83">
        <v>1759</v>
      </c>
      <c r="B25" s="112">
        <v>1921</v>
      </c>
      <c r="C25" s="112">
        <v>4</v>
      </c>
      <c r="D25" t="s" s="83">
        <v>1760</v>
      </c>
      <c r="E25" s="74"/>
      <c r="F25" s="79">
        <v>3</v>
      </c>
      <c r="G25" t="s" s="96">
        <v>1787</v>
      </c>
      <c r="H25" t="s" s="96">
        <v>1796</v>
      </c>
      <c r="I25" s="79">
        <v>17</v>
      </c>
      <c r="J25" t="s" s="96">
        <v>37</v>
      </c>
      <c r="K25" s="16"/>
      <c r="L25" s="16"/>
      <c r="M25" s="79">
        <v>1</v>
      </c>
      <c r="N25" t="s" s="96">
        <v>826</v>
      </c>
      <c r="O25" s="16"/>
      <c r="P25" s="16"/>
      <c r="Q25" s="16"/>
      <c r="R25" s="79">
        <v>1</v>
      </c>
      <c r="S25" s="16"/>
      <c r="T25" t="s" s="96">
        <v>34</v>
      </c>
      <c r="U25" s="16"/>
      <c r="V25" s="16"/>
      <c r="W25" s="16"/>
      <c r="X25" s="75"/>
      <c r="Y25" s="121"/>
      <c r="Z25" s="30"/>
      <c r="AA25" t="s" s="157">
        <v>34</v>
      </c>
      <c r="AB25" t="s" s="158">
        <v>34</v>
      </c>
      <c r="AC25" s="30"/>
      <c r="AD25" s="30"/>
      <c r="AE25" s="30"/>
      <c r="AF25" s="112">
        <v>1</v>
      </c>
      <c r="AG25" t="s" s="159">
        <v>13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74"/>
      <c r="F26" s="16"/>
      <c r="G26" s="16"/>
      <c r="H26" s="79">
        <v>8</v>
      </c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75"/>
      <c r="Y26" s="121"/>
      <c r="Z26" s="30"/>
      <c r="AA26" s="74"/>
      <c r="AB26" s="75"/>
      <c r="AC26" s="30"/>
      <c r="AD26" s="30"/>
      <c r="AE26" s="30"/>
      <c r="AF26" s="30"/>
      <c r="AG26" s="122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1759</v>
      </c>
      <c r="B27" s="112">
        <v>1921</v>
      </c>
      <c r="C27" s="112">
        <v>5</v>
      </c>
      <c r="D27" t="s" s="83">
        <v>1760</v>
      </c>
      <c r="E27" s="74"/>
      <c r="F27" s="16"/>
      <c r="G27" t="s" s="96">
        <v>1</v>
      </c>
      <c r="H27" t="s" s="96">
        <v>0</v>
      </c>
      <c r="I27" s="16"/>
      <c r="J27" t="s" s="96">
        <v>3</v>
      </c>
      <c r="K27" s="16"/>
      <c r="L27" s="16"/>
      <c r="M27" s="16"/>
      <c r="N27" t="s" s="96">
        <v>2</v>
      </c>
      <c r="O27" s="16"/>
      <c r="P27" s="16"/>
      <c r="Q27" s="16"/>
      <c r="R27" s="16"/>
      <c r="S27" s="16"/>
      <c r="T27" t="s" s="96">
        <v>5</v>
      </c>
      <c r="U27" s="16"/>
      <c r="V27" s="16"/>
      <c r="W27" s="16"/>
      <c r="X27" s="75"/>
      <c r="Y27" s="121"/>
      <c r="Z27" s="30"/>
      <c r="AA27" t="s" s="157">
        <v>7</v>
      </c>
      <c r="AB27" t="s" s="158">
        <v>8</v>
      </c>
      <c r="AC27" s="30"/>
      <c r="AD27" s="30"/>
      <c r="AE27" s="30"/>
      <c r="AF27" s="30"/>
      <c r="AG27" t="s" s="159">
        <v>6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t="s" s="83">
        <v>1759</v>
      </c>
      <c r="B28" s="112">
        <v>1921</v>
      </c>
      <c r="C28" s="112">
        <v>5</v>
      </c>
      <c r="D28" t="s" s="83">
        <v>1760</v>
      </c>
      <c r="E28" s="74"/>
      <c r="F28" s="79">
        <v>4</v>
      </c>
      <c r="G28" t="s" s="96">
        <v>616</v>
      </c>
      <c r="H28" t="s" s="96">
        <v>1797</v>
      </c>
      <c r="I28" s="79">
        <v>18</v>
      </c>
      <c r="J28" t="s" s="96">
        <v>37</v>
      </c>
      <c r="K28" s="79">
        <v>1</v>
      </c>
      <c r="L28" s="16"/>
      <c r="M28" s="16"/>
      <c r="N28" s="79">
        <v>1</v>
      </c>
      <c r="O28" s="16"/>
      <c r="P28" s="16"/>
      <c r="Q28" s="16"/>
      <c r="R28" s="16"/>
      <c r="S28" s="16"/>
      <c r="T28" s="79">
        <v>34</v>
      </c>
      <c r="U28" s="16"/>
      <c r="V28" s="16"/>
      <c r="W28" s="16"/>
      <c r="X28" s="75"/>
      <c r="Y28" s="121"/>
      <c r="Z28" s="30"/>
      <c r="AA28" t="s" s="157">
        <v>1798</v>
      </c>
      <c r="AB28" t="s" s="158">
        <v>1799</v>
      </c>
      <c r="AC28" s="112">
        <v>1</v>
      </c>
      <c r="AD28" s="30"/>
      <c r="AE28" s="30"/>
      <c r="AF28" s="112">
        <v>1</v>
      </c>
      <c r="AG28" t="s" s="159">
        <v>13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1759</v>
      </c>
      <c r="B29" s="112">
        <v>1921</v>
      </c>
      <c r="C29" s="112">
        <v>5</v>
      </c>
      <c r="D29" t="s" s="83">
        <v>1760</v>
      </c>
      <c r="E29" s="74"/>
      <c r="F29" s="79">
        <v>4</v>
      </c>
      <c r="G29" t="s" s="96">
        <v>616</v>
      </c>
      <c r="H29" t="s" s="96">
        <v>1800</v>
      </c>
      <c r="I29" s="79">
        <v>19</v>
      </c>
      <c r="J29" s="79">
        <v>1</v>
      </c>
      <c r="K29" s="16"/>
      <c r="L29" s="16"/>
      <c r="M29" s="16"/>
      <c r="N29" t="s" s="96">
        <v>72</v>
      </c>
      <c r="O29" s="79">
        <v>1</v>
      </c>
      <c r="P29" s="16"/>
      <c r="Q29" s="16"/>
      <c r="R29" s="16"/>
      <c r="S29" s="16"/>
      <c r="T29" s="79">
        <v>29</v>
      </c>
      <c r="U29" s="16"/>
      <c r="V29" s="16"/>
      <c r="W29" s="16"/>
      <c r="X29" s="75"/>
      <c r="Y29" s="121"/>
      <c r="Z29" s="30"/>
      <c r="AA29" t="s" s="157">
        <v>909</v>
      </c>
      <c r="AB29" t="s" s="158">
        <v>34</v>
      </c>
      <c r="AC29" s="30"/>
      <c r="AD29" s="30"/>
      <c r="AE29" s="30"/>
      <c r="AF29" s="112">
        <v>1</v>
      </c>
      <c r="AG29" t="s" s="159">
        <v>13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3">
        <v>1759</v>
      </c>
      <c r="B30" s="112">
        <v>1921</v>
      </c>
      <c r="C30" s="112">
        <v>5</v>
      </c>
      <c r="D30" t="s" s="83">
        <v>1760</v>
      </c>
      <c r="E30" s="74"/>
      <c r="F30" s="79">
        <v>4</v>
      </c>
      <c r="G30" t="s" s="96">
        <v>616</v>
      </c>
      <c r="H30" t="s" s="96">
        <v>112</v>
      </c>
      <c r="I30" s="79">
        <v>20</v>
      </c>
      <c r="J30" t="s" s="96">
        <v>12</v>
      </c>
      <c r="K30" s="16"/>
      <c r="L30" s="79">
        <v>1</v>
      </c>
      <c r="M30" s="16"/>
      <c r="N30" t="s" s="96">
        <v>78</v>
      </c>
      <c r="O30" s="16"/>
      <c r="P30" s="79">
        <v>1</v>
      </c>
      <c r="Q30" s="16"/>
      <c r="R30" s="16"/>
      <c r="S30" s="16"/>
      <c r="T30" s="79">
        <v>1</v>
      </c>
      <c r="U30" s="16"/>
      <c r="V30" s="16"/>
      <c r="W30" s="16"/>
      <c r="X30" s="75"/>
      <c r="Y30" s="121"/>
      <c r="Z30" s="30"/>
      <c r="AA30" t="s" s="157">
        <v>34</v>
      </c>
      <c r="AB30" t="s" s="158">
        <v>34</v>
      </c>
      <c r="AC30" s="30"/>
      <c r="AD30" s="30"/>
      <c r="AE30" s="30"/>
      <c r="AF30" s="112">
        <v>1</v>
      </c>
      <c r="AG30" t="s" s="159">
        <v>13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74"/>
      <c r="F31" s="16"/>
      <c r="G31" s="16"/>
      <c r="H31" s="79">
        <v>3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75"/>
      <c r="Y31" s="121"/>
      <c r="Z31" s="30"/>
      <c r="AA31" s="74"/>
      <c r="AB31" s="75"/>
      <c r="AC31" s="30"/>
      <c r="AD31" s="30"/>
      <c r="AE31" s="30"/>
      <c r="AF31" s="30"/>
      <c r="AG31" s="122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" customHeight="1">
      <c r="A32" t="s" s="83">
        <v>1759</v>
      </c>
      <c r="B32" s="112">
        <v>1921</v>
      </c>
      <c r="C32" s="112">
        <v>6</v>
      </c>
      <c r="D32" t="s" s="83">
        <v>1760</v>
      </c>
      <c r="E32" s="74"/>
      <c r="F32" s="16"/>
      <c r="G32" t="s" s="96">
        <v>1</v>
      </c>
      <c r="H32" t="s" s="96">
        <v>0</v>
      </c>
      <c r="I32" s="16"/>
      <c r="J32" t="s" s="96">
        <v>3</v>
      </c>
      <c r="K32" s="16"/>
      <c r="L32" s="16"/>
      <c r="M32" s="16"/>
      <c r="N32" t="s" s="96">
        <v>2</v>
      </c>
      <c r="O32" s="16"/>
      <c r="P32" s="16"/>
      <c r="Q32" s="16"/>
      <c r="R32" s="16"/>
      <c r="S32" s="16"/>
      <c r="T32" t="s" s="96">
        <v>5</v>
      </c>
      <c r="U32" s="16"/>
      <c r="V32" s="16"/>
      <c r="W32" s="16"/>
      <c r="X32" s="75"/>
      <c r="Y32" s="112" cm="1">
        <f t="array" ref="Y32">SUM(Y3:Y31)</f>
        <v>0</v>
      </c>
      <c r="Z32" s="112" cm="1">
        <f t="array" ref="Z32">SUM(Z3:Z31)</f>
        <v>0</v>
      </c>
      <c r="AA32" t="s" s="157">
        <v>7</v>
      </c>
      <c r="AB32" t="s" s="158">
        <v>8</v>
      </c>
      <c r="AC32" s="112" cm="1">
        <f t="array" ref="AC32">SUM(AC3:AC31)</f>
        <v>12</v>
      </c>
      <c r="AD32" s="112" cm="1">
        <f t="array" ref="AD32">SUM(AD3:AD31)</f>
        <v>0</v>
      </c>
      <c r="AE32" s="30"/>
      <c r="AF32" s="30"/>
      <c r="AG32" t="s" s="159">
        <v>6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t="s" s="83">
        <v>1759</v>
      </c>
      <c r="B33" s="112">
        <v>1921</v>
      </c>
      <c r="C33" s="112">
        <v>6</v>
      </c>
      <c r="D33" t="s" s="83">
        <v>1760</v>
      </c>
      <c r="E33" s="74"/>
      <c r="F33" s="79">
        <v>5</v>
      </c>
      <c r="G33" t="s" s="96">
        <v>1801</v>
      </c>
      <c r="H33" t="s" s="96">
        <v>1802</v>
      </c>
      <c r="I33" s="79">
        <v>21</v>
      </c>
      <c r="J33" s="16"/>
      <c r="K33" s="79">
        <v>1</v>
      </c>
      <c r="L33" s="16"/>
      <c r="M33" s="16"/>
      <c r="N33" s="79">
        <v>1</v>
      </c>
      <c r="O33" s="16"/>
      <c r="P33" s="16"/>
      <c r="Q33" s="16"/>
      <c r="R33" s="16"/>
      <c r="S33" s="16"/>
      <c r="T33" s="79">
        <v>80</v>
      </c>
      <c r="U33" s="16"/>
      <c r="V33" s="16"/>
      <c r="W33" s="16"/>
      <c r="X33" s="75"/>
      <c r="Y33" s="30"/>
      <c r="Z33" s="30"/>
      <c r="AA33" t="s" s="157">
        <v>1803</v>
      </c>
      <c r="AB33" t="s" s="158">
        <v>1804</v>
      </c>
      <c r="AC33" s="87">
        <v>1</v>
      </c>
      <c r="AD33" s="30"/>
      <c r="AE33" s="30"/>
      <c r="AF33" s="30"/>
      <c r="AG33" t="s" s="159">
        <v>1805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t="s" s="83">
        <v>1759</v>
      </c>
      <c r="B34" s="112">
        <v>1921</v>
      </c>
      <c r="C34" s="112">
        <v>6</v>
      </c>
      <c r="D34" t="s" s="83">
        <v>1760</v>
      </c>
      <c r="E34" s="74"/>
      <c r="F34" s="79">
        <v>5</v>
      </c>
      <c r="G34" t="s" s="96">
        <v>1801</v>
      </c>
      <c r="H34" t="s" s="96">
        <v>704</v>
      </c>
      <c r="I34" s="79">
        <v>22</v>
      </c>
      <c r="J34" s="79">
        <v>1</v>
      </c>
      <c r="K34" s="16"/>
      <c r="L34" s="16"/>
      <c r="M34" s="16"/>
      <c r="N34" t="s" s="96">
        <v>78</v>
      </c>
      <c r="O34" s="16"/>
      <c r="P34" s="79">
        <v>1</v>
      </c>
      <c r="Q34" s="16"/>
      <c r="R34" s="16"/>
      <c r="S34" s="16"/>
      <c r="T34" s="79">
        <v>52</v>
      </c>
      <c r="U34" s="16"/>
      <c r="V34" s="16"/>
      <c r="W34" s="16"/>
      <c r="X34" s="75"/>
      <c r="Y34" s="130"/>
      <c r="Z34" s="30"/>
      <c r="AA34" t="s" s="157">
        <v>1806</v>
      </c>
      <c r="AB34" t="s" s="158">
        <v>1807</v>
      </c>
      <c r="AC34" s="87">
        <v>1</v>
      </c>
      <c r="AD34" s="30"/>
      <c r="AE34" s="30"/>
      <c r="AF34" s="112">
        <v>1</v>
      </c>
      <c r="AG34" t="s" s="159">
        <v>13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t="s" s="83">
        <v>1759</v>
      </c>
      <c r="B35" s="112">
        <v>1921</v>
      </c>
      <c r="C35" s="112">
        <v>6</v>
      </c>
      <c r="D35" t="s" s="83">
        <v>1760</v>
      </c>
      <c r="E35" s="74"/>
      <c r="F35" s="79">
        <v>5</v>
      </c>
      <c r="G35" t="s" s="96">
        <v>1801</v>
      </c>
      <c r="H35" t="s" s="96">
        <v>1808</v>
      </c>
      <c r="I35" s="79">
        <v>23</v>
      </c>
      <c r="J35" s="79">
        <v>1</v>
      </c>
      <c r="K35" s="16"/>
      <c r="L35" s="16"/>
      <c r="M35" s="16"/>
      <c r="N35" t="s" s="96">
        <v>78</v>
      </c>
      <c r="O35" s="16"/>
      <c r="P35" s="79">
        <v>1</v>
      </c>
      <c r="Q35" s="16"/>
      <c r="R35" s="16"/>
      <c r="S35" s="16"/>
      <c r="T35" s="79">
        <v>43</v>
      </c>
      <c r="U35" s="16"/>
      <c r="V35" s="16"/>
      <c r="W35" s="16"/>
      <c r="X35" s="75"/>
      <c r="Y35" s="121"/>
      <c r="Z35" s="30"/>
      <c r="AA35" t="s" s="157">
        <v>1809</v>
      </c>
      <c r="AB35" t="s" s="158">
        <v>1807</v>
      </c>
      <c r="AC35" s="112">
        <v>1</v>
      </c>
      <c r="AD35" s="30"/>
      <c r="AE35" s="30"/>
      <c r="AF35" s="112">
        <v>1</v>
      </c>
      <c r="AG35" t="s" s="159">
        <v>1581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" customHeight="1">
      <c r="A36" t="s" s="83">
        <v>1759</v>
      </c>
      <c r="B36" s="112">
        <v>1921</v>
      </c>
      <c r="C36" s="112">
        <v>6</v>
      </c>
      <c r="D36" t="s" s="83">
        <v>1760</v>
      </c>
      <c r="E36" s="74"/>
      <c r="F36" s="79">
        <v>5</v>
      </c>
      <c r="G36" t="s" s="96">
        <v>1810</v>
      </c>
      <c r="H36" t="s" s="96">
        <v>132</v>
      </c>
      <c r="I36" s="79">
        <v>24</v>
      </c>
      <c r="J36" s="79">
        <v>1</v>
      </c>
      <c r="K36" s="16"/>
      <c r="L36" s="16"/>
      <c r="M36" s="16"/>
      <c r="N36" t="s" s="96">
        <v>11</v>
      </c>
      <c r="O36" s="16"/>
      <c r="P36" s="16"/>
      <c r="Q36" s="16"/>
      <c r="R36" s="16"/>
      <c r="S36" s="79">
        <v>1</v>
      </c>
      <c r="T36" s="79">
        <v>28</v>
      </c>
      <c r="U36" s="16"/>
      <c r="V36" s="16"/>
      <c r="W36" s="16"/>
      <c r="X36" s="75"/>
      <c r="Y36" s="130"/>
      <c r="Z36" s="30"/>
      <c r="AA36" t="s" s="157">
        <v>105</v>
      </c>
      <c r="AB36" t="s" s="158">
        <v>15</v>
      </c>
      <c r="AC36" s="112">
        <v>1</v>
      </c>
      <c r="AD36" s="134"/>
      <c r="AE36" s="30"/>
      <c r="AF36" s="30"/>
      <c r="AG36" t="s" s="159">
        <v>1110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s="30"/>
      <c r="B37" s="30"/>
      <c r="C37" s="30"/>
      <c r="D37" s="30"/>
      <c r="E37" s="74"/>
      <c r="F37" s="16"/>
      <c r="G37" s="16"/>
      <c r="H37" s="79">
        <v>4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75"/>
      <c r="Y37" s="121"/>
      <c r="Z37" s="30"/>
      <c r="AA37" s="74"/>
      <c r="AB37" s="75"/>
      <c r="AC37" s="30"/>
      <c r="AD37" s="30"/>
      <c r="AE37" s="30"/>
      <c r="AF37" s="30"/>
      <c r="AG37" s="122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t="s" s="83">
        <v>1759</v>
      </c>
      <c r="B38" s="112">
        <v>1921</v>
      </c>
      <c r="C38" s="112">
        <v>7</v>
      </c>
      <c r="D38" t="s" s="83">
        <v>1760</v>
      </c>
      <c r="E38" s="74"/>
      <c r="F38" s="16"/>
      <c r="G38" t="s" s="96">
        <v>1</v>
      </c>
      <c r="H38" t="s" s="96">
        <v>0</v>
      </c>
      <c r="I38" s="16"/>
      <c r="J38" t="s" s="96">
        <v>3</v>
      </c>
      <c r="K38" s="16"/>
      <c r="L38" s="16"/>
      <c r="M38" s="16"/>
      <c r="N38" t="s" s="96">
        <v>2</v>
      </c>
      <c r="O38" s="16"/>
      <c r="P38" s="16"/>
      <c r="Q38" s="16"/>
      <c r="R38" s="16"/>
      <c r="S38" s="16"/>
      <c r="T38" t="s" s="96">
        <v>5</v>
      </c>
      <c r="U38" s="16"/>
      <c r="V38" s="16"/>
      <c r="W38" s="16"/>
      <c r="X38" s="16"/>
      <c r="Y38" s="350"/>
      <c r="Z38" s="62"/>
      <c r="AA38" t="s" s="96">
        <v>7</v>
      </c>
      <c r="AB38" t="s" s="96">
        <v>8</v>
      </c>
      <c r="AC38" s="62"/>
      <c r="AD38" s="62"/>
      <c r="AE38" s="62"/>
      <c r="AF38" s="62"/>
      <c r="AG38" t="s" s="96">
        <v>6</v>
      </c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16"/>
      <c r="BA38" s="16"/>
      <c r="BB38" s="16"/>
      <c r="BC38" s="16"/>
    </row>
    <row r="39" ht="17.5" customHeight="1">
      <c r="A39" t="s" s="83">
        <v>1759</v>
      </c>
      <c r="B39" s="112">
        <v>1921</v>
      </c>
      <c r="C39" s="112">
        <v>7</v>
      </c>
      <c r="D39" t="s" s="83">
        <v>1760</v>
      </c>
      <c r="E39" s="74"/>
      <c r="F39" s="79">
        <v>6</v>
      </c>
      <c r="G39" t="s" s="96">
        <v>1811</v>
      </c>
      <c r="H39" t="s" s="96">
        <v>1812</v>
      </c>
      <c r="I39" s="79">
        <v>25</v>
      </c>
      <c r="J39" t="s" s="96">
        <v>37</v>
      </c>
      <c r="K39" s="79">
        <v>1</v>
      </c>
      <c r="L39" s="16"/>
      <c r="M39" s="16"/>
      <c r="N39" s="79">
        <v>1</v>
      </c>
      <c r="O39" s="16"/>
      <c r="P39" s="16"/>
      <c r="Q39" s="16"/>
      <c r="R39" s="16"/>
      <c r="S39" s="16"/>
      <c r="T39" s="79">
        <v>40</v>
      </c>
      <c r="U39" s="16"/>
      <c r="V39" s="16"/>
      <c r="W39" s="16"/>
      <c r="X39" s="16"/>
      <c r="Y39" s="302"/>
      <c r="Z39" s="16"/>
      <c r="AA39" t="s" s="96">
        <v>1813</v>
      </c>
      <c r="AB39" t="s" s="96">
        <v>1814</v>
      </c>
      <c r="AC39" s="79">
        <v>1</v>
      </c>
      <c r="AD39" s="16"/>
      <c r="AE39" s="16"/>
      <c r="AF39" s="79">
        <v>1</v>
      </c>
      <c r="AG39" t="s" s="96">
        <v>13</v>
      </c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</row>
    <row r="40" ht="17.5" customHeight="1">
      <c r="A40" t="s" s="83">
        <v>1759</v>
      </c>
      <c r="B40" s="112">
        <v>1921</v>
      </c>
      <c r="C40" s="112">
        <v>7</v>
      </c>
      <c r="D40" t="s" s="83">
        <v>1760</v>
      </c>
      <c r="E40" s="74"/>
      <c r="F40" s="79">
        <v>6</v>
      </c>
      <c r="G40" t="s" s="96">
        <v>1811</v>
      </c>
      <c r="H40" t="s" s="96">
        <v>1815</v>
      </c>
      <c r="I40" s="79">
        <v>26</v>
      </c>
      <c r="J40" s="79">
        <v>1</v>
      </c>
      <c r="K40" s="16"/>
      <c r="L40" s="16"/>
      <c r="M40" s="16"/>
      <c r="N40" t="s" s="96">
        <v>72</v>
      </c>
      <c r="O40" s="79">
        <v>1</v>
      </c>
      <c r="P40" s="16"/>
      <c r="Q40" s="16"/>
      <c r="R40" s="16"/>
      <c r="S40" s="16"/>
      <c r="T40" s="79">
        <v>37</v>
      </c>
      <c r="U40" s="16"/>
      <c r="V40" s="16"/>
      <c r="W40" s="16"/>
      <c r="X40" s="16"/>
      <c r="Y40" s="302"/>
      <c r="Z40" s="16"/>
      <c r="AA40" t="s" s="96">
        <v>33</v>
      </c>
      <c r="AB40" t="s" s="96">
        <v>34</v>
      </c>
      <c r="AC40" s="16"/>
      <c r="AD40" s="16"/>
      <c r="AE40" s="16"/>
      <c r="AF40" s="79">
        <v>1</v>
      </c>
      <c r="AG40" t="s" s="96">
        <v>13</v>
      </c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7.5" customHeight="1">
      <c r="A41" t="s" s="83">
        <v>1759</v>
      </c>
      <c r="B41" s="112">
        <v>1921</v>
      </c>
      <c r="C41" s="112">
        <v>7</v>
      </c>
      <c r="D41" t="s" s="83">
        <v>1760</v>
      </c>
      <c r="E41" s="74"/>
      <c r="F41" s="79">
        <v>6</v>
      </c>
      <c r="G41" t="s" s="96">
        <v>1811</v>
      </c>
      <c r="H41" t="s" s="96">
        <v>1816</v>
      </c>
      <c r="I41" s="79">
        <v>27</v>
      </c>
      <c r="J41" t="s" s="96">
        <v>37</v>
      </c>
      <c r="K41" s="79">
        <v>1</v>
      </c>
      <c r="L41" s="16"/>
      <c r="M41" s="16"/>
      <c r="N41" t="s" s="96">
        <v>36</v>
      </c>
      <c r="O41" s="16"/>
      <c r="P41" s="16"/>
      <c r="Q41" s="79">
        <v>1</v>
      </c>
      <c r="R41" s="16"/>
      <c r="S41" s="16"/>
      <c r="T41" s="79">
        <v>16</v>
      </c>
      <c r="U41" s="16"/>
      <c r="V41" s="16"/>
      <c r="W41" s="16"/>
      <c r="X41" s="16"/>
      <c r="Y41" s="302"/>
      <c r="Z41" s="16"/>
      <c r="AA41" t="s" s="96">
        <v>1785</v>
      </c>
      <c r="AB41" t="s" s="96">
        <v>1817</v>
      </c>
      <c r="AC41" s="79">
        <v>1</v>
      </c>
      <c r="AD41" s="16"/>
      <c r="AE41" s="16"/>
      <c r="AF41" s="79">
        <v>1</v>
      </c>
      <c r="AG41" t="s" s="96">
        <v>13</v>
      </c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7.5" customHeight="1">
      <c r="A42" t="s" s="83">
        <v>1759</v>
      </c>
      <c r="B42" s="112">
        <v>1921</v>
      </c>
      <c r="C42" s="112">
        <v>7</v>
      </c>
      <c r="D42" t="s" s="83">
        <v>1760</v>
      </c>
      <c r="E42" s="74"/>
      <c r="F42" s="79">
        <v>6</v>
      </c>
      <c r="G42" t="s" s="96">
        <v>1811</v>
      </c>
      <c r="H42" t="s" s="96">
        <v>1818</v>
      </c>
      <c r="I42" s="79">
        <v>28</v>
      </c>
      <c r="J42" t="s" s="96">
        <v>37</v>
      </c>
      <c r="K42" s="16"/>
      <c r="L42" s="16"/>
      <c r="M42" s="79">
        <v>1</v>
      </c>
      <c r="N42" t="s" s="96">
        <v>36</v>
      </c>
      <c r="O42" s="16"/>
      <c r="P42" s="16"/>
      <c r="Q42" s="79">
        <v>1</v>
      </c>
      <c r="R42" s="16"/>
      <c r="S42" s="16"/>
      <c r="T42" s="79">
        <v>14</v>
      </c>
      <c r="U42" s="16"/>
      <c r="V42" s="16"/>
      <c r="W42" s="16"/>
      <c r="X42" s="16"/>
      <c r="Y42" s="302"/>
      <c r="Z42" s="16"/>
      <c r="AA42" t="s" s="96">
        <v>34</v>
      </c>
      <c r="AB42" t="s" s="96">
        <v>34</v>
      </c>
      <c r="AC42" s="16"/>
      <c r="AD42" s="16"/>
      <c r="AE42" s="16"/>
      <c r="AF42" s="79">
        <v>1</v>
      </c>
      <c r="AG42" t="s" s="96">
        <v>1709</v>
      </c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7.5" customHeight="1">
      <c r="A43" t="s" s="83">
        <v>1759</v>
      </c>
      <c r="B43" s="112">
        <v>1921</v>
      </c>
      <c r="C43" s="112">
        <v>7</v>
      </c>
      <c r="D43" t="s" s="83">
        <v>1760</v>
      </c>
      <c r="E43" s="74"/>
      <c r="F43" s="79">
        <v>6</v>
      </c>
      <c r="G43" t="s" s="96">
        <v>1811</v>
      </c>
      <c r="H43" t="s" s="96">
        <v>1819</v>
      </c>
      <c r="I43" s="79">
        <v>29</v>
      </c>
      <c r="J43" t="s" s="96">
        <v>37</v>
      </c>
      <c r="K43" s="16"/>
      <c r="L43" s="16"/>
      <c r="M43" s="79">
        <v>1</v>
      </c>
      <c r="N43" t="s" s="96">
        <v>36</v>
      </c>
      <c r="O43" s="16"/>
      <c r="P43" s="16"/>
      <c r="Q43" s="79">
        <v>1</v>
      </c>
      <c r="R43" s="16"/>
      <c r="S43" s="16"/>
      <c r="T43" s="79">
        <v>13</v>
      </c>
      <c r="U43" s="16"/>
      <c r="V43" s="16"/>
      <c r="W43" s="16"/>
      <c r="X43" s="16"/>
      <c r="Y43" s="302"/>
      <c r="Z43" s="16"/>
      <c r="AA43" t="s" s="96">
        <v>34</v>
      </c>
      <c r="AB43" t="s" s="96">
        <v>34</v>
      </c>
      <c r="AC43" s="16"/>
      <c r="AD43" s="16"/>
      <c r="AE43" s="16"/>
      <c r="AF43" s="79">
        <v>1</v>
      </c>
      <c r="AG43" t="s" s="96">
        <v>988</v>
      </c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</row>
    <row r="44" ht="17.5" customHeight="1">
      <c r="A44" t="s" s="83">
        <v>1759</v>
      </c>
      <c r="B44" s="112">
        <v>1921</v>
      </c>
      <c r="C44" s="112">
        <v>7</v>
      </c>
      <c r="D44" t="s" s="83">
        <v>1760</v>
      </c>
      <c r="E44" s="74"/>
      <c r="F44" s="79">
        <v>6</v>
      </c>
      <c r="G44" t="s" s="96">
        <v>1811</v>
      </c>
      <c r="H44" t="s" s="96">
        <v>1820</v>
      </c>
      <c r="I44" s="79">
        <v>30</v>
      </c>
      <c r="J44" t="s" s="96">
        <v>37</v>
      </c>
      <c r="K44" s="16"/>
      <c r="L44" s="16"/>
      <c r="M44" s="79">
        <v>1</v>
      </c>
      <c r="N44" t="s" s="96">
        <v>36</v>
      </c>
      <c r="O44" s="16"/>
      <c r="P44" s="16"/>
      <c r="Q44" s="79">
        <v>1</v>
      </c>
      <c r="R44" s="16"/>
      <c r="S44" s="16"/>
      <c r="T44" s="79">
        <v>11</v>
      </c>
      <c r="U44" s="16"/>
      <c r="V44" s="16"/>
      <c r="W44" s="16"/>
      <c r="X44" s="16"/>
      <c r="Y44" s="302"/>
      <c r="Z44" s="16"/>
      <c r="AA44" t="s" s="96">
        <v>34</v>
      </c>
      <c r="AB44" t="s" s="96">
        <v>34</v>
      </c>
      <c r="AC44" s="16"/>
      <c r="AD44" s="16"/>
      <c r="AE44" s="16"/>
      <c r="AF44" s="79">
        <v>1</v>
      </c>
      <c r="AG44" t="s" s="96">
        <v>1709</v>
      </c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</row>
    <row r="45" ht="17.5" customHeight="1">
      <c r="A45" t="s" s="83">
        <v>1759</v>
      </c>
      <c r="B45" s="112">
        <v>1921</v>
      </c>
      <c r="C45" s="30"/>
      <c r="D45" t="s" s="83">
        <v>1760</v>
      </c>
      <c r="E45" s="74"/>
      <c r="F45" s="16"/>
      <c r="G45" s="16"/>
      <c r="H45" s="79">
        <v>6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302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</row>
    <row r="46" ht="17.5" customHeight="1">
      <c r="A46" t="s" s="83">
        <v>1759</v>
      </c>
      <c r="B46" s="112">
        <v>1921</v>
      </c>
      <c r="C46" s="30"/>
      <c r="D46" t="s" s="83">
        <v>1760</v>
      </c>
      <c r="E46" s="74"/>
      <c r="F46" s="16"/>
      <c r="G46" t="s" s="96">
        <v>1</v>
      </c>
      <c r="H46" t="s" s="96">
        <v>0</v>
      </c>
      <c r="I46" s="16"/>
      <c r="J46" t="s" s="96">
        <v>3</v>
      </c>
      <c r="K46" s="16"/>
      <c r="L46" s="16"/>
      <c r="M46" s="16"/>
      <c r="N46" t="s" s="96">
        <v>2</v>
      </c>
      <c r="O46" s="16"/>
      <c r="P46" s="16"/>
      <c r="Q46" s="16"/>
      <c r="R46" s="16"/>
      <c r="S46" s="16"/>
      <c r="T46" t="s" s="96">
        <v>5</v>
      </c>
      <c r="U46" s="16"/>
      <c r="V46" s="16"/>
      <c r="W46" s="16"/>
      <c r="X46" s="16"/>
      <c r="Y46" s="302"/>
      <c r="Z46" s="16"/>
      <c r="AA46" t="s" s="96">
        <v>7</v>
      </c>
      <c r="AB46" t="s" s="96">
        <v>8</v>
      </c>
      <c r="AC46" s="16"/>
      <c r="AD46" s="16"/>
      <c r="AE46" s="16"/>
      <c r="AF46" s="16"/>
      <c r="AG46" t="s" s="96">
        <v>6</v>
      </c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7.5" customHeight="1">
      <c r="A47" t="s" s="83">
        <v>1759</v>
      </c>
      <c r="B47" s="112">
        <v>1921</v>
      </c>
      <c r="C47" s="112">
        <v>8</v>
      </c>
      <c r="D47" t="s" s="83">
        <v>1760</v>
      </c>
      <c r="E47" s="74"/>
      <c r="F47" s="79">
        <v>7</v>
      </c>
      <c r="G47" t="s" s="96">
        <v>1821</v>
      </c>
      <c r="H47" t="s" s="96">
        <v>533</v>
      </c>
      <c r="I47" s="79">
        <v>31</v>
      </c>
      <c r="J47" t="s" s="96">
        <v>37</v>
      </c>
      <c r="K47" s="79">
        <v>1</v>
      </c>
      <c r="L47" s="16"/>
      <c r="M47" s="16"/>
      <c r="N47" s="79">
        <v>1</v>
      </c>
      <c r="O47" s="16"/>
      <c r="P47" s="16"/>
      <c r="Q47" s="16"/>
      <c r="R47" s="16"/>
      <c r="S47" s="16"/>
      <c r="T47" s="79">
        <v>37</v>
      </c>
      <c r="U47" s="16"/>
      <c r="V47" s="16"/>
      <c r="W47" s="16"/>
      <c r="X47" s="16"/>
      <c r="Y47" s="302"/>
      <c r="Z47" s="16"/>
      <c r="AA47" t="s" s="96">
        <v>1006</v>
      </c>
      <c r="AB47" t="s" s="96">
        <v>1822</v>
      </c>
      <c r="AC47" s="79">
        <v>1</v>
      </c>
      <c r="AD47" s="16"/>
      <c r="AE47" s="16"/>
      <c r="AF47" s="79">
        <v>1</v>
      </c>
      <c r="AG47" t="s" s="96">
        <v>986</v>
      </c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</row>
    <row r="48" ht="17.5" customHeight="1">
      <c r="A48" t="s" s="83">
        <v>1759</v>
      </c>
      <c r="B48" s="112">
        <v>1921</v>
      </c>
      <c r="C48" s="112">
        <v>8</v>
      </c>
      <c r="D48" t="s" s="83">
        <v>1760</v>
      </c>
      <c r="E48" s="74"/>
      <c r="F48" s="79">
        <v>7</v>
      </c>
      <c r="G48" t="s" s="96">
        <v>1821</v>
      </c>
      <c r="H48" t="s" s="96">
        <v>1823</v>
      </c>
      <c r="I48" s="79">
        <v>32</v>
      </c>
      <c r="J48" s="79">
        <v>1</v>
      </c>
      <c r="K48" s="16"/>
      <c r="L48" s="16"/>
      <c r="M48" s="16"/>
      <c r="N48" t="s" s="96">
        <v>72</v>
      </c>
      <c r="O48" s="79">
        <v>1</v>
      </c>
      <c r="P48" s="16"/>
      <c r="Q48" s="16"/>
      <c r="R48" s="16"/>
      <c r="S48" s="16"/>
      <c r="T48" s="79">
        <v>38</v>
      </c>
      <c r="U48" s="16"/>
      <c r="V48" s="16"/>
      <c r="W48" s="16"/>
      <c r="X48" s="16"/>
      <c r="Y48" s="302"/>
      <c r="Z48" s="16"/>
      <c r="AA48" t="s" s="96">
        <v>33</v>
      </c>
      <c r="AB48" t="s" s="96">
        <v>34</v>
      </c>
      <c r="AC48" s="16"/>
      <c r="AD48" s="16"/>
      <c r="AE48" s="16"/>
      <c r="AF48" s="16"/>
      <c r="AG48" t="s" s="96">
        <v>1824</v>
      </c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7.5" customHeight="1">
      <c r="A49" t="s" s="83">
        <v>1759</v>
      </c>
      <c r="B49" s="112">
        <v>1921</v>
      </c>
      <c r="C49" s="112">
        <v>8</v>
      </c>
      <c r="D49" t="s" s="83">
        <v>1760</v>
      </c>
      <c r="E49" s="74"/>
      <c r="F49" s="79">
        <v>7</v>
      </c>
      <c r="G49" t="s" s="96">
        <v>1821</v>
      </c>
      <c r="H49" t="s" s="96">
        <v>1825</v>
      </c>
      <c r="I49" s="79">
        <v>33</v>
      </c>
      <c r="J49" t="s" s="96">
        <v>37</v>
      </c>
      <c r="K49" s="16"/>
      <c r="L49" s="16"/>
      <c r="M49" s="79">
        <v>1</v>
      </c>
      <c r="N49" t="s" s="96">
        <v>36</v>
      </c>
      <c r="O49" s="16"/>
      <c r="P49" s="16"/>
      <c r="Q49" s="79">
        <v>1</v>
      </c>
      <c r="R49" s="16"/>
      <c r="S49" s="16"/>
      <c r="T49" s="79">
        <v>7</v>
      </c>
      <c r="U49" s="16"/>
      <c r="V49" s="16"/>
      <c r="W49" s="16"/>
      <c r="X49" s="16"/>
      <c r="Y49" s="302"/>
      <c r="Z49" s="16"/>
      <c r="AA49" t="s" s="96">
        <v>34</v>
      </c>
      <c r="AB49" t="s" s="96">
        <v>34</v>
      </c>
      <c r="AC49" s="16"/>
      <c r="AD49" s="16"/>
      <c r="AE49" s="16"/>
      <c r="AF49" s="79">
        <v>1</v>
      </c>
      <c r="AG49" t="s" s="96">
        <v>13</v>
      </c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7.5" customHeight="1">
      <c r="A50" t="s" s="83">
        <v>1759</v>
      </c>
      <c r="B50" s="112">
        <v>1921</v>
      </c>
      <c r="C50" s="112">
        <v>8</v>
      </c>
      <c r="D50" t="s" s="83">
        <v>1760</v>
      </c>
      <c r="E50" s="74"/>
      <c r="F50" s="79">
        <v>7</v>
      </c>
      <c r="G50" t="s" s="96">
        <v>1821</v>
      </c>
      <c r="H50" t="s" s="96">
        <v>1826</v>
      </c>
      <c r="I50" s="79">
        <v>34</v>
      </c>
      <c r="J50" t="s" s="96">
        <v>12</v>
      </c>
      <c r="K50" s="16"/>
      <c r="L50" s="79">
        <v>1</v>
      </c>
      <c r="M50" s="16"/>
      <c r="N50" t="s" s="96">
        <v>78</v>
      </c>
      <c r="O50" s="16"/>
      <c r="P50" s="79">
        <v>1</v>
      </c>
      <c r="Q50" s="16"/>
      <c r="R50" s="16"/>
      <c r="S50" s="16"/>
      <c r="T50" s="79">
        <v>3</v>
      </c>
      <c r="U50" s="16"/>
      <c r="V50" s="16"/>
      <c r="W50" s="16"/>
      <c r="X50" s="16"/>
      <c r="Y50" s="302"/>
      <c r="Z50" s="16"/>
      <c r="AA50" t="s" s="96">
        <v>34</v>
      </c>
      <c r="AB50" t="s" s="96">
        <v>34</v>
      </c>
      <c r="AC50" s="16"/>
      <c r="AD50" s="16"/>
      <c r="AE50" s="16"/>
      <c r="AF50" s="79">
        <v>1</v>
      </c>
      <c r="AG50" t="s" s="96">
        <v>13</v>
      </c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7.5" customHeight="1">
      <c r="A51" t="s" s="83">
        <v>1759</v>
      </c>
      <c r="B51" s="112">
        <v>1921</v>
      </c>
      <c r="C51" s="112">
        <v>8</v>
      </c>
      <c r="D51" t="s" s="83">
        <v>1760</v>
      </c>
      <c r="E51" s="74"/>
      <c r="F51" s="79">
        <v>7</v>
      </c>
      <c r="G51" t="s" s="96">
        <v>1827</v>
      </c>
      <c r="H51" t="s" s="96">
        <v>192</v>
      </c>
      <c r="I51" s="79">
        <v>35</v>
      </c>
      <c r="J51" s="79">
        <v>1</v>
      </c>
      <c r="K51" s="16"/>
      <c r="L51" s="16"/>
      <c r="M51" s="16"/>
      <c r="N51" t="s" s="96">
        <v>11</v>
      </c>
      <c r="O51" s="16"/>
      <c r="P51" s="16"/>
      <c r="Q51" s="16"/>
      <c r="R51" s="16"/>
      <c r="S51" s="79">
        <v>1</v>
      </c>
      <c r="T51" s="79">
        <v>29</v>
      </c>
      <c r="U51" s="16"/>
      <c r="V51" s="16"/>
      <c r="W51" s="16"/>
      <c r="X51" s="16"/>
      <c r="Y51" s="302"/>
      <c r="Z51" s="16"/>
      <c r="AA51" t="s" s="96">
        <v>105</v>
      </c>
      <c r="AB51" t="s" s="96">
        <v>15</v>
      </c>
      <c r="AC51" s="79">
        <v>1</v>
      </c>
      <c r="AD51" s="16"/>
      <c r="AE51" s="16"/>
      <c r="AF51" s="79">
        <v>1</v>
      </c>
      <c r="AG51" t="s" s="96">
        <v>25</v>
      </c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17.5" customHeight="1">
      <c r="A52" t="s" s="83">
        <v>1759</v>
      </c>
      <c r="B52" s="112">
        <v>1921</v>
      </c>
      <c r="C52" s="30"/>
      <c r="D52" t="s" s="83">
        <v>1760</v>
      </c>
      <c r="E52" s="74"/>
      <c r="F52" s="16"/>
      <c r="G52" s="16"/>
      <c r="H52" s="79">
        <v>5</v>
      </c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302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7.5" customHeight="1">
      <c r="A53" t="s" s="83">
        <v>1759</v>
      </c>
      <c r="B53" s="112">
        <v>1921</v>
      </c>
      <c r="C53" s="30"/>
      <c r="D53" t="s" s="83">
        <v>1760</v>
      </c>
      <c r="E53" s="74"/>
      <c r="F53" s="16"/>
      <c r="G53" t="s" s="96">
        <v>1</v>
      </c>
      <c r="H53" t="s" s="96">
        <v>0</v>
      </c>
      <c r="I53" s="16"/>
      <c r="J53" t="s" s="96">
        <v>3</v>
      </c>
      <c r="K53" s="16"/>
      <c r="L53" s="16"/>
      <c r="M53" s="16"/>
      <c r="N53" t="s" s="96">
        <v>2</v>
      </c>
      <c r="O53" s="16"/>
      <c r="P53" s="16"/>
      <c r="Q53" s="16"/>
      <c r="R53" s="16"/>
      <c r="S53" s="16"/>
      <c r="T53" t="s" s="96">
        <v>5</v>
      </c>
      <c r="U53" s="16"/>
      <c r="V53" s="16"/>
      <c r="W53" s="16"/>
      <c r="X53" s="16"/>
      <c r="Y53" s="302"/>
      <c r="Z53" s="16"/>
      <c r="AA53" t="s" s="96">
        <v>7</v>
      </c>
      <c r="AB53" t="s" s="96">
        <v>8</v>
      </c>
      <c r="AC53" s="16"/>
      <c r="AD53" s="16"/>
      <c r="AE53" s="16"/>
      <c r="AF53" s="16"/>
      <c r="AG53" t="s" s="96">
        <v>6</v>
      </c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17.5" customHeight="1">
      <c r="A54" t="s" s="83">
        <v>1759</v>
      </c>
      <c r="B54" s="112">
        <v>1921</v>
      </c>
      <c r="C54" s="112">
        <v>9</v>
      </c>
      <c r="D54" t="s" s="83">
        <v>1760</v>
      </c>
      <c r="E54" s="74"/>
      <c r="F54" s="79">
        <v>8</v>
      </c>
      <c r="G54" t="s" s="96">
        <v>120</v>
      </c>
      <c r="H54" t="s" s="96">
        <v>1828</v>
      </c>
      <c r="I54" s="79">
        <v>36</v>
      </c>
      <c r="J54" t="s" s="96">
        <v>37</v>
      </c>
      <c r="K54" s="79">
        <v>1</v>
      </c>
      <c r="L54" s="16"/>
      <c r="M54" s="16"/>
      <c r="N54" s="79">
        <v>1</v>
      </c>
      <c r="O54" s="16"/>
      <c r="P54" s="16"/>
      <c r="Q54" s="16"/>
      <c r="R54" s="16"/>
      <c r="S54" s="16"/>
      <c r="T54" s="79">
        <v>44</v>
      </c>
      <c r="U54" s="16"/>
      <c r="V54" s="16"/>
      <c r="W54" s="16"/>
      <c r="X54" s="16"/>
      <c r="Y54" s="302"/>
      <c r="Z54" s="16"/>
      <c r="AA54" t="s" s="96">
        <v>1829</v>
      </c>
      <c r="AB54" t="s" s="96">
        <v>1830</v>
      </c>
      <c r="AC54" s="79">
        <v>1</v>
      </c>
      <c r="AD54" s="16"/>
      <c r="AE54" s="16"/>
      <c r="AF54" s="16"/>
      <c r="AG54" t="s" s="96">
        <v>208</v>
      </c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17.5" customHeight="1">
      <c r="A55" t="s" s="83">
        <v>1759</v>
      </c>
      <c r="B55" s="112">
        <v>1921</v>
      </c>
      <c r="C55" s="112">
        <v>9</v>
      </c>
      <c r="D55" t="s" s="83">
        <v>1760</v>
      </c>
      <c r="E55" s="74"/>
      <c r="F55" s="79">
        <v>8</v>
      </c>
      <c r="G55" t="s" s="96">
        <v>120</v>
      </c>
      <c r="H55" t="s" s="96">
        <v>1831</v>
      </c>
      <c r="I55" s="79">
        <v>37</v>
      </c>
      <c r="J55" s="79">
        <v>1</v>
      </c>
      <c r="K55" s="16"/>
      <c r="L55" s="16"/>
      <c r="M55" s="16"/>
      <c r="N55" t="s" s="96">
        <v>72</v>
      </c>
      <c r="O55" s="79">
        <v>1</v>
      </c>
      <c r="P55" s="16"/>
      <c r="Q55" s="16"/>
      <c r="R55" s="16"/>
      <c r="S55" s="16"/>
      <c r="T55" s="79">
        <v>29</v>
      </c>
      <c r="U55" s="16"/>
      <c r="V55" s="16"/>
      <c r="W55" s="16"/>
      <c r="X55" s="16"/>
      <c r="Y55" s="302"/>
      <c r="Z55" s="16"/>
      <c r="AA55" t="s" s="96">
        <v>33</v>
      </c>
      <c r="AB55" t="s" s="96">
        <v>34</v>
      </c>
      <c r="AC55" s="16"/>
      <c r="AD55" s="16"/>
      <c r="AE55" s="16"/>
      <c r="AF55" s="16"/>
      <c r="AG55" t="s" s="96">
        <v>1832</v>
      </c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</row>
    <row r="56" ht="17.5" customHeight="1">
      <c r="A56" t="s" s="83">
        <v>1759</v>
      </c>
      <c r="B56" s="112">
        <v>1921</v>
      </c>
      <c r="C56" s="30"/>
      <c r="D56" t="s" s="83">
        <v>1760</v>
      </c>
      <c r="E56" s="74"/>
      <c r="F56" s="16"/>
      <c r="G56" s="16"/>
      <c r="H56" s="79">
        <v>2</v>
      </c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302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</row>
    <row r="57" ht="17.5" customHeight="1">
      <c r="A57" t="s" s="83">
        <v>1759</v>
      </c>
      <c r="B57" s="112">
        <v>1921</v>
      </c>
      <c r="C57" s="30"/>
      <c r="D57" t="s" s="83">
        <v>1760</v>
      </c>
      <c r="E57" s="192"/>
      <c r="F57" s="3"/>
      <c r="G57" t="s" s="2">
        <v>1</v>
      </c>
      <c r="H57" t="s" s="2">
        <v>0</v>
      </c>
      <c r="I57" s="3"/>
      <c r="J57" t="s" s="2">
        <v>3</v>
      </c>
      <c r="K57" s="3"/>
      <c r="L57" s="3"/>
      <c r="M57" s="3"/>
      <c r="N57" t="s" s="2">
        <v>2</v>
      </c>
      <c r="O57" s="3"/>
      <c r="P57" s="3"/>
      <c r="Q57" s="3"/>
      <c r="R57" s="3"/>
      <c r="S57" s="3"/>
      <c r="T57" t="s" s="2">
        <v>5</v>
      </c>
      <c r="U57" s="3"/>
      <c r="V57" s="3"/>
      <c r="W57" s="3"/>
      <c r="X57" s="3"/>
      <c r="Y57" s="351"/>
      <c r="Z57" s="3"/>
      <c r="AA57" t="s" s="2">
        <v>7</v>
      </c>
      <c r="AB57" t="s" s="2">
        <v>8</v>
      </c>
      <c r="AC57" s="3"/>
      <c r="AD57" s="3"/>
      <c r="AE57" s="3"/>
      <c r="AF57" s="3"/>
      <c r="AG57" t="s" s="2">
        <v>6</v>
      </c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</row>
    <row r="58" ht="17.5" customHeight="1">
      <c r="A58" t="s" s="83">
        <v>1759</v>
      </c>
      <c r="B58" s="112">
        <v>1921</v>
      </c>
      <c r="C58" s="112">
        <v>10</v>
      </c>
      <c r="D58" t="s" s="83">
        <v>1760</v>
      </c>
      <c r="E58" s="195"/>
      <c r="F58" s="6">
        <v>12</v>
      </c>
      <c r="G58" t="s" s="5">
        <v>1833</v>
      </c>
      <c r="H58" t="s" s="5">
        <v>1834</v>
      </c>
      <c r="I58" s="6">
        <v>38</v>
      </c>
      <c r="J58" s="6">
        <v>1</v>
      </c>
      <c r="K58" s="13"/>
      <c r="L58" s="13"/>
      <c r="M58" s="13"/>
      <c r="N58" s="6">
        <v>1</v>
      </c>
      <c r="O58" s="13"/>
      <c r="P58" s="13"/>
      <c r="Q58" s="13"/>
      <c r="R58" s="13"/>
      <c r="S58" s="13"/>
      <c r="T58" s="6">
        <v>66</v>
      </c>
      <c r="U58" s="13"/>
      <c r="V58" s="13"/>
      <c r="W58" s="13"/>
      <c r="X58" s="13"/>
      <c r="Y58" s="352"/>
      <c r="Z58" s="13"/>
      <c r="AA58" t="s" s="5">
        <v>34</v>
      </c>
      <c r="AB58" t="s" s="5">
        <v>34</v>
      </c>
      <c r="AC58" s="13"/>
      <c r="AD58" s="13"/>
      <c r="AE58" s="13"/>
      <c r="AF58" s="13"/>
      <c r="AG58" t="s" s="5">
        <v>1104</v>
      </c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A58" s="13"/>
      <c r="BB58" s="13"/>
      <c r="BC58" s="10"/>
    </row>
    <row r="59" ht="17.5" customHeight="1">
      <c r="A59" t="s" s="83">
        <v>1759</v>
      </c>
      <c r="B59" s="112">
        <v>1921</v>
      </c>
      <c r="C59" s="112">
        <v>10</v>
      </c>
      <c r="D59" t="s" s="83">
        <v>1760</v>
      </c>
      <c r="E59" s="321"/>
      <c r="F59" s="6">
        <v>12</v>
      </c>
      <c r="G59" t="s" s="322">
        <v>1835</v>
      </c>
      <c r="H59" t="s" s="285">
        <v>1568</v>
      </c>
      <c r="I59" s="264">
        <v>39</v>
      </c>
      <c r="J59" t="s" s="285">
        <v>37</v>
      </c>
      <c r="K59" s="264">
        <v>1</v>
      </c>
      <c r="L59" s="14"/>
      <c r="M59" s="14"/>
      <c r="N59" t="s" s="285">
        <v>1789</v>
      </c>
      <c r="O59" s="14"/>
      <c r="P59" s="14"/>
      <c r="Q59" s="14"/>
      <c r="R59" s="264">
        <v>1</v>
      </c>
      <c r="S59" s="14"/>
      <c r="T59" s="264">
        <v>50</v>
      </c>
      <c r="U59" s="14"/>
      <c r="V59" s="14"/>
      <c r="W59" s="14"/>
      <c r="X59" s="14"/>
      <c r="Y59" s="353"/>
      <c r="Z59" s="14"/>
      <c r="AA59" t="s" s="285">
        <v>1836</v>
      </c>
      <c r="AB59" t="s" s="285">
        <v>603</v>
      </c>
      <c r="AC59" s="264">
        <v>1</v>
      </c>
      <c r="AD59" s="14"/>
      <c r="AE59" s="14"/>
      <c r="AF59" s="14"/>
      <c r="AG59" t="s" s="285">
        <v>553</v>
      </c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</row>
    <row r="60" ht="17.5" customHeight="1">
      <c r="A60" t="s" s="83">
        <v>1759</v>
      </c>
      <c r="B60" s="112">
        <v>1921</v>
      </c>
      <c r="C60" s="112">
        <v>10</v>
      </c>
      <c r="D60" t="s" s="83">
        <v>1760</v>
      </c>
      <c r="E60" s="323"/>
      <c r="F60" s="6">
        <v>12</v>
      </c>
      <c r="G60" t="s" s="324">
        <v>1835</v>
      </c>
      <c r="H60" t="s" s="96">
        <v>95</v>
      </c>
      <c r="I60" s="79">
        <v>40</v>
      </c>
      <c r="J60" s="79">
        <v>1</v>
      </c>
      <c r="K60" s="16"/>
      <c r="L60" s="16"/>
      <c r="M60" s="16"/>
      <c r="N60" t="s" s="96">
        <v>78</v>
      </c>
      <c r="O60" s="16"/>
      <c r="P60" s="79">
        <v>1</v>
      </c>
      <c r="Q60" s="16"/>
      <c r="R60" s="16"/>
      <c r="S60" s="16"/>
      <c r="T60" s="79">
        <v>42</v>
      </c>
      <c r="U60" s="16"/>
      <c r="V60" s="16"/>
      <c r="W60" s="16"/>
      <c r="X60" s="16"/>
      <c r="Y60" s="302"/>
      <c r="Z60" s="16"/>
      <c r="AA60" t="s" s="96">
        <v>1837</v>
      </c>
      <c r="AB60" t="s" s="96">
        <v>34</v>
      </c>
      <c r="AC60" s="16"/>
      <c r="AD60" s="16"/>
      <c r="AE60" s="16"/>
      <c r="AF60" s="16"/>
      <c r="AG60" t="s" s="96">
        <v>1104</v>
      </c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7.5" customHeight="1">
      <c r="A61" t="s" s="83">
        <v>1759</v>
      </c>
      <c r="B61" s="112">
        <v>1921</v>
      </c>
      <c r="C61" s="112">
        <v>10</v>
      </c>
      <c r="D61" t="s" s="83">
        <v>1760</v>
      </c>
      <c r="E61" s="323"/>
      <c r="F61" s="6">
        <v>12</v>
      </c>
      <c r="G61" t="s" s="324">
        <v>1835</v>
      </c>
      <c r="H61" t="s" s="96">
        <v>1202</v>
      </c>
      <c r="I61" s="79">
        <v>41</v>
      </c>
      <c r="J61" s="79">
        <v>1</v>
      </c>
      <c r="K61" s="16"/>
      <c r="L61" s="16"/>
      <c r="M61" s="16"/>
      <c r="N61" t="s" s="96">
        <v>1794</v>
      </c>
      <c r="O61" s="16"/>
      <c r="P61" s="16"/>
      <c r="Q61" s="16"/>
      <c r="R61" s="79">
        <v>1</v>
      </c>
      <c r="S61" s="16"/>
      <c r="T61" s="79">
        <v>18</v>
      </c>
      <c r="U61" s="16"/>
      <c r="V61" s="16"/>
      <c r="W61" s="16"/>
      <c r="X61" s="16"/>
      <c r="Y61" s="302"/>
      <c r="Z61" s="16"/>
      <c r="AA61" t="s" s="96">
        <v>33</v>
      </c>
      <c r="AB61" t="s" s="96">
        <v>34</v>
      </c>
      <c r="AC61" s="16"/>
      <c r="AD61" s="16"/>
      <c r="AE61" s="16"/>
      <c r="AF61" s="16"/>
      <c r="AG61" t="s" s="96">
        <v>1458</v>
      </c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17.5" customHeight="1">
      <c r="A62" t="s" s="83">
        <v>1759</v>
      </c>
      <c r="B62" s="112">
        <v>1921</v>
      </c>
      <c r="C62" s="112">
        <v>10</v>
      </c>
      <c r="D62" t="s" s="83">
        <v>1760</v>
      </c>
      <c r="E62" s="323"/>
      <c r="F62" s="6">
        <v>12</v>
      </c>
      <c r="G62" t="s" s="324">
        <v>1838</v>
      </c>
      <c r="H62" t="s" s="96">
        <v>231</v>
      </c>
      <c r="I62" s="79">
        <v>42</v>
      </c>
      <c r="J62" s="79">
        <v>1</v>
      </c>
      <c r="K62" s="16"/>
      <c r="L62" s="16"/>
      <c r="M62" s="16"/>
      <c r="N62" t="s" s="96">
        <v>1575</v>
      </c>
      <c r="O62" s="16"/>
      <c r="P62" s="16"/>
      <c r="Q62" s="16"/>
      <c r="R62" s="79">
        <v>1</v>
      </c>
      <c r="S62" s="16"/>
      <c r="T62" s="79">
        <v>40</v>
      </c>
      <c r="U62" s="16"/>
      <c r="V62" s="16"/>
      <c r="W62" s="16"/>
      <c r="X62" s="16"/>
      <c r="Y62" s="302"/>
      <c r="Z62" s="16"/>
      <c r="AA62" t="s" s="96">
        <v>34</v>
      </c>
      <c r="AB62" t="s" s="96">
        <v>34</v>
      </c>
      <c r="AC62" s="16"/>
      <c r="AD62" s="16"/>
      <c r="AE62" s="16"/>
      <c r="AF62" s="79">
        <v>1</v>
      </c>
      <c r="AG62" t="s" s="96">
        <v>13</v>
      </c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7.5" customHeight="1">
      <c r="A63" t="s" s="83">
        <v>1759</v>
      </c>
      <c r="B63" s="112">
        <v>1921</v>
      </c>
      <c r="C63" s="112">
        <v>10</v>
      </c>
      <c r="D63" t="s" s="83">
        <v>1760</v>
      </c>
      <c r="E63" s="323"/>
      <c r="F63" s="6">
        <v>12</v>
      </c>
      <c r="G63" t="s" s="324">
        <v>1839</v>
      </c>
      <c r="H63" t="s" s="96">
        <v>1840</v>
      </c>
      <c r="I63" s="79">
        <v>43</v>
      </c>
      <c r="J63" s="79">
        <v>1</v>
      </c>
      <c r="K63" s="16"/>
      <c r="L63" s="16"/>
      <c r="M63" s="16"/>
      <c r="N63" t="s" s="96">
        <v>41</v>
      </c>
      <c r="O63" s="16"/>
      <c r="P63" s="16"/>
      <c r="Q63" s="16"/>
      <c r="R63" s="79">
        <v>1</v>
      </c>
      <c r="S63" s="16"/>
      <c r="T63" s="79">
        <v>19</v>
      </c>
      <c r="U63" s="16"/>
      <c r="V63" s="16"/>
      <c r="W63" s="16"/>
      <c r="X63" s="16"/>
      <c r="Y63" s="302"/>
      <c r="Z63" s="16"/>
      <c r="AA63" t="s" s="96">
        <v>1841</v>
      </c>
      <c r="AB63" t="s" s="96">
        <v>34</v>
      </c>
      <c r="AC63" s="79">
        <v>1</v>
      </c>
      <c r="AD63" s="16"/>
      <c r="AE63" s="16"/>
      <c r="AF63" s="16"/>
      <c r="AG63" t="s" s="96">
        <v>1842</v>
      </c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17.5" customHeight="1">
      <c r="A64" t="s" s="83">
        <v>1759</v>
      </c>
      <c r="B64" s="112">
        <v>1921</v>
      </c>
      <c r="C64" s="30"/>
      <c r="D64" t="s" s="83">
        <v>1760</v>
      </c>
      <c r="E64" s="74"/>
      <c r="F64" s="14"/>
      <c r="G64" s="16"/>
      <c r="H64" s="79">
        <v>6</v>
      </c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302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</row>
    <row r="65" ht="17.5" customHeight="1">
      <c r="A65" t="s" s="83">
        <v>1759</v>
      </c>
      <c r="B65" s="112">
        <v>1921</v>
      </c>
      <c r="C65" s="30"/>
      <c r="D65" t="s" s="83">
        <v>1760</v>
      </c>
      <c r="E65" s="74"/>
      <c r="F65" s="16"/>
      <c r="G65" t="s" s="96">
        <v>1</v>
      </c>
      <c r="H65" t="s" s="96">
        <v>0</v>
      </c>
      <c r="I65" s="16"/>
      <c r="J65" t="s" s="96">
        <v>3</v>
      </c>
      <c r="K65" s="16"/>
      <c r="L65" s="16"/>
      <c r="M65" s="16"/>
      <c r="N65" t="s" s="96">
        <v>2</v>
      </c>
      <c r="O65" s="16"/>
      <c r="P65" s="16"/>
      <c r="Q65" s="16"/>
      <c r="R65" s="16"/>
      <c r="S65" s="16"/>
      <c r="T65" t="s" s="96">
        <v>5</v>
      </c>
      <c r="U65" s="16"/>
      <c r="V65" s="16"/>
      <c r="W65" s="16"/>
      <c r="X65" s="16"/>
      <c r="Y65" s="302"/>
      <c r="Z65" s="16"/>
      <c r="AA65" t="s" s="96">
        <v>7</v>
      </c>
      <c r="AB65" t="s" s="96">
        <v>8</v>
      </c>
      <c r="AC65" s="16"/>
      <c r="AD65" s="16"/>
      <c r="AE65" s="16"/>
      <c r="AF65" s="16"/>
      <c r="AG65" t="s" s="96">
        <v>6</v>
      </c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</row>
    <row r="66" ht="17.5" customHeight="1">
      <c r="A66" t="s" s="83">
        <v>1759</v>
      </c>
      <c r="B66" s="112">
        <v>1921</v>
      </c>
      <c r="C66" s="112">
        <v>11</v>
      </c>
      <c r="D66" t="s" s="83">
        <v>1760</v>
      </c>
      <c r="E66" s="74"/>
      <c r="F66" s="79">
        <v>13</v>
      </c>
      <c r="G66" t="s" s="96">
        <v>200</v>
      </c>
      <c r="H66" t="s" s="96">
        <v>1202</v>
      </c>
      <c r="I66" s="79">
        <v>44</v>
      </c>
      <c r="J66" t="s" s="96">
        <v>37</v>
      </c>
      <c r="K66" s="79">
        <v>1</v>
      </c>
      <c r="L66" s="16"/>
      <c r="M66" s="16"/>
      <c r="N66" t="s" s="96">
        <v>559</v>
      </c>
      <c r="O66" s="16"/>
      <c r="P66" s="16"/>
      <c r="Q66" s="16"/>
      <c r="R66" s="79">
        <v>1</v>
      </c>
      <c r="S66" s="16"/>
      <c r="T66" s="79">
        <v>81</v>
      </c>
      <c r="U66" s="16"/>
      <c r="V66" s="16"/>
      <c r="W66" s="16"/>
      <c r="X66" s="16"/>
      <c r="Y66" s="302"/>
      <c r="Z66" s="16"/>
      <c r="AA66" t="s" s="96">
        <v>1843</v>
      </c>
      <c r="AB66" t="s" s="96">
        <v>34</v>
      </c>
      <c r="AC66" s="16"/>
      <c r="AD66" s="16"/>
      <c r="AE66" s="16"/>
      <c r="AF66" s="16"/>
      <c r="AG66" t="s" s="96">
        <v>1844</v>
      </c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17.5" customHeight="1">
      <c r="A67" t="s" s="83">
        <v>1759</v>
      </c>
      <c r="B67" s="112">
        <v>1921</v>
      </c>
      <c r="C67" s="112">
        <v>11</v>
      </c>
      <c r="D67" t="s" s="83">
        <v>1760</v>
      </c>
      <c r="E67" s="74"/>
      <c r="F67" s="79">
        <v>13</v>
      </c>
      <c r="G67" t="s" s="96">
        <v>200</v>
      </c>
      <c r="H67" t="s" s="96">
        <v>153</v>
      </c>
      <c r="I67" s="79">
        <v>45</v>
      </c>
      <c r="J67" t="s" s="96">
        <v>37</v>
      </c>
      <c r="K67" s="79">
        <v>1</v>
      </c>
      <c r="L67" s="16"/>
      <c r="M67" s="16"/>
      <c r="N67" t="s" s="96">
        <v>36</v>
      </c>
      <c r="O67" s="16"/>
      <c r="P67" s="16"/>
      <c r="Q67" s="79">
        <v>1</v>
      </c>
      <c r="R67" s="16"/>
      <c r="S67" s="16"/>
      <c r="T67" s="79">
        <v>49</v>
      </c>
      <c r="U67" s="16"/>
      <c r="V67" s="16"/>
      <c r="W67" s="16"/>
      <c r="X67" s="16"/>
      <c r="Y67" s="302"/>
      <c r="Z67" s="16"/>
      <c r="AA67" t="s" s="96">
        <v>152</v>
      </c>
      <c r="AB67" t="s" s="96">
        <v>603</v>
      </c>
      <c r="AC67" s="79">
        <v>1</v>
      </c>
      <c r="AD67" s="16"/>
      <c r="AE67" s="16"/>
      <c r="AF67" s="16"/>
      <c r="AG67" t="s" s="96">
        <v>134</v>
      </c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17.5" customHeight="1">
      <c r="A68" t="s" s="83">
        <v>1759</v>
      </c>
      <c r="B68" s="112">
        <v>1921</v>
      </c>
      <c r="C68" s="112">
        <v>11</v>
      </c>
      <c r="D68" t="s" s="83">
        <v>1760</v>
      </c>
      <c r="E68" s="74"/>
      <c r="F68" s="79">
        <v>13</v>
      </c>
      <c r="G68" t="s" s="96">
        <v>200</v>
      </c>
      <c r="H68" t="s" s="96">
        <v>1202</v>
      </c>
      <c r="I68" s="79">
        <v>46</v>
      </c>
      <c r="J68" t="s" s="96">
        <v>37</v>
      </c>
      <c r="K68" s="79">
        <v>1</v>
      </c>
      <c r="L68" s="16"/>
      <c r="M68" s="16"/>
      <c r="N68" t="s" s="96">
        <v>36</v>
      </c>
      <c r="O68" s="16"/>
      <c r="P68" s="16"/>
      <c r="Q68" s="79">
        <v>1</v>
      </c>
      <c r="R68" s="16"/>
      <c r="S68" s="16"/>
      <c r="T68" s="79">
        <v>38</v>
      </c>
      <c r="U68" s="16"/>
      <c r="V68" s="16"/>
      <c r="W68" s="16"/>
      <c r="X68" s="16"/>
      <c r="Y68" s="302"/>
      <c r="Z68" s="16"/>
      <c r="AA68" t="s" s="96">
        <v>1465</v>
      </c>
      <c r="AB68" t="s" s="96">
        <v>1845</v>
      </c>
      <c r="AC68" s="79">
        <v>1</v>
      </c>
      <c r="AD68" s="16"/>
      <c r="AE68" s="16"/>
      <c r="AF68" s="16"/>
      <c r="AG68" t="s" s="96">
        <v>134</v>
      </c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17.5" customHeight="1">
      <c r="A69" t="s" s="83">
        <v>1759</v>
      </c>
      <c r="B69" s="112">
        <v>1921</v>
      </c>
      <c r="C69" s="112">
        <v>11</v>
      </c>
      <c r="D69" t="s" s="83">
        <v>1760</v>
      </c>
      <c r="E69" s="74"/>
      <c r="F69" s="79">
        <v>13</v>
      </c>
      <c r="G69" t="s" s="96">
        <v>200</v>
      </c>
      <c r="H69" t="s" s="96">
        <v>1281</v>
      </c>
      <c r="I69" s="79">
        <v>47</v>
      </c>
      <c r="J69" s="79">
        <v>1</v>
      </c>
      <c r="K69" s="16"/>
      <c r="L69" s="16"/>
      <c r="M69" s="16"/>
      <c r="N69" t="s" s="96">
        <v>1846</v>
      </c>
      <c r="O69" s="16"/>
      <c r="P69" s="16"/>
      <c r="Q69" s="16"/>
      <c r="R69" s="79">
        <v>1</v>
      </c>
      <c r="S69" s="16"/>
      <c r="T69" s="79">
        <v>32</v>
      </c>
      <c r="U69" s="16"/>
      <c r="V69" s="16"/>
      <c r="W69" s="16"/>
      <c r="X69" s="16"/>
      <c r="Y69" s="302"/>
      <c r="Z69" s="16"/>
      <c r="AA69" t="s" s="96">
        <v>34</v>
      </c>
      <c r="AB69" t="s" s="96">
        <v>34</v>
      </c>
      <c r="AC69" s="16"/>
      <c r="AD69" s="16"/>
      <c r="AE69" s="16"/>
      <c r="AF69" s="16"/>
      <c r="AG69" t="s" s="96">
        <v>1847</v>
      </c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17.5" customHeight="1">
      <c r="A70" t="s" s="83">
        <v>1759</v>
      </c>
      <c r="B70" s="112">
        <v>1921</v>
      </c>
      <c r="C70" s="30"/>
      <c r="D70" t="s" s="83">
        <v>1760</v>
      </c>
      <c r="E70" s="74"/>
      <c r="F70" s="16"/>
      <c r="G70" s="16"/>
      <c r="H70" s="79">
        <v>4</v>
      </c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302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17.5" customHeight="1">
      <c r="A71" t="s" s="83">
        <v>1759</v>
      </c>
      <c r="B71" s="112">
        <v>1921</v>
      </c>
      <c r="C71" s="30"/>
      <c r="D71" t="s" s="83">
        <v>1760</v>
      </c>
      <c r="E71" s="74"/>
      <c r="F71" s="16"/>
      <c r="G71" t="s" s="96">
        <v>1</v>
      </c>
      <c r="H71" t="s" s="96">
        <v>0</v>
      </c>
      <c r="I71" s="16"/>
      <c r="J71" t="s" s="96">
        <v>3</v>
      </c>
      <c r="K71" s="16"/>
      <c r="L71" s="16"/>
      <c r="M71" s="16"/>
      <c r="N71" t="s" s="96">
        <v>2</v>
      </c>
      <c r="O71" s="16"/>
      <c r="P71" s="16"/>
      <c r="Q71" s="16"/>
      <c r="R71" s="16"/>
      <c r="S71" s="16"/>
      <c r="T71" t="s" s="96">
        <v>5</v>
      </c>
      <c r="U71" s="16"/>
      <c r="V71" s="16"/>
      <c r="W71" s="16"/>
      <c r="X71" s="16"/>
      <c r="Y71" s="302"/>
      <c r="Z71" s="16"/>
      <c r="AA71" t="s" s="96">
        <v>7</v>
      </c>
      <c r="AB71" t="s" s="96">
        <v>8</v>
      </c>
      <c r="AC71" s="16"/>
      <c r="AD71" s="16"/>
      <c r="AE71" s="16"/>
      <c r="AF71" s="16"/>
      <c r="AG71" t="s" s="96">
        <v>6</v>
      </c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17.5" customHeight="1">
      <c r="A72" t="s" s="83">
        <v>1759</v>
      </c>
      <c r="B72" s="112">
        <v>1921</v>
      </c>
      <c r="C72" s="112">
        <v>12</v>
      </c>
      <c r="D72" t="s" s="83">
        <v>1760</v>
      </c>
      <c r="E72" s="74"/>
      <c r="F72" s="79">
        <v>14</v>
      </c>
      <c r="G72" t="s" s="96">
        <v>1848</v>
      </c>
      <c r="H72" t="s" s="96">
        <v>1849</v>
      </c>
      <c r="I72" s="79">
        <v>48</v>
      </c>
      <c r="J72" s="16"/>
      <c r="K72" s="79">
        <v>1</v>
      </c>
      <c r="L72" s="16"/>
      <c r="M72" s="16"/>
      <c r="N72" s="79">
        <v>1</v>
      </c>
      <c r="O72" s="16"/>
      <c r="P72" s="16"/>
      <c r="Q72" s="16"/>
      <c r="R72" s="16"/>
      <c r="S72" s="16"/>
      <c r="T72" s="79">
        <v>60</v>
      </c>
      <c r="U72" s="16"/>
      <c r="V72" s="16"/>
      <c r="W72" s="16"/>
      <c r="X72" s="16"/>
      <c r="Y72" s="302"/>
      <c r="Z72" s="16"/>
      <c r="AA72" t="s" s="96">
        <v>1850</v>
      </c>
      <c r="AB72" t="s" s="96">
        <v>1851</v>
      </c>
      <c r="AC72" s="79">
        <v>1</v>
      </c>
      <c r="AD72" s="16"/>
      <c r="AE72" s="16"/>
      <c r="AF72" s="79">
        <v>1</v>
      </c>
      <c r="AG72" t="s" s="96">
        <v>54</v>
      </c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</row>
    <row r="73" ht="17.5" customHeight="1">
      <c r="A73" t="s" s="83">
        <v>1759</v>
      </c>
      <c r="B73" s="112">
        <v>1921</v>
      </c>
      <c r="C73" s="112">
        <v>12</v>
      </c>
      <c r="D73" t="s" s="83">
        <v>1760</v>
      </c>
      <c r="E73" s="74"/>
      <c r="F73" s="79">
        <v>14</v>
      </c>
      <c r="G73" t="s" s="96">
        <v>1848</v>
      </c>
      <c r="H73" t="s" s="96">
        <v>1852</v>
      </c>
      <c r="I73" s="79">
        <v>49</v>
      </c>
      <c r="J73" s="79">
        <v>1</v>
      </c>
      <c r="K73" s="16"/>
      <c r="L73" s="16"/>
      <c r="M73" s="16"/>
      <c r="N73" t="s" s="96">
        <v>78</v>
      </c>
      <c r="O73" s="16"/>
      <c r="P73" s="79">
        <v>1</v>
      </c>
      <c r="Q73" s="16"/>
      <c r="R73" s="16"/>
      <c r="S73" s="16"/>
      <c r="T73" s="79">
        <v>29</v>
      </c>
      <c r="U73" s="16"/>
      <c r="V73" s="16"/>
      <c r="W73" s="16"/>
      <c r="X73" s="16"/>
      <c r="Y73" s="302"/>
      <c r="Z73" s="16"/>
      <c r="AA73" t="s" s="96">
        <v>909</v>
      </c>
      <c r="AB73" t="s" s="96">
        <v>34</v>
      </c>
      <c r="AC73" s="16"/>
      <c r="AD73" s="16"/>
      <c r="AE73" s="16"/>
      <c r="AF73" s="79">
        <v>1</v>
      </c>
      <c r="AG73" t="s" s="96">
        <v>54</v>
      </c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</row>
    <row r="74" ht="17.5" customHeight="1">
      <c r="A74" t="s" s="83">
        <v>1759</v>
      </c>
      <c r="B74" s="112">
        <v>1921</v>
      </c>
      <c r="C74" s="112">
        <v>12</v>
      </c>
      <c r="D74" t="s" s="83">
        <v>1760</v>
      </c>
      <c r="E74" s="74"/>
      <c r="F74" s="79">
        <v>14</v>
      </c>
      <c r="G74" t="s" s="96">
        <v>1848</v>
      </c>
      <c r="H74" t="s" s="96">
        <v>1565</v>
      </c>
      <c r="I74" s="79">
        <v>50</v>
      </c>
      <c r="J74" s="79">
        <v>1</v>
      </c>
      <c r="K74" s="16"/>
      <c r="L74" s="16"/>
      <c r="M74" s="16"/>
      <c r="N74" t="s" s="96">
        <v>78</v>
      </c>
      <c r="O74" s="16"/>
      <c r="P74" s="79">
        <v>1</v>
      </c>
      <c r="Q74" s="16"/>
      <c r="R74" s="16"/>
      <c r="S74" s="16"/>
      <c r="T74" s="79">
        <v>27</v>
      </c>
      <c r="U74" s="16"/>
      <c r="V74" s="16"/>
      <c r="W74" s="16"/>
      <c r="X74" s="16"/>
      <c r="Y74" s="302"/>
      <c r="Z74" s="16"/>
      <c r="AA74" t="s" s="96">
        <v>909</v>
      </c>
      <c r="AB74" t="s" s="96">
        <v>34</v>
      </c>
      <c r="AC74" s="16"/>
      <c r="AD74" s="16"/>
      <c r="AE74" s="16"/>
      <c r="AF74" s="79">
        <v>1</v>
      </c>
      <c r="AG74" t="s" s="96">
        <v>54</v>
      </c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</row>
    <row r="75" ht="17.5" customHeight="1">
      <c r="A75" t="s" s="83">
        <v>1759</v>
      </c>
      <c r="B75" s="112">
        <v>1921</v>
      </c>
      <c r="C75" s="112">
        <v>12</v>
      </c>
      <c r="D75" t="s" s="83">
        <v>1760</v>
      </c>
      <c r="E75" s="74"/>
      <c r="F75" s="79">
        <v>14</v>
      </c>
      <c r="G75" t="s" s="96">
        <v>1848</v>
      </c>
      <c r="H75" t="s" s="96">
        <v>1853</v>
      </c>
      <c r="I75" s="79">
        <v>51</v>
      </c>
      <c r="J75" s="79">
        <v>1</v>
      </c>
      <c r="K75" s="16"/>
      <c r="L75" s="16"/>
      <c r="M75" s="16"/>
      <c r="N75" t="s" s="96">
        <v>78</v>
      </c>
      <c r="O75" s="16"/>
      <c r="P75" s="79">
        <v>1</v>
      </c>
      <c r="Q75" s="16"/>
      <c r="R75" s="16"/>
      <c r="S75" s="16"/>
      <c r="T75" s="79">
        <v>24</v>
      </c>
      <c r="U75" s="16"/>
      <c r="V75" s="16"/>
      <c r="W75" s="16"/>
      <c r="X75" s="16"/>
      <c r="Y75" s="302"/>
      <c r="Z75" s="16"/>
      <c r="AA75" t="s" s="96">
        <v>1854</v>
      </c>
      <c r="AB75" t="s" s="96">
        <v>1855</v>
      </c>
      <c r="AC75" s="79">
        <v>1</v>
      </c>
      <c r="AD75" s="16"/>
      <c r="AE75" s="16"/>
      <c r="AF75" s="79">
        <v>1</v>
      </c>
      <c r="AG75" t="s" s="96">
        <v>54</v>
      </c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</row>
    <row r="76" ht="17.5" customHeight="1">
      <c r="A76" t="s" s="83">
        <v>1759</v>
      </c>
      <c r="B76" s="112">
        <v>1921</v>
      </c>
      <c r="C76" s="112">
        <v>12</v>
      </c>
      <c r="D76" t="s" s="83">
        <v>1760</v>
      </c>
      <c r="E76" s="74"/>
      <c r="F76" s="79">
        <v>14</v>
      </c>
      <c r="G76" t="s" s="96">
        <v>1848</v>
      </c>
      <c r="H76" t="s" s="96">
        <v>1856</v>
      </c>
      <c r="I76" s="79">
        <v>52</v>
      </c>
      <c r="J76" s="79">
        <v>1</v>
      </c>
      <c r="K76" s="16"/>
      <c r="L76" s="16"/>
      <c r="M76" s="16"/>
      <c r="N76" t="s" s="96">
        <v>78</v>
      </c>
      <c r="O76" s="16"/>
      <c r="P76" s="79">
        <v>1</v>
      </c>
      <c r="Q76" s="16"/>
      <c r="R76" s="16"/>
      <c r="S76" s="16"/>
      <c r="T76" s="79">
        <v>21</v>
      </c>
      <c r="U76" s="16"/>
      <c r="V76" s="16"/>
      <c r="W76" s="16"/>
      <c r="X76" s="16"/>
      <c r="Y76" s="302"/>
      <c r="Z76" s="16"/>
      <c r="AA76" t="s" s="96">
        <v>1857</v>
      </c>
      <c r="AB76" t="s" s="96">
        <v>1858</v>
      </c>
      <c r="AC76" s="79">
        <v>1</v>
      </c>
      <c r="AD76" s="16"/>
      <c r="AE76" s="16"/>
      <c r="AF76" s="16"/>
      <c r="AG76" t="s" s="96">
        <v>1709</v>
      </c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</row>
    <row r="77" ht="17.5" customHeight="1">
      <c r="A77" t="s" s="83">
        <v>1759</v>
      </c>
      <c r="B77" s="112">
        <v>1921</v>
      </c>
      <c r="C77" s="112">
        <v>12</v>
      </c>
      <c r="D77" t="s" s="83">
        <v>1760</v>
      </c>
      <c r="E77" s="74"/>
      <c r="F77" s="16"/>
      <c r="G77" s="16"/>
      <c r="H77" s="79">
        <v>5</v>
      </c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302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</row>
    <row r="78" ht="17.5" customHeight="1">
      <c r="A78" t="s" s="83">
        <v>1759</v>
      </c>
      <c r="B78" s="112">
        <v>1921</v>
      </c>
      <c r="C78" s="30"/>
      <c r="D78" t="s" s="83">
        <v>1760</v>
      </c>
      <c r="E78" s="74"/>
      <c r="F78" s="16"/>
      <c r="G78" t="s" s="96">
        <v>1</v>
      </c>
      <c r="H78" t="s" s="96">
        <v>0</v>
      </c>
      <c r="I78" s="16"/>
      <c r="J78" t="s" s="96">
        <v>3</v>
      </c>
      <c r="K78" s="16"/>
      <c r="L78" s="16"/>
      <c r="M78" s="16"/>
      <c r="N78" t="s" s="96">
        <v>2</v>
      </c>
      <c r="O78" s="16"/>
      <c r="P78" s="16"/>
      <c r="Q78" s="16"/>
      <c r="R78" s="16"/>
      <c r="S78" s="16"/>
      <c r="T78" t="s" s="96">
        <v>5</v>
      </c>
      <c r="U78" s="16"/>
      <c r="V78" s="16"/>
      <c r="W78" s="16"/>
      <c r="X78" s="16"/>
      <c r="Y78" s="302"/>
      <c r="Z78" s="16"/>
      <c r="AA78" t="s" s="96">
        <v>7</v>
      </c>
      <c r="AB78" t="s" s="96">
        <v>8</v>
      </c>
      <c r="AC78" s="16"/>
      <c r="AD78" s="16"/>
      <c r="AE78" s="16"/>
      <c r="AF78" s="16"/>
      <c r="AG78" t="s" s="96">
        <v>6</v>
      </c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</row>
    <row r="79" ht="17.5" customHeight="1">
      <c r="A79" t="s" s="83">
        <v>1759</v>
      </c>
      <c r="B79" s="112">
        <v>1921</v>
      </c>
      <c r="C79" s="30"/>
      <c r="D79" t="s" s="83">
        <v>1760</v>
      </c>
      <c r="E79" s="74"/>
      <c r="F79" s="79">
        <v>15</v>
      </c>
      <c r="G79" t="s" s="96">
        <v>1859</v>
      </c>
      <c r="H79" t="s" s="96">
        <v>193</v>
      </c>
      <c r="I79" s="79">
        <v>53</v>
      </c>
      <c r="J79" t="s" s="96">
        <v>37</v>
      </c>
      <c r="K79" s="79">
        <v>1</v>
      </c>
      <c r="L79" s="16"/>
      <c r="M79" s="16"/>
      <c r="N79" s="79">
        <v>1</v>
      </c>
      <c r="O79" s="16"/>
      <c r="P79" s="16"/>
      <c r="Q79" s="16"/>
      <c r="R79" s="16"/>
      <c r="S79" s="16"/>
      <c r="T79" s="79">
        <v>49</v>
      </c>
      <c r="U79" s="16"/>
      <c r="V79" s="16"/>
      <c r="W79" s="16"/>
      <c r="X79" s="16"/>
      <c r="Y79" s="302"/>
      <c r="Z79" s="16"/>
      <c r="AA79" t="s" s="96">
        <v>1860</v>
      </c>
      <c r="AB79" t="s" s="96">
        <v>1861</v>
      </c>
      <c r="AC79" s="79">
        <v>1</v>
      </c>
      <c r="AD79" s="79">
        <v>1</v>
      </c>
      <c r="AE79" s="16"/>
      <c r="AF79" s="79">
        <v>1</v>
      </c>
      <c r="AG79" t="s" s="96">
        <v>986</v>
      </c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</row>
    <row r="80" ht="17.5" customHeight="1">
      <c r="A80" t="s" s="83">
        <v>1759</v>
      </c>
      <c r="B80" s="112">
        <v>1921</v>
      </c>
      <c r="C80" s="112">
        <v>13</v>
      </c>
      <c r="D80" t="s" s="83">
        <v>1760</v>
      </c>
      <c r="E80" s="74"/>
      <c r="F80" s="79">
        <v>15</v>
      </c>
      <c r="G80" t="s" s="96">
        <v>1859</v>
      </c>
      <c r="H80" t="s" s="96">
        <v>1862</v>
      </c>
      <c r="I80" s="79">
        <v>54</v>
      </c>
      <c r="J80" s="79">
        <v>1</v>
      </c>
      <c r="K80" s="16"/>
      <c r="L80" s="16"/>
      <c r="M80" s="16"/>
      <c r="N80" t="s" s="96">
        <v>72</v>
      </c>
      <c r="O80" s="79">
        <v>1</v>
      </c>
      <c r="P80" s="16"/>
      <c r="Q80" s="16"/>
      <c r="R80" s="16"/>
      <c r="S80" s="16"/>
      <c r="T80" s="79">
        <v>49</v>
      </c>
      <c r="U80" s="16"/>
      <c r="V80" s="16"/>
      <c r="W80" s="16"/>
      <c r="X80" s="16"/>
      <c r="Y80" s="302"/>
      <c r="Z80" s="16"/>
      <c r="AA80" t="s" s="96">
        <v>33</v>
      </c>
      <c r="AB80" t="s" s="96">
        <v>33</v>
      </c>
      <c r="AC80" s="16"/>
      <c r="AD80" s="16"/>
      <c r="AE80" s="16"/>
      <c r="AF80" s="79">
        <v>1</v>
      </c>
      <c r="AG80" t="s" s="96">
        <v>489</v>
      </c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</row>
    <row r="81" ht="17.5" customHeight="1">
      <c r="A81" t="s" s="83">
        <v>1759</v>
      </c>
      <c r="B81" s="112">
        <v>1921</v>
      </c>
      <c r="C81" s="112">
        <v>13</v>
      </c>
      <c r="D81" t="s" s="83">
        <v>1760</v>
      </c>
      <c r="E81" s="74"/>
      <c r="F81" s="79">
        <v>15</v>
      </c>
      <c r="G81" t="s" s="96">
        <v>1859</v>
      </c>
      <c r="H81" t="s" s="96">
        <v>1863</v>
      </c>
      <c r="I81" s="79">
        <v>55</v>
      </c>
      <c r="J81" t="s" s="96">
        <v>37</v>
      </c>
      <c r="K81" s="79">
        <v>1</v>
      </c>
      <c r="L81" s="16"/>
      <c r="M81" s="16"/>
      <c r="N81" t="s" s="96">
        <v>36</v>
      </c>
      <c r="O81" s="16"/>
      <c r="P81" s="16"/>
      <c r="Q81" s="79">
        <v>1</v>
      </c>
      <c r="R81" s="16"/>
      <c r="S81" s="16"/>
      <c r="T81" s="79">
        <v>24</v>
      </c>
      <c r="U81" s="16"/>
      <c r="V81" s="16"/>
      <c r="W81" s="16"/>
      <c r="X81" s="16"/>
      <c r="Y81" s="302"/>
      <c r="Z81" s="16"/>
      <c r="AA81" t="s" s="96">
        <v>1864</v>
      </c>
      <c r="AB81" t="s" s="96">
        <v>932</v>
      </c>
      <c r="AC81" s="79">
        <v>1</v>
      </c>
      <c r="AD81" s="16"/>
      <c r="AE81" s="16"/>
      <c r="AF81" s="79">
        <v>1</v>
      </c>
      <c r="AG81" t="s" s="96">
        <v>13</v>
      </c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</row>
    <row r="82" ht="17.5" customHeight="1">
      <c r="A82" t="s" s="83">
        <v>1759</v>
      </c>
      <c r="B82" s="112">
        <v>1921</v>
      </c>
      <c r="C82" s="112">
        <v>13</v>
      </c>
      <c r="D82" t="s" s="83">
        <v>1760</v>
      </c>
      <c r="E82" s="74"/>
      <c r="F82" s="79">
        <v>15</v>
      </c>
      <c r="G82" t="s" s="96">
        <v>1859</v>
      </c>
      <c r="H82" t="s" s="96">
        <v>1865</v>
      </c>
      <c r="I82" s="79">
        <v>56</v>
      </c>
      <c r="J82" t="s" s="96">
        <v>37</v>
      </c>
      <c r="K82" s="79">
        <v>1</v>
      </c>
      <c r="L82" s="16"/>
      <c r="M82" s="16"/>
      <c r="N82" t="s" s="96">
        <v>36</v>
      </c>
      <c r="O82" s="16"/>
      <c r="P82" s="16"/>
      <c r="Q82" s="79">
        <v>1</v>
      </c>
      <c r="R82" s="16"/>
      <c r="S82" s="16"/>
      <c r="T82" s="79">
        <v>22</v>
      </c>
      <c r="U82" s="16"/>
      <c r="V82" s="16"/>
      <c r="W82" s="16"/>
      <c r="X82" s="16"/>
      <c r="Y82" s="302"/>
      <c r="Z82" s="16"/>
      <c r="AA82" t="s" s="96">
        <v>1866</v>
      </c>
      <c r="AB82" t="s" s="96">
        <v>1867</v>
      </c>
      <c r="AC82" s="79">
        <v>1</v>
      </c>
      <c r="AD82" s="16"/>
      <c r="AE82" s="16"/>
      <c r="AF82" s="79">
        <v>1</v>
      </c>
      <c r="AG82" t="s" s="96">
        <v>13</v>
      </c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</row>
    <row r="83" ht="17.5" customHeight="1">
      <c r="A83" t="s" s="83">
        <v>1759</v>
      </c>
      <c r="B83" s="112">
        <v>1921</v>
      </c>
      <c r="C83" s="112">
        <v>13</v>
      </c>
      <c r="D83" t="s" s="83">
        <v>1760</v>
      </c>
      <c r="E83" s="74"/>
      <c r="F83" s="79">
        <v>15</v>
      </c>
      <c r="G83" t="s" s="96">
        <v>1868</v>
      </c>
      <c r="H83" t="s" s="96">
        <v>262</v>
      </c>
      <c r="I83" s="79">
        <v>57</v>
      </c>
      <c r="J83" s="79">
        <v>1</v>
      </c>
      <c r="K83" s="16"/>
      <c r="L83" s="16"/>
      <c r="M83" s="16"/>
      <c r="N83" t="s" s="96">
        <v>1869</v>
      </c>
      <c r="O83" s="16"/>
      <c r="P83" s="16"/>
      <c r="Q83" s="16"/>
      <c r="R83" s="79">
        <v>1</v>
      </c>
      <c r="S83" s="16"/>
      <c r="T83" s="79">
        <v>60</v>
      </c>
      <c r="U83" s="16"/>
      <c r="V83" s="16"/>
      <c r="W83" s="16"/>
      <c r="X83" s="16"/>
      <c r="Y83" s="302"/>
      <c r="Z83" s="16"/>
      <c r="AA83" t="s" s="96">
        <v>175</v>
      </c>
      <c r="AB83" t="s" s="96">
        <v>1870</v>
      </c>
      <c r="AC83" s="16"/>
      <c r="AD83" s="16"/>
      <c r="AE83" s="16"/>
      <c r="AF83" s="79">
        <v>1</v>
      </c>
      <c r="AG83" t="s" s="96">
        <v>489</v>
      </c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</row>
    <row r="84" ht="15.35" customHeight="1">
      <c r="A84" t="s" s="83">
        <v>1759</v>
      </c>
      <c r="B84" s="112">
        <v>1921</v>
      </c>
      <c r="C84" s="112">
        <v>13</v>
      </c>
      <c r="D84" t="s" s="83">
        <v>1760</v>
      </c>
      <c r="E84" s="74"/>
      <c r="F84" s="16"/>
      <c r="G84" s="16"/>
      <c r="H84" s="79">
        <v>5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</row>
    <row r="85" ht="15.35" customHeight="1">
      <c r="A85" t="s" s="83">
        <v>1759</v>
      </c>
      <c r="B85" s="112">
        <v>1921</v>
      </c>
      <c r="C85" s="30"/>
      <c r="D85" t="s" s="83">
        <v>1760</v>
      </c>
      <c r="E85" s="74"/>
      <c r="F85" s="16"/>
      <c r="G85" t="s" s="96">
        <v>1</v>
      </c>
      <c r="H85" t="s" s="96">
        <v>0</v>
      </c>
      <c r="I85" s="16"/>
      <c r="J85" t="s" s="96">
        <v>3</v>
      </c>
      <c r="K85" s="16"/>
      <c r="L85" s="16"/>
      <c r="M85" s="16"/>
      <c r="N85" t="s" s="96">
        <v>2</v>
      </c>
      <c r="O85" s="16"/>
      <c r="P85" s="16"/>
      <c r="Q85" s="16"/>
      <c r="R85" s="16"/>
      <c r="S85" s="16"/>
      <c r="T85" t="s" s="96">
        <v>5</v>
      </c>
      <c r="U85" s="16"/>
      <c r="V85" s="16"/>
      <c r="W85" s="16"/>
      <c r="X85" s="16"/>
      <c r="Y85" s="16"/>
      <c r="Z85" s="16"/>
      <c r="AA85" t="s" s="96">
        <v>7</v>
      </c>
      <c r="AB85" t="s" s="96">
        <v>8</v>
      </c>
      <c r="AC85" s="16"/>
      <c r="AD85" s="16"/>
      <c r="AE85" s="16"/>
      <c r="AF85" s="16"/>
      <c r="AG85" t="s" s="96">
        <v>6</v>
      </c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</row>
    <row r="86" ht="15.35" customHeight="1">
      <c r="A86" t="s" s="83">
        <v>1759</v>
      </c>
      <c r="B86" s="112">
        <v>1921</v>
      </c>
      <c r="C86" s="30"/>
      <c r="D86" t="s" s="83">
        <v>1760</v>
      </c>
      <c r="E86" s="74"/>
      <c r="F86" s="79">
        <v>16</v>
      </c>
      <c r="G86" t="s" s="96">
        <v>1871</v>
      </c>
      <c r="H86" t="s" s="96">
        <v>1872</v>
      </c>
      <c r="I86" s="79">
        <v>58</v>
      </c>
      <c r="J86" t="s" s="96">
        <v>37</v>
      </c>
      <c r="K86" s="79">
        <v>1</v>
      </c>
      <c r="L86" s="16"/>
      <c r="M86" s="16"/>
      <c r="N86" s="79">
        <v>1</v>
      </c>
      <c r="O86" s="16"/>
      <c r="P86" s="16"/>
      <c r="Q86" s="16"/>
      <c r="R86" s="16"/>
      <c r="S86" s="16"/>
      <c r="T86" s="79">
        <v>54</v>
      </c>
      <c r="U86" s="16"/>
      <c r="V86" s="16"/>
      <c r="W86" s="16"/>
      <c r="X86" s="16"/>
      <c r="Y86" s="16"/>
      <c r="Z86" s="16"/>
      <c r="AA86" t="s" s="96">
        <v>1873</v>
      </c>
      <c r="AB86" t="s" s="96">
        <v>8</v>
      </c>
      <c r="AC86" s="79">
        <v>1</v>
      </c>
      <c r="AD86" s="79">
        <v>1</v>
      </c>
      <c r="AE86" s="16"/>
      <c r="AF86" s="16"/>
      <c r="AG86" t="s" s="96">
        <v>553</v>
      </c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5.35" customHeight="1">
      <c r="A87" t="s" s="83">
        <v>1759</v>
      </c>
      <c r="B87" s="112">
        <v>1921</v>
      </c>
      <c r="C87" s="112">
        <v>14</v>
      </c>
      <c r="D87" t="s" s="83">
        <v>1760</v>
      </c>
      <c r="E87" s="74"/>
      <c r="F87" s="79">
        <v>16</v>
      </c>
      <c r="G87" t="s" s="96">
        <v>1871</v>
      </c>
      <c r="H87" t="s" s="96">
        <v>1874</v>
      </c>
      <c r="I87" s="79">
        <v>59</v>
      </c>
      <c r="J87" s="79">
        <v>1</v>
      </c>
      <c r="K87" s="16"/>
      <c r="L87" s="16"/>
      <c r="M87" s="16"/>
      <c r="N87" t="s" s="96">
        <v>246</v>
      </c>
      <c r="O87" s="16"/>
      <c r="P87" s="16"/>
      <c r="Q87" s="16"/>
      <c r="R87" s="79">
        <v>1</v>
      </c>
      <c r="S87" s="16"/>
      <c r="T87" s="79">
        <v>56</v>
      </c>
      <c r="U87" s="16"/>
      <c r="V87" s="16"/>
      <c r="W87" s="16"/>
      <c r="X87" s="16"/>
      <c r="Y87" s="16"/>
      <c r="Z87" s="16"/>
      <c r="AA87" t="s" s="96">
        <v>1875</v>
      </c>
      <c r="AB87" t="s" s="96">
        <v>34</v>
      </c>
      <c r="AC87" s="79">
        <v>1</v>
      </c>
      <c r="AD87" s="16"/>
      <c r="AE87" s="16"/>
      <c r="AF87" s="16"/>
      <c r="AG87" t="s" s="96">
        <v>553</v>
      </c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</row>
    <row r="88" ht="15.35" customHeight="1">
      <c r="A88" t="s" s="83">
        <v>1759</v>
      </c>
      <c r="B88" s="112">
        <v>1921</v>
      </c>
      <c r="C88" s="112">
        <v>14</v>
      </c>
      <c r="D88" t="s" s="83">
        <v>1760</v>
      </c>
      <c r="E88" s="74"/>
      <c r="F88" s="16"/>
      <c r="G88" s="16"/>
      <c r="H88" s="79">
        <v>2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15.35" customHeight="1">
      <c r="A89" t="s" s="83">
        <v>1759</v>
      </c>
      <c r="B89" s="112">
        <v>1921</v>
      </c>
      <c r="C89" s="30"/>
      <c r="D89" t="s" s="83">
        <v>1760</v>
      </c>
      <c r="E89" s="74"/>
      <c r="F89" s="16"/>
      <c r="G89" t="s" s="96">
        <v>1</v>
      </c>
      <c r="H89" t="s" s="96">
        <v>0</v>
      </c>
      <c r="I89" s="16"/>
      <c r="J89" t="s" s="96">
        <v>3</v>
      </c>
      <c r="K89" s="16"/>
      <c r="L89" s="16"/>
      <c r="M89" s="16"/>
      <c r="N89" t="s" s="96">
        <v>2</v>
      </c>
      <c r="O89" s="16"/>
      <c r="P89" s="16"/>
      <c r="Q89" s="16"/>
      <c r="R89" s="16"/>
      <c r="S89" s="16"/>
      <c r="T89" t="s" s="96">
        <v>5</v>
      </c>
      <c r="U89" s="16"/>
      <c r="V89" s="16"/>
      <c r="W89" s="16"/>
      <c r="X89" s="16"/>
      <c r="Y89" s="16"/>
      <c r="Z89" s="16"/>
      <c r="AA89" t="s" s="96">
        <v>7</v>
      </c>
      <c r="AB89" t="s" s="96">
        <v>8</v>
      </c>
      <c r="AC89" s="16"/>
      <c r="AD89" s="16"/>
      <c r="AE89" s="16"/>
      <c r="AF89" s="16"/>
      <c r="AG89" t="s" s="96">
        <v>6</v>
      </c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15.35" customHeight="1">
      <c r="A90" t="s" s="83">
        <v>1759</v>
      </c>
      <c r="B90" s="112">
        <v>1921</v>
      </c>
      <c r="C90" s="30"/>
      <c r="D90" t="s" s="83">
        <v>1760</v>
      </c>
      <c r="E90" s="74"/>
      <c r="F90" s="79">
        <v>17</v>
      </c>
      <c r="G90" t="s" s="96">
        <v>1876</v>
      </c>
      <c r="H90" t="s" s="96">
        <v>1877</v>
      </c>
      <c r="I90" s="79">
        <v>60</v>
      </c>
      <c r="J90" t="s" s="96">
        <v>37</v>
      </c>
      <c r="K90" s="79">
        <v>1</v>
      </c>
      <c r="L90" s="16"/>
      <c r="M90" s="16"/>
      <c r="N90" s="79">
        <v>1</v>
      </c>
      <c r="O90" s="16"/>
      <c r="P90" s="16"/>
      <c r="Q90" s="16"/>
      <c r="R90" s="16"/>
      <c r="S90" s="16"/>
      <c r="T90" s="79">
        <v>63</v>
      </c>
      <c r="U90" s="16"/>
      <c r="V90" s="16"/>
      <c r="W90" s="16"/>
      <c r="X90" s="16"/>
      <c r="Y90" s="16"/>
      <c r="Z90" s="16"/>
      <c r="AA90" t="s" s="96">
        <v>1878</v>
      </c>
      <c r="AB90" t="s" s="96">
        <v>1879</v>
      </c>
      <c r="AC90" s="79">
        <v>1</v>
      </c>
      <c r="AD90" s="16"/>
      <c r="AE90" s="16"/>
      <c r="AF90" s="79">
        <v>1</v>
      </c>
      <c r="AG90" t="s" s="96">
        <v>13</v>
      </c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</row>
    <row r="91" ht="15.35" customHeight="1">
      <c r="A91" t="s" s="83">
        <v>1759</v>
      </c>
      <c r="B91" s="112">
        <v>1921</v>
      </c>
      <c r="C91" s="112">
        <v>15</v>
      </c>
      <c r="D91" t="s" s="83">
        <v>1760</v>
      </c>
      <c r="E91" s="74"/>
      <c r="F91" s="79">
        <v>17</v>
      </c>
      <c r="G91" t="s" s="96">
        <v>1876</v>
      </c>
      <c r="H91" t="s" s="96">
        <v>369</v>
      </c>
      <c r="I91" s="79">
        <v>61</v>
      </c>
      <c r="J91" s="79">
        <v>1</v>
      </c>
      <c r="K91" s="16"/>
      <c r="L91" s="16"/>
      <c r="M91" s="16"/>
      <c r="N91" t="s" s="96">
        <v>72</v>
      </c>
      <c r="O91" s="79">
        <v>1</v>
      </c>
      <c r="P91" s="16"/>
      <c r="Q91" s="16"/>
      <c r="R91" s="16"/>
      <c r="S91" s="16"/>
      <c r="T91" s="79">
        <v>62</v>
      </c>
      <c r="U91" s="16"/>
      <c r="V91" s="16"/>
      <c r="W91" s="16"/>
      <c r="X91" s="16"/>
      <c r="Y91" s="16"/>
      <c r="Z91" s="16"/>
      <c r="AA91" t="s" s="96">
        <v>928</v>
      </c>
      <c r="AB91" t="s" s="96">
        <v>34</v>
      </c>
      <c r="AC91" s="16"/>
      <c r="AD91" s="16"/>
      <c r="AE91" s="16"/>
      <c r="AF91" s="79">
        <v>1</v>
      </c>
      <c r="AG91" t="s" s="96">
        <v>13</v>
      </c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5.35" customHeight="1">
      <c r="A92" t="s" s="83">
        <v>1759</v>
      </c>
      <c r="B92" s="112">
        <v>1921</v>
      </c>
      <c r="C92" s="112">
        <v>15</v>
      </c>
      <c r="D92" t="s" s="83">
        <v>1760</v>
      </c>
      <c r="E92" s="74"/>
      <c r="F92" s="79">
        <v>17</v>
      </c>
      <c r="G92" t="s" s="96">
        <v>1876</v>
      </c>
      <c r="H92" t="s" s="96">
        <v>1880</v>
      </c>
      <c r="I92" s="79">
        <v>62</v>
      </c>
      <c r="J92" s="79">
        <v>1</v>
      </c>
      <c r="K92" s="16"/>
      <c r="L92" s="16"/>
      <c r="M92" s="16"/>
      <c r="N92" t="s" s="96">
        <v>78</v>
      </c>
      <c r="O92" s="16"/>
      <c r="P92" s="79">
        <v>1</v>
      </c>
      <c r="Q92" s="16"/>
      <c r="R92" s="16"/>
      <c r="S92" s="16"/>
      <c r="T92" s="79">
        <v>34</v>
      </c>
      <c r="U92" s="16"/>
      <c r="V92" s="16"/>
      <c r="W92" s="16"/>
      <c r="X92" s="16"/>
      <c r="Y92" s="16"/>
      <c r="Z92" s="16"/>
      <c r="AA92" t="s" s="96">
        <v>1881</v>
      </c>
      <c r="AB92" t="s" s="96">
        <v>1882</v>
      </c>
      <c r="AC92" s="79">
        <v>1</v>
      </c>
      <c r="AD92" s="16"/>
      <c r="AE92" s="16"/>
      <c r="AF92" s="79">
        <v>1</v>
      </c>
      <c r="AG92" t="s" s="96">
        <v>13</v>
      </c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15.35" customHeight="1">
      <c r="A93" t="s" s="83">
        <v>1759</v>
      </c>
      <c r="B93" s="112">
        <v>1921</v>
      </c>
      <c r="C93" s="30"/>
      <c r="D93" t="s" s="83">
        <v>1760</v>
      </c>
      <c r="E93" s="74"/>
      <c r="F93" s="16"/>
      <c r="G93" s="16"/>
      <c r="H93" s="79">
        <v>3</v>
      </c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</row>
    <row r="94" ht="15.35" customHeight="1">
      <c r="A94" t="s" s="83">
        <v>1759</v>
      </c>
      <c r="B94" s="112">
        <v>1921</v>
      </c>
      <c r="C94" s="30"/>
      <c r="D94" t="s" s="83">
        <v>1760</v>
      </c>
      <c r="E94" s="74"/>
      <c r="F94" s="16"/>
      <c r="G94" t="s" s="96">
        <v>1</v>
      </c>
      <c r="H94" t="s" s="96">
        <v>0</v>
      </c>
      <c r="I94" s="16"/>
      <c r="J94" t="s" s="96">
        <v>3</v>
      </c>
      <c r="K94" s="16"/>
      <c r="L94" s="16"/>
      <c r="M94" s="16"/>
      <c r="N94" t="s" s="96">
        <v>2</v>
      </c>
      <c r="O94" s="16"/>
      <c r="P94" s="16"/>
      <c r="Q94" s="16"/>
      <c r="R94" s="16"/>
      <c r="S94" s="16"/>
      <c r="T94" t="s" s="96">
        <v>5</v>
      </c>
      <c r="U94" s="16"/>
      <c r="V94" s="16"/>
      <c r="W94" s="16"/>
      <c r="X94" s="16"/>
      <c r="Y94" s="16"/>
      <c r="Z94" s="16"/>
      <c r="AA94" t="s" s="96">
        <v>7</v>
      </c>
      <c r="AB94" t="s" s="96">
        <v>8</v>
      </c>
      <c r="AC94" s="16"/>
      <c r="AD94" s="16"/>
      <c r="AE94" s="16"/>
      <c r="AF94" s="16"/>
      <c r="AG94" t="s" s="96">
        <v>6</v>
      </c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</row>
    <row r="95" ht="15.35" customHeight="1">
      <c r="A95" t="s" s="83">
        <v>1759</v>
      </c>
      <c r="B95" s="112">
        <v>1921</v>
      </c>
      <c r="C95" s="112">
        <v>16</v>
      </c>
      <c r="D95" t="s" s="83">
        <v>1760</v>
      </c>
      <c r="E95" s="74"/>
      <c r="F95" s="79">
        <v>18</v>
      </c>
      <c r="G95" t="s" s="96">
        <v>1883</v>
      </c>
      <c r="H95" t="s" s="96">
        <v>1884</v>
      </c>
      <c r="I95" s="79">
        <v>63</v>
      </c>
      <c r="J95" t="s" s="96">
        <v>37</v>
      </c>
      <c r="K95" s="79">
        <v>1</v>
      </c>
      <c r="L95" s="16"/>
      <c r="M95" s="16"/>
      <c r="N95" s="79">
        <v>1</v>
      </c>
      <c r="O95" s="16"/>
      <c r="P95" s="16"/>
      <c r="Q95" s="16"/>
      <c r="R95" s="16"/>
      <c r="S95" s="16"/>
      <c r="T95" s="79">
        <v>35</v>
      </c>
      <c r="U95" s="16"/>
      <c r="V95" s="16"/>
      <c r="W95" s="16"/>
      <c r="X95" s="16"/>
      <c r="Y95" s="16"/>
      <c r="Z95" s="16"/>
      <c r="AA95" t="s" s="96">
        <v>92</v>
      </c>
      <c r="AB95" t="s" s="96">
        <v>1885</v>
      </c>
      <c r="AC95" s="79">
        <v>1</v>
      </c>
      <c r="AD95" s="16"/>
      <c r="AE95" s="16"/>
      <c r="AF95" s="16"/>
      <c r="AG95" t="s" s="96">
        <v>763</v>
      </c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</row>
    <row r="96" ht="15.35" customHeight="1">
      <c r="A96" t="s" s="83">
        <v>1759</v>
      </c>
      <c r="B96" s="112">
        <v>1921</v>
      </c>
      <c r="C96" s="112">
        <v>16</v>
      </c>
      <c r="D96" t="s" s="83">
        <v>1760</v>
      </c>
      <c r="E96" s="74"/>
      <c r="F96" s="79">
        <v>18</v>
      </c>
      <c r="G96" t="s" s="96">
        <v>1883</v>
      </c>
      <c r="H96" t="s" s="96">
        <v>181</v>
      </c>
      <c r="I96" s="79">
        <v>64</v>
      </c>
      <c r="J96" s="79">
        <v>1</v>
      </c>
      <c r="K96" s="16"/>
      <c r="L96" s="16"/>
      <c r="M96" s="16"/>
      <c r="N96" t="s" s="96">
        <v>72</v>
      </c>
      <c r="O96" s="79">
        <v>1</v>
      </c>
      <c r="P96" s="16"/>
      <c r="Q96" s="16"/>
      <c r="R96" s="16"/>
      <c r="S96" s="16"/>
      <c r="T96" s="79">
        <v>36</v>
      </c>
      <c r="U96" s="16"/>
      <c r="V96" s="16"/>
      <c r="W96" s="16"/>
      <c r="X96" s="16"/>
      <c r="Y96" s="16"/>
      <c r="Z96" s="16"/>
      <c r="AA96" t="s" s="96">
        <v>94</v>
      </c>
      <c r="AB96" t="s" s="96">
        <v>34</v>
      </c>
      <c r="AC96" s="16"/>
      <c r="AD96" s="16"/>
      <c r="AE96" s="16"/>
      <c r="AF96" s="16"/>
      <c r="AG96" t="s" s="96">
        <v>785</v>
      </c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</row>
    <row r="97" ht="15.35" customHeight="1">
      <c r="A97" t="s" s="83">
        <v>1759</v>
      </c>
      <c r="B97" s="112">
        <v>1921</v>
      </c>
      <c r="C97" s="30"/>
      <c r="D97" t="s" s="83">
        <v>1760</v>
      </c>
      <c r="E97" s="74"/>
      <c r="F97" s="16"/>
      <c r="G97" s="16"/>
      <c r="H97" s="79">
        <v>2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</row>
    <row r="98" ht="15.35" customHeight="1">
      <c r="A98" t="s" s="83">
        <v>1759</v>
      </c>
      <c r="B98" s="112">
        <v>1921</v>
      </c>
      <c r="C98" s="30"/>
      <c r="D98" t="s" s="83">
        <v>1760</v>
      </c>
      <c r="E98" s="74"/>
      <c r="F98" s="16"/>
      <c r="G98" t="s" s="96">
        <v>1</v>
      </c>
      <c r="H98" t="s" s="96">
        <v>0</v>
      </c>
      <c r="I98" s="16"/>
      <c r="J98" t="s" s="96">
        <v>3</v>
      </c>
      <c r="K98" s="16"/>
      <c r="L98" s="16"/>
      <c r="M98" s="16"/>
      <c r="N98" t="s" s="96">
        <v>2</v>
      </c>
      <c r="O98" s="16"/>
      <c r="P98" s="16"/>
      <c r="Q98" s="16"/>
      <c r="R98" s="16"/>
      <c r="S98" s="16"/>
      <c r="T98" t="s" s="96">
        <v>5</v>
      </c>
      <c r="U98" s="16"/>
      <c r="V98" s="16"/>
      <c r="W98" s="16"/>
      <c r="X98" s="16"/>
      <c r="Y98" s="16"/>
      <c r="Z98" s="16"/>
      <c r="AA98" t="s" s="96">
        <v>7</v>
      </c>
      <c r="AB98" t="s" s="96">
        <v>8</v>
      </c>
      <c r="AC98" s="16"/>
      <c r="AD98" s="16"/>
      <c r="AE98" s="16"/>
      <c r="AF98" s="16"/>
      <c r="AG98" t="s" s="96">
        <v>6</v>
      </c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</row>
    <row r="99" ht="15.35" customHeight="1">
      <c r="A99" t="s" s="83">
        <v>1759</v>
      </c>
      <c r="B99" s="112">
        <v>1921</v>
      </c>
      <c r="C99" s="112">
        <v>17</v>
      </c>
      <c r="D99" t="s" s="83">
        <v>1760</v>
      </c>
      <c r="E99" s="74"/>
      <c r="F99" s="79">
        <v>19</v>
      </c>
      <c r="G99" t="s" s="96">
        <v>562</v>
      </c>
      <c r="H99" t="s" s="96">
        <v>1568</v>
      </c>
      <c r="I99" s="79">
        <v>65</v>
      </c>
      <c r="J99" t="s" s="96">
        <v>37</v>
      </c>
      <c r="K99" s="79">
        <v>1</v>
      </c>
      <c r="L99" s="16"/>
      <c r="M99" s="16"/>
      <c r="N99" s="79">
        <v>1</v>
      </c>
      <c r="O99" s="16"/>
      <c r="P99" s="16"/>
      <c r="Q99" s="16"/>
      <c r="R99" s="16"/>
      <c r="S99" s="16"/>
      <c r="T99" s="79">
        <v>69</v>
      </c>
      <c r="U99" s="16"/>
      <c r="V99" s="16"/>
      <c r="W99" s="16"/>
      <c r="X99" s="16"/>
      <c r="Y99" s="16"/>
      <c r="Z99" s="16"/>
      <c r="AA99" t="s" s="96">
        <v>94</v>
      </c>
      <c r="AB99" t="s" s="96">
        <v>34</v>
      </c>
      <c r="AC99" s="16"/>
      <c r="AD99" s="16"/>
      <c r="AE99" s="16"/>
      <c r="AF99" s="16"/>
      <c r="AG99" t="s" s="96">
        <v>134</v>
      </c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</row>
    <row r="100" ht="15.35" customHeight="1">
      <c r="A100" t="s" s="83">
        <v>1759</v>
      </c>
      <c r="B100" s="112">
        <v>1921</v>
      </c>
      <c r="C100" s="112">
        <v>17</v>
      </c>
      <c r="D100" t="s" s="83">
        <v>1760</v>
      </c>
      <c r="E100" s="74"/>
      <c r="F100" s="79">
        <v>19</v>
      </c>
      <c r="G100" t="s" s="96">
        <v>562</v>
      </c>
      <c r="H100" t="s" s="96">
        <v>1840</v>
      </c>
      <c r="I100" s="79">
        <v>66</v>
      </c>
      <c r="J100" s="79">
        <v>1</v>
      </c>
      <c r="K100" s="16"/>
      <c r="L100" s="16"/>
      <c r="M100" s="16"/>
      <c r="N100" t="s" s="96">
        <v>72</v>
      </c>
      <c r="O100" s="79">
        <v>1</v>
      </c>
      <c r="P100" s="16"/>
      <c r="Q100" s="16"/>
      <c r="R100" s="16"/>
      <c r="S100" s="16"/>
      <c r="T100" s="79">
        <v>73</v>
      </c>
      <c r="U100" s="16"/>
      <c r="V100" s="16"/>
      <c r="W100" s="16"/>
      <c r="X100" s="16"/>
      <c r="Y100" s="16"/>
      <c r="Z100" s="16"/>
      <c r="AA100" t="s" s="96">
        <v>33</v>
      </c>
      <c r="AB100" t="s" s="96">
        <v>34</v>
      </c>
      <c r="AC100" s="16"/>
      <c r="AD100" s="16"/>
      <c r="AE100" s="16"/>
      <c r="AF100" s="16"/>
      <c r="AG100" t="s" s="96">
        <v>155</v>
      </c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</row>
    <row r="101" ht="15.35" customHeight="1">
      <c r="A101" t="s" s="83">
        <v>1759</v>
      </c>
      <c r="B101" s="112">
        <v>1921</v>
      </c>
      <c r="C101" s="112">
        <v>17</v>
      </c>
      <c r="D101" t="s" s="83">
        <v>1760</v>
      </c>
      <c r="E101" s="74"/>
      <c r="F101" s="79">
        <v>19</v>
      </c>
      <c r="G101" t="s" s="96">
        <v>1886</v>
      </c>
      <c r="H101" t="s" s="96">
        <v>1887</v>
      </c>
      <c r="I101" s="79">
        <v>67</v>
      </c>
      <c r="J101" s="79">
        <v>1</v>
      </c>
      <c r="K101" s="16"/>
      <c r="L101" s="16"/>
      <c r="M101" s="16"/>
      <c r="N101" t="s" s="96">
        <v>78</v>
      </c>
      <c r="O101" s="16"/>
      <c r="P101" s="79">
        <v>1</v>
      </c>
      <c r="Q101" s="16"/>
      <c r="R101" s="16"/>
      <c r="S101" s="16"/>
      <c r="T101" s="79">
        <v>44</v>
      </c>
      <c r="U101" s="16"/>
      <c r="V101" s="16"/>
      <c r="W101" s="16"/>
      <c r="X101" s="16"/>
      <c r="Y101" s="16"/>
      <c r="Z101" s="16"/>
      <c r="AA101" t="s" s="96">
        <v>33</v>
      </c>
      <c r="AB101" t="s" s="96">
        <v>34</v>
      </c>
      <c r="AC101" s="16"/>
      <c r="AD101" s="16"/>
      <c r="AE101" s="16"/>
      <c r="AF101" s="16"/>
      <c r="AG101" t="s" s="96">
        <v>1468</v>
      </c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</row>
    <row r="102" ht="15.35" customHeight="1">
      <c r="A102" t="s" s="83">
        <v>1759</v>
      </c>
      <c r="B102" s="112">
        <v>1921</v>
      </c>
      <c r="C102" s="112">
        <v>17</v>
      </c>
      <c r="D102" t="s" s="83">
        <v>1760</v>
      </c>
      <c r="E102" s="74"/>
      <c r="F102" s="79">
        <v>19</v>
      </c>
      <c r="G102" t="s" s="96">
        <v>1886</v>
      </c>
      <c r="H102" t="s" s="96">
        <v>1202</v>
      </c>
      <c r="I102" s="79">
        <v>68</v>
      </c>
      <c r="J102" t="s" s="96">
        <v>37</v>
      </c>
      <c r="K102" s="79">
        <v>1</v>
      </c>
      <c r="L102" s="16"/>
      <c r="M102" s="16"/>
      <c r="N102" t="s" s="96">
        <v>1789</v>
      </c>
      <c r="O102" s="16"/>
      <c r="P102" s="16"/>
      <c r="Q102" s="16"/>
      <c r="R102" s="79">
        <v>1</v>
      </c>
      <c r="S102" s="16"/>
      <c r="T102" s="79">
        <v>63</v>
      </c>
      <c r="U102" s="16"/>
      <c r="V102" s="16"/>
      <c r="W102" s="16"/>
      <c r="X102" s="16"/>
      <c r="Y102" s="16"/>
      <c r="Z102" s="16"/>
      <c r="AA102" t="s" s="96">
        <v>1888</v>
      </c>
      <c r="AB102" t="s" s="96">
        <v>1889</v>
      </c>
      <c r="AC102" s="79">
        <v>1</v>
      </c>
      <c r="AD102" s="16"/>
      <c r="AE102" s="16"/>
      <c r="AF102" s="16"/>
      <c r="AG102" t="s" s="96">
        <v>1890</v>
      </c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</row>
    <row r="103" ht="15.35" customHeight="1">
      <c r="A103" t="s" s="83">
        <v>1759</v>
      </c>
      <c r="B103" s="112">
        <v>1921</v>
      </c>
      <c r="C103" s="112">
        <v>17</v>
      </c>
      <c r="D103" t="s" s="83">
        <v>1760</v>
      </c>
      <c r="E103" s="74"/>
      <c r="F103" s="79">
        <v>19</v>
      </c>
      <c r="G103" t="s" s="96">
        <v>562</v>
      </c>
      <c r="H103" t="s" s="96">
        <v>1891</v>
      </c>
      <c r="I103" s="79">
        <v>69</v>
      </c>
      <c r="J103" s="79">
        <v>1</v>
      </c>
      <c r="K103" s="16"/>
      <c r="L103" s="16"/>
      <c r="M103" s="16"/>
      <c r="N103" t="s" s="96">
        <v>78</v>
      </c>
      <c r="O103" s="16"/>
      <c r="P103" s="79">
        <v>1</v>
      </c>
      <c r="Q103" s="16"/>
      <c r="R103" s="16"/>
      <c r="S103" s="16"/>
      <c r="T103" s="79">
        <v>41</v>
      </c>
      <c r="U103" s="16"/>
      <c r="V103" s="16"/>
      <c r="W103" s="16"/>
      <c r="X103" s="16"/>
      <c r="Y103" s="16"/>
      <c r="Z103" s="16"/>
      <c r="AA103" t="s" s="96">
        <v>1892</v>
      </c>
      <c r="AB103" t="s" s="96">
        <v>1893</v>
      </c>
      <c r="AC103" s="79">
        <v>1</v>
      </c>
      <c r="AD103" s="16"/>
      <c r="AE103" s="16"/>
      <c r="AF103" s="16"/>
      <c r="AG103" t="s" s="96">
        <v>155</v>
      </c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</row>
    <row r="104" ht="15.35" customHeight="1">
      <c r="A104" t="s" s="83">
        <v>1759</v>
      </c>
      <c r="B104" s="112">
        <v>1921</v>
      </c>
      <c r="C104" s="30"/>
      <c r="D104" t="s" s="83">
        <v>1760</v>
      </c>
      <c r="E104" s="74"/>
      <c r="F104" s="16"/>
      <c r="G104" s="16"/>
      <c r="H104" s="79">
        <v>5</v>
      </c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</row>
    <row r="105" ht="15.35" customHeight="1">
      <c r="A105" t="s" s="83">
        <v>1759</v>
      </c>
      <c r="B105" s="112">
        <v>1921</v>
      </c>
      <c r="C105" s="30"/>
      <c r="D105" t="s" s="83">
        <v>1760</v>
      </c>
      <c r="E105" s="74"/>
      <c r="F105" s="16"/>
      <c r="G105" t="s" s="96">
        <v>1</v>
      </c>
      <c r="H105" t="s" s="96">
        <v>0</v>
      </c>
      <c r="I105" s="16"/>
      <c r="J105" t="s" s="96">
        <v>3</v>
      </c>
      <c r="K105" s="16"/>
      <c r="L105" s="16"/>
      <c r="M105" s="16"/>
      <c r="N105" t="s" s="96">
        <v>2</v>
      </c>
      <c r="O105" s="16"/>
      <c r="P105" s="16"/>
      <c r="Q105" s="16"/>
      <c r="R105" s="16"/>
      <c r="S105" s="16"/>
      <c r="T105" t="s" s="96">
        <v>5</v>
      </c>
      <c r="U105" s="16"/>
      <c r="V105" s="16"/>
      <c r="W105" s="16"/>
      <c r="X105" s="16"/>
      <c r="Y105" s="16"/>
      <c r="Z105" s="16"/>
      <c r="AA105" t="s" s="96">
        <v>7</v>
      </c>
      <c r="AB105" t="s" s="96">
        <v>8</v>
      </c>
      <c r="AC105" s="16"/>
      <c r="AD105" s="16"/>
      <c r="AE105" s="16"/>
      <c r="AF105" s="16"/>
      <c r="AG105" t="s" s="96">
        <v>6</v>
      </c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</row>
    <row r="106" ht="15.35" customHeight="1">
      <c r="A106" t="s" s="83">
        <v>1759</v>
      </c>
      <c r="B106" s="112">
        <v>1921</v>
      </c>
      <c r="C106" s="112">
        <v>18</v>
      </c>
      <c r="D106" t="s" s="83">
        <v>1760</v>
      </c>
      <c r="E106" s="74"/>
      <c r="F106" s="79">
        <v>20</v>
      </c>
      <c r="G106" t="s" s="96">
        <v>1894</v>
      </c>
      <c r="H106" t="s" s="96">
        <v>1895</v>
      </c>
      <c r="I106" s="79">
        <v>70</v>
      </c>
      <c r="J106" s="16"/>
      <c r="K106" s="79">
        <v>1</v>
      </c>
      <c r="L106" s="16"/>
      <c r="M106" s="16"/>
      <c r="N106" s="79">
        <v>1</v>
      </c>
      <c r="O106" s="16"/>
      <c r="P106" s="16"/>
      <c r="Q106" s="16"/>
      <c r="R106" s="16"/>
      <c r="S106" s="16"/>
      <c r="T106" s="79">
        <v>34</v>
      </c>
      <c r="U106" s="16"/>
      <c r="V106" s="16"/>
      <c r="W106" s="16"/>
      <c r="X106" s="16"/>
      <c r="Y106" s="16"/>
      <c r="Z106" s="16"/>
      <c r="AA106" t="s" s="96">
        <v>34</v>
      </c>
      <c r="AB106" t="s" s="96">
        <v>1896</v>
      </c>
      <c r="AC106" s="79">
        <v>1</v>
      </c>
      <c r="AD106" s="16"/>
      <c r="AE106" s="16"/>
      <c r="AF106" s="16"/>
      <c r="AG106" t="s" s="96">
        <v>1897</v>
      </c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</row>
    <row r="107" ht="15.35" customHeight="1">
      <c r="A107" t="s" s="83">
        <v>1759</v>
      </c>
      <c r="B107" s="112">
        <v>1921</v>
      </c>
      <c r="C107" s="112">
        <v>18</v>
      </c>
      <c r="D107" t="s" s="83">
        <v>1760</v>
      </c>
      <c r="E107" s="74"/>
      <c r="F107" s="79">
        <v>20</v>
      </c>
      <c r="G107" t="s" s="96">
        <v>1894</v>
      </c>
      <c r="H107" t="s" s="96">
        <v>1898</v>
      </c>
      <c r="I107" s="79">
        <v>71</v>
      </c>
      <c r="J107" s="79">
        <v>1</v>
      </c>
      <c r="K107" s="16"/>
      <c r="L107" s="16"/>
      <c r="M107" s="16"/>
      <c r="N107" t="s" s="96">
        <v>72</v>
      </c>
      <c r="O107" s="79">
        <v>1</v>
      </c>
      <c r="P107" s="16"/>
      <c r="Q107" s="16"/>
      <c r="R107" s="16"/>
      <c r="S107" s="16"/>
      <c r="T107" s="79">
        <v>32</v>
      </c>
      <c r="U107" s="16"/>
      <c r="V107" s="16"/>
      <c r="W107" s="16"/>
      <c r="X107" s="16"/>
      <c r="Y107" s="16"/>
      <c r="Z107" s="16"/>
      <c r="AA107" t="s" s="96">
        <v>34</v>
      </c>
      <c r="AB107" t="s" s="96">
        <v>34</v>
      </c>
      <c r="AC107" s="16"/>
      <c r="AD107" s="16"/>
      <c r="AE107" s="16"/>
      <c r="AF107" s="79">
        <v>1</v>
      </c>
      <c r="AG107" t="s" s="96">
        <v>25</v>
      </c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</row>
    <row r="108" ht="15.35" customHeight="1">
      <c r="A108" t="s" s="83">
        <v>1759</v>
      </c>
      <c r="B108" s="112">
        <v>1921</v>
      </c>
      <c r="C108" s="30"/>
      <c r="D108" t="s" s="83">
        <v>1760</v>
      </c>
      <c r="E108" s="74"/>
      <c r="F108" s="16"/>
      <c r="G108" s="16"/>
      <c r="H108" s="79">
        <v>2</v>
      </c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</row>
    <row r="109" ht="15.35" customHeight="1">
      <c r="A109" t="s" s="83">
        <v>1759</v>
      </c>
      <c r="B109" s="112">
        <v>1921</v>
      </c>
      <c r="C109" s="30"/>
      <c r="D109" t="s" s="83">
        <v>1760</v>
      </c>
      <c r="E109" s="74"/>
      <c r="F109" s="16"/>
      <c r="G109" t="s" s="96">
        <v>1</v>
      </c>
      <c r="H109" t="s" s="96">
        <v>0</v>
      </c>
      <c r="I109" s="16"/>
      <c r="J109" t="s" s="96">
        <v>3</v>
      </c>
      <c r="K109" s="16"/>
      <c r="L109" s="16"/>
      <c r="M109" s="16"/>
      <c r="N109" t="s" s="96">
        <v>2</v>
      </c>
      <c r="O109" s="16"/>
      <c r="P109" s="16"/>
      <c r="Q109" s="16"/>
      <c r="R109" s="16"/>
      <c r="S109" s="16"/>
      <c r="T109" t="s" s="96">
        <v>5</v>
      </c>
      <c r="U109" s="16"/>
      <c r="V109" s="16"/>
      <c r="W109" s="16"/>
      <c r="X109" s="16"/>
      <c r="Y109" s="16"/>
      <c r="Z109" s="16"/>
      <c r="AA109" t="s" s="96">
        <v>7</v>
      </c>
      <c r="AB109" t="s" s="96">
        <v>8</v>
      </c>
      <c r="AC109" s="16"/>
      <c r="AD109" s="16"/>
      <c r="AE109" s="16"/>
      <c r="AF109" s="16"/>
      <c r="AG109" t="s" s="96">
        <v>6</v>
      </c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</row>
    <row r="110" ht="15.35" customHeight="1">
      <c r="A110" t="s" s="83">
        <v>1759</v>
      </c>
      <c r="B110" s="112">
        <v>1921</v>
      </c>
      <c r="C110" s="112">
        <v>19</v>
      </c>
      <c r="D110" t="s" s="83">
        <v>1760</v>
      </c>
      <c r="E110" s="74"/>
      <c r="F110" s="79">
        <v>21</v>
      </c>
      <c r="G110" t="s" s="96">
        <v>1899</v>
      </c>
      <c r="H110" t="s" s="96">
        <v>1900</v>
      </c>
      <c r="I110" s="79">
        <v>72</v>
      </c>
      <c r="J110" t="s" s="96">
        <v>37</v>
      </c>
      <c r="K110" s="79">
        <v>1</v>
      </c>
      <c r="L110" s="16"/>
      <c r="M110" s="16"/>
      <c r="N110" s="79">
        <v>1</v>
      </c>
      <c r="O110" s="16"/>
      <c r="P110" s="16"/>
      <c r="Q110" s="16"/>
      <c r="R110" s="16"/>
      <c r="S110" s="16"/>
      <c r="T110" s="79">
        <v>66</v>
      </c>
      <c r="U110" s="16"/>
      <c r="V110" s="16"/>
      <c r="W110" s="16"/>
      <c r="X110" s="16"/>
      <c r="Y110" s="16"/>
      <c r="Z110" s="16"/>
      <c r="AA110" t="s" s="96">
        <v>1901</v>
      </c>
      <c r="AB110" t="s" s="96">
        <v>1902</v>
      </c>
      <c r="AC110" s="79">
        <v>1</v>
      </c>
      <c r="AD110" s="16"/>
      <c r="AE110" s="16"/>
      <c r="AF110" s="16"/>
      <c r="AG110" t="s" s="96">
        <v>1903</v>
      </c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</row>
    <row r="111" ht="15.35" customHeight="1">
      <c r="A111" t="s" s="83">
        <v>1759</v>
      </c>
      <c r="B111" s="112">
        <v>1921</v>
      </c>
      <c r="C111" s="112">
        <v>19</v>
      </c>
      <c r="D111" t="s" s="83">
        <v>1760</v>
      </c>
      <c r="E111" s="74"/>
      <c r="F111" s="79">
        <v>21</v>
      </c>
      <c r="G111" t="s" s="96">
        <v>1899</v>
      </c>
      <c r="H111" t="s" s="96">
        <v>1904</v>
      </c>
      <c r="I111" s="79">
        <v>73</v>
      </c>
      <c r="J111" s="79">
        <v>1</v>
      </c>
      <c r="K111" s="16"/>
      <c r="L111" s="16"/>
      <c r="M111" s="16"/>
      <c r="N111" t="s" s="96">
        <v>72</v>
      </c>
      <c r="O111" s="79">
        <v>1</v>
      </c>
      <c r="P111" s="16"/>
      <c r="Q111" s="16"/>
      <c r="R111" s="16"/>
      <c r="S111" s="16"/>
      <c r="T111" s="79">
        <v>58</v>
      </c>
      <c r="U111" s="16"/>
      <c r="V111" s="16"/>
      <c r="W111" s="16"/>
      <c r="X111" s="16"/>
      <c r="Y111" s="16"/>
      <c r="Z111" s="16"/>
      <c r="AA111" t="s" s="96">
        <v>33</v>
      </c>
      <c r="AB111" t="s" s="96">
        <v>34</v>
      </c>
      <c r="AC111" s="16"/>
      <c r="AD111" s="16"/>
      <c r="AE111" s="16"/>
      <c r="AF111" s="16"/>
      <c r="AG111" t="s" s="96">
        <v>1905</v>
      </c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</row>
    <row r="112" ht="15.35" customHeight="1">
      <c r="A112" t="s" s="83">
        <v>1759</v>
      </c>
      <c r="B112" s="112">
        <v>1921</v>
      </c>
      <c r="C112" s="112">
        <v>19</v>
      </c>
      <c r="D112" t="s" s="83">
        <v>1760</v>
      </c>
      <c r="E112" s="74"/>
      <c r="F112" s="79">
        <v>21</v>
      </c>
      <c r="G112" t="s" s="96">
        <v>1899</v>
      </c>
      <c r="H112" t="s" s="96">
        <v>1906</v>
      </c>
      <c r="I112" s="79">
        <v>74</v>
      </c>
      <c r="J112" s="79">
        <v>1</v>
      </c>
      <c r="K112" s="16"/>
      <c r="L112" s="16"/>
      <c r="M112" s="16"/>
      <c r="N112" t="s" s="96">
        <v>41</v>
      </c>
      <c r="O112" s="16"/>
      <c r="P112" s="16"/>
      <c r="Q112" s="16"/>
      <c r="R112" s="79">
        <v>1</v>
      </c>
      <c r="S112" s="16"/>
      <c r="T112" s="79">
        <v>52</v>
      </c>
      <c r="U112" s="16"/>
      <c r="V112" s="16"/>
      <c r="W112" s="16"/>
      <c r="X112" s="16"/>
      <c r="Y112" s="16"/>
      <c r="Z112" s="16"/>
      <c r="AA112" t="s" s="96">
        <v>1907</v>
      </c>
      <c r="AB112" t="s" s="96">
        <v>1908</v>
      </c>
      <c r="AC112" s="79">
        <v>1</v>
      </c>
      <c r="AD112" s="16"/>
      <c r="AE112" s="16"/>
      <c r="AF112" s="16"/>
      <c r="AG112" t="s" s="96">
        <v>256</v>
      </c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</row>
    <row r="113" ht="15.35" customHeight="1">
      <c r="A113" t="s" s="83">
        <v>1759</v>
      </c>
      <c r="B113" s="112">
        <v>1921</v>
      </c>
      <c r="C113" s="112">
        <v>19</v>
      </c>
      <c r="D113" t="s" s="83">
        <v>1760</v>
      </c>
      <c r="E113" s="74"/>
      <c r="F113" s="79">
        <v>21</v>
      </c>
      <c r="G113" t="s" s="96">
        <v>792</v>
      </c>
      <c r="H113" t="s" s="96">
        <v>71</v>
      </c>
      <c r="I113" s="79">
        <v>75</v>
      </c>
      <c r="J113" s="79">
        <v>1</v>
      </c>
      <c r="K113" s="16"/>
      <c r="L113" s="16"/>
      <c r="M113" s="16"/>
      <c r="N113" t="s" s="96">
        <v>36</v>
      </c>
      <c r="O113" s="16"/>
      <c r="P113" s="16"/>
      <c r="Q113" s="79">
        <v>1</v>
      </c>
      <c r="R113" s="16"/>
      <c r="S113" s="16"/>
      <c r="T113" s="79">
        <v>20</v>
      </c>
      <c r="U113" s="16"/>
      <c r="V113" s="16"/>
      <c r="W113" s="16"/>
      <c r="X113" s="16"/>
      <c r="Y113" s="16"/>
      <c r="Z113" s="16"/>
      <c r="AA113" t="s" s="96">
        <v>105</v>
      </c>
      <c r="AB113" t="s" s="96">
        <v>15</v>
      </c>
      <c r="AC113" s="79">
        <v>1</v>
      </c>
      <c r="AD113" s="16"/>
      <c r="AE113" s="16"/>
      <c r="AF113" s="16"/>
      <c r="AG113" t="s" s="96">
        <v>1909</v>
      </c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</row>
    <row r="114" ht="15.35" customHeight="1">
      <c r="A114" t="s" s="83">
        <v>1759</v>
      </c>
      <c r="B114" s="112">
        <v>1921</v>
      </c>
      <c r="C114" s="30"/>
      <c r="D114" t="s" s="83">
        <v>1760</v>
      </c>
      <c r="E114" s="74"/>
      <c r="F114" s="16"/>
      <c r="G114" s="16"/>
      <c r="H114" s="79">
        <v>4</v>
      </c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</row>
    <row r="115" ht="15.35" customHeight="1">
      <c r="A115" t="s" s="83">
        <v>1759</v>
      </c>
      <c r="B115" s="112">
        <v>1921</v>
      </c>
      <c r="C115" s="30"/>
      <c r="D115" t="s" s="83">
        <v>1760</v>
      </c>
      <c r="E115" s="74"/>
      <c r="F115" s="16"/>
      <c r="G115" t="s" s="96">
        <v>1</v>
      </c>
      <c r="H115" t="s" s="96">
        <v>0</v>
      </c>
      <c r="I115" s="16"/>
      <c r="J115" t="s" s="96">
        <v>3</v>
      </c>
      <c r="K115" s="16"/>
      <c r="L115" s="16"/>
      <c r="M115" s="16"/>
      <c r="N115" t="s" s="96">
        <v>2</v>
      </c>
      <c r="O115" s="16"/>
      <c r="P115" s="16"/>
      <c r="Q115" s="16"/>
      <c r="R115" s="16"/>
      <c r="S115" s="16"/>
      <c r="T115" t="s" s="96">
        <v>5</v>
      </c>
      <c r="U115" s="16"/>
      <c r="V115" s="16"/>
      <c r="W115" s="16"/>
      <c r="X115" s="16"/>
      <c r="Y115" s="16"/>
      <c r="Z115" s="16"/>
      <c r="AA115" t="s" s="96">
        <v>7</v>
      </c>
      <c r="AB115" t="s" s="96">
        <v>8</v>
      </c>
      <c r="AC115" s="16"/>
      <c r="AD115" s="16"/>
      <c r="AE115" s="16"/>
      <c r="AF115" s="16"/>
      <c r="AG115" t="s" s="96">
        <v>6</v>
      </c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</row>
    <row r="116" ht="15.35" customHeight="1">
      <c r="A116" t="s" s="83">
        <v>1759</v>
      </c>
      <c r="B116" s="112">
        <v>1921</v>
      </c>
      <c r="C116" s="112">
        <v>20</v>
      </c>
      <c r="D116" t="s" s="83">
        <v>1760</v>
      </c>
      <c r="E116" s="74"/>
      <c r="F116" s="79">
        <v>22</v>
      </c>
      <c r="G116" t="s" s="96">
        <v>1529</v>
      </c>
      <c r="H116" t="s" s="96">
        <v>153</v>
      </c>
      <c r="I116" s="79">
        <v>76</v>
      </c>
      <c r="J116" t="s" s="96">
        <v>37</v>
      </c>
      <c r="K116" s="79">
        <v>1</v>
      </c>
      <c r="L116" s="16"/>
      <c r="M116" s="16"/>
      <c r="N116" s="79">
        <v>1</v>
      </c>
      <c r="O116" s="16"/>
      <c r="P116" s="16"/>
      <c r="Q116" s="16"/>
      <c r="R116" s="16"/>
      <c r="S116" s="16"/>
      <c r="T116" s="79">
        <v>72</v>
      </c>
      <c r="U116" s="16"/>
      <c r="V116" s="16"/>
      <c r="W116" s="16"/>
      <c r="X116" s="16"/>
      <c r="Y116" s="16"/>
      <c r="Z116" s="16"/>
      <c r="AA116" t="s" s="96">
        <v>261</v>
      </c>
      <c r="AB116" t="s" s="96">
        <v>34</v>
      </c>
      <c r="AC116" s="16"/>
      <c r="AD116" s="16"/>
      <c r="AE116" s="16"/>
      <c r="AF116" s="16"/>
      <c r="AG116" t="s" s="96">
        <v>1110</v>
      </c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</row>
    <row r="117" ht="15.35" customHeight="1">
      <c r="A117" t="s" s="83">
        <v>1759</v>
      </c>
      <c r="B117" s="112">
        <v>1921</v>
      </c>
      <c r="C117" s="112">
        <v>20</v>
      </c>
      <c r="D117" t="s" s="83">
        <v>1760</v>
      </c>
      <c r="E117" s="74"/>
      <c r="F117" s="79">
        <v>22</v>
      </c>
      <c r="G117" t="s" s="96">
        <v>1529</v>
      </c>
      <c r="H117" t="s" s="96">
        <v>1069</v>
      </c>
      <c r="I117" s="79">
        <v>77</v>
      </c>
      <c r="J117" s="79">
        <v>1</v>
      </c>
      <c r="K117" s="16"/>
      <c r="L117" s="16"/>
      <c r="M117" s="16"/>
      <c r="N117" t="s" s="96">
        <v>72</v>
      </c>
      <c r="O117" s="79">
        <v>1</v>
      </c>
      <c r="P117" s="16"/>
      <c r="Q117" s="16"/>
      <c r="R117" s="16"/>
      <c r="S117" s="16"/>
      <c r="T117" s="79">
        <v>67</v>
      </c>
      <c r="U117" s="16"/>
      <c r="V117" s="16"/>
      <c r="W117" s="16"/>
      <c r="X117" s="16"/>
      <c r="Y117" s="16"/>
      <c r="Z117" s="16"/>
      <c r="AA117" t="s" s="96">
        <v>33</v>
      </c>
      <c r="AB117" t="s" s="96">
        <v>34</v>
      </c>
      <c r="AC117" s="16"/>
      <c r="AD117" s="16"/>
      <c r="AE117" s="16"/>
      <c r="AF117" s="16"/>
      <c r="AG117" t="s" s="96">
        <v>34</v>
      </c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</row>
    <row r="118" ht="15.35" customHeight="1">
      <c r="A118" t="s" s="83">
        <v>1759</v>
      </c>
      <c r="B118" s="112">
        <v>1921</v>
      </c>
      <c r="C118" s="112">
        <v>20</v>
      </c>
      <c r="D118" t="s" s="83">
        <v>1760</v>
      </c>
      <c r="E118" s="74"/>
      <c r="F118" s="79">
        <v>22</v>
      </c>
      <c r="G118" t="s" s="96">
        <v>1529</v>
      </c>
      <c r="H118" t="s" s="96">
        <v>1910</v>
      </c>
      <c r="I118" s="79">
        <v>78</v>
      </c>
      <c r="J118" s="79">
        <v>1</v>
      </c>
      <c r="K118" s="16"/>
      <c r="L118" s="16"/>
      <c r="M118" s="16"/>
      <c r="N118" t="s" s="96">
        <v>78</v>
      </c>
      <c r="O118" s="16"/>
      <c r="P118" s="79">
        <v>1</v>
      </c>
      <c r="Q118" s="16"/>
      <c r="R118" s="16"/>
      <c r="S118" s="16"/>
      <c r="T118" s="79">
        <v>30</v>
      </c>
      <c r="U118" s="16"/>
      <c r="V118" s="16"/>
      <c r="W118" s="16"/>
      <c r="X118" s="16"/>
      <c r="Y118" s="16"/>
      <c r="Z118" s="16"/>
      <c r="AA118" t="s" s="96">
        <v>33</v>
      </c>
      <c r="AB118" t="s" s="96">
        <v>34</v>
      </c>
      <c r="AC118" s="16"/>
      <c r="AD118" s="16"/>
      <c r="AE118" s="16"/>
      <c r="AF118" s="79">
        <v>1</v>
      </c>
      <c r="AG118" t="s" s="96">
        <v>13</v>
      </c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</row>
    <row r="119" ht="15.35" customHeight="1">
      <c r="A119" t="s" s="83">
        <v>1759</v>
      </c>
      <c r="B119" s="112">
        <v>1921</v>
      </c>
      <c r="C119" s="112">
        <v>20</v>
      </c>
      <c r="D119" t="s" s="83">
        <v>1760</v>
      </c>
      <c r="E119" s="74"/>
      <c r="F119" s="79">
        <v>22</v>
      </c>
      <c r="G119" t="s" s="96">
        <v>1529</v>
      </c>
      <c r="H119" t="s" s="96">
        <v>1911</v>
      </c>
      <c r="I119" s="79">
        <v>79</v>
      </c>
      <c r="J119" t="s" s="96">
        <v>37</v>
      </c>
      <c r="K119" s="79">
        <v>1</v>
      </c>
      <c r="L119" s="16"/>
      <c r="M119" s="16"/>
      <c r="N119" t="s" s="96">
        <v>36</v>
      </c>
      <c r="O119" s="16"/>
      <c r="P119" s="16"/>
      <c r="Q119" s="79">
        <v>1</v>
      </c>
      <c r="R119" s="16"/>
      <c r="S119" s="16"/>
      <c r="T119" s="79">
        <v>25</v>
      </c>
      <c r="U119" s="16"/>
      <c r="V119" s="16"/>
      <c r="W119" s="16"/>
      <c r="X119" s="16"/>
      <c r="Y119" s="16"/>
      <c r="Z119" s="16"/>
      <c r="AA119" t="s" s="96">
        <v>1790</v>
      </c>
      <c r="AB119" t="s" s="96">
        <v>1912</v>
      </c>
      <c r="AC119" s="79">
        <v>1</v>
      </c>
      <c r="AD119" s="16"/>
      <c r="AE119" s="16"/>
      <c r="AF119" s="79">
        <v>1</v>
      </c>
      <c r="AG119" t="s" s="96">
        <v>13</v>
      </c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</row>
    <row r="120" ht="15.35" customHeight="1">
      <c r="A120" t="s" s="83">
        <v>1759</v>
      </c>
      <c r="B120" s="112">
        <v>1921</v>
      </c>
      <c r="C120" s="30"/>
      <c r="D120" t="s" s="83">
        <v>1760</v>
      </c>
      <c r="E120" s="74"/>
      <c r="F120" s="16"/>
      <c r="G120" s="16"/>
      <c r="H120" s="79">
        <v>4</v>
      </c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</row>
    <row r="121" ht="15.35" customHeight="1">
      <c r="A121" t="s" s="83">
        <v>1759</v>
      </c>
      <c r="B121" s="112">
        <v>1921</v>
      </c>
      <c r="C121" s="112">
        <v>20</v>
      </c>
      <c r="D121" t="s" s="83">
        <v>1760</v>
      </c>
      <c r="E121" s="74"/>
      <c r="F121" s="16"/>
      <c r="G121" s="16"/>
      <c r="H121" s="16"/>
      <c r="I121" s="79">
        <v>79</v>
      </c>
      <c r="J121" s="79" cm="1">
        <f t="array" ref="J121">SUM(J3:J120)</f>
        <v>38</v>
      </c>
      <c r="K121" s="79" cm="1">
        <f t="array" ref="K121">SUM(K3:K120)</f>
        <v>32</v>
      </c>
      <c r="L121" s="79" cm="1">
        <f t="array" ref="L121">SUM(L3:L120)</f>
        <v>3</v>
      </c>
      <c r="M121" s="79" cm="1">
        <f t="array" ref="M121">SUM(M3:M120)</f>
        <v>6</v>
      </c>
      <c r="N121" s="79" cm="1">
        <f t="array" ref="N121">SUM(N3:N120)</f>
        <v>19</v>
      </c>
      <c r="O121" s="79" cm="1">
        <f t="array" ref="O121">SUM(O3:O120)</f>
        <v>13</v>
      </c>
      <c r="P121" s="79" cm="1">
        <f t="array" ref="P121">SUM(P3:P120)</f>
        <v>16</v>
      </c>
      <c r="Q121" s="79" cm="1">
        <f t="array" ref="Q121">SUM(Q3:Q120)</f>
        <v>13</v>
      </c>
      <c r="R121" s="79" cm="1">
        <f t="array" ref="R121">SUM(R3:R120)</f>
        <v>16</v>
      </c>
      <c r="S121" s="79" cm="1">
        <f t="array" ref="S121">SUM(S3:S120)</f>
        <v>2</v>
      </c>
      <c r="T121" s="79" cm="1">
        <f t="array" ref="T121">SUM(T3:T120)</f>
        <v>3116</v>
      </c>
      <c r="U121" s="79" cm="1">
        <f t="array" ref="U121">SUM(U3:U120)</f>
        <v>0</v>
      </c>
      <c r="V121" s="79" cm="1">
        <f t="array" ref="V121">SUM(V3:V120)</f>
        <v>0</v>
      </c>
      <c r="W121" s="79" cm="1">
        <f t="array" ref="W121">SUM(W3:W120)</f>
        <v>0</v>
      </c>
      <c r="X121" s="79" cm="1">
        <f t="array" ref="X121">SUM(X3:X120)</f>
        <v>0</v>
      </c>
      <c r="Y121" s="79" cm="1">
        <f t="array" ref="Y121">SUM(Y3:Y120)</f>
        <v>0</v>
      </c>
      <c r="Z121" s="79" cm="1">
        <f t="array" ref="Z121">SUM(Z3:Z120)</f>
        <v>0</v>
      </c>
      <c r="AA121" s="79" cm="1">
        <f t="array" ref="AA121">SUM(AA3:AA120)</f>
        <v>0</v>
      </c>
      <c r="AB121" s="79" cm="1">
        <f t="array" ref="AB121">SUM(AB3:AB120)</f>
        <v>0</v>
      </c>
      <c r="AC121" s="79" cm="1">
        <f t="array" ref="AC121">SUM(AC3:AC120)</f>
        <v>55</v>
      </c>
      <c r="AD121" s="79" cm="1">
        <f t="array" ref="AD121">SUM(AD3:AD120)</f>
        <v>2</v>
      </c>
      <c r="AE121" s="79" cm="1">
        <f t="array" ref="AE121">AC121-AD121</f>
        <v>53</v>
      </c>
      <c r="AF121" s="79" cm="1">
        <f t="array" ref="AF121">SUM(AF3:AF120)</f>
        <v>44</v>
      </c>
      <c r="AG121" s="79" cm="1">
        <f t="array" ref="AG121">N122-AF121</f>
        <v>35</v>
      </c>
      <c r="AH121" s="79" cm="1">
        <f t="array" ref="AH121">AG121+AF121</f>
        <v>79</v>
      </c>
      <c r="AI121" s="79" cm="1">
        <f t="array" ref="AI121">SUM(AI3:AI120)</f>
        <v>0</v>
      </c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</row>
    <row r="122" ht="15.35" customHeight="1">
      <c r="A122" s="62"/>
      <c r="B122" s="62"/>
      <c r="C122" s="62"/>
      <c r="D122" s="62"/>
      <c r="E122" s="16"/>
      <c r="F122" s="16"/>
      <c r="G122" s="16"/>
      <c r="H122" s="16"/>
      <c r="I122" s="79" cm="1">
        <f t="array" ref="I122">SUM(J121:M121)</f>
        <v>79</v>
      </c>
      <c r="J122" s="16"/>
      <c r="K122" s="16"/>
      <c r="L122" s="16"/>
      <c r="M122" s="16"/>
      <c r="N122" s="79" cm="1">
        <f t="array" ref="N122">SUM(N120:S121)</f>
        <v>79</v>
      </c>
      <c r="O122" s="16"/>
      <c r="P122" s="16"/>
      <c r="Q122" s="16"/>
      <c r="R122" s="16"/>
      <c r="S122" s="16"/>
      <c r="T122" s="99" cm="1">
        <f t="array" ref="T122">T121/N122</f>
        <v>39.4430379746835</v>
      </c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</row>
    <row r="123" ht="15.3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</row>
    <row r="124" ht="15.3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</row>
    <row r="125" ht="15.3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</row>
    <row r="126" ht="15.3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</row>
    <row r="127" ht="15.3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</row>
    <row r="128" ht="15.3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</row>
    <row r="129" ht="15.3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</row>
    <row r="130" ht="15.3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</row>
    <row r="131" ht="15.3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</row>
    <row r="132" ht="15.3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</row>
    <row r="133" ht="15.3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</row>
    <row r="134" ht="15.3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</row>
    <row r="135" ht="15.3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</row>
    <row r="136" ht="15.3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</row>
    <row r="137" ht="15.3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</row>
    <row r="138" ht="15.3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</row>
    <row r="139" ht="15.3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</row>
    <row r="140" ht="15.3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</row>
    <row r="141" ht="15.3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</row>
    <row r="142" ht="15.3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</row>
    <row r="143" ht="15.3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</row>
    <row r="144" ht="15.3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</row>
    <row r="145" ht="15.3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</row>
    <row r="146" ht="15.3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</row>
    <row r="147" ht="15.3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</row>
    <row r="148" ht="15.3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</row>
    <row r="149" ht="15.3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</row>
    <row r="150" ht="15.3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</row>
    <row r="151" ht="15.3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</row>
    <row r="152" ht="15.3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</row>
    <row r="153" ht="15.3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</row>
    <row r="154" ht="15.3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</row>
    <row r="155" ht="15.3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</row>
    <row r="156" ht="15.3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</row>
    <row r="157" ht="15.3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</row>
    <row r="158" ht="15.3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</row>
    <row r="159" ht="15.3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</row>
    <row r="160" ht="15.3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</row>
    <row r="161" ht="15.3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</row>
    <row r="162" ht="15.3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</row>
    <row r="163" ht="15.3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</row>
    <row r="164" ht="15.3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</row>
    <row r="165" ht="15.3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</row>
    <row r="166" ht="15.3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</row>
    <row r="167" ht="15.3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</row>
    <row r="168" ht="15.3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</row>
    <row r="169" ht="15.3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</row>
    <row r="170" ht="15.3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</row>
    <row r="171" ht="15.3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</row>
    <row r="172" ht="15.3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</row>
    <row r="173" ht="15.3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</row>
    <row r="174" ht="15.3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</row>
    <row r="175" ht="15.3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</row>
    <row r="176" ht="15.3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</row>
    <row r="177" ht="15.3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</row>
    <row r="178" ht="15.3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</row>
    <row r="179" ht="15.3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</row>
    <row r="180" ht="15.3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</row>
    <row r="181" ht="15.3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</row>
    <row r="182" ht="15.3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</row>
    <row r="183" ht="15.3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</row>
    <row r="184" ht="15.3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</row>
    <row r="185" ht="15.3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</row>
    <row r="186" ht="15.3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</row>
    <row r="187" ht="15.3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</row>
    <row r="188" ht="15.3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</row>
    <row r="189" ht="15.3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</row>
    <row r="190" ht="15.3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</row>
    <row r="191" ht="15.3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</row>
    <row r="192" ht="15.3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</row>
    <row r="193" ht="15.3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</row>
    <row r="194" ht="15.3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</row>
    <row r="195" ht="15.3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</row>
    <row r="196" ht="15.3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</row>
    <row r="197" ht="15.3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</row>
    <row r="198" ht="15.3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</row>
    <row r="199" ht="15.3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</row>
    <row r="200" ht="15.3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</row>
    <row r="201" ht="15.3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</row>
    <row r="202" ht="15.3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</row>
    <row r="203" ht="15.3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</row>
    <row r="204" ht="15.3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</row>
    <row r="205" ht="15.3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</row>
    <row r="206" ht="15.3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</row>
    <row r="207" ht="15.3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</row>
    <row r="208" ht="15.3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</row>
    <row r="209" ht="15.3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</row>
    <row r="210" ht="15.3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</row>
    <row r="211" ht="15.3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</row>
    <row r="212" ht="15.3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</row>
    <row r="213" ht="15.3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</row>
    <row r="214" ht="15.3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</row>
    <row r="215" ht="15.3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</row>
    <row r="216" ht="15.3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</row>
    <row r="217" ht="15.3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</row>
    <row r="218" ht="15.3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</row>
    <row r="219" ht="15.3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</row>
    <row r="220" ht="15.3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</row>
    <row r="221" ht="15.3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</row>
    <row r="222" ht="15.3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</row>
    <row r="223" ht="15.3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</row>
    <row r="224" ht="15.3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</row>
    <row r="225" ht="15.3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</row>
    <row r="226" ht="15.3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</row>
    <row r="227" ht="15.3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</row>
    <row r="228" ht="15.3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</row>
    <row r="229" ht="15.3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</row>
    <row r="230" ht="15.3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</row>
    <row r="231" ht="15.3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</row>
    <row r="232" ht="15.3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</row>
    <row r="233" ht="15.3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</row>
    <row r="234" ht="15.3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</row>
    <row r="235" ht="15.3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</row>
    <row r="236" ht="15.3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</row>
    <row r="237" ht="15.3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</row>
    <row r="238" ht="15.3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</row>
    <row r="239" ht="15.3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  <c r="AZ239" s="16"/>
      <c r="BA239" s="16"/>
      <c r="BB239" s="16"/>
      <c r="BC239" s="16"/>
    </row>
    <row r="240" ht="15.3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  <c r="AZ240" s="16"/>
      <c r="BA240" s="16"/>
      <c r="BB240" s="16"/>
      <c r="BC240" s="16"/>
    </row>
    <row r="241" ht="15.3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  <c r="AZ241" s="16"/>
      <c r="BA241" s="16"/>
      <c r="BB241" s="16"/>
      <c r="BC241" s="16"/>
    </row>
    <row r="242" ht="15.3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  <c r="AZ242" s="16"/>
      <c r="BA242" s="16"/>
      <c r="BB242" s="16"/>
      <c r="BC242" s="16"/>
    </row>
    <row r="243" ht="15.3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1.xml><?xml version="1.0" encoding="utf-8"?>
<worksheet xmlns:r="http://schemas.openxmlformats.org/officeDocument/2006/relationships" xmlns="http://schemas.openxmlformats.org/spreadsheetml/2006/main">
  <dimension ref="A1:BC187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354" customWidth="1"/>
    <col min="4" max="4" width="17.8516" style="354" customWidth="1"/>
    <col min="5" max="5" width="12.1719" style="354" customWidth="1"/>
    <col min="6" max="6" width="8.85156" style="354" customWidth="1"/>
    <col min="7" max="10" width="10.8516" style="354" customWidth="1"/>
    <col min="11" max="11" width="6.67188" style="354" customWidth="1"/>
    <col min="12" max="12" width="7.85156" style="354" customWidth="1"/>
    <col min="13" max="13" width="10" style="354" customWidth="1"/>
    <col min="14" max="14" width="8.67188" style="354" customWidth="1"/>
    <col min="15" max="15" width="18.5" style="354" customWidth="1"/>
    <col min="16" max="16" width="11.5" style="354" customWidth="1"/>
    <col min="17" max="17" width="11.6719" style="354" customWidth="1"/>
    <col min="18" max="18" width="12.3516" style="354" customWidth="1"/>
    <col min="19" max="19" width="10.8516" style="354" customWidth="1"/>
    <col min="20" max="20" width="15.1719" style="354" customWidth="1"/>
    <col min="21" max="23" width="10.8516" style="354" customWidth="1"/>
    <col min="24" max="24" width="31" style="354" customWidth="1"/>
    <col min="25" max="25" width="19.8516" style="354" customWidth="1"/>
    <col min="26" max="26" width="12.1719" style="354" customWidth="1"/>
    <col min="27" max="27" width="16.5" style="354" customWidth="1"/>
    <col min="28" max="28" width="25.1719" style="354" customWidth="1"/>
    <col min="29" max="30" width="16.5" style="354" customWidth="1"/>
    <col min="31" max="31" width="14.6719" style="354" customWidth="1"/>
    <col min="32" max="32" width="18.8516" style="354" customWidth="1"/>
    <col min="33" max="33" width="11" style="354" customWidth="1"/>
    <col min="34" max="34" width="11.1719" style="354" customWidth="1"/>
    <col min="35" max="35" width="7.85156" style="354" customWidth="1"/>
    <col min="36" max="37" width="10.8516" style="354" customWidth="1"/>
    <col min="38" max="38" width="7.35156" style="354" customWidth="1"/>
    <col min="39" max="39" width="10.8516" style="354" customWidth="1"/>
    <col min="40" max="40" width="9.17188" style="354" customWidth="1"/>
    <col min="41" max="41" width="10.8516" style="354" customWidth="1"/>
    <col min="42" max="42" width="12.5" style="354" customWidth="1"/>
    <col min="43" max="43" width="13" style="354" customWidth="1"/>
    <col min="44" max="55" width="10.8516" style="354" customWidth="1"/>
    <col min="56" max="16384" width="10.8516" style="354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s="141"/>
      <c r="B3" s="141"/>
      <c r="C3" s="30"/>
      <c r="D3" s="30"/>
      <c r="E3" s="30"/>
      <c r="F3" s="30"/>
      <c r="G3" t="s" s="83">
        <v>1</v>
      </c>
      <c r="H3" t="s" s="83">
        <v>0</v>
      </c>
      <c r="I3" s="115"/>
      <c r="J3" t="s" s="83">
        <v>3</v>
      </c>
      <c r="K3" s="116"/>
      <c r="L3" s="62"/>
      <c r="M3" s="117"/>
      <c r="N3" t="s" s="83">
        <v>2</v>
      </c>
      <c r="O3" s="115"/>
      <c r="P3" s="30"/>
      <c r="Q3" s="116"/>
      <c r="R3" s="62"/>
      <c r="S3" s="117"/>
      <c r="T3" t="s" s="119">
        <v>5</v>
      </c>
      <c r="U3" s="74"/>
      <c r="V3" s="16"/>
      <c r="W3" s="62"/>
      <c r="X3" s="117"/>
      <c r="Y3" s="29"/>
      <c r="Z3" s="29"/>
      <c r="AA3" t="s" s="119">
        <v>7</v>
      </c>
      <c r="AB3" t="s" s="119">
        <v>8</v>
      </c>
      <c r="AC3" s="30"/>
      <c r="AD3" s="30"/>
      <c r="AE3" s="30"/>
      <c r="AF3" t="s" s="119">
        <v>6</v>
      </c>
      <c r="AG3" s="116"/>
      <c r="AH3" s="62"/>
      <c r="AI3" s="62"/>
      <c r="AJ3" s="62"/>
      <c r="AK3" s="117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1913</v>
      </c>
      <c r="B4" s="112">
        <v>1921</v>
      </c>
      <c r="C4" s="112">
        <v>1</v>
      </c>
      <c r="D4" t="s" s="83">
        <v>1914</v>
      </c>
      <c r="E4" s="30"/>
      <c r="F4" s="112">
        <v>8</v>
      </c>
      <c r="G4" t="s" s="83">
        <v>1915</v>
      </c>
      <c r="H4" t="s" s="83">
        <v>1916</v>
      </c>
      <c r="I4" s="120">
        <v>1</v>
      </c>
      <c r="J4" t="s" s="83">
        <v>37</v>
      </c>
      <c r="K4" s="156">
        <v>1</v>
      </c>
      <c r="L4" s="16"/>
      <c r="M4" s="75"/>
      <c r="N4" s="112">
        <v>1</v>
      </c>
      <c r="O4" s="122"/>
      <c r="P4" s="30"/>
      <c r="Q4" s="74"/>
      <c r="R4" s="16"/>
      <c r="S4" s="75"/>
      <c r="T4" s="118">
        <v>35</v>
      </c>
      <c r="U4" s="74"/>
      <c r="V4" s="16"/>
      <c r="W4" s="16"/>
      <c r="X4" s="75"/>
      <c r="Y4" s="30"/>
      <c r="Z4" s="30"/>
      <c r="AA4" t="s" s="119">
        <v>1917</v>
      </c>
      <c r="AB4" t="s" s="119">
        <v>1918</v>
      </c>
      <c r="AC4" s="112">
        <v>1</v>
      </c>
      <c r="AD4" s="30"/>
      <c r="AE4" s="30"/>
      <c r="AF4" t="s" s="119">
        <v>1919</v>
      </c>
      <c r="AG4" s="156">
        <v>1</v>
      </c>
      <c r="AH4" s="16"/>
      <c r="AI4" s="16"/>
      <c r="AJ4" s="16"/>
      <c r="AK4" s="75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1913</v>
      </c>
      <c r="B5" s="112">
        <v>1921</v>
      </c>
      <c r="C5" s="112">
        <v>1</v>
      </c>
      <c r="D5" t="s" s="83">
        <v>1914</v>
      </c>
      <c r="E5" s="30"/>
      <c r="F5" s="112">
        <v>8</v>
      </c>
      <c r="G5" t="s" s="83">
        <v>1915</v>
      </c>
      <c r="H5" t="s" s="83">
        <v>1920</v>
      </c>
      <c r="I5" s="120">
        <v>2</v>
      </c>
      <c r="J5" s="112">
        <v>1</v>
      </c>
      <c r="K5" s="74"/>
      <c r="L5" s="16"/>
      <c r="M5" s="75"/>
      <c r="N5" t="s" s="83">
        <v>72</v>
      </c>
      <c r="O5" s="120">
        <v>1</v>
      </c>
      <c r="P5" s="30"/>
      <c r="Q5" s="74"/>
      <c r="R5" s="16"/>
      <c r="S5" s="75"/>
      <c r="T5" s="118">
        <v>27</v>
      </c>
      <c r="U5" s="74"/>
      <c r="V5" s="16"/>
      <c r="W5" s="16"/>
      <c r="X5" s="75"/>
      <c r="Y5" s="30"/>
      <c r="Z5" s="30"/>
      <c r="AA5" t="s" s="119">
        <v>33</v>
      </c>
      <c r="AB5" t="s" s="119">
        <v>34</v>
      </c>
      <c r="AC5" s="30"/>
      <c r="AD5" s="30"/>
      <c r="AE5" s="30"/>
      <c r="AF5" t="s" s="119">
        <v>1921</v>
      </c>
      <c r="AG5" s="156">
        <v>1</v>
      </c>
      <c r="AH5" s="16"/>
      <c r="AI5" s="16"/>
      <c r="AJ5" s="16"/>
      <c r="AK5" s="75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1913</v>
      </c>
      <c r="B6" s="112">
        <v>1921</v>
      </c>
      <c r="C6" s="112">
        <v>1</v>
      </c>
      <c r="D6" t="s" s="83">
        <v>1914</v>
      </c>
      <c r="E6" s="30"/>
      <c r="F6" s="112">
        <v>8</v>
      </c>
      <c r="G6" t="s" s="83">
        <v>1915</v>
      </c>
      <c r="H6" t="s" s="83">
        <v>1922</v>
      </c>
      <c r="I6" s="120">
        <v>3</v>
      </c>
      <c r="J6" t="s" s="83">
        <v>37</v>
      </c>
      <c r="K6" s="74"/>
      <c r="L6" s="16"/>
      <c r="M6" s="123">
        <v>1</v>
      </c>
      <c r="N6" t="s" s="83">
        <v>36</v>
      </c>
      <c r="O6" s="122"/>
      <c r="P6" s="30"/>
      <c r="Q6" s="156">
        <v>1</v>
      </c>
      <c r="R6" s="16"/>
      <c r="S6" s="75"/>
      <c r="T6" s="112">
        <v>1</v>
      </c>
      <c r="U6" s="74"/>
      <c r="V6" s="16"/>
      <c r="W6" s="16"/>
      <c r="X6" s="75"/>
      <c r="Y6" s="30"/>
      <c r="Z6" s="30"/>
      <c r="AA6" t="s" s="83">
        <v>34</v>
      </c>
      <c r="AB6" t="s" s="83">
        <v>34</v>
      </c>
      <c r="AC6" s="30"/>
      <c r="AD6" s="30"/>
      <c r="AE6" s="30"/>
      <c r="AF6" t="s" s="83">
        <v>13</v>
      </c>
      <c r="AG6" s="74"/>
      <c r="AH6" s="16"/>
      <c r="AI6" s="16"/>
      <c r="AJ6" s="16"/>
      <c r="AK6" s="75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1913</v>
      </c>
      <c r="B7" s="112">
        <v>1921</v>
      </c>
      <c r="C7" s="112">
        <v>1</v>
      </c>
      <c r="D7" t="s" s="83">
        <v>1914</v>
      </c>
      <c r="E7" s="30"/>
      <c r="F7" s="112">
        <v>8</v>
      </c>
      <c r="G7" t="s" s="83">
        <v>1923</v>
      </c>
      <c r="H7" t="s" s="83">
        <v>81</v>
      </c>
      <c r="I7" s="120">
        <v>4</v>
      </c>
      <c r="J7" s="112">
        <v>1</v>
      </c>
      <c r="K7" s="74"/>
      <c r="L7" s="16"/>
      <c r="M7" s="75"/>
      <c r="N7" t="s" s="83">
        <v>11</v>
      </c>
      <c r="O7" s="122"/>
      <c r="P7" s="30"/>
      <c r="Q7" s="74"/>
      <c r="R7" s="16"/>
      <c r="S7" s="123">
        <v>1</v>
      </c>
      <c r="T7" s="118">
        <v>20</v>
      </c>
      <c r="U7" s="74"/>
      <c r="V7" s="16"/>
      <c r="W7" s="16"/>
      <c r="X7" s="75"/>
      <c r="Y7" s="30"/>
      <c r="Z7" s="30"/>
      <c r="AA7" t="s" s="119">
        <v>105</v>
      </c>
      <c r="AB7" t="s" s="119">
        <v>34</v>
      </c>
      <c r="AC7" s="112">
        <v>1</v>
      </c>
      <c r="AD7" s="30"/>
      <c r="AE7" s="30"/>
      <c r="AF7" t="s" s="119">
        <v>1924</v>
      </c>
      <c r="AG7" s="74"/>
      <c r="AH7" s="16"/>
      <c r="AI7" s="16"/>
      <c r="AJ7" s="16"/>
      <c r="AK7" s="75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1913</v>
      </c>
      <c r="B8" s="112">
        <v>1921</v>
      </c>
      <c r="C8" s="112">
        <v>1</v>
      </c>
      <c r="D8" t="s" s="83">
        <v>1914</v>
      </c>
      <c r="E8" s="30"/>
      <c r="F8" s="30"/>
      <c r="G8" s="30"/>
      <c r="H8" s="112">
        <v>4</v>
      </c>
      <c r="I8" s="122"/>
      <c r="J8" s="30"/>
      <c r="K8" s="74"/>
      <c r="L8" s="16"/>
      <c r="M8" s="75"/>
      <c r="N8" s="30"/>
      <c r="O8" s="122"/>
      <c r="P8" s="30"/>
      <c r="Q8" s="74"/>
      <c r="R8" s="16"/>
      <c r="S8" s="75"/>
      <c r="T8" s="121"/>
      <c r="U8" s="74"/>
      <c r="V8" s="16"/>
      <c r="W8" s="16"/>
      <c r="X8" s="75"/>
      <c r="Y8" s="30"/>
      <c r="Z8" s="30"/>
      <c r="AA8" s="121"/>
      <c r="AB8" s="121"/>
      <c r="AC8" s="30"/>
      <c r="AD8" s="30"/>
      <c r="AE8" s="30"/>
      <c r="AF8" s="121"/>
      <c r="AG8" s="74"/>
      <c r="AH8" s="16"/>
      <c r="AI8" s="16"/>
      <c r="AJ8" s="16"/>
      <c r="AK8" s="75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1913</v>
      </c>
      <c r="B9" s="30"/>
      <c r="C9" s="30"/>
      <c r="D9" s="30"/>
      <c r="E9" s="30"/>
      <c r="F9" s="30"/>
      <c r="G9" t="s" s="83">
        <v>1</v>
      </c>
      <c r="H9" t="s" s="83">
        <v>0</v>
      </c>
      <c r="I9" s="122"/>
      <c r="J9" t="s" s="83">
        <v>3</v>
      </c>
      <c r="K9" s="74"/>
      <c r="L9" s="16"/>
      <c r="M9" s="75"/>
      <c r="N9" t="s" s="83">
        <v>2</v>
      </c>
      <c r="O9" s="122"/>
      <c r="P9" s="30"/>
      <c r="Q9" s="74"/>
      <c r="R9" s="16"/>
      <c r="S9" s="75"/>
      <c r="T9" t="s" s="119">
        <v>5</v>
      </c>
      <c r="U9" s="74"/>
      <c r="V9" s="16"/>
      <c r="W9" s="16"/>
      <c r="X9" s="75"/>
      <c r="Y9" s="30"/>
      <c r="Z9" s="30"/>
      <c r="AA9" t="s" s="119">
        <v>7</v>
      </c>
      <c r="AB9" t="s" s="119">
        <v>8</v>
      </c>
      <c r="AC9" s="30"/>
      <c r="AD9" s="30"/>
      <c r="AE9" s="30"/>
      <c r="AF9" t="s" s="119">
        <v>6</v>
      </c>
      <c r="AG9" s="74"/>
      <c r="AH9" s="16"/>
      <c r="AI9" s="16"/>
      <c r="AJ9" s="16"/>
      <c r="AK9" s="75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1913</v>
      </c>
      <c r="B10" s="112">
        <v>1921</v>
      </c>
      <c r="C10" s="112">
        <v>2</v>
      </c>
      <c r="D10" t="s" s="83">
        <v>1914</v>
      </c>
      <c r="E10" s="30"/>
      <c r="F10" s="30"/>
      <c r="G10" t="s" s="83">
        <v>1925</v>
      </c>
      <c r="H10" t="s" s="83">
        <v>1926</v>
      </c>
      <c r="I10" s="120">
        <v>5</v>
      </c>
      <c r="J10" t="s" s="83">
        <v>37</v>
      </c>
      <c r="K10" s="156">
        <v>1</v>
      </c>
      <c r="L10" s="16"/>
      <c r="M10" s="75"/>
      <c r="N10" s="112">
        <v>1</v>
      </c>
      <c r="O10" s="122"/>
      <c r="P10" s="30"/>
      <c r="Q10" s="74"/>
      <c r="R10" s="16"/>
      <c r="S10" s="75"/>
      <c r="T10" s="118">
        <v>62</v>
      </c>
      <c r="U10" s="74"/>
      <c r="V10" s="16"/>
      <c r="W10" s="16"/>
      <c r="X10" s="75"/>
      <c r="Y10" s="30"/>
      <c r="Z10" s="30"/>
      <c r="AA10" t="s" s="119">
        <v>1927</v>
      </c>
      <c r="AB10" t="s" s="119">
        <v>603</v>
      </c>
      <c r="AC10" s="30"/>
      <c r="AD10" s="30"/>
      <c r="AE10" s="30"/>
      <c r="AF10" t="s" s="119">
        <v>13</v>
      </c>
      <c r="AG10" s="74"/>
      <c r="AH10" s="16"/>
      <c r="AI10" s="16"/>
      <c r="AJ10" s="16"/>
      <c r="AK10" s="75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83">
        <v>1913</v>
      </c>
      <c r="B11" s="112">
        <v>1921</v>
      </c>
      <c r="C11" s="112">
        <v>2</v>
      </c>
      <c r="D11" t="s" s="83">
        <v>1914</v>
      </c>
      <c r="E11" s="30"/>
      <c r="F11" s="30"/>
      <c r="G11" t="s" s="83">
        <v>1925</v>
      </c>
      <c r="H11" t="s" s="83">
        <v>1928</v>
      </c>
      <c r="I11" s="120">
        <v>6</v>
      </c>
      <c r="J11" s="112">
        <v>1</v>
      </c>
      <c r="K11" s="74"/>
      <c r="L11" s="16"/>
      <c r="M11" s="75"/>
      <c r="N11" t="s" s="83">
        <v>72</v>
      </c>
      <c r="O11" s="120">
        <v>1</v>
      </c>
      <c r="P11" s="30"/>
      <c r="Q11" s="74"/>
      <c r="R11" s="16"/>
      <c r="S11" s="75"/>
      <c r="T11" s="118">
        <v>41</v>
      </c>
      <c r="U11" s="74"/>
      <c r="V11" s="16"/>
      <c r="W11" s="16"/>
      <c r="X11" s="75"/>
      <c r="Y11" s="30"/>
      <c r="Z11" s="30"/>
      <c r="AA11" t="s" s="119">
        <v>33</v>
      </c>
      <c r="AB11" t="s" s="119">
        <v>34</v>
      </c>
      <c r="AC11" s="30"/>
      <c r="AD11" s="30"/>
      <c r="AE11" s="30"/>
      <c r="AF11" t="s" s="119">
        <v>1929</v>
      </c>
      <c r="AG11" s="156">
        <v>1</v>
      </c>
      <c r="AH11" s="16"/>
      <c r="AI11" s="16"/>
      <c r="AJ11" s="16"/>
      <c r="AK11" s="75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.5" customHeight="1">
      <c r="A12" t="s" s="83">
        <v>1913</v>
      </c>
      <c r="B12" s="112">
        <v>1921</v>
      </c>
      <c r="C12" s="112">
        <v>2</v>
      </c>
      <c r="D12" t="s" s="83">
        <v>1914</v>
      </c>
      <c r="E12" s="30"/>
      <c r="F12" s="30"/>
      <c r="G12" t="s" s="83">
        <v>1930</v>
      </c>
      <c r="H12" t="s" s="83">
        <v>106</v>
      </c>
      <c r="I12" s="120">
        <v>7</v>
      </c>
      <c r="J12" s="112">
        <v>1</v>
      </c>
      <c r="K12" s="74"/>
      <c r="L12" s="16"/>
      <c r="M12" s="75"/>
      <c r="N12" t="s" s="83">
        <v>11</v>
      </c>
      <c r="O12" s="122"/>
      <c r="P12" s="30"/>
      <c r="Q12" s="74"/>
      <c r="R12" s="16"/>
      <c r="S12" s="123">
        <v>1</v>
      </c>
      <c r="T12" s="118">
        <v>21</v>
      </c>
      <c r="U12" s="74"/>
      <c r="V12" s="16"/>
      <c r="W12" s="16"/>
      <c r="X12" s="75"/>
      <c r="Y12" s="30"/>
      <c r="Z12" s="30"/>
      <c r="AA12" t="s" s="119">
        <v>105</v>
      </c>
      <c r="AB12" t="s" s="119">
        <v>1931</v>
      </c>
      <c r="AC12" s="112">
        <v>1</v>
      </c>
      <c r="AD12" s="30"/>
      <c r="AE12" s="30"/>
      <c r="AF12" t="s" s="119">
        <v>1929</v>
      </c>
      <c r="AG12" s="156">
        <v>1</v>
      </c>
      <c r="AH12" s="16"/>
      <c r="AI12" s="16"/>
      <c r="AJ12" s="16"/>
      <c r="AK12" s="75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9" customHeight="1">
      <c r="A13" t="s" s="83">
        <v>1913</v>
      </c>
      <c r="B13" s="30"/>
      <c r="C13" s="30"/>
      <c r="D13" s="30"/>
      <c r="E13" s="30"/>
      <c r="F13" s="30"/>
      <c r="G13" s="30"/>
      <c r="H13" s="112">
        <v>3</v>
      </c>
      <c r="I13" s="122"/>
      <c r="J13" s="30"/>
      <c r="K13" s="74"/>
      <c r="L13" s="16"/>
      <c r="M13" s="75"/>
      <c r="N13" s="30"/>
      <c r="O13" s="122"/>
      <c r="P13" s="30"/>
      <c r="Q13" s="74"/>
      <c r="R13" s="16"/>
      <c r="S13" s="75"/>
      <c r="T13" s="121"/>
      <c r="U13" s="74"/>
      <c r="V13" s="16"/>
      <c r="W13" s="16"/>
      <c r="X13" s="75"/>
      <c r="Y13" s="29"/>
      <c r="Z13" s="29"/>
      <c r="AA13" s="121"/>
      <c r="AB13" s="121"/>
      <c r="AC13" s="30"/>
      <c r="AD13" s="30"/>
      <c r="AE13" s="30"/>
      <c r="AF13" s="121"/>
      <c r="AG13" s="74"/>
      <c r="AH13" s="16"/>
      <c r="AI13" s="16"/>
      <c r="AJ13" s="16"/>
      <c r="AK13" s="75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1913</v>
      </c>
      <c r="B14" s="112">
        <v>1921</v>
      </c>
      <c r="C14" s="112">
        <v>3</v>
      </c>
      <c r="D14" t="s" s="83">
        <v>1914</v>
      </c>
      <c r="E14" s="30"/>
      <c r="F14" s="30"/>
      <c r="G14" t="s" s="83">
        <v>1</v>
      </c>
      <c r="H14" t="s" s="83">
        <v>0</v>
      </c>
      <c r="I14" s="122"/>
      <c r="J14" t="s" s="83">
        <v>3</v>
      </c>
      <c r="K14" s="74"/>
      <c r="L14" s="16"/>
      <c r="M14" s="75"/>
      <c r="N14" t="s" s="83">
        <v>2</v>
      </c>
      <c r="O14" s="122"/>
      <c r="P14" s="30"/>
      <c r="Q14" s="74"/>
      <c r="R14" s="16"/>
      <c r="S14" s="75"/>
      <c r="T14" t="s" s="83">
        <v>5</v>
      </c>
      <c r="U14" s="74"/>
      <c r="V14" s="16"/>
      <c r="W14" s="16"/>
      <c r="X14" s="75"/>
      <c r="Y14" s="30"/>
      <c r="Z14" s="30"/>
      <c r="AA14" t="s" s="83">
        <v>7</v>
      </c>
      <c r="AB14" t="s" s="83">
        <v>8</v>
      </c>
      <c r="AC14" s="30"/>
      <c r="AD14" s="30"/>
      <c r="AE14" s="30"/>
      <c r="AF14" t="s" s="83">
        <v>6</v>
      </c>
      <c r="AG14" s="74"/>
      <c r="AH14" s="16"/>
      <c r="AI14" s="16"/>
      <c r="AJ14" s="16"/>
      <c r="AK14" s="75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1913</v>
      </c>
      <c r="B15" s="112">
        <v>1921</v>
      </c>
      <c r="C15" s="112">
        <v>3</v>
      </c>
      <c r="D15" t="s" s="83">
        <v>1914</v>
      </c>
      <c r="E15" s="30"/>
      <c r="F15" s="30"/>
      <c r="G15" t="s" s="83">
        <v>1932</v>
      </c>
      <c r="H15" t="s" s="83">
        <v>1933</v>
      </c>
      <c r="I15" s="120">
        <v>8</v>
      </c>
      <c r="J15" s="112">
        <v>1</v>
      </c>
      <c r="K15" s="74"/>
      <c r="L15" s="16"/>
      <c r="M15" s="75"/>
      <c r="N15" t="s" s="83">
        <v>72</v>
      </c>
      <c r="O15" s="120">
        <v>1</v>
      </c>
      <c r="P15" s="30"/>
      <c r="Q15" s="74"/>
      <c r="R15" s="16"/>
      <c r="S15" s="75"/>
      <c r="T15" s="112">
        <v>74</v>
      </c>
      <c r="U15" s="74"/>
      <c r="V15" s="16"/>
      <c r="W15" s="16"/>
      <c r="X15" s="75"/>
      <c r="Y15" s="30"/>
      <c r="Z15" s="30"/>
      <c r="AA15" t="s" s="83">
        <v>33</v>
      </c>
      <c r="AB15" t="s" s="83">
        <v>34</v>
      </c>
      <c r="AC15" s="87"/>
      <c r="AD15" s="30"/>
      <c r="AE15" s="30"/>
      <c r="AF15" t="s" s="83">
        <v>1934</v>
      </c>
      <c r="AG15" s="156">
        <v>1</v>
      </c>
      <c r="AH15" s="16"/>
      <c r="AI15" s="16"/>
      <c r="AJ15" s="16"/>
      <c r="AK15" s="75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83">
        <v>1913</v>
      </c>
      <c r="B16" s="112">
        <v>1921</v>
      </c>
      <c r="C16" s="112">
        <v>3</v>
      </c>
      <c r="D16" t="s" s="83">
        <v>1914</v>
      </c>
      <c r="E16" s="30"/>
      <c r="F16" s="30"/>
      <c r="G16" t="s" s="83">
        <v>1932</v>
      </c>
      <c r="H16" t="s" s="83">
        <v>1935</v>
      </c>
      <c r="I16" s="120">
        <v>9</v>
      </c>
      <c r="J16" s="112">
        <v>1</v>
      </c>
      <c r="K16" s="74"/>
      <c r="L16" s="16"/>
      <c r="M16" s="75"/>
      <c r="N16" t="s" s="83">
        <v>609</v>
      </c>
      <c r="O16" s="122"/>
      <c r="P16" s="30"/>
      <c r="Q16" s="74"/>
      <c r="R16" s="79">
        <v>1</v>
      </c>
      <c r="S16" s="75"/>
      <c r="T16" s="112">
        <v>78</v>
      </c>
      <c r="U16" s="74"/>
      <c r="V16" s="16"/>
      <c r="W16" s="16"/>
      <c r="X16" s="75"/>
      <c r="Y16" s="30"/>
      <c r="Z16" s="30"/>
      <c r="AA16" t="s" s="83">
        <v>1301</v>
      </c>
      <c r="AB16" t="s" s="83">
        <v>34</v>
      </c>
      <c r="AC16" s="87"/>
      <c r="AD16" s="30"/>
      <c r="AE16" s="30"/>
      <c r="AF16" t="s" s="83">
        <v>1936</v>
      </c>
      <c r="AG16" s="156">
        <v>1</v>
      </c>
      <c r="AH16" s="16"/>
      <c r="AI16" s="16"/>
      <c r="AJ16" s="16"/>
      <c r="AK16" s="75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1913</v>
      </c>
      <c r="B17" s="112">
        <v>1921</v>
      </c>
      <c r="C17" s="112">
        <v>3</v>
      </c>
      <c r="D17" t="s" s="83">
        <v>1914</v>
      </c>
      <c r="E17" s="30"/>
      <c r="F17" s="30"/>
      <c r="G17" t="s" s="83">
        <v>1937</v>
      </c>
      <c r="H17" t="s" s="83">
        <v>1298</v>
      </c>
      <c r="I17" s="120">
        <v>10</v>
      </c>
      <c r="J17" s="112">
        <v>1</v>
      </c>
      <c r="K17" s="74"/>
      <c r="L17" s="16"/>
      <c r="M17" s="75"/>
      <c r="N17" t="s" s="83">
        <v>11</v>
      </c>
      <c r="O17" s="122"/>
      <c r="P17" s="30"/>
      <c r="Q17" s="74"/>
      <c r="R17" s="16"/>
      <c r="S17" s="123">
        <v>1</v>
      </c>
      <c r="T17" s="112">
        <v>27</v>
      </c>
      <c r="U17" s="74"/>
      <c r="V17" s="16"/>
      <c r="W17" s="16"/>
      <c r="X17" s="75"/>
      <c r="Y17" s="30"/>
      <c r="Z17" s="30"/>
      <c r="AA17" t="s" s="83">
        <v>105</v>
      </c>
      <c r="AB17" t="s" s="83">
        <v>15</v>
      </c>
      <c r="AC17" s="112">
        <v>1</v>
      </c>
      <c r="AD17" s="30"/>
      <c r="AE17" s="30"/>
      <c r="AF17" t="s" s="83">
        <v>1938</v>
      </c>
      <c r="AG17" s="74"/>
      <c r="AH17" s="16"/>
      <c r="AI17" s="16"/>
      <c r="AJ17" s="16"/>
      <c r="AK17" s="75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1913</v>
      </c>
      <c r="B18" s="112">
        <v>1921</v>
      </c>
      <c r="C18" s="30"/>
      <c r="D18" t="s" s="83">
        <v>1914</v>
      </c>
      <c r="E18" s="30"/>
      <c r="F18" s="30"/>
      <c r="G18" s="30"/>
      <c r="H18" s="112">
        <v>3</v>
      </c>
      <c r="I18" s="122"/>
      <c r="J18" s="30"/>
      <c r="K18" s="74"/>
      <c r="L18" s="16"/>
      <c r="M18" s="75"/>
      <c r="N18" s="30"/>
      <c r="O18" s="122"/>
      <c r="P18" s="30"/>
      <c r="Q18" s="74"/>
      <c r="R18" s="16"/>
      <c r="S18" s="75"/>
      <c r="T18" s="30"/>
      <c r="U18" s="74"/>
      <c r="V18" s="16"/>
      <c r="W18" s="16"/>
      <c r="X18" s="75"/>
      <c r="Y18" s="30"/>
      <c r="Z18" s="30"/>
      <c r="AA18" s="30"/>
      <c r="AB18" s="30"/>
      <c r="AC18" s="30"/>
      <c r="AD18" s="30"/>
      <c r="AE18" s="30"/>
      <c r="AF18" s="30"/>
      <c r="AG18" s="74"/>
      <c r="AH18" s="16"/>
      <c r="AI18" s="16"/>
      <c r="AJ18" s="16"/>
      <c r="AK18" s="75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1913</v>
      </c>
      <c r="B19" s="112">
        <v>1921</v>
      </c>
      <c r="C19" s="30"/>
      <c r="D19" t="s" s="83">
        <v>1914</v>
      </c>
      <c r="E19" s="30"/>
      <c r="F19" s="30"/>
      <c r="G19" t="s" s="83">
        <v>1</v>
      </c>
      <c r="H19" t="s" s="83">
        <v>0</v>
      </c>
      <c r="I19" s="191"/>
      <c r="J19" t="s" s="83">
        <v>3</v>
      </c>
      <c r="K19" s="192"/>
      <c r="L19" s="3"/>
      <c r="M19" s="193"/>
      <c r="N19" t="s" s="83">
        <v>2</v>
      </c>
      <c r="O19" s="191"/>
      <c r="P19" s="30"/>
      <c r="Q19" s="192"/>
      <c r="R19" s="3"/>
      <c r="S19" s="193"/>
      <c r="T19" t="s" s="83">
        <v>5</v>
      </c>
      <c r="U19" s="192"/>
      <c r="V19" s="3"/>
      <c r="W19" s="3"/>
      <c r="X19" s="193"/>
      <c r="Y19" s="30"/>
      <c r="Z19" s="30"/>
      <c r="AA19" t="s" s="83">
        <v>7</v>
      </c>
      <c r="AB19" t="s" s="83">
        <v>8</v>
      </c>
      <c r="AC19" s="30"/>
      <c r="AD19" s="30"/>
      <c r="AE19" s="30"/>
      <c r="AF19" t="s" s="83">
        <v>6</v>
      </c>
      <c r="AG19" s="192"/>
      <c r="AH19" s="3"/>
      <c r="AI19" s="3"/>
      <c r="AJ19" s="3"/>
      <c r="AK19" s="193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192"/>
      <c r="BA19" s="3"/>
      <c r="BB19" s="3"/>
      <c r="BC19" s="3"/>
    </row>
    <row r="20" ht="17.5" customHeight="1">
      <c r="A20" t="s" s="337">
        <v>1913</v>
      </c>
      <c r="B20" s="331">
        <v>1921</v>
      </c>
      <c r="C20" s="331">
        <v>4</v>
      </c>
      <c r="D20" t="s" s="337">
        <v>1914</v>
      </c>
      <c r="E20" s="30"/>
      <c r="F20" s="208"/>
      <c r="G20" t="s" s="355">
        <v>1939</v>
      </c>
      <c r="H20" t="s" s="355">
        <v>1852</v>
      </c>
      <c r="I20" s="6">
        <v>11</v>
      </c>
      <c r="J20" s="261">
        <v>1</v>
      </c>
      <c r="K20" s="13"/>
      <c r="L20" s="13"/>
      <c r="M20" s="13"/>
      <c r="N20" s="261">
        <v>1</v>
      </c>
      <c r="O20" s="13"/>
      <c r="P20" s="209"/>
      <c r="Q20" s="13"/>
      <c r="R20" s="13"/>
      <c r="S20" s="13"/>
      <c r="T20" s="261">
        <v>50</v>
      </c>
      <c r="U20" s="13"/>
      <c r="V20" s="13"/>
      <c r="W20" s="13"/>
      <c r="X20" s="196"/>
      <c r="Y20" s="30"/>
      <c r="Z20" s="30"/>
      <c r="AA20" t="s" s="356">
        <v>1940</v>
      </c>
      <c r="AB20" t="s" s="355">
        <v>1941</v>
      </c>
      <c r="AC20" s="262">
        <v>1</v>
      </c>
      <c r="AD20" s="30"/>
      <c r="AE20" s="30"/>
      <c r="AF20" t="s" s="356">
        <v>1942</v>
      </c>
      <c r="AG20" s="6">
        <v>1</v>
      </c>
      <c r="AH20" s="13"/>
      <c r="AI20" s="13"/>
      <c r="AJ20" s="13"/>
      <c r="AK20" s="196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195"/>
      <c r="BA20" s="13"/>
      <c r="BB20" s="13"/>
      <c r="BC20" s="10"/>
    </row>
    <row r="21" ht="17.5" customHeight="1">
      <c r="A21" t="s" s="83">
        <v>1913</v>
      </c>
      <c r="B21" s="112">
        <v>1921</v>
      </c>
      <c r="C21" s="112">
        <v>4</v>
      </c>
      <c r="D21" t="s" s="83">
        <v>1914</v>
      </c>
      <c r="E21" s="30"/>
      <c r="F21" s="200"/>
      <c r="G21" t="s" s="285">
        <v>1939</v>
      </c>
      <c r="H21" t="s" s="285">
        <v>1943</v>
      </c>
      <c r="I21" s="264">
        <v>12</v>
      </c>
      <c r="J21" s="264">
        <v>1</v>
      </c>
      <c r="K21" s="14"/>
      <c r="L21" s="14"/>
      <c r="M21" s="14"/>
      <c r="N21" t="s" s="285">
        <v>78</v>
      </c>
      <c r="O21" s="14"/>
      <c r="P21" s="264">
        <v>1</v>
      </c>
      <c r="Q21" s="14"/>
      <c r="R21" s="14"/>
      <c r="S21" s="14"/>
      <c r="T21" s="264">
        <v>44</v>
      </c>
      <c r="U21" s="14"/>
      <c r="V21" s="14"/>
      <c r="W21" s="14"/>
      <c r="X21" s="201"/>
      <c r="Y21" s="30"/>
      <c r="Z21" s="30"/>
      <c r="AA21" t="s" s="357">
        <v>1944</v>
      </c>
      <c r="AB21" t="s" s="285">
        <v>1945</v>
      </c>
      <c r="AC21" s="203">
        <v>1</v>
      </c>
      <c r="AD21" s="30"/>
      <c r="AE21" s="30"/>
      <c r="AF21" t="s" s="357">
        <v>13</v>
      </c>
      <c r="AG21" s="14"/>
      <c r="AH21" s="14"/>
      <c r="AI21" s="14"/>
      <c r="AJ21" s="14"/>
      <c r="AK21" s="201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200"/>
      <c r="BA21" s="14"/>
      <c r="BB21" s="14"/>
      <c r="BC21" s="14"/>
    </row>
    <row r="22" ht="17.5" customHeight="1">
      <c r="A22" t="s" s="83">
        <v>1913</v>
      </c>
      <c r="B22" s="112">
        <v>1921</v>
      </c>
      <c r="C22" s="112">
        <v>4</v>
      </c>
      <c r="D22" t="s" s="83">
        <v>1914</v>
      </c>
      <c r="E22" s="30"/>
      <c r="F22" s="74"/>
      <c r="G22" t="s" s="96">
        <v>1939</v>
      </c>
      <c r="H22" t="s" s="96">
        <v>1946</v>
      </c>
      <c r="I22" s="79">
        <v>13</v>
      </c>
      <c r="J22" s="79">
        <v>1</v>
      </c>
      <c r="K22" s="16"/>
      <c r="L22" s="16"/>
      <c r="M22" s="16"/>
      <c r="N22" t="s" s="96">
        <v>78</v>
      </c>
      <c r="O22" s="16"/>
      <c r="P22" s="79">
        <v>1</v>
      </c>
      <c r="Q22" s="16"/>
      <c r="R22" s="16"/>
      <c r="S22" s="16"/>
      <c r="T22" s="79">
        <v>17</v>
      </c>
      <c r="U22" s="16"/>
      <c r="V22" s="16"/>
      <c r="W22" s="16"/>
      <c r="X22" s="75"/>
      <c r="Y22" s="30"/>
      <c r="Z22" s="30"/>
      <c r="AA22" t="s" s="157">
        <v>1803</v>
      </c>
      <c r="AB22" t="s" s="96">
        <v>1947</v>
      </c>
      <c r="AC22" s="123">
        <v>1</v>
      </c>
      <c r="AD22" s="30"/>
      <c r="AE22" s="30"/>
      <c r="AF22" t="s" s="157">
        <v>13</v>
      </c>
      <c r="AG22" s="16"/>
      <c r="AH22" s="16"/>
      <c r="AI22" s="16"/>
      <c r="AJ22" s="16"/>
      <c r="AK22" s="75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9" customHeight="1">
      <c r="A23" t="s" s="83">
        <v>1913</v>
      </c>
      <c r="B23" s="112">
        <v>1921</v>
      </c>
      <c r="C23" s="112">
        <v>4</v>
      </c>
      <c r="D23" t="s" s="83">
        <v>1914</v>
      </c>
      <c r="E23" s="30"/>
      <c r="F23" s="74"/>
      <c r="G23" t="s" s="96">
        <v>1939</v>
      </c>
      <c r="H23" t="s" s="96">
        <v>1948</v>
      </c>
      <c r="I23" s="79">
        <v>14</v>
      </c>
      <c r="J23" s="16"/>
      <c r="K23" s="16"/>
      <c r="L23" s="79">
        <v>1</v>
      </c>
      <c r="M23" s="16"/>
      <c r="N23" t="s" s="96">
        <v>78</v>
      </c>
      <c r="O23" s="16"/>
      <c r="P23" s="79">
        <v>1</v>
      </c>
      <c r="Q23" s="16"/>
      <c r="R23" s="16"/>
      <c r="S23" s="16"/>
      <c r="T23" s="79">
        <v>8</v>
      </c>
      <c r="U23" s="16"/>
      <c r="V23" s="16"/>
      <c r="W23" s="16"/>
      <c r="X23" s="75"/>
      <c r="Y23" s="29"/>
      <c r="Z23" s="29"/>
      <c r="AA23" t="s" s="157">
        <v>34</v>
      </c>
      <c r="AB23" t="s" s="96">
        <v>34</v>
      </c>
      <c r="AC23" s="75"/>
      <c r="AD23" s="30"/>
      <c r="AE23" s="30"/>
      <c r="AF23" t="s" s="157">
        <v>13</v>
      </c>
      <c r="AG23" s="16"/>
      <c r="AH23" s="16"/>
      <c r="AI23" s="16"/>
      <c r="AJ23" s="16"/>
      <c r="AK23" s="75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t="s" s="83">
        <v>1913</v>
      </c>
      <c r="B24" s="112">
        <v>1921</v>
      </c>
      <c r="C24" s="30"/>
      <c r="D24" t="s" s="83">
        <v>1914</v>
      </c>
      <c r="E24" s="30"/>
      <c r="F24" s="74"/>
      <c r="G24" s="16"/>
      <c r="H24" s="79">
        <v>4</v>
      </c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75"/>
      <c r="Y24" s="30"/>
      <c r="Z24" s="30"/>
      <c r="AA24" s="74"/>
      <c r="AB24" s="16"/>
      <c r="AC24" s="75"/>
      <c r="AD24" s="30"/>
      <c r="AE24" s="30"/>
      <c r="AF24" s="74"/>
      <c r="AG24" s="16"/>
      <c r="AH24" s="16"/>
      <c r="AI24" s="16"/>
      <c r="AJ24" s="16"/>
      <c r="AK24" s="75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t="s" s="83">
        <v>1913</v>
      </c>
      <c r="B25" s="112">
        <v>1921</v>
      </c>
      <c r="C25" s="112">
        <v>5</v>
      </c>
      <c r="D25" t="s" s="83">
        <v>1914</v>
      </c>
      <c r="E25" s="30"/>
      <c r="F25" s="74"/>
      <c r="G25" t="s" s="96">
        <v>1</v>
      </c>
      <c r="H25" t="s" s="96">
        <v>0</v>
      </c>
      <c r="I25" s="16"/>
      <c r="J25" t="s" s="96">
        <v>3</v>
      </c>
      <c r="K25" s="16"/>
      <c r="L25" s="16"/>
      <c r="M25" s="16"/>
      <c r="N25" t="s" s="96">
        <v>2</v>
      </c>
      <c r="O25" s="16"/>
      <c r="P25" s="16"/>
      <c r="Q25" s="16"/>
      <c r="R25" s="16"/>
      <c r="S25" s="16"/>
      <c r="T25" t="s" s="96">
        <v>5</v>
      </c>
      <c r="U25" s="16"/>
      <c r="V25" s="16"/>
      <c r="W25" s="16"/>
      <c r="X25" s="75"/>
      <c r="Y25" s="30"/>
      <c r="Z25" s="30"/>
      <c r="AA25" t="s" s="157">
        <v>7</v>
      </c>
      <c r="AB25" t="s" s="96">
        <v>8</v>
      </c>
      <c r="AC25" s="75"/>
      <c r="AD25" s="30"/>
      <c r="AE25" s="30"/>
      <c r="AF25" t="s" s="157">
        <v>6</v>
      </c>
      <c r="AG25" s="16"/>
      <c r="AH25" s="16"/>
      <c r="AI25" s="16"/>
      <c r="AJ25" s="16"/>
      <c r="AK25" s="75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t="s" s="83">
        <v>1913</v>
      </c>
      <c r="B26" s="112">
        <v>1921</v>
      </c>
      <c r="C26" s="112">
        <v>5</v>
      </c>
      <c r="D26" t="s" s="83">
        <v>1914</v>
      </c>
      <c r="E26" s="30"/>
      <c r="F26" s="74"/>
      <c r="G26" t="s" s="96">
        <v>1949</v>
      </c>
      <c r="H26" t="s" s="96">
        <v>1950</v>
      </c>
      <c r="I26" s="79">
        <v>15</v>
      </c>
      <c r="J26" t="s" s="96">
        <v>37</v>
      </c>
      <c r="K26" s="79">
        <v>1</v>
      </c>
      <c r="L26" s="16"/>
      <c r="M26" s="16"/>
      <c r="N26" s="79">
        <v>1</v>
      </c>
      <c r="O26" s="16"/>
      <c r="P26" s="16"/>
      <c r="Q26" s="16"/>
      <c r="R26" s="16"/>
      <c r="S26" s="16"/>
      <c r="T26" s="79">
        <v>54</v>
      </c>
      <c r="U26" s="16"/>
      <c r="V26" s="16"/>
      <c r="W26" s="16"/>
      <c r="X26" s="75"/>
      <c r="Y26" s="30"/>
      <c r="Z26" s="30"/>
      <c r="AA26" t="s" s="157">
        <v>1951</v>
      </c>
      <c r="AB26" t="s" s="96">
        <v>1952</v>
      </c>
      <c r="AC26" s="123">
        <v>1</v>
      </c>
      <c r="AD26" s="30"/>
      <c r="AE26" s="30"/>
      <c r="AF26" t="s" s="157">
        <v>1953</v>
      </c>
      <c r="AG26" s="79">
        <v>1</v>
      </c>
      <c r="AH26" s="16"/>
      <c r="AI26" s="16"/>
      <c r="AJ26" s="16"/>
      <c r="AK26" s="75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1913</v>
      </c>
      <c r="B27" s="112">
        <v>1921</v>
      </c>
      <c r="C27" s="112">
        <v>5</v>
      </c>
      <c r="D27" t="s" s="83">
        <v>1914</v>
      </c>
      <c r="E27" s="30"/>
      <c r="F27" s="74"/>
      <c r="G27" t="s" s="96">
        <v>1949</v>
      </c>
      <c r="H27" t="s" s="96">
        <v>199</v>
      </c>
      <c r="I27" s="79">
        <v>16</v>
      </c>
      <c r="J27" s="79">
        <v>1</v>
      </c>
      <c r="K27" s="16"/>
      <c r="L27" s="16"/>
      <c r="M27" s="16"/>
      <c r="N27" t="s" s="96">
        <v>72</v>
      </c>
      <c r="O27" s="79">
        <v>1</v>
      </c>
      <c r="P27" s="16"/>
      <c r="Q27" s="16"/>
      <c r="R27" s="16"/>
      <c r="S27" s="16"/>
      <c r="T27" s="79">
        <v>53</v>
      </c>
      <c r="U27" s="16"/>
      <c r="V27" s="16"/>
      <c r="W27" s="16"/>
      <c r="X27" s="75"/>
      <c r="Y27" s="30"/>
      <c r="Z27" s="30"/>
      <c r="AA27" t="s" s="157">
        <v>34</v>
      </c>
      <c r="AB27" t="s" s="96">
        <v>34</v>
      </c>
      <c r="AC27" s="75"/>
      <c r="AD27" s="30"/>
      <c r="AE27" s="30"/>
      <c r="AF27" t="s" s="157">
        <v>790</v>
      </c>
      <c r="AG27" s="79">
        <v>1</v>
      </c>
      <c r="AH27" s="16"/>
      <c r="AI27" s="16"/>
      <c r="AJ27" s="16"/>
      <c r="AK27" s="75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t="s" s="83">
        <v>1913</v>
      </c>
      <c r="B28" s="112">
        <v>1921</v>
      </c>
      <c r="C28" s="30"/>
      <c r="D28" t="s" s="83">
        <v>1914</v>
      </c>
      <c r="E28" s="30"/>
      <c r="F28" s="74"/>
      <c r="G28" s="16"/>
      <c r="H28" s="79">
        <v>2</v>
      </c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75"/>
      <c r="Y28" s="30"/>
      <c r="Z28" s="30"/>
      <c r="AA28" s="74"/>
      <c r="AB28" s="16"/>
      <c r="AC28" s="75"/>
      <c r="AD28" s="30"/>
      <c r="AE28" s="30"/>
      <c r="AF28" s="74"/>
      <c r="AG28" s="16"/>
      <c r="AH28" s="16"/>
      <c r="AI28" s="16"/>
      <c r="AJ28" s="16"/>
      <c r="AK28" s="75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1913</v>
      </c>
      <c r="B29" s="112">
        <v>1921</v>
      </c>
      <c r="C29" s="30"/>
      <c r="D29" t="s" s="83">
        <v>1914</v>
      </c>
      <c r="E29" s="30"/>
      <c r="F29" s="74"/>
      <c r="G29" t="s" s="96">
        <v>1</v>
      </c>
      <c r="H29" t="s" s="96">
        <v>0</v>
      </c>
      <c r="I29" s="16"/>
      <c r="J29" t="s" s="96">
        <v>3</v>
      </c>
      <c r="K29" s="16"/>
      <c r="L29" s="16"/>
      <c r="M29" s="16"/>
      <c r="N29" t="s" s="96">
        <v>2</v>
      </c>
      <c r="O29" s="16"/>
      <c r="P29" s="16"/>
      <c r="Q29" s="16"/>
      <c r="R29" s="16"/>
      <c r="S29" s="16"/>
      <c r="T29" t="s" s="96">
        <v>5</v>
      </c>
      <c r="U29" s="16"/>
      <c r="V29" s="16"/>
      <c r="W29" s="16"/>
      <c r="X29" s="75"/>
      <c r="Y29" s="30"/>
      <c r="Z29" s="30"/>
      <c r="AA29" t="s" s="157">
        <v>7</v>
      </c>
      <c r="AB29" t="s" s="96">
        <v>8</v>
      </c>
      <c r="AC29" s="75"/>
      <c r="AD29" s="30"/>
      <c r="AE29" s="30"/>
      <c r="AF29" t="s" s="157">
        <v>6</v>
      </c>
      <c r="AG29" s="16"/>
      <c r="AH29" s="16"/>
      <c r="AI29" s="16"/>
      <c r="AJ29" s="16"/>
      <c r="AK29" s="75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3">
        <v>1913</v>
      </c>
      <c r="B30" s="112">
        <v>1921</v>
      </c>
      <c r="C30" s="112">
        <v>6</v>
      </c>
      <c r="D30" t="s" s="83">
        <v>1914</v>
      </c>
      <c r="E30" s="30"/>
      <c r="F30" t="s" s="157">
        <v>1954</v>
      </c>
      <c r="G30" t="s" s="96">
        <v>579</v>
      </c>
      <c r="H30" t="s" s="96">
        <v>1955</v>
      </c>
      <c r="I30" s="79">
        <v>17</v>
      </c>
      <c r="J30" t="s" s="96">
        <v>37</v>
      </c>
      <c r="K30" s="79">
        <v>1</v>
      </c>
      <c r="L30" s="16"/>
      <c r="M30" s="16"/>
      <c r="N30" s="79">
        <v>1</v>
      </c>
      <c r="O30" s="16"/>
      <c r="P30" s="16"/>
      <c r="Q30" s="16"/>
      <c r="R30" s="16"/>
      <c r="S30" s="16"/>
      <c r="T30" s="79">
        <v>35</v>
      </c>
      <c r="U30" s="16"/>
      <c r="V30" s="16"/>
      <c r="W30" s="16"/>
      <c r="X30" s="75"/>
      <c r="Y30" s="30"/>
      <c r="Z30" s="30"/>
      <c r="AA30" t="s" s="157">
        <v>1956</v>
      </c>
      <c r="AB30" t="s" s="96">
        <v>1957</v>
      </c>
      <c r="AC30" s="123">
        <v>1</v>
      </c>
      <c r="AD30" s="30"/>
      <c r="AE30" s="30"/>
      <c r="AF30" t="s" s="157">
        <v>729</v>
      </c>
      <c r="AG30" s="79">
        <v>1</v>
      </c>
      <c r="AH30" s="16"/>
      <c r="AI30" s="16"/>
      <c r="AJ30" s="16"/>
      <c r="AK30" s="75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t="s" s="83">
        <v>1913</v>
      </c>
      <c r="B31" s="112">
        <v>1921</v>
      </c>
      <c r="C31" s="112">
        <v>6</v>
      </c>
      <c r="D31" t="s" s="83">
        <v>1914</v>
      </c>
      <c r="E31" s="30"/>
      <c r="F31" t="s" s="157">
        <v>1954</v>
      </c>
      <c r="G31" t="s" s="96">
        <v>579</v>
      </c>
      <c r="H31" t="s" s="96">
        <v>265</v>
      </c>
      <c r="I31" s="79">
        <v>18</v>
      </c>
      <c r="J31" s="79">
        <v>1</v>
      </c>
      <c r="K31" s="16"/>
      <c r="L31" s="16"/>
      <c r="M31" s="16"/>
      <c r="N31" t="s" s="96">
        <v>72</v>
      </c>
      <c r="O31" s="79">
        <v>1</v>
      </c>
      <c r="P31" s="16"/>
      <c r="Q31" s="16"/>
      <c r="R31" s="16"/>
      <c r="S31" s="16"/>
      <c r="T31" s="79">
        <v>31</v>
      </c>
      <c r="U31" s="16"/>
      <c r="V31" s="16"/>
      <c r="W31" s="16"/>
      <c r="X31" s="75"/>
      <c r="Y31" s="30"/>
      <c r="Z31" s="30"/>
      <c r="AA31" t="s" s="157">
        <v>33</v>
      </c>
      <c r="AB31" t="s" s="96">
        <v>34</v>
      </c>
      <c r="AC31" s="75"/>
      <c r="AD31" s="30"/>
      <c r="AE31" s="30"/>
      <c r="AF31" t="s" s="157">
        <v>791</v>
      </c>
      <c r="AG31" s="79">
        <v>1</v>
      </c>
      <c r="AH31" s="16"/>
      <c r="AI31" s="16"/>
      <c r="AJ31" s="16"/>
      <c r="AK31" s="75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t="s" s="83">
        <v>1913</v>
      </c>
      <c r="B32" s="112">
        <v>1921</v>
      </c>
      <c r="C32" s="112">
        <v>6</v>
      </c>
      <c r="D32" t="s" s="83">
        <v>1914</v>
      </c>
      <c r="E32" s="30"/>
      <c r="F32" t="s" s="157">
        <v>1954</v>
      </c>
      <c r="G32" t="s" s="96">
        <v>579</v>
      </c>
      <c r="H32" t="s" s="96">
        <v>1958</v>
      </c>
      <c r="I32" s="79">
        <v>19</v>
      </c>
      <c r="J32" s="16"/>
      <c r="K32" s="16"/>
      <c r="L32" s="79">
        <v>1</v>
      </c>
      <c r="M32" s="16"/>
      <c r="N32" t="s" s="96">
        <v>78</v>
      </c>
      <c r="O32" s="16"/>
      <c r="P32" s="79">
        <v>1</v>
      </c>
      <c r="Q32" s="16"/>
      <c r="R32" s="16"/>
      <c r="S32" s="16"/>
      <c r="T32" s="79">
        <v>5</v>
      </c>
      <c r="U32" s="16"/>
      <c r="V32" s="16"/>
      <c r="W32" s="16"/>
      <c r="X32" s="75"/>
      <c r="Y32" s="30"/>
      <c r="Z32" s="30"/>
      <c r="AA32" t="s" s="157">
        <v>34</v>
      </c>
      <c r="AB32" t="s" s="96">
        <v>34</v>
      </c>
      <c r="AC32" s="75"/>
      <c r="AD32" s="30"/>
      <c r="AE32" s="30"/>
      <c r="AF32" t="s" s="157">
        <v>118</v>
      </c>
      <c r="AG32" s="79">
        <v>1</v>
      </c>
      <c r="AH32" s="16"/>
      <c r="AI32" s="16"/>
      <c r="AJ32" s="16"/>
      <c r="AK32" s="75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9" customHeight="1">
      <c r="A33" t="s" s="83">
        <v>1913</v>
      </c>
      <c r="B33" s="112">
        <v>1921</v>
      </c>
      <c r="C33" s="112">
        <v>6</v>
      </c>
      <c r="D33" t="s" s="83">
        <v>1914</v>
      </c>
      <c r="E33" s="30"/>
      <c r="F33" t="s" s="157">
        <v>1954</v>
      </c>
      <c r="G33" t="s" s="96">
        <v>579</v>
      </c>
      <c r="H33" t="s" s="96">
        <v>525</v>
      </c>
      <c r="I33" s="79">
        <v>20</v>
      </c>
      <c r="J33" t="s" s="96">
        <v>37</v>
      </c>
      <c r="K33" s="16"/>
      <c r="L33" s="16"/>
      <c r="M33" s="79">
        <v>1</v>
      </c>
      <c r="N33" t="s" s="96">
        <v>36</v>
      </c>
      <c r="O33" s="16"/>
      <c r="P33" s="16"/>
      <c r="Q33" s="79">
        <v>1</v>
      </c>
      <c r="R33" s="16"/>
      <c r="S33" s="16"/>
      <c r="T33" s="79">
        <v>3</v>
      </c>
      <c r="U33" s="16"/>
      <c r="V33" s="16"/>
      <c r="W33" s="16"/>
      <c r="X33" s="75"/>
      <c r="Y33" s="29"/>
      <c r="Z33" s="29"/>
      <c r="AA33" t="s" s="157">
        <v>34</v>
      </c>
      <c r="AB33" t="s" s="96">
        <v>34</v>
      </c>
      <c r="AC33" s="75"/>
      <c r="AD33" s="30"/>
      <c r="AE33" s="30"/>
      <c r="AF33" t="s" s="157">
        <v>210</v>
      </c>
      <c r="AG33" s="79">
        <v>1</v>
      </c>
      <c r="AH33" s="16"/>
      <c r="AI33" s="16"/>
      <c r="AJ33" s="16"/>
      <c r="AK33" s="75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.5" customHeight="1">
      <c r="A34" t="s" s="83">
        <v>1913</v>
      </c>
      <c r="B34" s="112">
        <v>1921</v>
      </c>
      <c r="C34" s="112">
        <v>6</v>
      </c>
      <c r="D34" t="s" s="83">
        <v>1914</v>
      </c>
      <c r="E34" s="30"/>
      <c r="F34" t="s" s="157">
        <v>1954</v>
      </c>
      <c r="G34" t="s" s="96">
        <v>1959</v>
      </c>
      <c r="H34" t="s" s="96">
        <v>1960</v>
      </c>
      <c r="I34" s="79">
        <v>21</v>
      </c>
      <c r="J34" s="79">
        <v>1</v>
      </c>
      <c r="K34" s="16"/>
      <c r="L34" s="16"/>
      <c r="M34" s="16"/>
      <c r="N34" t="s" s="96">
        <v>11</v>
      </c>
      <c r="O34" s="16"/>
      <c r="P34" s="16"/>
      <c r="Q34" s="16"/>
      <c r="R34" s="16"/>
      <c r="S34" s="79">
        <v>1</v>
      </c>
      <c r="T34" s="79">
        <v>28</v>
      </c>
      <c r="U34" s="16"/>
      <c r="V34" s="16"/>
      <c r="W34" s="16"/>
      <c r="X34" s="75"/>
      <c r="Y34" s="30"/>
      <c r="Z34" s="30"/>
      <c r="AA34" t="s" s="157">
        <v>105</v>
      </c>
      <c r="AB34" t="s" s="96">
        <v>15</v>
      </c>
      <c r="AC34" s="75"/>
      <c r="AD34" s="30"/>
      <c r="AE34" s="30"/>
      <c r="AF34" t="s" s="157">
        <v>1492</v>
      </c>
      <c r="AG34" s="79">
        <v>1</v>
      </c>
      <c r="AH34" s="16"/>
      <c r="AI34" s="16"/>
      <c r="AJ34" s="16"/>
      <c r="AK34" s="75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t="s" s="83">
        <v>1913</v>
      </c>
      <c r="B35" s="112">
        <v>1921</v>
      </c>
      <c r="C35" s="112">
        <v>6</v>
      </c>
      <c r="D35" t="s" s="83">
        <v>1914</v>
      </c>
      <c r="E35" s="30"/>
      <c r="F35" t="s" s="157">
        <v>1954</v>
      </c>
      <c r="G35" t="s" s="96">
        <v>1961</v>
      </c>
      <c r="H35" t="s" s="96">
        <v>1962</v>
      </c>
      <c r="I35" s="79">
        <v>22</v>
      </c>
      <c r="J35" t="s" s="96">
        <v>37</v>
      </c>
      <c r="K35" s="79">
        <v>1</v>
      </c>
      <c r="L35" s="16"/>
      <c r="M35" s="16"/>
      <c r="N35" t="s" s="96">
        <v>41</v>
      </c>
      <c r="O35" s="16"/>
      <c r="P35" s="16"/>
      <c r="Q35" s="16"/>
      <c r="R35" s="79">
        <v>1</v>
      </c>
      <c r="S35" s="16"/>
      <c r="T35" s="79">
        <v>48</v>
      </c>
      <c r="U35" s="16"/>
      <c r="V35" s="16"/>
      <c r="W35" s="16"/>
      <c r="X35" s="75"/>
      <c r="Y35" s="30"/>
      <c r="Z35" s="30"/>
      <c r="AA35" t="s" s="157">
        <v>1963</v>
      </c>
      <c r="AB35" t="s" s="96">
        <v>1964</v>
      </c>
      <c r="AC35" s="75"/>
      <c r="AD35" s="30"/>
      <c r="AE35" s="30"/>
      <c r="AF35" t="s" s="157">
        <v>791</v>
      </c>
      <c r="AG35" s="79">
        <v>1</v>
      </c>
      <c r="AH35" s="16"/>
      <c r="AI35" s="16"/>
      <c r="AJ35" s="16"/>
      <c r="AK35" s="75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t="s" s="83">
        <v>1913</v>
      </c>
      <c r="B36" s="112">
        <v>1921</v>
      </c>
      <c r="C36" s="112">
        <v>6</v>
      </c>
      <c r="D36" t="s" s="83">
        <v>1914</v>
      </c>
      <c r="E36" s="30"/>
      <c r="F36" t="s" s="157">
        <v>1954</v>
      </c>
      <c r="G36" t="s" s="96">
        <v>1961</v>
      </c>
      <c r="H36" t="s" s="96">
        <v>1965</v>
      </c>
      <c r="I36" s="79">
        <v>23</v>
      </c>
      <c r="J36" s="79">
        <v>1</v>
      </c>
      <c r="K36" s="16"/>
      <c r="L36" s="16"/>
      <c r="M36" s="16"/>
      <c r="N36" t="s" s="96">
        <v>41</v>
      </c>
      <c r="O36" s="16"/>
      <c r="P36" s="16"/>
      <c r="Q36" s="16"/>
      <c r="R36" s="79">
        <v>1</v>
      </c>
      <c r="S36" s="16"/>
      <c r="T36" s="79">
        <v>51</v>
      </c>
      <c r="U36" s="16"/>
      <c r="V36" s="16"/>
      <c r="W36" s="16"/>
      <c r="X36" s="75"/>
      <c r="Y36" s="30"/>
      <c r="Z36" s="30"/>
      <c r="AA36" t="s" s="157">
        <v>33</v>
      </c>
      <c r="AB36" t="s" s="96">
        <v>34</v>
      </c>
      <c r="AC36" s="75"/>
      <c r="AD36" s="30"/>
      <c r="AE36" s="30"/>
      <c r="AF36" t="s" s="157">
        <v>1966</v>
      </c>
      <c r="AG36" s="79">
        <v>1</v>
      </c>
      <c r="AH36" s="16"/>
      <c r="AI36" s="16"/>
      <c r="AJ36" s="16"/>
      <c r="AK36" s="75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t="s" s="83">
        <v>1913</v>
      </c>
      <c r="B37" s="112">
        <v>1921</v>
      </c>
      <c r="C37" s="30"/>
      <c r="D37" t="s" s="83">
        <v>1914</v>
      </c>
      <c r="E37" s="30"/>
      <c r="F37" s="74"/>
      <c r="G37" s="16"/>
      <c r="H37" s="79">
        <v>7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75"/>
      <c r="Y37" s="30"/>
      <c r="Z37" s="30"/>
      <c r="AA37" s="74"/>
      <c r="AB37" s="16"/>
      <c r="AC37" s="75"/>
      <c r="AD37" s="30"/>
      <c r="AE37" s="30"/>
      <c r="AF37" s="74"/>
      <c r="AG37" s="16"/>
      <c r="AH37" s="16"/>
      <c r="AI37" s="16"/>
      <c r="AJ37" s="16"/>
      <c r="AK37" s="75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t="s" s="83">
        <v>1913</v>
      </c>
      <c r="B38" s="112">
        <v>1921</v>
      </c>
      <c r="C38" s="30"/>
      <c r="D38" t="s" s="83">
        <v>1914</v>
      </c>
      <c r="E38" s="30"/>
      <c r="F38" s="74"/>
      <c r="G38" t="s" s="96">
        <v>1</v>
      </c>
      <c r="H38" t="s" s="96">
        <v>0</v>
      </c>
      <c r="I38" s="16"/>
      <c r="J38" t="s" s="96">
        <v>3</v>
      </c>
      <c r="K38" s="16"/>
      <c r="L38" s="16"/>
      <c r="M38" s="16"/>
      <c r="N38" t="s" s="96">
        <v>2</v>
      </c>
      <c r="O38" s="16"/>
      <c r="P38" s="16"/>
      <c r="Q38" s="16"/>
      <c r="R38" s="16"/>
      <c r="S38" s="16"/>
      <c r="T38" t="s" s="96">
        <v>5</v>
      </c>
      <c r="U38" s="16"/>
      <c r="V38" s="16"/>
      <c r="W38" s="16"/>
      <c r="X38" s="75"/>
      <c r="Y38" s="30"/>
      <c r="Z38" s="30"/>
      <c r="AA38" t="s" s="157">
        <v>7</v>
      </c>
      <c r="AB38" t="s" s="96">
        <v>8</v>
      </c>
      <c r="AC38" s="75"/>
      <c r="AD38" s="30"/>
      <c r="AE38" s="30"/>
      <c r="AF38" t="s" s="157">
        <v>6</v>
      </c>
      <c r="AG38" s="16"/>
      <c r="AH38" s="16"/>
      <c r="AI38" s="16"/>
      <c r="AJ38" s="16"/>
      <c r="AK38" s="75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t="s" s="83">
        <v>1913</v>
      </c>
      <c r="B39" s="112">
        <v>1921</v>
      </c>
      <c r="C39" s="112">
        <v>7</v>
      </c>
      <c r="D39" t="s" s="83">
        <v>1914</v>
      </c>
      <c r="E39" s="30"/>
      <c r="F39" s="156">
        <v>2</v>
      </c>
      <c r="G39" t="s" s="96">
        <v>218</v>
      </c>
      <c r="H39" t="s" s="96">
        <v>1967</v>
      </c>
      <c r="I39" s="79">
        <v>24</v>
      </c>
      <c r="J39" t="s" s="96">
        <v>37</v>
      </c>
      <c r="K39" s="79">
        <v>1</v>
      </c>
      <c r="L39" s="16"/>
      <c r="M39" s="16"/>
      <c r="N39" s="79">
        <v>1</v>
      </c>
      <c r="O39" s="16"/>
      <c r="P39" s="16"/>
      <c r="Q39" s="16"/>
      <c r="R39" s="16"/>
      <c r="S39" s="16"/>
      <c r="T39" s="79">
        <v>37</v>
      </c>
      <c r="U39" s="16"/>
      <c r="V39" s="16"/>
      <c r="W39" s="16"/>
      <c r="X39" s="75"/>
      <c r="Y39" s="30"/>
      <c r="Z39" s="30"/>
      <c r="AA39" t="s" s="157">
        <v>1968</v>
      </c>
      <c r="AB39" t="s" s="96">
        <v>34</v>
      </c>
      <c r="AC39" s="123">
        <v>1</v>
      </c>
      <c r="AD39" s="30"/>
      <c r="AE39" s="30"/>
      <c r="AF39" t="s" s="157">
        <v>900</v>
      </c>
      <c r="AG39" s="79">
        <v>1</v>
      </c>
      <c r="AH39" s="16"/>
      <c r="AI39" s="16"/>
      <c r="AJ39" s="16"/>
      <c r="AK39" s="75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.5" customHeight="1">
      <c r="A40" t="s" s="83">
        <v>1913</v>
      </c>
      <c r="B40" s="112">
        <v>1921</v>
      </c>
      <c r="C40" s="112">
        <v>7</v>
      </c>
      <c r="D40" t="s" s="83">
        <v>1914</v>
      </c>
      <c r="E40" s="30"/>
      <c r="F40" s="156">
        <v>2</v>
      </c>
      <c r="G40" t="s" s="96">
        <v>218</v>
      </c>
      <c r="H40" t="s" s="96">
        <v>1969</v>
      </c>
      <c r="I40" s="79">
        <v>25</v>
      </c>
      <c r="J40" s="79">
        <v>1</v>
      </c>
      <c r="K40" s="16"/>
      <c r="L40" s="16"/>
      <c r="M40" s="16"/>
      <c r="N40" t="s" s="96">
        <v>72</v>
      </c>
      <c r="O40" s="79">
        <v>1</v>
      </c>
      <c r="P40" s="16"/>
      <c r="Q40" s="16"/>
      <c r="R40" s="16"/>
      <c r="S40" s="16"/>
      <c r="T40" s="79">
        <v>38</v>
      </c>
      <c r="U40" s="16"/>
      <c r="V40" s="16"/>
      <c r="W40" s="16"/>
      <c r="X40" s="75"/>
      <c r="Y40" s="30"/>
      <c r="Z40" s="30"/>
      <c r="AA40" t="s" s="157">
        <v>34</v>
      </c>
      <c r="AB40" t="s" s="96">
        <v>34</v>
      </c>
      <c r="AC40" s="75"/>
      <c r="AD40" s="30"/>
      <c r="AE40" s="30"/>
      <c r="AF40" t="s" s="157">
        <v>1492</v>
      </c>
      <c r="AG40" s="79">
        <v>1</v>
      </c>
      <c r="AH40" s="16"/>
      <c r="AI40" s="16"/>
      <c r="AJ40" s="16"/>
      <c r="AK40" s="75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t="s" s="83">
        <v>1913</v>
      </c>
      <c r="B41" s="112">
        <v>1921</v>
      </c>
      <c r="C41" s="112">
        <v>7</v>
      </c>
      <c r="D41" t="s" s="83">
        <v>1914</v>
      </c>
      <c r="E41" s="30"/>
      <c r="F41" s="156">
        <v>2</v>
      </c>
      <c r="G41" t="s" s="96">
        <v>218</v>
      </c>
      <c r="H41" t="s" s="96">
        <v>1970</v>
      </c>
      <c r="I41" s="79">
        <v>26</v>
      </c>
      <c r="J41" s="16"/>
      <c r="K41" s="16"/>
      <c r="L41" s="79">
        <v>1</v>
      </c>
      <c r="M41" s="16"/>
      <c r="N41" t="s" s="96">
        <v>78</v>
      </c>
      <c r="O41" s="16"/>
      <c r="P41" s="79">
        <v>1</v>
      </c>
      <c r="Q41" s="16"/>
      <c r="R41" s="16"/>
      <c r="S41" s="16"/>
      <c r="T41" s="79">
        <v>8</v>
      </c>
      <c r="U41" s="16"/>
      <c r="V41" s="16"/>
      <c r="W41" s="16"/>
      <c r="X41" s="75"/>
      <c r="Y41" s="30"/>
      <c r="Z41" s="30"/>
      <c r="AA41" t="s" s="157">
        <v>34</v>
      </c>
      <c r="AB41" t="s" s="96">
        <v>34</v>
      </c>
      <c r="AC41" s="75"/>
      <c r="AD41" s="30"/>
      <c r="AE41" s="30"/>
      <c r="AF41" t="s" s="157">
        <v>1971</v>
      </c>
      <c r="AG41" s="79">
        <v>1</v>
      </c>
      <c r="AH41" s="16"/>
      <c r="AI41" s="16"/>
      <c r="AJ41" s="16"/>
      <c r="AK41" s="75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.5" customHeight="1">
      <c r="A42" t="s" s="83">
        <v>1913</v>
      </c>
      <c r="B42" s="112">
        <v>1921</v>
      </c>
      <c r="C42" s="112">
        <v>7</v>
      </c>
      <c r="D42" t="s" s="83">
        <v>1914</v>
      </c>
      <c r="E42" s="30"/>
      <c r="F42" s="156">
        <v>2</v>
      </c>
      <c r="G42" t="s" s="96">
        <v>1972</v>
      </c>
      <c r="H42" t="s" s="96">
        <v>98</v>
      </c>
      <c r="I42" s="79">
        <v>27</v>
      </c>
      <c r="J42" s="79">
        <v>1</v>
      </c>
      <c r="K42" s="16"/>
      <c r="L42" s="16"/>
      <c r="M42" s="16"/>
      <c r="N42" t="s" s="96">
        <v>11</v>
      </c>
      <c r="O42" s="16"/>
      <c r="P42" s="16"/>
      <c r="Q42" s="16"/>
      <c r="R42" s="16"/>
      <c r="S42" s="79">
        <v>1</v>
      </c>
      <c r="T42" s="79">
        <v>19</v>
      </c>
      <c r="U42" s="16"/>
      <c r="V42" s="16"/>
      <c r="W42" s="16"/>
      <c r="X42" s="75"/>
      <c r="Y42" s="30"/>
      <c r="Z42" s="30"/>
      <c r="AA42" t="s" s="157">
        <v>105</v>
      </c>
      <c r="AB42" t="s" s="96">
        <v>15</v>
      </c>
      <c r="AC42" s="123">
        <v>1</v>
      </c>
      <c r="AD42" s="30"/>
      <c r="AE42" s="30"/>
      <c r="AF42" t="s" s="157">
        <v>267</v>
      </c>
      <c r="AG42" s="16"/>
      <c r="AH42" s="16"/>
      <c r="AI42" s="16"/>
      <c r="AJ42" s="16"/>
      <c r="AK42" s="75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9" customHeight="1">
      <c r="A43" t="s" s="83">
        <v>1913</v>
      </c>
      <c r="B43" s="112">
        <v>1921</v>
      </c>
      <c r="C43" s="30"/>
      <c r="D43" t="s" s="83">
        <v>1914</v>
      </c>
      <c r="E43" s="30"/>
      <c r="F43" s="74"/>
      <c r="G43" s="16"/>
      <c r="H43" s="79">
        <v>4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75"/>
      <c r="Y43" s="29"/>
      <c r="Z43" s="29"/>
      <c r="AA43" s="74"/>
      <c r="AB43" s="16"/>
      <c r="AC43" s="75"/>
      <c r="AD43" s="30"/>
      <c r="AE43" s="30"/>
      <c r="AF43" s="74"/>
      <c r="AG43" s="16"/>
      <c r="AH43" s="16"/>
      <c r="AI43" s="16"/>
      <c r="AJ43" s="16"/>
      <c r="AK43" s="75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t="s" s="83">
        <v>1913</v>
      </c>
      <c r="B44" s="112">
        <v>1921</v>
      </c>
      <c r="C44" s="30"/>
      <c r="D44" t="s" s="83">
        <v>1914</v>
      </c>
      <c r="E44" s="30"/>
      <c r="F44" s="74"/>
      <c r="G44" t="s" s="96">
        <v>1</v>
      </c>
      <c r="H44" t="s" s="96">
        <v>0</v>
      </c>
      <c r="I44" s="16"/>
      <c r="J44" t="s" s="96">
        <v>3</v>
      </c>
      <c r="K44" s="16"/>
      <c r="L44" s="16"/>
      <c r="M44" s="16"/>
      <c r="N44" t="s" s="96">
        <v>2</v>
      </c>
      <c r="O44" s="16"/>
      <c r="P44" s="16"/>
      <c r="Q44" s="16"/>
      <c r="R44" s="16"/>
      <c r="S44" s="16"/>
      <c r="T44" t="s" s="96">
        <v>5</v>
      </c>
      <c r="U44" s="16"/>
      <c r="V44" s="16"/>
      <c r="W44" s="16"/>
      <c r="X44" s="75"/>
      <c r="Y44" s="30"/>
      <c r="Z44" s="30"/>
      <c r="AA44" t="s" s="157">
        <v>7</v>
      </c>
      <c r="AB44" t="s" s="96">
        <v>8</v>
      </c>
      <c r="AC44" s="75"/>
      <c r="AD44" s="30"/>
      <c r="AE44" s="30"/>
      <c r="AF44" t="s" s="157">
        <v>6</v>
      </c>
      <c r="AG44" s="16"/>
      <c r="AH44" s="16"/>
      <c r="AI44" s="16"/>
      <c r="AJ44" s="16"/>
      <c r="AK44" s="75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t="s" s="83">
        <v>1913</v>
      </c>
      <c r="B45" s="112">
        <v>1921</v>
      </c>
      <c r="C45" s="112">
        <v>8</v>
      </c>
      <c r="D45" t="s" s="83">
        <v>1914</v>
      </c>
      <c r="E45" s="30"/>
      <c r="F45" s="156">
        <v>3</v>
      </c>
      <c r="G45" t="s" s="96">
        <v>1973</v>
      </c>
      <c r="H45" t="s" s="96">
        <v>792</v>
      </c>
      <c r="I45" s="79">
        <v>28</v>
      </c>
      <c r="J45" t="s" s="96">
        <v>37</v>
      </c>
      <c r="K45" s="79">
        <v>1</v>
      </c>
      <c r="L45" s="16"/>
      <c r="M45" s="16"/>
      <c r="N45" s="79">
        <v>1</v>
      </c>
      <c r="O45" s="16"/>
      <c r="P45" s="16"/>
      <c r="Q45" s="16"/>
      <c r="R45" s="16"/>
      <c r="S45" s="16"/>
      <c r="T45" s="79">
        <v>44</v>
      </c>
      <c r="U45" s="16"/>
      <c r="V45" s="16"/>
      <c r="W45" s="16"/>
      <c r="X45" s="75"/>
      <c r="Y45" s="30"/>
      <c r="Z45" s="30"/>
      <c r="AA45" t="s" s="157">
        <v>1974</v>
      </c>
      <c r="AB45" t="s" s="96">
        <v>1975</v>
      </c>
      <c r="AC45" s="123">
        <v>1</v>
      </c>
      <c r="AD45" s="30"/>
      <c r="AE45" s="30"/>
      <c r="AF45" t="s" s="157">
        <v>1976</v>
      </c>
      <c r="AG45" s="16"/>
      <c r="AH45" s="16"/>
      <c r="AI45" s="16"/>
      <c r="AJ45" s="16"/>
      <c r="AK45" s="75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t="s" s="83">
        <v>1913</v>
      </c>
      <c r="B46" s="112">
        <v>1921</v>
      </c>
      <c r="C46" s="112">
        <v>8</v>
      </c>
      <c r="D46" t="s" s="83">
        <v>1914</v>
      </c>
      <c r="E46" s="30"/>
      <c r="F46" s="156">
        <v>3</v>
      </c>
      <c r="G46" t="s" s="96">
        <v>1973</v>
      </c>
      <c r="H46" t="s" s="96">
        <v>437</v>
      </c>
      <c r="I46" s="79">
        <v>29</v>
      </c>
      <c r="J46" s="79">
        <v>1</v>
      </c>
      <c r="K46" s="16"/>
      <c r="L46" s="16"/>
      <c r="M46" s="16"/>
      <c r="N46" t="s" s="96">
        <v>72</v>
      </c>
      <c r="O46" s="79">
        <v>1</v>
      </c>
      <c r="P46" s="16"/>
      <c r="Q46" s="16"/>
      <c r="R46" s="16"/>
      <c r="S46" s="16"/>
      <c r="T46" s="79">
        <v>38</v>
      </c>
      <c r="U46" s="16"/>
      <c r="V46" s="16"/>
      <c r="W46" s="16"/>
      <c r="X46" s="75"/>
      <c r="Y46" s="30"/>
      <c r="Z46" s="30"/>
      <c r="AA46" t="s" s="157">
        <v>33</v>
      </c>
      <c r="AB46" t="s" s="96">
        <v>34</v>
      </c>
      <c r="AC46" s="75"/>
      <c r="AD46" s="30"/>
      <c r="AE46" s="30"/>
      <c r="AF46" t="s" s="157">
        <v>1977</v>
      </c>
      <c r="AG46" s="16"/>
      <c r="AH46" s="16"/>
      <c r="AI46" s="16"/>
      <c r="AJ46" s="16"/>
      <c r="AK46" s="75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.5" customHeight="1">
      <c r="A47" t="s" s="83">
        <v>1913</v>
      </c>
      <c r="B47" s="112">
        <v>1921</v>
      </c>
      <c r="C47" s="112">
        <v>8</v>
      </c>
      <c r="D47" t="s" s="83">
        <v>1914</v>
      </c>
      <c r="E47" s="30"/>
      <c r="F47" s="156">
        <v>3</v>
      </c>
      <c r="G47" t="s" s="96">
        <v>1973</v>
      </c>
      <c r="H47" t="s" s="96">
        <v>1978</v>
      </c>
      <c r="I47" s="79">
        <v>30</v>
      </c>
      <c r="J47" t="s" s="96">
        <v>37</v>
      </c>
      <c r="K47" s="16"/>
      <c r="L47" s="16"/>
      <c r="M47" s="79">
        <v>1</v>
      </c>
      <c r="N47" t="s" s="96">
        <v>36</v>
      </c>
      <c r="O47" s="16"/>
      <c r="P47" s="16"/>
      <c r="Q47" s="79">
        <v>1</v>
      </c>
      <c r="R47" s="16"/>
      <c r="S47" s="16"/>
      <c r="T47" s="79">
        <v>12</v>
      </c>
      <c r="U47" s="16"/>
      <c r="V47" s="16"/>
      <c r="W47" s="16"/>
      <c r="X47" s="75"/>
      <c r="Y47" s="30"/>
      <c r="Z47" s="30"/>
      <c r="AA47" t="s" s="157">
        <v>34</v>
      </c>
      <c r="AB47" t="s" s="96">
        <v>34</v>
      </c>
      <c r="AC47" s="75"/>
      <c r="AD47" s="30"/>
      <c r="AE47" s="30"/>
      <c r="AF47" t="s" s="157">
        <v>1979</v>
      </c>
      <c r="AG47" s="79">
        <v>1</v>
      </c>
      <c r="AH47" s="16"/>
      <c r="AI47" s="16"/>
      <c r="AJ47" s="16"/>
      <c r="AK47" s="75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.5" customHeight="1">
      <c r="A48" t="s" s="83">
        <v>1913</v>
      </c>
      <c r="B48" s="112">
        <v>1921</v>
      </c>
      <c r="C48" s="30"/>
      <c r="D48" t="s" s="83">
        <v>1914</v>
      </c>
      <c r="E48" s="30"/>
      <c r="F48" s="74"/>
      <c r="G48" s="16"/>
      <c r="H48" s="79">
        <v>3</v>
      </c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75"/>
      <c r="Y48" s="30"/>
      <c r="Z48" s="30"/>
      <c r="AA48" s="74"/>
      <c r="AB48" s="16"/>
      <c r="AC48" s="75"/>
      <c r="AD48" s="30"/>
      <c r="AE48" s="30"/>
      <c r="AF48" s="74"/>
      <c r="AG48" s="16"/>
      <c r="AH48" s="16"/>
      <c r="AI48" s="16"/>
      <c r="AJ48" s="16"/>
      <c r="AK48" s="75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.5" customHeight="1">
      <c r="A49" t="s" s="83">
        <v>1913</v>
      </c>
      <c r="B49" s="112">
        <v>1921</v>
      </c>
      <c r="C49" s="30"/>
      <c r="D49" t="s" s="83">
        <v>1914</v>
      </c>
      <c r="E49" s="30"/>
      <c r="F49" s="192"/>
      <c r="G49" t="s" s="2">
        <v>1</v>
      </c>
      <c r="H49" t="s" s="2">
        <v>0</v>
      </c>
      <c r="I49" s="3"/>
      <c r="J49" t="s" s="2">
        <v>3</v>
      </c>
      <c r="K49" s="3"/>
      <c r="L49" s="3"/>
      <c r="M49" s="3"/>
      <c r="N49" t="s" s="2">
        <v>2</v>
      </c>
      <c r="O49" s="3"/>
      <c r="P49" s="3"/>
      <c r="Q49" s="3"/>
      <c r="R49" s="3"/>
      <c r="S49" s="3"/>
      <c r="T49" t="s" s="2">
        <v>5</v>
      </c>
      <c r="U49" s="3"/>
      <c r="V49" s="3"/>
      <c r="W49" s="3"/>
      <c r="X49" s="193"/>
      <c r="Y49" s="30"/>
      <c r="Z49" s="30"/>
      <c r="AA49" t="s" s="358">
        <v>7</v>
      </c>
      <c r="AB49" t="s" s="2">
        <v>8</v>
      </c>
      <c r="AC49" s="193"/>
      <c r="AD49" s="30"/>
      <c r="AE49" s="30"/>
      <c r="AF49" t="s" s="358">
        <v>6</v>
      </c>
      <c r="AG49" s="3"/>
      <c r="AH49" s="3"/>
      <c r="AI49" s="3"/>
      <c r="AJ49" s="3"/>
      <c r="AK49" s="193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192"/>
      <c r="BA49" s="3"/>
      <c r="BB49" s="3"/>
      <c r="BC49" s="3"/>
    </row>
    <row r="50" ht="17.5" customHeight="1">
      <c r="A50" t="s" s="337">
        <v>1913</v>
      </c>
      <c r="B50" s="331">
        <v>1921</v>
      </c>
      <c r="C50" s="331">
        <v>9</v>
      </c>
      <c r="D50" t="s" s="337">
        <v>1914</v>
      </c>
      <c r="E50" s="30"/>
      <c r="F50" s="313">
        <v>4</v>
      </c>
      <c r="G50" t="s" s="5">
        <v>1980</v>
      </c>
      <c r="H50" t="s" s="5">
        <v>1981</v>
      </c>
      <c r="I50" s="6">
        <v>31</v>
      </c>
      <c r="J50" s="6">
        <v>1</v>
      </c>
      <c r="K50" s="13"/>
      <c r="L50" s="13"/>
      <c r="M50" s="13"/>
      <c r="N50" s="6">
        <v>1</v>
      </c>
      <c r="O50" s="13"/>
      <c r="P50" s="13"/>
      <c r="Q50" s="13"/>
      <c r="R50" s="13"/>
      <c r="S50" s="13"/>
      <c r="T50" s="6">
        <v>59</v>
      </c>
      <c r="U50" s="13"/>
      <c r="V50" s="13"/>
      <c r="W50" s="13"/>
      <c r="X50" s="196"/>
      <c r="Y50" s="30"/>
      <c r="Z50" s="30"/>
      <c r="AA50" t="s" s="359">
        <v>1745</v>
      </c>
      <c r="AB50" t="s" s="5">
        <v>34</v>
      </c>
      <c r="AC50" s="360">
        <v>1</v>
      </c>
      <c r="AD50" s="30"/>
      <c r="AE50" s="30"/>
      <c r="AF50" t="s" s="359">
        <v>1073</v>
      </c>
      <c r="AG50" s="6">
        <v>1</v>
      </c>
      <c r="AH50" s="13"/>
      <c r="AI50" s="13"/>
      <c r="AJ50" s="13"/>
      <c r="AK50" s="196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195"/>
      <c r="BA50" s="13"/>
      <c r="BB50" s="13"/>
      <c r="BC50" s="10"/>
    </row>
    <row r="51" ht="17.5" customHeight="1">
      <c r="A51" t="s" s="83">
        <v>1913</v>
      </c>
      <c r="B51" s="112">
        <v>1921</v>
      </c>
      <c r="C51" s="112">
        <v>9</v>
      </c>
      <c r="D51" t="s" s="83">
        <v>1914</v>
      </c>
      <c r="E51" s="30"/>
      <c r="F51" s="313">
        <v>4</v>
      </c>
      <c r="G51" t="s" s="322">
        <v>1982</v>
      </c>
      <c r="H51" t="s" s="285">
        <v>1983</v>
      </c>
      <c r="I51" s="264">
        <v>33</v>
      </c>
      <c r="J51" s="264">
        <v>1</v>
      </c>
      <c r="K51" s="14"/>
      <c r="L51" s="14"/>
      <c r="M51" s="14"/>
      <c r="N51" t="s" s="285">
        <v>65</v>
      </c>
      <c r="O51" s="14"/>
      <c r="P51" s="14"/>
      <c r="Q51" s="14"/>
      <c r="R51" s="264">
        <v>1</v>
      </c>
      <c r="S51" s="14"/>
      <c r="T51" s="264">
        <v>26</v>
      </c>
      <c r="U51" s="14"/>
      <c r="V51" s="14"/>
      <c r="W51" s="14"/>
      <c r="X51" s="201"/>
      <c r="Y51" s="30"/>
      <c r="Z51" s="30"/>
      <c r="AA51" t="s" s="357">
        <v>1266</v>
      </c>
      <c r="AB51" t="s" s="285">
        <v>34</v>
      </c>
      <c r="AC51" s="201"/>
      <c r="AD51" s="30"/>
      <c r="AE51" s="30"/>
      <c r="AF51" t="s" s="357">
        <v>1263</v>
      </c>
      <c r="AG51" s="264">
        <v>1</v>
      </c>
      <c r="AH51" s="14"/>
      <c r="AI51" s="14"/>
      <c r="AJ51" s="14"/>
      <c r="AK51" s="201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200"/>
      <c r="BA51" s="14"/>
      <c r="BB51" s="14"/>
      <c r="BC51" s="14"/>
    </row>
    <row r="52" ht="17.5" customHeight="1">
      <c r="A52" t="s" s="83">
        <v>1913</v>
      </c>
      <c r="B52" s="112">
        <v>1921</v>
      </c>
      <c r="C52" s="112">
        <v>9</v>
      </c>
      <c r="D52" t="s" s="83">
        <v>1914</v>
      </c>
      <c r="E52" s="30"/>
      <c r="F52" s="313">
        <v>4</v>
      </c>
      <c r="G52" t="s" s="324">
        <v>1984</v>
      </c>
      <c r="H52" t="s" s="96">
        <v>1985</v>
      </c>
      <c r="I52" s="79">
        <v>33</v>
      </c>
      <c r="J52" t="s" s="96">
        <v>37</v>
      </c>
      <c r="K52" s="79">
        <v>1</v>
      </c>
      <c r="L52" s="16"/>
      <c r="M52" s="16"/>
      <c r="N52" t="s" s="96">
        <v>65</v>
      </c>
      <c r="O52" s="16"/>
      <c r="P52" s="16"/>
      <c r="Q52" s="16"/>
      <c r="R52" s="79">
        <v>1</v>
      </c>
      <c r="S52" s="16"/>
      <c r="T52" s="79">
        <v>34</v>
      </c>
      <c r="U52" s="16"/>
      <c r="V52" s="16"/>
      <c r="W52" s="16"/>
      <c r="X52" s="75"/>
      <c r="Y52" s="30"/>
      <c r="Z52" s="30"/>
      <c r="AA52" t="s" s="157">
        <v>1986</v>
      </c>
      <c r="AB52" t="s" s="96">
        <v>1987</v>
      </c>
      <c r="AC52" s="123">
        <v>1</v>
      </c>
      <c r="AD52" s="30"/>
      <c r="AE52" s="30"/>
      <c r="AF52" t="s" s="157">
        <v>1988</v>
      </c>
      <c r="AG52" s="79">
        <v>1</v>
      </c>
      <c r="AH52" s="16"/>
      <c r="AI52" s="16"/>
      <c r="AJ52" s="16"/>
      <c r="AK52" s="75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9" customHeight="1">
      <c r="A53" t="s" s="83">
        <v>1913</v>
      </c>
      <c r="B53" s="112">
        <v>1921</v>
      </c>
      <c r="C53" s="112">
        <v>9</v>
      </c>
      <c r="D53" t="s" s="83">
        <v>1914</v>
      </c>
      <c r="E53" s="30"/>
      <c r="F53" s="313">
        <v>4</v>
      </c>
      <c r="G53" t="s" s="324">
        <v>1989</v>
      </c>
      <c r="H53" t="s" s="96">
        <v>1990</v>
      </c>
      <c r="I53" s="79">
        <v>34</v>
      </c>
      <c r="J53" t="s" s="96">
        <v>37</v>
      </c>
      <c r="K53" s="79">
        <v>1</v>
      </c>
      <c r="L53" s="16"/>
      <c r="M53" s="16"/>
      <c r="N53" t="s" s="96">
        <v>65</v>
      </c>
      <c r="O53" s="16"/>
      <c r="P53" s="16"/>
      <c r="Q53" s="16"/>
      <c r="R53" s="79">
        <v>1</v>
      </c>
      <c r="S53" s="16"/>
      <c r="T53" s="79">
        <v>25</v>
      </c>
      <c r="U53" s="16"/>
      <c r="V53" s="16"/>
      <c r="W53" s="16"/>
      <c r="X53" s="75"/>
      <c r="Y53" s="29"/>
      <c r="Z53" s="29"/>
      <c r="AA53" t="s" s="157">
        <v>1991</v>
      </c>
      <c r="AB53" t="s" s="96">
        <v>34</v>
      </c>
      <c r="AC53" s="123">
        <v>1</v>
      </c>
      <c r="AD53" s="30"/>
      <c r="AE53" s="30"/>
      <c r="AF53" t="s" s="157">
        <v>512</v>
      </c>
      <c r="AG53" s="79">
        <v>1</v>
      </c>
      <c r="AH53" s="16"/>
      <c r="AI53" s="16"/>
      <c r="AJ53" s="16"/>
      <c r="AK53" s="75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t="s" s="83">
        <v>1913</v>
      </c>
      <c r="B54" s="112">
        <v>1921</v>
      </c>
      <c r="C54" s="112">
        <v>9</v>
      </c>
      <c r="D54" t="s" s="83">
        <v>1914</v>
      </c>
      <c r="E54" s="30"/>
      <c r="F54" s="313">
        <v>4</v>
      </c>
      <c r="G54" t="s" s="324">
        <v>1992</v>
      </c>
      <c r="H54" t="s" s="96">
        <v>1993</v>
      </c>
      <c r="I54" s="79">
        <v>35</v>
      </c>
      <c r="J54" s="79">
        <v>1</v>
      </c>
      <c r="K54" s="16"/>
      <c r="L54" s="16"/>
      <c r="M54" s="16"/>
      <c r="N54" t="s" s="96">
        <v>1994</v>
      </c>
      <c r="O54" s="16"/>
      <c r="P54" s="16"/>
      <c r="Q54" s="16"/>
      <c r="R54" s="16"/>
      <c r="S54" s="79">
        <v>1</v>
      </c>
      <c r="T54" s="79">
        <v>19</v>
      </c>
      <c r="U54" s="16"/>
      <c r="V54" s="16"/>
      <c r="W54" s="16"/>
      <c r="X54" s="75"/>
      <c r="Y54" s="30"/>
      <c r="Z54" s="30"/>
      <c r="AA54" t="s" s="157">
        <v>188</v>
      </c>
      <c r="AB54" t="s" s="96">
        <v>15</v>
      </c>
      <c r="AC54" s="123">
        <v>1</v>
      </c>
      <c r="AD54" s="30"/>
      <c r="AE54" s="30"/>
      <c r="AF54" t="s" s="157">
        <v>1104</v>
      </c>
      <c r="AG54" s="79">
        <v>1</v>
      </c>
      <c r="AH54" s="16"/>
      <c r="AI54" s="16"/>
      <c r="AJ54" s="16"/>
      <c r="AK54" s="75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.5" customHeight="1">
      <c r="A55" t="s" s="83">
        <v>1913</v>
      </c>
      <c r="B55" s="112">
        <v>1921</v>
      </c>
      <c r="C55" s="30"/>
      <c r="D55" t="s" s="83">
        <v>1914</v>
      </c>
      <c r="E55" s="30"/>
      <c r="F55" s="200"/>
      <c r="G55" s="16"/>
      <c r="H55" s="79">
        <v>5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75"/>
      <c r="Y55" s="30"/>
      <c r="Z55" s="30"/>
      <c r="AA55" s="74"/>
      <c r="AB55" s="16"/>
      <c r="AC55" s="75"/>
      <c r="AD55" s="30"/>
      <c r="AE55" s="30"/>
      <c r="AF55" s="74"/>
      <c r="AG55" s="16"/>
      <c r="AH55" s="16"/>
      <c r="AI55" s="16"/>
      <c r="AJ55" s="16"/>
      <c r="AK55" s="75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.5" customHeight="1">
      <c r="A56" t="s" s="83">
        <v>1913</v>
      </c>
      <c r="B56" s="112">
        <v>1921</v>
      </c>
      <c r="C56" s="30"/>
      <c r="D56" t="s" s="83">
        <v>1914</v>
      </c>
      <c r="E56" s="30"/>
      <c r="F56" s="74"/>
      <c r="G56" t="s" s="96">
        <v>1</v>
      </c>
      <c r="H56" t="s" s="96">
        <v>0</v>
      </c>
      <c r="I56" s="16"/>
      <c r="J56" t="s" s="96">
        <v>3</v>
      </c>
      <c r="K56" s="16"/>
      <c r="L56" s="16"/>
      <c r="M56" s="16"/>
      <c r="N56" t="s" s="96">
        <v>2</v>
      </c>
      <c r="O56" s="16"/>
      <c r="P56" s="16"/>
      <c r="Q56" s="16"/>
      <c r="R56" s="16"/>
      <c r="S56" s="16"/>
      <c r="T56" t="s" s="96">
        <v>5</v>
      </c>
      <c r="U56" s="16"/>
      <c r="V56" s="16"/>
      <c r="W56" s="16"/>
      <c r="X56" s="75"/>
      <c r="Y56" s="30"/>
      <c r="Z56" s="30"/>
      <c r="AA56" t="s" s="157">
        <v>7</v>
      </c>
      <c r="AB56" t="s" s="96">
        <v>8</v>
      </c>
      <c r="AC56" s="75"/>
      <c r="AD56" s="30"/>
      <c r="AE56" s="30"/>
      <c r="AF56" t="s" s="157">
        <v>6</v>
      </c>
      <c r="AG56" s="16"/>
      <c r="AH56" s="16"/>
      <c r="AI56" s="16"/>
      <c r="AJ56" s="16"/>
      <c r="AK56" s="75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.5" customHeight="1">
      <c r="A57" t="s" s="83">
        <v>1913</v>
      </c>
      <c r="B57" s="112">
        <v>1921</v>
      </c>
      <c r="C57" s="112">
        <v>10</v>
      </c>
      <c r="D57" t="s" s="83">
        <v>1914</v>
      </c>
      <c r="E57" s="30"/>
      <c r="F57" s="156">
        <v>5</v>
      </c>
      <c r="G57" t="s" s="96">
        <v>1995</v>
      </c>
      <c r="H57" t="s" s="96">
        <v>1996</v>
      </c>
      <c r="I57" s="79">
        <v>36</v>
      </c>
      <c r="J57" t="s" s="96">
        <v>37</v>
      </c>
      <c r="K57" s="79">
        <v>1</v>
      </c>
      <c r="L57" s="16"/>
      <c r="M57" s="16"/>
      <c r="N57" s="79">
        <v>1</v>
      </c>
      <c r="O57" s="16"/>
      <c r="P57" s="16"/>
      <c r="Q57" s="16"/>
      <c r="R57" s="16"/>
      <c r="S57" s="16"/>
      <c r="T57" s="79">
        <v>29</v>
      </c>
      <c r="U57" s="16"/>
      <c r="V57" s="16"/>
      <c r="W57" s="16"/>
      <c r="X57" s="75"/>
      <c r="Y57" s="30"/>
      <c r="Z57" s="30"/>
      <c r="AA57" t="s" s="157">
        <v>1917</v>
      </c>
      <c r="AB57" t="s" s="96">
        <v>603</v>
      </c>
      <c r="AC57" s="123">
        <v>1</v>
      </c>
      <c r="AD57" s="30"/>
      <c r="AE57" s="30"/>
      <c r="AF57" t="s" s="157">
        <v>1223</v>
      </c>
      <c r="AG57" s="79">
        <v>1</v>
      </c>
      <c r="AH57" s="16"/>
      <c r="AI57" s="16"/>
      <c r="AJ57" s="16"/>
      <c r="AK57" s="75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.5" customHeight="1">
      <c r="A58" t="s" s="83">
        <v>1913</v>
      </c>
      <c r="B58" s="112">
        <v>1921</v>
      </c>
      <c r="C58" s="112">
        <v>10</v>
      </c>
      <c r="D58" t="s" s="83">
        <v>1914</v>
      </c>
      <c r="E58" s="30"/>
      <c r="F58" s="156">
        <v>5</v>
      </c>
      <c r="G58" t="s" s="96">
        <v>1995</v>
      </c>
      <c r="H58" t="s" s="96">
        <v>1997</v>
      </c>
      <c r="I58" s="79">
        <v>37</v>
      </c>
      <c r="J58" s="79">
        <v>1</v>
      </c>
      <c r="K58" s="16"/>
      <c r="L58" s="16"/>
      <c r="M58" s="16"/>
      <c r="N58" t="s" s="96">
        <v>72</v>
      </c>
      <c r="O58" s="79">
        <v>1</v>
      </c>
      <c r="P58" s="16"/>
      <c r="Q58" s="16"/>
      <c r="R58" s="16"/>
      <c r="S58" s="16"/>
      <c r="T58" s="79">
        <v>39</v>
      </c>
      <c r="U58" s="16"/>
      <c r="V58" s="16"/>
      <c r="W58" s="16"/>
      <c r="X58" s="75"/>
      <c r="Y58" s="30"/>
      <c r="Z58" s="30"/>
      <c r="AA58" t="s" s="157">
        <v>33</v>
      </c>
      <c r="AB58" t="s" s="96">
        <v>34</v>
      </c>
      <c r="AC58" s="75"/>
      <c r="AD58" s="30"/>
      <c r="AE58" s="30"/>
      <c r="AF58" t="s" s="157">
        <v>1998</v>
      </c>
      <c r="AG58" s="79">
        <v>1</v>
      </c>
      <c r="AH58" s="16"/>
      <c r="AI58" s="16"/>
      <c r="AJ58" s="16"/>
      <c r="AK58" s="75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.5" customHeight="1">
      <c r="A59" t="s" s="83">
        <v>1913</v>
      </c>
      <c r="B59" s="112">
        <v>1921</v>
      </c>
      <c r="C59" s="112">
        <v>10</v>
      </c>
      <c r="D59" t="s" s="83">
        <v>1914</v>
      </c>
      <c r="E59" s="30"/>
      <c r="F59" s="156">
        <v>5</v>
      </c>
      <c r="G59" t="s" s="96">
        <v>1995</v>
      </c>
      <c r="H59" t="s" s="96">
        <v>1999</v>
      </c>
      <c r="I59" s="79">
        <v>38</v>
      </c>
      <c r="J59" s="79">
        <v>1</v>
      </c>
      <c r="K59" s="16"/>
      <c r="L59" s="16"/>
      <c r="M59" s="16"/>
      <c r="N59" t="s" s="96">
        <v>609</v>
      </c>
      <c r="O59" s="16"/>
      <c r="P59" s="16"/>
      <c r="Q59" s="16"/>
      <c r="R59" s="79">
        <v>1</v>
      </c>
      <c r="S59" s="16"/>
      <c r="T59" s="79">
        <v>70</v>
      </c>
      <c r="U59" s="16"/>
      <c r="V59" s="16"/>
      <c r="W59" s="16"/>
      <c r="X59" s="75"/>
      <c r="Y59" s="30"/>
      <c r="Z59" s="30"/>
      <c r="AA59" t="s" s="157">
        <v>33</v>
      </c>
      <c r="AB59" t="s" s="96">
        <v>34</v>
      </c>
      <c r="AC59" s="75"/>
      <c r="AD59" s="30"/>
      <c r="AE59" s="30"/>
      <c r="AF59" t="s" s="157">
        <v>2000</v>
      </c>
      <c r="AG59" s="79">
        <v>1</v>
      </c>
      <c r="AH59" s="16"/>
      <c r="AI59" s="16"/>
      <c r="AJ59" s="16"/>
      <c r="AK59" s="75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.5" customHeight="1">
      <c r="A60" t="s" s="83">
        <v>1913</v>
      </c>
      <c r="B60" s="112">
        <v>1921</v>
      </c>
      <c r="C60" s="112">
        <v>10</v>
      </c>
      <c r="D60" t="s" s="83">
        <v>1914</v>
      </c>
      <c r="E60" s="30"/>
      <c r="F60" s="156">
        <v>5</v>
      </c>
      <c r="G60" t="s" s="96">
        <v>2001</v>
      </c>
      <c r="H60" t="s" s="96">
        <v>2002</v>
      </c>
      <c r="I60" s="79">
        <v>39</v>
      </c>
      <c r="J60" t="s" s="96">
        <v>37</v>
      </c>
      <c r="K60" s="79">
        <v>1</v>
      </c>
      <c r="L60" s="16"/>
      <c r="M60" s="16"/>
      <c r="N60" t="s" s="96">
        <v>65</v>
      </c>
      <c r="O60" s="16"/>
      <c r="P60" s="16"/>
      <c r="Q60" s="16"/>
      <c r="R60" s="79">
        <v>1</v>
      </c>
      <c r="S60" s="16"/>
      <c r="T60" s="79">
        <v>32</v>
      </c>
      <c r="U60" s="16"/>
      <c r="V60" s="16"/>
      <c r="W60" s="16"/>
      <c r="X60" s="75"/>
      <c r="Y60" s="30"/>
      <c r="Z60" s="30"/>
      <c r="AA60" t="s" s="157">
        <v>1917</v>
      </c>
      <c r="AB60" t="s" s="96">
        <v>603</v>
      </c>
      <c r="AC60" s="123">
        <v>1</v>
      </c>
      <c r="AD60" s="30"/>
      <c r="AE60" s="30"/>
      <c r="AF60" t="s" s="157">
        <v>13</v>
      </c>
      <c r="AG60" s="16"/>
      <c r="AH60" s="16"/>
      <c r="AI60" s="16"/>
      <c r="AJ60" s="16"/>
      <c r="AK60" s="75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.5" customHeight="1">
      <c r="A61" t="s" s="83">
        <v>1913</v>
      </c>
      <c r="B61" s="112">
        <v>1921</v>
      </c>
      <c r="C61" s="112">
        <v>10</v>
      </c>
      <c r="D61" t="s" s="83">
        <v>1914</v>
      </c>
      <c r="E61" s="30"/>
      <c r="F61" s="156">
        <v>5</v>
      </c>
      <c r="G61" t="s" s="96">
        <v>2001</v>
      </c>
      <c r="H61" t="s" s="96">
        <v>2003</v>
      </c>
      <c r="I61" s="79">
        <v>40</v>
      </c>
      <c r="J61" s="79">
        <v>1</v>
      </c>
      <c r="K61" s="16"/>
      <c r="L61" s="16"/>
      <c r="M61" s="16"/>
      <c r="N61" t="s" s="96">
        <v>72</v>
      </c>
      <c r="O61" s="79">
        <v>1</v>
      </c>
      <c r="P61" s="16"/>
      <c r="Q61" s="16"/>
      <c r="R61" s="16"/>
      <c r="S61" s="16"/>
      <c r="T61" s="79">
        <v>30</v>
      </c>
      <c r="U61" s="16"/>
      <c r="V61" s="16"/>
      <c r="W61" s="16"/>
      <c r="X61" s="75"/>
      <c r="Y61" s="30"/>
      <c r="Z61" s="30"/>
      <c r="AA61" t="s" s="157">
        <v>33</v>
      </c>
      <c r="AB61" t="s" s="96">
        <v>34</v>
      </c>
      <c r="AC61" s="75"/>
      <c r="AD61" s="30"/>
      <c r="AE61" s="30"/>
      <c r="AF61" t="s" s="157">
        <v>13</v>
      </c>
      <c r="AG61" s="16"/>
      <c r="AH61" s="16"/>
      <c r="AI61" s="16"/>
      <c r="AJ61" s="16"/>
      <c r="AK61" s="75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7.5" customHeight="1">
      <c r="A62" t="s" s="83">
        <v>1913</v>
      </c>
      <c r="B62" s="112">
        <v>1921</v>
      </c>
      <c r="C62" s="112">
        <v>10</v>
      </c>
      <c r="D62" t="s" s="83">
        <v>1914</v>
      </c>
      <c r="E62" s="30"/>
      <c r="F62" s="156">
        <v>5</v>
      </c>
      <c r="G62" t="s" s="96">
        <v>2001</v>
      </c>
      <c r="H62" t="s" s="96">
        <v>2004</v>
      </c>
      <c r="I62" s="79">
        <v>41</v>
      </c>
      <c r="J62" s="16"/>
      <c r="K62" s="16"/>
      <c r="L62" s="79">
        <v>1</v>
      </c>
      <c r="M62" s="16"/>
      <c r="N62" t="s" s="96">
        <v>78</v>
      </c>
      <c r="O62" s="16"/>
      <c r="P62" s="79">
        <v>1</v>
      </c>
      <c r="Q62" s="16"/>
      <c r="R62" s="16"/>
      <c r="S62" s="16"/>
      <c r="T62" s="79">
        <v>2</v>
      </c>
      <c r="U62" s="16"/>
      <c r="V62" s="16"/>
      <c r="W62" s="16"/>
      <c r="X62" s="75"/>
      <c r="Y62" s="30"/>
      <c r="Z62" s="30"/>
      <c r="AA62" t="s" s="157">
        <v>34</v>
      </c>
      <c r="AB62" t="s" s="96">
        <v>34</v>
      </c>
      <c r="AC62" s="75"/>
      <c r="AD62" s="30"/>
      <c r="AE62" s="30"/>
      <c r="AF62" t="s" s="157">
        <v>785</v>
      </c>
      <c r="AG62" s="79">
        <v>1</v>
      </c>
      <c r="AH62" s="16"/>
      <c r="AI62" s="16"/>
      <c r="AJ62" s="16"/>
      <c r="AK62" s="75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9" customHeight="1">
      <c r="A63" t="s" s="83">
        <v>1913</v>
      </c>
      <c r="B63" s="112">
        <v>1921</v>
      </c>
      <c r="C63" s="30"/>
      <c r="D63" t="s" s="83">
        <v>1914</v>
      </c>
      <c r="E63" s="30"/>
      <c r="F63" s="74"/>
      <c r="G63" s="16"/>
      <c r="H63" s="79">
        <v>6</v>
      </c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75"/>
      <c r="Y63" s="29"/>
      <c r="Z63" s="29"/>
      <c r="AA63" s="74"/>
      <c r="AB63" s="16"/>
      <c r="AC63" s="75"/>
      <c r="AD63" s="30"/>
      <c r="AE63" s="30"/>
      <c r="AF63" s="74"/>
      <c r="AG63" s="16"/>
      <c r="AH63" s="16"/>
      <c r="AI63" s="16"/>
      <c r="AJ63" s="16"/>
      <c r="AK63" s="75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</row>
    <row r="64" ht="17.5" customHeight="1">
      <c r="A64" t="s" s="83">
        <v>1913</v>
      </c>
      <c r="B64" s="112">
        <v>1921</v>
      </c>
      <c r="C64" s="30"/>
      <c r="D64" t="s" s="83">
        <v>1914</v>
      </c>
      <c r="E64" s="30"/>
      <c r="F64" s="74"/>
      <c r="G64" t="s" s="96">
        <v>1</v>
      </c>
      <c r="H64" t="s" s="96">
        <v>0</v>
      </c>
      <c r="I64" s="16"/>
      <c r="J64" t="s" s="96">
        <v>3</v>
      </c>
      <c r="K64" s="16"/>
      <c r="L64" s="16"/>
      <c r="M64" s="16"/>
      <c r="N64" t="s" s="96">
        <v>2</v>
      </c>
      <c r="O64" s="16"/>
      <c r="P64" s="16"/>
      <c r="Q64" s="16"/>
      <c r="R64" s="16"/>
      <c r="S64" s="16"/>
      <c r="T64" t="s" s="96">
        <v>5</v>
      </c>
      <c r="U64" s="16"/>
      <c r="V64" s="16"/>
      <c r="W64" s="16"/>
      <c r="X64" s="75"/>
      <c r="Y64" s="30"/>
      <c r="Z64" s="30"/>
      <c r="AA64" t="s" s="157">
        <v>7</v>
      </c>
      <c r="AB64" t="s" s="96">
        <v>8</v>
      </c>
      <c r="AC64" s="75"/>
      <c r="AD64" s="30"/>
      <c r="AE64" s="30"/>
      <c r="AF64" t="s" s="157">
        <v>6</v>
      </c>
      <c r="AG64" s="16"/>
      <c r="AH64" s="16"/>
      <c r="AI64" s="16"/>
      <c r="AJ64" s="16"/>
      <c r="AK64" s="75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</row>
    <row r="65" ht="17.5" customHeight="1">
      <c r="A65" t="s" s="83">
        <v>1913</v>
      </c>
      <c r="B65" s="112">
        <v>1921</v>
      </c>
      <c r="C65" s="112">
        <v>11</v>
      </c>
      <c r="D65" t="s" s="83">
        <v>1914</v>
      </c>
      <c r="E65" s="30"/>
      <c r="F65" s="156">
        <v>6</v>
      </c>
      <c r="G65" t="s" s="96">
        <v>2005</v>
      </c>
      <c r="H65" t="s" s="96">
        <v>2006</v>
      </c>
      <c r="I65" s="79">
        <v>42</v>
      </c>
      <c r="J65" t="s" s="96">
        <v>37</v>
      </c>
      <c r="K65" s="79">
        <v>1</v>
      </c>
      <c r="L65" s="16"/>
      <c r="M65" s="16"/>
      <c r="N65" s="79">
        <v>1</v>
      </c>
      <c r="O65" s="16"/>
      <c r="P65" s="16"/>
      <c r="Q65" s="16"/>
      <c r="R65" s="16"/>
      <c r="S65" s="16"/>
      <c r="T65" s="79">
        <v>54</v>
      </c>
      <c r="U65" s="16"/>
      <c r="V65" s="16"/>
      <c r="W65" s="16"/>
      <c r="X65" s="75"/>
      <c r="Y65" s="30"/>
      <c r="Z65" s="30"/>
      <c r="AA65" t="s" s="157">
        <v>2007</v>
      </c>
      <c r="AB65" t="s" s="96">
        <v>2008</v>
      </c>
      <c r="AC65" s="123">
        <v>1</v>
      </c>
      <c r="AD65" s="30"/>
      <c r="AE65" s="30"/>
      <c r="AF65" t="s" s="157">
        <v>2009</v>
      </c>
      <c r="AG65" s="79">
        <v>1</v>
      </c>
      <c r="AH65" s="16"/>
      <c r="AI65" s="16"/>
      <c r="AJ65" s="16"/>
      <c r="AK65" s="75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</row>
    <row r="66" ht="17.5" customHeight="1">
      <c r="A66" t="s" s="83">
        <v>1913</v>
      </c>
      <c r="B66" s="112">
        <v>1921</v>
      </c>
      <c r="C66" s="112">
        <v>11</v>
      </c>
      <c r="D66" t="s" s="83">
        <v>1914</v>
      </c>
      <c r="E66" s="30"/>
      <c r="F66" s="156">
        <v>6</v>
      </c>
      <c r="G66" t="s" s="96">
        <v>2005</v>
      </c>
      <c r="H66" t="s" s="96">
        <v>2010</v>
      </c>
      <c r="I66" s="79">
        <v>43</v>
      </c>
      <c r="J66" s="79">
        <v>1</v>
      </c>
      <c r="K66" s="16"/>
      <c r="L66" s="16"/>
      <c r="M66" s="16"/>
      <c r="N66" t="s" s="96">
        <v>72</v>
      </c>
      <c r="O66" s="79">
        <v>1</v>
      </c>
      <c r="P66" s="16"/>
      <c r="Q66" s="16"/>
      <c r="R66" s="16"/>
      <c r="S66" s="16"/>
      <c r="T66" s="79">
        <v>55</v>
      </c>
      <c r="U66" s="16"/>
      <c r="V66" s="16"/>
      <c r="W66" s="16"/>
      <c r="X66" s="75"/>
      <c r="Y66" s="30"/>
      <c r="Z66" s="30"/>
      <c r="AA66" t="s" s="157">
        <v>34</v>
      </c>
      <c r="AB66" t="s" s="96">
        <v>34</v>
      </c>
      <c r="AC66" s="75"/>
      <c r="AD66" s="30"/>
      <c r="AE66" s="30"/>
      <c r="AF66" t="s" s="157">
        <v>2011</v>
      </c>
      <c r="AG66" s="79">
        <v>1</v>
      </c>
      <c r="AH66" s="16"/>
      <c r="AI66" s="16"/>
      <c r="AJ66" s="16"/>
      <c r="AK66" s="75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74"/>
      <c r="BA66" s="16"/>
      <c r="BB66" s="16"/>
      <c r="BC66" s="16"/>
    </row>
    <row r="67" ht="17.5" customHeight="1">
      <c r="A67" t="s" s="83">
        <v>1913</v>
      </c>
      <c r="B67" s="112">
        <v>1921</v>
      </c>
      <c r="C67" s="30"/>
      <c r="D67" t="s" s="83">
        <v>1914</v>
      </c>
      <c r="E67" s="30"/>
      <c r="F67" s="74"/>
      <c r="G67" s="16"/>
      <c r="H67" s="79">
        <v>2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75"/>
      <c r="Y67" s="30"/>
      <c r="Z67" s="30"/>
      <c r="AA67" s="74"/>
      <c r="AB67" s="16"/>
      <c r="AC67" s="75"/>
      <c r="AD67" s="30"/>
      <c r="AE67" s="30"/>
      <c r="AF67" s="74"/>
      <c r="AG67" s="16"/>
      <c r="AH67" s="16"/>
      <c r="AI67" s="16"/>
      <c r="AJ67" s="16"/>
      <c r="AK67" s="75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</row>
    <row r="68" ht="17.5" customHeight="1">
      <c r="A68" t="s" s="83">
        <v>1913</v>
      </c>
      <c r="B68" s="112">
        <v>1921</v>
      </c>
      <c r="C68" s="30"/>
      <c r="D68" t="s" s="83">
        <v>1914</v>
      </c>
      <c r="E68" s="30"/>
      <c r="F68" s="192"/>
      <c r="G68" t="s" s="2">
        <v>1</v>
      </c>
      <c r="H68" t="s" s="2">
        <v>0</v>
      </c>
      <c r="I68" s="3"/>
      <c r="J68" t="s" s="2">
        <v>3</v>
      </c>
      <c r="K68" s="3"/>
      <c r="L68" s="3"/>
      <c r="M68" s="3"/>
      <c r="N68" t="s" s="2">
        <v>2</v>
      </c>
      <c r="O68" s="3"/>
      <c r="P68" s="3"/>
      <c r="Q68" s="3"/>
      <c r="R68" s="3"/>
      <c r="S68" s="3"/>
      <c r="T68" t="s" s="2">
        <v>5</v>
      </c>
      <c r="U68" s="3"/>
      <c r="V68" s="3"/>
      <c r="W68" s="3"/>
      <c r="X68" s="193"/>
      <c r="Y68" s="30"/>
      <c r="Z68" s="30"/>
      <c r="AA68" t="s" s="358">
        <v>7</v>
      </c>
      <c r="AB68" t="s" s="2">
        <v>8</v>
      </c>
      <c r="AC68" s="193"/>
      <c r="AD68" s="30"/>
      <c r="AE68" s="30"/>
      <c r="AF68" t="s" s="358">
        <v>6</v>
      </c>
      <c r="AG68" s="3"/>
      <c r="AH68" s="3"/>
      <c r="AI68" s="3"/>
      <c r="AJ68" s="3"/>
      <c r="AK68" s="193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192"/>
      <c r="BA68" s="3"/>
      <c r="BB68" s="3"/>
      <c r="BC68" s="3"/>
    </row>
    <row r="69" ht="17.5" customHeight="1">
      <c r="A69" t="s" s="337">
        <v>1913</v>
      </c>
      <c r="B69" s="331">
        <v>1921</v>
      </c>
      <c r="C69" s="331">
        <v>12</v>
      </c>
      <c r="D69" t="s" s="337">
        <v>1914</v>
      </c>
      <c r="E69" s="30"/>
      <c r="F69" s="313">
        <v>7</v>
      </c>
      <c r="G69" t="s" s="5">
        <v>2012</v>
      </c>
      <c r="H69" t="s" s="5">
        <v>192</v>
      </c>
      <c r="I69" s="6">
        <v>44</v>
      </c>
      <c r="J69" s="6">
        <v>1</v>
      </c>
      <c r="K69" s="13"/>
      <c r="L69" s="13"/>
      <c r="M69" s="13"/>
      <c r="N69" s="6">
        <v>1</v>
      </c>
      <c r="O69" s="13"/>
      <c r="P69" s="13"/>
      <c r="Q69" s="13"/>
      <c r="R69" s="13"/>
      <c r="S69" s="13"/>
      <c r="T69" s="6">
        <v>54</v>
      </c>
      <c r="U69" s="13"/>
      <c r="V69" s="13"/>
      <c r="W69" s="13"/>
      <c r="X69" s="196"/>
      <c r="Y69" s="30"/>
      <c r="Z69" s="30"/>
      <c r="AA69" t="s" s="359">
        <v>2013</v>
      </c>
      <c r="AB69" t="s" s="5">
        <v>34</v>
      </c>
      <c r="AC69" s="360">
        <v>1</v>
      </c>
      <c r="AD69" s="30"/>
      <c r="AE69" s="30"/>
      <c r="AF69" t="s" s="359">
        <v>2014</v>
      </c>
      <c r="AG69" s="6">
        <v>1</v>
      </c>
      <c r="AH69" s="13"/>
      <c r="AI69" s="13"/>
      <c r="AJ69" s="13"/>
      <c r="AK69" s="196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195"/>
      <c r="BA69" s="13"/>
      <c r="BB69" s="13"/>
      <c r="BC69" s="10"/>
    </row>
    <row r="70" ht="17.5" customHeight="1">
      <c r="A70" t="s" s="83">
        <v>1913</v>
      </c>
      <c r="B70" s="112">
        <v>1921</v>
      </c>
      <c r="C70" s="112">
        <v>12</v>
      </c>
      <c r="D70" t="s" s="83">
        <v>1914</v>
      </c>
      <c r="E70" s="30"/>
      <c r="F70" s="316">
        <v>7</v>
      </c>
      <c r="G70" t="s" s="285">
        <v>2015</v>
      </c>
      <c r="H70" t="s" s="285">
        <v>1202</v>
      </c>
      <c r="I70" s="264">
        <v>45</v>
      </c>
      <c r="J70" t="s" s="285">
        <v>37</v>
      </c>
      <c r="K70" s="264">
        <v>1</v>
      </c>
      <c r="L70" s="14"/>
      <c r="M70" s="14"/>
      <c r="N70" t="s" s="285">
        <v>65</v>
      </c>
      <c r="O70" s="14"/>
      <c r="P70" s="14"/>
      <c r="Q70" s="14"/>
      <c r="R70" s="264">
        <v>1</v>
      </c>
      <c r="S70" s="14"/>
      <c r="T70" s="264">
        <v>74</v>
      </c>
      <c r="U70" s="14"/>
      <c r="V70" s="14"/>
      <c r="W70" s="14"/>
      <c r="X70" s="201"/>
      <c r="Y70" s="30"/>
      <c r="Z70" s="30"/>
      <c r="AA70" t="s" s="357">
        <v>2016</v>
      </c>
      <c r="AB70" t="s" s="285">
        <v>2017</v>
      </c>
      <c r="AC70" s="203">
        <v>1</v>
      </c>
      <c r="AD70" s="30"/>
      <c r="AE70" s="30"/>
      <c r="AF70" t="s" s="357">
        <v>34</v>
      </c>
      <c r="AG70" s="14"/>
      <c r="AH70" s="14"/>
      <c r="AI70" s="14"/>
      <c r="AJ70" s="14"/>
      <c r="AK70" s="201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200"/>
      <c r="BA70" s="14"/>
      <c r="BB70" s="14"/>
      <c r="BC70" s="14"/>
    </row>
    <row r="71" ht="17.5" customHeight="1">
      <c r="A71" t="s" s="83">
        <v>1913</v>
      </c>
      <c r="B71" s="112">
        <v>1921</v>
      </c>
      <c r="C71" s="112">
        <v>12</v>
      </c>
      <c r="D71" t="s" s="83">
        <v>1914</v>
      </c>
      <c r="E71" s="30"/>
      <c r="F71" s="156">
        <v>7</v>
      </c>
      <c r="G71" t="s" s="96">
        <v>2018</v>
      </c>
      <c r="H71" t="s" s="96">
        <v>2019</v>
      </c>
      <c r="I71" s="79">
        <v>46</v>
      </c>
      <c r="J71" t="s" s="96">
        <v>37</v>
      </c>
      <c r="K71" s="79">
        <v>1</v>
      </c>
      <c r="L71" s="16"/>
      <c r="M71" s="16"/>
      <c r="N71" t="s" s="96">
        <v>65</v>
      </c>
      <c r="O71" s="16"/>
      <c r="P71" s="16"/>
      <c r="Q71" s="16"/>
      <c r="R71" s="79">
        <v>1</v>
      </c>
      <c r="S71" s="16"/>
      <c r="T71" s="79">
        <v>44</v>
      </c>
      <c r="U71" s="16"/>
      <c r="V71" s="16"/>
      <c r="W71" s="16"/>
      <c r="X71" s="75"/>
      <c r="Y71" s="30"/>
      <c r="Z71" s="30"/>
      <c r="AA71" t="s" s="157">
        <v>2020</v>
      </c>
      <c r="AB71" t="s" s="96">
        <v>2021</v>
      </c>
      <c r="AC71" s="123">
        <v>1</v>
      </c>
      <c r="AD71" s="30"/>
      <c r="AE71" s="30"/>
      <c r="AF71" t="s" s="157">
        <v>2022</v>
      </c>
      <c r="AG71" s="79">
        <v>1</v>
      </c>
      <c r="AH71" s="16"/>
      <c r="AI71" s="16"/>
      <c r="AJ71" s="16"/>
      <c r="AK71" s="75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74"/>
      <c r="BA71" s="16"/>
      <c r="BB71" s="16"/>
      <c r="BC71" s="16"/>
    </row>
    <row r="72" ht="17.5" customHeight="1">
      <c r="A72" t="s" s="83">
        <v>1913</v>
      </c>
      <c r="B72" s="112">
        <v>1921</v>
      </c>
      <c r="C72" s="30"/>
      <c r="D72" t="s" s="83">
        <v>1914</v>
      </c>
      <c r="E72" s="30"/>
      <c r="F72" s="74"/>
      <c r="G72" s="16"/>
      <c r="H72" s="79">
        <v>3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75"/>
      <c r="Y72" s="30"/>
      <c r="Z72" s="30"/>
      <c r="AA72" s="74"/>
      <c r="AB72" s="16"/>
      <c r="AC72" s="75"/>
      <c r="AD72" s="30"/>
      <c r="AE72" s="30"/>
      <c r="AF72" s="74"/>
      <c r="AG72" s="16"/>
      <c r="AH72" s="16"/>
      <c r="AI72" s="16"/>
      <c r="AJ72" s="16"/>
      <c r="AK72" s="75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74"/>
      <c r="BA72" s="16"/>
      <c r="BB72" s="16"/>
      <c r="BC72" s="16"/>
    </row>
    <row r="73" ht="19" customHeight="1">
      <c r="A73" t="s" s="83">
        <v>1913</v>
      </c>
      <c r="B73" s="112">
        <v>1921</v>
      </c>
      <c r="C73" s="30"/>
      <c r="D73" t="s" s="83">
        <v>1914</v>
      </c>
      <c r="E73" s="30"/>
      <c r="F73" s="74"/>
      <c r="G73" t="s" s="96">
        <v>1</v>
      </c>
      <c r="H73" t="s" s="96">
        <v>0</v>
      </c>
      <c r="I73" s="16"/>
      <c r="J73" t="s" s="96">
        <v>3</v>
      </c>
      <c r="K73" s="16"/>
      <c r="L73" s="16"/>
      <c r="M73" s="16"/>
      <c r="N73" t="s" s="96">
        <v>2</v>
      </c>
      <c r="O73" s="16"/>
      <c r="P73" s="16"/>
      <c r="Q73" s="16"/>
      <c r="R73" s="16"/>
      <c r="S73" s="16"/>
      <c r="T73" t="s" s="96">
        <v>5</v>
      </c>
      <c r="U73" s="16"/>
      <c r="V73" s="16"/>
      <c r="W73" s="16"/>
      <c r="X73" s="75"/>
      <c r="Y73" s="29"/>
      <c r="Z73" s="29"/>
      <c r="AA73" t="s" s="157">
        <v>7</v>
      </c>
      <c r="AB73" t="s" s="96">
        <v>8</v>
      </c>
      <c r="AC73" s="75"/>
      <c r="AD73" s="30"/>
      <c r="AE73" s="30"/>
      <c r="AF73" t="s" s="157">
        <v>6</v>
      </c>
      <c r="AG73" s="16"/>
      <c r="AH73" s="16"/>
      <c r="AI73" s="16"/>
      <c r="AJ73" s="16"/>
      <c r="AK73" s="75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74"/>
      <c r="BA73" s="16"/>
      <c r="BB73" s="16"/>
      <c r="BC73" s="16"/>
    </row>
    <row r="74" ht="17.5" customHeight="1">
      <c r="A74" t="s" s="83">
        <v>1913</v>
      </c>
      <c r="B74" s="112">
        <v>1921</v>
      </c>
      <c r="C74" s="112">
        <v>13</v>
      </c>
      <c r="D74" t="s" s="83">
        <v>1914</v>
      </c>
      <c r="E74" s="30"/>
      <c r="F74" s="156">
        <v>9</v>
      </c>
      <c r="G74" t="s" s="96">
        <v>2023</v>
      </c>
      <c r="H74" t="s" s="96">
        <v>2024</v>
      </c>
      <c r="I74" s="79">
        <v>47</v>
      </c>
      <c r="J74" t="s" s="96">
        <v>37</v>
      </c>
      <c r="K74" s="79">
        <v>1</v>
      </c>
      <c r="L74" s="16"/>
      <c r="M74" s="16"/>
      <c r="N74" s="79">
        <v>1</v>
      </c>
      <c r="O74" s="16"/>
      <c r="P74" s="16"/>
      <c r="Q74" s="16"/>
      <c r="R74" s="16"/>
      <c r="S74" s="16"/>
      <c r="T74" s="79">
        <v>39</v>
      </c>
      <c r="U74" s="16"/>
      <c r="V74" s="16"/>
      <c r="W74" s="16"/>
      <c r="X74" s="75"/>
      <c r="Y74" s="30"/>
      <c r="Z74" s="30"/>
      <c r="AA74" t="s" s="157">
        <v>2025</v>
      </c>
      <c r="AB74" t="s" s="96">
        <v>2026</v>
      </c>
      <c r="AC74" s="75"/>
      <c r="AD74" s="30"/>
      <c r="AE74" s="30"/>
      <c r="AF74" t="s" s="157">
        <v>54</v>
      </c>
      <c r="AG74" s="16"/>
      <c r="AH74" s="16"/>
      <c r="AI74" s="16"/>
      <c r="AJ74" s="16"/>
      <c r="AK74" s="75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74"/>
      <c r="BA74" s="16"/>
      <c r="BB74" s="16"/>
      <c r="BC74" s="16"/>
    </row>
    <row r="75" ht="17.5" customHeight="1">
      <c r="A75" t="s" s="83">
        <v>1913</v>
      </c>
      <c r="B75" s="112">
        <v>1921</v>
      </c>
      <c r="C75" s="112">
        <v>13</v>
      </c>
      <c r="D75" t="s" s="83">
        <v>1914</v>
      </c>
      <c r="E75" s="30"/>
      <c r="F75" s="156">
        <v>9</v>
      </c>
      <c r="G75" t="s" s="96">
        <v>2023</v>
      </c>
      <c r="H75" t="s" s="96">
        <v>2027</v>
      </c>
      <c r="I75" s="79">
        <v>48</v>
      </c>
      <c r="J75" s="79">
        <v>1</v>
      </c>
      <c r="K75" s="16"/>
      <c r="L75" s="16"/>
      <c r="M75" s="16"/>
      <c r="N75" t="s" s="96">
        <v>72</v>
      </c>
      <c r="O75" s="79">
        <v>1</v>
      </c>
      <c r="P75" s="16"/>
      <c r="Q75" s="16"/>
      <c r="R75" s="16"/>
      <c r="S75" s="16"/>
      <c r="T75" s="79">
        <v>40</v>
      </c>
      <c r="U75" s="16"/>
      <c r="V75" s="16"/>
      <c r="W75" s="16"/>
      <c r="X75" s="75"/>
      <c r="Y75" s="30"/>
      <c r="Z75" s="30"/>
      <c r="AA75" t="s" s="157">
        <v>33</v>
      </c>
      <c r="AB75" t="s" s="96">
        <v>34</v>
      </c>
      <c r="AC75" s="75"/>
      <c r="AD75" s="30"/>
      <c r="AE75" s="30"/>
      <c r="AF75" t="s" s="157">
        <v>54</v>
      </c>
      <c r="AG75" s="16"/>
      <c r="AH75" s="16"/>
      <c r="AI75" s="16"/>
      <c r="AJ75" s="16"/>
      <c r="AK75" s="75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74"/>
      <c r="BA75" s="16"/>
      <c r="BB75" s="16"/>
      <c r="BC75" s="16"/>
    </row>
    <row r="76" ht="17.5" customHeight="1">
      <c r="A76" t="s" s="83">
        <v>1913</v>
      </c>
      <c r="B76" s="112">
        <v>1921</v>
      </c>
      <c r="C76" s="112">
        <v>13</v>
      </c>
      <c r="D76" t="s" s="83">
        <v>1914</v>
      </c>
      <c r="E76" s="30"/>
      <c r="F76" s="156">
        <v>9</v>
      </c>
      <c r="G76" t="s" s="96">
        <v>2023</v>
      </c>
      <c r="H76" t="s" s="96">
        <v>2028</v>
      </c>
      <c r="I76" s="79">
        <v>49</v>
      </c>
      <c r="J76" t="s" s="96">
        <v>37</v>
      </c>
      <c r="K76" s="79">
        <v>1</v>
      </c>
      <c r="L76" s="16"/>
      <c r="M76" s="16"/>
      <c r="N76" t="s" s="96">
        <v>36</v>
      </c>
      <c r="O76" s="16"/>
      <c r="P76" s="16"/>
      <c r="Q76" s="79">
        <v>1</v>
      </c>
      <c r="R76" s="16"/>
      <c r="S76" s="16"/>
      <c r="T76" s="79">
        <v>10</v>
      </c>
      <c r="U76" s="16"/>
      <c r="V76" s="16"/>
      <c r="W76" s="16"/>
      <c r="X76" s="75"/>
      <c r="Y76" s="30"/>
      <c r="Z76" s="30"/>
      <c r="AA76" t="s" s="157">
        <v>34</v>
      </c>
      <c r="AB76" t="s" s="96">
        <v>34</v>
      </c>
      <c r="AC76" s="75"/>
      <c r="AD76" s="30"/>
      <c r="AE76" s="30"/>
      <c r="AF76" t="s" s="157">
        <v>54</v>
      </c>
      <c r="AG76" s="16"/>
      <c r="AH76" s="16"/>
      <c r="AI76" s="16"/>
      <c r="AJ76" s="16"/>
      <c r="AK76" s="75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74"/>
      <c r="BA76" s="16"/>
      <c r="BB76" s="16"/>
      <c r="BC76" s="16"/>
    </row>
    <row r="77" ht="17.5" customHeight="1">
      <c r="A77" t="s" s="83">
        <v>1913</v>
      </c>
      <c r="B77" s="112">
        <v>1921</v>
      </c>
      <c r="C77" s="112">
        <v>13</v>
      </c>
      <c r="D77" t="s" s="83">
        <v>1914</v>
      </c>
      <c r="E77" s="30"/>
      <c r="F77" s="156">
        <v>9</v>
      </c>
      <c r="G77" t="s" s="96">
        <v>83</v>
      </c>
      <c r="H77" t="s" s="96">
        <v>591</v>
      </c>
      <c r="I77" s="79">
        <v>50</v>
      </c>
      <c r="J77" s="79">
        <v>1</v>
      </c>
      <c r="K77" s="16"/>
      <c r="L77" s="16"/>
      <c r="M77" s="16"/>
      <c r="N77" t="s" s="96">
        <v>2029</v>
      </c>
      <c r="O77" s="16"/>
      <c r="P77" s="16"/>
      <c r="Q77" s="16"/>
      <c r="R77" s="79">
        <v>1</v>
      </c>
      <c r="S77" s="16"/>
      <c r="T77" s="79">
        <v>69</v>
      </c>
      <c r="U77" s="16"/>
      <c r="V77" s="16"/>
      <c r="W77" s="16"/>
      <c r="X77" s="75"/>
      <c r="Y77" s="30"/>
      <c r="Z77" s="30"/>
      <c r="AA77" t="s" s="157">
        <v>94</v>
      </c>
      <c r="AB77" t="s" s="96">
        <v>34</v>
      </c>
      <c r="AC77" s="75"/>
      <c r="AD77" s="30"/>
      <c r="AE77" s="30"/>
      <c r="AF77" t="s" s="157">
        <v>54</v>
      </c>
      <c r="AG77" s="16"/>
      <c r="AH77" s="16"/>
      <c r="AI77" s="16"/>
      <c r="AJ77" s="16"/>
      <c r="AK77" s="75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74"/>
      <c r="BA77" s="16"/>
      <c r="BB77" s="16"/>
      <c r="BC77" s="16"/>
    </row>
    <row r="78" ht="17.5" customHeight="1">
      <c r="A78" t="s" s="83">
        <v>1913</v>
      </c>
      <c r="B78" s="112">
        <v>1921</v>
      </c>
      <c r="C78" s="30"/>
      <c r="D78" t="s" s="83">
        <v>1914</v>
      </c>
      <c r="E78" s="30"/>
      <c r="F78" s="74"/>
      <c r="G78" s="16"/>
      <c r="H78" s="79">
        <v>4</v>
      </c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75"/>
      <c r="Y78" s="30"/>
      <c r="Z78" s="30"/>
      <c r="AA78" s="74"/>
      <c r="AB78" s="16"/>
      <c r="AC78" s="75"/>
      <c r="AD78" s="30"/>
      <c r="AE78" s="30"/>
      <c r="AF78" s="74"/>
      <c r="AG78" s="16"/>
      <c r="AH78" s="16"/>
      <c r="AI78" s="16"/>
      <c r="AJ78" s="16"/>
      <c r="AK78" s="75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74"/>
      <c r="BA78" s="16"/>
      <c r="BB78" s="16"/>
      <c r="BC78" s="16"/>
    </row>
    <row r="79" ht="17.5" customHeight="1">
      <c r="A79" t="s" s="83">
        <v>1913</v>
      </c>
      <c r="B79" s="112">
        <v>1921</v>
      </c>
      <c r="C79" s="30"/>
      <c r="D79" t="s" s="83">
        <v>1914</v>
      </c>
      <c r="E79" s="30"/>
      <c r="F79" s="74"/>
      <c r="G79" t="s" s="96">
        <v>1</v>
      </c>
      <c r="H79" t="s" s="96">
        <v>0</v>
      </c>
      <c r="I79" s="16"/>
      <c r="J79" t="s" s="96">
        <v>3</v>
      </c>
      <c r="K79" s="16"/>
      <c r="L79" s="16"/>
      <c r="M79" s="16"/>
      <c r="N79" t="s" s="96">
        <v>2</v>
      </c>
      <c r="O79" s="16"/>
      <c r="P79" s="16"/>
      <c r="Q79" s="16"/>
      <c r="R79" s="16"/>
      <c r="S79" s="16"/>
      <c r="T79" t="s" s="96">
        <v>5</v>
      </c>
      <c r="U79" s="16"/>
      <c r="V79" s="16"/>
      <c r="W79" s="16"/>
      <c r="X79" s="75"/>
      <c r="Y79" s="30"/>
      <c r="Z79" s="30"/>
      <c r="AA79" t="s" s="157">
        <v>7</v>
      </c>
      <c r="AB79" t="s" s="96">
        <v>8</v>
      </c>
      <c r="AC79" s="75"/>
      <c r="AD79" s="30"/>
      <c r="AE79" s="30"/>
      <c r="AF79" t="s" s="157">
        <v>6</v>
      </c>
      <c r="AG79" s="16"/>
      <c r="AH79" s="16"/>
      <c r="AI79" s="16"/>
      <c r="AJ79" s="16"/>
      <c r="AK79" s="75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74"/>
      <c r="BA79" s="16"/>
      <c r="BB79" s="16"/>
      <c r="BC79" s="16"/>
    </row>
    <row r="80" ht="17.5" customHeight="1">
      <c r="A80" t="s" s="83">
        <v>1913</v>
      </c>
      <c r="B80" s="112">
        <v>1921</v>
      </c>
      <c r="C80" s="112">
        <v>14</v>
      </c>
      <c r="D80" t="s" s="83">
        <v>1914</v>
      </c>
      <c r="E80" s="30"/>
      <c r="F80" s="156">
        <v>10</v>
      </c>
      <c r="G80" t="s" s="96">
        <v>2030</v>
      </c>
      <c r="H80" t="s" s="96">
        <v>533</v>
      </c>
      <c r="I80" s="79">
        <v>51</v>
      </c>
      <c r="J80" t="s" s="96">
        <v>37</v>
      </c>
      <c r="K80" s="79">
        <v>1</v>
      </c>
      <c r="L80" s="16"/>
      <c r="M80" s="16"/>
      <c r="N80" s="79">
        <v>1</v>
      </c>
      <c r="O80" s="16"/>
      <c r="P80" s="16"/>
      <c r="Q80" s="16"/>
      <c r="R80" s="16"/>
      <c r="S80" s="16"/>
      <c r="T80" s="79">
        <v>39</v>
      </c>
      <c r="U80" s="16"/>
      <c r="V80" s="16"/>
      <c r="W80" s="16"/>
      <c r="X80" s="75"/>
      <c r="Y80" s="30"/>
      <c r="Z80" s="30"/>
      <c r="AA80" t="s" s="157">
        <v>2031</v>
      </c>
      <c r="AB80" t="s" s="96">
        <v>8</v>
      </c>
      <c r="AC80" s="123">
        <v>1</v>
      </c>
      <c r="AD80" s="112">
        <v>1</v>
      </c>
      <c r="AE80" s="30"/>
      <c r="AF80" t="s" s="157">
        <v>2032</v>
      </c>
      <c r="AG80" s="79">
        <v>1</v>
      </c>
      <c r="AH80" s="16"/>
      <c r="AI80" s="16"/>
      <c r="AJ80" s="16"/>
      <c r="AK80" s="75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74"/>
      <c r="BA80" s="16"/>
      <c r="BB80" s="16"/>
      <c r="BC80" s="16"/>
    </row>
    <row r="81" ht="17.5" customHeight="1">
      <c r="A81" t="s" s="83">
        <v>1913</v>
      </c>
      <c r="B81" s="112">
        <v>1921</v>
      </c>
      <c r="C81" s="112">
        <v>14</v>
      </c>
      <c r="D81" t="s" s="83">
        <v>1914</v>
      </c>
      <c r="E81" s="30"/>
      <c r="F81" s="156">
        <v>10</v>
      </c>
      <c r="G81" t="s" s="96">
        <v>2030</v>
      </c>
      <c r="H81" t="s" s="96">
        <v>1412</v>
      </c>
      <c r="I81" s="79">
        <v>52</v>
      </c>
      <c r="J81" s="79">
        <v>1</v>
      </c>
      <c r="K81" s="16"/>
      <c r="L81" s="16"/>
      <c r="M81" s="16"/>
      <c r="N81" t="s" s="96">
        <v>72</v>
      </c>
      <c r="O81" s="79">
        <v>1</v>
      </c>
      <c r="P81" s="16"/>
      <c r="Q81" s="16"/>
      <c r="R81" s="16"/>
      <c r="S81" s="16"/>
      <c r="T81" s="79">
        <v>38</v>
      </c>
      <c r="U81" s="16"/>
      <c r="V81" s="16"/>
      <c r="W81" s="16"/>
      <c r="X81" s="75"/>
      <c r="Y81" s="30"/>
      <c r="Z81" s="30"/>
      <c r="AA81" t="s" s="157">
        <v>33</v>
      </c>
      <c r="AB81" t="s" s="96">
        <v>34</v>
      </c>
      <c r="AC81" s="75"/>
      <c r="AD81" s="30"/>
      <c r="AE81" s="30"/>
      <c r="AF81" t="s" s="157">
        <v>13</v>
      </c>
      <c r="AG81" s="16"/>
      <c r="AH81" s="16"/>
      <c r="AI81" s="16"/>
      <c r="AJ81" s="16"/>
      <c r="AK81" s="75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74"/>
      <c r="BA81" s="16"/>
      <c r="BB81" s="16"/>
      <c r="BC81" s="16"/>
    </row>
    <row r="82" ht="17.5" customHeight="1">
      <c r="A82" t="s" s="83">
        <v>1913</v>
      </c>
      <c r="B82" s="112">
        <v>1921</v>
      </c>
      <c r="C82" s="112">
        <v>14</v>
      </c>
      <c r="D82" t="s" s="83">
        <v>1914</v>
      </c>
      <c r="E82" s="30"/>
      <c r="F82" s="156">
        <v>10</v>
      </c>
      <c r="G82" t="s" s="96">
        <v>2030</v>
      </c>
      <c r="H82" t="s" s="96">
        <v>2033</v>
      </c>
      <c r="I82" s="79">
        <v>53</v>
      </c>
      <c r="J82" s="79">
        <v>1</v>
      </c>
      <c r="K82" s="16"/>
      <c r="L82" s="16"/>
      <c r="M82" s="16"/>
      <c r="N82" t="s" s="96">
        <v>78</v>
      </c>
      <c r="O82" s="16"/>
      <c r="P82" s="79">
        <v>1</v>
      </c>
      <c r="Q82" s="16"/>
      <c r="R82" s="16"/>
      <c r="S82" s="16"/>
      <c r="T82" s="79">
        <v>13</v>
      </c>
      <c r="U82" s="16"/>
      <c r="V82" s="16"/>
      <c r="W82" s="16"/>
      <c r="X82" s="75"/>
      <c r="Y82" s="30"/>
      <c r="Z82" s="30"/>
      <c r="AA82" t="s" s="157">
        <v>34</v>
      </c>
      <c r="AB82" t="s" s="96">
        <v>34</v>
      </c>
      <c r="AC82" s="75"/>
      <c r="AD82" s="30"/>
      <c r="AE82" s="30"/>
      <c r="AF82" t="s" s="157">
        <v>13</v>
      </c>
      <c r="AG82" s="16"/>
      <c r="AH82" s="16"/>
      <c r="AI82" s="16"/>
      <c r="AJ82" s="16"/>
      <c r="AK82" s="75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74"/>
      <c r="BA82" s="16"/>
      <c r="BB82" s="16"/>
      <c r="BC82" s="16"/>
    </row>
    <row r="83" ht="17" customHeight="1">
      <c r="A83" t="s" s="83">
        <v>1913</v>
      </c>
      <c r="B83" s="112">
        <v>1921</v>
      </c>
      <c r="C83" s="112">
        <v>14</v>
      </c>
      <c r="D83" t="s" s="83">
        <v>1914</v>
      </c>
      <c r="E83" s="30"/>
      <c r="F83" s="156">
        <v>10</v>
      </c>
      <c r="G83" t="s" s="96">
        <v>2030</v>
      </c>
      <c r="H83" t="s" s="96">
        <v>64</v>
      </c>
      <c r="I83" s="79">
        <v>54</v>
      </c>
      <c r="J83" t="s" s="96">
        <v>37</v>
      </c>
      <c r="K83" s="79">
        <v>1</v>
      </c>
      <c r="L83" s="16"/>
      <c r="M83" s="16"/>
      <c r="N83" t="s" s="96">
        <v>228</v>
      </c>
      <c r="O83" s="16"/>
      <c r="P83" s="16"/>
      <c r="Q83" s="16"/>
      <c r="R83" s="79">
        <v>1</v>
      </c>
      <c r="S83" s="16"/>
      <c r="T83" s="79">
        <v>40</v>
      </c>
      <c r="U83" s="16"/>
      <c r="V83" s="16"/>
      <c r="W83" s="16"/>
      <c r="X83" s="75"/>
      <c r="Y83" s="112" cm="1">
        <f t="array" ref="Y83">SUM(Y73:Y82)</f>
        <v>0</v>
      </c>
      <c r="Z83" s="112" cm="1">
        <f t="array" ref="Z83">SUM(Z73:Z82)</f>
        <v>0</v>
      </c>
      <c r="AA83" t="s" s="157">
        <v>2031</v>
      </c>
      <c r="AB83" t="s" s="96">
        <v>8</v>
      </c>
      <c r="AC83" s="75"/>
      <c r="AD83" s="30"/>
      <c r="AE83" s="30"/>
      <c r="AF83" t="s" s="157">
        <v>2032</v>
      </c>
      <c r="AG83" s="79">
        <v>1</v>
      </c>
      <c r="AH83" s="16"/>
      <c r="AI83" s="16"/>
      <c r="AJ83" s="16"/>
      <c r="AK83" s="75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74"/>
      <c r="BA83" s="16"/>
      <c r="BB83" s="16"/>
      <c r="BC83" s="16"/>
    </row>
    <row r="84" ht="17.5" customHeight="1">
      <c r="A84" t="s" s="83">
        <v>1913</v>
      </c>
      <c r="B84" s="112">
        <v>1921</v>
      </c>
      <c r="C84" s="112">
        <v>14</v>
      </c>
      <c r="D84" t="s" s="83">
        <v>1914</v>
      </c>
      <c r="E84" s="30"/>
      <c r="F84" s="156">
        <v>10</v>
      </c>
      <c r="G84" t="s" s="96">
        <v>2034</v>
      </c>
      <c r="H84" t="s" s="96">
        <v>1568</v>
      </c>
      <c r="I84" s="79">
        <v>55</v>
      </c>
      <c r="J84" t="s" s="96">
        <v>37</v>
      </c>
      <c r="K84" s="79">
        <v>1</v>
      </c>
      <c r="L84" s="16"/>
      <c r="M84" s="16"/>
      <c r="N84" t="s" s="96">
        <v>65</v>
      </c>
      <c r="O84" s="16"/>
      <c r="P84" s="16"/>
      <c r="Q84" s="16"/>
      <c r="R84" s="79">
        <v>1</v>
      </c>
      <c r="S84" s="16"/>
      <c r="T84" s="79">
        <v>29</v>
      </c>
      <c r="U84" s="16"/>
      <c r="V84" s="16"/>
      <c r="W84" s="16"/>
      <c r="X84" s="75"/>
      <c r="Y84" s="30"/>
      <c r="Z84" s="30"/>
      <c r="AA84" t="s" s="157">
        <v>2035</v>
      </c>
      <c r="AB84" t="s" s="96">
        <v>8</v>
      </c>
      <c r="AC84" s="123">
        <v>1</v>
      </c>
      <c r="AD84" s="112">
        <v>1</v>
      </c>
      <c r="AE84" s="30"/>
      <c r="AF84" t="s" s="157">
        <v>222</v>
      </c>
      <c r="AG84" s="79">
        <v>1</v>
      </c>
      <c r="AH84" s="16"/>
      <c r="AI84" s="16"/>
      <c r="AJ84" s="16"/>
      <c r="AK84" s="75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74"/>
      <c r="BA84" s="16"/>
      <c r="BB84" s="16"/>
      <c r="BC84" s="16"/>
    </row>
    <row r="85" ht="17.5" customHeight="1">
      <c r="A85" t="s" s="83">
        <v>1913</v>
      </c>
      <c r="B85" s="112">
        <v>1921</v>
      </c>
      <c r="C85" s="112">
        <v>14</v>
      </c>
      <c r="D85" t="s" s="83">
        <v>1914</v>
      </c>
      <c r="E85" s="30"/>
      <c r="F85" s="156">
        <v>10</v>
      </c>
      <c r="G85" t="s" s="96">
        <v>2036</v>
      </c>
      <c r="H85" t="s" s="96">
        <v>874</v>
      </c>
      <c r="I85" s="79">
        <v>56</v>
      </c>
      <c r="J85" s="79">
        <v>1</v>
      </c>
      <c r="K85" s="16"/>
      <c r="L85" s="16"/>
      <c r="M85" s="16"/>
      <c r="N85" t="s" s="96">
        <v>11</v>
      </c>
      <c r="O85" s="16"/>
      <c r="P85" s="16"/>
      <c r="Q85" s="16"/>
      <c r="R85" s="16"/>
      <c r="S85" s="79">
        <v>1</v>
      </c>
      <c r="T85" s="79">
        <v>40</v>
      </c>
      <c r="U85" s="16"/>
      <c r="V85" s="16"/>
      <c r="W85" s="16"/>
      <c r="X85" s="75"/>
      <c r="Y85" s="30"/>
      <c r="Z85" s="30"/>
      <c r="AA85" t="s" s="157">
        <v>105</v>
      </c>
      <c r="AB85" t="s" s="96">
        <v>2037</v>
      </c>
      <c r="AC85" s="123">
        <v>1</v>
      </c>
      <c r="AD85" s="30"/>
      <c r="AE85" s="30"/>
      <c r="AF85" t="s" s="157">
        <v>13</v>
      </c>
      <c r="AG85" s="16"/>
      <c r="AH85" s="16"/>
      <c r="AI85" s="16"/>
      <c r="AJ85" s="16"/>
      <c r="AK85" s="75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74"/>
      <c r="BA85" s="16"/>
      <c r="BB85" s="16"/>
      <c r="BC85" s="16"/>
    </row>
    <row r="86" ht="17.5" customHeight="1">
      <c r="A86" t="s" s="83">
        <v>1913</v>
      </c>
      <c r="B86" s="112">
        <v>1921</v>
      </c>
      <c r="C86" s="30"/>
      <c r="D86" t="s" s="83">
        <v>1914</v>
      </c>
      <c r="E86" s="124"/>
      <c r="F86" s="74"/>
      <c r="G86" s="16"/>
      <c r="H86" s="79">
        <v>6</v>
      </c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75"/>
      <c r="Y86" s="28"/>
      <c r="Z86" s="28"/>
      <c r="AA86" s="74"/>
      <c r="AB86" s="16"/>
      <c r="AC86" s="75"/>
      <c r="AD86" s="30"/>
      <c r="AE86" s="30"/>
      <c r="AF86" s="74"/>
      <c r="AG86" s="16"/>
      <c r="AH86" s="16"/>
      <c r="AI86" s="16"/>
      <c r="AJ86" s="16"/>
      <c r="AK86" s="75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74"/>
      <c r="BA86" s="16"/>
      <c r="BB86" s="16"/>
      <c r="BC86" s="16"/>
    </row>
    <row r="87" ht="28" customHeight="1">
      <c r="A87" t="s" s="83">
        <v>1913</v>
      </c>
      <c r="B87" s="112">
        <v>1921</v>
      </c>
      <c r="C87" s="30"/>
      <c r="D87" t="s" s="83">
        <v>1914</v>
      </c>
      <c r="E87" s="124"/>
      <c r="F87" s="192"/>
      <c r="G87" t="s" s="2">
        <v>1</v>
      </c>
      <c r="H87" t="s" s="2">
        <v>0</v>
      </c>
      <c r="I87" s="3"/>
      <c r="J87" t="s" s="2">
        <v>3</v>
      </c>
      <c r="K87" s="3"/>
      <c r="L87" s="3"/>
      <c r="M87" s="3"/>
      <c r="N87" t="s" s="2">
        <v>2</v>
      </c>
      <c r="O87" s="3"/>
      <c r="P87" s="3"/>
      <c r="Q87" s="3"/>
      <c r="R87" s="3"/>
      <c r="S87" s="3"/>
      <c r="T87" t="s" s="2">
        <v>5</v>
      </c>
      <c r="U87" s="3"/>
      <c r="V87" s="3"/>
      <c r="W87" s="3"/>
      <c r="X87" s="193"/>
      <c r="Y87" s="28"/>
      <c r="Z87" s="28"/>
      <c r="AA87" t="s" s="358">
        <v>7</v>
      </c>
      <c r="AB87" t="s" s="2">
        <v>8</v>
      </c>
      <c r="AC87" s="193"/>
      <c r="AD87" s="30"/>
      <c r="AE87" s="30"/>
      <c r="AF87" t="s" s="358">
        <v>6</v>
      </c>
      <c r="AG87" s="3"/>
      <c r="AH87" s="3"/>
      <c r="AI87" s="3"/>
      <c r="AJ87" s="3"/>
      <c r="AK87" s="193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192"/>
      <c r="BA87" s="3"/>
      <c r="BB87" s="3"/>
      <c r="BC87" s="3"/>
    </row>
    <row r="88" ht="17.5" customHeight="1">
      <c r="A88" t="s" s="337">
        <v>1913</v>
      </c>
      <c r="B88" s="331">
        <v>1921</v>
      </c>
      <c r="C88" s="331">
        <v>15</v>
      </c>
      <c r="D88" t="s" s="337">
        <v>1914</v>
      </c>
      <c r="E88" s="30"/>
      <c r="F88" s="313">
        <v>11</v>
      </c>
      <c r="G88" t="s" s="5">
        <v>2038</v>
      </c>
      <c r="H88" t="s" s="5">
        <v>2039</v>
      </c>
      <c r="I88" s="6">
        <v>57</v>
      </c>
      <c r="J88" s="6">
        <v>1</v>
      </c>
      <c r="K88" s="13"/>
      <c r="L88" s="13"/>
      <c r="M88" s="13"/>
      <c r="N88" s="6">
        <v>1</v>
      </c>
      <c r="O88" s="13"/>
      <c r="P88" s="13"/>
      <c r="Q88" s="13"/>
      <c r="R88" s="13"/>
      <c r="S88" s="13"/>
      <c r="T88" s="6">
        <v>48</v>
      </c>
      <c r="U88" s="13"/>
      <c r="V88" s="13"/>
      <c r="W88" s="13"/>
      <c r="X88" s="196"/>
      <c r="Y88" s="361"/>
      <c r="Z88" s="30"/>
      <c r="AA88" t="s" s="359">
        <v>2040</v>
      </c>
      <c r="AB88" t="s" s="5">
        <v>2041</v>
      </c>
      <c r="AC88" s="360">
        <v>1</v>
      </c>
      <c r="AD88" s="30"/>
      <c r="AE88" s="30"/>
      <c r="AF88" t="s" s="359">
        <v>2042</v>
      </c>
      <c r="AG88" s="6">
        <v>1</v>
      </c>
      <c r="AH88" s="13"/>
      <c r="AI88" s="13"/>
      <c r="AJ88" s="13"/>
      <c r="AK88" s="196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195"/>
      <c r="BA88" s="13"/>
      <c r="BB88" s="13"/>
      <c r="BC88" s="10"/>
    </row>
    <row r="89" ht="17.5" customHeight="1">
      <c r="A89" t="s" s="83">
        <v>1913</v>
      </c>
      <c r="B89" s="112">
        <v>1921</v>
      </c>
      <c r="C89" s="112">
        <v>15</v>
      </c>
      <c r="D89" t="s" s="83">
        <v>1914</v>
      </c>
      <c r="E89" s="30"/>
      <c r="F89" s="313">
        <v>11</v>
      </c>
      <c r="G89" t="s" s="322">
        <v>2043</v>
      </c>
      <c r="H89" t="s" s="285">
        <v>2044</v>
      </c>
      <c r="I89" s="264">
        <v>58</v>
      </c>
      <c r="J89" s="264">
        <v>1</v>
      </c>
      <c r="K89" s="14"/>
      <c r="L89" s="14"/>
      <c r="M89" s="14"/>
      <c r="N89" t="s" s="285">
        <v>11</v>
      </c>
      <c r="O89" s="14"/>
      <c r="P89" s="14"/>
      <c r="Q89" s="14"/>
      <c r="R89" s="14"/>
      <c r="S89" s="264">
        <v>1</v>
      </c>
      <c r="T89" s="264">
        <v>28</v>
      </c>
      <c r="U89" s="14"/>
      <c r="V89" s="14"/>
      <c r="W89" s="14"/>
      <c r="X89" s="201"/>
      <c r="Y89" s="30"/>
      <c r="Z89" s="30"/>
      <c r="AA89" t="s" s="357">
        <v>15</v>
      </c>
      <c r="AB89" t="s" s="285">
        <v>2045</v>
      </c>
      <c r="AC89" s="203">
        <v>1</v>
      </c>
      <c r="AD89" s="30"/>
      <c r="AE89" s="30"/>
      <c r="AF89" t="s" s="357">
        <v>2046</v>
      </c>
      <c r="AG89" s="264">
        <v>1</v>
      </c>
      <c r="AH89" s="14"/>
      <c r="AI89" s="14"/>
      <c r="AJ89" s="14"/>
      <c r="AK89" s="201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200"/>
      <c r="BA89" s="14"/>
      <c r="BB89" s="14"/>
      <c r="BC89" s="14"/>
    </row>
    <row r="90" ht="17.5" customHeight="1">
      <c r="A90" t="s" s="83">
        <v>1913</v>
      </c>
      <c r="B90" s="112">
        <v>1921</v>
      </c>
      <c r="C90" s="112">
        <v>15</v>
      </c>
      <c r="D90" t="s" s="83">
        <v>1914</v>
      </c>
      <c r="E90" s="30"/>
      <c r="F90" s="313">
        <v>11</v>
      </c>
      <c r="G90" t="s" s="324">
        <v>2047</v>
      </c>
      <c r="H90" t="s" s="96">
        <v>2048</v>
      </c>
      <c r="I90" s="79">
        <v>59</v>
      </c>
      <c r="J90" s="79">
        <v>1</v>
      </c>
      <c r="K90" s="16"/>
      <c r="L90" s="16"/>
      <c r="M90" s="16"/>
      <c r="N90" t="s" s="96">
        <v>65</v>
      </c>
      <c r="O90" s="16"/>
      <c r="P90" s="16"/>
      <c r="Q90" s="16"/>
      <c r="R90" s="79">
        <v>1</v>
      </c>
      <c r="S90" s="16"/>
      <c r="T90" s="79">
        <v>29</v>
      </c>
      <c r="U90" s="16"/>
      <c r="V90" s="16"/>
      <c r="W90" s="16"/>
      <c r="X90" s="75"/>
      <c r="Y90" s="30"/>
      <c r="Z90" s="30"/>
      <c r="AA90" t="s" s="157">
        <v>33</v>
      </c>
      <c r="AB90" t="s" s="96">
        <v>34</v>
      </c>
      <c r="AC90" s="75"/>
      <c r="AD90" s="30"/>
      <c r="AE90" s="30"/>
      <c r="AF90" t="s" s="157">
        <v>1171</v>
      </c>
      <c r="AG90" s="16"/>
      <c r="AH90" s="16"/>
      <c r="AI90" s="16"/>
      <c r="AJ90" s="16"/>
      <c r="AK90" s="75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74"/>
      <c r="BA90" s="16"/>
      <c r="BB90" s="16"/>
      <c r="BC90" s="16"/>
    </row>
    <row r="91" ht="17.5" customHeight="1">
      <c r="A91" t="s" s="83">
        <v>1913</v>
      </c>
      <c r="B91" s="112">
        <v>1921</v>
      </c>
      <c r="C91" s="112">
        <v>15</v>
      </c>
      <c r="D91" t="s" s="83">
        <v>1914</v>
      </c>
      <c r="E91" s="30"/>
      <c r="F91" s="313">
        <v>11</v>
      </c>
      <c r="G91" t="s" s="324">
        <v>2047</v>
      </c>
      <c r="H91" t="s" s="96">
        <v>1410</v>
      </c>
      <c r="I91" s="79">
        <v>60</v>
      </c>
      <c r="J91" t="s" s="96">
        <v>37</v>
      </c>
      <c r="K91" s="79">
        <v>1</v>
      </c>
      <c r="L91" s="16"/>
      <c r="M91" s="16"/>
      <c r="N91" t="s" s="96">
        <v>65</v>
      </c>
      <c r="O91" s="16"/>
      <c r="P91" s="16"/>
      <c r="Q91" s="16"/>
      <c r="R91" s="79">
        <v>1</v>
      </c>
      <c r="S91" s="16"/>
      <c r="T91" s="79">
        <v>31</v>
      </c>
      <c r="U91" s="16"/>
      <c r="V91" s="16"/>
      <c r="W91" s="16"/>
      <c r="X91" s="75"/>
      <c r="Y91" s="121"/>
      <c r="Z91" s="30"/>
      <c r="AA91" t="s" s="157">
        <v>2049</v>
      </c>
      <c r="AB91" t="s" s="96">
        <v>8</v>
      </c>
      <c r="AC91" s="123">
        <v>1</v>
      </c>
      <c r="AD91" s="112">
        <v>1</v>
      </c>
      <c r="AE91" s="30"/>
      <c r="AF91" t="s" s="157">
        <v>13</v>
      </c>
      <c r="AG91" s="16"/>
      <c r="AH91" s="16"/>
      <c r="AI91" s="16"/>
      <c r="AJ91" s="16"/>
      <c r="AK91" s="75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74"/>
      <c r="BA91" s="16"/>
      <c r="BB91" s="16"/>
      <c r="BC91" s="16"/>
    </row>
    <row r="92" ht="17.5" customHeight="1">
      <c r="A92" t="s" s="83">
        <v>1913</v>
      </c>
      <c r="B92" s="112">
        <v>1921</v>
      </c>
      <c r="C92" s="112">
        <v>15</v>
      </c>
      <c r="D92" t="s" s="83">
        <v>1914</v>
      </c>
      <c r="E92" s="30"/>
      <c r="F92" s="313">
        <v>11</v>
      </c>
      <c r="G92" t="s" s="324">
        <v>2050</v>
      </c>
      <c r="H92" t="s" s="96">
        <v>2051</v>
      </c>
      <c r="I92" s="79">
        <v>61</v>
      </c>
      <c r="J92" t="s" s="96">
        <v>37</v>
      </c>
      <c r="K92" s="79">
        <v>1</v>
      </c>
      <c r="L92" s="16"/>
      <c r="M92" s="16"/>
      <c r="N92" t="s" s="96">
        <v>65</v>
      </c>
      <c r="O92" s="16"/>
      <c r="P92" s="16"/>
      <c r="Q92" s="16"/>
      <c r="R92" s="79">
        <v>1</v>
      </c>
      <c r="S92" s="16"/>
      <c r="T92" s="79">
        <v>28</v>
      </c>
      <c r="U92" s="16"/>
      <c r="V92" s="16"/>
      <c r="W92" s="16"/>
      <c r="X92" s="75"/>
      <c r="Y92" s="121"/>
      <c r="Z92" s="30"/>
      <c r="AA92" t="s" s="160">
        <v>2052</v>
      </c>
      <c r="AB92" t="s" s="181">
        <v>2053</v>
      </c>
      <c r="AC92" s="142">
        <v>1</v>
      </c>
      <c r="AD92" s="30"/>
      <c r="AE92" s="30"/>
      <c r="AF92" t="s" s="157">
        <v>84</v>
      </c>
      <c r="AG92" s="79">
        <v>1</v>
      </c>
      <c r="AH92" s="16"/>
      <c r="AI92" s="16"/>
      <c r="AJ92" s="132"/>
      <c r="AK92" s="133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74"/>
      <c r="BA92" s="16"/>
      <c r="BB92" s="16"/>
      <c r="BC92" s="16"/>
    </row>
    <row r="93" ht="17.5" customHeight="1">
      <c r="A93" t="s" s="83">
        <v>1913</v>
      </c>
      <c r="B93" s="112">
        <v>1921</v>
      </c>
      <c r="C93" s="112">
        <v>15</v>
      </c>
      <c r="D93" t="s" s="83">
        <v>1914</v>
      </c>
      <c r="E93" s="30"/>
      <c r="F93" s="313">
        <v>11</v>
      </c>
      <c r="G93" t="s" s="324">
        <v>2050</v>
      </c>
      <c r="H93" t="s" s="96">
        <v>2054</v>
      </c>
      <c r="I93" s="79">
        <v>62</v>
      </c>
      <c r="J93" s="79">
        <v>1</v>
      </c>
      <c r="K93" s="16"/>
      <c r="L93" s="16"/>
      <c r="M93" s="16"/>
      <c r="N93" t="s" s="96">
        <v>65</v>
      </c>
      <c r="O93" s="16"/>
      <c r="P93" s="16"/>
      <c r="Q93" s="16"/>
      <c r="R93" s="126">
        <v>1</v>
      </c>
      <c r="S93" s="132"/>
      <c r="T93" s="126">
        <v>23</v>
      </c>
      <c r="U93" s="132"/>
      <c r="V93" s="132"/>
      <c r="W93" s="132"/>
      <c r="X93" s="133"/>
      <c r="Y93" s="121"/>
      <c r="Z93" s="30"/>
      <c r="AA93" s="30"/>
      <c r="AB93" s="30"/>
      <c r="AC93" s="30"/>
      <c r="AD93" s="30"/>
      <c r="AE93" s="30"/>
      <c r="AF93" t="s" s="160">
        <v>13</v>
      </c>
      <c r="AG93" t="s" s="181">
        <v>34</v>
      </c>
      <c r="AH93" t="s" s="181">
        <v>34</v>
      </c>
      <c r="AI93" s="133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74"/>
      <c r="BA93" s="16"/>
      <c r="BB93" s="16"/>
      <c r="BC93" s="16"/>
    </row>
    <row r="94" ht="17.5" customHeight="1">
      <c r="A94" t="s" s="83">
        <v>1913</v>
      </c>
      <c r="B94" s="362">
        <v>1921</v>
      </c>
      <c r="C94" s="112">
        <v>15</v>
      </c>
      <c r="D94" t="s" s="23">
        <v>1914</v>
      </c>
      <c r="E94" s="30"/>
      <c r="F94" s="200"/>
      <c r="G94" s="16"/>
      <c r="H94" s="79">
        <v>6</v>
      </c>
      <c r="I94" s="16"/>
      <c r="J94" s="16"/>
      <c r="K94" s="16"/>
      <c r="L94" s="16"/>
      <c r="M94" s="16"/>
      <c r="N94" s="16"/>
      <c r="O94" s="16"/>
      <c r="P94" s="16"/>
      <c r="Q94" s="75"/>
      <c r="R94" s="121"/>
      <c r="S94" s="121"/>
      <c r="T94" s="30"/>
      <c r="U94" s="121"/>
      <c r="V94" s="121"/>
      <c r="W94" s="121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74"/>
      <c r="BA94" s="16"/>
      <c r="BB94" s="16"/>
      <c r="BC94" s="16"/>
    </row>
    <row r="95" ht="17.5" customHeight="1">
      <c r="A95" t="s" s="363">
        <v>1913</v>
      </c>
      <c r="B95" t="s" s="144">
        <v>725</v>
      </c>
      <c r="C95" s="112">
        <v>15</v>
      </c>
      <c r="D95" t="s" s="364">
        <v>1914</v>
      </c>
      <c r="E95" s="30"/>
      <c r="F95" s="74"/>
      <c r="G95" s="16"/>
      <c r="H95" s="16"/>
      <c r="I95" s="79">
        <v>62</v>
      </c>
      <c r="J95" s="99" cm="1">
        <f t="array" ref="J95">SUM(J1:J94)</f>
        <v>34</v>
      </c>
      <c r="K95" s="99" cm="1">
        <f t="array" ref="K95">SUM(K1:K94)</f>
        <v>21</v>
      </c>
      <c r="L95" s="99" cm="1">
        <f t="array" ref="L95">SUM(L1:L94)</f>
        <v>4</v>
      </c>
      <c r="M95" s="99" cm="1">
        <f t="array" ref="M95">SUM(M1:M94)</f>
        <v>3</v>
      </c>
      <c r="N95" s="99" cm="1">
        <f t="array" ref="N95">SUM(N1:N94)</f>
        <v>14</v>
      </c>
      <c r="O95" s="99" cm="1">
        <f t="array" ref="O95">SUM(O1:O94)</f>
        <v>12</v>
      </c>
      <c r="P95" s="99" cm="1">
        <f t="array" ref="P95">SUM(P1:P94)</f>
        <v>7</v>
      </c>
      <c r="Q95" s="99" cm="1">
        <f t="array" ref="Q95">SUM(Q1:Q94)</f>
        <v>4</v>
      </c>
      <c r="R95" s="365" cm="1">
        <f t="array" ref="R95">SUM(R1:R94)</f>
        <v>17</v>
      </c>
      <c r="S95" s="365" cm="1">
        <f t="array" ref="S95">SUM(S1:S94)</f>
        <v>8</v>
      </c>
      <c r="T95" s="365" cm="1">
        <f t="array" ref="T95">SUM(T1:T94)</f>
        <v>2199</v>
      </c>
      <c r="U95" s="365" cm="1">
        <f t="array" ref="U95">SUM(U1:U94)</f>
        <v>0</v>
      </c>
      <c r="V95" s="365" cm="1">
        <f t="array" ref="V95">SUM(V1:V94)</f>
        <v>0</v>
      </c>
      <c r="W95" s="365" cm="1">
        <f t="array" ref="W95">SUM(W1:W94)</f>
        <v>0</v>
      </c>
      <c r="X95" s="365" cm="1">
        <f t="array" ref="X95">SUM(X1:X94)</f>
        <v>0</v>
      </c>
      <c r="Y95" s="365" cm="1">
        <f t="array" ref="Y95">SUM(Y1:Y94)</f>
        <v>0</v>
      </c>
      <c r="Z95" s="365" cm="1">
        <f t="array" ref="Z95">SUM(Z1:Z94)</f>
        <v>0</v>
      </c>
      <c r="AA95" s="365" cm="1">
        <f t="array" ref="AA95">SUM(AA1:AA94)</f>
        <v>0</v>
      </c>
      <c r="AB95" s="365" cm="1">
        <f t="array" ref="AB95">SUM(AB1:AB94)</f>
        <v>0</v>
      </c>
      <c r="AC95" s="365" cm="1">
        <f t="array" ref="AC95">SUM(AC1:AC94)</f>
        <v>29</v>
      </c>
      <c r="AD95" s="365" cm="1">
        <f t="array" ref="AD95">SUM(AD1:AD94)</f>
        <v>3</v>
      </c>
      <c r="AE95" s="365" cm="1">
        <f t="array" ref="AE95">AC95-AD95</f>
        <v>26</v>
      </c>
      <c r="AF95" s="365" cm="1">
        <f t="array" ref="AF95">N96-AG95</f>
        <v>23</v>
      </c>
      <c r="AG95" s="365" cm="1">
        <f t="array" ref="AG95">SUM(AG1:AG94)</f>
        <v>39</v>
      </c>
      <c r="AH95" s="365" cm="1">
        <f t="array" ref="AH95">AG95+AF95</f>
        <v>62</v>
      </c>
      <c r="AI95" s="91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74"/>
      <c r="BA95" s="16"/>
      <c r="BB95" s="16"/>
      <c r="BC95" s="16"/>
    </row>
    <row r="96" ht="17.5" customHeight="1">
      <c r="A96" s="30"/>
      <c r="B96" s="30"/>
      <c r="C96" s="30"/>
      <c r="D96" s="30"/>
      <c r="E96" s="30"/>
      <c r="F96" s="74"/>
      <c r="G96" s="16"/>
      <c r="H96" s="16"/>
      <c r="I96" s="99" cm="1">
        <f t="array" ref="I96">SUM(J95:M95)</f>
        <v>62</v>
      </c>
      <c r="J96" s="99"/>
      <c r="K96" s="99"/>
      <c r="L96" s="99"/>
      <c r="M96" s="99"/>
      <c r="N96" s="99" cm="1">
        <f t="array" ref="N96">SUM(N95:S95)</f>
        <v>62</v>
      </c>
      <c r="O96" s="16"/>
      <c r="P96" s="16"/>
      <c r="Q96" s="75"/>
      <c r="R96" s="121"/>
      <c r="S96" s="121"/>
      <c r="T96" s="87" cm="1">
        <f t="array" ref="T96">T95/N96</f>
        <v>35.4677419354839</v>
      </c>
      <c r="U96" s="121"/>
      <c r="V96" s="121"/>
      <c r="W96" s="121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74"/>
      <c r="BA96" s="16"/>
      <c r="BB96" s="16"/>
      <c r="BC96" s="16"/>
    </row>
    <row r="97" ht="17.5" customHeight="1">
      <c r="A97" s="30"/>
      <c r="B97" s="30"/>
      <c r="C97" s="30"/>
      <c r="D97" s="30"/>
      <c r="E97" s="30"/>
      <c r="F97" s="131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3"/>
      <c r="R97" s="121"/>
      <c r="S97" s="121"/>
      <c r="T97" s="30"/>
      <c r="U97" s="121"/>
      <c r="V97" s="121"/>
      <c r="W97" s="121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74"/>
      <c r="BA97" s="16"/>
      <c r="BB97" s="16"/>
      <c r="BC97" s="16"/>
    </row>
    <row r="98" ht="17.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121"/>
      <c r="N98" s="121"/>
      <c r="O98" s="121"/>
      <c r="P98" s="121"/>
      <c r="Q98" s="30"/>
      <c r="R98" s="121"/>
      <c r="S98" s="121"/>
      <c r="T98" s="30"/>
      <c r="U98" s="121"/>
      <c r="V98" s="121"/>
      <c r="W98" s="121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74"/>
      <c r="BA98" s="16"/>
      <c r="BB98" s="16"/>
      <c r="BC98" s="16"/>
    </row>
    <row r="99" ht="17.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121"/>
      <c r="N99" s="121"/>
      <c r="O99" s="121"/>
      <c r="P99" s="121"/>
      <c r="Q99" s="30"/>
      <c r="R99" s="121"/>
      <c r="S99" s="121"/>
      <c r="T99" s="30"/>
      <c r="U99" s="121"/>
      <c r="V99" s="121"/>
      <c r="W99" s="121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74"/>
      <c r="BA99" s="16"/>
      <c r="BB99" s="16"/>
      <c r="BC99" s="16"/>
    </row>
    <row r="100" ht="17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74"/>
      <c r="BA100" s="16"/>
      <c r="BB100" s="16"/>
      <c r="BC100" s="16"/>
    </row>
    <row r="101" ht="17.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121"/>
      <c r="N101" s="121"/>
      <c r="O101" s="121"/>
      <c r="P101" s="121"/>
      <c r="Q101" s="30"/>
      <c r="R101" s="121"/>
      <c r="S101" s="121"/>
      <c r="T101" s="129"/>
      <c r="U101" s="121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74"/>
      <c r="BA101" s="16"/>
      <c r="BB101" s="16"/>
      <c r="BC101" s="16"/>
    </row>
    <row r="102" ht="17.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121"/>
      <c r="N102" s="121"/>
      <c r="O102" s="121"/>
      <c r="P102" s="121"/>
      <c r="Q102" s="30"/>
      <c r="R102" s="121"/>
      <c r="S102" s="121"/>
      <c r="T102" s="30"/>
      <c r="U102" s="121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74"/>
      <c r="BA102" s="16"/>
      <c r="BB102" s="16"/>
      <c r="BC102" s="16"/>
    </row>
    <row r="103" ht="17.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121"/>
      <c r="N103" s="121"/>
      <c r="O103" s="121"/>
      <c r="P103" s="121"/>
      <c r="Q103" s="30"/>
      <c r="R103" s="121"/>
      <c r="S103" s="121"/>
      <c r="T103" s="30"/>
      <c r="U103" s="121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74"/>
      <c r="BA103" s="16"/>
      <c r="BB103" s="16"/>
      <c r="BC103" s="16"/>
    </row>
    <row r="104" ht="17.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121"/>
      <c r="N104" s="121"/>
      <c r="O104" s="121"/>
      <c r="P104" s="121"/>
      <c r="Q104" s="30"/>
      <c r="R104" s="121"/>
      <c r="S104" s="121"/>
      <c r="T104" s="129"/>
      <c r="U104" s="121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74"/>
      <c r="BA104" s="16"/>
      <c r="BB104" s="16"/>
      <c r="BC104" s="16"/>
    </row>
    <row r="105" ht="17.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121"/>
      <c r="N105" s="121"/>
      <c r="O105" s="121"/>
      <c r="P105" s="121"/>
      <c r="Q105" s="30"/>
      <c r="R105" s="121"/>
      <c r="S105" s="121"/>
      <c r="T105" s="30"/>
      <c r="U105" s="121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74"/>
      <c r="BA105" s="16"/>
      <c r="BB105" s="16"/>
      <c r="BC105" s="16"/>
    </row>
    <row r="106" ht="17.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121"/>
      <c r="N106" s="121"/>
      <c r="O106" s="121"/>
      <c r="P106" s="121"/>
      <c r="Q106" s="30"/>
      <c r="R106" s="121"/>
      <c r="S106" s="121"/>
      <c r="T106" s="30"/>
      <c r="U106" s="121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74"/>
      <c r="BA106" s="16"/>
      <c r="BB106" s="16"/>
      <c r="BC106" s="16"/>
    </row>
    <row r="107" ht="17.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121"/>
      <c r="N107" s="121"/>
      <c r="O107" s="121"/>
      <c r="P107" s="121"/>
      <c r="Q107" s="30"/>
      <c r="R107" s="121"/>
      <c r="S107" s="121"/>
      <c r="T107" s="30"/>
      <c r="U107" s="121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74"/>
      <c r="BA107" s="16"/>
      <c r="BB107" s="16"/>
      <c r="BC107" s="16"/>
    </row>
    <row r="108" ht="17" customHeight="1">
      <c r="A108" t="s" s="83">
        <v>723</v>
      </c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87" cm="1">
        <f t="array" ref="U108">SUM(U94:U107)</f>
        <v>0</v>
      </c>
      <c r="V108" s="112" cm="1">
        <f t="array" ref="V108">SUM(V73:V107)</f>
        <v>0</v>
      </c>
      <c r="W108" s="87" cm="1">
        <f t="array" ref="W108">SUM(W94:W107)</f>
        <v>0</v>
      </c>
      <c r="X108" s="30"/>
      <c r="Y108" s="30"/>
      <c r="Z108" s="112" cm="1">
        <f t="array" ref="Z108">SUM(Z73:Z107)</f>
        <v>0</v>
      </c>
      <c r="AA108" s="87" cm="1">
        <f t="array" ref="AA108">SUM(AA93:AA107)</f>
        <v>0</v>
      </c>
      <c r="AB108" s="87" cm="1">
        <f t="array" ref="AB108">SUM(AB93:AB107)</f>
        <v>0</v>
      </c>
      <c r="AC108" s="87" cm="1">
        <f t="array" ref="AC108">SUM(AC93:AC107)</f>
        <v>29</v>
      </c>
      <c r="AD108" s="87" cm="1">
        <f t="array" ref="AD108">SUM(AD93:AD107)</f>
        <v>3</v>
      </c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74"/>
      <c r="BA108" s="16"/>
      <c r="BB108" s="16"/>
      <c r="BC108" s="16"/>
    </row>
    <row r="109" ht="17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87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74"/>
      <c r="BA109" s="16"/>
      <c r="BB109" s="16"/>
      <c r="BC109" s="16"/>
    </row>
    <row r="110" ht="17" customHeight="1">
      <c r="A110" s="30"/>
      <c r="B110" s="30"/>
      <c r="C110" s="30"/>
      <c r="D110" s="30"/>
      <c r="E110" s="30"/>
      <c r="F110" s="30"/>
      <c r="G110" s="130"/>
      <c r="H110" s="30"/>
      <c r="I110" s="30"/>
      <c r="J110" s="30"/>
      <c r="K110" s="30"/>
      <c r="L110" s="30"/>
      <c r="M110" s="30"/>
      <c r="N110" s="30"/>
      <c r="O110" s="30"/>
      <c r="P110" s="30"/>
      <c r="Q110" s="87"/>
      <c r="R110" s="130"/>
      <c r="S110" s="130"/>
      <c r="T110" s="1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74"/>
      <c r="BA110" s="16"/>
      <c r="BB110" s="16"/>
      <c r="BC110" s="16"/>
    </row>
    <row r="111" ht="17.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121"/>
      <c r="S111" s="121"/>
      <c r="T111" s="129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74"/>
      <c r="BA111" s="16"/>
      <c r="BB111" s="16"/>
      <c r="BC111" s="16"/>
    </row>
    <row r="112" ht="17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130"/>
      <c r="S112" s="130"/>
      <c r="T112" s="130"/>
      <c r="U112" s="30"/>
      <c r="V112" s="30"/>
      <c r="W112" s="30"/>
      <c r="X112" s="30"/>
      <c r="Y112" s="30"/>
      <c r="Z112" s="30"/>
      <c r="AA112" s="30"/>
      <c r="AB112" s="30"/>
      <c r="AC112" s="134"/>
      <c r="AD112" s="134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74"/>
      <c r="BA112" s="16"/>
      <c r="BB112" s="16"/>
      <c r="BC112" s="16"/>
    </row>
    <row r="113" ht="17.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121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74"/>
      <c r="BA113" s="16"/>
      <c r="BB113" s="16"/>
      <c r="BC113" s="16"/>
    </row>
    <row r="114" ht="15.35" customHeight="1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  <c r="AN114" s="62"/>
      <c r="AO114" s="62"/>
      <c r="AP114" s="62"/>
      <c r="AQ114" s="62"/>
      <c r="AR114" s="62"/>
      <c r="AS114" s="62"/>
      <c r="AT114" s="62"/>
      <c r="AU114" s="62"/>
      <c r="AV114" s="62"/>
      <c r="AW114" s="62"/>
      <c r="AX114" s="62"/>
      <c r="AY114" s="62"/>
      <c r="AZ114" s="16"/>
      <c r="BA114" s="16"/>
      <c r="BB114" s="16"/>
      <c r="BC114" s="16"/>
    </row>
    <row r="115" ht="15.3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</row>
    <row r="116" ht="15.3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</row>
    <row r="117" ht="15.3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</row>
    <row r="118" ht="15.3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</row>
    <row r="119" ht="15.3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</row>
    <row r="120" ht="15.3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</row>
    <row r="121" ht="15.3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</row>
    <row r="122" ht="15.3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</row>
    <row r="123" ht="15.3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</row>
    <row r="124" ht="15.3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</row>
    <row r="125" ht="15.3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</row>
    <row r="126" ht="15.3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</row>
    <row r="127" ht="15.3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</row>
    <row r="128" ht="15.3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</row>
    <row r="129" ht="15.3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</row>
    <row r="130" ht="15.3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</row>
    <row r="131" ht="15.3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</row>
    <row r="132" ht="15.3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</row>
    <row r="133" ht="15.3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</row>
    <row r="134" ht="15.3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</row>
    <row r="135" ht="15.3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</row>
    <row r="136" ht="15.3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</row>
    <row r="137" ht="15.3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</row>
    <row r="138" ht="15.3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</row>
    <row r="139" ht="15.3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</row>
    <row r="140" ht="15.3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</row>
    <row r="141" ht="15.3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</row>
    <row r="142" ht="15.3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</row>
    <row r="143" ht="15.3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</row>
    <row r="144" ht="15.3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</row>
    <row r="145" ht="15.3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</row>
    <row r="146" ht="15.3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</row>
    <row r="147" ht="15.3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</row>
    <row r="148" ht="15.3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</row>
    <row r="149" ht="15.3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</row>
    <row r="150" ht="15.3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</row>
    <row r="151" ht="15.3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</row>
    <row r="152" ht="15.3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</row>
    <row r="153" ht="15.3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</row>
    <row r="154" ht="15.3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</row>
    <row r="155" ht="15.3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</row>
    <row r="156" ht="15.3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</row>
    <row r="157" ht="15.3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</row>
    <row r="158" ht="15.3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</row>
    <row r="159" ht="15.3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</row>
    <row r="160" ht="15.3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</row>
    <row r="161" ht="15.3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</row>
    <row r="162" ht="15.3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</row>
    <row r="163" ht="15.3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</row>
    <row r="164" ht="15.3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</row>
    <row r="165" ht="15.3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</row>
    <row r="166" ht="15.3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</row>
    <row r="167" ht="15.3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</row>
    <row r="168" ht="15.3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</row>
    <row r="169" ht="15.3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</row>
    <row r="170" ht="15.3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</row>
    <row r="171" ht="15.3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</row>
    <row r="172" ht="15.3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</row>
    <row r="173" ht="15.3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</row>
    <row r="174" ht="15.3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</row>
    <row r="175" ht="15.3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</row>
    <row r="176" ht="15.3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</row>
    <row r="177" ht="15.3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</row>
    <row r="178" ht="15.3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</row>
    <row r="179" ht="15.3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</row>
    <row r="180" ht="15.3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</row>
    <row r="181" ht="15.3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</row>
    <row r="182" ht="15.3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</row>
    <row r="183" ht="15.3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</row>
    <row r="184" ht="15.3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</row>
    <row r="185" ht="15.3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</row>
    <row r="186" ht="15.3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</row>
    <row r="187" ht="15.3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2.xml><?xml version="1.0" encoding="utf-8"?>
<worksheet xmlns:r="http://schemas.openxmlformats.org/officeDocument/2006/relationships" xmlns="http://schemas.openxmlformats.org/spreadsheetml/2006/main">
  <dimension ref="A1:BC51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366" customWidth="1"/>
    <col min="4" max="4" width="17.8516" style="366" customWidth="1"/>
    <col min="5" max="5" width="20.1719" style="366" customWidth="1"/>
    <col min="6" max="6" width="10.3516" style="366" customWidth="1"/>
    <col min="7" max="7" width="10.8516" style="366" customWidth="1"/>
    <col min="8" max="8" width="19.6719" style="366" customWidth="1"/>
    <col min="9" max="10" width="10.8516" style="366" customWidth="1"/>
    <col min="11" max="11" width="4.5" style="366" customWidth="1"/>
    <col min="12" max="12" width="7.85156" style="366" customWidth="1"/>
    <col min="13" max="13" width="5" style="366" customWidth="1"/>
    <col min="14" max="14" width="8.67188" style="366" customWidth="1"/>
    <col min="15" max="15" width="7" style="366" customWidth="1"/>
    <col min="16" max="16" width="11.5" style="366" customWidth="1"/>
    <col min="17" max="17" width="11.6719" style="366" customWidth="1"/>
    <col min="18" max="18" width="12.3516" style="366" customWidth="1"/>
    <col min="19" max="19" width="10.8516" style="366" customWidth="1"/>
    <col min="20" max="20" width="15.1719" style="366" customWidth="1"/>
    <col min="21" max="23" width="10.8516" style="366" customWidth="1"/>
    <col min="24" max="24" width="11.5" style="366" customWidth="1"/>
    <col min="25" max="25" width="12.8516" style="366" customWidth="1"/>
    <col min="26" max="26" width="12.1719" style="366" customWidth="1"/>
    <col min="27" max="30" width="16.5" style="366" customWidth="1"/>
    <col min="31" max="31" width="14.6719" style="366" customWidth="1"/>
    <col min="32" max="32" width="10.8516" style="366" customWidth="1"/>
    <col min="33" max="33" width="11" style="366" customWidth="1"/>
    <col min="34" max="34" width="11.1719" style="366" customWidth="1"/>
    <col min="35" max="35" width="7.85156" style="366" customWidth="1"/>
    <col min="36" max="37" width="10.8516" style="366" customWidth="1"/>
    <col min="38" max="38" width="7.35156" style="366" customWidth="1"/>
    <col min="39" max="39" width="10.8516" style="366" customWidth="1"/>
    <col min="40" max="40" width="9.17188" style="366" customWidth="1"/>
    <col min="41" max="41" width="10.8516" style="366" customWidth="1"/>
    <col min="42" max="42" width="12.5" style="366" customWidth="1"/>
    <col min="43" max="43" width="13" style="366" customWidth="1"/>
    <col min="44" max="55" width="10.8516" style="366" customWidth="1"/>
    <col min="56" max="16384" width="10.8516" style="366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137"/>
      <c r="C2" s="89"/>
      <c r="D2" s="13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7.5" customHeight="1">
      <c r="A3" t="s" s="367">
        <v>2055</v>
      </c>
      <c r="B3" t="s" s="37">
        <v>725</v>
      </c>
      <c r="C3" s="272">
        <v>1</v>
      </c>
      <c r="D3" t="s" s="368">
        <v>2056</v>
      </c>
      <c r="E3" s="30"/>
      <c r="F3" s="112">
        <v>2</v>
      </c>
      <c r="G3" t="s" s="83">
        <v>91</v>
      </c>
      <c r="H3" t="s" s="83">
        <v>2057</v>
      </c>
      <c r="I3" s="113">
        <v>1</v>
      </c>
      <c r="J3" t="s" s="83">
        <v>37</v>
      </c>
      <c r="K3" s="190">
        <v>1</v>
      </c>
      <c r="L3" s="62"/>
      <c r="M3" s="117"/>
      <c r="N3" s="112">
        <v>1</v>
      </c>
      <c r="O3" s="115"/>
      <c r="P3" s="30"/>
      <c r="Q3" s="116"/>
      <c r="R3" s="62"/>
      <c r="S3" s="117"/>
      <c r="T3" s="118">
        <v>73</v>
      </c>
      <c r="U3" s="74"/>
      <c r="V3" s="16"/>
      <c r="W3" s="117"/>
      <c r="X3" s="30"/>
      <c r="Y3" s="30"/>
      <c r="Z3" s="30"/>
      <c r="AA3" t="s" s="369">
        <v>2058</v>
      </c>
      <c r="AB3" t="s" s="369">
        <v>2059</v>
      </c>
      <c r="AC3" s="113">
        <v>1</v>
      </c>
      <c r="AD3" s="30"/>
      <c r="AE3" s="30"/>
      <c r="AF3" t="s" s="119">
        <v>13</v>
      </c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370">
        <v>2055</v>
      </c>
      <c r="B4" t="s" s="37">
        <v>725</v>
      </c>
      <c r="C4" s="272">
        <v>1</v>
      </c>
      <c r="D4" t="s" s="368">
        <v>2056</v>
      </c>
      <c r="E4" s="30"/>
      <c r="F4" s="112">
        <v>2</v>
      </c>
      <c r="G4" t="s" s="83">
        <v>91</v>
      </c>
      <c r="H4" t="s" s="83">
        <v>2060</v>
      </c>
      <c r="I4" s="120">
        <v>2</v>
      </c>
      <c r="J4" s="112">
        <v>1</v>
      </c>
      <c r="K4" s="74"/>
      <c r="L4" s="16"/>
      <c r="M4" s="75"/>
      <c r="N4" t="s" s="83">
        <v>72</v>
      </c>
      <c r="O4" s="120">
        <v>1</v>
      </c>
      <c r="P4" s="30"/>
      <c r="Q4" s="74"/>
      <c r="R4" s="16"/>
      <c r="S4" s="75"/>
      <c r="T4" s="118">
        <v>56</v>
      </c>
      <c r="U4" s="74"/>
      <c r="V4" s="16"/>
      <c r="W4" s="75"/>
      <c r="X4" s="30"/>
      <c r="Y4" s="30"/>
      <c r="Z4" s="30"/>
      <c r="AA4" t="s" s="369">
        <v>94</v>
      </c>
      <c r="AB4" t="s" s="369">
        <v>34</v>
      </c>
      <c r="AC4" s="122"/>
      <c r="AD4" s="30"/>
      <c r="AE4" s="30"/>
      <c r="AF4" t="s" s="119">
        <v>13</v>
      </c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370">
        <v>2055</v>
      </c>
      <c r="B5" t="s" s="37">
        <v>725</v>
      </c>
      <c r="C5" s="272">
        <v>1</v>
      </c>
      <c r="D5" t="s" s="368">
        <v>2056</v>
      </c>
      <c r="E5" s="30"/>
      <c r="F5" s="112">
        <v>2</v>
      </c>
      <c r="G5" t="s" s="83">
        <v>2061</v>
      </c>
      <c r="H5" t="s" s="83">
        <v>2062</v>
      </c>
      <c r="I5" s="120">
        <v>3</v>
      </c>
      <c r="J5" s="112">
        <v>1</v>
      </c>
      <c r="K5" s="74"/>
      <c r="L5" s="16"/>
      <c r="M5" s="75"/>
      <c r="N5" t="s" s="83">
        <v>11</v>
      </c>
      <c r="O5" s="122"/>
      <c r="P5" s="30"/>
      <c r="Q5" s="74"/>
      <c r="R5" s="16"/>
      <c r="S5" s="123">
        <v>1</v>
      </c>
      <c r="T5" s="118">
        <v>28</v>
      </c>
      <c r="U5" s="74"/>
      <c r="V5" s="16"/>
      <c r="W5" s="75"/>
      <c r="X5" s="30"/>
      <c r="Y5" s="30"/>
      <c r="Z5" s="30"/>
      <c r="AA5" t="s" s="369">
        <v>11</v>
      </c>
      <c r="AB5" t="s" s="369">
        <v>15</v>
      </c>
      <c r="AC5" s="120">
        <v>1</v>
      </c>
      <c r="AD5" s="30"/>
      <c r="AE5" s="30"/>
      <c r="AF5" t="s" s="119">
        <v>2063</v>
      </c>
      <c r="AG5" s="112">
        <v>1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5.35" customHeight="1">
      <c r="A6" s="370"/>
      <c r="B6" s="37"/>
      <c r="C6" s="63"/>
      <c r="D6" s="371"/>
      <c r="E6" s="180"/>
      <c r="F6" s="180"/>
      <c r="G6" s="180"/>
      <c r="H6" s="180"/>
      <c r="I6" s="132"/>
      <c r="J6" s="180"/>
      <c r="K6" s="132"/>
      <c r="L6" s="132"/>
      <c r="M6" s="132"/>
      <c r="N6" s="180"/>
      <c r="O6" s="132"/>
      <c r="P6" s="180"/>
      <c r="Q6" s="132"/>
      <c r="R6" s="132"/>
      <c r="S6" s="132"/>
      <c r="T6" s="180"/>
      <c r="U6" s="132"/>
      <c r="V6" s="132"/>
      <c r="W6" s="132"/>
      <c r="X6" s="180"/>
      <c r="Y6" s="180"/>
      <c r="Z6" s="180"/>
      <c r="AA6" s="180"/>
      <c r="AB6" s="180"/>
      <c r="AC6" s="132"/>
      <c r="AD6" s="180"/>
      <c r="AE6" s="180"/>
      <c r="AF6" s="180"/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  <c r="AT6" s="180"/>
      <c r="AU6" s="180"/>
      <c r="AV6" s="180"/>
      <c r="AW6" s="180"/>
      <c r="AX6" s="180"/>
      <c r="AY6" s="180"/>
      <c r="AZ6" s="16"/>
      <c r="BA6" s="16"/>
      <c r="BB6" s="16"/>
      <c r="BC6" s="16"/>
    </row>
    <row r="7" ht="17.5" customHeight="1">
      <c r="A7" t="s" s="370">
        <v>2055</v>
      </c>
      <c r="B7" t="s" s="37">
        <v>725</v>
      </c>
      <c r="C7" s="272">
        <v>2</v>
      </c>
      <c r="D7" t="s" s="368">
        <v>2056</v>
      </c>
      <c r="E7" s="30"/>
      <c r="F7" s="112">
        <v>4</v>
      </c>
      <c r="G7" s="30"/>
      <c r="H7" s="30"/>
      <c r="I7" s="30"/>
      <c r="J7" s="30"/>
      <c r="K7" s="30"/>
      <c r="L7" s="30"/>
      <c r="M7" s="121"/>
      <c r="N7" s="121"/>
      <c r="O7" s="121"/>
      <c r="P7" s="121"/>
      <c r="Q7" s="30"/>
      <c r="R7" s="121"/>
      <c r="S7" s="121"/>
      <c r="T7" s="30"/>
      <c r="U7" s="121"/>
      <c r="V7" s="121"/>
      <c r="W7" s="121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" customHeight="1">
      <c r="A8" t="s" s="370">
        <v>2055</v>
      </c>
      <c r="B8" t="s" s="37">
        <v>725</v>
      </c>
      <c r="C8" s="272">
        <v>2</v>
      </c>
      <c r="D8" t="s" s="368">
        <v>2056</v>
      </c>
      <c r="E8" s="30"/>
      <c r="F8" s="112">
        <v>4</v>
      </c>
      <c r="G8" t="s" s="83">
        <v>334</v>
      </c>
      <c r="H8" t="s" s="83">
        <v>2064</v>
      </c>
      <c r="I8" s="113">
        <v>4</v>
      </c>
      <c r="J8" t="s" s="83">
        <v>37</v>
      </c>
      <c r="K8" s="190">
        <v>1</v>
      </c>
      <c r="L8" s="62"/>
      <c r="M8" s="117"/>
      <c r="N8" s="112">
        <v>1</v>
      </c>
      <c r="O8" s="115"/>
      <c r="P8" s="30"/>
      <c r="Q8" s="116"/>
      <c r="R8" s="62"/>
      <c r="S8" s="117"/>
      <c r="T8" s="118">
        <v>38</v>
      </c>
      <c r="U8" s="116"/>
      <c r="V8" s="62"/>
      <c r="W8" s="117"/>
      <c r="X8" s="30"/>
      <c r="Y8" s="30"/>
      <c r="Z8" s="115"/>
      <c r="AA8" t="s" s="119">
        <v>92</v>
      </c>
      <c r="AB8" t="s" s="119">
        <v>8</v>
      </c>
      <c r="AC8" s="112">
        <v>1</v>
      </c>
      <c r="AD8" s="112">
        <v>1</v>
      </c>
      <c r="AE8" s="30"/>
      <c r="AF8" t="s" s="119">
        <v>13</v>
      </c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370">
        <v>2055</v>
      </c>
      <c r="B9" t="s" s="37">
        <v>725</v>
      </c>
      <c r="C9" s="272">
        <v>2</v>
      </c>
      <c r="D9" t="s" s="368">
        <v>2056</v>
      </c>
      <c r="E9" s="30"/>
      <c r="F9" s="112">
        <v>4</v>
      </c>
      <c r="G9" t="s" s="83">
        <v>334</v>
      </c>
      <c r="H9" t="s" s="83">
        <v>2065</v>
      </c>
      <c r="I9" s="120">
        <v>5</v>
      </c>
      <c r="J9" s="112">
        <v>1</v>
      </c>
      <c r="K9" s="74"/>
      <c r="L9" s="16"/>
      <c r="M9" s="75"/>
      <c r="N9" t="s" s="83">
        <v>72</v>
      </c>
      <c r="O9" s="120">
        <v>1</v>
      </c>
      <c r="P9" s="30"/>
      <c r="Q9" s="74"/>
      <c r="R9" s="16"/>
      <c r="S9" s="75"/>
      <c r="T9" s="118">
        <v>31</v>
      </c>
      <c r="U9" s="74"/>
      <c r="V9" s="16"/>
      <c r="W9" s="75"/>
      <c r="X9" s="30"/>
      <c r="Y9" s="30"/>
      <c r="Z9" s="122"/>
      <c r="AA9" t="s" s="119">
        <v>34</v>
      </c>
      <c r="AB9" t="s" s="119">
        <v>34</v>
      </c>
      <c r="AC9" s="30"/>
      <c r="AD9" s="30"/>
      <c r="AE9" s="30"/>
      <c r="AF9" t="s" s="119">
        <v>1049</v>
      </c>
      <c r="AG9" s="112">
        <v>1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370">
        <v>2055</v>
      </c>
      <c r="B10" t="s" s="37">
        <v>725</v>
      </c>
      <c r="C10" s="272">
        <v>2</v>
      </c>
      <c r="D10" t="s" s="368">
        <v>2056</v>
      </c>
      <c r="E10" s="30"/>
      <c r="F10" s="112">
        <v>4</v>
      </c>
      <c r="G10" t="s" s="83">
        <v>334</v>
      </c>
      <c r="H10" t="s" s="83">
        <v>2066</v>
      </c>
      <c r="I10" s="120">
        <v>6</v>
      </c>
      <c r="J10" s="30"/>
      <c r="K10" s="74"/>
      <c r="L10" s="79">
        <v>1</v>
      </c>
      <c r="M10" s="75"/>
      <c r="N10" t="s" s="83">
        <v>78</v>
      </c>
      <c r="O10" s="122"/>
      <c r="P10" s="112">
        <v>1</v>
      </c>
      <c r="Q10" s="74"/>
      <c r="R10" s="16"/>
      <c r="S10" s="75"/>
      <c r="T10" s="112">
        <v>3</v>
      </c>
      <c r="U10" s="74"/>
      <c r="V10" s="16"/>
      <c r="W10" s="75"/>
      <c r="X10" s="30"/>
      <c r="Y10" s="30"/>
      <c r="Z10" s="122"/>
      <c r="AA10" t="s" s="83">
        <v>34</v>
      </c>
      <c r="AB10" t="s" s="83">
        <v>34</v>
      </c>
      <c r="AC10" s="30"/>
      <c r="AD10" s="30"/>
      <c r="AE10" s="30"/>
      <c r="AF10" t="s" s="83">
        <v>2067</v>
      </c>
      <c r="AG10" s="112">
        <v>1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370">
        <v>2055</v>
      </c>
      <c r="B11" t="s" s="37">
        <v>725</v>
      </c>
      <c r="C11" s="272">
        <v>2</v>
      </c>
      <c r="D11" t="s" s="368">
        <v>2056</v>
      </c>
      <c r="E11" s="124"/>
      <c r="F11" s="112">
        <v>4</v>
      </c>
      <c r="G11" t="s" s="83">
        <v>334</v>
      </c>
      <c r="H11" t="s" s="83">
        <v>2068</v>
      </c>
      <c r="I11" s="120">
        <v>7</v>
      </c>
      <c r="J11" s="30"/>
      <c r="K11" s="74"/>
      <c r="L11" s="79">
        <v>1</v>
      </c>
      <c r="M11" s="75"/>
      <c r="N11" t="s" s="83">
        <v>78</v>
      </c>
      <c r="O11" s="122"/>
      <c r="P11" s="112">
        <v>1</v>
      </c>
      <c r="Q11" s="74"/>
      <c r="R11" s="16"/>
      <c r="S11" s="75"/>
      <c r="T11" s="118">
        <v>2</v>
      </c>
      <c r="U11" s="74"/>
      <c r="V11" s="16"/>
      <c r="W11" s="75"/>
      <c r="X11" s="30"/>
      <c r="Y11" s="30"/>
      <c r="Z11" s="122"/>
      <c r="AA11" t="s" s="119">
        <v>34</v>
      </c>
      <c r="AB11" t="s" s="119">
        <v>34</v>
      </c>
      <c r="AC11" s="30"/>
      <c r="AD11" s="30"/>
      <c r="AE11" s="30"/>
      <c r="AF11" t="s" s="119">
        <v>13</v>
      </c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28" customHeight="1">
      <c r="A12" t="s" s="370">
        <v>2055</v>
      </c>
      <c r="B12" t="s" s="37">
        <v>725</v>
      </c>
      <c r="C12" s="272">
        <v>2</v>
      </c>
      <c r="D12" t="s" s="368">
        <v>2056</v>
      </c>
      <c r="E12" s="124"/>
      <c r="F12" s="112">
        <v>4</v>
      </c>
      <c r="G12" t="s" s="83">
        <v>386</v>
      </c>
      <c r="H12" t="s" s="83">
        <v>2069</v>
      </c>
      <c r="I12" s="120">
        <v>8</v>
      </c>
      <c r="J12" s="112">
        <v>1</v>
      </c>
      <c r="K12" s="74"/>
      <c r="L12" s="16"/>
      <c r="M12" s="75"/>
      <c r="N12" t="s" s="83">
        <v>11</v>
      </c>
      <c r="O12" s="122"/>
      <c r="P12" s="30"/>
      <c r="Q12" s="74"/>
      <c r="R12" s="16"/>
      <c r="S12" s="123">
        <v>1</v>
      </c>
      <c r="T12" s="118">
        <v>20</v>
      </c>
      <c r="U12" s="74"/>
      <c r="V12" s="16"/>
      <c r="W12" s="75"/>
      <c r="X12" s="30"/>
      <c r="Y12" s="30"/>
      <c r="Z12" s="122"/>
      <c r="AA12" t="s" s="119">
        <v>188</v>
      </c>
      <c r="AB12" t="s" s="119">
        <v>15</v>
      </c>
      <c r="AC12" s="112">
        <v>1</v>
      </c>
      <c r="AD12" s="30"/>
      <c r="AE12" s="30"/>
      <c r="AF12" t="s" s="119">
        <v>2070</v>
      </c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370">
        <v>2055</v>
      </c>
      <c r="B13" t="s" s="37">
        <v>725</v>
      </c>
      <c r="C13" s="272">
        <v>2</v>
      </c>
      <c r="D13" t="s" s="368">
        <v>2056</v>
      </c>
      <c r="E13" s="30"/>
      <c r="F13" s="112">
        <v>4</v>
      </c>
      <c r="G13" t="s" s="83">
        <v>1076</v>
      </c>
      <c r="H13" t="s" s="83">
        <v>2071</v>
      </c>
      <c r="I13" s="120">
        <v>9</v>
      </c>
      <c r="J13" s="112">
        <v>1</v>
      </c>
      <c r="K13" s="74"/>
      <c r="L13" s="16"/>
      <c r="M13" s="75"/>
      <c r="N13" t="s" s="83">
        <v>1070</v>
      </c>
      <c r="O13" s="122"/>
      <c r="P13" s="30"/>
      <c r="Q13" s="74"/>
      <c r="R13" s="16"/>
      <c r="S13" s="123">
        <v>1</v>
      </c>
      <c r="T13" s="118">
        <v>26</v>
      </c>
      <c r="U13" s="74"/>
      <c r="V13" s="16"/>
      <c r="W13" s="75"/>
      <c r="X13" s="30"/>
      <c r="Y13" s="30"/>
      <c r="Z13" s="122"/>
      <c r="AA13" t="s" s="119">
        <v>2072</v>
      </c>
      <c r="AB13" t="s" s="119">
        <v>15</v>
      </c>
      <c r="AC13" s="112">
        <v>1</v>
      </c>
      <c r="AD13" s="30"/>
      <c r="AE13" s="30"/>
      <c r="AF13" t="s" s="369">
        <v>785</v>
      </c>
      <c r="AG13" s="112">
        <v>1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s="370"/>
      <c r="B14" s="37"/>
      <c r="C14" s="63"/>
      <c r="D14" s="368"/>
      <c r="E14" s="30"/>
      <c r="F14" s="30"/>
      <c r="G14" s="30"/>
      <c r="H14" s="30"/>
      <c r="I14" s="122"/>
      <c r="J14" s="30"/>
      <c r="K14" s="74"/>
      <c r="L14" s="16"/>
      <c r="M14" s="75"/>
      <c r="N14" s="30"/>
      <c r="O14" s="122"/>
      <c r="P14" s="30"/>
      <c r="Q14" s="74"/>
      <c r="R14" s="16"/>
      <c r="S14" s="75"/>
      <c r="T14" s="121"/>
      <c r="U14" s="74"/>
      <c r="V14" s="16"/>
      <c r="W14" s="75"/>
      <c r="X14" s="30"/>
      <c r="Y14" s="30"/>
      <c r="Z14" s="122"/>
      <c r="AA14" s="121"/>
      <c r="AB14" s="121"/>
      <c r="AC14" s="30"/>
      <c r="AD14" s="30"/>
      <c r="AE14" s="30"/>
      <c r="AF14" s="121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370">
        <v>2055</v>
      </c>
      <c r="B15" t="s" s="37">
        <v>725</v>
      </c>
      <c r="C15" s="272">
        <v>3</v>
      </c>
      <c r="D15" t="s" s="368">
        <v>2056</v>
      </c>
      <c r="E15" t="s" s="83">
        <v>2073</v>
      </c>
      <c r="F15" s="112">
        <v>1</v>
      </c>
      <c r="G15" t="s" s="83">
        <v>2074</v>
      </c>
      <c r="H15" t="s" s="83">
        <v>193</v>
      </c>
      <c r="I15" s="120">
        <v>10</v>
      </c>
      <c r="J15" t="s" s="83">
        <v>37</v>
      </c>
      <c r="K15" s="156">
        <v>1</v>
      </c>
      <c r="L15" s="16"/>
      <c r="M15" s="75"/>
      <c r="N15" s="112">
        <v>1</v>
      </c>
      <c r="O15" s="122"/>
      <c r="P15" s="30"/>
      <c r="Q15" s="74"/>
      <c r="R15" s="16"/>
      <c r="S15" s="75"/>
      <c r="T15" s="118">
        <v>64</v>
      </c>
      <c r="U15" s="74"/>
      <c r="V15" s="16"/>
      <c r="W15" s="75"/>
      <c r="X15" s="30"/>
      <c r="Y15" s="30"/>
      <c r="Z15" s="122"/>
      <c r="AA15" t="s" s="119">
        <v>34</v>
      </c>
      <c r="AB15" t="s" s="369">
        <v>2075</v>
      </c>
      <c r="AC15" s="112">
        <v>1</v>
      </c>
      <c r="AD15" s="30"/>
      <c r="AE15" s="30"/>
      <c r="AF15" t="s" s="369">
        <v>2076</v>
      </c>
      <c r="AG15" s="112">
        <v>1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370">
        <v>2055</v>
      </c>
      <c r="B16" t="s" s="37">
        <v>725</v>
      </c>
      <c r="C16" s="272">
        <v>3</v>
      </c>
      <c r="D16" t="s" s="368">
        <v>2056</v>
      </c>
      <c r="E16" s="124"/>
      <c r="F16" s="112">
        <v>1</v>
      </c>
      <c r="G16" t="s" s="83">
        <v>2077</v>
      </c>
      <c r="H16" t="s" s="83">
        <v>406</v>
      </c>
      <c r="I16" s="111">
        <v>11</v>
      </c>
      <c r="J16" s="112">
        <v>1</v>
      </c>
      <c r="K16" s="131"/>
      <c r="L16" s="132"/>
      <c r="M16" s="133"/>
      <c r="N16" t="s" s="83">
        <v>11</v>
      </c>
      <c r="O16" s="141"/>
      <c r="P16" s="30"/>
      <c r="Q16" s="131"/>
      <c r="R16" s="132"/>
      <c r="S16" s="142">
        <v>1</v>
      </c>
      <c r="T16" s="118">
        <v>25</v>
      </c>
      <c r="U16" s="131"/>
      <c r="V16" s="132"/>
      <c r="W16" s="133"/>
      <c r="X16" s="30"/>
      <c r="Y16" s="30"/>
      <c r="Z16" s="141"/>
      <c r="AA16" t="s" s="119">
        <v>188</v>
      </c>
      <c r="AB16" t="s" s="119">
        <v>34</v>
      </c>
      <c r="AC16" s="30"/>
      <c r="AD16" s="30"/>
      <c r="AE16" s="30"/>
      <c r="AF16" t="s" s="369">
        <v>2078</v>
      </c>
      <c r="AG16" s="112">
        <v>1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370">
        <v>2055</v>
      </c>
      <c r="B17" t="s" s="37">
        <v>725</v>
      </c>
      <c r="C17" s="272">
        <v>3</v>
      </c>
      <c r="D17" t="s" s="368">
        <v>2056</v>
      </c>
      <c r="E17" s="30"/>
      <c r="F17" s="30"/>
      <c r="G17" s="30"/>
      <c r="H17" s="112">
        <v>3</v>
      </c>
      <c r="I17" s="112">
        <v>11</v>
      </c>
      <c r="J17" s="112" cm="1">
        <f t="array" ref="J17">SUM(J3:J16)</f>
        <v>6</v>
      </c>
      <c r="K17" s="112" cm="1">
        <f t="array" ref="K17">SUM(K3:K16)</f>
        <v>3</v>
      </c>
      <c r="L17" s="112" cm="1">
        <f t="array" ref="L17">SUM(L3:L16)</f>
        <v>2</v>
      </c>
      <c r="M17" s="112" cm="1">
        <f t="array" ref="M17">SUM(M3:M16)</f>
        <v>0</v>
      </c>
      <c r="N17" s="112" cm="1">
        <f t="array" ref="N17">SUM(N3:N16)</f>
        <v>3</v>
      </c>
      <c r="O17" s="112" cm="1">
        <f t="array" ref="O17">SUM(O3:O16)</f>
        <v>2</v>
      </c>
      <c r="P17" s="112" cm="1">
        <f t="array" ref="P17">SUM(P3:P16)</f>
        <v>2</v>
      </c>
      <c r="Q17" s="112" cm="1">
        <f t="array" ref="Q17">SUM(Q3:Q16)</f>
        <v>0</v>
      </c>
      <c r="R17" s="112" cm="1">
        <f t="array" ref="R17">SUM(R3:R16)</f>
        <v>0</v>
      </c>
      <c r="S17" s="112" cm="1">
        <f t="array" ref="S17">SUM(S3:S16)</f>
        <v>4</v>
      </c>
      <c r="T17" s="112" cm="1">
        <f t="array" ref="T17">SUM(T3:T16)</f>
        <v>366</v>
      </c>
      <c r="U17" s="112" cm="1">
        <f t="array" ref="U17">SUM(U3:U16)</f>
        <v>0</v>
      </c>
      <c r="V17" s="112" cm="1">
        <f t="array" ref="V17">SUM(V3:V16)</f>
        <v>0</v>
      </c>
      <c r="W17" s="112" cm="1">
        <f t="array" ref="W17">SUM(W3:W16)</f>
        <v>0</v>
      </c>
      <c r="X17" s="112" cm="1">
        <f t="array" ref="X17">SUM(X3:X16)</f>
        <v>0</v>
      </c>
      <c r="Y17" s="112" cm="1">
        <f t="array" ref="Y17">SUM(Y3:Y16)</f>
        <v>0</v>
      </c>
      <c r="Z17" s="112" cm="1">
        <f t="array" ref="Z17">SUM(Z3:Z16)</f>
        <v>0</v>
      </c>
      <c r="AA17" s="112" cm="1">
        <f t="array" ref="AA17">SUM(AA3:AA16)</f>
        <v>0</v>
      </c>
      <c r="AB17" s="112" cm="1">
        <f t="array" ref="AB17">SUM(AB3:AB16)</f>
        <v>0</v>
      </c>
      <c r="AC17" s="112" cm="1">
        <f t="array" ref="AC17">SUM(AC3:AC16)</f>
        <v>6</v>
      </c>
      <c r="AD17" s="112" cm="1">
        <f t="array" ref="AD17">SUM(AD3:AD16)</f>
        <v>1</v>
      </c>
      <c r="AE17" s="112" cm="1">
        <f t="array" ref="AE17">AC17-AD17</f>
        <v>5</v>
      </c>
      <c r="AF17" s="112" cm="1">
        <f t="array" ref="AF17">J18-AG17</f>
        <v>5</v>
      </c>
      <c r="AG17" s="112" cm="1">
        <f t="array" ref="AG17">SUM(AG3:AG16)</f>
        <v>6</v>
      </c>
      <c r="AH17" s="112" cm="1">
        <f t="array" ref="AH17">AG17+AF17</f>
        <v>11</v>
      </c>
      <c r="AI17" s="112" cm="1">
        <f t="array" ref="AI17">SUM(AI3:AI16)</f>
        <v>0</v>
      </c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s="372"/>
      <c r="B18" s="143"/>
      <c r="C18" s="291"/>
      <c r="D18" s="373"/>
      <c r="E18" s="30"/>
      <c r="F18" s="30"/>
      <c r="G18" s="30"/>
      <c r="H18" s="30"/>
      <c r="I18" s="30"/>
      <c r="J18" s="112" cm="1">
        <f t="array" ref="J18">SUM(J17:M17)</f>
        <v>11</v>
      </c>
      <c r="K18" s="30"/>
      <c r="L18" s="30"/>
      <c r="M18" s="121"/>
      <c r="N18" s="121"/>
      <c r="O18" s="121"/>
      <c r="P18" s="121"/>
      <c r="Q18" s="121"/>
      <c r="R18" s="121"/>
      <c r="S18" s="121"/>
      <c r="T18" s="87" cm="1">
        <f t="array" ref="T18">T17/J18</f>
        <v>33.2727272727273</v>
      </c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" customHeight="1">
      <c r="A19" s="83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86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121"/>
      <c r="N20" s="121"/>
      <c r="O20" s="121"/>
      <c r="P20" s="121"/>
      <c r="Q20" s="121"/>
      <c r="R20" s="121"/>
      <c r="S20" s="121"/>
      <c r="T20" s="121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121"/>
      <c r="N21" s="121"/>
      <c r="O21" s="121"/>
      <c r="P21" s="121"/>
      <c r="Q21" s="121"/>
      <c r="R21" s="121"/>
      <c r="S21" s="121"/>
      <c r="T21" s="121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s="124"/>
      <c r="B22" s="124"/>
      <c r="C22" s="124"/>
      <c r="D22" s="28"/>
      <c r="E22" s="124"/>
      <c r="F22" s="28"/>
      <c r="G22" s="28"/>
      <c r="H22" s="28"/>
      <c r="I22" s="28"/>
      <c r="J22" s="28"/>
      <c r="K22" s="125"/>
      <c r="L22" s="28"/>
      <c r="M22" s="28"/>
      <c r="N22" s="28"/>
      <c r="O22" s="28"/>
      <c r="P22" s="28"/>
      <c r="Q22" s="125"/>
      <c r="R22" s="125"/>
      <c r="S22" s="125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28" customHeight="1">
      <c r="A23" s="124"/>
      <c r="B23" s="374"/>
      <c r="C23" s="124"/>
      <c r="D23" s="375"/>
      <c r="E23" s="124"/>
      <c r="F23" s="28"/>
      <c r="G23" s="28"/>
      <c r="H23" s="28"/>
      <c r="I23" s="28"/>
      <c r="J23" s="163"/>
      <c r="K23" s="297"/>
      <c r="L23" s="165"/>
      <c r="M23" s="28"/>
      <c r="N23" s="28"/>
      <c r="O23" s="28"/>
      <c r="P23" s="163"/>
      <c r="Q23" s="297"/>
      <c r="R23" s="297"/>
      <c r="S23" s="297"/>
      <c r="T23" s="166"/>
      <c r="U23" s="28"/>
      <c r="V23" s="28"/>
      <c r="W23" s="28"/>
      <c r="X23" s="28"/>
      <c r="Y23" s="28"/>
      <c r="Z23" s="28"/>
      <c r="AA23" s="28"/>
      <c r="AB23" s="28"/>
      <c r="AC23" s="28"/>
      <c r="AD23" s="124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s="363"/>
      <c r="B24" s="143"/>
      <c r="C24" s="376"/>
      <c r="D24" s="373"/>
      <c r="E24" s="30"/>
      <c r="F24" s="30"/>
      <c r="G24" s="30"/>
      <c r="H24" s="30"/>
      <c r="I24" s="30"/>
      <c r="J24" s="30"/>
      <c r="K24" s="30"/>
      <c r="L24" s="30"/>
      <c r="M24" s="121"/>
      <c r="N24" s="121"/>
      <c r="O24" s="121"/>
      <c r="P24" s="121"/>
      <c r="Q24" s="121"/>
      <c r="R24" s="121"/>
      <c r="S24" s="121"/>
      <c r="T24" s="86" cm="1">
        <f t="array" ref="T24">T17/I17</f>
        <v>33.2727272727273</v>
      </c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s="83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121"/>
      <c r="N26" s="121"/>
      <c r="O26" s="121"/>
      <c r="P26" s="121"/>
      <c r="Q26" s="121"/>
      <c r="R26" s="121"/>
      <c r="S26" s="121"/>
      <c r="T26" s="121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121"/>
      <c r="N27" s="121"/>
      <c r="O27" s="121"/>
      <c r="P27" s="121"/>
      <c r="Q27" s="121"/>
      <c r="R27" s="121"/>
      <c r="S27" s="121"/>
      <c r="T27" s="121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124"/>
      <c r="B28" s="124"/>
      <c r="C28" s="124"/>
      <c r="D28" s="28"/>
      <c r="E28" s="124"/>
      <c r="F28" s="28"/>
      <c r="G28" s="28"/>
      <c r="H28" s="28"/>
      <c r="I28" s="28"/>
      <c r="J28" s="28"/>
      <c r="K28" s="125"/>
      <c r="L28" s="28"/>
      <c r="M28" s="28"/>
      <c r="N28" s="28"/>
      <c r="O28" s="28"/>
      <c r="P28" s="28"/>
      <c r="Q28" s="125"/>
      <c r="R28" s="125"/>
      <c r="S28" s="125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28" customHeight="1">
      <c r="A29" s="124"/>
      <c r="B29" s="124"/>
      <c r="C29" s="124"/>
      <c r="D29" s="28"/>
      <c r="E29" s="124"/>
      <c r="F29" s="28"/>
      <c r="G29" s="28"/>
      <c r="H29" s="28"/>
      <c r="I29" s="28"/>
      <c r="J29" s="163"/>
      <c r="K29" s="164"/>
      <c r="L29" s="165"/>
      <c r="M29" s="28"/>
      <c r="N29" s="28"/>
      <c r="O29" s="28"/>
      <c r="P29" s="163"/>
      <c r="Q29" s="164"/>
      <c r="R29" s="164"/>
      <c r="S29" s="164"/>
      <c r="T29" s="166"/>
      <c r="U29" s="28"/>
      <c r="V29" s="28"/>
      <c r="W29" s="28"/>
      <c r="X29" s="28"/>
      <c r="Y29" s="28"/>
      <c r="Z29" s="28"/>
      <c r="AA29" s="28"/>
      <c r="AB29" s="28"/>
      <c r="AC29" s="28"/>
      <c r="AD29" s="124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146"/>
      <c r="B30" s="30"/>
      <c r="C30" s="30"/>
      <c r="D30" s="30"/>
      <c r="E30" s="30"/>
      <c r="F30" s="30"/>
      <c r="G30" s="30"/>
      <c r="H30" s="30"/>
      <c r="I30" s="30"/>
      <c r="J30" s="30"/>
      <c r="K30" s="141"/>
      <c r="L30" s="30"/>
      <c r="M30" s="121"/>
      <c r="N30" s="121"/>
      <c r="O30" s="121"/>
      <c r="P30" s="121"/>
      <c r="Q30" s="147"/>
      <c r="R30" s="147"/>
      <c r="S30" s="147"/>
      <c r="T30" s="121"/>
      <c r="U30" s="121"/>
      <c r="V30" s="121"/>
      <c r="W30" s="121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30"/>
      <c r="R31" s="121"/>
      <c r="S31" s="121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121"/>
      <c r="R32" s="121"/>
      <c r="S32" s="121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.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121"/>
      <c r="N33" s="121"/>
      <c r="O33" s="121"/>
      <c r="P33" s="121"/>
      <c r="Q33" s="121"/>
      <c r="R33" s="121"/>
      <c r="S33" s="121"/>
      <c r="T33" s="30"/>
      <c r="U33" s="121"/>
      <c r="V33" s="121"/>
      <c r="W33" s="121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.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121"/>
      <c r="N34" s="121"/>
      <c r="O34" s="121"/>
      <c r="P34" s="121"/>
      <c r="Q34" s="30"/>
      <c r="R34" s="121"/>
      <c r="S34" s="121"/>
      <c r="T34" s="30"/>
      <c r="U34" s="121"/>
      <c r="V34" s="121"/>
      <c r="W34" s="121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121"/>
      <c r="N35" s="121"/>
      <c r="O35" s="121"/>
      <c r="P35" s="121"/>
      <c r="Q35" s="30"/>
      <c r="R35" s="121"/>
      <c r="S35" s="121"/>
      <c r="T35" s="30"/>
      <c r="U35" s="121"/>
      <c r="V35" s="121"/>
      <c r="W35" s="121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121"/>
      <c r="N36" s="121"/>
      <c r="O36" s="121"/>
      <c r="P36" s="121"/>
      <c r="Q36" s="30"/>
      <c r="R36" s="121"/>
      <c r="S36" s="121"/>
      <c r="T36" s="30"/>
      <c r="U36" s="121"/>
      <c r="V36" s="121"/>
      <c r="W36" s="121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121"/>
      <c r="N37" s="121"/>
      <c r="O37" s="121"/>
      <c r="P37" s="121"/>
      <c r="Q37" s="30"/>
      <c r="R37" s="121"/>
      <c r="S37" s="121"/>
      <c r="T37" s="30"/>
      <c r="U37" s="121"/>
      <c r="V37" s="121"/>
      <c r="W37" s="121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121"/>
      <c r="N39" s="121"/>
      <c r="O39" s="121"/>
      <c r="P39" s="121"/>
      <c r="Q39" s="30"/>
      <c r="R39" s="121"/>
      <c r="S39" s="121"/>
      <c r="T39" s="129"/>
      <c r="U39" s="121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.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121"/>
      <c r="N40" s="121"/>
      <c r="O40" s="121"/>
      <c r="P40" s="121"/>
      <c r="Q40" s="30"/>
      <c r="R40" s="121"/>
      <c r="S40" s="121"/>
      <c r="T40" s="30"/>
      <c r="U40" s="121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121"/>
      <c r="N41" s="121"/>
      <c r="O41" s="121"/>
      <c r="P41" s="121"/>
      <c r="Q41" s="30"/>
      <c r="R41" s="121"/>
      <c r="S41" s="121"/>
      <c r="T41" s="30"/>
      <c r="U41" s="121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.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121"/>
      <c r="N42" s="121"/>
      <c r="O42" s="121"/>
      <c r="P42" s="121"/>
      <c r="Q42" s="30"/>
      <c r="R42" s="121"/>
      <c r="S42" s="121"/>
      <c r="T42" s="129"/>
      <c r="U42" s="121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7.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121"/>
      <c r="N43" s="121"/>
      <c r="O43" s="121"/>
      <c r="P43" s="121"/>
      <c r="Q43" s="30"/>
      <c r="R43" s="121"/>
      <c r="S43" s="121"/>
      <c r="T43" s="30"/>
      <c r="U43" s="121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121"/>
      <c r="N44" s="121"/>
      <c r="O44" s="121"/>
      <c r="P44" s="121"/>
      <c r="Q44" s="30"/>
      <c r="R44" s="121"/>
      <c r="S44" s="121"/>
      <c r="T44" s="30"/>
      <c r="U44" s="121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121"/>
      <c r="N45" s="121"/>
      <c r="O45" s="121"/>
      <c r="P45" s="121"/>
      <c r="Q45" s="30"/>
      <c r="R45" s="121"/>
      <c r="S45" s="121"/>
      <c r="T45" s="30"/>
      <c r="U45" s="121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" customHeight="1">
      <c r="A46" t="s" s="83">
        <v>723</v>
      </c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112" cm="1">
        <f t="array" ref="W46">SUM(W3:W45)</f>
        <v>0</v>
      </c>
      <c r="X46" s="30"/>
      <c r="Y46" s="30"/>
      <c r="Z46" s="112" cm="1">
        <f t="array" ref="Z46">SUM(Z3:Z45)</f>
        <v>0</v>
      </c>
      <c r="AA46" s="112" cm="1">
        <f t="array" ref="AA46">SUM(AA3:AA45)</f>
        <v>0</v>
      </c>
      <c r="AB46" s="112" cm="1">
        <f t="array" ref="AB46">SUM(AB3:AB45)</f>
        <v>0</v>
      </c>
      <c r="AC46" s="112" cm="1">
        <f t="array" ref="AC46">SUM(AC3:AC45)</f>
        <v>12</v>
      </c>
      <c r="AD46" s="112" cm="1">
        <f t="array" ref="AD46">SUM(AD3:AD45)</f>
        <v>2</v>
      </c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87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" customHeight="1">
      <c r="A48" s="30"/>
      <c r="B48" s="30"/>
      <c r="C48" s="30"/>
      <c r="D48" s="30"/>
      <c r="E48" s="30"/>
      <c r="F48" s="30"/>
      <c r="G48" s="130"/>
      <c r="H48" s="130"/>
      <c r="I48" s="130"/>
      <c r="J48" s="30"/>
      <c r="K48" s="30"/>
      <c r="L48" s="30"/>
      <c r="M48" s="30"/>
      <c r="N48" s="30"/>
      <c r="O48" s="30"/>
      <c r="P48" s="30"/>
      <c r="Q48" s="87"/>
      <c r="R48" s="130"/>
      <c r="S48" s="130"/>
      <c r="T48" s="1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.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121"/>
      <c r="S49" s="121"/>
      <c r="T49" s="129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130"/>
      <c r="S50" s="130"/>
      <c r="T50" s="130"/>
      <c r="U50" s="30"/>
      <c r="V50" s="30"/>
      <c r="W50" s="30"/>
      <c r="X50" s="30"/>
      <c r="Y50" s="30"/>
      <c r="Z50" s="30"/>
      <c r="AA50" s="30"/>
      <c r="AB50" s="30"/>
      <c r="AC50" s="134"/>
      <c r="AD50" s="134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121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3.xml><?xml version="1.0" encoding="utf-8"?>
<worksheet xmlns:r="http://schemas.openxmlformats.org/officeDocument/2006/relationships" xmlns="http://schemas.openxmlformats.org/spreadsheetml/2006/main">
  <dimension ref="A1:BD223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377" customWidth="1"/>
    <col min="4" max="4" width="17.8516" style="377" customWidth="1"/>
    <col min="5" max="5" width="13.1719" style="377" customWidth="1"/>
    <col min="6" max="6" width="10.6719" style="377" customWidth="1"/>
    <col min="7" max="10" width="10.8516" style="377" customWidth="1"/>
    <col min="11" max="11" width="4.85156" style="377" customWidth="1"/>
    <col min="12" max="12" width="7.85156" style="377" customWidth="1"/>
    <col min="13" max="13" width="10" style="377" customWidth="1"/>
    <col min="14" max="14" width="8.67188" style="377" customWidth="1"/>
    <col min="15" max="15" width="9.67188" style="377" customWidth="1"/>
    <col min="16" max="16" width="11.5" style="377" customWidth="1"/>
    <col min="17" max="17" width="11.6719" style="377" customWidth="1"/>
    <col min="18" max="18" width="12.3516" style="377" customWidth="1"/>
    <col min="19" max="19" width="10.8516" style="377" customWidth="1"/>
    <col min="20" max="20" width="15.1719" style="377" customWidth="1"/>
    <col min="21" max="23" width="10.8516" style="377" customWidth="1"/>
    <col min="24" max="24" width="31" style="377" customWidth="1"/>
    <col min="25" max="25" width="19.8516" style="377" customWidth="1"/>
    <col min="26" max="26" width="12.1719" style="377" customWidth="1"/>
    <col min="27" max="30" width="16.5" style="377" customWidth="1"/>
    <col min="31" max="31" width="14.6719" style="377" customWidth="1"/>
    <col min="32" max="32" width="10.8516" style="377" customWidth="1"/>
    <col min="33" max="33" width="11" style="377" customWidth="1"/>
    <col min="34" max="34" width="11.1719" style="377" customWidth="1"/>
    <col min="35" max="35" width="7.85156" style="377" customWidth="1"/>
    <col min="36" max="37" width="10.8516" style="377" customWidth="1"/>
    <col min="38" max="38" width="7.35156" style="377" customWidth="1"/>
    <col min="39" max="39" width="10.8516" style="377" customWidth="1"/>
    <col min="40" max="40" width="9.17188" style="377" customWidth="1"/>
    <col min="41" max="41" width="10.8516" style="377" customWidth="1"/>
    <col min="42" max="42" width="12.5" style="377" customWidth="1"/>
    <col min="43" max="43" width="13" style="377" customWidth="1"/>
    <col min="44" max="56" width="10.8516" style="377" customWidth="1"/>
    <col min="57" max="16384" width="10.8516" style="377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  <c r="BD1" s="74"/>
    </row>
    <row r="2" ht="51" customHeight="1">
      <c r="A2" t="s" s="227">
        <v>290</v>
      </c>
      <c r="B2" s="137"/>
      <c r="C2" s="228"/>
      <c r="D2" s="137"/>
      <c r="E2" t="s" s="229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206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206">
        <v>301</v>
      </c>
      <c r="U2" t="s" s="206">
        <v>302</v>
      </c>
      <c r="V2" t="s" s="206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192"/>
    </row>
    <row r="3" ht="17.45" customHeight="1">
      <c r="A3" t="s" s="378">
        <v>2079</v>
      </c>
      <c r="B3" t="s" s="37">
        <v>725</v>
      </c>
      <c r="C3" s="282">
        <v>1</v>
      </c>
      <c r="D3" t="s" s="379">
        <v>2080</v>
      </c>
      <c r="E3" s="234"/>
      <c r="F3" s="380">
        <v>2</v>
      </c>
      <c r="G3" t="s" s="355">
        <v>212</v>
      </c>
      <c r="H3" t="s" s="355">
        <v>2081</v>
      </c>
      <c r="I3" s="341">
        <v>1</v>
      </c>
      <c r="J3" s="261">
        <v>1</v>
      </c>
      <c r="K3" s="341"/>
      <c r="L3" s="341"/>
      <c r="M3" s="341"/>
      <c r="N3" s="6">
        <v>1</v>
      </c>
      <c r="O3" s="341"/>
      <c r="P3" s="209"/>
      <c r="Q3" s="341"/>
      <c r="R3" s="341"/>
      <c r="S3" s="341"/>
      <c r="T3" s="6">
        <v>55</v>
      </c>
      <c r="U3" s="239"/>
      <c r="V3" s="239"/>
      <c r="W3" s="341"/>
      <c r="X3" s="342"/>
      <c r="Y3" s="243"/>
      <c r="Z3" s="243"/>
      <c r="AA3" t="s" s="356">
        <v>33</v>
      </c>
      <c r="AB3" t="s" s="381">
        <v>34</v>
      </c>
      <c r="AC3" s="243"/>
      <c r="AD3" s="243"/>
      <c r="AE3" s="243"/>
      <c r="AF3" s="243"/>
      <c r="AG3" t="s" s="311">
        <v>370</v>
      </c>
      <c r="AH3" s="87"/>
      <c r="AI3" s="87"/>
      <c r="AJ3" t="s" s="83">
        <v>2082</v>
      </c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340"/>
      <c r="BA3" s="341"/>
      <c r="BB3" s="341"/>
      <c r="BC3" s="341"/>
      <c r="BD3" s="244"/>
    </row>
    <row r="4" ht="17.45" customHeight="1">
      <c r="A4" t="s" s="370">
        <v>2079</v>
      </c>
      <c r="B4" t="s" s="37">
        <v>725</v>
      </c>
      <c r="C4" s="287">
        <v>1</v>
      </c>
      <c r="D4" t="s" s="371">
        <v>2080</v>
      </c>
      <c r="E4" s="382"/>
      <c r="F4" s="380">
        <v>2</v>
      </c>
      <c r="G4" t="s" s="322">
        <v>2083</v>
      </c>
      <c r="H4" t="s" s="285">
        <v>2084</v>
      </c>
      <c r="I4" s="250">
        <v>2</v>
      </c>
      <c r="J4" s="264">
        <v>1</v>
      </c>
      <c r="K4" s="14"/>
      <c r="L4" s="14"/>
      <c r="M4" s="14"/>
      <c r="N4" s="264">
        <v>1</v>
      </c>
      <c r="O4" s="14"/>
      <c r="P4" s="14"/>
      <c r="Q4" s="14"/>
      <c r="R4" s="14"/>
      <c r="S4" s="14"/>
      <c r="T4" s="264">
        <v>55</v>
      </c>
      <c r="U4" s="14"/>
      <c r="V4" s="14"/>
      <c r="W4" s="14"/>
      <c r="X4" s="201"/>
      <c r="Y4" s="84"/>
      <c r="Z4" s="84"/>
      <c r="AA4" t="s" s="357">
        <v>33</v>
      </c>
      <c r="AB4" t="s" s="318">
        <v>34</v>
      </c>
      <c r="AC4" s="84"/>
      <c r="AD4" s="84"/>
      <c r="AE4" s="84"/>
      <c r="AF4" s="84">
        <v>1</v>
      </c>
      <c r="AG4" t="s" s="317">
        <v>13</v>
      </c>
      <c r="AH4" s="87"/>
      <c r="AI4" s="87"/>
      <c r="AJ4" t="s" s="383">
        <v>2082</v>
      </c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200"/>
      <c r="BA4" s="14"/>
      <c r="BB4" s="14"/>
      <c r="BC4" s="14"/>
      <c r="BD4" s="14"/>
    </row>
    <row r="5" ht="17.45" customHeight="1">
      <c r="A5" t="s" s="370">
        <v>2079</v>
      </c>
      <c r="B5" t="s" s="37">
        <v>725</v>
      </c>
      <c r="C5" s="272">
        <v>1</v>
      </c>
      <c r="D5" t="s" s="371">
        <v>2080</v>
      </c>
      <c r="E5" s="278"/>
      <c r="F5" s="380">
        <v>2</v>
      </c>
      <c r="G5" t="s" s="324">
        <v>2085</v>
      </c>
      <c r="H5" t="s" s="96">
        <v>406</v>
      </c>
      <c r="I5" s="99">
        <v>3</v>
      </c>
      <c r="J5" s="79">
        <v>1</v>
      </c>
      <c r="K5" s="16"/>
      <c r="L5" s="16"/>
      <c r="M5" s="16"/>
      <c r="N5" t="s" s="96">
        <v>11</v>
      </c>
      <c r="O5" s="16"/>
      <c r="P5" s="16"/>
      <c r="Q5" s="16"/>
      <c r="R5" s="16"/>
      <c r="S5" s="99">
        <v>1</v>
      </c>
      <c r="T5" s="79">
        <v>45</v>
      </c>
      <c r="U5" s="16"/>
      <c r="V5" s="16"/>
      <c r="W5" s="16"/>
      <c r="X5" s="75"/>
      <c r="Y5" s="84"/>
      <c r="Z5" s="84"/>
      <c r="AA5" t="s" s="157">
        <v>881</v>
      </c>
      <c r="AB5" t="s" s="158">
        <v>15</v>
      </c>
      <c r="AC5" s="84">
        <v>1</v>
      </c>
      <c r="AD5" s="84"/>
      <c r="AE5" s="84"/>
      <c r="AF5" s="84">
        <v>1</v>
      </c>
      <c r="AG5" t="s" s="159">
        <v>25</v>
      </c>
      <c r="AH5" s="87"/>
      <c r="AI5" s="87"/>
      <c r="AJ5" s="87"/>
      <c r="AK5" s="87"/>
      <c r="AL5" s="87"/>
      <c r="AM5" s="87"/>
      <c r="AN5" s="87"/>
      <c r="AO5" s="87"/>
      <c r="AP5" s="87"/>
      <c r="AQ5" s="87"/>
      <c r="AR5" s="87"/>
      <c r="AS5" s="87"/>
      <c r="AT5" s="87"/>
      <c r="AU5" s="87"/>
      <c r="AV5" s="87"/>
      <c r="AW5" s="87"/>
      <c r="AX5" s="87"/>
      <c r="AY5" s="87"/>
      <c r="AZ5" s="74"/>
      <c r="BA5" s="16"/>
      <c r="BB5" s="16"/>
      <c r="BC5" s="16"/>
      <c r="BD5" s="16"/>
    </row>
    <row r="6" ht="17.45" customHeight="1">
      <c r="A6" t="s" s="370">
        <v>2079</v>
      </c>
      <c r="B6" t="s" s="37">
        <v>725</v>
      </c>
      <c r="C6" s="272">
        <v>1</v>
      </c>
      <c r="D6" t="s" s="371">
        <v>2080</v>
      </c>
      <c r="E6" s="278"/>
      <c r="F6" s="261">
        <v>2</v>
      </c>
      <c r="G6" t="s" s="324">
        <v>2086</v>
      </c>
      <c r="H6" t="s" s="96">
        <v>109</v>
      </c>
      <c r="I6" s="99">
        <v>4</v>
      </c>
      <c r="J6" s="79">
        <v>1</v>
      </c>
      <c r="K6" s="16"/>
      <c r="L6" s="16"/>
      <c r="M6" s="16"/>
      <c r="N6" t="s" s="96">
        <v>11</v>
      </c>
      <c r="O6" s="16"/>
      <c r="P6" s="16"/>
      <c r="Q6" s="16"/>
      <c r="R6" s="16"/>
      <c r="S6" s="99">
        <v>1</v>
      </c>
      <c r="T6" s="79">
        <v>48</v>
      </c>
      <c r="U6" s="16"/>
      <c r="V6" s="16"/>
      <c r="W6" s="16"/>
      <c r="X6" s="75"/>
      <c r="Y6" s="84"/>
      <c r="Z6" s="84"/>
      <c r="AA6" t="s" s="157">
        <v>101</v>
      </c>
      <c r="AB6" t="s" s="158">
        <v>15</v>
      </c>
      <c r="AC6" s="84">
        <v>1</v>
      </c>
      <c r="AD6" s="84"/>
      <c r="AE6" s="84"/>
      <c r="AF6" s="84"/>
      <c r="AG6" t="s" s="159">
        <v>2087</v>
      </c>
      <c r="AH6" s="87"/>
      <c r="AI6" s="87"/>
      <c r="AJ6" s="87"/>
      <c r="AK6" s="87"/>
      <c r="AL6" s="87"/>
      <c r="AM6" s="87"/>
      <c r="AN6" s="87"/>
      <c r="AO6" s="87"/>
      <c r="AP6" s="87"/>
      <c r="AQ6" s="87"/>
      <c r="AR6" s="87"/>
      <c r="AS6" s="87"/>
      <c r="AT6" s="87"/>
      <c r="AU6" s="87"/>
      <c r="AV6" s="87"/>
      <c r="AW6" s="87"/>
      <c r="AX6" s="87"/>
      <c r="AY6" s="87"/>
      <c r="AZ6" s="74"/>
      <c r="BA6" s="16"/>
      <c r="BB6" s="16"/>
      <c r="BC6" s="16"/>
      <c r="BD6" s="16"/>
    </row>
    <row r="7" ht="17.45" customHeight="1">
      <c r="A7" s="370"/>
      <c r="B7" s="37"/>
      <c r="C7" s="63"/>
      <c r="D7" s="371"/>
      <c r="E7" s="89"/>
      <c r="F7" s="14"/>
      <c r="G7" s="16"/>
      <c r="H7" s="79">
        <v>4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75"/>
      <c r="Y7" s="84"/>
      <c r="Z7" s="84"/>
      <c r="AA7" s="74"/>
      <c r="AB7" s="75"/>
      <c r="AC7" s="84"/>
      <c r="AD7" s="84"/>
      <c r="AE7" s="84"/>
      <c r="AF7" s="84"/>
      <c r="AG7" s="122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74"/>
      <c r="BA7" s="16"/>
      <c r="BB7" s="16"/>
      <c r="BC7" s="16"/>
      <c r="BD7" s="16"/>
    </row>
    <row r="8" ht="17.45" customHeight="1">
      <c r="A8" t="s" s="370">
        <v>2079</v>
      </c>
      <c r="B8" t="s" s="37">
        <v>725</v>
      </c>
      <c r="C8" s="63"/>
      <c r="D8" t="s" s="371">
        <v>2080</v>
      </c>
      <c r="E8" s="89"/>
      <c r="F8" s="16"/>
      <c r="G8" t="s" s="96">
        <v>1</v>
      </c>
      <c r="H8" t="s" s="96">
        <v>0</v>
      </c>
      <c r="I8" s="16"/>
      <c r="J8" t="s" s="96">
        <v>3</v>
      </c>
      <c r="K8" s="16"/>
      <c r="L8" s="16"/>
      <c r="M8" s="16"/>
      <c r="N8" t="s" s="96">
        <v>2</v>
      </c>
      <c r="O8" s="16"/>
      <c r="P8" s="16"/>
      <c r="Q8" s="16"/>
      <c r="R8" s="16"/>
      <c r="S8" s="16"/>
      <c r="T8" t="s" s="96">
        <v>5</v>
      </c>
      <c r="U8" s="16"/>
      <c r="V8" s="16"/>
      <c r="W8" s="16"/>
      <c r="X8" s="75"/>
      <c r="Y8" s="84"/>
      <c r="Z8" s="84"/>
      <c r="AA8" t="s" s="157">
        <v>7</v>
      </c>
      <c r="AB8" t="s" s="158">
        <v>8</v>
      </c>
      <c r="AC8" s="84"/>
      <c r="AD8" s="84"/>
      <c r="AE8" s="84"/>
      <c r="AF8" s="84"/>
      <c r="AG8" t="s" s="159">
        <v>6</v>
      </c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74"/>
      <c r="BA8" s="16"/>
      <c r="BB8" s="16"/>
      <c r="BC8" s="16"/>
      <c r="BD8" s="16"/>
    </row>
    <row r="9" ht="17.45" customHeight="1">
      <c r="A9" t="s" s="370">
        <v>2079</v>
      </c>
      <c r="B9" t="s" s="37">
        <v>725</v>
      </c>
      <c r="C9" s="272">
        <v>2</v>
      </c>
      <c r="D9" t="s" s="371">
        <v>2080</v>
      </c>
      <c r="E9" s="89"/>
      <c r="F9" s="79">
        <v>1</v>
      </c>
      <c r="G9" t="s" s="96">
        <v>2088</v>
      </c>
      <c r="H9" t="s" s="96">
        <v>2089</v>
      </c>
      <c r="I9" s="99">
        <v>5</v>
      </c>
      <c r="J9" t="s" s="96">
        <v>37</v>
      </c>
      <c r="K9" s="99">
        <v>1</v>
      </c>
      <c r="L9" s="16"/>
      <c r="M9" s="16"/>
      <c r="N9" s="79">
        <v>1</v>
      </c>
      <c r="O9" s="16"/>
      <c r="P9" s="16"/>
      <c r="Q9" s="16"/>
      <c r="R9" s="16"/>
      <c r="S9" s="16"/>
      <c r="T9" s="79">
        <v>48</v>
      </c>
      <c r="U9" s="16"/>
      <c r="V9" s="16"/>
      <c r="W9" s="16"/>
      <c r="X9" s="75"/>
      <c r="Y9" s="84"/>
      <c r="Z9" s="84"/>
      <c r="AA9" t="s" s="157">
        <v>2090</v>
      </c>
      <c r="AB9" t="s" s="158">
        <v>2091</v>
      </c>
      <c r="AC9" s="84">
        <v>1</v>
      </c>
      <c r="AD9" s="84"/>
      <c r="AE9" s="84"/>
      <c r="AF9" s="84"/>
      <c r="AG9" t="s" s="159">
        <v>1458</v>
      </c>
      <c r="AH9" s="87"/>
      <c r="AI9" s="87"/>
      <c r="AJ9" s="87"/>
      <c r="AK9" s="87"/>
      <c r="AL9" s="87"/>
      <c r="AM9" s="87"/>
      <c r="AN9" s="87"/>
      <c r="AO9" s="87"/>
      <c r="AP9" s="87"/>
      <c r="AQ9" s="87"/>
      <c r="AR9" s="87"/>
      <c r="AS9" s="87"/>
      <c r="AT9" s="87"/>
      <c r="AU9" s="87"/>
      <c r="AV9" s="87"/>
      <c r="AW9" s="87"/>
      <c r="AX9" s="87"/>
      <c r="AY9" s="87"/>
      <c r="AZ9" s="74"/>
      <c r="BA9" s="16"/>
      <c r="BB9" s="16"/>
      <c r="BC9" s="16"/>
      <c r="BD9" s="16"/>
    </row>
    <row r="10" ht="17.45" customHeight="1">
      <c r="A10" t="s" s="370">
        <v>2079</v>
      </c>
      <c r="B10" t="s" s="37">
        <v>725</v>
      </c>
      <c r="C10" s="272">
        <v>2</v>
      </c>
      <c r="D10" t="s" s="371">
        <v>2080</v>
      </c>
      <c r="E10" s="89"/>
      <c r="F10" s="79">
        <v>1</v>
      </c>
      <c r="G10" t="s" s="96">
        <v>2088</v>
      </c>
      <c r="H10" t="s" s="96">
        <v>2092</v>
      </c>
      <c r="I10" s="99">
        <v>6</v>
      </c>
      <c r="J10" s="79">
        <v>1</v>
      </c>
      <c r="K10" s="16"/>
      <c r="L10" s="16"/>
      <c r="M10" s="16"/>
      <c r="N10" t="s" s="96">
        <v>72</v>
      </c>
      <c r="O10" s="99">
        <v>1</v>
      </c>
      <c r="P10" s="16"/>
      <c r="Q10" s="16"/>
      <c r="R10" s="16"/>
      <c r="S10" s="16"/>
      <c r="T10" s="79">
        <v>45</v>
      </c>
      <c r="U10" s="16"/>
      <c r="V10" s="16"/>
      <c r="W10" s="16"/>
      <c r="X10" s="75"/>
      <c r="Y10" s="84"/>
      <c r="Z10" s="84"/>
      <c r="AA10" t="s" s="157">
        <v>33</v>
      </c>
      <c r="AB10" t="s" s="158">
        <v>34</v>
      </c>
      <c r="AC10" s="84"/>
      <c r="AD10" s="84"/>
      <c r="AE10" s="84"/>
      <c r="AF10" s="84"/>
      <c r="AG10" t="s" s="159">
        <v>2093</v>
      </c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74"/>
      <c r="BA10" s="16"/>
      <c r="BB10" s="16"/>
      <c r="BC10" s="16"/>
      <c r="BD10" s="16"/>
    </row>
    <row r="11" ht="17.45" customHeight="1">
      <c r="A11" t="s" s="370">
        <v>2079</v>
      </c>
      <c r="B11" t="s" s="37">
        <v>725</v>
      </c>
      <c r="C11" s="272">
        <v>2</v>
      </c>
      <c r="D11" t="s" s="371">
        <v>2080</v>
      </c>
      <c r="E11" s="89"/>
      <c r="F11" s="79">
        <v>1</v>
      </c>
      <c r="G11" t="s" s="96">
        <v>2094</v>
      </c>
      <c r="H11" t="s" s="96">
        <v>2095</v>
      </c>
      <c r="I11" s="99">
        <v>7</v>
      </c>
      <c r="J11" s="79">
        <v>1</v>
      </c>
      <c r="K11" s="16"/>
      <c r="L11" s="16"/>
      <c r="M11" s="16"/>
      <c r="N11" t="s" s="96">
        <v>11</v>
      </c>
      <c r="O11" s="16"/>
      <c r="P11" s="16"/>
      <c r="Q11" s="16"/>
      <c r="R11" s="16"/>
      <c r="S11" s="99">
        <v>1</v>
      </c>
      <c r="T11" s="79">
        <v>26</v>
      </c>
      <c r="U11" s="16"/>
      <c r="V11" s="16"/>
      <c r="W11" s="16"/>
      <c r="X11" s="75"/>
      <c r="Y11" s="84"/>
      <c r="Z11" s="84"/>
      <c r="AA11" t="s" s="157">
        <v>45</v>
      </c>
      <c r="AB11" t="s" s="158">
        <v>15</v>
      </c>
      <c r="AC11" s="84">
        <v>1</v>
      </c>
      <c r="AD11" s="84"/>
      <c r="AE11" s="84"/>
      <c r="AF11" s="84">
        <v>1</v>
      </c>
      <c r="AG11" t="s" s="159">
        <v>13</v>
      </c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74"/>
      <c r="BA11" s="16"/>
      <c r="BB11" s="16"/>
      <c r="BC11" s="16"/>
      <c r="BD11" s="16"/>
    </row>
    <row r="12" ht="17.45" customHeight="1">
      <c r="A12" t="s" s="370">
        <v>2079</v>
      </c>
      <c r="B12" t="s" s="37">
        <v>725</v>
      </c>
      <c r="C12" s="63"/>
      <c r="D12" t="s" s="371">
        <v>2080</v>
      </c>
      <c r="E12" s="89"/>
      <c r="F12" s="16"/>
      <c r="G12" s="16"/>
      <c r="H12" s="79">
        <v>3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75"/>
      <c r="Y12" s="84"/>
      <c r="Z12" s="84"/>
      <c r="AA12" s="74"/>
      <c r="AB12" s="75"/>
      <c r="AC12" s="84"/>
      <c r="AD12" s="84"/>
      <c r="AE12" s="84"/>
      <c r="AF12" s="84"/>
      <c r="AG12" s="122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74"/>
      <c r="BA12" s="16"/>
      <c r="BB12" s="16"/>
      <c r="BC12" s="16"/>
      <c r="BD12" s="16"/>
    </row>
    <row r="13" ht="17.45" customHeight="1">
      <c r="A13" t="s" s="370">
        <v>2079</v>
      </c>
      <c r="B13" t="s" s="37">
        <v>725</v>
      </c>
      <c r="C13" s="63"/>
      <c r="D13" t="s" s="371">
        <v>2080</v>
      </c>
      <c r="E13" s="89"/>
      <c r="F13" s="16"/>
      <c r="G13" t="s" s="96">
        <v>1</v>
      </c>
      <c r="H13" t="s" s="96">
        <v>0</v>
      </c>
      <c r="I13" s="16"/>
      <c r="J13" t="s" s="96">
        <v>3</v>
      </c>
      <c r="K13" s="16"/>
      <c r="L13" s="16"/>
      <c r="M13" s="16"/>
      <c r="N13" t="s" s="96">
        <v>2</v>
      </c>
      <c r="O13" s="16"/>
      <c r="P13" s="16"/>
      <c r="Q13" s="16"/>
      <c r="R13" s="16"/>
      <c r="S13" s="16"/>
      <c r="T13" t="s" s="96">
        <v>5</v>
      </c>
      <c r="U13" s="16"/>
      <c r="V13" s="16"/>
      <c r="W13" s="16"/>
      <c r="X13" s="75"/>
      <c r="Y13" s="84"/>
      <c r="Z13" s="84"/>
      <c r="AA13" t="s" s="157">
        <v>7</v>
      </c>
      <c r="AB13" t="s" s="158">
        <v>8</v>
      </c>
      <c r="AC13" s="84"/>
      <c r="AD13" s="84"/>
      <c r="AE13" s="84"/>
      <c r="AF13" s="84"/>
      <c r="AG13" t="s" s="159">
        <v>6</v>
      </c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74"/>
      <c r="BA13" s="16"/>
      <c r="BB13" s="16"/>
      <c r="BC13" s="16"/>
      <c r="BD13" s="16"/>
    </row>
    <row r="14" ht="17.45" customHeight="1">
      <c r="A14" t="s" s="370">
        <v>2079</v>
      </c>
      <c r="B14" t="s" s="37">
        <v>725</v>
      </c>
      <c r="C14" s="272">
        <v>3</v>
      </c>
      <c r="D14" t="s" s="371">
        <v>2080</v>
      </c>
      <c r="E14" s="89"/>
      <c r="F14" s="79">
        <v>3</v>
      </c>
      <c r="G14" t="s" s="96">
        <v>502</v>
      </c>
      <c r="H14" t="s" s="96">
        <v>792</v>
      </c>
      <c r="I14" s="99">
        <v>8</v>
      </c>
      <c r="J14" s="16"/>
      <c r="K14" s="99">
        <v>1</v>
      </c>
      <c r="L14" s="16"/>
      <c r="M14" s="16"/>
      <c r="N14" s="79">
        <v>1</v>
      </c>
      <c r="O14" s="16"/>
      <c r="P14" s="16"/>
      <c r="Q14" s="16"/>
      <c r="R14" s="16"/>
      <c r="S14" s="16"/>
      <c r="T14" s="79">
        <v>73</v>
      </c>
      <c r="U14" s="16"/>
      <c r="V14" s="16"/>
      <c r="W14" s="16"/>
      <c r="X14" s="75"/>
      <c r="Y14" s="84"/>
      <c r="Z14" s="84"/>
      <c r="AA14" t="s" s="157">
        <v>2096</v>
      </c>
      <c r="AB14" t="s" s="158">
        <v>34</v>
      </c>
      <c r="AC14" s="84"/>
      <c r="AD14" s="84"/>
      <c r="AE14" s="84"/>
      <c r="AF14" s="84">
        <v>1</v>
      </c>
      <c r="AG14" t="s" s="159">
        <v>13</v>
      </c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74"/>
      <c r="BA14" s="16"/>
      <c r="BB14" s="16"/>
      <c r="BC14" s="16"/>
      <c r="BD14" s="16"/>
    </row>
    <row r="15" ht="17.45" customHeight="1">
      <c r="A15" t="s" s="370">
        <v>2079</v>
      </c>
      <c r="B15" t="s" s="37">
        <v>725</v>
      </c>
      <c r="C15" s="272">
        <v>3</v>
      </c>
      <c r="D15" t="s" s="371">
        <v>2080</v>
      </c>
      <c r="E15" s="89"/>
      <c r="F15" s="79">
        <v>3</v>
      </c>
      <c r="G15" t="s" s="96">
        <v>2097</v>
      </c>
      <c r="H15" t="s" s="96">
        <v>815</v>
      </c>
      <c r="I15" s="99">
        <v>9</v>
      </c>
      <c r="J15" s="79">
        <v>1</v>
      </c>
      <c r="K15" s="16"/>
      <c r="L15" s="16"/>
      <c r="M15" s="16"/>
      <c r="N15" t="s" s="96">
        <v>163</v>
      </c>
      <c r="O15" s="16"/>
      <c r="P15" s="16"/>
      <c r="Q15" s="16"/>
      <c r="R15" s="16"/>
      <c r="S15" s="99">
        <v>1</v>
      </c>
      <c r="T15" s="79">
        <v>60</v>
      </c>
      <c r="U15" s="16"/>
      <c r="V15" s="16"/>
      <c r="W15" s="16"/>
      <c r="X15" s="75"/>
      <c r="Y15" s="84"/>
      <c r="Z15" s="84"/>
      <c r="AA15" t="s" s="157">
        <v>34</v>
      </c>
      <c r="AB15" t="s" s="158">
        <v>2098</v>
      </c>
      <c r="AC15" s="84">
        <v>1</v>
      </c>
      <c r="AD15" s="84"/>
      <c r="AE15" s="84"/>
      <c r="AF15" s="84">
        <v>1</v>
      </c>
      <c r="AG15" t="s" s="159">
        <v>1171</v>
      </c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74"/>
      <c r="BA15" s="16"/>
      <c r="BB15" s="16"/>
      <c r="BC15" s="16"/>
      <c r="BD15" s="16"/>
    </row>
    <row r="16" ht="17.45" customHeight="1">
      <c r="A16" t="s" s="370">
        <v>2079</v>
      </c>
      <c r="B16" t="s" s="37">
        <v>725</v>
      </c>
      <c r="C16" s="272">
        <v>3</v>
      </c>
      <c r="D16" t="s" s="371">
        <v>2080</v>
      </c>
      <c r="E16" s="89"/>
      <c r="F16" s="79">
        <v>3</v>
      </c>
      <c r="G16" t="s" s="96">
        <v>2099</v>
      </c>
      <c r="H16" t="s" s="96">
        <v>2100</v>
      </c>
      <c r="I16" s="99">
        <v>10</v>
      </c>
      <c r="J16" s="79">
        <v>1</v>
      </c>
      <c r="K16" s="16"/>
      <c r="L16" s="16"/>
      <c r="M16" s="16"/>
      <c r="N16" t="s" s="96">
        <v>11</v>
      </c>
      <c r="O16" s="16"/>
      <c r="P16" s="16"/>
      <c r="Q16" s="16"/>
      <c r="R16" s="16"/>
      <c r="S16" s="99">
        <v>1</v>
      </c>
      <c r="T16" s="79">
        <v>34</v>
      </c>
      <c r="U16" s="16"/>
      <c r="V16" s="16"/>
      <c r="W16" s="16"/>
      <c r="X16" s="75"/>
      <c r="Y16" s="84"/>
      <c r="Z16" s="84"/>
      <c r="AA16" t="s" s="157">
        <v>188</v>
      </c>
      <c r="AB16" t="s" s="158">
        <v>15</v>
      </c>
      <c r="AC16" s="84">
        <v>1</v>
      </c>
      <c r="AD16" s="84"/>
      <c r="AE16" s="84"/>
      <c r="AF16" s="84">
        <v>1</v>
      </c>
      <c r="AG16" t="s" s="159">
        <v>2101</v>
      </c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74"/>
      <c r="BA16" s="16"/>
      <c r="BB16" s="16"/>
      <c r="BC16" s="16"/>
      <c r="BD16" s="16"/>
    </row>
    <row r="17" ht="17.45" customHeight="1">
      <c r="A17" t="s" s="370">
        <v>2079</v>
      </c>
      <c r="B17" t="s" s="37">
        <v>725</v>
      </c>
      <c r="C17" s="63"/>
      <c r="D17" t="s" s="371">
        <v>2080</v>
      </c>
      <c r="E17" s="89"/>
      <c r="F17" s="16"/>
      <c r="G17" s="16"/>
      <c r="H17" s="79">
        <v>3</v>
      </c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75"/>
      <c r="Y17" s="84"/>
      <c r="Z17" s="84"/>
      <c r="AA17" s="74"/>
      <c r="AB17" s="75"/>
      <c r="AC17" s="84"/>
      <c r="AD17" s="84"/>
      <c r="AE17" s="84"/>
      <c r="AF17" s="84"/>
      <c r="AG17" s="122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74"/>
      <c r="BA17" s="16"/>
      <c r="BB17" s="16"/>
      <c r="BC17" s="16"/>
      <c r="BD17" s="16"/>
    </row>
    <row r="18" ht="17.45" customHeight="1">
      <c r="A18" t="s" s="370">
        <v>2079</v>
      </c>
      <c r="B18" t="s" s="37">
        <v>725</v>
      </c>
      <c r="C18" s="276"/>
      <c r="D18" t="s" s="371">
        <v>2080</v>
      </c>
      <c r="E18" s="228"/>
      <c r="F18" s="3"/>
      <c r="G18" t="s" s="2">
        <v>1</v>
      </c>
      <c r="H18" t="s" s="2">
        <v>0</v>
      </c>
      <c r="I18" s="3"/>
      <c r="J18" t="s" s="2">
        <v>3</v>
      </c>
      <c r="K18" s="3"/>
      <c r="L18" s="3"/>
      <c r="M18" s="3"/>
      <c r="N18" t="s" s="2">
        <v>2</v>
      </c>
      <c r="O18" s="3"/>
      <c r="P18" s="3"/>
      <c r="Q18" s="3"/>
      <c r="R18" s="3"/>
      <c r="S18" s="3"/>
      <c r="T18" t="s" s="2">
        <v>5</v>
      </c>
      <c r="U18" s="3"/>
      <c r="V18" s="3"/>
      <c r="W18" s="3"/>
      <c r="X18" s="193"/>
      <c r="Y18" s="84"/>
      <c r="Z18" s="84"/>
      <c r="AA18" t="s" s="358">
        <v>7</v>
      </c>
      <c r="AB18" t="s" s="384">
        <v>8</v>
      </c>
      <c r="AC18" s="84"/>
      <c r="AD18" s="84"/>
      <c r="AE18" s="84"/>
      <c r="AF18" s="84"/>
      <c r="AG18" t="s" s="330">
        <v>6</v>
      </c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192"/>
      <c r="BA18" s="3"/>
      <c r="BB18" s="3"/>
      <c r="BC18" s="3"/>
      <c r="BD18" s="3"/>
    </row>
    <row r="19" ht="17.45" customHeight="1">
      <c r="A19" t="s" s="370">
        <v>2079</v>
      </c>
      <c r="B19" t="s" s="37">
        <v>725</v>
      </c>
      <c r="C19" s="282">
        <v>4</v>
      </c>
      <c r="D19" t="s" s="379">
        <v>2080</v>
      </c>
      <c r="E19" s="234"/>
      <c r="F19" s="6">
        <v>4</v>
      </c>
      <c r="G19" t="s" s="5">
        <v>2102</v>
      </c>
      <c r="H19" t="s" s="5">
        <v>95</v>
      </c>
      <c r="I19" s="239">
        <v>11</v>
      </c>
      <c r="J19" s="6">
        <v>1</v>
      </c>
      <c r="K19" s="239"/>
      <c r="L19" s="239"/>
      <c r="M19" s="239"/>
      <c r="N19" s="6">
        <v>1</v>
      </c>
      <c r="O19" s="239"/>
      <c r="P19" s="13"/>
      <c r="Q19" s="239"/>
      <c r="R19" s="239"/>
      <c r="S19" s="239"/>
      <c r="T19" s="6">
        <v>74</v>
      </c>
      <c r="U19" s="239"/>
      <c r="V19" s="239"/>
      <c r="W19" s="239"/>
      <c r="X19" s="240"/>
      <c r="Y19" s="243"/>
      <c r="Z19" s="243"/>
      <c r="AA19" t="s" s="359">
        <v>2103</v>
      </c>
      <c r="AB19" t="s" s="315">
        <v>34</v>
      </c>
      <c r="AC19" s="243"/>
      <c r="AD19" s="243"/>
      <c r="AE19" s="243"/>
      <c r="AF19" s="243"/>
      <c r="AG19" t="s" s="314">
        <v>2104</v>
      </c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238"/>
      <c r="BA19" s="239"/>
      <c r="BB19" s="239"/>
      <c r="BC19" s="239"/>
      <c r="BD19" s="244"/>
    </row>
    <row r="20" ht="17.45" customHeight="1">
      <c r="A20" t="s" s="370">
        <v>2079</v>
      </c>
      <c r="B20" t="s" s="37">
        <v>725</v>
      </c>
      <c r="C20" s="287">
        <v>4</v>
      </c>
      <c r="D20" t="s" s="371">
        <v>2080</v>
      </c>
      <c r="E20" s="246"/>
      <c r="F20" s="264">
        <v>4</v>
      </c>
      <c r="G20" t="s" s="285">
        <v>1802</v>
      </c>
      <c r="H20" t="s" s="285">
        <v>259</v>
      </c>
      <c r="I20" s="250">
        <v>12</v>
      </c>
      <c r="J20" s="264">
        <v>1</v>
      </c>
      <c r="K20" s="14"/>
      <c r="L20" s="14"/>
      <c r="M20" s="14"/>
      <c r="N20" t="s" s="285">
        <v>11</v>
      </c>
      <c r="O20" s="14"/>
      <c r="P20" s="14"/>
      <c r="Q20" s="14"/>
      <c r="R20" s="14"/>
      <c r="S20" s="250">
        <v>1</v>
      </c>
      <c r="T20" s="264">
        <v>37</v>
      </c>
      <c r="U20" s="14"/>
      <c r="V20" s="14"/>
      <c r="W20" s="14"/>
      <c r="X20" s="201"/>
      <c r="Y20" s="84"/>
      <c r="Z20" s="84"/>
      <c r="AA20" t="s" s="357">
        <v>45</v>
      </c>
      <c r="AB20" t="s" s="318">
        <v>15</v>
      </c>
      <c r="AC20" s="84">
        <v>1</v>
      </c>
      <c r="AD20" s="84"/>
      <c r="AE20" s="84"/>
      <c r="AF20" s="84"/>
      <c r="AG20" t="s" s="317">
        <v>2105</v>
      </c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200"/>
      <c r="BA20" s="14"/>
      <c r="BB20" s="14"/>
      <c r="BC20" s="14"/>
      <c r="BD20" s="14"/>
    </row>
    <row r="21" ht="17.45" customHeight="1">
      <c r="A21" t="s" s="370">
        <v>2079</v>
      </c>
      <c r="B21" t="s" s="37">
        <v>725</v>
      </c>
      <c r="C21" s="272">
        <v>4</v>
      </c>
      <c r="D21" t="s" s="371">
        <v>2080</v>
      </c>
      <c r="E21" s="89"/>
      <c r="F21" s="79">
        <v>4</v>
      </c>
      <c r="G21" t="s" s="96">
        <v>2106</v>
      </c>
      <c r="H21" t="s" s="96">
        <v>1856</v>
      </c>
      <c r="I21" s="99">
        <v>13</v>
      </c>
      <c r="J21" s="79">
        <v>1</v>
      </c>
      <c r="K21" s="16"/>
      <c r="L21" s="16"/>
      <c r="M21" s="16"/>
      <c r="N21" t="s" s="96">
        <v>11</v>
      </c>
      <c r="O21" s="16"/>
      <c r="P21" s="16"/>
      <c r="Q21" s="16"/>
      <c r="R21" s="16"/>
      <c r="S21" s="99">
        <v>1</v>
      </c>
      <c r="T21" s="79">
        <v>31</v>
      </c>
      <c r="U21" s="16"/>
      <c r="V21" s="16"/>
      <c r="W21" s="16"/>
      <c r="X21" s="75"/>
      <c r="Y21" s="84"/>
      <c r="Z21" s="84"/>
      <c r="AA21" t="s" s="157">
        <v>55</v>
      </c>
      <c r="AB21" t="s" s="158">
        <v>15</v>
      </c>
      <c r="AC21" s="84">
        <v>1</v>
      </c>
      <c r="AD21" s="84"/>
      <c r="AE21" s="84"/>
      <c r="AF21" s="84">
        <v>1</v>
      </c>
      <c r="AG21" t="s" s="159">
        <v>54</v>
      </c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74"/>
      <c r="BA21" s="16"/>
      <c r="BB21" s="16"/>
      <c r="BC21" s="16"/>
      <c r="BD21" s="16"/>
    </row>
    <row r="22" ht="17.45" customHeight="1">
      <c r="A22" t="s" s="370">
        <v>2079</v>
      </c>
      <c r="B22" t="s" s="37">
        <v>725</v>
      </c>
      <c r="C22" s="63"/>
      <c r="D22" t="s" s="371">
        <v>2080</v>
      </c>
      <c r="E22" s="89"/>
      <c r="F22" s="16"/>
      <c r="G22" s="16"/>
      <c r="H22" s="79">
        <v>3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75"/>
      <c r="Y22" s="84"/>
      <c r="Z22" s="84"/>
      <c r="AA22" s="74"/>
      <c r="AB22" s="75"/>
      <c r="AC22" s="84"/>
      <c r="AD22" s="84"/>
      <c r="AE22" s="84"/>
      <c r="AF22" s="84"/>
      <c r="AG22" s="122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74"/>
      <c r="BA22" s="16"/>
      <c r="BB22" s="16"/>
      <c r="BC22" s="16"/>
      <c r="BD22" s="16"/>
    </row>
    <row r="23" ht="17.45" customHeight="1">
      <c r="A23" t="s" s="370">
        <v>2079</v>
      </c>
      <c r="B23" t="s" s="37">
        <v>725</v>
      </c>
      <c r="C23" s="63"/>
      <c r="D23" t="s" s="371">
        <v>2080</v>
      </c>
      <c r="E23" s="89"/>
      <c r="F23" s="16"/>
      <c r="G23" t="s" s="96">
        <v>1</v>
      </c>
      <c r="H23" t="s" s="96">
        <v>0</v>
      </c>
      <c r="I23" s="16"/>
      <c r="J23" t="s" s="96">
        <v>3</v>
      </c>
      <c r="K23" s="16"/>
      <c r="L23" s="16"/>
      <c r="M23" s="16"/>
      <c r="N23" t="s" s="96">
        <v>2</v>
      </c>
      <c r="O23" s="16"/>
      <c r="P23" s="16"/>
      <c r="Q23" s="16"/>
      <c r="R23" s="16"/>
      <c r="S23" s="16"/>
      <c r="T23" t="s" s="96">
        <v>5</v>
      </c>
      <c r="U23" s="16"/>
      <c r="V23" s="16"/>
      <c r="W23" s="16"/>
      <c r="X23" s="75"/>
      <c r="Y23" s="84"/>
      <c r="Z23" s="84"/>
      <c r="AA23" t="s" s="157">
        <v>7</v>
      </c>
      <c r="AB23" t="s" s="158">
        <v>8</v>
      </c>
      <c r="AC23" s="84"/>
      <c r="AD23" s="84"/>
      <c r="AE23" s="84"/>
      <c r="AF23" s="84"/>
      <c r="AG23" t="s" s="159">
        <v>6</v>
      </c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74"/>
      <c r="BA23" s="16"/>
      <c r="BB23" s="16"/>
      <c r="BC23" s="16"/>
      <c r="BD23" s="16"/>
    </row>
    <row r="24" ht="17.45" customHeight="1">
      <c r="A24" t="s" s="370">
        <v>2079</v>
      </c>
      <c r="B24" t="s" s="37">
        <v>725</v>
      </c>
      <c r="C24" s="272">
        <v>5</v>
      </c>
      <c r="D24" t="s" s="371">
        <v>2080</v>
      </c>
      <c r="E24" s="89"/>
      <c r="F24" s="79">
        <v>5</v>
      </c>
      <c r="G24" t="s" s="96">
        <v>2107</v>
      </c>
      <c r="H24" t="s" s="96">
        <v>2108</v>
      </c>
      <c r="I24" s="99">
        <v>14</v>
      </c>
      <c r="J24" t="s" s="96">
        <v>37</v>
      </c>
      <c r="K24" s="99">
        <v>1</v>
      </c>
      <c r="L24" s="16"/>
      <c r="M24" s="16"/>
      <c r="N24" s="79">
        <v>1</v>
      </c>
      <c r="O24" s="16"/>
      <c r="P24" s="16"/>
      <c r="Q24" s="16"/>
      <c r="R24" s="16"/>
      <c r="S24" s="16"/>
      <c r="T24" s="79">
        <v>49</v>
      </c>
      <c r="U24" s="16"/>
      <c r="V24" s="16"/>
      <c r="W24" s="16"/>
      <c r="X24" s="75"/>
      <c r="Y24" s="84"/>
      <c r="Z24" s="84"/>
      <c r="AA24" t="s" s="157">
        <v>2109</v>
      </c>
      <c r="AB24" t="s" s="158">
        <v>8</v>
      </c>
      <c r="AC24" s="84">
        <v>1</v>
      </c>
      <c r="AD24" s="84">
        <v>1</v>
      </c>
      <c r="AE24" s="84"/>
      <c r="AF24" s="84"/>
      <c r="AG24" t="s" s="159">
        <v>2110</v>
      </c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74"/>
      <c r="BA24" s="16"/>
      <c r="BB24" s="16"/>
      <c r="BC24" s="16"/>
      <c r="BD24" s="16"/>
    </row>
    <row r="25" ht="17.45" customHeight="1">
      <c r="A25" t="s" s="370">
        <v>2079</v>
      </c>
      <c r="B25" t="s" s="37">
        <v>725</v>
      </c>
      <c r="C25" s="272">
        <v>5</v>
      </c>
      <c r="D25" t="s" s="371">
        <v>2080</v>
      </c>
      <c r="E25" s="89"/>
      <c r="F25" s="79">
        <v>5</v>
      </c>
      <c r="G25" t="s" s="96">
        <v>1201</v>
      </c>
      <c r="H25" t="s" s="96">
        <v>81</v>
      </c>
      <c r="I25" s="99">
        <v>15</v>
      </c>
      <c r="J25" s="79">
        <v>1</v>
      </c>
      <c r="K25" s="16"/>
      <c r="L25" s="16"/>
      <c r="M25" s="16"/>
      <c r="N25" t="s" s="96">
        <v>11</v>
      </c>
      <c r="O25" s="16"/>
      <c r="P25" s="16"/>
      <c r="Q25" s="16"/>
      <c r="R25" s="16"/>
      <c r="S25" s="99">
        <v>1</v>
      </c>
      <c r="T25" s="79">
        <v>22</v>
      </c>
      <c r="U25" s="16"/>
      <c r="V25" s="16"/>
      <c r="W25" s="16"/>
      <c r="X25" s="75"/>
      <c r="Y25" s="84"/>
      <c r="Z25" s="84"/>
      <c r="AA25" t="s" s="157">
        <v>45</v>
      </c>
      <c r="AB25" t="s" s="158">
        <v>15</v>
      </c>
      <c r="AC25" s="84">
        <v>1</v>
      </c>
      <c r="AD25" s="84"/>
      <c r="AE25" s="84"/>
      <c r="AF25" s="84">
        <v>1</v>
      </c>
      <c r="AG25" t="s" s="159">
        <v>986</v>
      </c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74"/>
      <c r="BA25" s="16"/>
      <c r="BB25" s="16"/>
      <c r="BC25" s="16"/>
      <c r="BD25" s="16"/>
    </row>
    <row r="26" ht="17.45" customHeight="1">
      <c r="A26" t="s" s="370">
        <v>2079</v>
      </c>
      <c r="B26" t="s" s="37">
        <v>725</v>
      </c>
      <c r="C26" s="272">
        <v>5</v>
      </c>
      <c r="D26" t="s" s="371">
        <v>2080</v>
      </c>
      <c r="E26" s="89"/>
      <c r="F26" s="79">
        <v>5</v>
      </c>
      <c r="G26" t="s" s="96">
        <v>2111</v>
      </c>
      <c r="H26" t="s" s="96">
        <v>2112</v>
      </c>
      <c r="I26" s="99">
        <v>16</v>
      </c>
      <c r="J26" s="79">
        <v>1</v>
      </c>
      <c r="K26" s="16"/>
      <c r="L26" s="16"/>
      <c r="M26" s="16"/>
      <c r="N26" t="s" s="96">
        <v>11</v>
      </c>
      <c r="O26" s="16"/>
      <c r="P26" s="16"/>
      <c r="Q26" s="16"/>
      <c r="R26" s="16"/>
      <c r="S26" s="99">
        <v>1</v>
      </c>
      <c r="T26" s="79">
        <v>24</v>
      </c>
      <c r="U26" s="16"/>
      <c r="V26" s="16"/>
      <c r="W26" s="16"/>
      <c r="X26" s="75"/>
      <c r="Y26" s="84"/>
      <c r="Z26" s="84"/>
      <c r="AA26" t="s" s="157">
        <v>105</v>
      </c>
      <c r="AB26" t="s" s="158">
        <v>15</v>
      </c>
      <c r="AC26" s="84">
        <v>1</v>
      </c>
      <c r="AD26" s="84"/>
      <c r="AE26" s="84"/>
      <c r="AF26" s="84"/>
      <c r="AG26" t="s" s="159">
        <v>2113</v>
      </c>
      <c r="AH26" s="87"/>
      <c r="AI26" s="87"/>
      <c r="AJ26" s="87"/>
      <c r="AK26" s="87"/>
      <c r="AL26" s="87"/>
      <c r="AM26" s="87"/>
      <c r="AN26" s="87"/>
      <c r="AO26" s="87"/>
      <c r="AP26" s="87"/>
      <c r="AQ26" s="87"/>
      <c r="AR26" s="87"/>
      <c r="AS26" s="87"/>
      <c r="AT26" s="87"/>
      <c r="AU26" s="87"/>
      <c r="AV26" s="87"/>
      <c r="AW26" s="87"/>
      <c r="AX26" s="87"/>
      <c r="AY26" s="87"/>
      <c r="AZ26" s="74"/>
      <c r="BA26" s="16"/>
      <c r="BB26" s="16"/>
      <c r="BC26" s="16"/>
      <c r="BD26" s="16"/>
    </row>
    <row r="27" ht="17.45" customHeight="1">
      <c r="A27" t="s" s="370">
        <v>2079</v>
      </c>
      <c r="B27" t="s" s="37">
        <v>725</v>
      </c>
      <c r="C27" s="63"/>
      <c r="D27" t="s" s="371">
        <v>2080</v>
      </c>
      <c r="E27" s="89"/>
      <c r="F27" s="16"/>
      <c r="G27" s="16"/>
      <c r="H27" s="79">
        <v>3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75"/>
      <c r="Y27" s="84"/>
      <c r="Z27" s="84"/>
      <c r="AA27" s="74"/>
      <c r="AB27" s="75"/>
      <c r="AC27" s="84"/>
      <c r="AD27" s="84"/>
      <c r="AE27" s="84"/>
      <c r="AF27" s="84"/>
      <c r="AG27" s="122"/>
      <c r="AH27" s="87"/>
      <c r="AI27" s="87"/>
      <c r="AJ27" s="87"/>
      <c r="AK27" s="87"/>
      <c r="AL27" s="87"/>
      <c r="AM27" s="87"/>
      <c r="AN27" s="87"/>
      <c r="AO27" s="87"/>
      <c r="AP27" s="87"/>
      <c r="AQ27" s="87"/>
      <c r="AR27" s="87"/>
      <c r="AS27" s="87"/>
      <c r="AT27" s="87"/>
      <c r="AU27" s="87"/>
      <c r="AV27" s="87"/>
      <c r="AW27" s="87"/>
      <c r="AX27" s="87"/>
      <c r="AY27" s="87"/>
      <c r="AZ27" s="74"/>
      <c r="BA27" s="16"/>
      <c r="BB27" s="16"/>
      <c r="BC27" s="16"/>
      <c r="BD27" s="16"/>
    </row>
    <row r="28" ht="17.45" customHeight="1">
      <c r="A28" t="s" s="370">
        <v>2079</v>
      </c>
      <c r="B28" t="s" s="37">
        <v>725</v>
      </c>
      <c r="C28" s="63"/>
      <c r="D28" t="s" s="371">
        <v>2080</v>
      </c>
      <c r="E28" s="89"/>
      <c r="F28" s="16"/>
      <c r="G28" t="s" s="96">
        <v>1</v>
      </c>
      <c r="H28" t="s" s="96">
        <v>0</v>
      </c>
      <c r="I28" s="16"/>
      <c r="J28" t="s" s="96">
        <v>3</v>
      </c>
      <c r="K28" s="16"/>
      <c r="L28" s="16"/>
      <c r="M28" s="16"/>
      <c r="N28" t="s" s="96">
        <v>2</v>
      </c>
      <c r="O28" s="16"/>
      <c r="P28" s="16"/>
      <c r="Q28" s="16"/>
      <c r="R28" s="16"/>
      <c r="S28" s="16"/>
      <c r="T28" t="s" s="96">
        <v>5</v>
      </c>
      <c r="U28" s="16"/>
      <c r="V28" s="16"/>
      <c r="W28" s="16"/>
      <c r="X28" s="75"/>
      <c r="Y28" s="84"/>
      <c r="Z28" s="84"/>
      <c r="AA28" t="s" s="157">
        <v>7</v>
      </c>
      <c r="AB28" t="s" s="158">
        <v>8</v>
      </c>
      <c r="AC28" s="84"/>
      <c r="AD28" s="84"/>
      <c r="AE28" s="84"/>
      <c r="AF28" s="84"/>
      <c r="AG28" t="s" s="159">
        <v>6</v>
      </c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74"/>
      <c r="BA28" s="16"/>
      <c r="BB28" s="16"/>
      <c r="BC28" s="16"/>
      <c r="BD28" s="16"/>
    </row>
    <row r="29" ht="17.45" customHeight="1">
      <c r="A29" t="s" s="370">
        <v>2079</v>
      </c>
      <c r="B29" t="s" s="37">
        <v>725</v>
      </c>
      <c r="C29" s="272">
        <v>6</v>
      </c>
      <c r="D29" t="s" s="371">
        <v>2080</v>
      </c>
      <c r="E29" s="89"/>
      <c r="F29" s="79">
        <v>6</v>
      </c>
      <c r="G29" t="s" s="96">
        <v>190</v>
      </c>
      <c r="H29" t="s" s="96">
        <v>1303</v>
      </c>
      <c r="I29" s="99">
        <v>17</v>
      </c>
      <c r="J29" t="s" s="96">
        <v>37</v>
      </c>
      <c r="K29" s="99">
        <v>1</v>
      </c>
      <c r="L29" s="16"/>
      <c r="M29" s="16"/>
      <c r="N29" s="79">
        <v>1</v>
      </c>
      <c r="O29" s="16"/>
      <c r="P29" s="16"/>
      <c r="Q29" s="16"/>
      <c r="R29" s="16"/>
      <c r="S29" s="16"/>
      <c r="T29" s="79">
        <v>56</v>
      </c>
      <c r="U29" s="16"/>
      <c r="V29" s="16"/>
      <c r="W29" s="16"/>
      <c r="X29" s="75"/>
      <c r="Y29" s="84"/>
      <c r="Z29" s="84"/>
      <c r="AA29" t="s" s="157">
        <v>1137</v>
      </c>
      <c r="AB29" t="s" s="158">
        <v>8</v>
      </c>
      <c r="AC29" s="84">
        <v>1</v>
      </c>
      <c r="AD29" s="84">
        <v>1</v>
      </c>
      <c r="AE29" s="84"/>
      <c r="AF29" s="84">
        <v>1</v>
      </c>
      <c r="AG29" t="s" s="159">
        <v>13</v>
      </c>
      <c r="AH29" s="87"/>
      <c r="AI29" s="87"/>
      <c r="AJ29" s="87"/>
      <c r="AK29" s="87"/>
      <c r="AL29" s="87"/>
      <c r="AM29" s="87"/>
      <c r="AN29" s="87"/>
      <c r="AO29" s="87"/>
      <c r="AP29" s="87"/>
      <c r="AQ29" s="87"/>
      <c r="AR29" s="87"/>
      <c r="AS29" s="87"/>
      <c r="AT29" s="87"/>
      <c r="AU29" s="87"/>
      <c r="AV29" s="87"/>
      <c r="AW29" s="87"/>
      <c r="AX29" s="87"/>
      <c r="AY29" s="87"/>
      <c r="AZ29" s="74"/>
      <c r="BA29" s="16"/>
      <c r="BB29" s="16"/>
      <c r="BC29" s="16"/>
      <c r="BD29" s="16"/>
    </row>
    <row r="30" ht="17.45" customHeight="1">
      <c r="A30" t="s" s="370">
        <v>2079</v>
      </c>
      <c r="B30" t="s" s="37">
        <v>725</v>
      </c>
      <c r="C30" s="272">
        <v>6</v>
      </c>
      <c r="D30" t="s" s="371">
        <v>2080</v>
      </c>
      <c r="E30" s="89"/>
      <c r="F30" s="79">
        <v>6</v>
      </c>
      <c r="G30" t="s" s="96">
        <v>190</v>
      </c>
      <c r="H30" t="s" s="96">
        <v>545</v>
      </c>
      <c r="I30" s="99">
        <v>18</v>
      </c>
      <c r="J30" s="79">
        <v>1</v>
      </c>
      <c r="K30" s="16"/>
      <c r="L30" s="16"/>
      <c r="M30" s="16"/>
      <c r="N30" t="s" s="96">
        <v>72</v>
      </c>
      <c r="O30" s="99">
        <v>1</v>
      </c>
      <c r="P30" s="16"/>
      <c r="Q30" s="16"/>
      <c r="R30" s="16"/>
      <c r="S30" s="16"/>
      <c r="T30" s="79">
        <v>54</v>
      </c>
      <c r="U30" s="16"/>
      <c r="V30" s="16"/>
      <c r="W30" s="16"/>
      <c r="X30" s="75"/>
      <c r="Y30" s="84"/>
      <c r="Z30" s="84"/>
      <c r="AA30" t="s" s="157">
        <v>33</v>
      </c>
      <c r="AB30" t="s" s="158">
        <v>34</v>
      </c>
      <c r="AC30" s="84"/>
      <c r="AD30" s="84"/>
      <c r="AE30" s="84"/>
      <c r="AF30" s="84"/>
      <c r="AG30" t="s" s="159">
        <v>2114</v>
      </c>
      <c r="AH30" s="87"/>
      <c r="AI30" s="87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74"/>
      <c r="BA30" s="16"/>
      <c r="BB30" s="16"/>
      <c r="BC30" s="16"/>
      <c r="BD30" s="16"/>
    </row>
    <row r="31" ht="17.45" customHeight="1">
      <c r="A31" t="s" s="370">
        <v>2079</v>
      </c>
      <c r="B31" t="s" s="37">
        <v>725</v>
      </c>
      <c r="C31" s="272">
        <v>6</v>
      </c>
      <c r="D31" t="s" s="371">
        <v>2080</v>
      </c>
      <c r="E31" s="89"/>
      <c r="F31" s="79">
        <v>6</v>
      </c>
      <c r="G31" t="s" s="96">
        <v>190</v>
      </c>
      <c r="H31" t="s" s="96">
        <v>112</v>
      </c>
      <c r="I31" s="99">
        <v>19</v>
      </c>
      <c r="J31" s="79">
        <v>1</v>
      </c>
      <c r="K31" s="16"/>
      <c r="L31" s="16"/>
      <c r="M31" s="16"/>
      <c r="N31" t="s" s="96">
        <v>78</v>
      </c>
      <c r="O31" s="16"/>
      <c r="P31" s="79">
        <v>1</v>
      </c>
      <c r="Q31" s="16"/>
      <c r="R31" s="16"/>
      <c r="S31" s="16"/>
      <c r="T31" s="79">
        <v>20</v>
      </c>
      <c r="U31" s="16"/>
      <c r="V31" s="16"/>
      <c r="W31" s="16"/>
      <c r="X31" s="75"/>
      <c r="Y31" s="84"/>
      <c r="Z31" s="84"/>
      <c r="AA31" t="s" s="157">
        <v>94</v>
      </c>
      <c r="AB31" t="s" s="158">
        <v>34</v>
      </c>
      <c r="AC31" s="84"/>
      <c r="AD31" s="84"/>
      <c r="AE31" s="84"/>
      <c r="AF31" s="84">
        <v>1</v>
      </c>
      <c r="AG31" t="s" s="159">
        <v>13</v>
      </c>
      <c r="AH31" s="87"/>
      <c r="AI31" s="87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74"/>
      <c r="BA31" s="16"/>
      <c r="BB31" s="16"/>
      <c r="BC31" s="16"/>
      <c r="BD31" s="16"/>
    </row>
    <row r="32" ht="17.45" customHeight="1">
      <c r="A32" t="s" s="370">
        <v>2079</v>
      </c>
      <c r="B32" t="s" s="37">
        <v>725</v>
      </c>
      <c r="C32" s="272">
        <v>6</v>
      </c>
      <c r="D32" t="s" s="371">
        <v>2080</v>
      </c>
      <c r="E32" s="89"/>
      <c r="F32" s="79">
        <v>6</v>
      </c>
      <c r="G32" t="s" s="96">
        <v>190</v>
      </c>
      <c r="H32" t="s" s="96">
        <v>2115</v>
      </c>
      <c r="I32" s="99">
        <v>20</v>
      </c>
      <c r="J32" s="79">
        <v>1</v>
      </c>
      <c r="K32" s="16"/>
      <c r="L32" s="16"/>
      <c r="M32" s="16"/>
      <c r="N32" t="s" s="96">
        <v>78</v>
      </c>
      <c r="O32" s="16"/>
      <c r="P32" s="79">
        <v>1</v>
      </c>
      <c r="Q32" s="16"/>
      <c r="R32" s="16"/>
      <c r="S32" s="16"/>
      <c r="T32" s="79">
        <v>11</v>
      </c>
      <c r="U32" s="16"/>
      <c r="V32" s="16"/>
      <c r="W32" s="16"/>
      <c r="X32" s="75"/>
      <c r="Y32" s="84"/>
      <c r="Z32" s="84"/>
      <c r="AA32" t="s" s="157">
        <v>34</v>
      </c>
      <c r="AB32" t="s" s="158">
        <v>34</v>
      </c>
      <c r="AC32" s="84"/>
      <c r="AD32" s="84"/>
      <c r="AE32" s="84"/>
      <c r="AF32" s="84">
        <v>1</v>
      </c>
      <c r="AG32" t="s" s="159">
        <v>13</v>
      </c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74"/>
      <c r="BA32" s="16"/>
      <c r="BB32" s="16"/>
      <c r="BC32" s="16"/>
      <c r="BD32" s="16"/>
    </row>
    <row r="33" ht="17.45" customHeight="1">
      <c r="A33" t="s" s="370">
        <v>2079</v>
      </c>
      <c r="B33" t="s" s="37">
        <v>725</v>
      </c>
      <c r="C33" s="272">
        <v>6</v>
      </c>
      <c r="D33" t="s" s="371">
        <v>2080</v>
      </c>
      <c r="E33" s="89"/>
      <c r="F33" s="79">
        <v>6</v>
      </c>
      <c r="G33" t="s" s="96">
        <v>2116</v>
      </c>
      <c r="H33" t="s" s="96">
        <v>71</v>
      </c>
      <c r="I33" s="99">
        <v>21</v>
      </c>
      <c r="J33" s="79">
        <v>1</v>
      </c>
      <c r="K33" s="16"/>
      <c r="L33" s="16"/>
      <c r="M33" s="16"/>
      <c r="N33" t="s" s="96">
        <v>11</v>
      </c>
      <c r="O33" s="16"/>
      <c r="P33" s="16"/>
      <c r="Q33" s="16"/>
      <c r="R33" s="16"/>
      <c r="S33" s="99">
        <v>1</v>
      </c>
      <c r="T33" s="79">
        <v>28</v>
      </c>
      <c r="U33" s="16"/>
      <c r="V33" s="16"/>
      <c r="W33" s="16"/>
      <c r="X33" s="75"/>
      <c r="Y33" s="84"/>
      <c r="Z33" s="84"/>
      <c r="AA33" t="s" s="157">
        <v>1456</v>
      </c>
      <c r="AB33" t="s" s="158">
        <v>51</v>
      </c>
      <c r="AC33" s="84">
        <v>1</v>
      </c>
      <c r="AD33" s="84"/>
      <c r="AE33" s="84"/>
      <c r="AF33" s="84"/>
      <c r="AG33" t="s" s="159">
        <v>1209</v>
      </c>
      <c r="AH33" s="87"/>
      <c r="AI33" s="87"/>
      <c r="AJ33" s="87"/>
      <c r="AK33" s="87"/>
      <c r="AL33" s="87"/>
      <c r="AM33" s="87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74"/>
      <c r="BA33" s="16"/>
      <c r="BB33" s="16"/>
      <c r="BC33" s="16"/>
      <c r="BD33" s="16"/>
    </row>
    <row r="34" ht="17.45" customHeight="1">
      <c r="A34" t="s" s="370">
        <v>2079</v>
      </c>
      <c r="B34" t="s" s="37">
        <v>725</v>
      </c>
      <c r="C34" s="272">
        <v>6</v>
      </c>
      <c r="D34" t="s" s="371">
        <v>2080</v>
      </c>
      <c r="E34" s="89"/>
      <c r="F34" s="79">
        <v>6</v>
      </c>
      <c r="G34" t="s" s="96">
        <v>2117</v>
      </c>
      <c r="H34" t="s" s="96">
        <v>109</v>
      </c>
      <c r="I34" s="99">
        <v>22</v>
      </c>
      <c r="J34" s="79">
        <v>1</v>
      </c>
      <c r="K34" s="16"/>
      <c r="L34" s="16"/>
      <c r="M34" s="16"/>
      <c r="N34" t="s" s="96">
        <v>11</v>
      </c>
      <c r="O34" s="16"/>
      <c r="P34" s="16"/>
      <c r="Q34" s="16"/>
      <c r="R34" s="16"/>
      <c r="S34" s="99">
        <v>1</v>
      </c>
      <c r="T34" s="79">
        <v>37</v>
      </c>
      <c r="U34" s="16"/>
      <c r="V34" s="16"/>
      <c r="W34" s="16"/>
      <c r="X34" s="75"/>
      <c r="Y34" s="84"/>
      <c r="Z34" s="84"/>
      <c r="AA34" t="s" s="157">
        <v>1456</v>
      </c>
      <c r="AB34" t="s" s="158">
        <v>45</v>
      </c>
      <c r="AC34" s="84">
        <v>1</v>
      </c>
      <c r="AD34" s="84"/>
      <c r="AE34" s="84"/>
      <c r="AF34" s="84"/>
      <c r="AG34" t="s" s="159">
        <v>2118</v>
      </c>
      <c r="AH34" s="87"/>
      <c r="AI34" s="87"/>
      <c r="AJ34" s="87"/>
      <c r="AK34" s="87"/>
      <c r="AL34" s="87"/>
      <c r="AM34" s="87"/>
      <c r="AN34" s="87"/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74"/>
      <c r="BA34" s="16"/>
      <c r="BB34" s="16"/>
      <c r="BC34" s="16"/>
      <c r="BD34" s="16"/>
    </row>
    <row r="35" ht="17.45" customHeight="1">
      <c r="A35" t="s" s="370">
        <v>2079</v>
      </c>
      <c r="B35" t="s" s="37">
        <v>725</v>
      </c>
      <c r="C35" s="63"/>
      <c r="D35" t="s" s="371">
        <v>2080</v>
      </c>
      <c r="E35" s="89"/>
      <c r="F35" s="16"/>
      <c r="G35" s="16"/>
      <c r="H35" s="79">
        <v>6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75"/>
      <c r="Y35" s="84"/>
      <c r="Z35" s="84"/>
      <c r="AA35" s="74"/>
      <c r="AB35" s="75"/>
      <c r="AC35" s="84"/>
      <c r="AD35" s="84"/>
      <c r="AE35" s="84"/>
      <c r="AF35" s="84"/>
      <c r="AG35" s="122"/>
      <c r="AH35" s="87"/>
      <c r="AI35" s="87"/>
      <c r="AJ35" s="87"/>
      <c r="AK35" s="87"/>
      <c r="AL35" s="87"/>
      <c r="AM35" s="87"/>
      <c r="AN35" s="87"/>
      <c r="AO35" s="87"/>
      <c r="AP35" s="87"/>
      <c r="AQ35" s="87"/>
      <c r="AR35" s="87"/>
      <c r="AS35" s="87"/>
      <c r="AT35" s="87"/>
      <c r="AU35" s="87"/>
      <c r="AV35" s="87"/>
      <c r="AW35" s="87"/>
      <c r="AX35" s="87"/>
      <c r="AY35" s="87"/>
      <c r="AZ35" s="74"/>
      <c r="BA35" s="16"/>
      <c r="BB35" s="16"/>
      <c r="BC35" s="16"/>
      <c r="BD35" s="16"/>
    </row>
    <row r="36" ht="17.45" customHeight="1">
      <c r="A36" t="s" s="370">
        <v>2079</v>
      </c>
      <c r="B36" t="s" s="37">
        <v>725</v>
      </c>
      <c r="C36" s="63"/>
      <c r="D36" t="s" s="371">
        <v>2080</v>
      </c>
      <c r="E36" s="89"/>
      <c r="F36" s="16"/>
      <c r="G36" t="s" s="96">
        <v>1</v>
      </c>
      <c r="H36" t="s" s="96">
        <v>0</v>
      </c>
      <c r="I36" s="16"/>
      <c r="J36" t="s" s="96">
        <v>3</v>
      </c>
      <c r="K36" s="16"/>
      <c r="L36" s="16"/>
      <c r="M36" s="16"/>
      <c r="N36" t="s" s="96">
        <v>2</v>
      </c>
      <c r="O36" s="16"/>
      <c r="P36" s="16"/>
      <c r="Q36" s="16"/>
      <c r="R36" s="16"/>
      <c r="S36" s="16"/>
      <c r="T36" t="s" s="96">
        <v>5</v>
      </c>
      <c r="U36" s="16"/>
      <c r="V36" s="16"/>
      <c r="W36" s="16"/>
      <c r="X36" s="75"/>
      <c r="Y36" s="84"/>
      <c r="Z36" s="84"/>
      <c r="AA36" t="s" s="157">
        <v>7</v>
      </c>
      <c r="AB36" t="s" s="158">
        <v>8</v>
      </c>
      <c r="AC36" s="84"/>
      <c r="AD36" s="84"/>
      <c r="AE36" s="84"/>
      <c r="AF36" s="84"/>
      <c r="AG36" t="s" s="159">
        <v>6</v>
      </c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74"/>
      <c r="BA36" s="16"/>
      <c r="BB36" s="16"/>
      <c r="BC36" s="16"/>
      <c r="BD36" s="16"/>
    </row>
    <row r="37" ht="17.45" customHeight="1">
      <c r="A37" t="s" s="370">
        <v>2079</v>
      </c>
      <c r="B37" t="s" s="37">
        <v>725</v>
      </c>
      <c r="C37" s="272">
        <v>7</v>
      </c>
      <c r="D37" t="s" s="371">
        <v>2080</v>
      </c>
      <c r="E37" s="89"/>
      <c r="F37" s="79">
        <v>8</v>
      </c>
      <c r="G37" t="s" s="96">
        <v>515</v>
      </c>
      <c r="H37" t="s" s="96">
        <v>2119</v>
      </c>
      <c r="I37" s="99">
        <v>23</v>
      </c>
      <c r="J37" t="s" s="96">
        <v>37</v>
      </c>
      <c r="K37" s="99">
        <v>1</v>
      </c>
      <c r="L37" s="16"/>
      <c r="M37" s="16"/>
      <c r="N37" s="79">
        <v>1</v>
      </c>
      <c r="O37" s="16"/>
      <c r="P37" s="16"/>
      <c r="Q37" s="16"/>
      <c r="R37" s="16"/>
      <c r="S37" s="16"/>
      <c r="T37" s="79">
        <v>34</v>
      </c>
      <c r="U37" s="16"/>
      <c r="V37" s="16"/>
      <c r="W37" s="16"/>
      <c r="X37" s="75"/>
      <c r="Y37" s="84"/>
      <c r="Z37" s="84"/>
      <c r="AA37" t="s" s="157">
        <v>2120</v>
      </c>
      <c r="AB37" t="s" s="158">
        <v>2121</v>
      </c>
      <c r="AC37" s="84">
        <v>1</v>
      </c>
      <c r="AD37" s="84"/>
      <c r="AE37" s="84"/>
      <c r="AF37" s="84">
        <v>1</v>
      </c>
      <c r="AG37" t="s" s="159">
        <v>13</v>
      </c>
      <c r="AH37" s="87"/>
      <c r="AI37" s="87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74"/>
      <c r="BA37" s="16"/>
      <c r="BB37" s="16"/>
      <c r="BC37" s="16"/>
      <c r="BD37" s="16"/>
    </row>
    <row r="38" ht="17.45" customHeight="1">
      <c r="A38" t="s" s="370">
        <v>2079</v>
      </c>
      <c r="B38" t="s" s="37">
        <v>725</v>
      </c>
      <c r="C38" s="272">
        <v>7</v>
      </c>
      <c r="D38" t="s" s="371">
        <v>2080</v>
      </c>
      <c r="E38" s="89"/>
      <c r="F38" s="79">
        <v>8</v>
      </c>
      <c r="G38" t="s" s="96">
        <v>515</v>
      </c>
      <c r="H38" t="s" s="96">
        <v>2122</v>
      </c>
      <c r="I38" s="99">
        <v>24</v>
      </c>
      <c r="J38" s="79">
        <v>1</v>
      </c>
      <c r="K38" s="16"/>
      <c r="L38" s="16"/>
      <c r="M38" s="16"/>
      <c r="N38" t="s" s="96">
        <v>72</v>
      </c>
      <c r="O38" s="99">
        <v>1</v>
      </c>
      <c r="P38" s="16"/>
      <c r="Q38" s="16"/>
      <c r="R38" s="16"/>
      <c r="S38" s="16"/>
      <c r="T38" s="79">
        <v>27</v>
      </c>
      <c r="U38" s="16"/>
      <c r="V38" s="16"/>
      <c r="W38" s="16"/>
      <c r="X38" s="75"/>
      <c r="Y38" s="84"/>
      <c r="Z38" s="84"/>
      <c r="AA38" t="s" s="157">
        <v>33</v>
      </c>
      <c r="AB38" t="s" s="158">
        <v>34</v>
      </c>
      <c r="AC38" s="84"/>
      <c r="AD38" s="84"/>
      <c r="AE38" s="84"/>
      <c r="AF38" s="84"/>
      <c r="AG38" t="s" s="159">
        <v>2123</v>
      </c>
      <c r="AH38" s="87"/>
      <c r="AI38" s="87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74"/>
      <c r="BA38" s="16"/>
      <c r="BB38" s="16"/>
      <c r="BC38" s="16"/>
      <c r="BD38" s="16"/>
    </row>
    <row r="39" ht="17.45" customHeight="1">
      <c r="A39" t="s" s="370">
        <v>2079</v>
      </c>
      <c r="B39" t="s" s="37">
        <v>725</v>
      </c>
      <c r="C39" s="272">
        <v>7</v>
      </c>
      <c r="D39" t="s" s="371">
        <v>2080</v>
      </c>
      <c r="E39" s="89"/>
      <c r="F39" s="79">
        <v>8</v>
      </c>
      <c r="G39" t="s" s="96">
        <v>515</v>
      </c>
      <c r="H39" t="s" s="96">
        <v>2124</v>
      </c>
      <c r="I39" s="99">
        <v>25</v>
      </c>
      <c r="J39" t="s" s="96">
        <v>12</v>
      </c>
      <c r="K39" s="16"/>
      <c r="L39" s="99">
        <v>1</v>
      </c>
      <c r="M39" s="16"/>
      <c r="N39" t="s" s="96">
        <v>78</v>
      </c>
      <c r="O39" s="16"/>
      <c r="P39" s="79">
        <v>1</v>
      </c>
      <c r="Q39" s="16"/>
      <c r="R39" s="16"/>
      <c r="S39" s="16"/>
      <c r="T39" s="79">
        <v>1</v>
      </c>
      <c r="U39" s="16"/>
      <c r="V39" s="16"/>
      <c r="W39" s="16"/>
      <c r="X39" s="75"/>
      <c r="Y39" s="84"/>
      <c r="Z39" s="84"/>
      <c r="AA39" t="s" s="157">
        <v>34</v>
      </c>
      <c r="AB39" t="s" s="158">
        <v>34</v>
      </c>
      <c r="AC39" s="84"/>
      <c r="AD39" s="84"/>
      <c r="AE39" s="84"/>
      <c r="AF39" s="84">
        <v>1</v>
      </c>
      <c r="AG39" t="s" s="159">
        <v>13</v>
      </c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74"/>
      <c r="BA39" s="16"/>
      <c r="BB39" s="16"/>
      <c r="BC39" s="16"/>
      <c r="BD39" s="16"/>
    </row>
    <row r="40" ht="17.45" customHeight="1">
      <c r="A40" t="s" s="370">
        <v>2079</v>
      </c>
      <c r="B40" t="s" s="37">
        <v>2125</v>
      </c>
      <c r="C40" s="63"/>
      <c r="D40" t="s" s="371">
        <v>2080</v>
      </c>
      <c r="E40" s="89"/>
      <c r="F40" s="16"/>
      <c r="G40" s="16"/>
      <c r="H40" s="79">
        <v>3</v>
      </c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75"/>
      <c r="Y40" s="84"/>
      <c r="Z40" s="84"/>
      <c r="AA40" s="74"/>
      <c r="AB40" s="75"/>
      <c r="AC40" s="84"/>
      <c r="AD40" s="84"/>
      <c r="AE40" s="84"/>
      <c r="AF40" s="84"/>
      <c r="AG40" s="122"/>
      <c r="AH40" s="87"/>
      <c r="AI40" s="87"/>
      <c r="AJ40" s="87"/>
      <c r="AK40" s="87"/>
      <c r="AL40" s="87"/>
      <c r="AM40" s="87"/>
      <c r="AN40" s="87"/>
      <c r="AO40" s="87"/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74"/>
      <c r="BA40" s="16"/>
      <c r="BB40" s="16"/>
      <c r="BC40" s="16"/>
      <c r="BD40" s="16"/>
    </row>
    <row r="41" ht="17.45" customHeight="1">
      <c r="A41" t="s" s="370">
        <v>2079</v>
      </c>
      <c r="B41" t="s" s="37">
        <v>2126</v>
      </c>
      <c r="C41" s="63"/>
      <c r="D41" t="s" s="371">
        <v>2080</v>
      </c>
      <c r="E41" s="89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75"/>
      <c r="Y41" s="84"/>
      <c r="Z41" s="84"/>
      <c r="AA41" s="74"/>
      <c r="AB41" s="75"/>
      <c r="AC41" s="84"/>
      <c r="AD41" s="84"/>
      <c r="AE41" s="84"/>
      <c r="AF41" s="84"/>
      <c r="AG41" s="122"/>
      <c r="AH41" s="87"/>
      <c r="AI41" s="87"/>
      <c r="AJ41" s="87"/>
      <c r="AK41" s="87"/>
      <c r="AL41" s="87"/>
      <c r="AM41" s="87"/>
      <c r="AN41" s="87"/>
      <c r="AO41" s="87"/>
      <c r="AP41" s="87"/>
      <c r="AQ41" s="87"/>
      <c r="AR41" s="87"/>
      <c r="AS41" s="87"/>
      <c r="AT41" s="87"/>
      <c r="AU41" s="87"/>
      <c r="AV41" s="87"/>
      <c r="AW41" s="87"/>
      <c r="AX41" s="87"/>
      <c r="AY41" s="87"/>
      <c r="AZ41" s="74"/>
      <c r="BA41" s="16"/>
      <c r="BB41" s="16"/>
      <c r="BC41" s="16"/>
      <c r="BD41" s="16"/>
    </row>
    <row r="42" ht="17.45" customHeight="1">
      <c r="A42" t="s" s="370">
        <v>2079</v>
      </c>
      <c r="B42" t="s" s="37">
        <v>2127</v>
      </c>
      <c r="C42" s="272">
        <v>8</v>
      </c>
      <c r="D42" t="s" s="371">
        <v>2080</v>
      </c>
      <c r="E42" s="89"/>
      <c r="F42" s="79">
        <v>10</v>
      </c>
      <c r="G42" t="s" s="96">
        <v>2128</v>
      </c>
      <c r="H42" t="s" s="96">
        <v>2129</v>
      </c>
      <c r="I42" s="99">
        <v>26</v>
      </c>
      <c r="J42" t="s" s="96">
        <v>37</v>
      </c>
      <c r="K42" s="99">
        <v>1</v>
      </c>
      <c r="L42" s="16"/>
      <c r="M42" s="16"/>
      <c r="N42" s="79">
        <v>1</v>
      </c>
      <c r="O42" s="16"/>
      <c r="P42" s="16"/>
      <c r="Q42" s="16"/>
      <c r="R42" s="16"/>
      <c r="S42" s="16"/>
      <c r="T42" s="79">
        <v>81</v>
      </c>
      <c r="U42" s="16"/>
      <c r="V42" s="16"/>
      <c r="W42" s="16"/>
      <c r="X42" s="75"/>
      <c r="Y42" s="84"/>
      <c r="Z42" s="84"/>
      <c r="AA42" t="s" s="157">
        <v>2130</v>
      </c>
      <c r="AB42" t="s" s="96">
        <v>2131</v>
      </c>
      <c r="AC42" s="117"/>
      <c r="AD42" s="84"/>
      <c r="AE42" s="84"/>
      <c r="AF42" s="84"/>
      <c r="AG42" t="s" s="159">
        <v>2132</v>
      </c>
      <c r="AH42" s="87"/>
      <c r="AI42" s="87"/>
      <c r="AJ42" s="87"/>
      <c r="AK42" s="87"/>
      <c r="AL42" s="87"/>
      <c r="AM42" s="87"/>
      <c r="AN42" s="87"/>
      <c r="AO42" s="87"/>
      <c r="AP42" s="87"/>
      <c r="AQ42" s="87"/>
      <c r="AR42" s="87"/>
      <c r="AS42" s="87"/>
      <c r="AT42" s="87"/>
      <c r="AU42" s="87"/>
      <c r="AV42" s="87"/>
      <c r="AW42" s="87"/>
      <c r="AX42" s="87"/>
      <c r="AY42" s="87"/>
      <c r="AZ42" s="74"/>
      <c r="BA42" s="16"/>
      <c r="BB42" s="16"/>
      <c r="BC42" s="16"/>
      <c r="BD42" s="16"/>
    </row>
    <row r="43" ht="17.45" customHeight="1">
      <c r="A43" t="s" s="370">
        <v>2079</v>
      </c>
      <c r="B43" t="s" s="37">
        <v>2133</v>
      </c>
      <c r="C43" s="272">
        <v>8</v>
      </c>
      <c r="D43" t="s" s="371">
        <v>2080</v>
      </c>
      <c r="E43" s="89"/>
      <c r="F43" s="79">
        <v>10</v>
      </c>
      <c r="G43" t="s" s="96">
        <v>1245</v>
      </c>
      <c r="H43" t="s" s="96">
        <v>2134</v>
      </c>
      <c r="I43" s="99">
        <v>27</v>
      </c>
      <c r="J43" s="79">
        <v>1</v>
      </c>
      <c r="K43" s="16"/>
      <c r="L43" s="16"/>
      <c r="M43" s="16"/>
      <c r="N43" t="s" s="96">
        <v>163</v>
      </c>
      <c r="O43" s="16"/>
      <c r="P43" s="16"/>
      <c r="Q43" s="16"/>
      <c r="R43" s="16"/>
      <c r="S43" s="99">
        <v>1</v>
      </c>
      <c r="T43" s="79">
        <v>30</v>
      </c>
      <c r="U43" s="16"/>
      <c r="V43" s="16"/>
      <c r="W43" s="16"/>
      <c r="X43" s="75"/>
      <c r="Y43" s="84"/>
      <c r="Z43" s="84"/>
      <c r="AA43" t="s" s="157">
        <v>163</v>
      </c>
      <c r="AB43" t="s" s="96">
        <v>15</v>
      </c>
      <c r="AC43" s="385">
        <v>1</v>
      </c>
      <c r="AD43" s="84"/>
      <c r="AE43" s="84"/>
      <c r="AF43" s="84">
        <v>1</v>
      </c>
      <c r="AG43" t="s" s="159">
        <v>13</v>
      </c>
      <c r="AH43" s="87"/>
      <c r="AI43" s="87"/>
      <c r="AJ43" s="87"/>
      <c r="AK43" s="87"/>
      <c r="AL43" s="87"/>
      <c r="AM43" s="87"/>
      <c r="AN43" s="87"/>
      <c r="AO43" s="87"/>
      <c r="AP43" s="87"/>
      <c r="AQ43" s="87"/>
      <c r="AR43" s="87"/>
      <c r="AS43" s="87"/>
      <c r="AT43" s="87"/>
      <c r="AU43" s="87"/>
      <c r="AV43" s="87"/>
      <c r="AW43" s="87"/>
      <c r="AX43" s="87"/>
      <c r="AY43" s="87"/>
      <c r="AZ43" s="74"/>
      <c r="BA43" s="16"/>
      <c r="BB43" s="16"/>
      <c r="BC43" s="16"/>
      <c r="BD43" s="16"/>
    </row>
    <row r="44" ht="17.45" customHeight="1">
      <c r="A44" t="s" s="370">
        <v>2079</v>
      </c>
      <c r="B44" t="s" s="37">
        <v>2135</v>
      </c>
      <c r="C44" s="63"/>
      <c r="D44" t="s" s="371">
        <v>2080</v>
      </c>
      <c r="E44" s="89"/>
      <c r="F44" s="16"/>
      <c r="G44" s="16"/>
      <c r="H44" s="79">
        <v>2</v>
      </c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75"/>
      <c r="Y44" s="84"/>
      <c r="Z44" s="84"/>
      <c r="AA44" s="74"/>
      <c r="AB44" s="75"/>
      <c r="AC44" s="84"/>
      <c r="AD44" s="84"/>
      <c r="AE44" s="84"/>
      <c r="AF44" s="84"/>
      <c r="AG44" s="122"/>
      <c r="AH44" s="87"/>
      <c r="AI44" s="87"/>
      <c r="AJ44" s="87"/>
      <c r="AK44" s="87"/>
      <c r="AL44" s="87"/>
      <c r="AM44" s="87"/>
      <c r="AN44" s="87"/>
      <c r="AO44" s="87"/>
      <c r="AP44" s="87"/>
      <c r="AQ44" s="87"/>
      <c r="AR44" s="87"/>
      <c r="AS44" s="87"/>
      <c r="AT44" s="87"/>
      <c r="AU44" s="87"/>
      <c r="AV44" s="87"/>
      <c r="AW44" s="87"/>
      <c r="AX44" s="87"/>
      <c r="AY44" s="87"/>
      <c r="AZ44" s="74"/>
      <c r="BA44" s="16"/>
      <c r="BB44" s="16"/>
      <c r="BC44" s="16"/>
      <c r="BD44" s="16"/>
    </row>
    <row r="45" ht="17.45" customHeight="1">
      <c r="A45" t="s" s="370">
        <v>2079</v>
      </c>
      <c r="B45" t="s" s="37">
        <v>2136</v>
      </c>
      <c r="C45" s="63"/>
      <c r="D45" t="s" s="371">
        <v>2080</v>
      </c>
      <c r="E45" s="89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75"/>
      <c r="Y45" s="84"/>
      <c r="Z45" s="84"/>
      <c r="AA45" s="74"/>
      <c r="AB45" s="75"/>
      <c r="AC45" s="84"/>
      <c r="AD45" s="84"/>
      <c r="AE45" s="84"/>
      <c r="AF45" s="84"/>
      <c r="AG45" s="122"/>
      <c r="AH45" s="87"/>
      <c r="AI45" s="87"/>
      <c r="AJ45" s="87"/>
      <c r="AK45" s="87"/>
      <c r="AL45" s="87"/>
      <c r="AM45" s="87"/>
      <c r="AN45" s="87"/>
      <c r="AO45" s="87"/>
      <c r="AP45" s="87"/>
      <c r="AQ45" s="87"/>
      <c r="AR45" s="87"/>
      <c r="AS45" s="87"/>
      <c r="AT45" s="87"/>
      <c r="AU45" s="87"/>
      <c r="AV45" s="87"/>
      <c r="AW45" s="87"/>
      <c r="AX45" s="87"/>
      <c r="AY45" s="87"/>
      <c r="AZ45" s="74"/>
      <c r="BA45" s="16"/>
      <c r="BB45" s="16"/>
      <c r="BC45" s="16"/>
      <c r="BD45" s="16"/>
    </row>
    <row r="46" ht="17.45" customHeight="1">
      <c r="A46" t="s" s="370">
        <v>2079</v>
      </c>
      <c r="B46" t="s" s="37">
        <v>725</v>
      </c>
      <c r="C46" s="63"/>
      <c r="D46" t="s" s="371">
        <v>2080</v>
      </c>
      <c r="E46" s="89"/>
      <c r="F46" s="16"/>
      <c r="G46" t="s" s="96">
        <v>1</v>
      </c>
      <c r="H46" t="s" s="96">
        <v>0</v>
      </c>
      <c r="I46" s="16"/>
      <c r="J46" t="s" s="96">
        <v>3</v>
      </c>
      <c r="K46" s="16"/>
      <c r="L46" s="16"/>
      <c r="M46" s="16"/>
      <c r="N46" t="s" s="96">
        <v>2</v>
      </c>
      <c r="O46" s="16"/>
      <c r="P46" s="16"/>
      <c r="Q46" s="16"/>
      <c r="R46" s="16"/>
      <c r="S46" s="16"/>
      <c r="T46" t="s" s="96">
        <v>5</v>
      </c>
      <c r="U46" s="16"/>
      <c r="V46" s="16"/>
      <c r="W46" s="16"/>
      <c r="X46" s="75"/>
      <c r="Y46" s="84"/>
      <c r="Z46" s="84"/>
      <c r="AA46" t="s" s="157">
        <v>7</v>
      </c>
      <c r="AB46" t="s" s="158">
        <v>8</v>
      </c>
      <c r="AC46" s="84"/>
      <c r="AD46" s="84"/>
      <c r="AE46" s="84"/>
      <c r="AF46" s="84"/>
      <c r="AG46" t="s" s="159">
        <v>6</v>
      </c>
      <c r="AH46" s="87"/>
      <c r="AI46" s="87"/>
      <c r="AJ46" s="87"/>
      <c r="AK46" s="87"/>
      <c r="AL46" s="87"/>
      <c r="AM46" s="87"/>
      <c r="AN46" s="87"/>
      <c r="AO46" s="87"/>
      <c r="AP46" s="87"/>
      <c r="AQ46" s="87"/>
      <c r="AR46" s="87"/>
      <c r="AS46" s="87"/>
      <c r="AT46" s="87"/>
      <c r="AU46" s="87"/>
      <c r="AV46" s="87"/>
      <c r="AW46" s="87"/>
      <c r="AX46" s="87"/>
      <c r="AY46" s="87"/>
      <c r="AZ46" s="74"/>
      <c r="BA46" s="16"/>
      <c r="BB46" s="16"/>
      <c r="BC46" s="16"/>
      <c r="BD46" s="16"/>
    </row>
    <row r="47" ht="17.45" customHeight="1">
      <c r="A47" t="s" s="370">
        <v>2079</v>
      </c>
      <c r="B47" t="s" s="37">
        <v>725</v>
      </c>
      <c r="C47" s="272">
        <v>9</v>
      </c>
      <c r="D47" t="s" s="371">
        <v>2080</v>
      </c>
      <c r="E47" s="107"/>
      <c r="F47" s="79">
        <v>11</v>
      </c>
      <c r="G47" t="s" s="96">
        <v>1578</v>
      </c>
      <c r="H47" t="s" s="96">
        <v>2137</v>
      </c>
      <c r="I47" s="99">
        <v>28</v>
      </c>
      <c r="J47" t="s" s="96">
        <v>37</v>
      </c>
      <c r="K47" s="99">
        <v>1</v>
      </c>
      <c r="L47" s="16"/>
      <c r="M47" s="16"/>
      <c r="N47" s="79">
        <v>1</v>
      </c>
      <c r="O47" s="16"/>
      <c r="P47" s="16"/>
      <c r="Q47" s="16"/>
      <c r="R47" s="16"/>
      <c r="S47" s="16"/>
      <c r="T47" s="79">
        <v>33</v>
      </c>
      <c r="U47" s="16"/>
      <c r="V47" s="16"/>
      <c r="W47" s="16"/>
      <c r="X47" s="75"/>
      <c r="Y47" s="84"/>
      <c r="Z47" s="84"/>
      <c r="AA47" t="s" s="157">
        <v>2138</v>
      </c>
      <c r="AB47" t="s" s="158">
        <v>2139</v>
      </c>
      <c r="AC47" s="84">
        <v>1</v>
      </c>
      <c r="AD47" s="84"/>
      <c r="AE47" s="84"/>
      <c r="AF47" s="84">
        <v>1</v>
      </c>
      <c r="AG47" t="s" s="159">
        <v>507</v>
      </c>
      <c r="AH47" s="87"/>
      <c r="AI47" s="87"/>
      <c r="AJ47" s="87"/>
      <c r="AK47" s="87"/>
      <c r="AL47" s="87"/>
      <c r="AM47" s="87"/>
      <c r="AN47" s="87"/>
      <c r="AO47" s="87"/>
      <c r="AP47" s="87"/>
      <c r="AQ47" s="87"/>
      <c r="AR47" s="87"/>
      <c r="AS47" s="87"/>
      <c r="AT47" s="87"/>
      <c r="AU47" s="87"/>
      <c r="AV47" s="87"/>
      <c r="AW47" s="87"/>
      <c r="AX47" s="87"/>
      <c r="AY47" s="87"/>
      <c r="AZ47" s="74"/>
      <c r="BA47" s="16"/>
      <c r="BB47" s="16"/>
      <c r="BC47" s="16"/>
      <c r="BD47" s="16"/>
    </row>
    <row r="48" ht="19" customHeight="1">
      <c r="A48" t="s" s="370">
        <v>2079</v>
      </c>
      <c r="B48" t="s" s="37">
        <v>725</v>
      </c>
      <c r="C48" s="272">
        <v>9</v>
      </c>
      <c r="D48" t="s" s="368">
        <v>2080</v>
      </c>
      <c r="E48" s="30"/>
      <c r="F48" s="156">
        <v>11</v>
      </c>
      <c r="G48" t="s" s="96">
        <v>1578</v>
      </c>
      <c r="H48" t="s" s="96">
        <v>2140</v>
      </c>
      <c r="I48" s="99">
        <v>29</v>
      </c>
      <c r="J48" s="79">
        <v>1</v>
      </c>
      <c r="K48" s="16"/>
      <c r="L48" s="16"/>
      <c r="M48" s="16"/>
      <c r="N48" t="s" s="96">
        <v>72</v>
      </c>
      <c r="O48" s="79">
        <v>1</v>
      </c>
      <c r="P48" s="16"/>
      <c r="Q48" s="16"/>
      <c r="R48" s="16"/>
      <c r="S48" s="16"/>
      <c r="T48" s="79">
        <v>27</v>
      </c>
      <c r="U48" s="16"/>
      <c r="V48" s="16"/>
      <c r="W48" s="16"/>
      <c r="X48" s="75"/>
      <c r="Y48" s="29"/>
      <c r="Z48" s="29"/>
      <c r="AA48" t="s" s="157">
        <v>33</v>
      </c>
      <c r="AB48" t="s" s="158">
        <v>34</v>
      </c>
      <c r="AC48" s="29"/>
      <c r="AD48" s="29"/>
      <c r="AE48" s="30"/>
      <c r="AF48" s="112">
        <v>1</v>
      </c>
      <c r="AG48" t="s" s="159">
        <v>13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  <c r="BD48" s="16"/>
    </row>
    <row r="49" ht="17.5" customHeight="1">
      <c r="A49" t="s" s="370">
        <v>2079</v>
      </c>
      <c r="B49" t="s" s="37">
        <v>725</v>
      </c>
      <c r="C49" s="272">
        <v>9</v>
      </c>
      <c r="D49" t="s" s="368">
        <v>2080</v>
      </c>
      <c r="E49" s="30"/>
      <c r="F49" s="156">
        <v>11</v>
      </c>
      <c r="G49" t="s" s="96">
        <v>1578</v>
      </c>
      <c r="H49" t="s" s="96">
        <v>2141</v>
      </c>
      <c r="I49" s="79">
        <v>30</v>
      </c>
      <c r="J49" t="s" s="96">
        <v>12</v>
      </c>
      <c r="K49" s="16"/>
      <c r="L49" s="79">
        <v>1</v>
      </c>
      <c r="M49" s="16"/>
      <c r="N49" t="s" s="96">
        <v>78</v>
      </c>
      <c r="O49" s="16"/>
      <c r="P49" s="79">
        <v>1</v>
      </c>
      <c r="Q49" s="16"/>
      <c r="R49" s="16"/>
      <c r="S49" s="16"/>
      <c r="T49" s="79">
        <v>3</v>
      </c>
      <c r="U49" s="16"/>
      <c r="V49" s="16"/>
      <c r="W49" s="16"/>
      <c r="X49" s="75"/>
      <c r="Y49" s="30"/>
      <c r="Z49" s="30"/>
      <c r="AA49" t="s" s="157">
        <v>34</v>
      </c>
      <c r="AB49" t="s" s="158">
        <v>34</v>
      </c>
      <c r="AC49" s="30"/>
      <c r="AD49" s="30"/>
      <c r="AE49" s="30"/>
      <c r="AF49" s="112">
        <v>1</v>
      </c>
      <c r="AG49" t="s" s="159">
        <v>13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  <c r="BD49" s="16"/>
    </row>
    <row r="50" ht="17.5" customHeight="1">
      <c r="A50" t="s" s="370">
        <v>2079</v>
      </c>
      <c r="B50" t="s" s="37">
        <v>725</v>
      </c>
      <c r="C50" s="272">
        <v>9</v>
      </c>
      <c r="D50" t="s" s="368">
        <v>2080</v>
      </c>
      <c r="E50" s="30"/>
      <c r="F50" s="156">
        <v>11</v>
      </c>
      <c r="G50" t="s" s="96">
        <v>218</v>
      </c>
      <c r="H50" t="s" s="96">
        <v>410</v>
      </c>
      <c r="I50" s="16"/>
      <c r="J50" s="79">
        <v>1</v>
      </c>
      <c r="K50" s="16"/>
      <c r="L50" s="16"/>
      <c r="M50" s="16"/>
      <c r="N50" t="s" s="96">
        <v>11</v>
      </c>
      <c r="O50" s="16"/>
      <c r="P50" s="16"/>
      <c r="Q50" s="16"/>
      <c r="R50" s="16"/>
      <c r="S50" s="79">
        <v>1</v>
      </c>
      <c r="T50" s="79">
        <v>28</v>
      </c>
      <c r="U50" s="16"/>
      <c r="V50" s="16"/>
      <c r="W50" s="16"/>
      <c r="X50" s="75"/>
      <c r="Y50" s="30"/>
      <c r="Z50" s="30"/>
      <c r="AA50" t="s" s="157">
        <v>105</v>
      </c>
      <c r="AB50" t="s" s="158">
        <v>15</v>
      </c>
      <c r="AC50" s="112">
        <v>1</v>
      </c>
      <c r="AD50" s="30"/>
      <c r="AE50" s="30"/>
      <c r="AF50" s="30"/>
      <c r="AG50" t="s" s="159">
        <v>1110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  <c r="BD50" s="16"/>
    </row>
    <row r="51" ht="17.5" customHeight="1">
      <c r="A51" t="s" s="370">
        <v>2079</v>
      </c>
      <c r="B51" t="s" s="37">
        <v>725</v>
      </c>
      <c r="C51" s="63"/>
      <c r="D51" t="s" s="368">
        <v>2080</v>
      </c>
      <c r="E51" s="30"/>
      <c r="F51" s="74"/>
      <c r="G51" s="16"/>
      <c r="H51" s="79">
        <v>4</v>
      </c>
      <c r="I51" s="99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75"/>
      <c r="Y51" s="30"/>
      <c r="Z51" s="30"/>
      <c r="AA51" s="74"/>
      <c r="AB51" s="75"/>
      <c r="AC51" s="30"/>
      <c r="AD51" s="30"/>
      <c r="AE51" s="30"/>
      <c r="AF51" s="30"/>
      <c r="AG51" s="122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  <c r="BD51" s="16"/>
    </row>
    <row r="52" ht="17.5" customHeight="1">
      <c r="A52" t="s" s="370">
        <v>2079</v>
      </c>
      <c r="B52" t="s" s="37">
        <v>725</v>
      </c>
      <c r="C52" s="276"/>
      <c r="D52" t="s" s="368">
        <v>2080</v>
      </c>
      <c r="E52" s="30"/>
      <c r="F52" s="192"/>
      <c r="G52" t="s" s="2">
        <v>1</v>
      </c>
      <c r="H52" t="s" s="2">
        <v>0</v>
      </c>
      <c r="I52" s="99"/>
      <c r="J52" t="s" s="2">
        <v>3</v>
      </c>
      <c r="K52" s="3"/>
      <c r="L52" s="3"/>
      <c r="M52" s="3"/>
      <c r="N52" t="s" s="2">
        <v>2</v>
      </c>
      <c r="O52" s="3"/>
      <c r="P52" s="3"/>
      <c r="Q52" s="3"/>
      <c r="R52" s="3"/>
      <c r="S52" s="3"/>
      <c r="T52" t="s" s="2">
        <v>5</v>
      </c>
      <c r="U52" s="3"/>
      <c r="V52" s="3"/>
      <c r="W52" s="3"/>
      <c r="X52" s="193"/>
      <c r="Y52" s="30"/>
      <c r="Z52" s="30"/>
      <c r="AA52" t="s" s="358">
        <v>7</v>
      </c>
      <c r="AB52" t="s" s="384">
        <v>8</v>
      </c>
      <c r="AC52" s="30"/>
      <c r="AD52" s="30"/>
      <c r="AE52" s="30"/>
      <c r="AF52" s="30"/>
      <c r="AG52" t="s" s="330">
        <v>6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192"/>
      <c r="BA52" s="3"/>
      <c r="BB52" s="3"/>
      <c r="BC52" s="3"/>
      <c r="BD52" s="3"/>
    </row>
    <row r="53" ht="17.5" customHeight="1">
      <c r="A53" t="s" s="370">
        <v>2079</v>
      </c>
      <c r="B53" t="s" s="37">
        <v>725</v>
      </c>
      <c r="C53" s="282">
        <v>10</v>
      </c>
      <c r="D53" t="s" s="386">
        <v>2080</v>
      </c>
      <c r="E53" s="30"/>
      <c r="F53" s="313">
        <v>13</v>
      </c>
      <c r="G53" t="s" s="5">
        <v>385</v>
      </c>
      <c r="H53" t="s" s="5">
        <v>2142</v>
      </c>
      <c r="I53" s="320">
        <v>31</v>
      </c>
      <c r="J53" s="6">
        <v>1</v>
      </c>
      <c r="K53" s="13"/>
      <c r="L53" s="13"/>
      <c r="M53" s="13"/>
      <c r="N53" s="6">
        <v>1</v>
      </c>
      <c r="O53" s="13"/>
      <c r="P53" s="13"/>
      <c r="Q53" s="13"/>
      <c r="R53" s="13"/>
      <c r="S53" s="13"/>
      <c r="T53" s="6">
        <v>48</v>
      </c>
      <c r="U53" s="13"/>
      <c r="V53" s="13"/>
      <c r="W53" s="13"/>
      <c r="X53" s="196"/>
      <c r="Y53" s="30"/>
      <c r="Z53" s="30"/>
      <c r="AA53" t="s" s="359">
        <v>33</v>
      </c>
      <c r="AB53" t="s" s="315">
        <v>34</v>
      </c>
      <c r="AC53" s="30"/>
      <c r="AD53" s="30"/>
      <c r="AE53" s="30"/>
      <c r="AF53" s="112">
        <v>1</v>
      </c>
      <c r="AG53" t="s" s="314">
        <v>13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195"/>
      <c r="BA53" s="13"/>
      <c r="BB53" s="13"/>
      <c r="BC53" s="13"/>
      <c r="BD53" s="10"/>
    </row>
    <row r="54" ht="17.5" customHeight="1">
      <c r="A54" t="s" s="370">
        <v>2079</v>
      </c>
      <c r="B54" t="s" s="37">
        <v>725</v>
      </c>
      <c r="C54" s="287">
        <v>10</v>
      </c>
      <c r="D54" t="s" s="368">
        <v>2080</v>
      </c>
      <c r="E54" s="30"/>
      <c r="F54" s="316">
        <v>13</v>
      </c>
      <c r="G54" t="s" s="285">
        <v>2143</v>
      </c>
      <c r="H54" t="s" s="285">
        <v>874</v>
      </c>
      <c r="I54" s="79">
        <v>32</v>
      </c>
      <c r="J54" s="264">
        <v>1</v>
      </c>
      <c r="K54" s="14"/>
      <c r="L54" s="14"/>
      <c r="M54" s="14"/>
      <c r="N54" t="s" s="285">
        <v>298</v>
      </c>
      <c r="O54" s="14"/>
      <c r="P54" s="264">
        <v>1</v>
      </c>
      <c r="Q54" s="14"/>
      <c r="R54" s="14"/>
      <c r="S54" s="14"/>
      <c r="T54" s="264">
        <v>32</v>
      </c>
      <c r="U54" s="14"/>
      <c r="V54" s="14"/>
      <c r="W54" s="14"/>
      <c r="X54" s="201"/>
      <c r="Y54" s="30"/>
      <c r="Z54" s="30"/>
      <c r="AA54" t="s" s="357">
        <v>105</v>
      </c>
      <c r="AB54" t="s" s="318">
        <v>15</v>
      </c>
      <c r="AC54" s="112">
        <v>1</v>
      </c>
      <c r="AD54" s="30"/>
      <c r="AE54" s="30"/>
      <c r="AF54" s="30"/>
      <c r="AG54" t="s" s="317">
        <v>1663</v>
      </c>
      <c r="AH54" s="30"/>
      <c r="AI54" s="30"/>
      <c r="AJ54" s="30"/>
      <c r="AK54" t="s" s="83">
        <v>2144</v>
      </c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200"/>
      <c r="BA54" s="14"/>
      <c r="BB54" s="14"/>
      <c r="BC54" s="14"/>
      <c r="BD54" s="14"/>
    </row>
    <row r="55" ht="17.5" customHeight="1">
      <c r="A55" s="370"/>
      <c r="B55" s="37"/>
      <c r="C55" s="63"/>
      <c r="D55" s="368"/>
      <c r="E55" s="30"/>
      <c r="F55" s="74"/>
      <c r="G55" s="16"/>
      <c r="H55" s="79">
        <v>2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75"/>
      <c r="Y55" s="30"/>
      <c r="Z55" s="30"/>
      <c r="AA55" s="74"/>
      <c r="AB55" s="75"/>
      <c r="AC55" s="30"/>
      <c r="AD55" s="30"/>
      <c r="AE55" s="30"/>
      <c r="AF55" s="30"/>
      <c r="AG55" s="122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  <c r="BD55" s="16"/>
    </row>
    <row r="56" ht="17.5" customHeight="1">
      <c r="A56" t="s" s="370">
        <v>2079</v>
      </c>
      <c r="B56" t="s" s="37">
        <v>725</v>
      </c>
      <c r="C56" s="63"/>
      <c r="D56" t="s" s="368">
        <v>2080</v>
      </c>
      <c r="E56" s="30"/>
      <c r="F56" s="74"/>
      <c r="G56" t="s" s="96">
        <v>1</v>
      </c>
      <c r="H56" t="s" s="96">
        <v>0</v>
      </c>
      <c r="I56" s="79">
        <v>33</v>
      </c>
      <c r="J56" t="s" s="96">
        <v>3</v>
      </c>
      <c r="K56" s="16"/>
      <c r="L56" s="16"/>
      <c r="M56" s="16"/>
      <c r="N56" t="s" s="96">
        <v>2</v>
      </c>
      <c r="O56" s="16"/>
      <c r="P56" s="16"/>
      <c r="Q56" s="16"/>
      <c r="R56" s="16"/>
      <c r="S56" s="16"/>
      <c r="T56" t="s" s="96">
        <v>5</v>
      </c>
      <c r="U56" s="16"/>
      <c r="V56" s="16"/>
      <c r="W56" s="16"/>
      <c r="X56" s="75"/>
      <c r="Y56" s="30"/>
      <c r="Z56" s="30"/>
      <c r="AA56" t="s" s="157">
        <v>7</v>
      </c>
      <c r="AB56" t="s" s="158">
        <v>8</v>
      </c>
      <c r="AC56" s="30"/>
      <c r="AD56" s="30"/>
      <c r="AE56" s="30"/>
      <c r="AF56" s="30"/>
      <c r="AG56" t="s" s="159">
        <v>6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  <c r="BD56" s="16"/>
    </row>
    <row r="57" ht="17" customHeight="1">
      <c r="A57" t="s" s="370">
        <v>2079</v>
      </c>
      <c r="B57" t="s" s="37">
        <v>725</v>
      </c>
      <c r="C57" s="272">
        <v>11</v>
      </c>
      <c r="D57" t="s" s="368">
        <v>2080</v>
      </c>
      <c r="E57" s="30"/>
      <c r="F57" s="156">
        <v>14</v>
      </c>
      <c r="G57" t="s" s="96">
        <v>2145</v>
      </c>
      <c r="H57" t="s" s="96">
        <v>2146</v>
      </c>
      <c r="I57" s="79">
        <v>34</v>
      </c>
      <c r="J57" t="s" s="96">
        <v>37</v>
      </c>
      <c r="K57" s="79">
        <v>1</v>
      </c>
      <c r="L57" s="16"/>
      <c r="M57" s="16"/>
      <c r="N57" s="79">
        <v>1</v>
      </c>
      <c r="O57" s="16"/>
      <c r="P57" s="16"/>
      <c r="Q57" s="16"/>
      <c r="R57" s="16"/>
      <c r="S57" s="16"/>
      <c r="T57" s="79">
        <v>55</v>
      </c>
      <c r="U57" s="16"/>
      <c r="V57" s="16"/>
      <c r="W57" s="16"/>
      <c r="X57" s="75"/>
      <c r="Y57" s="112" cm="1">
        <f t="array" ref="Y57">SUM(Y48:Y56)</f>
        <v>0</v>
      </c>
      <c r="Z57" s="112" cm="1">
        <f t="array" ref="Z57">SUM(Z48:Z56)</f>
        <v>0</v>
      </c>
      <c r="AA57" t="s" s="157">
        <v>2147</v>
      </c>
      <c r="AB57" t="s" s="158">
        <v>34</v>
      </c>
      <c r="AC57" s="112">
        <v>1</v>
      </c>
      <c r="AD57" s="112" cm="1">
        <f t="array" ref="AD57">SUM(AD48:AD56)</f>
        <v>0</v>
      </c>
      <c r="AE57" s="30"/>
      <c r="AF57" s="112">
        <v>1</v>
      </c>
      <c r="AG57" t="s" s="159">
        <v>54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  <c r="BD57" s="16"/>
    </row>
    <row r="58" ht="17.5" customHeight="1">
      <c r="A58" t="s" s="370">
        <v>2079</v>
      </c>
      <c r="B58" t="s" s="37">
        <v>725</v>
      </c>
      <c r="C58" s="272">
        <v>11</v>
      </c>
      <c r="D58" t="s" s="368">
        <v>2080</v>
      </c>
      <c r="E58" s="30"/>
      <c r="F58" s="156">
        <v>14</v>
      </c>
      <c r="G58" t="s" s="96">
        <v>2145</v>
      </c>
      <c r="H58" t="s" s="96">
        <v>2148</v>
      </c>
      <c r="I58" s="79">
        <v>35</v>
      </c>
      <c r="J58" s="79">
        <v>1</v>
      </c>
      <c r="K58" s="16"/>
      <c r="L58" s="16"/>
      <c r="M58" s="16"/>
      <c r="N58" t="s" s="96">
        <v>72</v>
      </c>
      <c r="O58" s="79">
        <v>1</v>
      </c>
      <c r="P58" s="16"/>
      <c r="Q58" s="16"/>
      <c r="R58" s="16"/>
      <c r="S58" s="16"/>
      <c r="T58" s="79">
        <v>56</v>
      </c>
      <c r="U58" s="16"/>
      <c r="V58" s="16"/>
      <c r="W58" s="16"/>
      <c r="X58" s="75"/>
      <c r="Y58" s="30"/>
      <c r="Z58" s="30"/>
      <c r="AA58" t="s" s="157">
        <v>33</v>
      </c>
      <c r="AB58" t="s" s="158">
        <v>34</v>
      </c>
      <c r="AC58" s="30"/>
      <c r="AD58" s="30"/>
      <c r="AE58" s="30"/>
      <c r="AF58" s="30"/>
      <c r="AG58" t="s" s="159">
        <v>1936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  <c r="BD58" s="16"/>
    </row>
    <row r="59" ht="17.5" customHeight="1">
      <c r="A59" t="s" s="370">
        <v>2079</v>
      </c>
      <c r="B59" t="s" s="37">
        <v>725</v>
      </c>
      <c r="C59" s="272">
        <v>11</v>
      </c>
      <c r="D59" t="s" s="368">
        <v>2080</v>
      </c>
      <c r="E59" s="30"/>
      <c r="F59" s="156">
        <v>14</v>
      </c>
      <c r="G59" t="s" s="96">
        <v>2149</v>
      </c>
      <c r="H59" t="s" s="96">
        <v>2150</v>
      </c>
      <c r="I59" s="79">
        <v>36</v>
      </c>
      <c r="J59" s="79">
        <v>1</v>
      </c>
      <c r="K59" s="16"/>
      <c r="L59" s="16"/>
      <c r="M59" s="16"/>
      <c r="N59" t="s" s="96">
        <v>11</v>
      </c>
      <c r="O59" s="16"/>
      <c r="P59" s="16"/>
      <c r="Q59" s="16"/>
      <c r="R59" s="16"/>
      <c r="S59" s="79">
        <v>1</v>
      </c>
      <c r="T59" s="79">
        <v>37</v>
      </c>
      <c r="U59" s="16"/>
      <c r="V59" s="16"/>
      <c r="W59" s="16"/>
      <c r="X59" s="75"/>
      <c r="Y59" s="30"/>
      <c r="Z59" s="30"/>
      <c r="AA59" t="s" s="157">
        <v>45</v>
      </c>
      <c r="AB59" t="s" s="158">
        <v>15</v>
      </c>
      <c r="AC59" s="112">
        <v>1</v>
      </c>
      <c r="AD59" s="30"/>
      <c r="AE59" s="30"/>
      <c r="AF59" s="30"/>
      <c r="AG59" t="s" s="159">
        <v>34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  <c r="BD59" s="16"/>
    </row>
    <row r="60" ht="17.5" customHeight="1">
      <c r="A60" t="s" s="370">
        <v>2079</v>
      </c>
      <c r="B60" t="s" s="37">
        <v>725</v>
      </c>
      <c r="C60" s="272">
        <v>11</v>
      </c>
      <c r="D60" t="s" s="368">
        <v>2080</v>
      </c>
      <c r="E60" s="124"/>
      <c r="F60" s="156">
        <v>14</v>
      </c>
      <c r="G60" t="s" s="96">
        <v>2151</v>
      </c>
      <c r="H60" t="s" s="96">
        <v>2152</v>
      </c>
      <c r="I60" s="79">
        <v>37</v>
      </c>
      <c r="J60" s="79">
        <v>1</v>
      </c>
      <c r="K60" s="16"/>
      <c r="L60" s="16"/>
      <c r="M60" s="16"/>
      <c r="N60" t="s" s="96">
        <v>11</v>
      </c>
      <c r="O60" s="16"/>
      <c r="P60" s="16"/>
      <c r="Q60" s="16"/>
      <c r="R60" s="16"/>
      <c r="S60" s="79">
        <v>1</v>
      </c>
      <c r="T60" s="79">
        <v>24</v>
      </c>
      <c r="U60" s="16"/>
      <c r="V60" s="16"/>
      <c r="W60" s="16"/>
      <c r="X60" s="75"/>
      <c r="Y60" s="28"/>
      <c r="Z60" s="28"/>
      <c r="AA60" t="s" s="157">
        <v>126</v>
      </c>
      <c r="AB60" t="s" s="158">
        <v>15</v>
      </c>
      <c r="AC60" s="307">
        <v>1</v>
      </c>
      <c r="AD60" s="28"/>
      <c r="AE60" s="30"/>
      <c r="AF60" s="30"/>
      <c r="AG60" t="s" s="159">
        <v>134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  <c r="BD60" s="16"/>
    </row>
    <row r="61" ht="28" customHeight="1">
      <c r="A61" t="s" s="370">
        <v>2079</v>
      </c>
      <c r="B61" t="s" s="37">
        <v>725</v>
      </c>
      <c r="C61" s="63"/>
      <c r="D61" t="s" s="368">
        <v>2080</v>
      </c>
      <c r="E61" s="124"/>
      <c r="F61" s="74"/>
      <c r="G61" s="16"/>
      <c r="H61" s="79">
        <v>4</v>
      </c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75"/>
      <c r="Y61" s="28"/>
      <c r="Z61" s="28"/>
      <c r="AA61" s="74"/>
      <c r="AB61" s="75"/>
      <c r="AC61" s="28"/>
      <c r="AD61" s="124"/>
      <c r="AE61" s="30"/>
      <c r="AF61" s="30"/>
      <c r="AG61" s="122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  <c r="BD61" s="16"/>
    </row>
    <row r="62" ht="17.5" customHeight="1">
      <c r="A62" t="s" s="370">
        <v>2079</v>
      </c>
      <c r="B62" t="s" s="37">
        <v>725</v>
      </c>
      <c r="C62" s="63"/>
      <c r="D62" t="s" s="368">
        <v>2080</v>
      </c>
      <c r="E62" s="30"/>
      <c r="F62" s="74"/>
      <c r="G62" t="s" s="96">
        <v>1</v>
      </c>
      <c r="H62" t="s" s="96">
        <v>0</v>
      </c>
      <c r="I62" s="16"/>
      <c r="J62" t="s" s="96">
        <v>3</v>
      </c>
      <c r="K62" s="16"/>
      <c r="L62" s="16"/>
      <c r="M62" s="16"/>
      <c r="N62" t="s" s="96">
        <v>2</v>
      </c>
      <c r="O62" s="16"/>
      <c r="P62" s="16"/>
      <c r="Q62" s="16"/>
      <c r="R62" s="16"/>
      <c r="S62" s="16"/>
      <c r="T62" t="s" s="96">
        <v>5</v>
      </c>
      <c r="U62" s="16"/>
      <c r="V62" s="16"/>
      <c r="W62" s="16"/>
      <c r="X62" s="75"/>
      <c r="Y62" s="30"/>
      <c r="Z62" s="30"/>
      <c r="AA62" t="s" s="157">
        <v>7</v>
      </c>
      <c r="AB62" t="s" s="158">
        <v>8</v>
      </c>
      <c r="AC62" s="30"/>
      <c r="AD62" s="30"/>
      <c r="AE62" s="30"/>
      <c r="AF62" s="30"/>
      <c r="AG62" t="s" s="159">
        <v>6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  <c r="BD62" s="16"/>
    </row>
    <row r="63" ht="17.5" customHeight="1">
      <c r="A63" t="s" s="370">
        <v>2079</v>
      </c>
      <c r="B63" t="s" s="37">
        <v>725</v>
      </c>
      <c r="C63" s="272">
        <v>12</v>
      </c>
      <c r="D63" t="s" s="368">
        <v>2080</v>
      </c>
      <c r="E63" s="30"/>
      <c r="F63" s="156">
        <v>15</v>
      </c>
      <c r="G63" t="s" s="96">
        <v>2153</v>
      </c>
      <c r="H63" t="s" s="96">
        <v>702</v>
      </c>
      <c r="I63" s="79">
        <v>38</v>
      </c>
      <c r="J63" s="79">
        <v>1</v>
      </c>
      <c r="K63" s="16"/>
      <c r="L63" s="16"/>
      <c r="M63" s="16"/>
      <c r="N63" t="s" s="96">
        <v>609</v>
      </c>
      <c r="O63" s="16"/>
      <c r="P63" s="16"/>
      <c r="Q63" s="16"/>
      <c r="R63" s="79">
        <v>1</v>
      </c>
      <c r="S63" s="16"/>
      <c r="T63" s="79">
        <v>53</v>
      </c>
      <c r="U63" s="16"/>
      <c r="V63" s="16"/>
      <c r="W63" s="16"/>
      <c r="X63" s="75"/>
      <c r="Y63" s="30"/>
      <c r="Z63" s="30"/>
      <c r="AA63" t="s" s="157">
        <v>33</v>
      </c>
      <c r="AB63" t="s" s="158">
        <v>34</v>
      </c>
      <c r="AC63" s="30"/>
      <c r="AD63" s="30"/>
      <c r="AE63" s="30"/>
      <c r="AF63" s="112">
        <v>1</v>
      </c>
      <c r="AG63" t="s" s="159">
        <v>54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  <c r="BD63" s="16"/>
    </row>
    <row r="64" ht="17.5" customHeight="1">
      <c r="A64" t="s" s="370">
        <v>2079</v>
      </c>
      <c r="B64" t="s" s="37">
        <v>725</v>
      </c>
      <c r="C64" s="272">
        <v>12</v>
      </c>
      <c r="D64" t="s" s="368">
        <v>2080</v>
      </c>
      <c r="E64" s="30"/>
      <c r="F64" s="156">
        <v>15</v>
      </c>
      <c r="G64" t="s" s="96">
        <v>2153</v>
      </c>
      <c r="H64" t="s" s="96">
        <v>2033</v>
      </c>
      <c r="I64" s="79">
        <v>39</v>
      </c>
      <c r="J64" s="79">
        <v>1</v>
      </c>
      <c r="K64" s="16"/>
      <c r="L64" s="16"/>
      <c r="M64" s="16"/>
      <c r="N64" t="s" s="96">
        <v>78</v>
      </c>
      <c r="O64" s="16"/>
      <c r="P64" s="79">
        <v>1</v>
      </c>
      <c r="Q64" s="16"/>
      <c r="R64" s="16"/>
      <c r="S64" s="16"/>
      <c r="T64" s="79">
        <v>20</v>
      </c>
      <c r="U64" s="16"/>
      <c r="V64" s="16"/>
      <c r="W64" s="16"/>
      <c r="X64" s="75"/>
      <c r="Y64" s="30"/>
      <c r="Z64" s="30"/>
      <c r="AA64" t="s" s="157">
        <v>1347</v>
      </c>
      <c r="AB64" t="s" s="158">
        <v>34</v>
      </c>
      <c r="AC64" s="30"/>
      <c r="AD64" s="30"/>
      <c r="AE64" s="30"/>
      <c r="AF64" s="112">
        <v>1</v>
      </c>
      <c r="AG64" t="s" s="159">
        <v>54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  <c r="BD64" s="16"/>
    </row>
    <row r="65" ht="17.5" customHeight="1">
      <c r="A65" t="s" s="370">
        <v>2079</v>
      </c>
      <c r="B65" t="s" s="37">
        <v>725</v>
      </c>
      <c r="C65" s="272">
        <v>12</v>
      </c>
      <c r="D65" t="s" s="368">
        <v>2080</v>
      </c>
      <c r="E65" s="30"/>
      <c r="F65" s="156">
        <v>15</v>
      </c>
      <c r="G65" t="s" s="96">
        <v>2153</v>
      </c>
      <c r="H65" t="s" s="96">
        <v>2154</v>
      </c>
      <c r="I65" s="79">
        <v>40</v>
      </c>
      <c r="J65" s="79">
        <v>1</v>
      </c>
      <c r="K65" s="16"/>
      <c r="L65" s="16"/>
      <c r="M65" s="16"/>
      <c r="N65" t="s" s="96">
        <v>78</v>
      </c>
      <c r="O65" s="16"/>
      <c r="P65" s="79">
        <v>1</v>
      </c>
      <c r="Q65" s="16"/>
      <c r="R65" s="16"/>
      <c r="S65" s="16"/>
      <c r="T65" s="79">
        <v>17</v>
      </c>
      <c r="U65" s="16"/>
      <c r="V65" s="16"/>
      <c r="W65" s="16"/>
      <c r="X65" s="75"/>
      <c r="Y65" s="30"/>
      <c r="Z65" s="30"/>
      <c r="AA65" t="s" s="157">
        <v>1347</v>
      </c>
      <c r="AB65" t="s" s="158">
        <v>34</v>
      </c>
      <c r="AC65" s="30"/>
      <c r="AD65" s="30"/>
      <c r="AE65" s="30"/>
      <c r="AF65" s="112">
        <v>1</v>
      </c>
      <c r="AG65" t="s" s="159">
        <v>54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  <c r="BD65" s="16"/>
    </row>
    <row r="66" ht="17.5" customHeight="1">
      <c r="A66" t="s" s="370">
        <v>2079</v>
      </c>
      <c r="B66" t="s" s="37">
        <v>725</v>
      </c>
      <c r="C66" s="272">
        <v>12</v>
      </c>
      <c r="D66" t="s" s="368">
        <v>2080</v>
      </c>
      <c r="E66" s="30"/>
      <c r="F66" s="156">
        <v>15</v>
      </c>
      <c r="G66" t="s" s="96">
        <v>2155</v>
      </c>
      <c r="H66" t="s" s="96">
        <v>406</v>
      </c>
      <c r="I66" s="79">
        <v>41</v>
      </c>
      <c r="J66" s="79">
        <v>1</v>
      </c>
      <c r="K66" s="16"/>
      <c r="L66" s="16"/>
      <c r="M66" s="16"/>
      <c r="N66" t="s" s="96">
        <v>246</v>
      </c>
      <c r="O66" s="16"/>
      <c r="P66" s="16"/>
      <c r="Q66" s="16"/>
      <c r="R66" s="79">
        <v>1</v>
      </c>
      <c r="S66" s="16"/>
      <c r="T66" s="79">
        <v>51</v>
      </c>
      <c r="U66" s="16"/>
      <c r="V66" s="16"/>
      <c r="W66" s="16"/>
      <c r="X66" s="75"/>
      <c r="Y66" s="30"/>
      <c r="Z66" s="30"/>
      <c r="AA66" t="s" s="157">
        <v>33</v>
      </c>
      <c r="AB66" t="s" s="158">
        <v>34</v>
      </c>
      <c r="AC66" s="30"/>
      <c r="AD66" s="30"/>
      <c r="AE66" s="30"/>
      <c r="AF66" s="112">
        <v>1</v>
      </c>
      <c r="AG66" t="s" s="159">
        <v>54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74"/>
      <c r="BA66" s="16"/>
      <c r="BB66" s="16"/>
      <c r="BC66" s="16"/>
      <c r="BD66" s="16"/>
    </row>
    <row r="67" ht="17.5" customHeight="1">
      <c r="A67" t="s" s="370">
        <v>2079</v>
      </c>
      <c r="B67" t="s" s="37">
        <v>725</v>
      </c>
      <c r="C67" s="63"/>
      <c r="D67" t="s" s="368">
        <v>2080</v>
      </c>
      <c r="E67" s="30"/>
      <c r="F67" s="74"/>
      <c r="G67" s="16"/>
      <c r="H67" s="79">
        <v>4</v>
      </c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75"/>
      <c r="Y67" s="30"/>
      <c r="Z67" s="30"/>
      <c r="AA67" s="74"/>
      <c r="AB67" s="75"/>
      <c r="AC67" s="30"/>
      <c r="AD67" s="30"/>
      <c r="AE67" s="30"/>
      <c r="AF67" s="30"/>
      <c r="AG67" s="122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  <c r="BD67" s="16"/>
    </row>
    <row r="68" ht="17.5" customHeight="1">
      <c r="A68" t="s" s="370">
        <v>2079</v>
      </c>
      <c r="B68" t="s" s="37">
        <v>725</v>
      </c>
      <c r="C68" s="63"/>
      <c r="D68" t="s" s="368">
        <v>2080</v>
      </c>
      <c r="E68" s="30"/>
      <c r="F68" s="74"/>
      <c r="G68" t="s" s="96">
        <v>1</v>
      </c>
      <c r="H68" t="s" s="96">
        <v>0</v>
      </c>
      <c r="I68" s="16"/>
      <c r="J68" t="s" s="96">
        <v>3</v>
      </c>
      <c r="K68" s="16"/>
      <c r="L68" s="16"/>
      <c r="M68" s="16"/>
      <c r="N68" t="s" s="96">
        <v>2</v>
      </c>
      <c r="O68" s="16"/>
      <c r="P68" s="16"/>
      <c r="Q68" s="16"/>
      <c r="R68" s="16"/>
      <c r="S68" s="16"/>
      <c r="T68" t="s" s="96">
        <v>5</v>
      </c>
      <c r="U68" s="16"/>
      <c r="V68" s="16"/>
      <c r="W68" s="16"/>
      <c r="X68" s="75"/>
      <c r="Y68" s="30"/>
      <c r="Z68" s="30"/>
      <c r="AA68" t="s" s="157">
        <v>7</v>
      </c>
      <c r="AB68" t="s" s="158">
        <v>8</v>
      </c>
      <c r="AC68" s="30"/>
      <c r="AD68" s="30"/>
      <c r="AE68" s="30"/>
      <c r="AF68" s="30"/>
      <c r="AG68" t="s" s="159">
        <v>6</v>
      </c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74"/>
      <c r="BA68" s="16"/>
      <c r="BB68" s="16"/>
      <c r="BC68" s="16"/>
      <c r="BD68" s="16"/>
    </row>
    <row r="69" ht="17.5" customHeight="1">
      <c r="A69" t="s" s="370">
        <v>2079</v>
      </c>
      <c r="B69" t="s" s="37">
        <v>725</v>
      </c>
      <c r="C69" s="272">
        <v>13</v>
      </c>
      <c r="D69" t="s" s="368">
        <v>2080</v>
      </c>
      <c r="E69" s="30"/>
      <c r="F69" s="156">
        <v>16</v>
      </c>
      <c r="G69" t="s" s="96">
        <v>2156</v>
      </c>
      <c r="H69" t="s" s="96">
        <v>1410</v>
      </c>
      <c r="I69" s="79">
        <v>42</v>
      </c>
      <c r="J69" t="s" s="96">
        <v>37</v>
      </c>
      <c r="K69" s="79">
        <v>1</v>
      </c>
      <c r="L69" s="16"/>
      <c r="M69" s="16"/>
      <c r="N69" s="79">
        <v>1</v>
      </c>
      <c r="O69" s="16"/>
      <c r="P69" s="16"/>
      <c r="Q69" s="16"/>
      <c r="R69" s="16"/>
      <c r="S69" s="16"/>
      <c r="T69" s="79">
        <v>58</v>
      </c>
      <c r="U69" s="16"/>
      <c r="V69" s="16"/>
      <c r="W69" s="16"/>
      <c r="X69" s="75"/>
      <c r="Y69" s="30"/>
      <c r="Z69" s="30"/>
      <c r="AA69" t="s" s="157">
        <v>2157</v>
      </c>
      <c r="AB69" t="s" s="158">
        <v>8</v>
      </c>
      <c r="AC69" s="112">
        <v>1</v>
      </c>
      <c r="AD69" s="30"/>
      <c r="AE69" s="30"/>
      <c r="AF69" s="30"/>
      <c r="AG69" t="s" s="159">
        <v>1104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74"/>
      <c r="BA69" s="16"/>
      <c r="BB69" s="16"/>
      <c r="BC69" s="16"/>
      <c r="BD69" s="16"/>
    </row>
    <row r="70" ht="17" customHeight="1">
      <c r="A70" t="s" s="370">
        <v>2079</v>
      </c>
      <c r="B70" t="s" s="37">
        <v>725</v>
      </c>
      <c r="C70" s="272">
        <v>13</v>
      </c>
      <c r="D70" t="s" s="368">
        <v>2080</v>
      </c>
      <c r="E70" s="30"/>
      <c r="F70" s="156">
        <v>16</v>
      </c>
      <c r="G70" t="s" s="96">
        <v>2156</v>
      </c>
      <c r="H70" t="s" s="96">
        <v>2158</v>
      </c>
      <c r="I70" s="79">
        <v>43</v>
      </c>
      <c r="J70" s="79">
        <v>1</v>
      </c>
      <c r="K70" s="16"/>
      <c r="L70" s="16"/>
      <c r="M70" s="16"/>
      <c r="N70" t="s" s="96">
        <v>72</v>
      </c>
      <c r="O70" s="79">
        <v>1</v>
      </c>
      <c r="P70" s="16"/>
      <c r="Q70" s="16"/>
      <c r="R70" s="16"/>
      <c r="S70" s="16"/>
      <c r="T70" s="79">
        <v>60</v>
      </c>
      <c r="U70" s="16"/>
      <c r="V70" s="16"/>
      <c r="W70" s="16"/>
      <c r="X70" s="75"/>
      <c r="Y70" s="30"/>
      <c r="Z70" s="30"/>
      <c r="AA70" t="s" s="157">
        <v>34</v>
      </c>
      <c r="AB70" t="s" s="158">
        <v>34</v>
      </c>
      <c r="AC70" s="30"/>
      <c r="AD70" s="30"/>
      <c r="AE70" s="30"/>
      <c r="AF70" s="30"/>
      <c r="AG70" t="s" s="159">
        <v>2159</v>
      </c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74"/>
      <c r="BA70" s="16"/>
      <c r="BB70" s="16"/>
      <c r="BC70" s="16"/>
      <c r="BD70" s="16"/>
    </row>
    <row r="71" ht="17.5" customHeight="1">
      <c r="A71" t="s" s="370">
        <v>2079</v>
      </c>
      <c r="B71" t="s" s="37">
        <v>725</v>
      </c>
      <c r="C71" s="272">
        <v>13</v>
      </c>
      <c r="D71" t="s" s="368">
        <v>2080</v>
      </c>
      <c r="E71" s="30"/>
      <c r="F71" s="156">
        <v>16</v>
      </c>
      <c r="G71" t="s" s="96">
        <v>2156</v>
      </c>
      <c r="H71" t="s" s="96">
        <v>2160</v>
      </c>
      <c r="I71" s="79">
        <v>44</v>
      </c>
      <c r="J71" t="s" s="96">
        <v>37</v>
      </c>
      <c r="K71" s="79">
        <v>1</v>
      </c>
      <c r="L71" s="16"/>
      <c r="M71" s="16"/>
      <c r="N71" t="s" s="96">
        <v>36</v>
      </c>
      <c r="O71" s="16"/>
      <c r="P71" s="16"/>
      <c r="Q71" s="79">
        <v>1</v>
      </c>
      <c r="R71" s="16"/>
      <c r="S71" s="16"/>
      <c r="T71" s="79">
        <v>26</v>
      </c>
      <c r="U71" s="16"/>
      <c r="V71" s="16"/>
      <c r="W71" s="16"/>
      <c r="X71" s="75"/>
      <c r="Y71" s="30"/>
      <c r="Z71" s="30"/>
      <c r="AA71" t="s" s="157">
        <v>2161</v>
      </c>
      <c r="AB71" t="s" s="158">
        <v>2162</v>
      </c>
      <c r="AC71" s="112">
        <v>1</v>
      </c>
      <c r="AD71" s="30"/>
      <c r="AE71" s="30"/>
      <c r="AF71" s="112">
        <v>1</v>
      </c>
      <c r="AG71" t="s" s="159">
        <v>13</v>
      </c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74"/>
      <c r="BA71" s="16"/>
      <c r="BB71" s="16"/>
      <c r="BC71" s="16"/>
      <c r="BD71" s="16"/>
    </row>
    <row r="72" ht="17.5" customHeight="1">
      <c r="A72" t="s" s="370">
        <v>2079</v>
      </c>
      <c r="B72" t="s" s="37">
        <v>725</v>
      </c>
      <c r="C72" s="272">
        <v>13</v>
      </c>
      <c r="D72" t="s" s="368">
        <v>2080</v>
      </c>
      <c r="E72" s="30"/>
      <c r="F72" s="156">
        <v>16</v>
      </c>
      <c r="G72" t="s" s="96">
        <v>614</v>
      </c>
      <c r="H72" t="s" s="96">
        <v>2163</v>
      </c>
      <c r="I72" s="79">
        <v>45</v>
      </c>
      <c r="J72" s="79">
        <v>1</v>
      </c>
      <c r="K72" s="16"/>
      <c r="L72" s="16"/>
      <c r="M72" s="16"/>
      <c r="N72" t="s" s="96">
        <v>11</v>
      </c>
      <c r="O72" s="16"/>
      <c r="P72" s="16"/>
      <c r="Q72" s="16"/>
      <c r="R72" s="16"/>
      <c r="S72" s="79">
        <v>1</v>
      </c>
      <c r="T72" s="79">
        <v>21</v>
      </c>
      <c r="U72" s="16"/>
      <c r="V72" s="16"/>
      <c r="W72" s="16"/>
      <c r="X72" s="75"/>
      <c r="Y72" s="30"/>
      <c r="Z72" s="30"/>
      <c r="AA72" t="s" s="157">
        <v>1335</v>
      </c>
      <c r="AB72" t="s" s="158">
        <v>2164</v>
      </c>
      <c r="AC72" s="112">
        <v>1</v>
      </c>
      <c r="AD72" s="30"/>
      <c r="AE72" s="30"/>
      <c r="AF72" s="30"/>
      <c r="AG72" t="s" s="159">
        <v>2165</v>
      </c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74"/>
      <c r="BA72" s="16"/>
      <c r="BB72" s="16"/>
      <c r="BC72" s="16"/>
      <c r="BD72" s="16"/>
    </row>
    <row r="73" ht="17.5" customHeight="1">
      <c r="A73" t="s" s="370">
        <v>2079</v>
      </c>
      <c r="B73" t="s" s="37">
        <v>725</v>
      </c>
      <c r="C73" s="272">
        <v>13</v>
      </c>
      <c r="D73" t="s" s="368">
        <v>2080</v>
      </c>
      <c r="E73" s="30"/>
      <c r="F73" s="156">
        <v>16</v>
      </c>
      <c r="G73" t="s" s="96">
        <v>614</v>
      </c>
      <c r="H73" t="s" s="96">
        <v>2166</v>
      </c>
      <c r="I73" s="79">
        <v>46</v>
      </c>
      <c r="J73" s="79">
        <v>1</v>
      </c>
      <c r="K73" s="16"/>
      <c r="L73" s="16"/>
      <c r="M73" s="16"/>
      <c r="N73" t="s" s="96">
        <v>11</v>
      </c>
      <c r="O73" s="16"/>
      <c r="P73" s="16"/>
      <c r="Q73" s="16"/>
      <c r="R73" s="16"/>
      <c r="S73" s="79">
        <v>1</v>
      </c>
      <c r="T73" s="79">
        <v>15</v>
      </c>
      <c r="U73" s="16"/>
      <c r="V73" s="16"/>
      <c r="W73" s="16"/>
      <c r="X73" s="75"/>
      <c r="Y73" s="30"/>
      <c r="Z73" s="30"/>
      <c r="AA73" t="s" s="157">
        <v>1335</v>
      </c>
      <c r="AB73" t="s" s="158">
        <v>2164</v>
      </c>
      <c r="AC73" s="112">
        <v>1</v>
      </c>
      <c r="AD73" s="30"/>
      <c r="AE73" s="30"/>
      <c r="AF73" s="30"/>
      <c r="AG73" t="s" s="159">
        <v>2165</v>
      </c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74"/>
      <c r="BA73" s="16"/>
      <c r="BB73" s="16"/>
      <c r="BC73" s="16"/>
      <c r="BD73" s="16"/>
    </row>
    <row r="74" ht="17.5" customHeight="1">
      <c r="A74" t="s" s="370">
        <v>2079</v>
      </c>
      <c r="B74" t="s" s="37">
        <v>725</v>
      </c>
      <c r="C74" s="63"/>
      <c r="D74" t="s" s="368">
        <v>2080</v>
      </c>
      <c r="E74" s="30"/>
      <c r="F74" s="74"/>
      <c r="G74" s="16"/>
      <c r="H74" s="79">
        <v>5</v>
      </c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75"/>
      <c r="Y74" s="30"/>
      <c r="Z74" s="30"/>
      <c r="AA74" s="74"/>
      <c r="AB74" s="75"/>
      <c r="AC74" s="30"/>
      <c r="AD74" s="30"/>
      <c r="AE74" s="30"/>
      <c r="AF74" s="30"/>
      <c r="AG74" s="122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74"/>
      <c r="BA74" s="16"/>
      <c r="BB74" s="16"/>
      <c r="BC74" s="16"/>
      <c r="BD74" s="16"/>
    </row>
    <row r="75" ht="17.5" customHeight="1">
      <c r="A75" t="s" s="370">
        <v>2079</v>
      </c>
      <c r="B75" t="s" s="37">
        <v>725</v>
      </c>
      <c r="C75" s="63"/>
      <c r="D75" t="s" s="368">
        <v>2080</v>
      </c>
      <c r="E75" s="30"/>
      <c r="F75" s="74"/>
      <c r="G75" t="s" s="96">
        <v>1</v>
      </c>
      <c r="H75" t="s" s="96">
        <v>0</v>
      </c>
      <c r="I75" s="16"/>
      <c r="J75" t="s" s="96">
        <v>3</v>
      </c>
      <c r="K75" s="16"/>
      <c r="L75" s="16"/>
      <c r="M75" s="16"/>
      <c r="N75" t="s" s="96">
        <v>2</v>
      </c>
      <c r="O75" s="16"/>
      <c r="P75" s="16"/>
      <c r="Q75" s="16"/>
      <c r="R75" s="16"/>
      <c r="S75" s="16"/>
      <c r="T75" t="s" s="96">
        <v>5</v>
      </c>
      <c r="U75" s="16"/>
      <c r="V75" s="16"/>
      <c r="W75" s="16"/>
      <c r="X75" s="75"/>
      <c r="Y75" s="30"/>
      <c r="Z75" s="30"/>
      <c r="AA75" t="s" s="157">
        <v>7</v>
      </c>
      <c r="AB75" t="s" s="158">
        <v>8</v>
      </c>
      <c r="AC75" s="30"/>
      <c r="AD75" s="30"/>
      <c r="AE75" s="30"/>
      <c r="AF75" s="30"/>
      <c r="AG75" t="s" s="159">
        <v>6</v>
      </c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74"/>
      <c r="BA75" s="16"/>
      <c r="BB75" s="16"/>
      <c r="BC75" s="16"/>
      <c r="BD75" s="16"/>
    </row>
    <row r="76" ht="17.5" customHeight="1">
      <c r="A76" t="s" s="370">
        <v>2079</v>
      </c>
      <c r="B76" t="s" s="37">
        <v>725</v>
      </c>
      <c r="C76" s="272">
        <v>14</v>
      </c>
      <c r="D76" t="s" s="368">
        <v>2080</v>
      </c>
      <c r="E76" s="30"/>
      <c r="F76" s="156">
        <v>17</v>
      </c>
      <c r="G76" t="s" s="96">
        <v>2167</v>
      </c>
      <c r="H76" t="s" s="96">
        <v>1202</v>
      </c>
      <c r="I76" s="79">
        <v>47</v>
      </c>
      <c r="J76" t="s" s="96">
        <v>37</v>
      </c>
      <c r="K76" s="79">
        <v>1</v>
      </c>
      <c r="L76" s="16"/>
      <c r="M76" s="16"/>
      <c r="N76" s="79">
        <v>1</v>
      </c>
      <c r="O76" s="16"/>
      <c r="P76" s="16"/>
      <c r="Q76" s="16"/>
      <c r="R76" s="16"/>
      <c r="S76" s="16"/>
      <c r="T76" s="79">
        <v>59</v>
      </c>
      <c r="U76" s="16"/>
      <c r="V76" s="16"/>
      <c r="W76" s="16"/>
      <c r="X76" s="75"/>
      <c r="Y76" s="30"/>
      <c r="Z76" s="30"/>
      <c r="AA76" t="s" s="157">
        <v>2168</v>
      </c>
      <c r="AB76" t="s" s="158">
        <v>34</v>
      </c>
      <c r="AC76" s="112">
        <v>1</v>
      </c>
      <c r="AD76" s="30"/>
      <c r="AE76" s="30"/>
      <c r="AF76" s="112">
        <v>1</v>
      </c>
      <c r="AG76" t="s" s="159">
        <v>54</v>
      </c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74"/>
      <c r="BA76" s="16"/>
      <c r="BB76" s="16"/>
      <c r="BC76" s="16"/>
      <c r="BD76" s="16"/>
    </row>
    <row r="77" ht="17.5" customHeight="1">
      <c r="A77" t="s" s="370">
        <v>2079</v>
      </c>
      <c r="B77" t="s" s="37">
        <v>725</v>
      </c>
      <c r="C77" s="272">
        <v>14</v>
      </c>
      <c r="D77" t="s" s="368">
        <v>2080</v>
      </c>
      <c r="E77" s="30"/>
      <c r="F77" s="156">
        <v>17</v>
      </c>
      <c r="G77" t="s" s="96">
        <v>2167</v>
      </c>
      <c r="H77" t="s" s="96">
        <v>2169</v>
      </c>
      <c r="I77" s="79">
        <v>48</v>
      </c>
      <c r="J77" s="79">
        <v>1</v>
      </c>
      <c r="K77" s="16"/>
      <c r="L77" s="16"/>
      <c r="M77" s="16"/>
      <c r="N77" t="s" s="96">
        <v>72</v>
      </c>
      <c r="O77" s="79">
        <v>1</v>
      </c>
      <c r="P77" s="16"/>
      <c r="Q77" s="16"/>
      <c r="R77" s="16"/>
      <c r="S77" s="16"/>
      <c r="T77" s="79">
        <v>59</v>
      </c>
      <c r="U77" s="16"/>
      <c r="V77" s="16"/>
      <c r="W77" s="16"/>
      <c r="X77" s="75"/>
      <c r="Y77" s="30"/>
      <c r="Z77" s="30"/>
      <c r="AA77" t="s" s="157">
        <v>33</v>
      </c>
      <c r="AB77" t="s" s="158">
        <v>34</v>
      </c>
      <c r="AC77" s="30"/>
      <c r="AD77" s="30"/>
      <c r="AE77" s="30"/>
      <c r="AF77" s="112">
        <v>1</v>
      </c>
      <c r="AG77" t="s" s="159">
        <v>54</v>
      </c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74"/>
      <c r="BA77" s="16"/>
      <c r="BB77" s="16"/>
      <c r="BC77" s="16"/>
      <c r="BD77" s="16"/>
    </row>
    <row r="78" ht="17" customHeight="1">
      <c r="A78" t="s" s="370">
        <v>2079</v>
      </c>
      <c r="B78" t="s" s="37">
        <v>725</v>
      </c>
      <c r="C78" s="272">
        <v>14</v>
      </c>
      <c r="D78" t="s" s="368">
        <v>2080</v>
      </c>
      <c r="E78" s="30"/>
      <c r="F78" s="156">
        <v>17</v>
      </c>
      <c r="G78" t="s" s="96">
        <v>2167</v>
      </c>
      <c r="H78" t="s" s="96">
        <v>2170</v>
      </c>
      <c r="I78" s="79">
        <v>49</v>
      </c>
      <c r="J78" s="79">
        <v>1</v>
      </c>
      <c r="K78" s="16"/>
      <c r="L78" s="16"/>
      <c r="M78" s="16"/>
      <c r="N78" t="s" s="96">
        <v>78</v>
      </c>
      <c r="O78" s="16"/>
      <c r="P78" s="79">
        <v>1</v>
      </c>
      <c r="Q78" s="16"/>
      <c r="R78" s="16"/>
      <c r="S78" s="16"/>
      <c r="T78" s="79">
        <v>29</v>
      </c>
      <c r="U78" s="16"/>
      <c r="V78" s="16"/>
      <c r="W78" s="16"/>
      <c r="X78" s="75"/>
      <c r="Y78" s="30"/>
      <c r="Z78" s="112" cm="1">
        <f t="array" ref="Z78">SUM(Z48:Z77)</f>
        <v>0</v>
      </c>
      <c r="AA78" t="s" s="157">
        <v>2171</v>
      </c>
      <c r="AB78" t="s" s="158">
        <v>34</v>
      </c>
      <c r="AC78" s="112">
        <v>1</v>
      </c>
      <c r="AD78" s="112" cm="1">
        <f t="array" ref="AD78">SUM(AD48:AD77)</f>
        <v>0</v>
      </c>
      <c r="AE78" s="30"/>
      <c r="AF78" s="112">
        <v>1</v>
      </c>
      <c r="AG78" t="s" s="159">
        <v>54</v>
      </c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74"/>
      <c r="BA78" s="16"/>
      <c r="BB78" s="16"/>
      <c r="BC78" s="16"/>
      <c r="BD78" s="16"/>
    </row>
    <row r="79" ht="17" customHeight="1">
      <c r="A79" t="s" s="370">
        <v>2079</v>
      </c>
      <c r="B79" t="s" s="37">
        <v>725</v>
      </c>
      <c r="C79" s="272">
        <v>14</v>
      </c>
      <c r="D79" t="s" s="368">
        <v>2080</v>
      </c>
      <c r="E79" s="30"/>
      <c r="F79" s="156">
        <v>17</v>
      </c>
      <c r="G79" t="s" s="96">
        <v>221</v>
      </c>
      <c r="H79" t="s" s="96">
        <v>71</v>
      </c>
      <c r="I79" s="79">
        <v>50</v>
      </c>
      <c r="J79" s="79">
        <v>1</v>
      </c>
      <c r="K79" s="16"/>
      <c r="L79" s="16"/>
      <c r="M79" s="16"/>
      <c r="N79" t="s" s="96">
        <v>11</v>
      </c>
      <c r="O79" s="16"/>
      <c r="P79" s="16"/>
      <c r="Q79" s="16"/>
      <c r="R79" s="16"/>
      <c r="S79" s="79">
        <v>1</v>
      </c>
      <c r="T79" s="79">
        <v>18</v>
      </c>
      <c r="U79" s="16"/>
      <c r="V79" s="16"/>
      <c r="W79" s="16"/>
      <c r="X79" s="75"/>
      <c r="Y79" s="30"/>
      <c r="Z79" s="30"/>
      <c r="AA79" t="s" s="157">
        <v>34</v>
      </c>
      <c r="AB79" t="s" s="158">
        <v>34</v>
      </c>
      <c r="AC79" s="30"/>
      <c r="AD79" s="30"/>
      <c r="AE79" s="30"/>
      <c r="AF79" s="112">
        <v>1</v>
      </c>
      <c r="AG79" t="s" s="159">
        <v>54</v>
      </c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74"/>
      <c r="BA79" s="16"/>
      <c r="BB79" s="16"/>
      <c r="BC79" s="16"/>
      <c r="BD79" s="16"/>
    </row>
    <row r="80" ht="17" customHeight="1">
      <c r="A80" t="s" s="370">
        <v>2079</v>
      </c>
      <c r="B80" t="s" s="37">
        <v>725</v>
      </c>
      <c r="C80" s="63"/>
      <c r="D80" t="s" s="368">
        <v>2080</v>
      </c>
      <c r="E80" s="30"/>
      <c r="F80" s="74"/>
      <c r="G80" s="16"/>
      <c r="H80" s="79">
        <v>4</v>
      </c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75"/>
      <c r="Y80" s="30"/>
      <c r="Z80" s="30"/>
      <c r="AA80" s="74"/>
      <c r="AB80" s="75"/>
      <c r="AC80" s="30"/>
      <c r="AD80" s="30"/>
      <c r="AE80" s="30"/>
      <c r="AF80" s="30"/>
      <c r="AG80" s="122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74"/>
      <c r="BA80" s="16"/>
      <c r="BB80" s="16"/>
      <c r="BC80" s="16"/>
      <c r="BD80" s="16"/>
    </row>
    <row r="81" ht="17.5" customHeight="1">
      <c r="A81" t="s" s="370">
        <v>2079</v>
      </c>
      <c r="B81" t="s" s="37">
        <v>725</v>
      </c>
      <c r="C81" s="63"/>
      <c r="D81" t="s" s="368">
        <v>2080</v>
      </c>
      <c r="E81" s="30"/>
      <c r="F81" s="74"/>
      <c r="G81" t="s" s="96">
        <v>1</v>
      </c>
      <c r="H81" t="s" s="96">
        <v>0</v>
      </c>
      <c r="I81" s="16"/>
      <c r="J81" t="s" s="96">
        <v>3</v>
      </c>
      <c r="K81" s="16"/>
      <c r="L81" s="16"/>
      <c r="M81" s="16"/>
      <c r="N81" t="s" s="96">
        <v>2</v>
      </c>
      <c r="O81" s="16"/>
      <c r="P81" s="16"/>
      <c r="Q81" s="16"/>
      <c r="R81" s="16"/>
      <c r="S81" s="16"/>
      <c r="T81" t="s" s="96">
        <v>5</v>
      </c>
      <c r="U81" s="16"/>
      <c r="V81" s="16"/>
      <c r="W81" s="16"/>
      <c r="X81" s="75"/>
      <c r="Y81" s="30"/>
      <c r="Z81" s="30"/>
      <c r="AA81" t="s" s="157">
        <v>7</v>
      </c>
      <c r="AB81" t="s" s="158">
        <v>8</v>
      </c>
      <c r="AC81" s="30"/>
      <c r="AD81" s="30"/>
      <c r="AE81" s="30"/>
      <c r="AF81" s="30"/>
      <c r="AG81" t="s" s="159">
        <v>6</v>
      </c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74"/>
      <c r="BA81" s="16"/>
      <c r="BB81" s="16"/>
      <c r="BC81" s="16"/>
      <c r="BD81" s="16"/>
    </row>
    <row r="82" ht="17" customHeight="1">
      <c r="A82" t="s" s="370">
        <v>2079</v>
      </c>
      <c r="B82" t="s" s="37">
        <v>725</v>
      </c>
      <c r="C82" s="272">
        <v>15</v>
      </c>
      <c r="D82" t="s" s="368">
        <v>2080</v>
      </c>
      <c r="E82" s="30"/>
      <c r="F82" s="156">
        <v>19</v>
      </c>
      <c r="G82" t="s" s="96">
        <v>2172</v>
      </c>
      <c r="H82" t="s" s="96">
        <v>2173</v>
      </c>
      <c r="I82" s="79">
        <v>51</v>
      </c>
      <c r="J82" t="s" s="96">
        <v>37</v>
      </c>
      <c r="K82" s="79">
        <v>1</v>
      </c>
      <c r="L82" s="16"/>
      <c r="M82" s="16"/>
      <c r="N82" s="79">
        <v>1</v>
      </c>
      <c r="O82" s="16"/>
      <c r="P82" s="16"/>
      <c r="Q82" s="16"/>
      <c r="R82" s="16"/>
      <c r="S82" s="16"/>
      <c r="T82" s="79">
        <v>64</v>
      </c>
      <c r="U82" s="16"/>
      <c r="V82" s="16"/>
      <c r="W82" s="16"/>
      <c r="X82" s="75"/>
      <c r="Y82" s="30"/>
      <c r="Z82" s="30"/>
      <c r="AA82" t="s" s="157">
        <v>2174</v>
      </c>
      <c r="AB82" t="s" s="158">
        <v>34</v>
      </c>
      <c r="AC82" s="112">
        <v>1</v>
      </c>
      <c r="AD82" s="134"/>
      <c r="AE82" s="30"/>
      <c r="AF82" s="112">
        <v>1</v>
      </c>
      <c r="AG82" t="s" s="159">
        <v>13</v>
      </c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74"/>
      <c r="BA82" s="16"/>
      <c r="BB82" s="16"/>
      <c r="BC82" s="16"/>
      <c r="BD82" s="16"/>
    </row>
    <row r="83" ht="17.5" customHeight="1">
      <c r="A83" t="s" s="370">
        <v>2079</v>
      </c>
      <c r="B83" t="s" s="37">
        <v>725</v>
      </c>
      <c r="C83" s="272">
        <v>15</v>
      </c>
      <c r="D83" t="s" s="368">
        <v>2080</v>
      </c>
      <c r="E83" s="30"/>
      <c r="F83" s="156">
        <v>19</v>
      </c>
      <c r="G83" t="s" s="96">
        <v>2172</v>
      </c>
      <c r="H83" t="s" s="96">
        <v>102</v>
      </c>
      <c r="I83" s="79">
        <v>52</v>
      </c>
      <c r="J83" s="79">
        <v>1</v>
      </c>
      <c r="K83" s="16"/>
      <c r="L83" s="16"/>
      <c r="M83" s="16"/>
      <c r="N83" t="s" s="96">
        <v>72</v>
      </c>
      <c r="O83" s="79">
        <v>1</v>
      </c>
      <c r="P83" s="16"/>
      <c r="Q83" s="16"/>
      <c r="R83" s="16"/>
      <c r="S83" s="16"/>
      <c r="T83" s="79">
        <v>62</v>
      </c>
      <c r="U83" s="16"/>
      <c r="V83" s="16"/>
      <c r="W83" s="16"/>
      <c r="X83" s="75"/>
      <c r="Y83" s="30"/>
      <c r="Z83" s="30"/>
      <c r="AA83" t="s" s="157">
        <v>33</v>
      </c>
      <c r="AB83" t="s" s="158">
        <v>34</v>
      </c>
      <c r="AC83" s="30"/>
      <c r="AD83" s="30"/>
      <c r="AE83" s="30"/>
      <c r="AF83" s="112">
        <v>1</v>
      </c>
      <c r="AG83" t="s" s="159">
        <v>13</v>
      </c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74"/>
      <c r="BA83" s="16"/>
      <c r="BB83" s="16"/>
      <c r="BC83" s="16"/>
      <c r="BD83" s="16"/>
    </row>
    <row r="84" ht="15.35" customHeight="1">
      <c r="A84" t="s" s="370">
        <v>2079</v>
      </c>
      <c r="B84" t="s" s="37">
        <v>725</v>
      </c>
      <c r="C84" s="272">
        <v>15</v>
      </c>
      <c r="D84" t="s" s="371">
        <v>2080</v>
      </c>
      <c r="E84" s="117"/>
      <c r="F84" s="156">
        <v>19</v>
      </c>
      <c r="G84" t="s" s="96">
        <v>386</v>
      </c>
      <c r="H84" t="s" s="96">
        <v>2175</v>
      </c>
      <c r="I84" s="79">
        <v>53</v>
      </c>
      <c r="J84" s="79">
        <v>1</v>
      </c>
      <c r="K84" s="16"/>
      <c r="L84" s="16"/>
      <c r="M84" s="16"/>
      <c r="N84" t="s" s="96">
        <v>11</v>
      </c>
      <c r="O84" s="16"/>
      <c r="P84" s="16"/>
      <c r="Q84" s="16"/>
      <c r="R84" s="16"/>
      <c r="S84" s="79">
        <v>1</v>
      </c>
      <c r="T84" s="79">
        <v>35</v>
      </c>
      <c r="U84" s="16"/>
      <c r="V84" s="16"/>
      <c r="W84" s="16"/>
      <c r="X84" s="16"/>
      <c r="Y84" s="62"/>
      <c r="Z84" s="62"/>
      <c r="AA84" t="s" s="96">
        <v>89</v>
      </c>
      <c r="AB84" t="s" s="96">
        <v>15</v>
      </c>
      <c r="AC84" s="97">
        <v>1</v>
      </c>
      <c r="AD84" s="62"/>
      <c r="AE84" s="117"/>
      <c r="AF84" s="113">
        <v>1</v>
      </c>
      <c r="AG84" t="s" s="157">
        <v>54</v>
      </c>
      <c r="AH84" s="62"/>
      <c r="AI84" s="62"/>
      <c r="AJ84" s="62"/>
      <c r="AK84" s="62"/>
      <c r="AL84" s="62"/>
      <c r="AM84" s="62"/>
      <c r="AN84" s="62"/>
      <c r="AO84" s="62"/>
      <c r="AP84" s="62"/>
      <c r="AQ84" s="62"/>
      <c r="AR84" s="62"/>
      <c r="AS84" s="62"/>
      <c r="AT84" s="62"/>
      <c r="AU84" s="62"/>
      <c r="AV84" s="62"/>
      <c r="AW84" s="62"/>
      <c r="AX84" s="62"/>
      <c r="AY84" s="62"/>
      <c r="AZ84" s="16"/>
      <c r="BA84" s="16"/>
      <c r="BB84" s="16"/>
      <c r="BC84" s="16"/>
      <c r="BD84" s="16"/>
    </row>
    <row r="85" ht="15.35" customHeight="1">
      <c r="A85" t="s" s="370">
        <v>2079</v>
      </c>
      <c r="B85" t="s" s="37">
        <v>725</v>
      </c>
      <c r="C85" s="272">
        <v>15</v>
      </c>
      <c r="D85" t="s" s="371">
        <v>2080</v>
      </c>
      <c r="E85" s="75"/>
      <c r="F85" s="156">
        <v>19</v>
      </c>
      <c r="G85" t="s" s="96">
        <v>2176</v>
      </c>
      <c r="H85" t="s" s="96">
        <v>355</v>
      </c>
      <c r="I85" s="79">
        <v>54</v>
      </c>
      <c r="J85" s="79">
        <v>1</v>
      </c>
      <c r="K85" s="16"/>
      <c r="L85" s="16"/>
      <c r="M85" s="16"/>
      <c r="N85" t="s" s="96">
        <v>11</v>
      </c>
      <c r="O85" s="16"/>
      <c r="P85" s="16"/>
      <c r="Q85" s="16"/>
      <c r="R85" s="16"/>
      <c r="S85" s="79">
        <v>1</v>
      </c>
      <c r="T85" s="79">
        <v>31</v>
      </c>
      <c r="U85" s="16"/>
      <c r="V85" s="16"/>
      <c r="W85" s="16"/>
      <c r="X85" s="16"/>
      <c r="Y85" s="16"/>
      <c r="Z85" s="16"/>
      <c r="AA85" t="s" s="96">
        <v>33</v>
      </c>
      <c r="AB85" t="s" s="96">
        <v>15</v>
      </c>
      <c r="AC85" s="79">
        <v>1</v>
      </c>
      <c r="AD85" s="16"/>
      <c r="AE85" s="16"/>
      <c r="AF85" s="16"/>
      <c r="AG85" t="s" s="96">
        <v>790</v>
      </c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</row>
    <row r="86" ht="15.35" customHeight="1">
      <c r="A86" t="s" s="370">
        <v>2079</v>
      </c>
      <c r="B86" t="s" s="37">
        <v>725</v>
      </c>
      <c r="C86" s="272">
        <v>15</v>
      </c>
      <c r="D86" t="s" s="371">
        <v>2080</v>
      </c>
      <c r="E86" s="75"/>
      <c r="F86" s="156">
        <v>19</v>
      </c>
      <c r="G86" t="s" s="96">
        <v>614</v>
      </c>
      <c r="H86" t="s" s="96">
        <v>2177</v>
      </c>
      <c r="I86" s="79">
        <v>55</v>
      </c>
      <c r="J86" s="79">
        <v>1</v>
      </c>
      <c r="K86" s="16"/>
      <c r="L86" s="16"/>
      <c r="M86" s="16"/>
      <c r="N86" t="s" s="96">
        <v>11</v>
      </c>
      <c r="O86" s="16"/>
      <c r="P86" s="16"/>
      <c r="Q86" s="16"/>
      <c r="R86" s="16"/>
      <c r="S86" s="79">
        <v>1</v>
      </c>
      <c r="T86" s="79">
        <v>23</v>
      </c>
      <c r="U86" s="16"/>
      <c r="V86" s="16"/>
      <c r="W86" s="16"/>
      <c r="X86" s="16"/>
      <c r="Y86" s="16"/>
      <c r="Z86" s="16"/>
      <c r="AA86" t="s" s="96">
        <v>45</v>
      </c>
      <c r="AB86" t="s" s="96">
        <v>15</v>
      </c>
      <c r="AC86" s="79">
        <v>1</v>
      </c>
      <c r="AD86" s="16"/>
      <c r="AE86" s="16"/>
      <c r="AF86" s="16"/>
      <c r="AG86" t="s" s="96">
        <v>370</v>
      </c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</row>
    <row r="87" ht="15.35" customHeight="1">
      <c r="A87" t="s" s="370">
        <v>2079</v>
      </c>
      <c r="B87" t="s" s="37">
        <v>725</v>
      </c>
      <c r="C87" s="63"/>
      <c r="D87" t="s" s="371">
        <v>2080</v>
      </c>
      <c r="E87" s="16"/>
      <c r="F87" s="16"/>
      <c r="G87" s="16"/>
      <c r="H87" s="79">
        <v>5</v>
      </c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</row>
    <row r="88" ht="15.35" customHeight="1">
      <c r="A88" t="s" s="370">
        <v>2079</v>
      </c>
      <c r="B88" t="s" s="37">
        <v>725</v>
      </c>
      <c r="C88" s="63"/>
      <c r="D88" t="s" s="371">
        <v>2080</v>
      </c>
      <c r="E88" s="16"/>
      <c r="F88" s="16"/>
      <c r="G88" s="16"/>
      <c r="H88" t="s" s="96">
        <v>0</v>
      </c>
      <c r="I88" t="s" s="96">
        <v>1</v>
      </c>
      <c r="J88" t="s" s="96">
        <v>2</v>
      </c>
      <c r="K88" t="s" s="96">
        <v>3</v>
      </c>
      <c r="L88" t="s" s="96">
        <v>4</v>
      </c>
      <c r="M88" t="s" s="96">
        <v>5</v>
      </c>
      <c r="N88" t="s" s="96">
        <v>6</v>
      </c>
      <c r="O88" t="s" s="96">
        <v>7</v>
      </c>
      <c r="P88" t="s" s="96">
        <v>8</v>
      </c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</row>
    <row r="89" ht="15.35" customHeight="1">
      <c r="A89" t="s" s="370">
        <v>2079</v>
      </c>
      <c r="B89" t="s" s="37">
        <v>725</v>
      </c>
      <c r="C89" s="272">
        <v>16</v>
      </c>
      <c r="D89" t="s" s="371">
        <v>2080</v>
      </c>
      <c r="E89" t="s" s="96">
        <v>2178</v>
      </c>
      <c r="F89" s="16"/>
      <c r="G89" t="s" s="96">
        <v>2179</v>
      </c>
      <c r="H89" t="s" s="96">
        <v>153</v>
      </c>
      <c r="I89" s="79">
        <v>56</v>
      </c>
      <c r="J89" t="s" s="96">
        <v>37</v>
      </c>
      <c r="K89" s="79">
        <v>1</v>
      </c>
      <c r="L89" s="16"/>
      <c r="M89" s="16"/>
      <c r="N89" t="s" s="96">
        <v>34</v>
      </c>
      <c r="O89" s="16"/>
      <c r="P89" s="16"/>
      <c r="Q89" s="16"/>
      <c r="R89" s="79">
        <v>1</v>
      </c>
      <c r="S89" s="16"/>
      <c r="T89" s="79">
        <v>27</v>
      </c>
      <c r="U89" s="16"/>
      <c r="V89" s="16"/>
      <c r="W89" s="16"/>
      <c r="X89" s="16"/>
      <c r="Y89" s="16"/>
      <c r="Z89" s="16"/>
      <c r="AA89" t="s" s="96">
        <v>2180</v>
      </c>
      <c r="AB89" t="s" s="96">
        <v>2181</v>
      </c>
      <c r="AC89" s="79">
        <v>1</v>
      </c>
      <c r="AD89" s="16"/>
      <c r="AE89" s="16"/>
      <c r="AF89" s="16"/>
      <c r="AG89" t="s" s="96">
        <v>2182</v>
      </c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</row>
    <row r="90" ht="15.35" customHeight="1">
      <c r="A90" t="s" s="370">
        <v>2079</v>
      </c>
      <c r="B90" t="s" s="37">
        <v>725</v>
      </c>
      <c r="C90" s="272">
        <v>16</v>
      </c>
      <c r="D90" t="s" s="371">
        <v>2080</v>
      </c>
      <c r="E90" t="s" s="96">
        <v>2178</v>
      </c>
      <c r="F90" s="16"/>
      <c r="G90" t="s" s="96">
        <v>2183</v>
      </c>
      <c r="H90" t="s" s="96">
        <v>64</v>
      </c>
      <c r="I90" s="79">
        <v>57</v>
      </c>
      <c r="J90" t="s" s="96">
        <v>37</v>
      </c>
      <c r="K90" s="79">
        <v>1</v>
      </c>
      <c r="L90" s="16"/>
      <c r="M90" s="16"/>
      <c r="N90" t="s" s="96">
        <v>34</v>
      </c>
      <c r="O90" s="16"/>
      <c r="P90" s="16"/>
      <c r="Q90" s="16"/>
      <c r="R90" s="79">
        <v>1</v>
      </c>
      <c r="S90" s="16"/>
      <c r="T90" s="79">
        <v>27</v>
      </c>
      <c r="U90" s="16"/>
      <c r="V90" s="16"/>
      <c r="W90" s="16"/>
      <c r="X90" s="16"/>
      <c r="Y90" s="16"/>
      <c r="Z90" s="16"/>
      <c r="AA90" t="s" s="96">
        <v>2180</v>
      </c>
      <c r="AB90" t="s" s="96">
        <v>2181</v>
      </c>
      <c r="AC90" s="79">
        <v>1</v>
      </c>
      <c r="AD90" s="16"/>
      <c r="AE90" s="16"/>
      <c r="AF90" s="16"/>
      <c r="AG90" t="s" s="96">
        <v>34</v>
      </c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</row>
    <row r="91" ht="15.35" customHeight="1">
      <c r="A91" t="s" s="370">
        <v>2079</v>
      </c>
      <c r="B91" t="s" s="37">
        <v>725</v>
      </c>
      <c r="C91" s="272">
        <v>16</v>
      </c>
      <c r="D91" t="s" s="371">
        <v>2080</v>
      </c>
      <c r="E91" t="s" s="96">
        <v>2178</v>
      </c>
      <c r="F91" s="16"/>
      <c r="G91" t="s" s="96">
        <v>2184</v>
      </c>
      <c r="H91" t="s" s="96">
        <v>153</v>
      </c>
      <c r="I91" s="79">
        <v>58</v>
      </c>
      <c r="J91" t="s" s="96">
        <v>37</v>
      </c>
      <c r="K91" s="79">
        <v>1</v>
      </c>
      <c r="L91" s="16"/>
      <c r="M91" s="16"/>
      <c r="N91" s="79">
        <v>1</v>
      </c>
      <c r="O91" s="16"/>
      <c r="P91" s="16"/>
      <c r="Q91" s="16"/>
      <c r="R91" s="16"/>
      <c r="S91" s="16"/>
      <c r="T91" s="79">
        <v>31</v>
      </c>
      <c r="U91" s="16"/>
      <c r="V91" s="16"/>
      <c r="W91" s="16"/>
      <c r="X91" s="16"/>
      <c r="Y91" s="16"/>
      <c r="Z91" s="16"/>
      <c r="AA91" t="s" s="96">
        <v>2180</v>
      </c>
      <c r="AB91" t="s" s="96">
        <v>2181</v>
      </c>
      <c r="AC91" s="79">
        <v>1</v>
      </c>
      <c r="AD91" s="16"/>
      <c r="AE91" s="16"/>
      <c r="AF91" s="16"/>
      <c r="AG91" t="s" s="96">
        <v>2185</v>
      </c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</row>
    <row r="92" ht="15.35" customHeight="1">
      <c r="A92" t="s" s="370">
        <v>2079</v>
      </c>
      <c r="B92" t="s" s="37">
        <v>725</v>
      </c>
      <c r="C92" s="272">
        <v>16</v>
      </c>
      <c r="D92" t="s" s="371">
        <v>2080</v>
      </c>
      <c r="E92" t="s" s="96">
        <v>2178</v>
      </c>
      <c r="F92" s="16"/>
      <c r="G92" t="s" s="96">
        <v>2186</v>
      </c>
      <c r="H92" t="s" s="96">
        <v>140</v>
      </c>
      <c r="I92" s="79">
        <v>59</v>
      </c>
      <c r="J92" s="79">
        <v>1</v>
      </c>
      <c r="K92" s="16"/>
      <c r="L92" s="16"/>
      <c r="M92" s="16"/>
      <c r="N92" t="s" s="96">
        <v>34</v>
      </c>
      <c r="O92" s="16"/>
      <c r="P92" s="16"/>
      <c r="Q92" s="16"/>
      <c r="R92" s="79">
        <v>1</v>
      </c>
      <c r="S92" s="16"/>
      <c r="T92" s="79">
        <v>27</v>
      </c>
      <c r="U92" s="16"/>
      <c r="V92" s="16"/>
      <c r="W92" s="16"/>
      <c r="X92" s="16"/>
      <c r="Y92" s="16"/>
      <c r="Z92" s="16"/>
      <c r="AA92" t="s" s="96">
        <v>2187</v>
      </c>
      <c r="AB92" t="s" s="96">
        <v>2188</v>
      </c>
      <c r="AC92" s="79">
        <v>1</v>
      </c>
      <c r="AD92" s="16"/>
      <c r="AE92" s="16"/>
      <c r="AF92" s="16"/>
      <c r="AG92" t="s" s="96">
        <v>555</v>
      </c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</row>
    <row r="93" ht="15.35" customHeight="1">
      <c r="A93" t="s" s="370">
        <v>2079</v>
      </c>
      <c r="B93" t="s" s="37">
        <v>725</v>
      </c>
      <c r="C93" s="272">
        <v>16</v>
      </c>
      <c r="D93" t="s" s="371">
        <v>2080</v>
      </c>
      <c r="E93" t="s" s="96">
        <v>2178</v>
      </c>
      <c r="F93" s="16"/>
      <c r="G93" t="s" s="96">
        <v>2189</v>
      </c>
      <c r="H93" t="s" s="96">
        <v>153</v>
      </c>
      <c r="I93" s="79">
        <v>60</v>
      </c>
      <c r="J93" t="s" s="96">
        <v>37</v>
      </c>
      <c r="K93" s="79">
        <v>1</v>
      </c>
      <c r="L93" s="16"/>
      <c r="M93" s="16"/>
      <c r="N93" t="s" s="96">
        <v>34</v>
      </c>
      <c r="O93" s="16"/>
      <c r="P93" s="16"/>
      <c r="Q93" s="16"/>
      <c r="R93" s="79">
        <v>1</v>
      </c>
      <c r="S93" s="16"/>
      <c r="T93" s="79">
        <v>29</v>
      </c>
      <c r="U93" s="16"/>
      <c r="V93" s="16"/>
      <c r="W93" s="16"/>
      <c r="X93" s="16"/>
      <c r="Y93" s="16"/>
      <c r="Z93" s="16"/>
      <c r="AA93" t="s" s="96">
        <v>2180</v>
      </c>
      <c r="AB93" t="s" s="96">
        <v>2181</v>
      </c>
      <c r="AC93" s="79">
        <v>1</v>
      </c>
      <c r="AD93" s="16"/>
      <c r="AE93" s="16"/>
      <c r="AF93" s="16"/>
      <c r="AG93" t="s" s="96">
        <v>791</v>
      </c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</row>
    <row r="94" ht="15.35" customHeight="1">
      <c r="A94" t="s" s="370">
        <v>2079</v>
      </c>
      <c r="B94" t="s" s="37">
        <v>725</v>
      </c>
      <c r="C94" s="272">
        <v>16</v>
      </c>
      <c r="D94" t="s" s="371">
        <v>2080</v>
      </c>
      <c r="E94" t="s" s="96">
        <v>2178</v>
      </c>
      <c r="F94" s="16"/>
      <c r="G94" t="s" s="96">
        <v>2190</v>
      </c>
      <c r="H94" t="s" s="96">
        <v>86</v>
      </c>
      <c r="I94" s="79">
        <v>61</v>
      </c>
      <c r="J94" s="79">
        <v>1</v>
      </c>
      <c r="K94" s="16"/>
      <c r="L94" s="16"/>
      <c r="M94" s="16"/>
      <c r="N94" t="s" s="96">
        <v>34</v>
      </c>
      <c r="O94" s="16"/>
      <c r="P94" s="16"/>
      <c r="Q94" s="16"/>
      <c r="R94" s="79">
        <v>1</v>
      </c>
      <c r="S94" s="16"/>
      <c r="T94" s="79">
        <v>28</v>
      </c>
      <c r="U94" s="16"/>
      <c r="V94" s="16"/>
      <c r="W94" s="16"/>
      <c r="X94" s="16"/>
      <c r="Y94" s="16"/>
      <c r="Z94" s="16"/>
      <c r="AA94" t="s" s="96">
        <v>2180</v>
      </c>
      <c r="AB94" t="s" s="96">
        <v>2181</v>
      </c>
      <c r="AC94" s="79">
        <v>1</v>
      </c>
      <c r="AD94" s="16"/>
      <c r="AE94" s="16"/>
      <c r="AF94" s="16"/>
      <c r="AG94" t="s" s="96">
        <v>2191</v>
      </c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</row>
    <row r="95" ht="15.35" customHeight="1">
      <c r="A95" t="s" s="370">
        <v>2079</v>
      </c>
      <c r="B95" t="s" s="37">
        <v>725</v>
      </c>
      <c r="C95" s="272">
        <v>16</v>
      </c>
      <c r="D95" t="s" s="371">
        <v>2080</v>
      </c>
      <c r="E95" t="s" s="96">
        <v>2178</v>
      </c>
      <c r="F95" s="16"/>
      <c r="G95" t="s" s="96">
        <v>2192</v>
      </c>
      <c r="H95" t="s" s="96">
        <v>2193</v>
      </c>
      <c r="I95" s="79">
        <v>62</v>
      </c>
      <c r="J95" s="79">
        <v>1</v>
      </c>
      <c r="K95" s="16"/>
      <c r="L95" s="16"/>
      <c r="M95" s="16"/>
      <c r="N95" t="s" s="96">
        <v>34</v>
      </c>
      <c r="O95" s="16"/>
      <c r="P95" s="16"/>
      <c r="Q95" s="16"/>
      <c r="R95" s="79">
        <v>1</v>
      </c>
      <c r="S95" s="16"/>
      <c r="T95" s="79">
        <v>26</v>
      </c>
      <c r="U95" s="16"/>
      <c r="V95" s="16"/>
      <c r="W95" s="16"/>
      <c r="X95" s="16"/>
      <c r="Y95" s="16"/>
      <c r="Z95" s="16"/>
      <c r="AA95" t="s" s="96">
        <v>2187</v>
      </c>
      <c r="AB95" t="s" s="96">
        <v>2188</v>
      </c>
      <c r="AC95" s="79">
        <v>1</v>
      </c>
      <c r="AD95" s="16"/>
      <c r="AE95" s="16"/>
      <c r="AF95" s="16"/>
      <c r="AG95" t="s" s="96">
        <v>553</v>
      </c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</row>
    <row r="96" ht="15.35" customHeight="1">
      <c r="A96" t="s" s="370">
        <v>2079</v>
      </c>
      <c r="B96" t="s" s="37">
        <v>725</v>
      </c>
      <c r="C96" s="272">
        <v>16</v>
      </c>
      <c r="D96" t="s" s="371">
        <v>2080</v>
      </c>
      <c r="E96" t="s" s="96">
        <v>2178</v>
      </c>
      <c r="F96" s="16"/>
      <c r="G96" t="s" s="96">
        <v>776</v>
      </c>
      <c r="H96" t="s" s="96">
        <v>262</v>
      </c>
      <c r="I96" s="79">
        <v>63</v>
      </c>
      <c r="J96" s="79">
        <v>1</v>
      </c>
      <c r="K96" s="16"/>
      <c r="L96" s="16"/>
      <c r="M96" s="16"/>
      <c r="N96" t="s" s="96">
        <v>34</v>
      </c>
      <c r="O96" s="16"/>
      <c r="P96" s="16"/>
      <c r="Q96" s="16"/>
      <c r="R96" s="79">
        <v>1</v>
      </c>
      <c r="S96" s="16"/>
      <c r="T96" s="79">
        <v>33</v>
      </c>
      <c r="U96" s="16"/>
      <c r="V96" s="16"/>
      <c r="W96" s="16"/>
      <c r="X96" s="16"/>
      <c r="Y96" s="16"/>
      <c r="Z96" s="16"/>
      <c r="AA96" t="s" s="96">
        <v>2180</v>
      </c>
      <c r="AB96" t="s" s="96">
        <v>2188</v>
      </c>
      <c r="AC96" s="79">
        <v>1</v>
      </c>
      <c r="AD96" s="16"/>
      <c r="AE96" s="16"/>
      <c r="AF96" s="16"/>
      <c r="AG96" t="s" s="96">
        <v>142</v>
      </c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</row>
    <row r="97" ht="15.35" customHeight="1">
      <c r="A97" t="s" s="370">
        <v>2079</v>
      </c>
      <c r="B97" t="s" s="37">
        <v>725</v>
      </c>
      <c r="C97" s="272">
        <v>16</v>
      </c>
      <c r="D97" t="s" s="371">
        <v>2080</v>
      </c>
      <c r="E97" t="s" s="96">
        <v>2178</v>
      </c>
      <c r="F97" s="16"/>
      <c r="G97" t="s" s="96">
        <v>2194</v>
      </c>
      <c r="H97" t="s" s="96">
        <v>2195</v>
      </c>
      <c r="I97" s="79">
        <v>64</v>
      </c>
      <c r="J97" s="79">
        <v>1</v>
      </c>
      <c r="K97" s="16"/>
      <c r="L97" s="16"/>
      <c r="M97" s="16"/>
      <c r="N97" t="s" s="96">
        <v>34</v>
      </c>
      <c r="O97" s="16"/>
      <c r="P97" s="16"/>
      <c r="Q97" s="16"/>
      <c r="R97" s="79">
        <v>1</v>
      </c>
      <c r="S97" s="16"/>
      <c r="T97" s="79">
        <v>27</v>
      </c>
      <c r="U97" s="16"/>
      <c r="V97" s="16"/>
      <c r="W97" s="16"/>
      <c r="X97" s="16"/>
      <c r="Y97" s="16"/>
      <c r="Z97" s="16"/>
      <c r="AA97" t="s" s="96">
        <v>2180</v>
      </c>
      <c r="AB97" t="s" s="96">
        <v>2181</v>
      </c>
      <c r="AC97" s="79">
        <v>1</v>
      </c>
      <c r="AD97" s="16"/>
      <c r="AE97" s="16"/>
      <c r="AF97" s="16"/>
      <c r="AG97" t="s" s="96">
        <v>142</v>
      </c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</row>
    <row r="98" ht="15.35" customHeight="1">
      <c r="A98" t="s" s="370">
        <v>2079</v>
      </c>
      <c r="B98" t="s" s="37">
        <v>725</v>
      </c>
      <c r="C98" s="63"/>
      <c r="D98" t="s" s="371">
        <v>2080</v>
      </c>
      <c r="E98" s="16"/>
      <c r="F98" s="16"/>
      <c r="G98" s="16"/>
      <c r="H98" s="79">
        <v>9</v>
      </c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</row>
    <row r="99" ht="15.35" customHeight="1">
      <c r="A99" t="s" s="370">
        <v>2079</v>
      </c>
      <c r="B99" t="s" s="37">
        <v>725</v>
      </c>
      <c r="C99" s="63"/>
      <c r="D99" t="s" s="371">
        <v>2080</v>
      </c>
      <c r="E99" s="16"/>
      <c r="F99" s="16"/>
      <c r="G99" s="16"/>
      <c r="H99" t="s" s="96">
        <v>0</v>
      </c>
      <c r="I99" t="s" s="96">
        <v>1</v>
      </c>
      <c r="J99" t="s" s="96">
        <v>3</v>
      </c>
      <c r="K99" s="16"/>
      <c r="L99" s="16"/>
      <c r="M99" s="16"/>
      <c r="N99" t="s" s="96">
        <v>2</v>
      </c>
      <c r="O99" s="16"/>
      <c r="P99" s="16"/>
      <c r="Q99" s="16"/>
      <c r="R99" s="16"/>
      <c r="S99" s="16"/>
      <c r="T99" t="s" s="96">
        <v>5</v>
      </c>
      <c r="U99" s="16"/>
      <c r="V99" s="16"/>
      <c r="W99" s="16"/>
      <c r="X99" s="16"/>
      <c r="Y99" s="16"/>
      <c r="Z99" s="16"/>
      <c r="AA99" t="s" s="96">
        <v>7</v>
      </c>
      <c r="AB99" t="s" s="96">
        <v>8</v>
      </c>
      <c r="AC99" s="16"/>
      <c r="AD99" s="16"/>
      <c r="AE99" s="16"/>
      <c r="AF99" s="16"/>
      <c r="AG99" t="s" s="96">
        <v>6</v>
      </c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</row>
    <row r="100" ht="15.35" customHeight="1">
      <c r="A100" t="s" s="370">
        <v>2079</v>
      </c>
      <c r="B100" t="s" s="37">
        <v>725</v>
      </c>
      <c r="C100" s="272">
        <v>17</v>
      </c>
      <c r="D100" t="s" s="371">
        <v>2080</v>
      </c>
      <c r="E100" s="16"/>
      <c r="F100" s="16"/>
      <c r="G100" t="s" s="96">
        <v>144</v>
      </c>
      <c r="H100" t="s" s="96">
        <v>64</v>
      </c>
      <c r="I100" s="79">
        <v>65</v>
      </c>
      <c r="J100" t="s" s="96">
        <v>37</v>
      </c>
      <c r="K100" s="79">
        <v>1</v>
      </c>
      <c r="L100" s="16"/>
      <c r="M100" s="16"/>
      <c r="N100" s="79">
        <v>1</v>
      </c>
      <c r="O100" s="16"/>
      <c r="P100" s="16"/>
      <c r="Q100" s="16"/>
      <c r="R100" s="16"/>
      <c r="S100" s="16"/>
      <c r="T100" s="79">
        <v>28</v>
      </c>
      <c r="U100" s="16"/>
      <c r="V100" s="16"/>
      <c r="W100" s="16"/>
      <c r="X100" s="16"/>
      <c r="Y100" s="16"/>
      <c r="Z100" s="16"/>
      <c r="AA100" t="s" s="96">
        <v>34</v>
      </c>
      <c r="AB100" t="s" s="96">
        <v>34</v>
      </c>
      <c r="AC100" s="16"/>
      <c r="AD100" s="16"/>
      <c r="AE100" s="16"/>
      <c r="AF100" s="16"/>
      <c r="AG100" t="s" s="96">
        <v>142</v>
      </c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</row>
    <row r="101" ht="15.35" customHeight="1">
      <c r="A101" t="s" s="370">
        <v>2079</v>
      </c>
      <c r="B101" t="s" s="37">
        <v>725</v>
      </c>
      <c r="C101" s="272">
        <v>17</v>
      </c>
      <c r="D101" t="s" s="371">
        <v>2080</v>
      </c>
      <c r="E101" s="16"/>
      <c r="F101" s="16"/>
      <c r="G101" t="s" s="96">
        <v>144</v>
      </c>
      <c r="H101" t="s" s="96">
        <v>2196</v>
      </c>
      <c r="I101" s="79">
        <v>66</v>
      </c>
      <c r="J101" s="79">
        <v>1</v>
      </c>
      <c r="K101" s="16"/>
      <c r="L101" s="16"/>
      <c r="M101" s="16"/>
      <c r="N101" t="s" s="96">
        <v>72</v>
      </c>
      <c r="O101" s="79">
        <v>1</v>
      </c>
      <c r="P101" s="16"/>
      <c r="Q101" s="16"/>
      <c r="R101" s="16"/>
      <c r="S101" s="16"/>
      <c r="T101" s="79">
        <v>29</v>
      </c>
      <c r="U101" s="16"/>
      <c r="V101" s="16"/>
      <c r="W101" s="16"/>
      <c r="X101" s="16"/>
      <c r="Y101" s="16"/>
      <c r="Z101" s="16"/>
      <c r="AA101" t="s" s="96">
        <v>34</v>
      </c>
      <c r="AB101" t="s" s="96">
        <v>34</v>
      </c>
      <c r="AC101" s="16"/>
      <c r="AD101" s="16"/>
      <c r="AE101" s="16"/>
      <c r="AF101" s="16"/>
      <c r="AG101" t="s" s="96">
        <v>2197</v>
      </c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</row>
    <row r="102" ht="15.35" customHeight="1">
      <c r="A102" t="s" s="370">
        <v>2079</v>
      </c>
      <c r="B102" t="s" s="37">
        <v>725</v>
      </c>
      <c r="C102" s="272">
        <v>17</v>
      </c>
      <c r="D102" t="s" s="371">
        <v>2080</v>
      </c>
      <c r="E102" s="16"/>
      <c r="F102" s="16"/>
      <c r="G102" t="s" s="96">
        <v>2198</v>
      </c>
      <c r="H102" t="s" s="96">
        <v>2199</v>
      </c>
      <c r="I102" s="79">
        <v>67</v>
      </c>
      <c r="J102" s="79">
        <v>1</v>
      </c>
      <c r="K102" s="16"/>
      <c r="L102" s="16"/>
      <c r="M102" s="16"/>
      <c r="N102" t="s" s="96">
        <v>41</v>
      </c>
      <c r="O102" s="16"/>
      <c r="P102" s="16"/>
      <c r="Q102" s="16"/>
      <c r="R102" s="79">
        <v>1</v>
      </c>
      <c r="S102" s="16"/>
      <c r="T102" s="79">
        <v>65</v>
      </c>
      <c r="U102" s="16"/>
      <c r="V102" s="16"/>
      <c r="W102" s="16"/>
      <c r="X102" s="16"/>
      <c r="Y102" s="16"/>
      <c r="Z102" s="16"/>
      <c r="AA102" t="s" s="96">
        <v>34</v>
      </c>
      <c r="AB102" t="s" s="96">
        <v>34</v>
      </c>
      <c r="AC102" s="16"/>
      <c r="AD102" s="16"/>
      <c r="AE102" s="16"/>
      <c r="AF102" s="16"/>
      <c r="AG102" t="s" s="96">
        <v>2200</v>
      </c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</row>
    <row r="103" ht="15.35" customHeight="1">
      <c r="A103" t="s" s="370">
        <v>2079</v>
      </c>
      <c r="B103" t="s" s="37">
        <v>725</v>
      </c>
      <c r="C103" s="272">
        <v>17</v>
      </c>
      <c r="D103" t="s" s="371">
        <v>2080</v>
      </c>
      <c r="E103" s="16"/>
      <c r="F103" s="16"/>
      <c r="G103" t="s" s="96">
        <v>2201</v>
      </c>
      <c r="H103" t="s" s="96">
        <v>251</v>
      </c>
      <c r="I103" s="79">
        <v>68</v>
      </c>
      <c r="J103" s="79">
        <v>1</v>
      </c>
      <c r="K103" s="16"/>
      <c r="L103" s="16"/>
      <c r="M103" s="16"/>
      <c r="N103" t="s" s="96">
        <v>11</v>
      </c>
      <c r="O103" s="16"/>
      <c r="P103" s="16"/>
      <c r="Q103" s="16"/>
      <c r="R103" s="16"/>
      <c r="S103" s="79">
        <v>1</v>
      </c>
      <c r="T103" s="79">
        <v>18</v>
      </c>
      <c r="U103" s="16"/>
      <c r="V103" s="16"/>
      <c r="W103" s="16"/>
      <c r="X103" s="16"/>
      <c r="Y103" s="16"/>
      <c r="Z103" s="16"/>
      <c r="AA103" t="s" s="96">
        <v>1070</v>
      </c>
      <c r="AB103" t="s" s="96">
        <v>15</v>
      </c>
      <c r="AC103" s="79">
        <v>1</v>
      </c>
      <c r="AD103" s="16"/>
      <c r="AE103" s="16"/>
      <c r="AF103" s="16"/>
      <c r="AG103" t="s" s="96">
        <v>2202</v>
      </c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</row>
    <row r="104" ht="15.35" customHeight="1">
      <c r="A104" t="s" s="370">
        <v>2079</v>
      </c>
      <c r="B104" t="s" s="37">
        <v>725</v>
      </c>
      <c r="C104" s="272">
        <v>17</v>
      </c>
      <c r="D104" t="s" s="371">
        <v>2080</v>
      </c>
      <c r="E104" s="16"/>
      <c r="F104" s="16"/>
      <c r="G104" t="s" s="96">
        <v>2203</v>
      </c>
      <c r="H104" t="s" s="96">
        <v>112</v>
      </c>
      <c r="I104" s="79">
        <v>69</v>
      </c>
      <c r="J104" s="79">
        <v>1</v>
      </c>
      <c r="K104" s="16"/>
      <c r="L104" s="16"/>
      <c r="M104" s="16"/>
      <c r="N104" t="s" s="96">
        <v>11</v>
      </c>
      <c r="O104" s="16"/>
      <c r="P104" s="16"/>
      <c r="Q104" s="16"/>
      <c r="R104" s="16"/>
      <c r="S104" s="79">
        <v>1</v>
      </c>
      <c r="T104" s="79">
        <v>17</v>
      </c>
      <c r="U104" s="16"/>
      <c r="V104" s="16"/>
      <c r="W104" s="16"/>
      <c r="X104" s="16"/>
      <c r="Y104" s="16"/>
      <c r="Z104" s="16"/>
      <c r="AA104" t="s" s="96">
        <v>85</v>
      </c>
      <c r="AB104" t="s" s="96">
        <v>15</v>
      </c>
      <c r="AC104" s="79">
        <v>1</v>
      </c>
      <c r="AD104" s="16"/>
      <c r="AE104" s="16"/>
      <c r="AF104" s="16"/>
      <c r="AG104" t="s" s="96">
        <v>2204</v>
      </c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</row>
    <row r="105" ht="15.35" customHeight="1">
      <c r="A105" t="s" s="370">
        <v>2079</v>
      </c>
      <c r="B105" t="s" s="37">
        <v>725</v>
      </c>
      <c r="C105" s="272">
        <v>17</v>
      </c>
      <c r="D105" t="s" s="371">
        <v>2080</v>
      </c>
      <c r="E105" s="16"/>
      <c r="F105" s="16"/>
      <c r="G105" t="s" s="96">
        <v>2203</v>
      </c>
      <c r="H105" t="s" s="96">
        <v>109</v>
      </c>
      <c r="I105" s="79">
        <v>70</v>
      </c>
      <c r="J105" s="79">
        <v>1</v>
      </c>
      <c r="K105" s="16"/>
      <c r="L105" s="16"/>
      <c r="M105" s="16"/>
      <c r="N105" t="s" s="96">
        <v>11</v>
      </c>
      <c r="O105" s="16"/>
      <c r="P105" s="16"/>
      <c r="Q105" s="16"/>
      <c r="R105" s="16"/>
      <c r="S105" s="79">
        <v>1</v>
      </c>
      <c r="T105" s="79">
        <v>21</v>
      </c>
      <c r="U105" s="16"/>
      <c r="V105" s="16"/>
      <c r="W105" s="16"/>
      <c r="X105" s="16"/>
      <c r="Y105" s="16"/>
      <c r="Z105" s="16"/>
      <c r="AA105" t="s" s="96">
        <v>45</v>
      </c>
      <c r="AB105" t="s" s="96">
        <v>15</v>
      </c>
      <c r="AC105" s="79">
        <v>1</v>
      </c>
      <c r="AD105" s="16"/>
      <c r="AE105" s="16"/>
      <c r="AF105" s="16"/>
      <c r="AG105" t="s" s="96">
        <v>208</v>
      </c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</row>
    <row r="106" ht="15.35" customHeight="1">
      <c r="A106" t="s" s="370">
        <v>2079</v>
      </c>
      <c r="B106" t="s" s="37">
        <v>725</v>
      </c>
      <c r="C106" s="272">
        <v>17</v>
      </c>
      <c r="D106" t="s" s="371">
        <v>2080</v>
      </c>
      <c r="E106" s="16"/>
      <c r="F106" s="16"/>
      <c r="G106" t="s" s="96">
        <v>144</v>
      </c>
      <c r="H106" t="s" s="96">
        <v>2205</v>
      </c>
      <c r="I106" s="79">
        <v>71</v>
      </c>
      <c r="J106" t="s" s="96">
        <v>37</v>
      </c>
      <c r="K106" s="16"/>
      <c r="L106" s="16"/>
      <c r="M106" s="79">
        <v>1</v>
      </c>
      <c r="N106" t="s" s="96">
        <v>36</v>
      </c>
      <c r="O106" s="16"/>
      <c r="P106" s="16"/>
      <c r="Q106" s="79">
        <v>1</v>
      </c>
      <c r="R106" s="16"/>
      <c r="S106" s="16"/>
      <c r="T106" s="79">
        <v>3</v>
      </c>
      <c r="U106" s="16"/>
      <c r="V106" t="s" s="96">
        <v>34</v>
      </c>
      <c r="W106" t="s" s="96">
        <v>34</v>
      </c>
      <c r="X106" s="16"/>
      <c r="Y106" s="16"/>
      <c r="Z106" s="16"/>
      <c r="AA106" s="16"/>
      <c r="AB106" s="16"/>
      <c r="AC106" s="16"/>
      <c r="AD106" s="16"/>
      <c r="AE106" s="16"/>
      <c r="AF106" s="16"/>
      <c r="AG106" t="s" s="96">
        <v>996</v>
      </c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</row>
    <row r="107" ht="15.35" customHeight="1">
      <c r="A107" t="s" s="370">
        <v>2079</v>
      </c>
      <c r="B107" t="s" s="37">
        <v>725</v>
      </c>
      <c r="C107" s="272">
        <v>17</v>
      </c>
      <c r="D107" t="s" s="371">
        <v>2080</v>
      </c>
      <c r="E107" s="16"/>
      <c r="F107" s="16"/>
      <c r="G107" s="16"/>
      <c r="H107" s="79">
        <v>7</v>
      </c>
      <c r="I107" s="79">
        <v>71</v>
      </c>
      <c r="J107" s="99" cm="1">
        <f t="array" ref="J107">SUM(J3:J106)</f>
        <v>51</v>
      </c>
      <c r="K107" s="99" cm="1">
        <f t="array" ref="K107">SUM(K3:K106)</f>
        <v>17</v>
      </c>
      <c r="L107" s="99" cm="1">
        <f t="array" ref="L107">SUM(L3:L106)</f>
        <v>2</v>
      </c>
      <c r="M107" s="99" cm="1">
        <f t="array" ref="M107">SUM(M3:M106)</f>
        <v>1</v>
      </c>
      <c r="N107" s="99" cm="1">
        <f t="array" ref="N107">SUM(N3:N106)</f>
        <v>17</v>
      </c>
      <c r="O107" s="99" cm="1">
        <f t="array" ref="O107">SUM(O3:O106)</f>
        <v>9</v>
      </c>
      <c r="P107" s="99" cm="1">
        <f t="array" ref="P107">SUM(P3:P106)</f>
        <v>8</v>
      </c>
      <c r="Q107" s="99" cm="1">
        <f t="array" ref="Q107">SUM(Q3:Q106)</f>
        <v>2</v>
      </c>
      <c r="R107" s="99" cm="1">
        <f t="array" ref="R107">SUM(R3:R106)</f>
        <v>11</v>
      </c>
      <c r="S107" s="99" cm="1">
        <f t="array" ref="S107">SUM(S3:S106)</f>
        <v>24</v>
      </c>
      <c r="T107" s="99" cm="1">
        <f t="array" ref="T107">SUM(T3:T106)</f>
        <v>2585</v>
      </c>
      <c r="U107" s="99" cm="1">
        <f t="array" ref="U107">SUM(U3:U106)</f>
        <v>0</v>
      </c>
      <c r="V107" s="99" cm="1">
        <f t="array" ref="V107">SUM(V3:V106)</f>
        <v>0</v>
      </c>
      <c r="W107" s="99" cm="1">
        <f t="array" ref="W107">SUM(W3:W106)</f>
        <v>0</v>
      </c>
      <c r="X107" s="99" cm="1">
        <f t="array" ref="X107">SUM(X3:X106)</f>
        <v>0</v>
      </c>
      <c r="Y107" s="99" cm="1">
        <f t="array" ref="Y107">SUM(Y3:Y106)</f>
        <v>0</v>
      </c>
      <c r="Z107" s="99" cm="1">
        <f t="array" ref="Z107">SUM(Z3:Z106)</f>
        <v>0</v>
      </c>
      <c r="AA107" s="99" cm="1">
        <f t="array" ref="AA107">SUM(AA3:AA106)</f>
        <v>0</v>
      </c>
      <c r="AB107" s="99" cm="1">
        <f t="array" ref="AB107">SUM(AB3:AB106)</f>
        <v>0</v>
      </c>
      <c r="AC107" s="99" cm="1">
        <f t="array" ref="AC107">SUM(AC3:AC106)</f>
        <v>44</v>
      </c>
      <c r="AD107" s="99" cm="1">
        <f t="array" ref="AD107">SUM(AD3:AD106)</f>
        <v>2</v>
      </c>
      <c r="AE107" s="99" cm="1">
        <f t="array" ref="AE107">AC107-AD107</f>
        <v>42</v>
      </c>
      <c r="AF107" s="99" cm="1">
        <f t="array" ref="AF107">SUM(AF3:AF106)</f>
        <v>31</v>
      </c>
      <c r="AG107" s="99" cm="1">
        <f t="array" ref="AG107">N108-AF107</f>
        <v>40</v>
      </c>
      <c r="AH107" s="99" cm="1">
        <f t="array" ref="AH107">SUM(AH3:AH106)</f>
        <v>0</v>
      </c>
      <c r="AI107" s="99" cm="1">
        <f t="array" ref="AI107">SUM(AI3:AI106)</f>
        <v>0</v>
      </c>
      <c r="AJ107" s="99" cm="1">
        <f t="array" ref="AJ107">SUM(AJ3:AJ106)</f>
        <v>0</v>
      </c>
      <c r="AK107" s="99" cm="1">
        <f t="array" ref="AK107">SUM(AK3:AK106)</f>
        <v>0</v>
      </c>
      <c r="AL107" s="99" cm="1">
        <f t="array" ref="AL107">SUM(AL3:AL106)</f>
        <v>0</v>
      </c>
      <c r="AM107" s="99" cm="1">
        <f t="array" ref="AM107">SUM(AM3:AM106)</f>
        <v>0</v>
      </c>
      <c r="AN107" s="99" cm="1">
        <f t="array" ref="AN107">SUM(AN3:AN106)</f>
        <v>0</v>
      </c>
      <c r="AO107" s="99" cm="1">
        <f t="array" ref="AO107">SUM(AO3:AO106)</f>
        <v>0</v>
      </c>
      <c r="AP107" s="99" cm="1">
        <f t="array" ref="AP107">SUM(AP3:AP106)</f>
        <v>0</v>
      </c>
      <c r="AQ107" s="99" cm="1">
        <f t="array" ref="AQ107">SUM(AQ3:AQ97)</f>
        <v>0</v>
      </c>
      <c r="AR107" s="99" cm="1">
        <f t="array" ref="AR107">SUM(AR3:AR97)</f>
        <v>0</v>
      </c>
      <c r="AS107" s="99" cm="1">
        <f t="array" ref="AS107">SUM(AS3:AS97)</f>
        <v>0</v>
      </c>
      <c r="AT107" s="99" cm="1">
        <f t="array" ref="AT107">SUM(AT3:AT97)</f>
        <v>0</v>
      </c>
      <c r="AU107" s="99" cm="1">
        <f t="array" ref="AU107">SUM(AU3:AU97)</f>
        <v>0</v>
      </c>
      <c r="AV107" s="99" cm="1">
        <f t="array" ref="AV107">SUM(AV3:AV97)</f>
        <v>0</v>
      </c>
      <c r="AW107" s="99" cm="1">
        <f t="array" ref="AW107">SUM(AW3:AW97)</f>
        <v>0</v>
      </c>
      <c r="AX107" s="99" cm="1">
        <f t="array" ref="AX107">SUM(AX3:AX97)</f>
        <v>0</v>
      </c>
      <c r="AY107" s="99" cm="1">
        <f t="array" ref="AY107">SUM(AY3:AY97)</f>
        <v>0</v>
      </c>
      <c r="AZ107" s="99" cm="1">
        <f t="array" ref="AZ107">SUM(AZ3:AZ97)</f>
        <v>0</v>
      </c>
      <c r="BA107" s="99" cm="1">
        <f t="array" ref="BA107">SUM(BA3:BA97)</f>
        <v>0</v>
      </c>
      <c r="BB107" s="99" cm="1">
        <f t="array" ref="BB107">SUM(BB3:BB97)</f>
        <v>0</v>
      </c>
      <c r="BC107" s="99" cm="1">
        <f t="array" ref="BC107">SUM(BC3:BC97)</f>
        <v>0</v>
      </c>
      <c r="BD107" s="99" cm="1">
        <f t="array" ref="BD107">SUM(BD3:BD97)</f>
        <v>0</v>
      </c>
    </row>
    <row r="108" ht="15.35" customHeight="1">
      <c r="A108" t="s" s="370">
        <v>2079</v>
      </c>
      <c r="B108" t="s" s="37">
        <v>725</v>
      </c>
      <c r="C108" s="63"/>
      <c r="D108" t="s" s="371">
        <v>2080</v>
      </c>
      <c r="E108" s="16"/>
      <c r="F108" s="16"/>
      <c r="G108" s="16"/>
      <c r="H108" s="16"/>
      <c r="I108" s="99" cm="1">
        <f t="array" ref="I108">SUM(J107:M107)</f>
        <v>71</v>
      </c>
      <c r="J108" s="16"/>
      <c r="K108" s="16"/>
      <c r="L108" s="16"/>
      <c r="M108" s="16"/>
      <c r="N108" s="99" cm="1">
        <f t="array" ref="N108">SUM(N107:S107)</f>
        <v>71</v>
      </c>
      <c r="O108" s="16"/>
      <c r="P108" s="16"/>
      <c r="Q108" s="16"/>
      <c r="R108" s="16"/>
      <c r="S108" s="16"/>
      <c r="T108" s="387" cm="1">
        <f t="array" ref="T108">T107/N108</f>
        <v>36.4084507042254</v>
      </c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</row>
    <row r="109" ht="15.35" customHeight="1">
      <c r="A109" s="71"/>
      <c r="B109" s="71"/>
      <c r="C109" s="16"/>
      <c r="D109" s="71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</row>
    <row r="110" ht="15.3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</row>
    <row r="111" ht="15.3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</row>
    <row r="112" ht="15.3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</row>
    <row r="113" ht="15.3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</row>
    <row r="114" ht="15.3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</row>
    <row r="115" ht="15.3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</row>
    <row r="116" ht="15.3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</row>
    <row r="117" ht="15.3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</row>
    <row r="118" ht="15.3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</row>
    <row r="119" ht="15.3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</row>
    <row r="120" ht="15.3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</row>
    <row r="121" ht="15.3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</row>
    <row r="122" ht="15.3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</row>
    <row r="123" ht="15.3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  <c r="BD123" s="16"/>
    </row>
    <row r="124" ht="15.3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  <c r="BD124" s="16"/>
    </row>
    <row r="125" ht="15.3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  <c r="BD125" s="16"/>
    </row>
    <row r="126" ht="15.3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  <c r="BD126" s="16"/>
    </row>
    <row r="127" ht="15.3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  <c r="BD127" s="16"/>
    </row>
    <row r="128" ht="15.3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  <c r="BD128" s="16"/>
    </row>
    <row r="129" ht="15.3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  <c r="BD129" s="16"/>
    </row>
    <row r="130" ht="15.3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  <c r="BD130" s="16"/>
    </row>
    <row r="131" ht="15.3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  <c r="BD131" s="16"/>
    </row>
    <row r="132" ht="15.3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  <c r="BD132" s="16"/>
    </row>
    <row r="133" ht="15.3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  <c r="BD133" s="16"/>
    </row>
    <row r="134" ht="15.3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  <c r="BD134" s="16"/>
    </row>
    <row r="135" ht="15.3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  <c r="BD135" s="16"/>
    </row>
    <row r="136" ht="15.3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</row>
    <row r="137" ht="15.3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  <c r="BD137" s="16"/>
    </row>
    <row r="138" ht="15.3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  <c r="BD138" s="16"/>
    </row>
    <row r="139" ht="15.3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  <c r="BD139" s="16"/>
    </row>
    <row r="140" ht="15.3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  <c r="BD140" s="16"/>
    </row>
    <row r="141" ht="15.3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  <c r="BD141" s="16"/>
    </row>
    <row r="142" ht="15.3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  <c r="BD142" s="16"/>
    </row>
    <row r="143" ht="15.3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  <c r="BD143" s="16"/>
    </row>
    <row r="144" ht="15.3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  <c r="BD144" s="16"/>
    </row>
    <row r="145" ht="15.3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  <c r="BD145" s="16"/>
    </row>
    <row r="146" ht="15.3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  <c r="BD146" s="16"/>
    </row>
    <row r="147" ht="15.3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  <c r="BD147" s="16"/>
    </row>
    <row r="148" ht="15.3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  <c r="BD148" s="16"/>
    </row>
    <row r="149" ht="15.3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  <c r="BD149" s="16"/>
    </row>
    <row r="150" ht="15.3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  <c r="BD150" s="16"/>
    </row>
    <row r="151" ht="15.3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  <c r="BD151" s="16"/>
    </row>
    <row r="152" ht="15.3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  <c r="BD152" s="16"/>
    </row>
    <row r="153" ht="15.3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  <c r="BD153" s="16"/>
    </row>
    <row r="154" ht="15.3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  <c r="BD154" s="16"/>
    </row>
    <row r="155" ht="15.3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  <c r="BD155" s="16"/>
    </row>
    <row r="156" ht="15.3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  <c r="BD156" s="16"/>
    </row>
    <row r="157" ht="15.3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  <c r="BD157" s="16"/>
    </row>
    <row r="158" ht="15.3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  <c r="BD158" s="16"/>
    </row>
    <row r="159" ht="15.3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</row>
    <row r="160" ht="15.3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</row>
    <row r="161" ht="15.3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</row>
    <row r="162" ht="15.3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</row>
    <row r="163" ht="15.3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</row>
    <row r="164" ht="15.35" customHeight="1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</row>
    <row r="165" ht="15.35" customHeight="1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</row>
    <row r="166" ht="15.35" customHeight="1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</row>
    <row r="167" ht="15.3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</row>
    <row r="168" ht="15.35" customHeight="1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</row>
    <row r="169" ht="15.35" customHeight="1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</row>
    <row r="170" ht="15.35" customHeight="1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</row>
    <row r="171" ht="15.3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</row>
    <row r="172" ht="15.3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  <c r="BD172" s="16"/>
    </row>
    <row r="173" ht="15.3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</row>
    <row r="174" ht="15.3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</row>
    <row r="175" ht="15.3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</row>
    <row r="176" ht="15.35" customHeight="1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</row>
    <row r="177" ht="15.35" customHeight="1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</row>
    <row r="178" ht="15.35" customHeight="1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</row>
    <row r="179" ht="15.35" customHeight="1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</row>
    <row r="180" ht="15.3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</row>
    <row r="181" ht="15.35" customHeight="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</row>
    <row r="182" ht="15.35" customHeight="1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  <c r="BD182" s="16"/>
    </row>
    <row r="183" ht="15.35" customHeight="1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</row>
    <row r="184" ht="15.35" customHeight="1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  <c r="BD184" s="16"/>
    </row>
    <row r="185" ht="15.35" customHeight="1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  <c r="BD185" s="16"/>
    </row>
    <row r="186" ht="15.35" customHeight="1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  <c r="BD186" s="16"/>
    </row>
    <row r="187" ht="15.35" customHeight="1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  <c r="BD187" s="16"/>
    </row>
    <row r="188" ht="15.3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  <c r="BD188" s="16"/>
    </row>
    <row r="189" ht="15.35" customHeight="1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  <c r="BD189" s="16"/>
    </row>
    <row r="190" ht="15.35" customHeight="1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  <c r="BD190" s="16"/>
    </row>
    <row r="191" ht="15.35" customHeight="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  <c r="BD191" s="16"/>
    </row>
    <row r="192" ht="15.35" customHeight="1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  <c r="BD192" s="16"/>
    </row>
    <row r="193" ht="15.35" customHeight="1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  <c r="BD193" s="16"/>
    </row>
    <row r="194" ht="15.3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  <c r="BD194" s="16"/>
    </row>
    <row r="195" ht="15.35" customHeight="1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  <c r="BD195" s="16"/>
    </row>
    <row r="196" ht="15.35" customHeight="1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  <c r="BD196" s="16"/>
    </row>
    <row r="197" ht="15.35" customHeight="1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  <c r="BD197" s="16"/>
    </row>
    <row r="198" ht="15.35" customHeight="1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  <c r="BD198" s="16"/>
    </row>
    <row r="199" ht="15.35" customHeight="1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  <c r="BD199" s="16"/>
    </row>
    <row r="200" ht="15.35" customHeight="1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  <c r="BD200" s="16"/>
    </row>
    <row r="201" ht="15.35" customHeight="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  <c r="BD201" s="16"/>
    </row>
    <row r="202" ht="15.3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  <c r="BD202" s="16"/>
    </row>
    <row r="203" ht="15.35" customHeight="1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  <c r="BD203" s="16"/>
    </row>
    <row r="204" ht="15.35" customHeight="1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  <c r="BD204" s="16"/>
    </row>
    <row r="205" ht="15.35" customHeight="1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  <c r="BD205" s="16"/>
    </row>
    <row r="206" ht="15.35" customHeight="1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16"/>
    </row>
    <row r="207" ht="15.35" customHeight="1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  <c r="BD207" s="16"/>
    </row>
    <row r="208" ht="15.35" customHeight="1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  <c r="BD208" s="16"/>
    </row>
    <row r="209" ht="15.35" customHeight="1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  <c r="BD209" s="16"/>
    </row>
    <row r="210" ht="15.3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  <c r="BD210" s="16"/>
    </row>
    <row r="211" ht="15.35" customHeight="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  <c r="BD211" s="16"/>
    </row>
    <row r="212" ht="15.35" customHeight="1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  <c r="BD212" s="16"/>
    </row>
    <row r="213" ht="15.35" customHeight="1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  <c r="BD213" s="16"/>
    </row>
    <row r="214" ht="15.35" customHeight="1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  <c r="BD214" s="16"/>
    </row>
    <row r="215" ht="15.35" customHeight="1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  <c r="BD215" s="16"/>
    </row>
    <row r="216" ht="15.35" customHeight="1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</row>
    <row r="217" ht="15.3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  <c r="BD217" s="16"/>
    </row>
    <row r="218" ht="15.35" customHeight="1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  <c r="BD218" s="16"/>
    </row>
    <row r="219" ht="15.35" customHeight="1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  <c r="BD219" s="16"/>
    </row>
    <row r="220" ht="15.35" customHeight="1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  <c r="BD220" s="16"/>
    </row>
    <row r="221" ht="15.35" customHeight="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  <c r="BD221" s="16"/>
    </row>
    <row r="222" ht="15.3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  <c r="BD222" s="16"/>
    </row>
    <row r="223" ht="15.35" customHeight="1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  <c r="BD223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4.xml><?xml version="1.0" encoding="utf-8"?>
<worksheet xmlns:r="http://schemas.openxmlformats.org/officeDocument/2006/relationships" xmlns="http://schemas.openxmlformats.org/spreadsheetml/2006/main">
  <dimension ref="A1:BC238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388" customWidth="1"/>
    <col min="4" max="4" width="17.8516" style="388" customWidth="1"/>
    <col min="5" max="5" width="20.1719" style="388" customWidth="1"/>
    <col min="6" max="10" width="10.8516" style="388" customWidth="1"/>
    <col min="11" max="11" width="6.17188" style="388" customWidth="1"/>
    <col min="12" max="12" width="7.85156" style="388" customWidth="1"/>
    <col min="13" max="13" width="5.5" style="388" customWidth="1"/>
    <col min="14" max="14" width="8.67188" style="388" customWidth="1"/>
    <col min="15" max="15" width="10" style="388" customWidth="1"/>
    <col min="16" max="16" width="11.5" style="388" customWidth="1"/>
    <col min="17" max="17" width="11.6719" style="388" customWidth="1"/>
    <col min="18" max="18" width="12.3516" style="388" customWidth="1"/>
    <col min="19" max="19" width="10.8516" style="388" customWidth="1"/>
    <col min="20" max="20" width="15.1719" style="388" customWidth="1"/>
    <col min="21" max="23" width="10.8516" style="388" customWidth="1"/>
    <col min="24" max="24" width="12" style="388" customWidth="1"/>
    <col min="25" max="25" width="11.8516" style="388" customWidth="1"/>
    <col min="26" max="26" width="12.1719" style="388" customWidth="1"/>
    <col min="27" max="30" width="16.5" style="388" customWidth="1"/>
    <col min="31" max="31" width="14.6719" style="388" customWidth="1"/>
    <col min="32" max="32" width="10.8516" style="388" customWidth="1"/>
    <col min="33" max="33" width="11" style="388" customWidth="1"/>
    <col min="34" max="34" width="11.1719" style="388" customWidth="1"/>
    <col min="35" max="35" width="7.85156" style="388" customWidth="1"/>
    <col min="36" max="37" width="10.8516" style="388" customWidth="1"/>
    <col min="38" max="38" width="7.35156" style="388" customWidth="1"/>
    <col min="39" max="39" width="10.8516" style="388" customWidth="1"/>
    <col min="40" max="40" width="9.17188" style="388" customWidth="1"/>
    <col min="41" max="41" width="10.8516" style="388" customWidth="1"/>
    <col min="42" max="42" width="12.5" style="388" customWidth="1"/>
    <col min="43" max="43" width="13" style="388" customWidth="1"/>
    <col min="44" max="55" width="10.8516" style="388" customWidth="1"/>
    <col min="56" max="16384" width="10.8516" style="388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90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s="141"/>
      <c r="B3" s="141"/>
      <c r="C3" s="30"/>
      <c r="D3" t="s" s="83">
        <v>2206</v>
      </c>
      <c r="E3" s="74"/>
      <c r="F3" s="62"/>
      <c r="G3" t="s" s="98">
        <v>1</v>
      </c>
      <c r="H3" t="s" s="98">
        <v>0</v>
      </c>
      <c r="I3" s="62"/>
      <c r="J3" t="s" s="98">
        <v>3</v>
      </c>
      <c r="K3" s="62"/>
      <c r="L3" s="62"/>
      <c r="M3" s="62"/>
      <c r="N3" t="s" s="96">
        <v>2</v>
      </c>
      <c r="O3" s="62"/>
      <c r="P3" s="62"/>
      <c r="Q3" s="62"/>
      <c r="R3" s="62"/>
      <c r="S3" s="62"/>
      <c r="T3" t="s" s="96">
        <v>5</v>
      </c>
      <c r="U3" s="16"/>
      <c r="V3" s="16"/>
      <c r="W3" s="117"/>
      <c r="X3" s="29"/>
      <c r="Y3" s="116"/>
      <c r="Z3" s="62"/>
      <c r="AA3" t="s" s="98">
        <v>7</v>
      </c>
      <c r="AB3" t="s" s="154">
        <v>8</v>
      </c>
      <c r="AC3" s="29"/>
      <c r="AD3" s="29"/>
      <c r="AE3" s="30"/>
      <c r="AF3" s="30"/>
      <c r="AG3" t="s" s="82">
        <v>6</v>
      </c>
      <c r="AH3" s="30"/>
      <c r="AI3" t="s" s="83">
        <v>2207</v>
      </c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9" customHeight="1">
      <c r="A4" t="s" s="83">
        <v>2208</v>
      </c>
      <c r="B4" s="112">
        <v>1921</v>
      </c>
      <c r="C4" s="112">
        <v>1</v>
      </c>
      <c r="D4" t="s" s="83">
        <v>2206</v>
      </c>
      <c r="E4" t="s" s="157">
        <v>2209</v>
      </c>
      <c r="F4" s="16"/>
      <c r="G4" t="s" s="96">
        <v>2210</v>
      </c>
      <c r="H4" t="s" s="96">
        <v>309</v>
      </c>
      <c r="I4" s="79">
        <v>1</v>
      </c>
      <c r="J4" t="s" s="96">
        <v>37</v>
      </c>
      <c r="K4" s="79">
        <v>1</v>
      </c>
      <c r="L4" s="16"/>
      <c r="M4" s="16"/>
      <c r="N4" s="79">
        <v>1</v>
      </c>
      <c r="O4" s="16"/>
      <c r="P4" s="16"/>
      <c r="Q4" s="16"/>
      <c r="R4" s="16"/>
      <c r="S4" s="16"/>
      <c r="T4" s="79">
        <v>40</v>
      </c>
      <c r="U4" s="16"/>
      <c r="V4" s="16"/>
      <c r="W4" s="75"/>
      <c r="X4" s="29"/>
      <c r="Y4" s="74"/>
      <c r="Z4" s="16"/>
      <c r="AA4" t="s" s="96">
        <v>2211</v>
      </c>
      <c r="AB4" t="s" s="158">
        <v>2212</v>
      </c>
      <c r="AC4" s="114">
        <v>1</v>
      </c>
      <c r="AD4" s="29"/>
      <c r="AE4" s="30"/>
      <c r="AF4" s="30"/>
      <c r="AG4" t="s" s="159">
        <v>2213</v>
      </c>
      <c r="AH4" s="30"/>
      <c r="AI4" t="s" s="83">
        <v>2207</v>
      </c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9" customHeight="1">
      <c r="A5" t="s" s="83">
        <v>2208</v>
      </c>
      <c r="B5" s="112">
        <v>1921</v>
      </c>
      <c r="C5" s="112">
        <v>1</v>
      </c>
      <c r="D5" t="s" s="83">
        <v>2206</v>
      </c>
      <c r="E5" t="s" s="157">
        <v>2209</v>
      </c>
      <c r="F5" s="16"/>
      <c r="G5" t="s" s="96">
        <v>2210</v>
      </c>
      <c r="H5" t="s" s="96">
        <v>1177</v>
      </c>
      <c r="I5" s="79">
        <v>2</v>
      </c>
      <c r="J5" s="79">
        <v>1</v>
      </c>
      <c r="K5" s="16"/>
      <c r="L5" s="16"/>
      <c r="M5" s="16"/>
      <c r="N5" t="s" s="96">
        <v>72</v>
      </c>
      <c r="O5" s="79">
        <v>1</v>
      </c>
      <c r="P5" s="16"/>
      <c r="Q5" s="16"/>
      <c r="R5" s="16"/>
      <c r="S5" s="16"/>
      <c r="T5" s="79">
        <v>38</v>
      </c>
      <c r="U5" s="16"/>
      <c r="V5" s="16"/>
      <c r="W5" s="75"/>
      <c r="X5" s="29"/>
      <c r="Y5" s="74"/>
      <c r="Z5" s="16"/>
      <c r="AA5" t="s" s="96">
        <v>34</v>
      </c>
      <c r="AB5" t="s" s="158">
        <v>33</v>
      </c>
      <c r="AC5" s="29"/>
      <c r="AD5" s="29"/>
      <c r="AE5" s="30"/>
      <c r="AF5" s="30"/>
      <c r="AG5" t="s" s="159">
        <v>2214</v>
      </c>
      <c r="AH5" s="30"/>
      <c r="AI5" t="s" s="83">
        <v>2207</v>
      </c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9" customHeight="1">
      <c r="A6" t="s" s="83">
        <v>2208</v>
      </c>
      <c r="B6" s="112">
        <v>1921</v>
      </c>
      <c r="C6" s="112">
        <v>1</v>
      </c>
      <c r="D6" t="s" s="83">
        <v>2206</v>
      </c>
      <c r="E6" t="s" s="157">
        <v>2209</v>
      </c>
      <c r="F6" s="16"/>
      <c r="G6" t="s" s="96">
        <v>2210</v>
      </c>
      <c r="H6" t="s" s="96">
        <v>2215</v>
      </c>
      <c r="I6" s="79">
        <v>3</v>
      </c>
      <c r="J6" t="s" s="96">
        <v>37</v>
      </c>
      <c r="K6" s="79">
        <v>1</v>
      </c>
      <c r="L6" s="16"/>
      <c r="M6" s="16"/>
      <c r="N6" t="s" s="96">
        <v>36</v>
      </c>
      <c r="O6" s="16"/>
      <c r="P6" s="16"/>
      <c r="Q6" s="79">
        <v>1</v>
      </c>
      <c r="R6" s="16"/>
      <c r="S6" s="16"/>
      <c r="T6" s="79">
        <v>13</v>
      </c>
      <c r="U6" s="16"/>
      <c r="V6" s="16"/>
      <c r="W6" s="75"/>
      <c r="X6" s="29"/>
      <c r="Y6" s="74"/>
      <c r="Z6" s="16"/>
      <c r="AA6" t="s" s="96">
        <v>34</v>
      </c>
      <c r="AB6" t="s" s="158">
        <v>34</v>
      </c>
      <c r="AC6" s="29"/>
      <c r="AD6" s="29"/>
      <c r="AE6" s="30"/>
      <c r="AF6" s="30"/>
      <c r="AG6" t="s" s="159">
        <v>2216</v>
      </c>
      <c r="AH6" s="30"/>
      <c r="AI6" t="s" s="83">
        <v>2207</v>
      </c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9" customHeight="1">
      <c r="A7" t="s" s="83">
        <v>2208</v>
      </c>
      <c r="B7" s="112">
        <v>1921</v>
      </c>
      <c r="C7" s="112">
        <v>1</v>
      </c>
      <c r="D7" t="s" s="83">
        <v>2206</v>
      </c>
      <c r="E7" t="s" s="157">
        <v>2209</v>
      </c>
      <c r="F7" s="16"/>
      <c r="G7" t="s" s="96">
        <v>2210</v>
      </c>
      <c r="H7" t="s" s="96">
        <v>64</v>
      </c>
      <c r="I7" s="79">
        <v>4</v>
      </c>
      <c r="J7" t="s" s="96">
        <v>37</v>
      </c>
      <c r="K7" s="79">
        <v>1</v>
      </c>
      <c r="L7" s="16"/>
      <c r="M7" s="16"/>
      <c r="N7" t="s" s="96">
        <v>36</v>
      </c>
      <c r="O7" s="16"/>
      <c r="P7" s="16"/>
      <c r="Q7" s="79">
        <v>1</v>
      </c>
      <c r="R7" s="16"/>
      <c r="S7" s="16"/>
      <c r="T7" s="79">
        <v>11</v>
      </c>
      <c r="U7" s="16"/>
      <c r="V7" s="16"/>
      <c r="W7" s="75"/>
      <c r="X7" s="29"/>
      <c r="Y7" s="74"/>
      <c r="Z7" s="16"/>
      <c r="AA7" t="s" s="96">
        <v>34</v>
      </c>
      <c r="AB7" t="s" s="158">
        <v>34</v>
      </c>
      <c r="AC7" s="29"/>
      <c r="AD7" s="29"/>
      <c r="AE7" s="30"/>
      <c r="AF7" s="30"/>
      <c r="AG7" t="s" s="159">
        <v>2216</v>
      </c>
      <c r="AH7" s="30"/>
      <c r="AI7" t="s" s="83">
        <v>2207</v>
      </c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9" customHeight="1">
      <c r="A8" t="s" s="83">
        <v>2208</v>
      </c>
      <c r="B8" s="112">
        <v>1921</v>
      </c>
      <c r="C8" s="112">
        <v>1</v>
      </c>
      <c r="D8" t="s" s="83">
        <v>2206</v>
      </c>
      <c r="E8" t="s" s="157">
        <v>2209</v>
      </c>
      <c r="F8" s="16"/>
      <c r="G8" t="s" s="96">
        <v>2210</v>
      </c>
      <c r="H8" t="s" s="96">
        <v>510</v>
      </c>
      <c r="I8" s="79">
        <v>5</v>
      </c>
      <c r="J8" s="16"/>
      <c r="K8" s="16"/>
      <c r="L8" s="79">
        <v>1</v>
      </c>
      <c r="M8" s="16"/>
      <c r="N8" t="s" s="96">
        <v>78</v>
      </c>
      <c r="O8" s="16"/>
      <c r="P8" s="79">
        <v>1</v>
      </c>
      <c r="Q8" s="16"/>
      <c r="R8" s="16"/>
      <c r="S8" s="16"/>
      <c r="T8" s="79">
        <v>4</v>
      </c>
      <c r="U8" s="16"/>
      <c r="V8" s="16"/>
      <c r="W8" s="75"/>
      <c r="X8" s="29"/>
      <c r="Y8" s="74"/>
      <c r="Z8" s="16"/>
      <c r="AA8" t="s" s="96">
        <v>34</v>
      </c>
      <c r="AB8" t="s" s="158">
        <v>34</v>
      </c>
      <c r="AC8" s="29"/>
      <c r="AD8" s="29"/>
      <c r="AE8" s="30"/>
      <c r="AF8" s="30"/>
      <c r="AG8" t="s" s="159">
        <v>553</v>
      </c>
      <c r="AH8" s="30"/>
      <c r="AI8" t="s" s="83">
        <v>2207</v>
      </c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9" customHeight="1">
      <c r="A9" t="s" s="83">
        <v>2208</v>
      </c>
      <c r="B9" s="112">
        <v>1921</v>
      </c>
      <c r="C9" s="112">
        <v>1</v>
      </c>
      <c r="D9" t="s" s="83">
        <v>2206</v>
      </c>
      <c r="E9" t="s" s="157">
        <v>2209</v>
      </c>
      <c r="F9" s="16"/>
      <c r="G9" t="s" s="96">
        <v>828</v>
      </c>
      <c r="H9" t="s" s="96">
        <v>605</v>
      </c>
      <c r="I9" s="79">
        <v>6</v>
      </c>
      <c r="J9" s="79">
        <v>1</v>
      </c>
      <c r="K9" s="16"/>
      <c r="L9" s="16"/>
      <c r="M9" s="16"/>
      <c r="N9" t="s" s="96">
        <v>11</v>
      </c>
      <c r="O9" s="16"/>
      <c r="P9" s="16"/>
      <c r="Q9" s="16"/>
      <c r="R9" s="16"/>
      <c r="S9" s="79">
        <v>1</v>
      </c>
      <c r="T9" s="79">
        <v>16</v>
      </c>
      <c r="U9" s="16"/>
      <c r="V9" s="16"/>
      <c r="W9" s="75"/>
      <c r="X9" s="29"/>
      <c r="Y9" s="74"/>
      <c r="Z9" s="16"/>
      <c r="AA9" t="s" s="96">
        <v>34</v>
      </c>
      <c r="AB9" t="s" s="158">
        <v>15</v>
      </c>
      <c r="AC9" s="114">
        <v>1</v>
      </c>
      <c r="AD9" s="29"/>
      <c r="AE9" s="30"/>
      <c r="AF9" s="30"/>
      <c r="AG9" t="s" s="159">
        <v>183</v>
      </c>
      <c r="AH9" s="30"/>
      <c r="AI9" t="s" s="83">
        <v>2207</v>
      </c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9" customHeight="1">
      <c r="A10" t="s" s="83">
        <v>2208</v>
      </c>
      <c r="B10" s="112">
        <v>1921</v>
      </c>
      <c r="C10" s="112">
        <v>1</v>
      </c>
      <c r="D10" t="s" s="83">
        <v>2206</v>
      </c>
      <c r="E10" t="s" s="157">
        <v>2209</v>
      </c>
      <c r="F10" s="16"/>
      <c r="G10" t="s" s="96">
        <v>1</v>
      </c>
      <c r="H10" t="s" s="96">
        <v>0</v>
      </c>
      <c r="I10" s="16"/>
      <c r="J10" t="s" s="96">
        <v>3</v>
      </c>
      <c r="K10" s="16"/>
      <c r="L10" s="16"/>
      <c r="M10" s="16"/>
      <c r="N10" t="s" s="96">
        <v>2</v>
      </c>
      <c r="O10" s="16"/>
      <c r="P10" s="16"/>
      <c r="Q10" s="16"/>
      <c r="R10" s="16"/>
      <c r="S10" s="16"/>
      <c r="T10" t="s" s="96">
        <v>5</v>
      </c>
      <c r="U10" s="16"/>
      <c r="V10" s="16"/>
      <c r="W10" s="75"/>
      <c r="X10" s="29"/>
      <c r="Y10" s="74"/>
      <c r="Z10" s="16"/>
      <c r="AA10" t="s" s="96">
        <v>7</v>
      </c>
      <c r="AB10" t="s" s="158">
        <v>8</v>
      </c>
      <c r="AC10" s="29"/>
      <c r="AD10" s="29"/>
      <c r="AE10" s="30"/>
      <c r="AF10" s="30"/>
      <c r="AG10" t="s" s="159">
        <v>6</v>
      </c>
      <c r="AH10" s="30"/>
      <c r="AI10" t="s" s="83">
        <v>2207</v>
      </c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9" customHeight="1">
      <c r="A11" t="s" s="83">
        <v>2208</v>
      </c>
      <c r="B11" s="112">
        <v>1921</v>
      </c>
      <c r="C11" s="112">
        <v>1</v>
      </c>
      <c r="D11" t="s" s="83">
        <v>2206</v>
      </c>
      <c r="E11" t="s" s="157">
        <v>2209</v>
      </c>
      <c r="F11" s="16"/>
      <c r="G11" t="s" s="96">
        <v>2217</v>
      </c>
      <c r="H11" t="s" s="96">
        <v>2218</v>
      </c>
      <c r="I11" s="79">
        <v>7</v>
      </c>
      <c r="J11" t="s" s="96">
        <v>37</v>
      </c>
      <c r="K11" s="79">
        <v>1</v>
      </c>
      <c r="L11" s="16"/>
      <c r="M11" s="16"/>
      <c r="N11" s="79">
        <v>1</v>
      </c>
      <c r="O11" s="16"/>
      <c r="P11" s="16"/>
      <c r="Q11" s="16"/>
      <c r="R11" s="16"/>
      <c r="S11" s="16"/>
      <c r="T11" s="79">
        <v>28</v>
      </c>
      <c r="U11" s="16"/>
      <c r="V11" s="16"/>
      <c r="W11" s="75"/>
      <c r="X11" s="29"/>
      <c r="Y11" s="74"/>
      <c r="Z11" s="16"/>
      <c r="AA11" t="s" s="96">
        <v>2219</v>
      </c>
      <c r="AB11" t="s" s="158">
        <v>34</v>
      </c>
      <c r="AC11" s="114">
        <v>1</v>
      </c>
      <c r="AD11" s="29"/>
      <c r="AE11" s="30"/>
      <c r="AF11" s="30"/>
      <c r="AG11" t="s" s="159">
        <v>34</v>
      </c>
      <c r="AH11" s="30"/>
      <c r="AI11" t="s" s="83">
        <v>2207</v>
      </c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9" customHeight="1">
      <c r="A12" t="s" s="83">
        <v>2208</v>
      </c>
      <c r="B12" s="112">
        <v>1921</v>
      </c>
      <c r="C12" s="112">
        <v>1</v>
      </c>
      <c r="D12" t="s" s="83">
        <v>2206</v>
      </c>
      <c r="E12" t="s" s="157">
        <v>2209</v>
      </c>
      <c r="F12" s="16"/>
      <c r="G12" t="s" s="96">
        <v>2217</v>
      </c>
      <c r="H12" t="s" s="96">
        <v>605</v>
      </c>
      <c r="I12" s="79">
        <v>8</v>
      </c>
      <c r="J12" s="79">
        <v>1</v>
      </c>
      <c r="K12" s="16"/>
      <c r="L12" s="16"/>
      <c r="M12" s="16"/>
      <c r="N12" t="s" s="96">
        <v>72</v>
      </c>
      <c r="O12" s="79">
        <v>1</v>
      </c>
      <c r="P12" s="16"/>
      <c r="Q12" s="16"/>
      <c r="R12" s="16"/>
      <c r="S12" s="16"/>
      <c r="T12" s="79">
        <v>28</v>
      </c>
      <c r="U12" s="16"/>
      <c r="V12" s="16"/>
      <c r="W12" s="75"/>
      <c r="X12" s="29"/>
      <c r="Y12" s="74"/>
      <c r="Z12" s="16"/>
      <c r="AA12" t="s" s="96">
        <v>94</v>
      </c>
      <c r="AB12" t="s" s="158">
        <v>34</v>
      </c>
      <c r="AC12" s="29"/>
      <c r="AD12" s="29"/>
      <c r="AE12" s="30"/>
      <c r="AF12" s="30"/>
      <c r="AG12" t="s" s="159">
        <v>2220</v>
      </c>
      <c r="AH12" s="30"/>
      <c r="AI12" t="s" s="83">
        <v>2207</v>
      </c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9" customHeight="1">
      <c r="A13" t="s" s="83">
        <v>2208</v>
      </c>
      <c r="B13" s="112">
        <v>1921</v>
      </c>
      <c r="C13" s="30"/>
      <c r="D13" t="s" s="83">
        <v>2206</v>
      </c>
      <c r="E13" s="74"/>
      <c r="F13" s="16"/>
      <c r="G13" s="16"/>
      <c r="H13" s="79">
        <v>10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75"/>
      <c r="X13" s="29"/>
      <c r="Y13" s="74"/>
      <c r="Z13" s="16"/>
      <c r="AA13" s="16"/>
      <c r="AB13" s="75"/>
      <c r="AC13" s="29"/>
      <c r="AD13" s="29"/>
      <c r="AE13" s="30"/>
      <c r="AF13" s="30"/>
      <c r="AG13" s="122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9" customHeight="1">
      <c r="A14" t="s" s="83">
        <v>2208</v>
      </c>
      <c r="B14" s="112">
        <v>1921</v>
      </c>
      <c r="C14" s="30"/>
      <c r="D14" t="s" s="83">
        <v>2206</v>
      </c>
      <c r="E14" s="74"/>
      <c r="F14" s="16"/>
      <c r="G14" t="s" s="96">
        <v>1</v>
      </c>
      <c r="H14" t="s" s="96">
        <v>0</v>
      </c>
      <c r="I14" s="16"/>
      <c r="J14" t="s" s="96">
        <v>3</v>
      </c>
      <c r="K14" s="16"/>
      <c r="L14" s="16"/>
      <c r="M14" s="16"/>
      <c r="N14" t="s" s="96">
        <v>2</v>
      </c>
      <c r="O14" s="16"/>
      <c r="P14" s="16"/>
      <c r="Q14" s="16"/>
      <c r="R14" s="16"/>
      <c r="S14" s="16"/>
      <c r="T14" t="s" s="96">
        <v>5</v>
      </c>
      <c r="U14" s="16"/>
      <c r="V14" s="16"/>
      <c r="W14" s="75"/>
      <c r="X14" s="29"/>
      <c r="Y14" s="74"/>
      <c r="Z14" s="16"/>
      <c r="AA14" t="s" s="96">
        <v>7</v>
      </c>
      <c r="AB14" t="s" s="158">
        <v>8</v>
      </c>
      <c r="AC14" s="29"/>
      <c r="AD14" s="29"/>
      <c r="AE14" s="30"/>
      <c r="AF14" s="30"/>
      <c r="AG14" t="s" s="159">
        <v>6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9" customHeight="1">
      <c r="A15" t="s" s="83">
        <v>2208</v>
      </c>
      <c r="B15" s="112">
        <v>1921</v>
      </c>
      <c r="C15" s="112">
        <v>2</v>
      </c>
      <c r="D15" t="s" s="83">
        <v>2206</v>
      </c>
      <c r="E15" s="74"/>
      <c r="F15" s="79">
        <v>5</v>
      </c>
      <c r="G15" t="s" s="96">
        <v>2221</v>
      </c>
      <c r="H15" t="s" s="96">
        <v>153</v>
      </c>
      <c r="I15" s="79">
        <v>9</v>
      </c>
      <c r="J15" s="16"/>
      <c r="K15" s="79">
        <v>1</v>
      </c>
      <c r="L15" s="16"/>
      <c r="M15" s="16"/>
      <c r="N15" s="79">
        <v>1</v>
      </c>
      <c r="O15" s="16"/>
      <c r="P15" s="16"/>
      <c r="Q15" s="16"/>
      <c r="R15" s="16"/>
      <c r="S15" s="16"/>
      <c r="T15" s="79">
        <v>57</v>
      </c>
      <c r="U15" s="16"/>
      <c r="V15" s="16"/>
      <c r="W15" s="75"/>
      <c r="X15" s="29"/>
      <c r="Y15" s="74"/>
      <c r="Z15" s="16"/>
      <c r="AA15" t="s" s="96">
        <v>2222</v>
      </c>
      <c r="AB15" t="s" s="158">
        <v>8</v>
      </c>
      <c r="AC15" s="114">
        <v>1</v>
      </c>
      <c r="AD15" s="114">
        <v>1</v>
      </c>
      <c r="AE15" s="30"/>
      <c r="AF15" s="112">
        <v>1</v>
      </c>
      <c r="AG15" t="s" s="159">
        <v>54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9" customHeight="1">
      <c r="A16" t="s" s="83">
        <v>2208</v>
      </c>
      <c r="B16" s="112">
        <v>1921</v>
      </c>
      <c r="C16" s="112">
        <v>2</v>
      </c>
      <c r="D16" t="s" s="83">
        <v>2206</v>
      </c>
      <c r="E16" s="74"/>
      <c r="F16" s="79">
        <v>5</v>
      </c>
      <c r="G16" t="s" s="96">
        <v>2221</v>
      </c>
      <c r="H16" t="s" s="96">
        <v>2006</v>
      </c>
      <c r="I16" s="79">
        <v>10</v>
      </c>
      <c r="J16" s="16"/>
      <c r="K16" s="79">
        <v>1</v>
      </c>
      <c r="L16" s="16"/>
      <c r="M16" s="16"/>
      <c r="N16" t="s" s="96">
        <v>228</v>
      </c>
      <c r="O16" s="16"/>
      <c r="P16" s="16"/>
      <c r="Q16" s="16"/>
      <c r="R16" s="79">
        <v>1</v>
      </c>
      <c r="S16" s="16"/>
      <c r="T16" s="79">
        <v>66</v>
      </c>
      <c r="U16" s="16"/>
      <c r="V16" s="16"/>
      <c r="W16" s="75"/>
      <c r="X16" s="29"/>
      <c r="Y16" s="74"/>
      <c r="Z16" s="16"/>
      <c r="AA16" t="s" s="96">
        <v>2222</v>
      </c>
      <c r="AB16" t="s" s="158">
        <v>603</v>
      </c>
      <c r="AC16" s="114">
        <v>1</v>
      </c>
      <c r="AD16" s="29"/>
      <c r="AE16" s="30"/>
      <c r="AF16" s="112">
        <v>1</v>
      </c>
      <c r="AG16" t="s" s="159">
        <v>54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9" customHeight="1">
      <c r="A17" t="s" s="83">
        <v>2208</v>
      </c>
      <c r="B17" s="112">
        <v>1921</v>
      </c>
      <c r="C17" s="112">
        <v>2</v>
      </c>
      <c r="D17" t="s" s="83">
        <v>2206</v>
      </c>
      <c r="E17" s="74"/>
      <c r="F17" s="79">
        <v>5</v>
      </c>
      <c r="G17" t="s" s="96">
        <v>2221</v>
      </c>
      <c r="H17" t="s" s="96">
        <v>706</v>
      </c>
      <c r="I17" s="79">
        <v>11</v>
      </c>
      <c r="J17" s="16"/>
      <c r="K17" s="79">
        <v>1</v>
      </c>
      <c r="L17" s="16"/>
      <c r="M17" s="16"/>
      <c r="N17" t="s" s="96">
        <v>228</v>
      </c>
      <c r="O17" s="16"/>
      <c r="P17" s="16"/>
      <c r="Q17" s="16"/>
      <c r="R17" s="79">
        <v>1</v>
      </c>
      <c r="S17" s="16"/>
      <c r="T17" s="79">
        <v>47</v>
      </c>
      <c r="U17" s="16"/>
      <c r="V17" s="16"/>
      <c r="W17" s="75"/>
      <c r="X17" s="29"/>
      <c r="Y17" s="74"/>
      <c r="Z17" s="16"/>
      <c r="AA17" t="s" s="96">
        <v>2222</v>
      </c>
      <c r="AB17" t="s" s="158">
        <v>603</v>
      </c>
      <c r="AC17" s="114">
        <v>1</v>
      </c>
      <c r="AD17" s="29"/>
      <c r="AE17" s="30"/>
      <c r="AF17" s="112">
        <v>1</v>
      </c>
      <c r="AG17" t="s" s="159">
        <v>54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9" customHeight="1">
      <c r="A18" t="s" s="83">
        <v>2208</v>
      </c>
      <c r="B18" s="112">
        <v>1921</v>
      </c>
      <c r="C18" s="112">
        <v>2</v>
      </c>
      <c r="D18" t="s" s="83">
        <v>2206</v>
      </c>
      <c r="E18" s="74"/>
      <c r="F18" s="79">
        <v>5</v>
      </c>
      <c r="G18" t="s" s="96">
        <v>2223</v>
      </c>
      <c r="H18" t="s" s="96">
        <v>193</v>
      </c>
      <c r="I18" s="79">
        <v>12</v>
      </c>
      <c r="J18" s="16"/>
      <c r="K18" s="79">
        <v>1</v>
      </c>
      <c r="L18" s="16"/>
      <c r="M18" s="16"/>
      <c r="N18" t="s" s="96">
        <v>228</v>
      </c>
      <c r="O18" s="16"/>
      <c r="P18" s="16"/>
      <c r="Q18" s="16"/>
      <c r="R18" s="79">
        <v>1</v>
      </c>
      <c r="S18" s="16"/>
      <c r="T18" s="79">
        <v>47</v>
      </c>
      <c r="U18" s="16"/>
      <c r="V18" s="16"/>
      <c r="W18" s="75"/>
      <c r="X18" s="29"/>
      <c r="Y18" s="74"/>
      <c r="Z18" s="16"/>
      <c r="AA18" t="s" s="96">
        <v>2224</v>
      </c>
      <c r="AB18" t="s" s="158">
        <v>15</v>
      </c>
      <c r="AC18" s="114">
        <v>1</v>
      </c>
      <c r="AD18" s="29"/>
      <c r="AE18" s="30"/>
      <c r="AF18" s="30"/>
      <c r="AG18" t="s" s="159">
        <v>630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9" customHeight="1">
      <c r="A19" t="s" s="83">
        <v>2208</v>
      </c>
      <c r="B19" s="112">
        <v>1921</v>
      </c>
      <c r="C19" s="112">
        <v>2</v>
      </c>
      <c r="D19" t="s" s="83">
        <v>2206</v>
      </c>
      <c r="E19" s="74"/>
      <c r="F19" s="79">
        <v>5</v>
      </c>
      <c r="G19" t="s" s="96">
        <v>2223</v>
      </c>
      <c r="H19" t="s" s="96">
        <v>369</v>
      </c>
      <c r="I19" s="79">
        <v>13</v>
      </c>
      <c r="J19" s="79">
        <v>1</v>
      </c>
      <c r="K19" s="16"/>
      <c r="L19" s="16"/>
      <c r="M19" s="16"/>
      <c r="N19" t="s" s="96">
        <v>163</v>
      </c>
      <c r="O19" s="16"/>
      <c r="P19" s="16"/>
      <c r="Q19" s="16"/>
      <c r="R19" s="16"/>
      <c r="S19" s="79">
        <v>1</v>
      </c>
      <c r="T19" s="79">
        <v>48</v>
      </c>
      <c r="U19" s="16"/>
      <c r="V19" s="16"/>
      <c r="W19" s="75"/>
      <c r="X19" s="29"/>
      <c r="Y19" s="74"/>
      <c r="Z19" s="16"/>
      <c r="AA19" t="s" s="96">
        <v>175</v>
      </c>
      <c r="AB19" t="s" s="158">
        <v>15</v>
      </c>
      <c r="AC19" s="114">
        <v>1</v>
      </c>
      <c r="AD19" s="29"/>
      <c r="AE19" s="30"/>
      <c r="AF19" s="30"/>
      <c r="AG19" t="s" s="159">
        <v>630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9" customHeight="1">
      <c r="A20" t="s" s="83">
        <v>2208</v>
      </c>
      <c r="B20" s="112">
        <v>1921</v>
      </c>
      <c r="C20" s="112">
        <v>2</v>
      </c>
      <c r="D20" t="s" s="83">
        <v>2206</v>
      </c>
      <c r="E20" s="74"/>
      <c r="F20" s="79">
        <v>5</v>
      </c>
      <c r="G20" t="s" s="96">
        <v>510</v>
      </c>
      <c r="H20" t="s" s="96">
        <v>109</v>
      </c>
      <c r="I20" s="79">
        <v>14</v>
      </c>
      <c r="J20" s="79">
        <v>1</v>
      </c>
      <c r="K20" s="16"/>
      <c r="L20" s="16"/>
      <c r="M20" s="16"/>
      <c r="N20" t="s" s="96">
        <v>55</v>
      </c>
      <c r="O20" s="16"/>
      <c r="P20" s="16"/>
      <c r="Q20" s="16"/>
      <c r="R20" s="16"/>
      <c r="S20" s="79">
        <v>1</v>
      </c>
      <c r="T20" s="79">
        <v>24</v>
      </c>
      <c r="U20" s="16"/>
      <c r="V20" s="16"/>
      <c r="W20" s="75"/>
      <c r="X20" s="29"/>
      <c r="Y20" s="74"/>
      <c r="Z20" s="16"/>
      <c r="AA20" t="s" s="96">
        <v>55</v>
      </c>
      <c r="AB20" t="s" s="158">
        <v>15</v>
      </c>
      <c r="AC20" s="114">
        <v>1</v>
      </c>
      <c r="AD20" s="29"/>
      <c r="AE20" s="30"/>
      <c r="AF20" s="30"/>
      <c r="AG20" t="s" s="159">
        <v>630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9" customHeight="1">
      <c r="A21" t="s" s="83">
        <v>2208</v>
      </c>
      <c r="B21" s="112">
        <v>1921</v>
      </c>
      <c r="C21" s="30"/>
      <c r="D21" t="s" s="83">
        <v>2206</v>
      </c>
      <c r="E21" s="74"/>
      <c r="F21" s="16"/>
      <c r="G21" s="16"/>
      <c r="H21" s="79">
        <v>6</v>
      </c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75"/>
      <c r="X21" s="29"/>
      <c r="Y21" s="74"/>
      <c r="Z21" s="16"/>
      <c r="AA21" s="16"/>
      <c r="AB21" s="75"/>
      <c r="AC21" s="29"/>
      <c r="AD21" s="29"/>
      <c r="AE21" s="30"/>
      <c r="AF21" s="30"/>
      <c r="AG21" s="122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9" customHeight="1">
      <c r="A22" t="s" s="83">
        <v>2208</v>
      </c>
      <c r="B22" s="112">
        <v>1921</v>
      </c>
      <c r="C22" s="30"/>
      <c r="D22" t="s" s="83">
        <v>2206</v>
      </c>
      <c r="E22" s="192"/>
      <c r="F22" s="3"/>
      <c r="G22" t="s" s="2">
        <v>1</v>
      </c>
      <c r="H22" t="s" s="2">
        <v>0</v>
      </c>
      <c r="I22" s="3"/>
      <c r="J22" t="s" s="2">
        <v>3</v>
      </c>
      <c r="K22" s="3"/>
      <c r="L22" s="3"/>
      <c r="M22" s="3"/>
      <c r="N22" t="s" s="2">
        <v>2</v>
      </c>
      <c r="O22" s="3"/>
      <c r="P22" s="3"/>
      <c r="Q22" s="3"/>
      <c r="R22" s="3"/>
      <c r="S22" s="3"/>
      <c r="T22" t="s" s="2">
        <v>5</v>
      </c>
      <c r="U22" s="3"/>
      <c r="V22" s="3"/>
      <c r="W22" s="193"/>
      <c r="X22" s="29"/>
      <c r="Y22" s="192"/>
      <c r="Z22" s="3"/>
      <c r="AA22" t="s" s="2">
        <v>7</v>
      </c>
      <c r="AB22" t="s" s="384">
        <v>8</v>
      </c>
      <c r="AC22" s="29"/>
      <c r="AD22" s="29"/>
      <c r="AE22" s="30"/>
      <c r="AF22" s="30"/>
      <c r="AG22" t="s" s="330">
        <v>6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192"/>
      <c r="BA22" s="3"/>
      <c r="BB22" s="3"/>
      <c r="BC22" s="3"/>
    </row>
    <row r="23" ht="19" customHeight="1">
      <c r="A23" t="s" s="83">
        <v>2208</v>
      </c>
      <c r="B23" s="112">
        <v>1921</v>
      </c>
      <c r="C23" s="331">
        <v>3</v>
      </c>
      <c r="D23" t="s" s="83">
        <v>2206</v>
      </c>
      <c r="E23" s="195"/>
      <c r="F23" s="6">
        <v>6</v>
      </c>
      <c r="G23" t="s" s="5">
        <v>2225</v>
      </c>
      <c r="H23" t="s" s="5">
        <v>95</v>
      </c>
      <c r="I23" s="6">
        <v>15</v>
      </c>
      <c r="J23" s="6">
        <v>1</v>
      </c>
      <c r="K23" s="13"/>
      <c r="L23" s="13"/>
      <c r="M23" s="13"/>
      <c r="N23" s="6">
        <v>1</v>
      </c>
      <c r="O23" s="13"/>
      <c r="P23" s="13"/>
      <c r="Q23" s="13"/>
      <c r="R23" s="13"/>
      <c r="S23" s="13"/>
      <c r="T23" s="6">
        <v>79</v>
      </c>
      <c r="U23" s="13"/>
      <c r="V23" s="13"/>
      <c r="W23" s="196"/>
      <c r="X23" s="332"/>
      <c r="Y23" s="195"/>
      <c r="Z23" s="13"/>
      <c r="AA23" t="s" s="5">
        <v>94</v>
      </c>
      <c r="AB23" t="s" s="315">
        <v>34</v>
      </c>
      <c r="AC23" s="332"/>
      <c r="AD23" s="332"/>
      <c r="AE23" s="30"/>
      <c r="AF23" s="30"/>
      <c r="AG23" t="s" s="314">
        <v>2226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195"/>
      <c r="BA23" s="13"/>
      <c r="BB23" s="13"/>
      <c r="BC23" s="10"/>
    </row>
    <row r="24" ht="19" customHeight="1">
      <c r="A24" t="s" s="83">
        <v>2208</v>
      </c>
      <c r="B24" s="112">
        <v>1921</v>
      </c>
      <c r="C24" s="112">
        <v>3</v>
      </c>
      <c r="D24" t="s" s="83">
        <v>2206</v>
      </c>
      <c r="E24" s="200"/>
      <c r="F24" s="264">
        <v>6</v>
      </c>
      <c r="G24" t="s" s="285">
        <v>2225</v>
      </c>
      <c r="H24" t="s" s="285">
        <v>214</v>
      </c>
      <c r="I24" s="264">
        <v>16</v>
      </c>
      <c r="J24" t="s" s="285">
        <v>37</v>
      </c>
      <c r="K24" s="264">
        <v>1</v>
      </c>
      <c r="L24" s="14"/>
      <c r="M24" s="14"/>
      <c r="N24" t="s" s="285">
        <v>228</v>
      </c>
      <c r="O24" s="14"/>
      <c r="P24" s="14"/>
      <c r="Q24" s="14"/>
      <c r="R24" s="264">
        <v>1</v>
      </c>
      <c r="S24" s="14"/>
      <c r="T24" s="264">
        <v>71</v>
      </c>
      <c r="U24" s="14"/>
      <c r="V24" s="14"/>
      <c r="W24" s="201"/>
      <c r="X24" s="29"/>
      <c r="Y24" s="200"/>
      <c r="Z24" s="14"/>
      <c r="AA24" t="s" s="285">
        <v>2227</v>
      </c>
      <c r="AB24" t="s" s="318">
        <v>2228</v>
      </c>
      <c r="AC24" s="114">
        <v>1</v>
      </c>
      <c r="AD24" s="29"/>
      <c r="AE24" s="30"/>
      <c r="AF24" s="30"/>
      <c r="AG24" t="s" s="317">
        <v>2226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200"/>
      <c r="BA24" s="14"/>
      <c r="BB24" s="14"/>
      <c r="BC24" s="14"/>
    </row>
    <row r="25" ht="19" customHeight="1">
      <c r="A25" t="s" s="83">
        <v>2208</v>
      </c>
      <c r="B25" s="112">
        <v>1921</v>
      </c>
      <c r="C25" s="112">
        <v>3</v>
      </c>
      <c r="D25" t="s" s="83">
        <v>2206</v>
      </c>
      <c r="E25" s="74"/>
      <c r="F25" s="79">
        <v>6</v>
      </c>
      <c r="G25" t="s" s="96">
        <v>2229</v>
      </c>
      <c r="H25" t="s" s="96">
        <v>123</v>
      </c>
      <c r="I25" s="79">
        <v>17</v>
      </c>
      <c r="J25" s="79">
        <v>1</v>
      </c>
      <c r="K25" s="16"/>
      <c r="L25" s="16"/>
      <c r="M25" s="16"/>
      <c r="N25" t="s" s="96">
        <v>1575</v>
      </c>
      <c r="O25" s="16"/>
      <c r="P25" s="16"/>
      <c r="Q25" s="16"/>
      <c r="R25" s="79">
        <v>1</v>
      </c>
      <c r="S25" s="16"/>
      <c r="T25" s="79">
        <v>78</v>
      </c>
      <c r="U25" s="16"/>
      <c r="V25" s="16"/>
      <c r="W25" s="75"/>
      <c r="X25" s="29"/>
      <c r="Y25" s="74"/>
      <c r="Z25" s="16"/>
      <c r="AA25" t="s" s="96">
        <v>94</v>
      </c>
      <c r="AB25" t="s" s="158">
        <v>34</v>
      </c>
      <c r="AC25" s="29"/>
      <c r="AD25" s="29"/>
      <c r="AE25" s="30"/>
      <c r="AF25" s="30"/>
      <c r="AG25" t="s" s="159">
        <v>1520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9" customHeight="1">
      <c r="A26" t="s" s="83">
        <v>2208</v>
      </c>
      <c r="B26" s="112">
        <v>1921</v>
      </c>
      <c r="C26" s="112">
        <v>3</v>
      </c>
      <c r="D26" t="s" s="83">
        <v>2206</v>
      </c>
      <c r="E26" s="74"/>
      <c r="F26" s="79">
        <v>6</v>
      </c>
      <c r="G26" t="s" s="96">
        <v>1811</v>
      </c>
      <c r="H26" t="s" s="96">
        <v>2230</v>
      </c>
      <c r="I26" s="79">
        <v>18</v>
      </c>
      <c r="J26" s="79">
        <v>1</v>
      </c>
      <c r="K26" s="16"/>
      <c r="L26" s="16"/>
      <c r="M26" s="16"/>
      <c r="N26" t="s" s="96">
        <v>11</v>
      </c>
      <c r="O26" s="16"/>
      <c r="P26" s="16"/>
      <c r="Q26" s="16"/>
      <c r="R26" s="16"/>
      <c r="S26" s="79">
        <v>1</v>
      </c>
      <c r="T26" s="79">
        <v>49</v>
      </c>
      <c r="U26" s="16"/>
      <c r="V26" s="16"/>
      <c r="W26" s="75"/>
      <c r="X26" s="29"/>
      <c r="Y26" s="74"/>
      <c r="Z26" s="16"/>
      <c r="AA26" t="s" s="96">
        <v>45</v>
      </c>
      <c r="AB26" t="s" s="158">
        <v>15</v>
      </c>
      <c r="AC26" s="114">
        <v>1</v>
      </c>
      <c r="AD26" s="29"/>
      <c r="AE26" s="30"/>
      <c r="AF26" s="30"/>
      <c r="AG26" t="s" s="159">
        <v>2231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9" customHeight="1">
      <c r="A27" t="s" s="83">
        <v>2208</v>
      </c>
      <c r="B27" s="112">
        <v>1921</v>
      </c>
      <c r="C27" s="112">
        <v>3</v>
      </c>
      <c r="D27" t="s" s="83">
        <v>2206</v>
      </c>
      <c r="E27" s="74"/>
      <c r="F27" s="79">
        <v>6</v>
      </c>
      <c r="G27" t="s" s="96">
        <v>2232</v>
      </c>
      <c r="H27" t="s" s="96">
        <v>2233</v>
      </c>
      <c r="I27" s="79">
        <v>19</v>
      </c>
      <c r="J27" s="79">
        <v>1</v>
      </c>
      <c r="K27" s="16"/>
      <c r="L27" s="16"/>
      <c r="M27" s="16"/>
      <c r="N27" t="s" s="96">
        <v>11</v>
      </c>
      <c r="O27" s="16"/>
      <c r="P27" s="16"/>
      <c r="Q27" s="16"/>
      <c r="R27" s="16"/>
      <c r="S27" s="79">
        <v>1</v>
      </c>
      <c r="T27" s="79">
        <v>25</v>
      </c>
      <c r="U27" s="16"/>
      <c r="V27" s="16"/>
      <c r="W27" s="75"/>
      <c r="X27" s="29"/>
      <c r="Y27" s="74"/>
      <c r="Z27" s="16"/>
      <c r="AA27" t="s" s="96">
        <v>55</v>
      </c>
      <c r="AB27" t="s" s="158">
        <v>15</v>
      </c>
      <c r="AC27" s="114">
        <v>1</v>
      </c>
      <c r="AD27" s="29"/>
      <c r="AE27" s="30"/>
      <c r="AF27" s="30"/>
      <c r="AG27" t="s" s="159">
        <v>1659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9" customHeight="1">
      <c r="A28" t="s" s="83">
        <v>2208</v>
      </c>
      <c r="B28" s="112">
        <v>1921</v>
      </c>
      <c r="C28" s="30"/>
      <c r="D28" t="s" s="83">
        <v>2206</v>
      </c>
      <c r="E28" s="74"/>
      <c r="F28" s="16"/>
      <c r="G28" s="16"/>
      <c r="H28" s="79">
        <v>5</v>
      </c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75"/>
      <c r="X28" s="29"/>
      <c r="Y28" s="74"/>
      <c r="Z28" s="16"/>
      <c r="AA28" s="16"/>
      <c r="AB28" s="75"/>
      <c r="AC28" s="29"/>
      <c r="AD28" s="29"/>
      <c r="AE28" s="30"/>
      <c r="AF28" s="30"/>
      <c r="AG28" s="122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9" customHeight="1">
      <c r="A29" t="s" s="83">
        <v>2208</v>
      </c>
      <c r="B29" s="112">
        <v>1921</v>
      </c>
      <c r="C29" s="30"/>
      <c r="D29" t="s" s="83">
        <v>2206</v>
      </c>
      <c r="E29" s="74"/>
      <c r="F29" s="16"/>
      <c r="G29" t="s" s="96">
        <v>1</v>
      </c>
      <c r="H29" t="s" s="96">
        <v>0</v>
      </c>
      <c r="I29" s="16"/>
      <c r="J29" t="s" s="96">
        <v>3</v>
      </c>
      <c r="K29" s="16"/>
      <c r="L29" s="16"/>
      <c r="M29" s="16"/>
      <c r="N29" t="s" s="96">
        <v>2</v>
      </c>
      <c r="O29" s="16"/>
      <c r="P29" s="16"/>
      <c r="Q29" s="16"/>
      <c r="R29" s="16"/>
      <c r="S29" s="16"/>
      <c r="T29" t="s" s="96">
        <v>5</v>
      </c>
      <c r="U29" s="16"/>
      <c r="V29" s="16"/>
      <c r="W29" s="75"/>
      <c r="X29" s="29"/>
      <c r="Y29" s="74"/>
      <c r="Z29" s="16"/>
      <c r="AA29" t="s" s="96">
        <v>7</v>
      </c>
      <c r="AB29" t="s" s="158">
        <v>8</v>
      </c>
      <c r="AC29" s="29"/>
      <c r="AD29" s="29"/>
      <c r="AE29" s="30"/>
      <c r="AF29" s="30"/>
      <c r="AG29" t="s" s="159">
        <v>6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9" customHeight="1">
      <c r="A30" t="s" s="83">
        <v>2208</v>
      </c>
      <c r="B30" s="112">
        <v>1921</v>
      </c>
      <c r="C30" s="112">
        <v>4</v>
      </c>
      <c r="D30" t="s" s="83">
        <v>2206</v>
      </c>
      <c r="E30" s="74"/>
      <c r="F30" s="79">
        <v>7</v>
      </c>
      <c r="G30" t="s" s="96">
        <v>2234</v>
      </c>
      <c r="H30" t="s" s="96">
        <v>1202</v>
      </c>
      <c r="I30" s="79">
        <v>20</v>
      </c>
      <c r="J30" t="s" s="96">
        <v>37</v>
      </c>
      <c r="K30" s="79">
        <v>1</v>
      </c>
      <c r="L30" s="16"/>
      <c r="M30" s="16"/>
      <c r="N30" s="79">
        <v>1</v>
      </c>
      <c r="O30" s="16"/>
      <c r="P30" s="16"/>
      <c r="Q30" s="16"/>
      <c r="R30" s="16"/>
      <c r="S30" s="16"/>
      <c r="T30" s="79">
        <v>58</v>
      </c>
      <c r="U30" s="16"/>
      <c r="V30" s="16"/>
      <c r="W30" s="75"/>
      <c r="X30" s="29"/>
      <c r="Y30" s="74"/>
      <c r="Z30" s="16"/>
      <c r="AA30" t="s" s="96">
        <v>2235</v>
      </c>
      <c r="AB30" t="s" s="158">
        <v>8</v>
      </c>
      <c r="AC30" s="114">
        <v>1</v>
      </c>
      <c r="AD30" s="114">
        <v>1</v>
      </c>
      <c r="AE30" s="30"/>
      <c r="AF30" s="112">
        <v>1</v>
      </c>
      <c r="AG30" t="s" s="159">
        <v>13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9" customHeight="1">
      <c r="A31" t="s" s="83">
        <v>2208</v>
      </c>
      <c r="B31" s="112">
        <v>1921</v>
      </c>
      <c r="C31" s="112">
        <v>4</v>
      </c>
      <c r="D31" t="s" s="83">
        <v>2206</v>
      </c>
      <c r="E31" s="74"/>
      <c r="F31" s="79">
        <v>7</v>
      </c>
      <c r="G31" t="s" s="96">
        <v>2234</v>
      </c>
      <c r="H31" t="s" s="96">
        <v>2236</v>
      </c>
      <c r="I31" s="79">
        <v>21</v>
      </c>
      <c r="J31" s="79">
        <v>1</v>
      </c>
      <c r="K31" s="16"/>
      <c r="L31" s="16"/>
      <c r="M31" s="16"/>
      <c r="N31" t="s" s="96">
        <v>72</v>
      </c>
      <c r="O31" s="79">
        <v>1</v>
      </c>
      <c r="P31" s="16"/>
      <c r="Q31" s="16"/>
      <c r="R31" s="16"/>
      <c r="S31" s="16"/>
      <c r="T31" s="79">
        <v>62</v>
      </c>
      <c r="U31" s="16"/>
      <c r="V31" s="16"/>
      <c r="W31" s="75"/>
      <c r="X31" s="29"/>
      <c r="Y31" s="74"/>
      <c r="Z31" s="16"/>
      <c r="AA31" t="s" s="96">
        <v>33</v>
      </c>
      <c r="AB31" t="s" s="158">
        <v>34</v>
      </c>
      <c r="AC31" s="29"/>
      <c r="AD31" s="29"/>
      <c r="AE31" s="30"/>
      <c r="AF31" s="112">
        <v>1</v>
      </c>
      <c r="AG31" t="s" s="159">
        <v>13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9" customHeight="1">
      <c r="A32" t="s" s="83">
        <v>2208</v>
      </c>
      <c r="B32" s="112">
        <v>1921</v>
      </c>
      <c r="C32" s="112">
        <v>4</v>
      </c>
      <c r="D32" t="s" s="83">
        <v>2206</v>
      </c>
      <c r="E32" s="74"/>
      <c r="F32" s="79">
        <v>7</v>
      </c>
      <c r="G32" t="s" s="96">
        <v>2237</v>
      </c>
      <c r="H32" t="s" s="96">
        <v>2238</v>
      </c>
      <c r="I32" s="79">
        <v>22</v>
      </c>
      <c r="J32" s="79">
        <v>1</v>
      </c>
      <c r="K32" s="16"/>
      <c r="L32" s="16"/>
      <c r="M32" s="16"/>
      <c r="N32" t="s" s="96">
        <v>11</v>
      </c>
      <c r="O32" s="16"/>
      <c r="P32" s="16"/>
      <c r="Q32" s="16"/>
      <c r="R32" s="16"/>
      <c r="S32" s="79">
        <v>1</v>
      </c>
      <c r="T32" s="79">
        <v>49</v>
      </c>
      <c r="U32" s="16"/>
      <c r="V32" s="16"/>
      <c r="W32" s="75"/>
      <c r="X32" s="29"/>
      <c r="Y32" s="74"/>
      <c r="Z32" s="16"/>
      <c r="AA32" t="s" s="96">
        <v>188</v>
      </c>
      <c r="AB32" t="s" s="158">
        <v>15</v>
      </c>
      <c r="AC32" s="114">
        <v>1</v>
      </c>
      <c r="AD32" s="29"/>
      <c r="AE32" s="30"/>
      <c r="AF32" s="30"/>
      <c r="AG32" t="s" s="159">
        <v>134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9" customHeight="1">
      <c r="A33" t="s" s="83">
        <v>2208</v>
      </c>
      <c r="B33" s="112">
        <v>1921</v>
      </c>
      <c r="C33" s="30"/>
      <c r="D33" t="s" s="83">
        <v>2206</v>
      </c>
      <c r="E33" s="74"/>
      <c r="F33" s="16"/>
      <c r="G33" s="16"/>
      <c r="H33" s="79">
        <v>3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75"/>
      <c r="X33" s="29"/>
      <c r="Y33" s="74"/>
      <c r="Z33" s="16"/>
      <c r="AA33" s="16"/>
      <c r="AB33" s="75"/>
      <c r="AC33" s="29"/>
      <c r="AD33" s="29"/>
      <c r="AE33" s="30"/>
      <c r="AF33" s="30"/>
      <c r="AG33" s="122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9" customHeight="1">
      <c r="A34" t="s" s="83">
        <v>2208</v>
      </c>
      <c r="B34" s="112">
        <v>1921</v>
      </c>
      <c r="C34" s="30"/>
      <c r="D34" t="s" s="83">
        <v>2206</v>
      </c>
      <c r="E34" s="74"/>
      <c r="F34" s="16"/>
      <c r="G34" t="s" s="96">
        <v>1</v>
      </c>
      <c r="H34" t="s" s="96">
        <v>0</v>
      </c>
      <c r="I34" s="16"/>
      <c r="J34" t="s" s="96">
        <v>3</v>
      </c>
      <c r="K34" s="16"/>
      <c r="L34" s="16"/>
      <c r="M34" s="16"/>
      <c r="N34" t="s" s="96">
        <v>2</v>
      </c>
      <c r="O34" s="16"/>
      <c r="P34" s="16"/>
      <c r="Q34" s="16"/>
      <c r="R34" s="16"/>
      <c r="S34" s="16"/>
      <c r="T34" t="s" s="96">
        <v>5</v>
      </c>
      <c r="U34" s="16"/>
      <c r="V34" s="16"/>
      <c r="W34" s="75"/>
      <c r="X34" s="29"/>
      <c r="Y34" s="74"/>
      <c r="Z34" s="16"/>
      <c r="AA34" t="s" s="96">
        <v>7</v>
      </c>
      <c r="AB34" t="s" s="158">
        <v>8</v>
      </c>
      <c r="AC34" s="29"/>
      <c r="AD34" s="29"/>
      <c r="AE34" s="30"/>
      <c r="AF34" s="30"/>
      <c r="AG34" t="s" s="159">
        <v>6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9" customHeight="1">
      <c r="A35" t="s" s="83">
        <v>2208</v>
      </c>
      <c r="B35" s="112">
        <v>1921</v>
      </c>
      <c r="C35" s="112">
        <v>5</v>
      </c>
      <c r="D35" t="s" s="83">
        <v>2206</v>
      </c>
      <c r="E35" s="74"/>
      <c r="F35" s="79">
        <v>9</v>
      </c>
      <c r="G35" t="s" s="96">
        <v>243</v>
      </c>
      <c r="H35" t="s" s="96">
        <v>2239</v>
      </c>
      <c r="I35" s="79">
        <v>23</v>
      </c>
      <c r="J35" t="s" s="96">
        <v>37</v>
      </c>
      <c r="K35" s="79">
        <v>1</v>
      </c>
      <c r="L35" s="16"/>
      <c r="M35" s="16"/>
      <c r="N35" s="79">
        <v>1</v>
      </c>
      <c r="O35" s="16"/>
      <c r="P35" s="16"/>
      <c r="Q35" s="16"/>
      <c r="R35" s="16"/>
      <c r="S35" s="16"/>
      <c r="T35" s="79">
        <v>62</v>
      </c>
      <c r="U35" s="16"/>
      <c r="V35" s="16"/>
      <c r="W35" s="75"/>
      <c r="X35" s="29"/>
      <c r="Y35" s="74"/>
      <c r="Z35" s="16"/>
      <c r="AA35" t="s" s="96">
        <v>1866</v>
      </c>
      <c r="AB35" t="s" s="158">
        <v>2240</v>
      </c>
      <c r="AC35" s="114">
        <v>1</v>
      </c>
      <c r="AD35" s="29"/>
      <c r="AE35" s="30"/>
      <c r="AF35" s="112">
        <v>1</v>
      </c>
      <c r="AG35" t="s" s="159">
        <v>54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9" customHeight="1">
      <c r="A36" t="s" s="83">
        <v>2208</v>
      </c>
      <c r="B36" s="112">
        <v>1921</v>
      </c>
      <c r="C36" s="112">
        <v>5</v>
      </c>
      <c r="D36" t="s" s="83">
        <v>2206</v>
      </c>
      <c r="E36" s="74"/>
      <c r="F36" s="79">
        <v>9</v>
      </c>
      <c r="G36" t="s" s="96">
        <v>2241</v>
      </c>
      <c r="H36" t="s" s="96">
        <v>412</v>
      </c>
      <c r="I36" s="79">
        <v>24</v>
      </c>
      <c r="J36" s="79">
        <v>1</v>
      </c>
      <c r="K36" s="16"/>
      <c r="L36" s="16"/>
      <c r="M36" s="16"/>
      <c r="N36" t="s" s="96">
        <v>11</v>
      </c>
      <c r="O36" s="16"/>
      <c r="P36" s="16"/>
      <c r="Q36" s="16"/>
      <c r="R36" s="16"/>
      <c r="S36" s="79">
        <v>1</v>
      </c>
      <c r="T36" s="79">
        <v>49</v>
      </c>
      <c r="U36" s="16"/>
      <c r="V36" s="16"/>
      <c r="W36" s="75"/>
      <c r="X36" s="29"/>
      <c r="Y36" s="74"/>
      <c r="Z36" s="16"/>
      <c r="AA36" t="s" s="96">
        <v>2242</v>
      </c>
      <c r="AB36" t="s" s="158">
        <v>15</v>
      </c>
      <c r="AC36" s="114">
        <v>1</v>
      </c>
      <c r="AD36" s="29"/>
      <c r="AE36" s="30"/>
      <c r="AF36" s="112">
        <v>1</v>
      </c>
      <c r="AG36" t="s" s="159">
        <v>54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9" customHeight="1">
      <c r="A37" t="s" s="83">
        <v>2208</v>
      </c>
      <c r="B37" s="112">
        <v>1921</v>
      </c>
      <c r="C37" s="30"/>
      <c r="D37" t="s" s="83">
        <v>2206</v>
      </c>
      <c r="E37" s="74"/>
      <c r="F37" s="16"/>
      <c r="G37" s="16"/>
      <c r="H37" s="79">
        <v>2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75"/>
      <c r="X37" s="29"/>
      <c r="Y37" s="74"/>
      <c r="Z37" s="16"/>
      <c r="AA37" s="16"/>
      <c r="AB37" s="75"/>
      <c r="AC37" s="29"/>
      <c r="AD37" s="29"/>
      <c r="AE37" s="30"/>
      <c r="AF37" s="30"/>
      <c r="AG37" s="122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9" customHeight="1">
      <c r="A38" t="s" s="83">
        <v>2208</v>
      </c>
      <c r="B38" s="112">
        <v>1921</v>
      </c>
      <c r="C38" s="30"/>
      <c r="D38" t="s" s="83">
        <v>2206</v>
      </c>
      <c r="E38" s="74"/>
      <c r="F38" s="16"/>
      <c r="G38" t="s" s="96">
        <v>1</v>
      </c>
      <c r="H38" t="s" s="96">
        <v>0</v>
      </c>
      <c r="I38" s="16"/>
      <c r="J38" t="s" s="96">
        <v>3</v>
      </c>
      <c r="K38" s="16"/>
      <c r="L38" s="16"/>
      <c r="M38" s="16"/>
      <c r="N38" t="s" s="96">
        <v>2</v>
      </c>
      <c r="O38" s="16"/>
      <c r="P38" s="16"/>
      <c r="Q38" s="16"/>
      <c r="R38" s="16"/>
      <c r="S38" s="16"/>
      <c r="T38" t="s" s="96">
        <v>5</v>
      </c>
      <c r="U38" s="16"/>
      <c r="V38" s="16"/>
      <c r="W38" s="75"/>
      <c r="X38" s="29"/>
      <c r="Y38" s="74"/>
      <c r="Z38" s="16"/>
      <c r="AA38" t="s" s="96">
        <v>7</v>
      </c>
      <c r="AB38" t="s" s="158">
        <v>8</v>
      </c>
      <c r="AC38" s="29"/>
      <c r="AD38" s="29"/>
      <c r="AE38" s="30"/>
      <c r="AF38" s="30"/>
      <c r="AG38" t="s" s="159">
        <v>6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9" customHeight="1">
      <c r="A39" t="s" s="83">
        <v>2208</v>
      </c>
      <c r="B39" s="112">
        <v>1921</v>
      </c>
      <c r="C39" s="112">
        <v>6</v>
      </c>
      <c r="D39" t="s" s="83">
        <v>2206</v>
      </c>
      <c r="E39" s="74"/>
      <c r="F39" s="79">
        <v>21</v>
      </c>
      <c r="G39" t="s" s="96">
        <v>2243</v>
      </c>
      <c r="H39" t="s" s="96">
        <v>2244</v>
      </c>
      <c r="I39" s="79">
        <v>25</v>
      </c>
      <c r="J39" t="s" s="96">
        <v>37</v>
      </c>
      <c r="K39" s="79">
        <v>1</v>
      </c>
      <c r="L39" s="16"/>
      <c r="M39" s="16"/>
      <c r="N39" s="79">
        <v>1</v>
      </c>
      <c r="O39" s="16"/>
      <c r="P39" s="16"/>
      <c r="Q39" s="16"/>
      <c r="R39" s="16"/>
      <c r="S39" s="16"/>
      <c r="T39" s="79">
        <v>40</v>
      </c>
      <c r="U39" s="16"/>
      <c r="V39" s="16"/>
      <c r="W39" s="75"/>
      <c r="X39" s="29"/>
      <c r="Y39" s="74"/>
      <c r="Z39" s="16"/>
      <c r="AA39" t="s" s="96">
        <v>92</v>
      </c>
      <c r="AB39" t="s" s="158">
        <v>603</v>
      </c>
      <c r="AC39" s="114">
        <v>1</v>
      </c>
      <c r="AD39" s="29"/>
      <c r="AE39" s="30"/>
      <c r="AF39" s="112">
        <v>1</v>
      </c>
      <c r="AG39" t="s" s="159">
        <v>54</v>
      </c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9" customHeight="1">
      <c r="A40" t="s" s="83">
        <v>2208</v>
      </c>
      <c r="B40" s="112">
        <v>1921</v>
      </c>
      <c r="C40" s="112">
        <v>6</v>
      </c>
      <c r="D40" t="s" s="83">
        <v>2206</v>
      </c>
      <c r="E40" s="74"/>
      <c r="F40" s="79">
        <v>21</v>
      </c>
      <c r="G40" t="s" s="96">
        <v>2243</v>
      </c>
      <c r="H40" t="s" s="96">
        <v>2245</v>
      </c>
      <c r="I40" s="79">
        <v>26</v>
      </c>
      <c r="J40" s="79">
        <v>1</v>
      </c>
      <c r="K40" s="16"/>
      <c r="L40" s="16"/>
      <c r="M40" s="16"/>
      <c r="N40" t="s" s="96">
        <v>72</v>
      </c>
      <c r="O40" s="79">
        <v>1</v>
      </c>
      <c r="P40" s="16"/>
      <c r="Q40" s="16"/>
      <c r="R40" s="16"/>
      <c r="S40" s="16"/>
      <c r="T40" s="79">
        <v>37</v>
      </c>
      <c r="U40" s="16"/>
      <c r="V40" s="16"/>
      <c r="W40" s="75"/>
      <c r="X40" s="29"/>
      <c r="Y40" s="74"/>
      <c r="Z40" s="16"/>
      <c r="AA40" t="s" s="96">
        <v>33</v>
      </c>
      <c r="AB40" t="s" s="158">
        <v>34</v>
      </c>
      <c r="AC40" s="29"/>
      <c r="AD40" s="29"/>
      <c r="AE40" s="30"/>
      <c r="AF40" s="112">
        <v>1</v>
      </c>
      <c r="AG40" t="s" s="159">
        <v>54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9" customHeight="1">
      <c r="A41" t="s" s="83">
        <v>2208</v>
      </c>
      <c r="B41" s="112">
        <v>1921</v>
      </c>
      <c r="C41" s="112">
        <v>6</v>
      </c>
      <c r="D41" t="s" s="83">
        <v>2206</v>
      </c>
      <c r="E41" s="74"/>
      <c r="F41" s="79">
        <v>21</v>
      </c>
      <c r="G41" t="s" s="96">
        <v>2243</v>
      </c>
      <c r="H41" t="s" s="96">
        <v>2246</v>
      </c>
      <c r="I41" s="79">
        <v>27</v>
      </c>
      <c r="J41" t="s" s="96">
        <v>37</v>
      </c>
      <c r="K41" s="79">
        <v>1</v>
      </c>
      <c r="L41" s="16"/>
      <c r="M41" s="16"/>
      <c r="N41" t="s" s="96">
        <v>36</v>
      </c>
      <c r="O41" s="16"/>
      <c r="P41" s="16"/>
      <c r="Q41" s="79">
        <v>1</v>
      </c>
      <c r="R41" s="16"/>
      <c r="S41" s="16"/>
      <c r="T41" s="79">
        <v>12</v>
      </c>
      <c r="U41" s="16"/>
      <c r="V41" s="16"/>
      <c r="W41" s="75"/>
      <c r="X41" s="29"/>
      <c r="Y41" s="74"/>
      <c r="Z41" s="16"/>
      <c r="AA41" t="s" s="96">
        <v>34</v>
      </c>
      <c r="AB41" t="s" s="158">
        <v>34</v>
      </c>
      <c r="AC41" s="29"/>
      <c r="AD41" s="29"/>
      <c r="AE41" s="30"/>
      <c r="AF41" s="112">
        <v>1</v>
      </c>
      <c r="AG41" t="s" s="159">
        <v>54</v>
      </c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9" customHeight="1">
      <c r="A42" t="s" s="83">
        <v>2208</v>
      </c>
      <c r="B42" s="112">
        <v>1921</v>
      </c>
      <c r="C42" s="112">
        <v>6</v>
      </c>
      <c r="D42" t="s" s="83">
        <v>2206</v>
      </c>
      <c r="E42" s="74"/>
      <c r="F42" s="79">
        <v>21</v>
      </c>
      <c r="G42" t="s" s="96">
        <v>2243</v>
      </c>
      <c r="H42" t="s" s="96">
        <v>2247</v>
      </c>
      <c r="I42" s="79">
        <v>28</v>
      </c>
      <c r="J42" t="s" s="96">
        <v>37</v>
      </c>
      <c r="K42" s="79">
        <v>1</v>
      </c>
      <c r="L42" s="16"/>
      <c r="M42" s="16"/>
      <c r="N42" t="s" s="96">
        <v>36</v>
      </c>
      <c r="O42" s="16"/>
      <c r="P42" s="16"/>
      <c r="Q42" s="79">
        <v>1</v>
      </c>
      <c r="R42" s="16"/>
      <c r="S42" s="16"/>
      <c r="T42" s="79">
        <v>10</v>
      </c>
      <c r="U42" s="16"/>
      <c r="V42" s="16"/>
      <c r="W42" s="75"/>
      <c r="X42" s="29"/>
      <c r="Y42" s="74"/>
      <c r="Z42" s="16"/>
      <c r="AA42" t="s" s="96">
        <v>34</v>
      </c>
      <c r="AB42" t="s" s="158">
        <v>34</v>
      </c>
      <c r="AC42" s="29"/>
      <c r="AD42" s="29"/>
      <c r="AE42" s="30"/>
      <c r="AF42" s="112">
        <v>1</v>
      </c>
      <c r="AG42" t="s" s="159">
        <v>54</v>
      </c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9" customHeight="1">
      <c r="A43" t="s" s="83">
        <v>2208</v>
      </c>
      <c r="B43" s="112">
        <v>1921</v>
      </c>
      <c r="C43" s="112">
        <v>6</v>
      </c>
      <c r="D43" t="s" s="83">
        <v>2206</v>
      </c>
      <c r="E43" s="74"/>
      <c r="F43" s="79">
        <v>21</v>
      </c>
      <c r="G43" t="s" s="96">
        <v>2243</v>
      </c>
      <c r="H43" t="s" s="96">
        <v>2248</v>
      </c>
      <c r="I43" s="79">
        <v>29</v>
      </c>
      <c r="J43" t="s" s="96">
        <v>37</v>
      </c>
      <c r="K43" s="16"/>
      <c r="L43" s="16"/>
      <c r="M43" s="79">
        <v>1</v>
      </c>
      <c r="N43" t="s" s="96">
        <v>36</v>
      </c>
      <c r="O43" s="16"/>
      <c r="P43" s="16"/>
      <c r="Q43" s="79">
        <v>1</v>
      </c>
      <c r="R43" s="16"/>
      <c r="S43" s="16"/>
      <c r="T43" s="79">
        <v>3</v>
      </c>
      <c r="U43" s="16"/>
      <c r="V43" s="16"/>
      <c r="W43" s="75"/>
      <c r="X43" s="29"/>
      <c r="Y43" s="74"/>
      <c r="Z43" s="16"/>
      <c r="AA43" t="s" s="96">
        <v>34</v>
      </c>
      <c r="AB43" t="s" s="158">
        <v>34</v>
      </c>
      <c r="AC43" s="29"/>
      <c r="AD43" s="29"/>
      <c r="AE43" s="30"/>
      <c r="AF43" s="112">
        <v>1</v>
      </c>
      <c r="AG43" t="s" s="159">
        <v>54</v>
      </c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9" customHeight="1">
      <c r="A44" t="s" s="83">
        <v>2208</v>
      </c>
      <c r="B44" s="112">
        <v>1921</v>
      </c>
      <c r="C44" s="112">
        <v>6</v>
      </c>
      <c r="D44" t="s" s="83">
        <v>2206</v>
      </c>
      <c r="E44" s="74"/>
      <c r="F44" s="79">
        <v>21</v>
      </c>
      <c r="G44" t="s" s="96">
        <v>2249</v>
      </c>
      <c r="H44" t="s" s="96">
        <v>2250</v>
      </c>
      <c r="I44" s="79">
        <v>30</v>
      </c>
      <c r="J44" s="79">
        <v>1</v>
      </c>
      <c r="K44" s="16"/>
      <c r="L44" s="16"/>
      <c r="M44" s="16"/>
      <c r="N44" t="s" s="96">
        <v>11</v>
      </c>
      <c r="O44" s="16"/>
      <c r="P44" s="16"/>
      <c r="Q44" s="16"/>
      <c r="R44" s="16"/>
      <c r="S44" s="79">
        <v>1</v>
      </c>
      <c r="T44" s="79">
        <v>24</v>
      </c>
      <c r="U44" s="16"/>
      <c r="V44" s="16"/>
      <c r="W44" s="75"/>
      <c r="X44" s="29"/>
      <c r="Y44" s="74"/>
      <c r="Z44" s="16"/>
      <c r="AA44" t="s" s="96">
        <v>1453</v>
      </c>
      <c r="AB44" t="s" s="158">
        <v>15</v>
      </c>
      <c r="AC44" s="114">
        <v>1</v>
      </c>
      <c r="AD44" s="29"/>
      <c r="AE44" s="30"/>
      <c r="AF44" s="30"/>
      <c r="AG44" t="s" s="159">
        <v>1492</v>
      </c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9" customHeight="1">
      <c r="A45" t="s" s="83">
        <v>2208</v>
      </c>
      <c r="B45" s="112">
        <v>1921</v>
      </c>
      <c r="C45" s="112">
        <v>6</v>
      </c>
      <c r="D45" t="s" s="83">
        <v>2206</v>
      </c>
      <c r="E45" s="74"/>
      <c r="F45" s="79">
        <v>21</v>
      </c>
      <c r="G45" t="s" s="96">
        <v>351</v>
      </c>
      <c r="H45" t="s" s="96">
        <v>2251</v>
      </c>
      <c r="I45" s="79">
        <v>31</v>
      </c>
      <c r="J45" s="79">
        <v>1</v>
      </c>
      <c r="K45" s="16"/>
      <c r="L45" s="16"/>
      <c r="M45" s="16"/>
      <c r="N45" t="s" s="96">
        <v>11</v>
      </c>
      <c r="O45" s="16"/>
      <c r="P45" s="16"/>
      <c r="Q45" s="16"/>
      <c r="R45" s="16"/>
      <c r="S45" s="79">
        <v>1</v>
      </c>
      <c r="T45" s="79">
        <v>19</v>
      </c>
      <c r="U45" s="16"/>
      <c r="V45" s="16"/>
      <c r="W45" s="75"/>
      <c r="X45" s="29"/>
      <c r="Y45" s="74"/>
      <c r="Z45" s="16"/>
      <c r="AA45" t="s" s="96">
        <v>105</v>
      </c>
      <c r="AB45" t="s" s="158">
        <v>15</v>
      </c>
      <c r="AC45" s="114">
        <v>1</v>
      </c>
      <c r="AD45" s="29"/>
      <c r="AE45" s="30"/>
      <c r="AF45" s="30"/>
      <c r="AG45" t="s" s="159">
        <v>134</v>
      </c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9" customHeight="1">
      <c r="A46" t="s" s="83">
        <v>2208</v>
      </c>
      <c r="B46" s="112">
        <v>1921</v>
      </c>
      <c r="C46" s="30"/>
      <c r="D46" t="s" s="83">
        <v>2206</v>
      </c>
      <c r="E46" s="74"/>
      <c r="F46" s="16"/>
      <c r="G46" s="16"/>
      <c r="H46" s="79">
        <v>7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75"/>
      <c r="X46" s="29"/>
      <c r="Y46" s="74"/>
      <c r="Z46" s="16"/>
      <c r="AA46" s="16"/>
      <c r="AB46" s="75"/>
      <c r="AC46" s="29"/>
      <c r="AD46" s="29"/>
      <c r="AE46" s="30"/>
      <c r="AF46" s="30"/>
      <c r="AG46" s="122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9" customHeight="1">
      <c r="A47" t="s" s="83">
        <v>2208</v>
      </c>
      <c r="B47" s="112">
        <v>1921</v>
      </c>
      <c r="C47" s="30"/>
      <c r="D47" t="s" s="83">
        <v>2206</v>
      </c>
      <c r="E47" s="74"/>
      <c r="F47" s="16"/>
      <c r="G47" t="s" s="96">
        <v>1</v>
      </c>
      <c r="H47" t="s" s="96">
        <v>0</v>
      </c>
      <c r="I47" s="16"/>
      <c r="J47" t="s" s="96">
        <v>3</v>
      </c>
      <c r="K47" s="16"/>
      <c r="L47" s="16"/>
      <c r="M47" s="16"/>
      <c r="N47" t="s" s="96">
        <v>2</v>
      </c>
      <c r="O47" s="16"/>
      <c r="P47" s="16"/>
      <c r="Q47" s="16"/>
      <c r="R47" s="16"/>
      <c r="S47" s="16"/>
      <c r="T47" t="s" s="96">
        <v>5</v>
      </c>
      <c r="U47" s="16"/>
      <c r="V47" s="16"/>
      <c r="W47" s="75"/>
      <c r="X47" s="29"/>
      <c r="Y47" s="74"/>
      <c r="Z47" s="16"/>
      <c r="AA47" t="s" s="96">
        <v>7</v>
      </c>
      <c r="AB47" t="s" s="158">
        <v>8</v>
      </c>
      <c r="AC47" s="29"/>
      <c r="AD47" s="29"/>
      <c r="AE47" s="30"/>
      <c r="AF47" s="30"/>
      <c r="AG47" t="s" s="159">
        <v>6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9" customHeight="1">
      <c r="A48" t="s" s="83">
        <v>2208</v>
      </c>
      <c r="B48" s="112">
        <v>1921</v>
      </c>
      <c r="C48" s="112">
        <v>7</v>
      </c>
      <c r="D48" t="s" s="83">
        <v>2206</v>
      </c>
      <c r="E48" s="74"/>
      <c r="F48" s="79">
        <v>1</v>
      </c>
      <c r="G48" t="s" s="96">
        <v>1242</v>
      </c>
      <c r="H48" t="s" s="96">
        <v>2252</v>
      </c>
      <c r="I48" s="79">
        <v>32</v>
      </c>
      <c r="J48" t="s" s="96">
        <v>37</v>
      </c>
      <c r="K48" s="79">
        <v>1</v>
      </c>
      <c r="L48" s="16"/>
      <c r="M48" s="16"/>
      <c r="N48" s="79">
        <v>1</v>
      </c>
      <c r="O48" s="16"/>
      <c r="P48" s="16"/>
      <c r="Q48" s="16"/>
      <c r="R48" s="16"/>
      <c r="S48" s="16"/>
      <c r="T48" s="79">
        <v>56</v>
      </c>
      <c r="U48" s="16"/>
      <c r="V48" s="16"/>
      <c r="W48" s="75"/>
      <c r="X48" s="29"/>
      <c r="Y48" s="74"/>
      <c r="Z48" s="16"/>
      <c r="AA48" t="s" s="96">
        <v>2253</v>
      </c>
      <c r="AB48" t="s" s="158">
        <v>2254</v>
      </c>
      <c r="AC48" s="114">
        <v>1</v>
      </c>
      <c r="AD48" s="29"/>
      <c r="AE48" s="30"/>
      <c r="AF48" s="30"/>
      <c r="AG48" t="s" s="159">
        <v>2255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9" customHeight="1">
      <c r="A49" t="s" s="83">
        <v>2208</v>
      </c>
      <c r="B49" s="112">
        <v>1921</v>
      </c>
      <c r="C49" s="112">
        <v>7</v>
      </c>
      <c r="D49" t="s" s="83">
        <v>2206</v>
      </c>
      <c r="E49" s="74"/>
      <c r="F49" s="79">
        <v>1</v>
      </c>
      <c r="G49" t="s" s="96">
        <v>1242</v>
      </c>
      <c r="H49" t="s" s="96">
        <v>1574</v>
      </c>
      <c r="I49" s="79">
        <v>33</v>
      </c>
      <c r="J49" s="79">
        <v>1</v>
      </c>
      <c r="K49" s="16"/>
      <c r="L49" s="16"/>
      <c r="M49" s="16"/>
      <c r="N49" t="s" s="96">
        <v>72</v>
      </c>
      <c r="O49" s="79">
        <v>1</v>
      </c>
      <c r="P49" s="16"/>
      <c r="Q49" s="16"/>
      <c r="R49" s="16"/>
      <c r="S49" s="16"/>
      <c r="T49" s="79">
        <v>50</v>
      </c>
      <c r="U49" s="16"/>
      <c r="V49" s="16"/>
      <c r="W49" s="75"/>
      <c r="X49" s="29"/>
      <c r="Y49" s="74"/>
      <c r="Z49" s="16"/>
      <c r="AA49" t="s" s="96">
        <v>33</v>
      </c>
      <c r="AB49" t="s" s="158">
        <v>34</v>
      </c>
      <c r="AC49" s="29"/>
      <c r="AD49" s="29"/>
      <c r="AE49" s="30"/>
      <c r="AF49" s="30"/>
      <c r="AG49" t="s" s="159">
        <v>2256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9" customHeight="1">
      <c r="A50" t="s" s="83">
        <v>2208</v>
      </c>
      <c r="B50" s="112">
        <v>1921</v>
      </c>
      <c r="C50" s="112">
        <v>7</v>
      </c>
      <c r="D50" t="s" s="83">
        <v>2206</v>
      </c>
      <c r="E50" s="74"/>
      <c r="F50" s="79">
        <v>1</v>
      </c>
      <c r="G50" t="s" s="96">
        <v>1242</v>
      </c>
      <c r="H50" t="s" s="96">
        <v>2252</v>
      </c>
      <c r="I50" s="79">
        <v>34</v>
      </c>
      <c r="J50" t="s" s="96">
        <v>37</v>
      </c>
      <c r="K50" s="79">
        <v>1</v>
      </c>
      <c r="L50" s="16"/>
      <c r="M50" s="16"/>
      <c r="N50" t="s" s="96">
        <v>36</v>
      </c>
      <c r="O50" s="16"/>
      <c r="P50" s="16"/>
      <c r="Q50" s="79">
        <v>1</v>
      </c>
      <c r="R50" s="16"/>
      <c r="S50" s="16"/>
      <c r="T50" s="79">
        <v>23</v>
      </c>
      <c r="U50" s="16"/>
      <c r="V50" s="16"/>
      <c r="W50" s="75"/>
      <c r="X50" s="29"/>
      <c r="Y50" s="74"/>
      <c r="Z50" s="16"/>
      <c r="AA50" t="s" s="96">
        <v>2257</v>
      </c>
      <c r="AB50" t="s" s="158">
        <v>2258</v>
      </c>
      <c r="AC50" s="114">
        <v>1</v>
      </c>
      <c r="AD50" s="29"/>
      <c r="AE50" s="30"/>
      <c r="AF50" s="30"/>
      <c r="AG50" t="s" s="159">
        <v>84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9" customHeight="1">
      <c r="A51" t="s" s="83">
        <v>2208</v>
      </c>
      <c r="B51" s="112">
        <v>1921</v>
      </c>
      <c r="C51" s="112">
        <v>7</v>
      </c>
      <c r="D51" t="s" s="83">
        <v>2206</v>
      </c>
      <c r="E51" s="74"/>
      <c r="F51" s="79">
        <v>1</v>
      </c>
      <c r="G51" t="s" s="96">
        <v>1242</v>
      </c>
      <c r="H51" t="s" s="96">
        <v>2259</v>
      </c>
      <c r="I51" s="79">
        <v>35</v>
      </c>
      <c r="J51" s="79">
        <v>1</v>
      </c>
      <c r="K51" s="16"/>
      <c r="L51" s="16"/>
      <c r="M51" s="16"/>
      <c r="N51" t="s" s="96">
        <v>78</v>
      </c>
      <c r="O51" s="16"/>
      <c r="P51" s="79">
        <v>1</v>
      </c>
      <c r="Q51" s="16"/>
      <c r="R51" s="16"/>
      <c r="S51" s="16"/>
      <c r="T51" s="79">
        <v>12</v>
      </c>
      <c r="U51" s="16"/>
      <c r="V51" s="16"/>
      <c r="W51" s="75"/>
      <c r="X51" s="29"/>
      <c r="Y51" s="74"/>
      <c r="Z51" s="16"/>
      <c r="AA51" t="s" s="96">
        <v>34</v>
      </c>
      <c r="AB51" t="s" s="158">
        <v>34</v>
      </c>
      <c r="AC51" s="29"/>
      <c r="AD51" s="29"/>
      <c r="AE51" s="30"/>
      <c r="AF51" s="30"/>
      <c r="AG51" t="s" s="159">
        <v>84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9" customHeight="1">
      <c r="A52" t="s" s="83">
        <v>2208</v>
      </c>
      <c r="B52" s="112">
        <v>1921</v>
      </c>
      <c r="C52" s="112">
        <v>7</v>
      </c>
      <c r="D52" t="s" s="83">
        <v>2206</v>
      </c>
      <c r="E52" s="74"/>
      <c r="F52" s="79">
        <v>1</v>
      </c>
      <c r="G52" t="s" s="96">
        <v>1242</v>
      </c>
      <c r="H52" t="s" s="96">
        <v>2260</v>
      </c>
      <c r="I52" s="79">
        <v>36</v>
      </c>
      <c r="J52" s="16"/>
      <c r="K52" s="16"/>
      <c r="L52" s="79">
        <v>1</v>
      </c>
      <c r="M52" s="16"/>
      <c r="N52" t="s" s="96">
        <v>78</v>
      </c>
      <c r="O52" s="16"/>
      <c r="P52" s="79">
        <v>1</v>
      </c>
      <c r="Q52" s="16"/>
      <c r="R52" s="16"/>
      <c r="S52" s="16"/>
      <c r="T52" s="79">
        <v>9</v>
      </c>
      <c r="U52" s="16"/>
      <c r="V52" s="16"/>
      <c r="W52" s="75"/>
      <c r="X52" s="29"/>
      <c r="Y52" s="74"/>
      <c r="Z52" s="16"/>
      <c r="AA52" t="s" s="96">
        <v>34</v>
      </c>
      <c r="AB52" t="s" s="158">
        <v>34</v>
      </c>
      <c r="AC52" s="29"/>
      <c r="AD52" s="29"/>
      <c r="AE52" s="30"/>
      <c r="AF52" s="30"/>
      <c r="AG52" t="s" s="159">
        <v>2261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9" customHeight="1">
      <c r="A53" t="s" s="83">
        <v>2208</v>
      </c>
      <c r="B53" s="112">
        <v>1921</v>
      </c>
      <c r="C53" s="112">
        <v>7</v>
      </c>
      <c r="D53" t="s" s="83">
        <v>2206</v>
      </c>
      <c r="E53" s="74"/>
      <c r="F53" s="79">
        <v>1</v>
      </c>
      <c r="G53" t="s" s="96">
        <v>2262</v>
      </c>
      <c r="H53" t="s" s="96">
        <v>2263</v>
      </c>
      <c r="I53" s="79">
        <v>37</v>
      </c>
      <c r="J53" s="79">
        <v>1</v>
      </c>
      <c r="K53" s="16"/>
      <c r="L53" s="16"/>
      <c r="M53" s="16"/>
      <c r="N53" t="s" s="96">
        <v>492</v>
      </c>
      <c r="O53" s="16"/>
      <c r="P53" s="16"/>
      <c r="Q53" s="16"/>
      <c r="R53" s="79">
        <v>1</v>
      </c>
      <c r="S53" s="16"/>
      <c r="T53" s="79">
        <v>30</v>
      </c>
      <c r="U53" s="16"/>
      <c r="V53" s="16"/>
      <c r="W53" s="75"/>
      <c r="X53" s="29"/>
      <c r="Y53" s="74"/>
      <c r="Z53" s="16"/>
      <c r="AA53" t="s" s="96">
        <v>2264</v>
      </c>
      <c r="AB53" t="s" s="158">
        <v>2265</v>
      </c>
      <c r="AC53" s="114">
        <v>1</v>
      </c>
      <c r="AD53" s="29"/>
      <c r="AE53" s="30"/>
      <c r="AF53" s="30"/>
      <c r="AG53" t="s" s="159">
        <v>84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9" customHeight="1">
      <c r="A54" t="s" s="83">
        <v>2208</v>
      </c>
      <c r="B54" s="112">
        <v>1921</v>
      </c>
      <c r="C54" s="112">
        <v>7</v>
      </c>
      <c r="D54" t="s" s="83">
        <v>2206</v>
      </c>
      <c r="E54" s="74"/>
      <c r="F54" s="16"/>
      <c r="G54" s="16"/>
      <c r="H54" s="79">
        <v>6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75"/>
      <c r="X54" s="29"/>
      <c r="Y54" s="74"/>
      <c r="Z54" s="16"/>
      <c r="AA54" s="16"/>
      <c r="AB54" s="75"/>
      <c r="AC54" s="29"/>
      <c r="AD54" s="29"/>
      <c r="AE54" s="30"/>
      <c r="AF54" s="30"/>
      <c r="AG54" s="122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9" customHeight="1">
      <c r="A55" t="s" s="83">
        <v>2208</v>
      </c>
      <c r="B55" s="112">
        <v>1921</v>
      </c>
      <c r="C55" s="30"/>
      <c r="D55" t="s" s="83">
        <v>2206</v>
      </c>
      <c r="E55" s="74"/>
      <c r="F55" s="16"/>
      <c r="G55" t="s" s="96">
        <v>1</v>
      </c>
      <c r="H55" t="s" s="96">
        <v>0</v>
      </c>
      <c r="I55" s="16"/>
      <c r="J55" t="s" s="96">
        <v>3</v>
      </c>
      <c r="K55" s="16"/>
      <c r="L55" s="16"/>
      <c r="M55" s="16"/>
      <c r="N55" t="s" s="96">
        <v>2</v>
      </c>
      <c r="O55" s="16"/>
      <c r="P55" s="16"/>
      <c r="Q55" s="16"/>
      <c r="R55" s="16"/>
      <c r="S55" s="16"/>
      <c r="T55" t="s" s="96">
        <v>5</v>
      </c>
      <c r="U55" s="16"/>
      <c r="V55" s="16"/>
      <c r="W55" s="75"/>
      <c r="X55" s="29"/>
      <c r="Y55" s="74"/>
      <c r="Z55" s="16"/>
      <c r="AA55" t="s" s="96">
        <v>7</v>
      </c>
      <c r="AB55" t="s" s="158">
        <v>8</v>
      </c>
      <c r="AC55" s="29"/>
      <c r="AD55" s="29"/>
      <c r="AE55" s="30"/>
      <c r="AF55" s="30"/>
      <c r="AG55" t="s" s="159">
        <v>6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9" customHeight="1">
      <c r="A56" t="s" s="83">
        <v>2208</v>
      </c>
      <c r="B56" s="112">
        <v>1921</v>
      </c>
      <c r="C56" s="112">
        <v>8</v>
      </c>
      <c r="D56" t="s" s="83">
        <v>2206</v>
      </c>
      <c r="E56" s="74"/>
      <c r="F56" s="79">
        <v>2</v>
      </c>
      <c r="G56" t="s" s="96">
        <v>1937</v>
      </c>
      <c r="H56" t="s" s="96">
        <v>2266</v>
      </c>
      <c r="I56" s="79">
        <v>38</v>
      </c>
      <c r="J56" t="s" s="96">
        <v>37</v>
      </c>
      <c r="K56" s="79">
        <v>1</v>
      </c>
      <c r="L56" s="16"/>
      <c r="M56" s="16"/>
      <c r="N56" s="79">
        <v>1</v>
      </c>
      <c r="O56" s="16"/>
      <c r="P56" s="16"/>
      <c r="Q56" s="16"/>
      <c r="R56" s="16"/>
      <c r="S56" s="16"/>
      <c r="T56" s="79">
        <v>67</v>
      </c>
      <c r="U56" s="16"/>
      <c r="V56" s="16"/>
      <c r="W56" s="75"/>
      <c r="X56" s="29"/>
      <c r="Y56" s="74"/>
      <c r="Z56" s="16"/>
      <c r="AA56" t="s" s="96">
        <v>2267</v>
      </c>
      <c r="AB56" t="s" s="158">
        <v>8</v>
      </c>
      <c r="AC56" s="114">
        <v>1</v>
      </c>
      <c r="AD56" s="114">
        <v>1</v>
      </c>
      <c r="AE56" s="30"/>
      <c r="AF56" s="112">
        <v>1</v>
      </c>
      <c r="AG56" t="s" s="159">
        <v>13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9" customHeight="1">
      <c r="A57" t="s" s="83">
        <v>2208</v>
      </c>
      <c r="B57" s="112">
        <v>1921</v>
      </c>
      <c r="C57" s="112">
        <v>8</v>
      </c>
      <c r="D57" t="s" s="83">
        <v>2206</v>
      </c>
      <c r="E57" s="74"/>
      <c r="F57" s="79">
        <v>2</v>
      </c>
      <c r="G57" t="s" s="96">
        <v>1937</v>
      </c>
      <c r="H57" t="s" s="96">
        <v>1177</v>
      </c>
      <c r="I57" s="79">
        <v>39</v>
      </c>
      <c r="J57" s="79">
        <v>1</v>
      </c>
      <c r="K57" s="16"/>
      <c r="L57" s="16"/>
      <c r="M57" s="16"/>
      <c r="N57" t="s" s="96">
        <v>72</v>
      </c>
      <c r="O57" s="79">
        <v>1</v>
      </c>
      <c r="P57" s="16"/>
      <c r="Q57" s="16"/>
      <c r="R57" s="16"/>
      <c r="S57" s="16"/>
      <c r="T57" s="79">
        <v>58</v>
      </c>
      <c r="U57" s="16"/>
      <c r="V57" s="16"/>
      <c r="W57" s="75"/>
      <c r="X57" s="29"/>
      <c r="Y57" s="74"/>
      <c r="Z57" s="16"/>
      <c r="AA57" t="s" s="96">
        <v>33</v>
      </c>
      <c r="AB57" t="s" s="158">
        <v>34</v>
      </c>
      <c r="AC57" s="29"/>
      <c r="AD57" s="29"/>
      <c r="AE57" s="30"/>
      <c r="AF57" s="112">
        <v>1</v>
      </c>
      <c r="AG57" t="s" s="159">
        <v>25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9" customHeight="1">
      <c r="A58" t="s" s="83">
        <v>2208</v>
      </c>
      <c r="B58" s="112">
        <v>1921</v>
      </c>
      <c r="C58" s="112">
        <v>8</v>
      </c>
      <c r="D58" t="s" s="83">
        <v>2206</v>
      </c>
      <c r="E58" s="74"/>
      <c r="F58" s="79">
        <v>2</v>
      </c>
      <c r="G58" t="s" s="96">
        <v>2268</v>
      </c>
      <c r="H58" t="s" s="96">
        <v>2010</v>
      </c>
      <c r="I58" s="79">
        <v>40</v>
      </c>
      <c r="J58" s="79">
        <v>1</v>
      </c>
      <c r="K58" s="16"/>
      <c r="L58" s="16"/>
      <c r="M58" s="16"/>
      <c r="N58" t="s" s="96">
        <v>11</v>
      </c>
      <c r="O58" s="16"/>
      <c r="P58" s="16"/>
      <c r="Q58" s="16"/>
      <c r="R58" s="16"/>
      <c r="S58" s="79">
        <v>1</v>
      </c>
      <c r="T58" s="79">
        <v>59</v>
      </c>
      <c r="U58" s="16"/>
      <c r="V58" s="16"/>
      <c r="W58" s="75"/>
      <c r="X58" s="29"/>
      <c r="Y58" s="74"/>
      <c r="Z58" s="16"/>
      <c r="AA58" t="s" s="96">
        <v>45</v>
      </c>
      <c r="AB58" t="s" s="158">
        <v>15</v>
      </c>
      <c r="AC58" s="114">
        <v>1</v>
      </c>
      <c r="AD58" s="29"/>
      <c r="AE58" s="30"/>
      <c r="AF58" s="30"/>
      <c r="AG58" t="s" s="159">
        <v>2269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9" customHeight="1">
      <c r="A59" t="s" s="83">
        <v>2208</v>
      </c>
      <c r="B59" s="112">
        <v>1921</v>
      </c>
      <c r="C59" s="112">
        <v>8</v>
      </c>
      <c r="D59" t="s" s="83">
        <v>2206</v>
      </c>
      <c r="E59" s="74"/>
      <c r="F59" s="79">
        <v>2</v>
      </c>
      <c r="G59" t="s" s="96">
        <v>2270</v>
      </c>
      <c r="H59" t="s" s="96">
        <v>2271</v>
      </c>
      <c r="I59" s="79">
        <v>41</v>
      </c>
      <c r="J59" s="79">
        <v>1</v>
      </c>
      <c r="K59" s="16"/>
      <c r="L59" s="16"/>
      <c r="M59" s="16"/>
      <c r="N59" t="s" s="96">
        <v>11</v>
      </c>
      <c r="O59" s="16"/>
      <c r="P59" s="16"/>
      <c r="Q59" s="16"/>
      <c r="R59" s="16"/>
      <c r="S59" s="79">
        <v>1</v>
      </c>
      <c r="T59" s="79">
        <v>22</v>
      </c>
      <c r="U59" s="16"/>
      <c r="V59" s="16"/>
      <c r="W59" s="75"/>
      <c r="X59" s="29"/>
      <c r="Y59" s="74"/>
      <c r="Z59" s="16"/>
      <c r="AA59" t="s" s="96">
        <v>89</v>
      </c>
      <c r="AB59" t="s" s="158">
        <v>15</v>
      </c>
      <c r="AC59" s="114">
        <v>1</v>
      </c>
      <c r="AD59" s="29"/>
      <c r="AE59" s="30"/>
      <c r="AF59" s="112">
        <v>1</v>
      </c>
      <c r="AG59" t="s" s="159">
        <v>2272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9" customHeight="1">
      <c r="A60" t="s" s="83">
        <v>2208</v>
      </c>
      <c r="B60" s="112">
        <v>1921</v>
      </c>
      <c r="C60" s="30"/>
      <c r="D60" t="s" s="83">
        <v>2206</v>
      </c>
      <c r="E60" s="74"/>
      <c r="F60" s="16"/>
      <c r="G60" s="16"/>
      <c r="H60" s="79">
        <v>4</v>
      </c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75"/>
      <c r="X60" s="29"/>
      <c r="Y60" s="74"/>
      <c r="Z60" s="16"/>
      <c r="AA60" s="16"/>
      <c r="AB60" s="75"/>
      <c r="AC60" s="29"/>
      <c r="AD60" s="29"/>
      <c r="AE60" s="30"/>
      <c r="AF60" s="30"/>
      <c r="AG60" s="122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9" customHeight="1">
      <c r="A61" t="s" s="83">
        <v>2208</v>
      </c>
      <c r="B61" s="112">
        <v>1921</v>
      </c>
      <c r="C61" s="30"/>
      <c r="D61" t="s" s="83">
        <v>2206</v>
      </c>
      <c r="E61" s="74"/>
      <c r="F61" s="16"/>
      <c r="G61" t="s" s="96">
        <v>1</v>
      </c>
      <c r="H61" t="s" s="96">
        <v>0</v>
      </c>
      <c r="I61" s="16"/>
      <c r="J61" t="s" s="96">
        <v>3</v>
      </c>
      <c r="K61" s="16"/>
      <c r="L61" s="16"/>
      <c r="M61" s="16"/>
      <c r="N61" t="s" s="96">
        <v>2</v>
      </c>
      <c r="O61" s="16"/>
      <c r="P61" s="16"/>
      <c r="Q61" s="16"/>
      <c r="R61" s="16"/>
      <c r="S61" s="16"/>
      <c r="T61" t="s" s="96">
        <v>5</v>
      </c>
      <c r="U61" s="16"/>
      <c r="V61" s="16"/>
      <c r="W61" s="75"/>
      <c r="X61" s="29"/>
      <c r="Y61" s="74"/>
      <c r="Z61" s="16"/>
      <c r="AA61" t="s" s="96">
        <v>7</v>
      </c>
      <c r="AB61" t="s" s="158">
        <v>8</v>
      </c>
      <c r="AC61" s="29"/>
      <c r="AD61" s="29"/>
      <c r="AE61" s="30"/>
      <c r="AF61" s="30"/>
      <c r="AG61" t="s" s="159">
        <v>6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9" customHeight="1">
      <c r="A62" t="s" s="83">
        <v>2208</v>
      </c>
      <c r="B62" s="112">
        <v>1921</v>
      </c>
      <c r="C62" s="112">
        <v>9</v>
      </c>
      <c r="D62" t="s" s="83">
        <v>2206</v>
      </c>
      <c r="E62" s="74"/>
      <c r="F62" s="79">
        <v>4</v>
      </c>
      <c r="G62" t="s" s="96">
        <v>2273</v>
      </c>
      <c r="H62" t="s" s="96">
        <v>525</v>
      </c>
      <c r="I62" s="79">
        <v>42</v>
      </c>
      <c r="J62" t="s" s="96">
        <v>37</v>
      </c>
      <c r="K62" s="79">
        <v>1</v>
      </c>
      <c r="L62" s="16"/>
      <c r="M62" s="16"/>
      <c r="N62" s="79">
        <v>1</v>
      </c>
      <c r="O62" s="16"/>
      <c r="P62" s="16"/>
      <c r="Q62" s="16"/>
      <c r="R62" s="16"/>
      <c r="S62" s="16"/>
      <c r="T62" s="79">
        <v>70</v>
      </c>
      <c r="U62" s="16"/>
      <c r="V62" s="16"/>
      <c r="W62" s="75"/>
      <c r="X62" s="29"/>
      <c r="Y62" s="74"/>
      <c r="Z62" s="16"/>
      <c r="AA62" t="s" s="96">
        <v>2274</v>
      </c>
      <c r="AB62" t="s" s="158">
        <v>2275</v>
      </c>
      <c r="AC62" s="114">
        <v>1</v>
      </c>
      <c r="AD62" s="29"/>
      <c r="AE62" s="30"/>
      <c r="AF62" s="112">
        <v>1</v>
      </c>
      <c r="AG62" t="s" s="159">
        <v>13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9" customHeight="1">
      <c r="A63" t="s" s="83">
        <v>2208</v>
      </c>
      <c r="B63" s="112">
        <v>1921</v>
      </c>
      <c r="C63" s="112">
        <v>9</v>
      </c>
      <c r="D63" t="s" s="83">
        <v>2206</v>
      </c>
      <c r="E63" s="74"/>
      <c r="F63" s="79">
        <v>4</v>
      </c>
      <c r="G63" t="s" s="96">
        <v>2273</v>
      </c>
      <c r="H63" t="s" s="96">
        <v>2276</v>
      </c>
      <c r="I63" s="79">
        <v>43</v>
      </c>
      <c r="J63" s="79">
        <v>1</v>
      </c>
      <c r="K63" s="16"/>
      <c r="L63" s="16"/>
      <c r="M63" s="16"/>
      <c r="N63" t="s" s="96">
        <v>72</v>
      </c>
      <c r="O63" s="79">
        <v>1</v>
      </c>
      <c r="P63" s="16"/>
      <c r="Q63" s="16"/>
      <c r="R63" s="16"/>
      <c r="S63" s="16"/>
      <c r="T63" s="79">
        <v>62</v>
      </c>
      <c r="U63" s="16"/>
      <c r="V63" s="16"/>
      <c r="W63" s="75"/>
      <c r="X63" s="29"/>
      <c r="Y63" s="74"/>
      <c r="Z63" s="16"/>
      <c r="AA63" t="s" s="96">
        <v>33</v>
      </c>
      <c r="AB63" t="s" s="158">
        <v>34</v>
      </c>
      <c r="AC63" s="29"/>
      <c r="AD63" s="29"/>
      <c r="AE63" s="30"/>
      <c r="AF63" s="30"/>
      <c r="AG63" t="s" s="159">
        <v>84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</row>
    <row r="64" ht="19" customHeight="1">
      <c r="A64" t="s" s="83">
        <v>2208</v>
      </c>
      <c r="B64" s="112">
        <v>1921</v>
      </c>
      <c r="C64" s="112">
        <v>9</v>
      </c>
      <c r="D64" t="s" s="83">
        <v>2206</v>
      </c>
      <c r="E64" s="74"/>
      <c r="F64" s="79">
        <v>4</v>
      </c>
      <c r="G64" t="s" s="96">
        <v>1106</v>
      </c>
      <c r="H64" t="s" s="96">
        <v>2277</v>
      </c>
      <c r="I64" s="79">
        <v>44</v>
      </c>
      <c r="J64" s="79">
        <v>1</v>
      </c>
      <c r="K64" s="16"/>
      <c r="L64" s="16"/>
      <c r="M64" s="16"/>
      <c r="N64" t="s" s="96">
        <v>41</v>
      </c>
      <c r="O64" s="16"/>
      <c r="P64" s="16"/>
      <c r="Q64" s="16"/>
      <c r="R64" s="79">
        <v>1</v>
      </c>
      <c r="S64" s="16"/>
      <c r="T64" s="79">
        <v>37</v>
      </c>
      <c r="U64" s="16"/>
      <c r="V64" s="16"/>
      <c r="W64" s="75"/>
      <c r="X64" s="29"/>
      <c r="Y64" s="74"/>
      <c r="Z64" s="16"/>
      <c r="AA64" t="s" s="96">
        <v>33</v>
      </c>
      <c r="AB64" t="s" s="158">
        <v>34</v>
      </c>
      <c r="AC64" s="29"/>
      <c r="AD64" s="29"/>
      <c r="AE64" s="30"/>
      <c r="AF64" s="112">
        <v>1</v>
      </c>
      <c r="AG64" t="s" s="159">
        <v>13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</row>
    <row r="65" ht="19" customHeight="1">
      <c r="A65" t="s" s="83">
        <v>2208</v>
      </c>
      <c r="B65" s="112">
        <v>1921</v>
      </c>
      <c r="C65" s="112">
        <v>9</v>
      </c>
      <c r="D65" t="s" s="83">
        <v>2206</v>
      </c>
      <c r="E65" s="74"/>
      <c r="F65" s="79">
        <v>4</v>
      </c>
      <c r="G65" t="s" s="96">
        <v>2278</v>
      </c>
      <c r="H65" t="s" s="96">
        <v>132</v>
      </c>
      <c r="I65" s="79">
        <v>45</v>
      </c>
      <c r="J65" s="79">
        <v>1</v>
      </c>
      <c r="K65" s="16"/>
      <c r="L65" s="16"/>
      <c r="M65" s="16"/>
      <c r="N65" t="s" s="96">
        <v>11</v>
      </c>
      <c r="O65" s="16"/>
      <c r="P65" s="16"/>
      <c r="Q65" s="16"/>
      <c r="R65" s="16"/>
      <c r="S65" s="79">
        <v>1</v>
      </c>
      <c r="T65" s="79">
        <v>60</v>
      </c>
      <c r="U65" s="16"/>
      <c r="V65" s="16"/>
      <c r="W65" s="75"/>
      <c r="X65" s="29"/>
      <c r="Y65" s="74"/>
      <c r="Z65" s="16"/>
      <c r="AA65" t="s" s="96">
        <v>2279</v>
      </c>
      <c r="AB65" t="s" s="158">
        <v>603</v>
      </c>
      <c r="AC65" s="114">
        <v>1</v>
      </c>
      <c r="AD65" s="29"/>
      <c r="AE65" s="30"/>
      <c r="AF65" s="112">
        <v>1</v>
      </c>
      <c r="AG65" t="s" s="159">
        <v>489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</row>
    <row r="66" ht="19" customHeight="1">
      <c r="A66" t="s" s="83">
        <v>2208</v>
      </c>
      <c r="B66" s="112">
        <v>1921</v>
      </c>
      <c r="C66" s="112">
        <v>9</v>
      </c>
      <c r="D66" t="s" s="83">
        <v>2206</v>
      </c>
      <c r="E66" s="74"/>
      <c r="F66" s="79">
        <v>4</v>
      </c>
      <c r="G66" t="s" s="96">
        <v>2083</v>
      </c>
      <c r="H66" t="s" s="96">
        <v>2280</v>
      </c>
      <c r="I66" s="79">
        <v>46</v>
      </c>
      <c r="J66" s="79">
        <v>1</v>
      </c>
      <c r="K66" s="16"/>
      <c r="L66" s="16"/>
      <c r="M66" s="16"/>
      <c r="N66" t="s" s="96">
        <v>11</v>
      </c>
      <c r="O66" s="16"/>
      <c r="P66" s="16"/>
      <c r="Q66" s="16"/>
      <c r="R66" s="16"/>
      <c r="S66" s="79">
        <v>1</v>
      </c>
      <c r="T66" s="79">
        <v>46</v>
      </c>
      <c r="U66" s="16"/>
      <c r="V66" s="16"/>
      <c r="W66" s="75"/>
      <c r="X66" s="29"/>
      <c r="Y66" s="74"/>
      <c r="Z66" s="16"/>
      <c r="AA66" t="s" s="96">
        <v>188</v>
      </c>
      <c r="AB66" t="s" s="158">
        <v>15</v>
      </c>
      <c r="AC66" s="114">
        <v>1</v>
      </c>
      <c r="AD66" s="29"/>
      <c r="AE66" s="30"/>
      <c r="AF66" s="30"/>
      <c r="AG66" t="s" s="159">
        <v>2281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74"/>
      <c r="BA66" s="16"/>
      <c r="BB66" s="16"/>
      <c r="BC66" s="16"/>
    </row>
    <row r="67" ht="19" customHeight="1">
      <c r="A67" t="s" s="83">
        <v>2208</v>
      </c>
      <c r="B67" s="112">
        <v>1921</v>
      </c>
      <c r="C67" s="112">
        <v>9</v>
      </c>
      <c r="D67" t="s" s="83">
        <v>2206</v>
      </c>
      <c r="E67" s="74"/>
      <c r="F67" s="79">
        <v>4</v>
      </c>
      <c r="G67" t="s" s="96">
        <v>2282</v>
      </c>
      <c r="H67" t="s" s="96">
        <v>2283</v>
      </c>
      <c r="I67" s="79">
        <v>47</v>
      </c>
      <c r="J67" s="79">
        <v>1</v>
      </c>
      <c r="K67" s="16"/>
      <c r="L67" s="16"/>
      <c r="M67" s="16"/>
      <c r="N67" t="s" s="96">
        <v>11</v>
      </c>
      <c r="O67" s="16"/>
      <c r="P67" s="16"/>
      <c r="Q67" s="16"/>
      <c r="R67" s="16"/>
      <c r="S67" s="79">
        <v>1</v>
      </c>
      <c r="T67" s="79">
        <v>20</v>
      </c>
      <c r="U67" s="16"/>
      <c r="V67" s="16"/>
      <c r="W67" s="75"/>
      <c r="X67" s="29"/>
      <c r="Y67" s="74"/>
      <c r="Z67" s="16"/>
      <c r="AA67" t="s" s="96">
        <v>188</v>
      </c>
      <c r="AB67" t="s" s="158">
        <v>15</v>
      </c>
      <c r="AC67" s="114">
        <v>1</v>
      </c>
      <c r="AD67" s="29"/>
      <c r="AE67" s="30"/>
      <c r="AF67" s="112">
        <v>1</v>
      </c>
      <c r="AG67" t="s" s="159">
        <v>988</v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</row>
    <row r="68" ht="19" customHeight="1">
      <c r="A68" t="s" s="83">
        <v>2208</v>
      </c>
      <c r="B68" s="112">
        <v>1921</v>
      </c>
      <c r="C68" s="30"/>
      <c r="D68" t="s" s="83">
        <v>2206</v>
      </c>
      <c r="E68" s="74"/>
      <c r="F68" s="16"/>
      <c r="G68" s="16"/>
      <c r="H68" s="79">
        <v>6</v>
      </c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75"/>
      <c r="X68" s="29"/>
      <c r="Y68" s="74"/>
      <c r="Z68" s="16"/>
      <c r="AA68" s="16"/>
      <c r="AB68" s="75"/>
      <c r="AC68" s="29"/>
      <c r="AD68" s="29"/>
      <c r="AE68" s="30"/>
      <c r="AF68" s="30"/>
      <c r="AG68" s="122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74"/>
      <c r="BA68" s="16"/>
      <c r="BB68" s="16"/>
      <c r="BC68" s="16"/>
    </row>
    <row r="69" ht="19" customHeight="1">
      <c r="A69" t="s" s="83">
        <v>2208</v>
      </c>
      <c r="B69" s="112">
        <v>1921</v>
      </c>
      <c r="C69" s="30"/>
      <c r="D69" t="s" s="83">
        <v>2206</v>
      </c>
      <c r="E69" s="74"/>
      <c r="F69" s="16"/>
      <c r="G69" t="s" s="96">
        <v>1</v>
      </c>
      <c r="H69" t="s" s="96">
        <v>0</v>
      </c>
      <c r="I69" s="16"/>
      <c r="J69" t="s" s="96">
        <v>3</v>
      </c>
      <c r="K69" s="16"/>
      <c r="L69" s="16"/>
      <c r="M69" s="16"/>
      <c r="N69" t="s" s="96">
        <v>2</v>
      </c>
      <c r="O69" s="16"/>
      <c r="P69" s="16"/>
      <c r="Q69" s="16"/>
      <c r="R69" s="16"/>
      <c r="S69" s="16"/>
      <c r="T69" t="s" s="96">
        <v>5</v>
      </c>
      <c r="U69" s="16"/>
      <c r="V69" s="16"/>
      <c r="W69" s="75"/>
      <c r="X69" s="29"/>
      <c r="Y69" s="74"/>
      <c r="Z69" s="16"/>
      <c r="AA69" t="s" s="96">
        <v>7</v>
      </c>
      <c r="AB69" t="s" s="158">
        <v>8</v>
      </c>
      <c r="AC69" s="29"/>
      <c r="AD69" s="29"/>
      <c r="AE69" s="30"/>
      <c r="AF69" s="30"/>
      <c r="AG69" t="s" s="159">
        <v>6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74"/>
      <c r="BA69" s="16"/>
      <c r="BB69" s="16"/>
      <c r="BC69" s="16"/>
    </row>
    <row r="70" ht="19" customHeight="1">
      <c r="A70" t="s" s="83">
        <v>2208</v>
      </c>
      <c r="B70" s="112">
        <v>1921</v>
      </c>
      <c r="C70" s="112">
        <v>10</v>
      </c>
      <c r="D70" t="s" s="83">
        <v>2206</v>
      </c>
      <c r="E70" s="74"/>
      <c r="F70" s="79">
        <v>5</v>
      </c>
      <c r="G70" t="s" s="96">
        <v>2284</v>
      </c>
      <c r="H70" t="s" s="96">
        <v>619</v>
      </c>
      <c r="I70" s="79">
        <v>48</v>
      </c>
      <c r="J70" t="s" s="96">
        <v>37</v>
      </c>
      <c r="K70" s="79">
        <v>1</v>
      </c>
      <c r="L70" s="16"/>
      <c r="M70" s="16"/>
      <c r="N70" s="79">
        <v>1</v>
      </c>
      <c r="O70" s="16"/>
      <c r="P70" s="16"/>
      <c r="Q70" s="16"/>
      <c r="R70" s="16"/>
      <c r="S70" s="16"/>
      <c r="T70" s="79">
        <v>47</v>
      </c>
      <c r="U70" s="16"/>
      <c r="V70" s="16"/>
      <c r="W70" s="75"/>
      <c r="X70" s="29"/>
      <c r="Y70" s="74"/>
      <c r="Z70" s="16"/>
      <c r="AA70" t="s" s="96">
        <v>2285</v>
      </c>
      <c r="AB70" t="s" s="158">
        <v>603</v>
      </c>
      <c r="AC70" s="114">
        <v>1</v>
      </c>
      <c r="AD70" s="29"/>
      <c r="AE70" s="30"/>
      <c r="AF70" s="112">
        <v>1</v>
      </c>
      <c r="AG70" t="s" s="159">
        <v>830</v>
      </c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74"/>
      <c r="BA70" s="16"/>
      <c r="BB70" s="16"/>
      <c r="BC70" s="16"/>
    </row>
    <row r="71" ht="19" customHeight="1">
      <c r="A71" t="s" s="83">
        <v>2208</v>
      </c>
      <c r="B71" s="112">
        <v>1921</v>
      </c>
      <c r="C71" s="112">
        <v>10</v>
      </c>
      <c r="D71" t="s" s="83">
        <v>2206</v>
      </c>
      <c r="E71" s="74"/>
      <c r="F71" s="79">
        <v>5</v>
      </c>
      <c r="G71" t="s" s="96">
        <v>2284</v>
      </c>
      <c r="H71" t="s" s="96">
        <v>192</v>
      </c>
      <c r="I71" s="79">
        <v>49</v>
      </c>
      <c r="J71" s="79">
        <v>1</v>
      </c>
      <c r="K71" s="16"/>
      <c r="L71" s="16"/>
      <c r="M71" s="16"/>
      <c r="N71" t="s" s="96">
        <v>72</v>
      </c>
      <c r="O71" s="79">
        <v>1</v>
      </c>
      <c r="P71" s="16"/>
      <c r="Q71" s="16"/>
      <c r="R71" s="16"/>
      <c r="S71" s="16"/>
      <c r="T71" s="79">
        <v>43</v>
      </c>
      <c r="U71" s="16"/>
      <c r="V71" s="16"/>
      <c r="W71" s="75"/>
      <c r="X71" s="29"/>
      <c r="Y71" s="74"/>
      <c r="Z71" s="16"/>
      <c r="AA71" t="s" s="96">
        <v>33</v>
      </c>
      <c r="AB71" t="s" s="158">
        <v>34</v>
      </c>
      <c r="AC71" s="29"/>
      <c r="AD71" s="29"/>
      <c r="AE71" s="30"/>
      <c r="AF71" s="112">
        <v>1</v>
      </c>
      <c r="AG71" t="s" s="159">
        <v>13</v>
      </c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74"/>
      <c r="BA71" s="16"/>
      <c r="BB71" s="16"/>
      <c r="BC71" s="16"/>
    </row>
    <row r="72" ht="19" customHeight="1">
      <c r="A72" t="s" s="83">
        <v>2208</v>
      </c>
      <c r="B72" s="112">
        <v>1921</v>
      </c>
      <c r="C72" s="112">
        <v>10</v>
      </c>
      <c r="D72" t="s" s="83">
        <v>2206</v>
      </c>
      <c r="E72" s="74"/>
      <c r="F72" s="79">
        <v>5</v>
      </c>
      <c r="G72" t="s" s="96">
        <v>2284</v>
      </c>
      <c r="H72" t="s" s="96">
        <v>2286</v>
      </c>
      <c r="I72" s="79">
        <v>50</v>
      </c>
      <c r="J72" t="s" s="96">
        <v>37</v>
      </c>
      <c r="K72" s="79">
        <v>1</v>
      </c>
      <c r="L72" s="16"/>
      <c r="M72" s="16"/>
      <c r="N72" t="s" s="96">
        <v>36</v>
      </c>
      <c r="O72" s="16"/>
      <c r="P72" s="16"/>
      <c r="Q72" s="79">
        <v>1</v>
      </c>
      <c r="R72" s="16"/>
      <c r="S72" s="16"/>
      <c r="T72" s="79">
        <v>17</v>
      </c>
      <c r="U72" s="16"/>
      <c r="V72" s="16"/>
      <c r="W72" s="75"/>
      <c r="X72" s="29"/>
      <c r="Y72" s="74"/>
      <c r="Z72" s="16"/>
      <c r="AA72" t="s" s="96">
        <v>34</v>
      </c>
      <c r="AB72" t="s" s="158">
        <v>34</v>
      </c>
      <c r="AC72" s="29"/>
      <c r="AD72" s="29"/>
      <c r="AE72" s="30"/>
      <c r="AF72" s="112">
        <v>1</v>
      </c>
      <c r="AG72" t="s" s="159">
        <v>13</v>
      </c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74"/>
      <c r="BA72" s="16"/>
      <c r="BB72" s="16"/>
      <c r="BC72" s="16"/>
    </row>
    <row r="73" ht="19" customHeight="1">
      <c r="A73" t="s" s="83">
        <v>2208</v>
      </c>
      <c r="B73" s="112">
        <v>1921</v>
      </c>
      <c r="C73" s="112">
        <v>10</v>
      </c>
      <c r="D73" t="s" s="83">
        <v>2206</v>
      </c>
      <c r="E73" s="74"/>
      <c r="F73" s="79">
        <v>5</v>
      </c>
      <c r="G73" t="s" s="96">
        <v>2284</v>
      </c>
      <c r="H73" t="s" s="96">
        <v>2287</v>
      </c>
      <c r="I73" s="79">
        <v>51</v>
      </c>
      <c r="J73" t="s" s="96">
        <v>37</v>
      </c>
      <c r="K73" s="79">
        <v>1</v>
      </c>
      <c r="L73" s="16"/>
      <c r="M73" s="16"/>
      <c r="N73" t="s" s="96">
        <v>36</v>
      </c>
      <c r="O73" s="16"/>
      <c r="P73" s="16"/>
      <c r="Q73" s="79">
        <v>1</v>
      </c>
      <c r="R73" s="16"/>
      <c r="S73" s="16"/>
      <c r="T73" s="79">
        <v>15</v>
      </c>
      <c r="U73" s="16"/>
      <c r="V73" s="16"/>
      <c r="W73" s="75"/>
      <c r="X73" s="29"/>
      <c r="Y73" s="74"/>
      <c r="Z73" s="16"/>
      <c r="AA73" t="s" s="96">
        <v>34</v>
      </c>
      <c r="AB73" t="s" s="158">
        <v>34</v>
      </c>
      <c r="AC73" s="29"/>
      <c r="AD73" s="29"/>
      <c r="AE73" s="30"/>
      <c r="AF73" s="112">
        <v>1</v>
      </c>
      <c r="AG73" t="s" s="159">
        <v>13</v>
      </c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74"/>
      <c r="BA73" s="16"/>
      <c r="BB73" s="16"/>
      <c r="BC73" s="16"/>
    </row>
    <row r="74" ht="19" customHeight="1">
      <c r="A74" t="s" s="83">
        <v>2208</v>
      </c>
      <c r="B74" s="112">
        <v>1921</v>
      </c>
      <c r="C74" s="112">
        <v>10</v>
      </c>
      <c r="D74" t="s" s="83">
        <v>2206</v>
      </c>
      <c r="E74" s="74"/>
      <c r="F74" s="79">
        <v>5</v>
      </c>
      <c r="G74" t="s" s="96">
        <v>201</v>
      </c>
      <c r="H74" t="s" s="96">
        <v>2288</v>
      </c>
      <c r="I74" s="79">
        <v>52</v>
      </c>
      <c r="J74" s="79">
        <v>1</v>
      </c>
      <c r="K74" s="16"/>
      <c r="L74" s="16"/>
      <c r="M74" s="16"/>
      <c r="N74" t="s" s="96">
        <v>11</v>
      </c>
      <c r="O74" s="16"/>
      <c r="P74" s="16"/>
      <c r="Q74" s="16"/>
      <c r="R74" s="16"/>
      <c r="S74" s="79">
        <v>1</v>
      </c>
      <c r="T74" s="79">
        <v>22</v>
      </c>
      <c r="U74" s="16"/>
      <c r="V74" s="16"/>
      <c r="W74" s="75"/>
      <c r="X74" s="29"/>
      <c r="Y74" s="74"/>
      <c r="Z74" s="16"/>
      <c r="AA74" t="s" s="96">
        <v>105</v>
      </c>
      <c r="AB74" t="s" s="158">
        <v>15</v>
      </c>
      <c r="AC74" s="114">
        <v>1</v>
      </c>
      <c r="AD74" s="29"/>
      <c r="AE74" s="30"/>
      <c r="AF74" s="112">
        <v>1</v>
      </c>
      <c r="AG74" t="s" s="159">
        <v>13</v>
      </c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74"/>
      <c r="BA74" s="16"/>
      <c r="BB74" s="16"/>
      <c r="BC74" s="16"/>
    </row>
    <row r="75" ht="19" customHeight="1">
      <c r="A75" t="s" s="83">
        <v>2208</v>
      </c>
      <c r="B75" s="112">
        <v>1921</v>
      </c>
      <c r="C75" s="112">
        <v>10</v>
      </c>
      <c r="D75" t="s" s="83">
        <v>2206</v>
      </c>
      <c r="E75" s="74"/>
      <c r="F75" s="79">
        <v>5</v>
      </c>
      <c r="G75" t="s" s="96">
        <v>2289</v>
      </c>
      <c r="H75" t="s" s="96">
        <v>39</v>
      </c>
      <c r="I75" s="79">
        <v>53</v>
      </c>
      <c r="J75" s="79">
        <v>1</v>
      </c>
      <c r="K75" s="16"/>
      <c r="L75" s="16"/>
      <c r="M75" s="16"/>
      <c r="N75" t="s" s="96">
        <v>1032</v>
      </c>
      <c r="O75" s="16"/>
      <c r="P75" s="16"/>
      <c r="Q75" s="16"/>
      <c r="R75" s="79">
        <v>1</v>
      </c>
      <c r="S75" s="16"/>
      <c r="T75" s="79">
        <v>62</v>
      </c>
      <c r="U75" s="16"/>
      <c r="V75" s="16"/>
      <c r="W75" s="75"/>
      <c r="X75" s="29"/>
      <c r="Y75" s="74"/>
      <c r="Z75" s="16"/>
      <c r="AA75" t="s" s="96">
        <v>33</v>
      </c>
      <c r="AB75" t="s" s="158">
        <v>34</v>
      </c>
      <c r="AC75" s="29"/>
      <c r="AD75" s="29"/>
      <c r="AE75" s="30"/>
      <c r="AF75" s="112">
        <v>1</v>
      </c>
      <c r="AG75" t="s" s="159">
        <v>2290</v>
      </c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74"/>
      <c r="BA75" s="16"/>
      <c r="BB75" s="16"/>
      <c r="BC75" s="16"/>
    </row>
    <row r="76" ht="19" customHeight="1">
      <c r="A76" t="s" s="83">
        <v>2208</v>
      </c>
      <c r="B76" s="112">
        <v>1921</v>
      </c>
      <c r="C76" s="30"/>
      <c r="D76" t="s" s="83">
        <v>2206</v>
      </c>
      <c r="E76" s="74"/>
      <c r="F76" s="16"/>
      <c r="G76" s="16"/>
      <c r="H76" s="79">
        <v>6</v>
      </c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75"/>
      <c r="X76" s="29"/>
      <c r="Y76" s="74"/>
      <c r="Z76" s="16"/>
      <c r="AA76" s="16"/>
      <c r="AB76" s="75"/>
      <c r="AC76" s="29"/>
      <c r="AD76" s="29"/>
      <c r="AE76" s="30"/>
      <c r="AF76" s="30"/>
      <c r="AG76" s="122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74"/>
      <c r="BA76" s="16"/>
      <c r="BB76" s="16"/>
      <c r="BC76" s="16"/>
    </row>
    <row r="77" ht="19" customHeight="1">
      <c r="A77" t="s" s="83">
        <v>2208</v>
      </c>
      <c r="B77" s="112">
        <v>1921</v>
      </c>
      <c r="C77" s="30"/>
      <c r="D77" t="s" s="83">
        <v>2206</v>
      </c>
      <c r="E77" s="74"/>
      <c r="F77" s="16"/>
      <c r="G77" t="s" s="96">
        <v>1</v>
      </c>
      <c r="H77" t="s" s="96">
        <v>0</v>
      </c>
      <c r="I77" s="16"/>
      <c r="J77" t="s" s="96">
        <v>3</v>
      </c>
      <c r="K77" s="16"/>
      <c r="L77" s="16"/>
      <c r="M77" s="16"/>
      <c r="N77" t="s" s="96">
        <v>2</v>
      </c>
      <c r="O77" s="16"/>
      <c r="P77" s="16"/>
      <c r="Q77" s="16"/>
      <c r="R77" s="16"/>
      <c r="S77" s="16"/>
      <c r="T77" t="s" s="96">
        <v>5</v>
      </c>
      <c r="U77" s="16"/>
      <c r="V77" s="16"/>
      <c r="W77" s="75"/>
      <c r="X77" s="29"/>
      <c r="Y77" s="74"/>
      <c r="Z77" s="16"/>
      <c r="AA77" t="s" s="96">
        <v>7</v>
      </c>
      <c r="AB77" t="s" s="158">
        <v>8</v>
      </c>
      <c r="AC77" s="29"/>
      <c r="AD77" s="29"/>
      <c r="AE77" s="30"/>
      <c r="AF77" s="30"/>
      <c r="AG77" t="s" s="159">
        <v>6</v>
      </c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74"/>
      <c r="BA77" s="16"/>
      <c r="BB77" s="16"/>
      <c r="BC77" s="16"/>
    </row>
    <row r="78" ht="19" customHeight="1">
      <c r="A78" t="s" s="83">
        <v>2208</v>
      </c>
      <c r="B78" s="112">
        <v>1921</v>
      </c>
      <c r="C78" s="112">
        <v>11</v>
      </c>
      <c r="D78" t="s" s="83">
        <v>2206</v>
      </c>
      <c r="E78" s="74"/>
      <c r="F78" s="79">
        <v>11</v>
      </c>
      <c r="G78" t="s" s="96">
        <v>2291</v>
      </c>
      <c r="H78" t="s" s="96">
        <v>2292</v>
      </c>
      <c r="I78" s="79">
        <v>54</v>
      </c>
      <c r="J78" t="s" s="96">
        <v>37</v>
      </c>
      <c r="K78" s="79">
        <v>1</v>
      </c>
      <c r="L78" s="16"/>
      <c r="M78" s="16"/>
      <c r="N78" s="79">
        <v>1</v>
      </c>
      <c r="O78" s="16"/>
      <c r="P78" s="16"/>
      <c r="Q78" s="16"/>
      <c r="R78" s="16"/>
      <c r="S78" s="16"/>
      <c r="T78" s="79">
        <v>53</v>
      </c>
      <c r="U78" s="16"/>
      <c r="V78" s="16"/>
      <c r="W78" s="75"/>
      <c r="X78" s="29"/>
      <c r="Y78" s="74"/>
      <c r="Z78" s="16"/>
      <c r="AA78" t="s" s="96">
        <v>2293</v>
      </c>
      <c r="AB78" t="s" s="158">
        <v>8</v>
      </c>
      <c r="AC78" s="114">
        <v>1</v>
      </c>
      <c r="AD78" s="114">
        <v>1</v>
      </c>
      <c r="AE78" s="30"/>
      <c r="AF78" s="112">
        <v>1</v>
      </c>
      <c r="AG78" t="s" s="159">
        <v>13</v>
      </c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74"/>
      <c r="BA78" s="16"/>
      <c r="BB78" s="16"/>
      <c r="BC78" s="16"/>
    </row>
    <row r="79" ht="19" customHeight="1">
      <c r="A79" t="s" s="83">
        <v>2208</v>
      </c>
      <c r="B79" s="112">
        <v>1921</v>
      </c>
      <c r="C79" s="112">
        <v>11</v>
      </c>
      <c r="D79" t="s" s="83">
        <v>2206</v>
      </c>
      <c r="E79" s="74"/>
      <c r="F79" s="79">
        <v>11</v>
      </c>
      <c r="G79" t="s" s="96">
        <v>2291</v>
      </c>
      <c r="H79" t="s" s="96">
        <v>2294</v>
      </c>
      <c r="I79" s="79">
        <v>55</v>
      </c>
      <c r="J79" s="79">
        <v>1</v>
      </c>
      <c r="K79" s="16"/>
      <c r="L79" s="16"/>
      <c r="M79" s="16"/>
      <c r="N79" t="s" s="96">
        <v>72</v>
      </c>
      <c r="O79" s="79">
        <v>1</v>
      </c>
      <c r="P79" s="16"/>
      <c r="Q79" s="16"/>
      <c r="R79" s="16"/>
      <c r="S79" s="16"/>
      <c r="T79" s="79">
        <v>52</v>
      </c>
      <c r="U79" s="16"/>
      <c r="V79" s="16"/>
      <c r="W79" s="75"/>
      <c r="X79" s="29"/>
      <c r="Y79" s="74"/>
      <c r="Z79" s="16"/>
      <c r="AA79" t="s" s="96">
        <v>33</v>
      </c>
      <c r="AB79" t="s" s="158">
        <v>34</v>
      </c>
      <c r="AC79" s="29"/>
      <c r="AD79" s="29"/>
      <c r="AE79" s="30"/>
      <c r="AF79" s="112">
        <v>1</v>
      </c>
      <c r="AG79" t="s" s="159">
        <v>13</v>
      </c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74"/>
      <c r="BA79" s="16"/>
      <c r="BB79" s="16"/>
      <c r="BC79" s="16"/>
    </row>
    <row r="80" ht="19" customHeight="1">
      <c r="A80" t="s" s="83">
        <v>2208</v>
      </c>
      <c r="B80" s="112">
        <v>1921</v>
      </c>
      <c r="C80" s="112">
        <v>11</v>
      </c>
      <c r="D80" t="s" s="83">
        <v>2206</v>
      </c>
      <c r="E80" s="74"/>
      <c r="F80" s="79">
        <v>11</v>
      </c>
      <c r="G80" t="s" s="96">
        <v>2291</v>
      </c>
      <c r="H80" t="s" s="96">
        <v>2295</v>
      </c>
      <c r="I80" s="79">
        <v>56</v>
      </c>
      <c r="J80" s="16"/>
      <c r="K80" s="16"/>
      <c r="L80" s="79">
        <v>1</v>
      </c>
      <c r="M80" s="16"/>
      <c r="N80" t="s" s="96">
        <v>78</v>
      </c>
      <c r="O80" s="16"/>
      <c r="P80" s="79">
        <v>1</v>
      </c>
      <c r="Q80" s="16"/>
      <c r="R80" s="16"/>
      <c r="S80" s="16"/>
      <c r="T80" s="79">
        <v>8</v>
      </c>
      <c r="U80" s="16"/>
      <c r="V80" s="16"/>
      <c r="W80" s="75"/>
      <c r="X80" s="29"/>
      <c r="Y80" s="74"/>
      <c r="Z80" s="16"/>
      <c r="AA80" t="s" s="96">
        <v>34</v>
      </c>
      <c r="AB80" t="s" s="158">
        <v>34</v>
      </c>
      <c r="AC80" s="29"/>
      <c r="AD80" s="29"/>
      <c r="AE80" s="30"/>
      <c r="AF80" s="112">
        <v>1</v>
      </c>
      <c r="AG80" t="s" s="159">
        <v>13</v>
      </c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74"/>
      <c r="BA80" s="16"/>
      <c r="BB80" s="16"/>
      <c r="BC80" s="16"/>
    </row>
    <row r="81" ht="19" customHeight="1">
      <c r="A81" t="s" s="83">
        <v>2208</v>
      </c>
      <c r="B81" s="112">
        <v>1921</v>
      </c>
      <c r="C81" s="112">
        <v>11</v>
      </c>
      <c r="D81" t="s" s="83">
        <v>2206</v>
      </c>
      <c r="E81" s="74"/>
      <c r="F81" s="79">
        <v>11</v>
      </c>
      <c r="G81" t="s" s="96">
        <v>2296</v>
      </c>
      <c r="H81" t="s" s="96">
        <v>2297</v>
      </c>
      <c r="I81" s="79">
        <v>57</v>
      </c>
      <c r="J81" s="79">
        <v>1</v>
      </c>
      <c r="K81" s="16"/>
      <c r="L81" s="16"/>
      <c r="M81" s="16"/>
      <c r="N81" t="s" s="96">
        <v>11</v>
      </c>
      <c r="O81" s="16"/>
      <c r="P81" s="16"/>
      <c r="Q81" s="16"/>
      <c r="R81" s="16"/>
      <c r="S81" s="79">
        <v>1</v>
      </c>
      <c r="T81" s="79">
        <v>25</v>
      </c>
      <c r="U81" s="16"/>
      <c r="V81" s="16"/>
      <c r="W81" s="75"/>
      <c r="X81" s="29"/>
      <c r="Y81" s="74"/>
      <c r="Z81" s="16"/>
      <c r="AA81" t="s" s="96">
        <v>105</v>
      </c>
      <c r="AB81" t="s" s="158">
        <v>15</v>
      </c>
      <c r="AC81" s="114">
        <v>1</v>
      </c>
      <c r="AD81" s="29"/>
      <c r="AE81" s="30"/>
      <c r="AF81" s="30"/>
      <c r="AG81" t="s" s="159">
        <v>202</v>
      </c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74"/>
      <c r="BA81" s="16"/>
      <c r="BB81" s="16"/>
      <c r="BC81" s="16"/>
    </row>
    <row r="82" ht="19" customHeight="1">
      <c r="A82" t="s" s="83">
        <v>2208</v>
      </c>
      <c r="B82" s="112">
        <v>1921</v>
      </c>
      <c r="C82" s="112">
        <v>11</v>
      </c>
      <c r="D82" t="s" s="83">
        <v>2206</v>
      </c>
      <c r="E82" s="74"/>
      <c r="F82" s="79">
        <v>11</v>
      </c>
      <c r="G82" t="s" s="96">
        <v>2298</v>
      </c>
      <c r="H82" t="s" s="96">
        <v>593</v>
      </c>
      <c r="I82" s="79">
        <v>58</v>
      </c>
      <c r="J82" s="79">
        <v>1</v>
      </c>
      <c r="K82" s="16"/>
      <c r="L82" s="16"/>
      <c r="M82" s="16"/>
      <c r="N82" t="s" s="96">
        <v>11</v>
      </c>
      <c r="O82" s="16"/>
      <c r="P82" s="16"/>
      <c r="Q82" s="16"/>
      <c r="R82" s="16"/>
      <c r="S82" s="79">
        <v>1</v>
      </c>
      <c r="T82" s="79">
        <v>18</v>
      </c>
      <c r="U82" s="16"/>
      <c r="V82" s="16"/>
      <c r="W82" s="75"/>
      <c r="X82" s="29"/>
      <c r="Y82" s="74"/>
      <c r="Z82" s="16"/>
      <c r="AA82" t="s" s="96">
        <v>105</v>
      </c>
      <c r="AB82" t="s" s="158">
        <v>15</v>
      </c>
      <c r="AC82" s="114">
        <v>1</v>
      </c>
      <c r="AD82" s="29"/>
      <c r="AE82" s="30"/>
      <c r="AF82" s="112">
        <v>1</v>
      </c>
      <c r="AG82" t="s" s="159">
        <v>472</v>
      </c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74"/>
      <c r="BA82" s="16"/>
      <c r="BB82" s="16"/>
      <c r="BC82" s="16"/>
    </row>
    <row r="83" ht="19" customHeight="1">
      <c r="A83" t="s" s="83">
        <v>2208</v>
      </c>
      <c r="B83" s="112">
        <v>1921</v>
      </c>
      <c r="C83" s="30"/>
      <c r="D83" t="s" s="83">
        <v>2206</v>
      </c>
      <c r="E83" s="74"/>
      <c r="F83" s="16"/>
      <c r="G83" s="16"/>
      <c r="H83" s="79">
        <v>5</v>
      </c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75"/>
      <c r="X83" s="29"/>
      <c r="Y83" s="74"/>
      <c r="Z83" s="16"/>
      <c r="AA83" s="16"/>
      <c r="AB83" s="75"/>
      <c r="AC83" s="29"/>
      <c r="AD83" s="29"/>
      <c r="AE83" s="30"/>
      <c r="AF83" s="30"/>
      <c r="AG83" s="122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74"/>
      <c r="BA83" s="16"/>
      <c r="BB83" s="16"/>
      <c r="BC83" s="16"/>
    </row>
    <row r="84" ht="19" customHeight="1">
      <c r="A84" t="s" s="83">
        <v>2208</v>
      </c>
      <c r="B84" s="112">
        <v>1921</v>
      </c>
      <c r="C84" s="30"/>
      <c r="D84" t="s" s="83">
        <v>2206</v>
      </c>
      <c r="E84" s="74"/>
      <c r="F84" s="16"/>
      <c r="G84" t="s" s="96">
        <v>1</v>
      </c>
      <c r="H84" t="s" s="96">
        <v>0</v>
      </c>
      <c r="I84" s="16"/>
      <c r="J84" t="s" s="96">
        <v>3</v>
      </c>
      <c r="K84" s="16"/>
      <c r="L84" s="16"/>
      <c r="M84" s="16"/>
      <c r="N84" t="s" s="96">
        <v>2</v>
      </c>
      <c r="O84" s="16"/>
      <c r="P84" s="16"/>
      <c r="Q84" s="16"/>
      <c r="R84" s="16"/>
      <c r="S84" s="16"/>
      <c r="T84" t="s" s="96">
        <v>5</v>
      </c>
      <c r="U84" s="16"/>
      <c r="V84" s="16"/>
      <c r="W84" s="75"/>
      <c r="X84" s="29"/>
      <c r="Y84" s="74"/>
      <c r="Z84" s="16"/>
      <c r="AA84" t="s" s="96">
        <v>7</v>
      </c>
      <c r="AB84" t="s" s="158">
        <v>8</v>
      </c>
      <c r="AC84" s="29"/>
      <c r="AD84" s="29"/>
      <c r="AE84" s="30"/>
      <c r="AF84" s="30"/>
      <c r="AG84" t="s" s="159">
        <v>6</v>
      </c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74"/>
      <c r="BA84" s="16"/>
      <c r="BB84" s="16"/>
      <c r="BC84" s="16"/>
    </row>
    <row r="85" ht="19" customHeight="1">
      <c r="A85" t="s" s="83">
        <v>2208</v>
      </c>
      <c r="B85" s="112">
        <v>1921</v>
      </c>
      <c r="C85" s="112">
        <v>12</v>
      </c>
      <c r="D85" t="s" s="83">
        <v>2206</v>
      </c>
      <c r="E85" s="74"/>
      <c r="F85" s="79">
        <v>17</v>
      </c>
      <c r="G85" t="s" s="96">
        <v>2299</v>
      </c>
      <c r="H85" t="s" s="96">
        <v>2300</v>
      </c>
      <c r="I85" s="79">
        <v>59</v>
      </c>
      <c r="J85" t="s" s="96">
        <v>37</v>
      </c>
      <c r="K85" s="79">
        <v>1</v>
      </c>
      <c r="L85" s="16"/>
      <c r="M85" s="16"/>
      <c r="N85" s="79">
        <v>1</v>
      </c>
      <c r="O85" s="16"/>
      <c r="P85" s="16"/>
      <c r="Q85" s="16"/>
      <c r="R85" s="16"/>
      <c r="S85" s="16"/>
      <c r="T85" s="79">
        <v>43</v>
      </c>
      <c r="U85" s="16"/>
      <c r="V85" s="16"/>
      <c r="W85" s="75"/>
      <c r="X85" s="29"/>
      <c r="Y85" s="74"/>
      <c r="Z85" s="16"/>
      <c r="AA85" t="s" s="96">
        <v>2301</v>
      </c>
      <c r="AB85" t="s" s="158">
        <v>2302</v>
      </c>
      <c r="AC85" s="114">
        <v>1</v>
      </c>
      <c r="AD85" s="29"/>
      <c r="AE85" s="30"/>
      <c r="AF85" s="30"/>
      <c r="AG85" t="s" s="159">
        <v>2303</v>
      </c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74"/>
      <c r="BA85" s="16"/>
      <c r="BB85" s="16"/>
      <c r="BC85" s="16"/>
    </row>
    <row r="86" ht="19" customHeight="1">
      <c r="A86" t="s" s="83">
        <v>2208</v>
      </c>
      <c r="B86" s="112">
        <v>1921</v>
      </c>
      <c r="C86" s="112">
        <v>12</v>
      </c>
      <c r="D86" t="s" s="83">
        <v>2206</v>
      </c>
      <c r="E86" s="74"/>
      <c r="F86" s="79">
        <v>17</v>
      </c>
      <c r="G86" t="s" s="96">
        <v>2299</v>
      </c>
      <c r="H86" t="s" s="96">
        <v>2304</v>
      </c>
      <c r="I86" s="79">
        <v>60</v>
      </c>
      <c r="J86" t="s" s="96">
        <v>37</v>
      </c>
      <c r="K86" s="16"/>
      <c r="L86" s="16"/>
      <c r="M86" s="79">
        <v>1</v>
      </c>
      <c r="N86" t="s" s="96">
        <v>36</v>
      </c>
      <c r="O86" s="16"/>
      <c r="P86" s="16"/>
      <c r="Q86" s="79">
        <v>1</v>
      </c>
      <c r="R86" s="16"/>
      <c r="S86" s="16"/>
      <c r="T86" s="79">
        <v>10</v>
      </c>
      <c r="U86" s="16"/>
      <c r="V86" s="16"/>
      <c r="W86" s="75"/>
      <c r="X86" s="29"/>
      <c r="Y86" s="74"/>
      <c r="Z86" s="16"/>
      <c r="AA86" t="s" s="96">
        <v>34</v>
      </c>
      <c r="AB86" t="s" s="158">
        <v>34</v>
      </c>
      <c r="AC86" s="29"/>
      <c r="AD86" s="29"/>
      <c r="AE86" s="30"/>
      <c r="AF86" s="30"/>
      <c r="AG86" t="s" s="159">
        <v>2305</v>
      </c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74"/>
      <c r="BA86" s="16"/>
      <c r="BB86" s="16"/>
      <c r="BC86" s="16"/>
    </row>
    <row r="87" ht="19" customHeight="1">
      <c r="A87" t="s" s="83">
        <v>2208</v>
      </c>
      <c r="B87" s="112">
        <v>1921</v>
      </c>
      <c r="C87" s="112">
        <v>12</v>
      </c>
      <c r="D87" t="s" s="83">
        <v>2206</v>
      </c>
      <c r="E87" s="74"/>
      <c r="F87" s="79">
        <v>17</v>
      </c>
      <c r="G87" t="s" s="96">
        <v>2306</v>
      </c>
      <c r="H87" t="s" s="96">
        <v>369</v>
      </c>
      <c r="I87" s="79">
        <v>61</v>
      </c>
      <c r="J87" s="79">
        <v>1</v>
      </c>
      <c r="K87" s="16"/>
      <c r="L87" s="16"/>
      <c r="M87" s="16"/>
      <c r="N87" t="s" s="96">
        <v>11</v>
      </c>
      <c r="O87" s="16"/>
      <c r="P87" s="16"/>
      <c r="Q87" s="16"/>
      <c r="R87" s="16"/>
      <c r="S87" s="79">
        <v>1</v>
      </c>
      <c r="T87" s="79">
        <v>27</v>
      </c>
      <c r="U87" s="16"/>
      <c r="V87" s="16"/>
      <c r="W87" s="75"/>
      <c r="X87" s="29"/>
      <c r="Y87" s="74"/>
      <c r="Z87" s="16"/>
      <c r="AA87" t="s" s="96">
        <v>105</v>
      </c>
      <c r="AB87" t="s" s="158">
        <v>15</v>
      </c>
      <c r="AC87" s="114">
        <v>1</v>
      </c>
      <c r="AD87" s="29"/>
      <c r="AE87" s="30"/>
      <c r="AF87" s="30"/>
      <c r="AG87" t="s" s="159">
        <v>873</v>
      </c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74"/>
      <c r="BA87" s="16"/>
      <c r="BB87" s="16"/>
      <c r="BC87" s="16"/>
    </row>
    <row r="88" ht="19" customHeight="1">
      <c r="A88" t="s" s="83">
        <v>2208</v>
      </c>
      <c r="B88" s="112">
        <v>1921</v>
      </c>
      <c r="C88" s="30"/>
      <c r="D88" t="s" s="83">
        <v>2206</v>
      </c>
      <c r="E88" s="74"/>
      <c r="F88" s="16"/>
      <c r="G88" s="16"/>
      <c r="H88" s="79">
        <v>3</v>
      </c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75"/>
      <c r="X88" s="29"/>
      <c r="Y88" s="74"/>
      <c r="Z88" s="16"/>
      <c r="AA88" s="16"/>
      <c r="AB88" s="75"/>
      <c r="AC88" s="29"/>
      <c r="AD88" s="29"/>
      <c r="AE88" s="30"/>
      <c r="AF88" s="30"/>
      <c r="AG88" s="122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74"/>
      <c r="BA88" s="16"/>
      <c r="BB88" s="16"/>
      <c r="BC88" s="16"/>
    </row>
    <row r="89" ht="19" customHeight="1">
      <c r="A89" t="s" s="83">
        <v>2208</v>
      </c>
      <c r="B89" s="112">
        <v>1921</v>
      </c>
      <c r="C89" s="30"/>
      <c r="D89" t="s" s="83">
        <v>2206</v>
      </c>
      <c r="E89" s="74"/>
      <c r="F89" s="16"/>
      <c r="G89" t="s" s="96">
        <v>1</v>
      </c>
      <c r="H89" t="s" s="96">
        <v>0</v>
      </c>
      <c r="I89" s="16"/>
      <c r="J89" t="s" s="96">
        <v>3</v>
      </c>
      <c r="K89" s="16"/>
      <c r="L89" s="16"/>
      <c r="M89" s="16"/>
      <c r="N89" t="s" s="96">
        <v>2</v>
      </c>
      <c r="O89" s="16"/>
      <c r="P89" s="16"/>
      <c r="Q89" s="16"/>
      <c r="R89" s="16"/>
      <c r="S89" s="16"/>
      <c r="T89" t="s" s="96">
        <v>5</v>
      </c>
      <c r="U89" s="16"/>
      <c r="V89" s="16"/>
      <c r="W89" s="75"/>
      <c r="X89" s="29"/>
      <c r="Y89" s="74"/>
      <c r="Z89" s="16"/>
      <c r="AA89" t="s" s="96">
        <v>7</v>
      </c>
      <c r="AB89" t="s" s="158">
        <v>8</v>
      </c>
      <c r="AC89" s="29"/>
      <c r="AD89" s="29"/>
      <c r="AE89" s="30"/>
      <c r="AF89" s="30"/>
      <c r="AG89" t="s" s="159">
        <v>6</v>
      </c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74"/>
      <c r="BA89" s="16"/>
      <c r="BB89" s="16"/>
      <c r="BC89" s="16"/>
    </row>
    <row r="90" ht="19" customHeight="1">
      <c r="A90" t="s" s="83">
        <v>2208</v>
      </c>
      <c r="B90" s="112">
        <v>1921</v>
      </c>
      <c r="C90" s="112">
        <v>13</v>
      </c>
      <c r="D90" t="s" s="83">
        <v>2206</v>
      </c>
      <c r="E90" s="74"/>
      <c r="F90" s="79">
        <v>19</v>
      </c>
      <c r="G90" t="s" s="96">
        <v>2307</v>
      </c>
      <c r="H90" t="s" s="96">
        <v>839</v>
      </c>
      <c r="I90" s="79">
        <v>62</v>
      </c>
      <c r="J90" t="s" s="96">
        <v>37</v>
      </c>
      <c r="K90" s="79">
        <v>1</v>
      </c>
      <c r="L90" s="16"/>
      <c r="M90" s="16"/>
      <c r="N90" s="79">
        <v>1</v>
      </c>
      <c r="O90" s="16"/>
      <c r="P90" s="16"/>
      <c r="Q90" s="16"/>
      <c r="R90" s="16"/>
      <c r="S90" s="16"/>
      <c r="T90" s="79">
        <v>43</v>
      </c>
      <c r="U90" s="16"/>
      <c r="V90" s="16"/>
      <c r="W90" s="75"/>
      <c r="X90" s="29"/>
      <c r="Y90" s="74"/>
      <c r="Z90" s="16"/>
      <c r="AA90" t="s" s="96">
        <v>689</v>
      </c>
      <c r="AB90" t="s" s="158">
        <v>2308</v>
      </c>
      <c r="AC90" s="114">
        <v>1</v>
      </c>
      <c r="AD90" s="29"/>
      <c r="AE90" s="30"/>
      <c r="AF90" s="112">
        <v>1</v>
      </c>
      <c r="AG90" t="s" s="159">
        <v>13</v>
      </c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74"/>
      <c r="BA90" s="16"/>
      <c r="BB90" s="16"/>
      <c r="BC90" s="16"/>
    </row>
    <row r="91" ht="19" customHeight="1">
      <c r="A91" t="s" s="83">
        <v>2208</v>
      </c>
      <c r="B91" s="112">
        <v>1921</v>
      </c>
      <c r="C91" s="112">
        <v>13</v>
      </c>
      <c r="D91" t="s" s="83">
        <v>2206</v>
      </c>
      <c r="E91" s="74"/>
      <c r="F91" s="79">
        <v>19</v>
      </c>
      <c r="G91" t="s" s="96">
        <v>2307</v>
      </c>
      <c r="H91" t="s" s="96">
        <v>2309</v>
      </c>
      <c r="I91" s="79">
        <v>63</v>
      </c>
      <c r="J91" s="79">
        <v>1</v>
      </c>
      <c r="K91" s="16"/>
      <c r="L91" s="16"/>
      <c r="M91" s="16"/>
      <c r="N91" t="s" s="96">
        <v>72</v>
      </c>
      <c r="O91" s="79">
        <v>1</v>
      </c>
      <c r="P91" s="16"/>
      <c r="Q91" s="16"/>
      <c r="R91" s="16"/>
      <c r="S91" s="16"/>
      <c r="T91" s="79">
        <v>34</v>
      </c>
      <c r="U91" s="16"/>
      <c r="V91" s="16"/>
      <c r="W91" s="75"/>
      <c r="X91" s="29"/>
      <c r="Y91" s="74"/>
      <c r="Z91" s="16"/>
      <c r="AA91" t="s" s="96">
        <v>33</v>
      </c>
      <c r="AB91" t="s" s="158">
        <v>34</v>
      </c>
      <c r="AC91" s="29"/>
      <c r="AD91" s="29"/>
      <c r="AE91" s="30"/>
      <c r="AF91" s="112">
        <v>1</v>
      </c>
      <c r="AG91" t="s" s="159">
        <v>523</v>
      </c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74"/>
      <c r="BA91" s="16"/>
      <c r="BB91" s="16"/>
      <c r="BC91" s="16"/>
    </row>
    <row r="92" ht="19" customHeight="1">
      <c r="A92" t="s" s="83">
        <v>2208</v>
      </c>
      <c r="B92" s="112">
        <v>1921</v>
      </c>
      <c r="C92" s="112">
        <v>13</v>
      </c>
      <c r="D92" t="s" s="83">
        <v>2206</v>
      </c>
      <c r="E92" s="74"/>
      <c r="F92" s="79">
        <v>19</v>
      </c>
      <c r="G92" t="s" s="96">
        <v>2310</v>
      </c>
      <c r="H92" t="s" s="96">
        <v>2199</v>
      </c>
      <c r="I92" s="79">
        <v>64</v>
      </c>
      <c r="J92" s="79">
        <v>1</v>
      </c>
      <c r="K92" s="16"/>
      <c r="L92" s="16"/>
      <c r="M92" s="16"/>
      <c r="N92" t="s" s="96">
        <v>11</v>
      </c>
      <c r="O92" s="16"/>
      <c r="P92" s="16"/>
      <c r="Q92" s="16"/>
      <c r="R92" s="16"/>
      <c r="S92" s="79">
        <v>1</v>
      </c>
      <c r="T92" s="79">
        <v>38</v>
      </c>
      <c r="U92" s="16"/>
      <c r="V92" s="16"/>
      <c r="W92" s="75"/>
      <c r="X92" s="29"/>
      <c r="Y92" s="74"/>
      <c r="Z92" s="16"/>
      <c r="AA92" t="s" s="96">
        <v>2311</v>
      </c>
      <c r="AB92" t="s" s="158">
        <v>15</v>
      </c>
      <c r="AC92" s="114">
        <v>1</v>
      </c>
      <c r="AD92" s="29"/>
      <c r="AE92" s="30"/>
      <c r="AF92" s="30"/>
      <c r="AG92" t="s" s="159">
        <v>118</v>
      </c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74"/>
      <c r="BA92" s="16"/>
      <c r="BB92" s="16"/>
      <c r="BC92" s="16"/>
    </row>
    <row r="93" ht="19" customHeight="1">
      <c r="A93" t="s" s="83">
        <v>2208</v>
      </c>
      <c r="B93" s="112">
        <v>1921</v>
      </c>
      <c r="C93" s="112">
        <v>13</v>
      </c>
      <c r="D93" t="s" s="83">
        <v>2206</v>
      </c>
      <c r="E93" s="74"/>
      <c r="F93" s="79">
        <v>19</v>
      </c>
      <c r="G93" t="s" s="96">
        <v>2312</v>
      </c>
      <c r="H93" t="s" s="96">
        <v>2313</v>
      </c>
      <c r="I93" s="79">
        <v>65</v>
      </c>
      <c r="J93" s="79">
        <v>1</v>
      </c>
      <c r="K93" s="16"/>
      <c r="L93" s="16"/>
      <c r="M93" s="16"/>
      <c r="N93" t="s" s="96">
        <v>11</v>
      </c>
      <c r="O93" s="16"/>
      <c r="P93" s="16"/>
      <c r="Q93" s="16"/>
      <c r="R93" s="16"/>
      <c r="S93" s="79">
        <v>1</v>
      </c>
      <c r="T93" s="79">
        <v>18</v>
      </c>
      <c r="U93" s="16"/>
      <c r="V93" s="16"/>
      <c r="W93" s="75"/>
      <c r="X93" s="29"/>
      <c r="Y93" s="74"/>
      <c r="Z93" s="16"/>
      <c r="AA93" t="s" s="96">
        <v>2314</v>
      </c>
      <c r="AB93" t="s" s="158">
        <v>15</v>
      </c>
      <c r="AC93" s="114">
        <v>1</v>
      </c>
      <c r="AD93" s="29"/>
      <c r="AE93" s="30"/>
      <c r="AF93" s="30"/>
      <c r="AG93" t="s" s="159">
        <v>2315</v>
      </c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74"/>
      <c r="BA93" s="16"/>
      <c r="BB93" s="16"/>
      <c r="BC93" s="16"/>
    </row>
    <row r="94" ht="17.5" customHeight="1">
      <c r="A94" t="s" s="83">
        <v>2208</v>
      </c>
      <c r="B94" s="112">
        <v>1921</v>
      </c>
      <c r="C94" s="30"/>
      <c r="D94" t="s" s="83">
        <v>2206</v>
      </c>
      <c r="E94" s="74"/>
      <c r="F94" s="16"/>
      <c r="G94" s="16"/>
      <c r="H94" s="79">
        <v>4</v>
      </c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75"/>
      <c r="X94" s="30"/>
      <c r="Y94" s="74"/>
      <c r="Z94" s="16"/>
      <c r="AA94" s="16"/>
      <c r="AB94" s="75"/>
      <c r="AC94" s="30"/>
      <c r="AD94" s="30"/>
      <c r="AE94" s="30"/>
      <c r="AF94" s="30"/>
      <c r="AG94" s="122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74"/>
      <c r="BA94" s="16"/>
      <c r="BB94" s="16"/>
      <c r="BC94" s="16"/>
    </row>
    <row r="95" ht="17.5" customHeight="1">
      <c r="A95" t="s" s="83">
        <v>2208</v>
      </c>
      <c r="B95" s="112">
        <v>1921</v>
      </c>
      <c r="C95" s="30"/>
      <c r="D95" t="s" s="83">
        <v>2206</v>
      </c>
      <c r="E95" s="74"/>
      <c r="F95" s="16"/>
      <c r="G95" t="s" s="96">
        <v>1</v>
      </c>
      <c r="H95" t="s" s="96">
        <v>0</v>
      </c>
      <c r="I95" s="16"/>
      <c r="J95" t="s" s="96">
        <v>3</v>
      </c>
      <c r="K95" s="16"/>
      <c r="L95" s="16"/>
      <c r="M95" s="16"/>
      <c r="N95" t="s" s="96">
        <v>2</v>
      </c>
      <c r="O95" s="16"/>
      <c r="P95" s="16"/>
      <c r="Q95" s="16"/>
      <c r="R95" s="16"/>
      <c r="S95" s="16"/>
      <c r="T95" t="s" s="96">
        <v>5</v>
      </c>
      <c r="U95" s="16"/>
      <c r="V95" s="16"/>
      <c r="W95" s="75"/>
      <c r="X95" s="30"/>
      <c r="Y95" s="74"/>
      <c r="Z95" s="16"/>
      <c r="AA95" t="s" s="96">
        <v>7</v>
      </c>
      <c r="AB95" t="s" s="158">
        <v>8</v>
      </c>
      <c r="AC95" s="30"/>
      <c r="AD95" s="30"/>
      <c r="AE95" s="30"/>
      <c r="AF95" s="30"/>
      <c r="AG95" t="s" s="159">
        <v>6</v>
      </c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74"/>
      <c r="BA95" s="16"/>
      <c r="BB95" s="16"/>
      <c r="BC95" s="16"/>
    </row>
    <row r="96" ht="17.5" customHeight="1">
      <c r="A96" t="s" s="83">
        <v>2208</v>
      </c>
      <c r="B96" s="112">
        <v>1921</v>
      </c>
      <c r="C96" s="112">
        <v>14</v>
      </c>
      <c r="D96" t="s" s="83">
        <v>2206</v>
      </c>
      <c r="E96" s="74"/>
      <c r="F96" s="79">
        <v>23</v>
      </c>
      <c r="G96" t="s" s="96">
        <v>1688</v>
      </c>
      <c r="H96" t="s" s="96">
        <v>2316</v>
      </c>
      <c r="I96" s="79">
        <v>66</v>
      </c>
      <c r="J96" t="s" s="96">
        <v>37</v>
      </c>
      <c r="K96" s="79">
        <v>1</v>
      </c>
      <c r="L96" s="16"/>
      <c r="M96" s="16"/>
      <c r="N96" s="79">
        <v>1</v>
      </c>
      <c r="O96" s="16"/>
      <c r="P96" s="16"/>
      <c r="Q96" s="16"/>
      <c r="R96" s="16"/>
      <c r="S96" s="16"/>
      <c r="T96" s="79">
        <v>49</v>
      </c>
      <c r="U96" s="16"/>
      <c r="V96" s="16"/>
      <c r="W96" s="75"/>
      <c r="X96" s="30"/>
      <c r="Y96" s="74"/>
      <c r="Z96" s="16"/>
      <c r="AA96" t="s" s="96">
        <v>2317</v>
      </c>
      <c r="AB96" t="s" s="158">
        <v>8</v>
      </c>
      <c r="AC96" s="112">
        <v>1</v>
      </c>
      <c r="AD96" s="112">
        <v>1</v>
      </c>
      <c r="AE96" s="30"/>
      <c r="AF96" s="112">
        <v>1</v>
      </c>
      <c r="AG96" t="s" s="159">
        <v>13</v>
      </c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74"/>
      <c r="BA96" s="16"/>
      <c r="BB96" s="16"/>
      <c r="BC96" s="16"/>
    </row>
    <row r="97" ht="17.5" customHeight="1">
      <c r="A97" t="s" s="83">
        <v>2208</v>
      </c>
      <c r="B97" s="112">
        <v>1921</v>
      </c>
      <c r="C97" s="112">
        <v>14</v>
      </c>
      <c r="D97" t="s" s="83">
        <v>2206</v>
      </c>
      <c r="E97" s="74"/>
      <c r="F97" s="79">
        <v>23</v>
      </c>
      <c r="G97" t="s" s="96">
        <v>1688</v>
      </c>
      <c r="H97" t="s" s="96">
        <v>2318</v>
      </c>
      <c r="I97" s="79">
        <v>67</v>
      </c>
      <c r="J97" s="79">
        <v>1</v>
      </c>
      <c r="K97" s="16"/>
      <c r="L97" s="16"/>
      <c r="M97" s="16"/>
      <c r="N97" t="s" s="96">
        <v>72</v>
      </c>
      <c r="O97" s="79">
        <v>1</v>
      </c>
      <c r="P97" s="16"/>
      <c r="Q97" s="16"/>
      <c r="R97" s="16"/>
      <c r="S97" s="16"/>
      <c r="T97" s="79">
        <v>39</v>
      </c>
      <c r="U97" s="16"/>
      <c r="V97" s="16"/>
      <c r="W97" s="75"/>
      <c r="X97" s="30"/>
      <c r="Y97" s="74"/>
      <c r="Z97" s="16"/>
      <c r="AA97" t="s" s="96">
        <v>33</v>
      </c>
      <c r="AB97" t="s" s="158">
        <v>34</v>
      </c>
      <c r="AC97" s="30"/>
      <c r="AD97" s="30"/>
      <c r="AE97" s="30"/>
      <c r="AF97" s="112">
        <v>1</v>
      </c>
      <c r="AG97" t="s" s="159">
        <v>2319</v>
      </c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74"/>
      <c r="BA97" s="16"/>
      <c r="BB97" s="16"/>
      <c r="BC97" s="16"/>
    </row>
    <row r="98" ht="17.5" customHeight="1">
      <c r="A98" t="s" s="83">
        <v>2208</v>
      </c>
      <c r="B98" s="112">
        <v>1921</v>
      </c>
      <c r="C98" s="112">
        <v>14</v>
      </c>
      <c r="D98" t="s" s="83">
        <v>2206</v>
      </c>
      <c r="E98" s="74"/>
      <c r="F98" s="79">
        <v>23</v>
      </c>
      <c r="G98" t="s" s="96">
        <v>1688</v>
      </c>
      <c r="H98" t="s" s="96">
        <v>2318</v>
      </c>
      <c r="I98" s="79">
        <v>68</v>
      </c>
      <c r="J98" s="16"/>
      <c r="K98" s="16"/>
      <c r="L98" s="79">
        <v>1</v>
      </c>
      <c r="M98" s="16"/>
      <c r="N98" t="s" s="96">
        <v>78</v>
      </c>
      <c r="O98" s="16"/>
      <c r="P98" s="79">
        <v>1</v>
      </c>
      <c r="Q98" s="16"/>
      <c r="R98" s="16"/>
      <c r="S98" s="16"/>
      <c r="T98" s="79">
        <v>10</v>
      </c>
      <c r="U98" s="16"/>
      <c r="V98" s="16"/>
      <c r="W98" s="75"/>
      <c r="X98" s="30"/>
      <c r="Y98" s="74"/>
      <c r="Z98" s="16"/>
      <c r="AA98" t="s" s="96">
        <v>34</v>
      </c>
      <c r="AB98" t="s" s="158">
        <v>34</v>
      </c>
      <c r="AC98" s="30"/>
      <c r="AD98" s="30"/>
      <c r="AE98" s="30"/>
      <c r="AF98" s="112">
        <v>1</v>
      </c>
      <c r="AG98" t="s" s="159">
        <v>13</v>
      </c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74"/>
      <c r="BA98" s="16"/>
      <c r="BB98" s="16"/>
      <c r="BC98" s="16"/>
    </row>
    <row r="99" ht="17.5" customHeight="1">
      <c r="A99" t="s" s="83">
        <v>2208</v>
      </c>
      <c r="B99" s="112">
        <v>1921</v>
      </c>
      <c r="C99" s="112">
        <v>14</v>
      </c>
      <c r="D99" t="s" s="83">
        <v>2206</v>
      </c>
      <c r="E99" s="74"/>
      <c r="F99" s="79">
        <v>23</v>
      </c>
      <c r="G99" t="s" s="96">
        <v>2320</v>
      </c>
      <c r="H99" t="s" s="96">
        <v>2321</v>
      </c>
      <c r="I99" s="79">
        <v>69</v>
      </c>
      <c r="J99" s="79">
        <v>1</v>
      </c>
      <c r="K99" s="16"/>
      <c r="L99" s="16"/>
      <c r="M99" s="16"/>
      <c r="N99" t="s" s="96">
        <v>11</v>
      </c>
      <c r="O99" s="16"/>
      <c r="P99" s="16"/>
      <c r="Q99" s="16"/>
      <c r="R99" s="16"/>
      <c r="S99" s="79">
        <v>1</v>
      </c>
      <c r="T99" s="79">
        <v>25</v>
      </c>
      <c r="U99" s="16"/>
      <c r="V99" s="16"/>
      <c r="W99" s="75"/>
      <c r="X99" s="30"/>
      <c r="Y99" s="74"/>
      <c r="Z99" s="16"/>
      <c r="AA99" t="s" s="96">
        <v>105</v>
      </c>
      <c r="AB99" t="s" s="158">
        <v>15</v>
      </c>
      <c r="AC99" s="112">
        <v>1</v>
      </c>
      <c r="AD99" s="30"/>
      <c r="AE99" s="30"/>
      <c r="AF99" s="112">
        <v>1</v>
      </c>
      <c r="AG99" t="s" s="159">
        <v>2322</v>
      </c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74"/>
      <c r="BA99" s="16"/>
      <c r="BB99" s="16"/>
      <c r="BC99" s="16"/>
    </row>
    <row r="100" ht="17.5" customHeight="1">
      <c r="A100" t="s" s="83">
        <v>2208</v>
      </c>
      <c r="B100" s="112">
        <v>1921</v>
      </c>
      <c r="C100" s="30"/>
      <c r="D100" t="s" s="83">
        <v>2206</v>
      </c>
      <c r="E100" s="74"/>
      <c r="F100" s="16"/>
      <c r="G100" s="16"/>
      <c r="H100" s="79">
        <v>4</v>
      </c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75"/>
      <c r="X100" s="30"/>
      <c r="Y100" s="74"/>
      <c r="Z100" s="16"/>
      <c r="AA100" s="16"/>
      <c r="AB100" s="75"/>
      <c r="AC100" s="30"/>
      <c r="AD100" s="30"/>
      <c r="AE100" s="30"/>
      <c r="AF100" s="30"/>
      <c r="AG100" s="122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74"/>
      <c r="BA100" s="16"/>
      <c r="BB100" s="16"/>
      <c r="BC100" s="16"/>
    </row>
    <row r="101" ht="17.5" customHeight="1">
      <c r="A101" t="s" s="83">
        <v>2208</v>
      </c>
      <c r="B101" s="112">
        <v>1921</v>
      </c>
      <c r="C101" s="30"/>
      <c r="D101" t="s" s="83">
        <v>2206</v>
      </c>
      <c r="E101" s="74"/>
      <c r="F101" s="16"/>
      <c r="G101" t="s" s="96">
        <v>1</v>
      </c>
      <c r="H101" t="s" s="96">
        <v>0</v>
      </c>
      <c r="I101" s="16"/>
      <c r="J101" t="s" s="96">
        <v>3</v>
      </c>
      <c r="K101" s="16"/>
      <c r="L101" s="16"/>
      <c r="M101" s="16"/>
      <c r="N101" t="s" s="96">
        <v>2</v>
      </c>
      <c r="O101" s="16"/>
      <c r="P101" s="16"/>
      <c r="Q101" s="16"/>
      <c r="R101" s="16"/>
      <c r="S101" s="16"/>
      <c r="T101" t="s" s="96">
        <v>5</v>
      </c>
      <c r="U101" s="16"/>
      <c r="V101" s="16"/>
      <c r="W101" s="75"/>
      <c r="X101" s="30"/>
      <c r="Y101" s="74"/>
      <c r="Z101" s="16"/>
      <c r="AA101" t="s" s="96">
        <v>7</v>
      </c>
      <c r="AB101" t="s" s="158">
        <v>8</v>
      </c>
      <c r="AC101" s="30"/>
      <c r="AD101" s="30"/>
      <c r="AE101" s="30"/>
      <c r="AF101" s="30"/>
      <c r="AG101" t="s" s="159">
        <v>6</v>
      </c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74"/>
      <c r="BA101" s="16"/>
      <c r="BB101" s="16"/>
      <c r="BC101" s="16"/>
    </row>
    <row r="102" ht="17" customHeight="1">
      <c r="A102" t="s" s="83">
        <v>2208</v>
      </c>
      <c r="B102" s="112">
        <v>1921</v>
      </c>
      <c r="C102" s="112">
        <v>15</v>
      </c>
      <c r="D102" t="s" s="83">
        <v>2206</v>
      </c>
      <c r="E102" s="74"/>
      <c r="F102" s="79">
        <v>25</v>
      </c>
      <c r="G102" t="s" s="96">
        <v>2323</v>
      </c>
      <c r="H102" t="s" s="96">
        <v>153</v>
      </c>
      <c r="I102" s="79">
        <v>70</v>
      </c>
      <c r="J102" t="s" s="96">
        <v>37</v>
      </c>
      <c r="K102" s="79">
        <v>1</v>
      </c>
      <c r="L102" s="16"/>
      <c r="M102" s="16"/>
      <c r="N102" s="79">
        <v>1</v>
      </c>
      <c r="O102" s="16"/>
      <c r="P102" s="16"/>
      <c r="Q102" s="16"/>
      <c r="R102" s="16"/>
      <c r="S102" s="16"/>
      <c r="T102" s="79">
        <v>55</v>
      </c>
      <c r="U102" s="16"/>
      <c r="V102" s="16"/>
      <c r="W102" s="75"/>
      <c r="X102" s="112" cm="1">
        <f t="array" ref="X102">SUM(X3:X101)</f>
        <v>0</v>
      </c>
      <c r="Y102" s="74"/>
      <c r="Z102" s="16"/>
      <c r="AA102" t="s" s="96">
        <v>2324</v>
      </c>
      <c r="AB102" t="s" s="158">
        <v>8</v>
      </c>
      <c r="AC102" s="112">
        <v>1</v>
      </c>
      <c r="AD102" s="112">
        <v>1</v>
      </c>
      <c r="AE102" s="30"/>
      <c r="AF102" s="30"/>
      <c r="AG102" t="s" s="159">
        <v>134</v>
      </c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74"/>
      <c r="BA102" s="16"/>
      <c r="BB102" s="16"/>
      <c r="BC102" s="16"/>
    </row>
    <row r="103" ht="17.5" customHeight="1">
      <c r="A103" t="s" s="83">
        <v>2208</v>
      </c>
      <c r="B103" s="112">
        <v>1921</v>
      </c>
      <c r="C103" s="112">
        <v>15</v>
      </c>
      <c r="D103" t="s" s="83">
        <v>2206</v>
      </c>
      <c r="E103" s="74"/>
      <c r="F103" s="79">
        <v>25</v>
      </c>
      <c r="G103" t="s" s="96">
        <v>2323</v>
      </c>
      <c r="H103" t="s" s="96">
        <v>2325</v>
      </c>
      <c r="I103" s="79">
        <v>71</v>
      </c>
      <c r="J103" s="79">
        <v>1</v>
      </c>
      <c r="K103" s="16"/>
      <c r="L103" s="16"/>
      <c r="M103" s="16"/>
      <c r="N103" t="s" s="96">
        <v>72</v>
      </c>
      <c r="O103" s="79">
        <v>1</v>
      </c>
      <c r="P103" s="16"/>
      <c r="Q103" s="16"/>
      <c r="R103" s="16"/>
      <c r="S103" s="16"/>
      <c r="T103" s="79">
        <v>54</v>
      </c>
      <c r="U103" s="16"/>
      <c r="V103" s="16"/>
      <c r="W103" s="75"/>
      <c r="X103" s="30"/>
      <c r="Y103" s="74"/>
      <c r="Z103" s="16"/>
      <c r="AA103" t="s" s="96">
        <v>34</v>
      </c>
      <c r="AB103" t="s" s="158">
        <v>34</v>
      </c>
      <c r="AC103" s="30"/>
      <c r="AD103" s="30"/>
      <c r="AE103" s="30"/>
      <c r="AF103" s="30"/>
      <c r="AG103" t="s" s="159">
        <v>2326</v>
      </c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74"/>
      <c r="BA103" s="16"/>
      <c r="BB103" s="16"/>
      <c r="BC103" s="16"/>
    </row>
    <row r="104" ht="17.5" customHeight="1">
      <c r="A104" t="s" s="83">
        <v>2208</v>
      </c>
      <c r="B104" s="112">
        <v>1921</v>
      </c>
      <c r="C104" s="112">
        <v>15</v>
      </c>
      <c r="D104" t="s" s="83">
        <v>2206</v>
      </c>
      <c r="E104" s="131"/>
      <c r="F104" s="126">
        <v>25</v>
      </c>
      <c r="G104" t="s" s="181">
        <v>2327</v>
      </c>
      <c r="H104" t="s" s="181">
        <v>2328</v>
      </c>
      <c r="I104" s="126">
        <v>72</v>
      </c>
      <c r="J104" s="126">
        <v>1</v>
      </c>
      <c r="K104" s="132"/>
      <c r="L104" s="132"/>
      <c r="M104" s="132"/>
      <c r="N104" t="s" s="181">
        <v>145</v>
      </c>
      <c r="O104" s="132"/>
      <c r="P104" s="132"/>
      <c r="Q104" s="132"/>
      <c r="R104" s="132"/>
      <c r="S104" s="126">
        <v>1</v>
      </c>
      <c r="T104" s="126">
        <v>42</v>
      </c>
      <c r="U104" s="132"/>
      <c r="V104" s="132"/>
      <c r="W104" s="133"/>
      <c r="X104" s="30"/>
      <c r="Y104" s="131"/>
      <c r="Z104" s="132"/>
      <c r="AA104" t="s" s="181">
        <v>909</v>
      </c>
      <c r="AB104" t="s" s="161">
        <v>15</v>
      </c>
      <c r="AC104" s="112">
        <v>1</v>
      </c>
      <c r="AD104" s="30"/>
      <c r="AE104" s="30"/>
      <c r="AF104" s="30"/>
      <c r="AG104" t="s" s="110">
        <v>2326</v>
      </c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74"/>
      <c r="BA104" s="16"/>
      <c r="BB104" s="16"/>
      <c r="BC104" s="16"/>
    </row>
    <row r="105" ht="17.5" customHeight="1">
      <c r="A105" t="s" s="83">
        <v>2208</v>
      </c>
      <c r="B105" s="112">
        <v>1921</v>
      </c>
      <c r="C105" s="112">
        <v>15</v>
      </c>
      <c r="D105" t="s" s="83">
        <v>2206</v>
      </c>
      <c r="E105" s="124"/>
      <c r="F105" s="28"/>
      <c r="G105" s="28"/>
      <c r="H105" s="307">
        <v>3</v>
      </c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74"/>
      <c r="BA105" s="16"/>
      <c r="BB105" s="16"/>
      <c r="BC105" s="16"/>
    </row>
    <row r="106" ht="28" customHeight="1">
      <c r="A106" t="s" s="83">
        <v>2208</v>
      </c>
      <c r="B106" s="112">
        <v>1921</v>
      </c>
      <c r="C106" s="112">
        <v>15</v>
      </c>
      <c r="D106" t="s" s="83">
        <v>2206</v>
      </c>
      <c r="E106" s="124"/>
      <c r="F106" s="28"/>
      <c r="G106" s="28"/>
      <c r="H106" s="28"/>
      <c r="I106" s="307">
        <v>72</v>
      </c>
      <c r="J106" s="307" cm="1">
        <f t="array" ref="J106">SUM(J3:J104)</f>
        <v>40</v>
      </c>
      <c r="K106" s="307" cm="1">
        <f t="array" ref="K106">SUM(K3:K104)</f>
        <v>26</v>
      </c>
      <c r="L106" s="307" cm="1">
        <f t="array" ref="L106">SUM(L3:L104)</f>
        <v>4</v>
      </c>
      <c r="M106" s="307" cm="1">
        <f t="array" ref="M106">SUM(M3:M104)</f>
        <v>2</v>
      </c>
      <c r="N106" s="307" cm="1">
        <f t="array" ref="N106">SUM(N3:N104)</f>
        <v>16</v>
      </c>
      <c r="O106" s="307" cm="1">
        <f t="array" ref="O106">SUM(O3:O104)</f>
        <v>12</v>
      </c>
      <c r="P106" s="307" cm="1">
        <f t="array" ref="P106">SUM(P3:P104)</f>
        <v>5</v>
      </c>
      <c r="Q106" s="307" cm="1">
        <f t="array" ref="Q106">SUM(Q3:Q104)</f>
        <v>9</v>
      </c>
      <c r="R106" s="307" cm="1">
        <f t="array" ref="R106">SUM(R3:R104)</f>
        <v>8</v>
      </c>
      <c r="S106" s="307" cm="1">
        <f t="array" ref="S106">SUM(S3:S104)</f>
        <v>22</v>
      </c>
      <c r="T106" s="307" cm="1">
        <f t="array" ref="T106">SUM(T3:T104)</f>
        <v>2724</v>
      </c>
      <c r="U106" s="307" cm="1">
        <f t="array" ref="U106">SUM(U3:U104)</f>
        <v>0</v>
      </c>
      <c r="V106" s="307" cm="1">
        <f t="array" ref="V106">SUM(V3:V104)</f>
        <v>0</v>
      </c>
      <c r="W106" s="307" cm="1">
        <f t="array" ref="W106">SUM(W3:W104)</f>
        <v>0</v>
      </c>
      <c r="X106" s="307" cm="1">
        <f t="array" ref="X106">SUM(X3:X104)</f>
        <v>0</v>
      </c>
      <c r="Y106" s="307" cm="1">
        <f t="array" ref="Y106">SUM(Y3:Y104)</f>
        <v>0</v>
      </c>
      <c r="Z106" s="307" cm="1">
        <f t="array" ref="Z106">SUM(Z3:Z104)</f>
        <v>0</v>
      </c>
      <c r="AA106" s="307" cm="1">
        <f t="array" ref="AA106">SUM(AA3:AA104)</f>
        <v>0</v>
      </c>
      <c r="AB106" s="307" cm="1">
        <f t="array" ref="AB106">SUM(AB3:AB104)</f>
        <v>0</v>
      </c>
      <c r="AC106" s="307" cm="1">
        <f t="array" ref="AC106">SUM(AC3:AC104)</f>
        <v>43</v>
      </c>
      <c r="AD106" s="307" cm="1">
        <f t="array" ref="AD106">SUM(AD3:AD104)</f>
        <v>6</v>
      </c>
      <c r="AE106" s="307" cm="1">
        <f t="array" ref="AE106">AC106-AD106</f>
        <v>37</v>
      </c>
      <c r="AF106" s="307" cm="1">
        <f t="array" ref="AF106">SUM(AF3:AF104)</f>
        <v>35</v>
      </c>
      <c r="AG106" s="307" cm="1">
        <f t="array" ref="AG106">I107-AF106</f>
        <v>37</v>
      </c>
      <c r="AH106" s="307" cm="1">
        <f t="array" ref="AH106">AG106+AF106</f>
        <v>72</v>
      </c>
      <c r="AI106" s="307" cm="1">
        <f t="array" ref="AI106">SUM(AI3:AI104)</f>
        <v>0</v>
      </c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74"/>
      <c r="BA106" s="16"/>
      <c r="BB106" s="16"/>
      <c r="BC106" s="16"/>
    </row>
    <row r="107" ht="17.5" customHeight="1">
      <c r="A107" s="146"/>
      <c r="B107" s="30"/>
      <c r="C107" s="30"/>
      <c r="D107" s="30"/>
      <c r="E107" s="30"/>
      <c r="F107" s="30"/>
      <c r="G107" s="30"/>
      <c r="H107" s="30"/>
      <c r="I107" s="112" cm="1">
        <f t="array" ref="I107">SUM(J106:M106)</f>
        <v>72</v>
      </c>
      <c r="J107" s="30"/>
      <c r="K107" s="30"/>
      <c r="L107" s="30"/>
      <c r="M107" s="121"/>
      <c r="N107" s="118" cm="1">
        <f t="array" ref="N107">SUM(N106:S106)</f>
        <v>72</v>
      </c>
      <c r="O107" s="121"/>
      <c r="P107" s="121"/>
      <c r="Q107" s="121"/>
      <c r="R107" s="121"/>
      <c r="S107" s="121"/>
      <c r="T107" s="86" cm="1">
        <f t="array" ref="T107">T106/I107</f>
        <v>37.8333333333333</v>
      </c>
      <c r="U107" s="121"/>
      <c r="V107" s="121"/>
      <c r="W107" s="121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74"/>
      <c r="BA107" s="16"/>
      <c r="BB107" s="16"/>
      <c r="BC107" s="16"/>
    </row>
    <row r="108" ht="17.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121"/>
      <c r="N108" s="121"/>
      <c r="O108" s="121"/>
      <c r="P108" s="121"/>
      <c r="Q108" s="30"/>
      <c r="R108" s="121"/>
      <c r="S108" s="121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74"/>
      <c r="BA108" s="16"/>
      <c r="BB108" s="16"/>
      <c r="BC108" s="16"/>
    </row>
    <row r="109" ht="17.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121"/>
      <c r="N109" s="121"/>
      <c r="O109" s="121"/>
      <c r="P109" s="121"/>
      <c r="Q109" s="121"/>
      <c r="R109" s="121"/>
      <c r="S109" s="121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74"/>
      <c r="BA109" s="16"/>
      <c r="BB109" s="16"/>
      <c r="BC109" s="16"/>
    </row>
    <row r="110" ht="17.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121"/>
      <c r="N110" s="121"/>
      <c r="O110" s="121"/>
      <c r="P110" s="121"/>
      <c r="Q110" s="121"/>
      <c r="R110" s="121"/>
      <c r="S110" s="121"/>
      <c r="T110" s="30"/>
      <c r="U110" s="121"/>
      <c r="V110" s="121"/>
      <c r="W110" s="121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74"/>
      <c r="BA110" s="16"/>
      <c r="BB110" s="16"/>
      <c r="BC110" s="16"/>
    </row>
    <row r="111" ht="17.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121"/>
      <c r="N111" s="121"/>
      <c r="O111" s="121"/>
      <c r="P111" s="121"/>
      <c r="Q111" s="30"/>
      <c r="R111" s="121"/>
      <c r="S111" s="121"/>
      <c r="T111" s="30"/>
      <c r="U111" s="121"/>
      <c r="V111" s="121"/>
      <c r="W111" s="121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74"/>
      <c r="BA111" s="16"/>
      <c r="BB111" s="16"/>
      <c r="BC111" s="16"/>
    </row>
    <row r="112" ht="17.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121"/>
      <c r="N112" s="121"/>
      <c r="O112" s="121"/>
      <c r="P112" s="121"/>
      <c r="Q112" s="30"/>
      <c r="R112" s="121"/>
      <c r="S112" s="121"/>
      <c r="T112" s="30"/>
      <c r="U112" s="121"/>
      <c r="V112" s="121"/>
      <c r="W112" s="121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74"/>
      <c r="BA112" s="16"/>
      <c r="BB112" s="16"/>
      <c r="BC112" s="16"/>
    </row>
    <row r="113" ht="17.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121"/>
      <c r="N113" s="121"/>
      <c r="O113" s="121"/>
      <c r="P113" s="121"/>
      <c r="Q113" s="30"/>
      <c r="R113" s="121"/>
      <c r="S113" s="121"/>
      <c r="T113" s="30"/>
      <c r="U113" s="121"/>
      <c r="V113" s="121"/>
      <c r="W113" s="121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74"/>
      <c r="BA113" s="16"/>
      <c r="BB113" s="16"/>
      <c r="BC113" s="16"/>
    </row>
    <row r="114" ht="17.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121"/>
      <c r="N114" s="121"/>
      <c r="O114" s="121"/>
      <c r="P114" s="121"/>
      <c r="Q114" s="30"/>
      <c r="R114" s="121"/>
      <c r="S114" s="121"/>
      <c r="T114" s="30"/>
      <c r="U114" s="121"/>
      <c r="V114" s="121"/>
      <c r="W114" s="121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74"/>
      <c r="BA114" s="16"/>
      <c r="BB114" s="16"/>
      <c r="BC114" s="16"/>
    </row>
    <row r="115" ht="17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74"/>
      <c r="BA115" s="16"/>
      <c r="BB115" s="16"/>
      <c r="BC115" s="16"/>
    </row>
    <row r="116" ht="17.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121"/>
      <c r="N116" s="121"/>
      <c r="O116" s="121"/>
      <c r="P116" s="121"/>
      <c r="Q116" s="30"/>
      <c r="R116" s="121"/>
      <c r="S116" s="121"/>
      <c r="T116" s="129"/>
      <c r="U116" s="121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74"/>
      <c r="BA116" s="16"/>
      <c r="BB116" s="16"/>
      <c r="BC116" s="16"/>
    </row>
    <row r="117" ht="17.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121"/>
      <c r="N117" s="121"/>
      <c r="O117" s="121"/>
      <c r="P117" s="121"/>
      <c r="Q117" s="30"/>
      <c r="R117" s="121"/>
      <c r="S117" s="121"/>
      <c r="T117" s="30"/>
      <c r="U117" s="121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74"/>
      <c r="BA117" s="16"/>
      <c r="BB117" s="16"/>
      <c r="BC117" s="16"/>
    </row>
    <row r="118" ht="17.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121"/>
      <c r="N118" s="121"/>
      <c r="O118" s="121"/>
      <c r="P118" s="121"/>
      <c r="Q118" s="30"/>
      <c r="R118" s="121"/>
      <c r="S118" s="121"/>
      <c r="T118" s="30"/>
      <c r="U118" s="121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74"/>
      <c r="BA118" s="16"/>
      <c r="BB118" s="16"/>
      <c r="BC118" s="16"/>
    </row>
    <row r="119" ht="17.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121"/>
      <c r="N119" s="121"/>
      <c r="O119" s="121"/>
      <c r="P119" s="121"/>
      <c r="Q119" s="30"/>
      <c r="R119" s="121"/>
      <c r="S119" s="121"/>
      <c r="T119" s="129"/>
      <c r="U119" s="121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74"/>
      <c r="BA119" s="16"/>
      <c r="BB119" s="16"/>
      <c r="BC119" s="16"/>
    </row>
    <row r="120" ht="17.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121"/>
      <c r="N120" s="121"/>
      <c r="O120" s="121"/>
      <c r="P120" s="121"/>
      <c r="Q120" s="30"/>
      <c r="R120" s="121"/>
      <c r="S120" s="121"/>
      <c r="T120" s="30"/>
      <c r="U120" s="121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74"/>
      <c r="BA120" s="16"/>
      <c r="BB120" s="16"/>
      <c r="BC120" s="16"/>
    </row>
    <row r="121" ht="17.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121"/>
      <c r="N121" s="121"/>
      <c r="O121" s="121"/>
      <c r="P121" s="121"/>
      <c r="Q121" s="30"/>
      <c r="R121" s="121"/>
      <c r="S121" s="121"/>
      <c r="T121" s="30"/>
      <c r="U121" s="121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74"/>
      <c r="BA121" s="16"/>
      <c r="BB121" s="16"/>
      <c r="BC121" s="16"/>
    </row>
    <row r="122" ht="17.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121"/>
      <c r="N122" s="121"/>
      <c r="O122" s="121"/>
      <c r="P122" s="121"/>
      <c r="Q122" s="30"/>
      <c r="R122" s="121"/>
      <c r="S122" s="121"/>
      <c r="T122" s="30"/>
      <c r="U122" s="121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74"/>
      <c r="BA122" s="16"/>
      <c r="BB122" s="16"/>
      <c r="BC122" s="16"/>
    </row>
    <row r="123" ht="17.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121"/>
      <c r="N123" s="121"/>
      <c r="O123" s="121"/>
      <c r="P123" s="121"/>
      <c r="Q123" s="30"/>
      <c r="R123" s="121"/>
      <c r="S123" s="121"/>
      <c r="T123" s="30"/>
      <c r="U123" s="121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74"/>
      <c r="BA123" s="16"/>
      <c r="BB123" s="16"/>
      <c r="BC123" s="16"/>
    </row>
    <row r="124" ht="17.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121"/>
      <c r="N124" s="121"/>
      <c r="O124" s="121"/>
      <c r="P124" s="121"/>
      <c r="Q124" s="30"/>
      <c r="R124" s="121"/>
      <c r="S124" s="121"/>
      <c r="T124" s="30"/>
      <c r="U124" s="121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74"/>
      <c r="BA124" s="16"/>
      <c r="BB124" s="16"/>
      <c r="BC124" s="16"/>
    </row>
    <row r="125" ht="17.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121"/>
      <c r="N125" s="121"/>
      <c r="O125" s="121"/>
      <c r="P125" s="121"/>
      <c r="Q125" s="30"/>
      <c r="R125" s="121"/>
      <c r="S125" s="121"/>
      <c r="T125" s="30"/>
      <c r="U125" s="121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74"/>
      <c r="BA125" s="16"/>
      <c r="BB125" s="16"/>
      <c r="BC125" s="16"/>
    </row>
    <row r="126" ht="17.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121"/>
      <c r="N126" s="121"/>
      <c r="O126" s="121"/>
      <c r="P126" s="121"/>
      <c r="Q126" s="30"/>
      <c r="R126" s="121"/>
      <c r="S126" s="121"/>
      <c r="T126" s="30"/>
      <c r="U126" s="121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74"/>
      <c r="BA126" s="16"/>
      <c r="BB126" s="16"/>
      <c r="BC126" s="16"/>
    </row>
    <row r="127" ht="17.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121"/>
      <c r="N127" s="121"/>
      <c r="O127" s="121"/>
      <c r="P127" s="121"/>
      <c r="Q127" s="30"/>
      <c r="R127" s="121"/>
      <c r="S127" s="121"/>
      <c r="T127" s="30"/>
      <c r="U127" s="121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74"/>
      <c r="BA127" s="16"/>
      <c r="BB127" s="16"/>
      <c r="BC127" s="16"/>
    </row>
    <row r="128" ht="17.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121"/>
      <c r="N128" s="121"/>
      <c r="O128" s="121"/>
      <c r="P128" s="121"/>
      <c r="Q128" s="30"/>
      <c r="R128" s="121"/>
      <c r="S128" s="121"/>
      <c r="T128" s="30"/>
      <c r="U128" s="121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74"/>
      <c r="BA128" s="16"/>
      <c r="BB128" s="16"/>
      <c r="BC128" s="16"/>
    </row>
    <row r="129" ht="17.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121"/>
      <c r="N129" s="121"/>
      <c r="O129" s="121"/>
      <c r="P129" s="121"/>
      <c r="Q129" s="30"/>
      <c r="R129" s="121"/>
      <c r="S129" s="121"/>
      <c r="T129" s="30"/>
      <c r="U129" s="121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74"/>
      <c r="BA129" s="16"/>
      <c r="BB129" s="16"/>
      <c r="BC129" s="16"/>
    </row>
    <row r="130" ht="17" customHeight="1">
      <c r="A130" s="83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74"/>
      <c r="BA130" s="16"/>
      <c r="BB130" s="16"/>
      <c r="BC130" s="16"/>
    </row>
    <row r="131" ht="17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87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74"/>
      <c r="BA131" s="16"/>
      <c r="BB131" s="16"/>
      <c r="BC131" s="16"/>
    </row>
    <row r="132" ht="17" customHeight="1">
      <c r="A132" s="30"/>
      <c r="B132" s="30"/>
      <c r="C132" s="30"/>
      <c r="D132" s="30"/>
      <c r="E132" s="30"/>
      <c r="F132" s="30"/>
      <c r="G132" s="130"/>
      <c r="H132" s="130"/>
      <c r="I132" s="130"/>
      <c r="J132" s="30"/>
      <c r="K132" s="30"/>
      <c r="L132" s="30"/>
      <c r="M132" s="30"/>
      <c r="N132" s="30"/>
      <c r="O132" s="30"/>
      <c r="P132" s="30"/>
      <c r="Q132" s="87"/>
      <c r="R132" s="130"/>
      <c r="S132" s="130"/>
      <c r="T132" s="1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74"/>
      <c r="BA132" s="16"/>
      <c r="BB132" s="16"/>
      <c r="BC132" s="16"/>
    </row>
    <row r="133" ht="17.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121"/>
      <c r="S133" s="121"/>
      <c r="T133" s="129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74"/>
      <c r="BA133" s="16"/>
      <c r="BB133" s="16"/>
      <c r="BC133" s="16"/>
    </row>
    <row r="134" ht="17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130"/>
      <c r="S134" s="130"/>
      <c r="T134" s="130"/>
      <c r="U134" s="30"/>
      <c r="V134" s="30"/>
      <c r="W134" s="30"/>
      <c r="X134" s="30"/>
      <c r="Y134" s="30"/>
      <c r="Z134" s="30"/>
      <c r="AA134" s="30"/>
      <c r="AB134" s="30"/>
      <c r="AC134" s="134"/>
      <c r="AD134" s="134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74"/>
      <c r="BA134" s="16"/>
      <c r="BB134" s="16"/>
      <c r="BC134" s="16"/>
    </row>
    <row r="135" ht="17.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121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74"/>
      <c r="BA135" s="16"/>
      <c r="BB135" s="16"/>
      <c r="BC135" s="16"/>
    </row>
    <row r="136" ht="15.35" customHeight="1">
      <c r="A136" s="62"/>
      <c r="B136" s="62"/>
      <c r="C136" s="62"/>
      <c r="D136" s="62"/>
      <c r="E136" s="62"/>
      <c r="F136" s="62"/>
      <c r="G136" s="62"/>
      <c r="H136" t="s" s="98">
        <v>0</v>
      </c>
      <c r="I136" t="s" s="98">
        <v>1</v>
      </c>
      <c r="J136" t="s" s="98">
        <v>2</v>
      </c>
      <c r="K136" t="s" s="98">
        <v>3</v>
      </c>
      <c r="L136" t="s" s="98">
        <v>4</v>
      </c>
      <c r="M136" t="s" s="98">
        <v>5</v>
      </c>
      <c r="N136" t="s" s="98">
        <v>6</v>
      </c>
      <c r="O136" t="s" s="98">
        <v>7</v>
      </c>
      <c r="P136" t="s" s="98">
        <v>8</v>
      </c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62"/>
      <c r="AE136" s="62"/>
      <c r="AF136" s="62"/>
      <c r="AG136" s="62"/>
      <c r="AH136" s="62"/>
      <c r="AI136" s="62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16"/>
      <c r="BA136" s="16"/>
      <c r="BB136" s="16"/>
      <c r="BC136" s="16"/>
    </row>
    <row r="137" ht="15.35" customHeight="1">
      <c r="A137" s="16"/>
      <c r="B137" s="16"/>
      <c r="C137" s="16"/>
      <c r="D137" s="16"/>
      <c r="E137" t="s" s="96">
        <v>2209</v>
      </c>
      <c r="F137" s="16"/>
      <c r="G137" s="16"/>
      <c r="H137" t="s" s="96">
        <v>309</v>
      </c>
      <c r="I137" t="s" s="96">
        <v>2210</v>
      </c>
      <c r="J137" t="s" s="96">
        <v>31</v>
      </c>
      <c r="K137" t="s" s="96">
        <v>37</v>
      </c>
      <c r="L137" s="79">
        <v>1881</v>
      </c>
      <c r="M137" s="79">
        <v>40</v>
      </c>
      <c r="N137" t="s" s="96">
        <v>2213</v>
      </c>
      <c r="O137" t="s" s="96">
        <v>2211</v>
      </c>
      <c r="P137" t="s" s="96">
        <v>2212</v>
      </c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</row>
    <row r="138" ht="15.35" customHeight="1">
      <c r="A138" s="16"/>
      <c r="B138" s="16"/>
      <c r="C138" s="16"/>
      <c r="D138" s="16"/>
      <c r="E138" t="s" s="96">
        <v>2209</v>
      </c>
      <c r="F138" s="16"/>
      <c r="G138" s="16"/>
      <c r="H138" t="s" s="96">
        <v>1177</v>
      </c>
      <c r="I138" t="s" s="96">
        <v>2210</v>
      </c>
      <c r="J138" t="s" s="96">
        <v>72</v>
      </c>
      <c r="K138" t="s" s="96">
        <v>12</v>
      </c>
      <c r="L138" s="79">
        <v>1883</v>
      </c>
      <c r="M138" s="79">
        <v>38</v>
      </c>
      <c r="N138" t="s" s="96">
        <v>2214</v>
      </c>
      <c r="O138" t="s" s="96">
        <v>34</v>
      </c>
      <c r="P138" t="s" s="96">
        <v>33</v>
      </c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</row>
    <row r="139" ht="15.35" customHeight="1">
      <c r="A139" s="16"/>
      <c r="B139" s="16"/>
      <c r="C139" s="16"/>
      <c r="D139" s="16"/>
      <c r="E139" t="s" s="96">
        <v>2209</v>
      </c>
      <c r="F139" s="16"/>
      <c r="G139" s="16"/>
      <c r="H139" t="s" s="96">
        <v>2215</v>
      </c>
      <c r="I139" t="s" s="96">
        <v>2210</v>
      </c>
      <c r="J139" t="s" s="96">
        <v>36</v>
      </c>
      <c r="K139" t="s" s="96">
        <v>37</v>
      </c>
      <c r="L139" s="79">
        <v>1908</v>
      </c>
      <c r="M139" s="79">
        <v>13</v>
      </c>
      <c r="N139" t="s" s="96">
        <v>2216</v>
      </c>
      <c r="O139" t="s" s="96">
        <v>34</v>
      </c>
      <c r="P139" t="s" s="96">
        <v>34</v>
      </c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</row>
    <row r="140" ht="15.35" customHeight="1">
      <c r="A140" s="16"/>
      <c r="B140" s="16"/>
      <c r="C140" s="16"/>
      <c r="D140" s="16"/>
      <c r="E140" t="s" s="96">
        <v>2209</v>
      </c>
      <c r="F140" s="16"/>
      <c r="G140" s="16"/>
      <c r="H140" t="s" s="96">
        <v>64</v>
      </c>
      <c r="I140" t="s" s="96">
        <v>2210</v>
      </c>
      <c r="J140" t="s" s="96">
        <v>36</v>
      </c>
      <c r="K140" t="s" s="96">
        <v>37</v>
      </c>
      <c r="L140" s="79">
        <v>1910</v>
      </c>
      <c r="M140" s="79">
        <v>11</v>
      </c>
      <c r="N140" t="s" s="96">
        <v>2216</v>
      </c>
      <c r="O140" t="s" s="96">
        <v>34</v>
      </c>
      <c r="P140" t="s" s="96">
        <v>34</v>
      </c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</row>
    <row r="141" ht="15.35" customHeight="1">
      <c r="A141" s="16"/>
      <c r="B141" s="16"/>
      <c r="C141" s="16"/>
      <c r="D141" s="16"/>
      <c r="E141" t="s" s="96">
        <v>2209</v>
      </c>
      <c r="F141" s="16"/>
      <c r="G141" s="16"/>
      <c r="H141" t="s" s="96">
        <v>510</v>
      </c>
      <c r="I141" t="s" s="96">
        <v>2210</v>
      </c>
      <c r="J141" t="s" s="96">
        <v>78</v>
      </c>
      <c r="K141" t="s" s="96">
        <v>12</v>
      </c>
      <c r="L141" s="79">
        <v>1917</v>
      </c>
      <c r="M141" s="79">
        <v>4</v>
      </c>
      <c r="N141" t="s" s="96">
        <v>553</v>
      </c>
      <c r="O141" t="s" s="96">
        <v>34</v>
      </c>
      <c r="P141" t="s" s="96">
        <v>34</v>
      </c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</row>
    <row r="142" ht="15.35" customHeight="1">
      <c r="A142" s="16"/>
      <c r="B142" s="16"/>
      <c r="C142" s="16"/>
      <c r="D142" s="16"/>
      <c r="E142" t="s" s="96">
        <v>2209</v>
      </c>
      <c r="F142" s="16"/>
      <c r="G142" s="16"/>
      <c r="H142" t="s" s="96">
        <v>605</v>
      </c>
      <c r="I142" t="s" s="96">
        <v>828</v>
      </c>
      <c r="J142" t="s" s="96">
        <v>11</v>
      </c>
      <c r="K142" t="s" s="96">
        <v>12</v>
      </c>
      <c r="L142" s="79">
        <v>1905</v>
      </c>
      <c r="M142" s="79">
        <v>16</v>
      </c>
      <c r="N142" t="s" s="96">
        <v>183</v>
      </c>
      <c r="O142" t="s" s="96">
        <v>34</v>
      </c>
      <c r="P142" t="s" s="96">
        <v>15</v>
      </c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</row>
    <row r="143" ht="15.35" customHeight="1">
      <c r="A143" s="16"/>
      <c r="B143" s="16"/>
      <c r="C143" s="16"/>
      <c r="D143" s="16"/>
      <c r="E143" t="s" s="96">
        <v>2209</v>
      </c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</row>
    <row r="144" ht="15.35" customHeight="1">
      <c r="A144" s="16"/>
      <c r="B144" s="16"/>
      <c r="C144" s="16"/>
      <c r="D144" s="16"/>
      <c r="E144" t="s" s="96">
        <v>2209</v>
      </c>
      <c r="F144" s="16"/>
      <c r="G144" s="16"/>
      <c r="H144" t="s" s="96">
        <v>0</v>
      </c>
      <c r="I144" t="s" s="96">
        <v>1</v>
      </c>
      <c r="J144" t="s" s="96">
        <v>2</v>
      </c>
      <c r="K144" t="s" s="96">
        <v>3</v>
      </c>
      <c r="L144" t="s" s="96">
        <v>4</v>
      </c>
      <c r="M144" t="s" s="96">
        <v>5</v>
      </c>
      <c r="N144" t="s" s="96">
        <v>6</v>
      </c>
      <c r="O144" t="s" s="96">
        <v>7</v>
      </c>
      <c r="P144" t="s" s="96">
        <v>8</v>
      </c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</row>
    <row r="145" ht="15.35" customHeight="1">
      <c r="A145" s="16"/>
      <c r="B145" s="16"/>
      <c r="C145" s="16"/>
      <c r="D145" s="16"/>
      <c r="E145" t="s" s="96">
        <v>2209</v>
      </c>
      <c r="F145" s="16"/>
      <c r="G145" s="16"/>
      <c r="H145" t="s" s="96">
        <v>2218</v>
      </c>
      <c r="I145" t="s" s="96">
        <v>2217</v>
      </c>
      <c r="J145" t="s" s="96">
        <v>31</v>
      </c>
      <c r="K145" t="s" s="96">
        <v>37</v>
      </c>
      <c r="L145" s="79">
        <v>1893</v>
      </c>
      <c r="M145" s="79">
        <v>28</v>
      </c>
      <c r="N145" t="s" s="96">
        <v>34</v>
      </c>
      <c r="O145" t="s" s="96">
        <v>2219</v>
      </c>
      <c r="P145" t="s" s="96">
        <v>34</v>
      </c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</row>
    <row r="146" ht="15.35" customHeight="1">
      <c r="A146" s="16"/>
      <c r="B146" s="16"/>
      <c r="C146" s="16"/>
      <c r="D146" s="16"/>
      <c r="E146" t="s" s="96">
        <v>2209</v>
      </c>
      <c r="F146" s="16"/>
      <c r="G146" s="16"/>
      <c r="H146" t="s" s="96">
        <v>605</v>
      </c>
      <c r="I146" t="s" s="96">
        <v>2217</v>
      </c>
      <c r="J146" t="s" s="96">
        <v>72</v>
      </c>
      <c r="K146" t="s" s="96">
        <v>12</v>
      </c>
      <c r="L146" s="79">
        <v>1892</v>
      </c>
      <c r="M146" s="79">
        <v>28</v>
      </c>
      <c r="N146" t="s" s="96">
        <v>2220</v>
      </c>
      <c r="O146" t="s" s="96">
        <v>94</v>
      </c>
      <c r="P146" t="s" s="96">
        <v>34</v>
      </c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</row>
    <row r="147" ht="15.3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</row>
    <row r="148" ht="15.35" customHeight="1">
      <c r="A148" s="16"/>
      <c r="B148" s="16"/>
      <c r="C148" s="16"/>
      <c r="D148" s="16"/>
      <c r="E148" s="16"/>
      <c r="F148" s="16"/>
      <c r="G148" s="16"/>
      <c r="H148" t="s" s="96">
        <v>0</v>
      </c>
      <c r="I148" t="s" s="96">
        <v>1</v>
      </c>
      <c r="J148" t="s" s="96">
        <v>2</v>
      </c>
      <c r="K148" t="s" s="96">
        <v>3</v>
      </c>
      <c r="L148" t="s" s="96">
        <v>4</v>
      </c>
      <c r="M148" t="s" s="96">
        <v>5</v>
      </c>
      <c r="N148" t="s" s="96">
        <v>6</v>
      </c>
      <c r="O148" t="s" s="96">
        <v>7</v>
      </c>
      <c r="P148" t="s" s="96">
        <v>8</v>
      </c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</row>
    <row r="149" ht="15.35" customHeight="1">
      <c r="A149" s="16"/>
      <c r="B149" s="16"/>
      <c r="C149" s="16"/>
      <c r="D149" s="16"/>
      <c r="E149" s="16"/>
      <c r="F149" s="79">
        <v>5</v>
      </c>
      <c r="G149" s="16"/>
      <c r="H149" t="s" s="96">
        <v>153</v>
      </c>
      <c r="I149" t="s" s="96">
        <v>2221</v>
      </c>
      <c r="J149" t="s" s="96">
        <v>31</v>
      </c>
      <c r="K149" t="s" s="96">
        <v>37</v>
      </c>
      <c r="L149" s="79">
        <v>1864</v>
      </c>
      <c r="M149" s="79">
        <v>57</v>
      </c>
      <c r="N149" t="s" s="96">
        <v>54</v>
      </c>
      <c r="O149" t="s" s="96">
        <v>2222</v>
      </c>
      <c r="P149" t="s" s="96">
        <v>8</v>
      </c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</row>
    <row r="150" ht="15.35" customHeight="1">
      <c r="A150" s="16"/>
      <c r="B150" s="16"/>
      <c r="C150" s="16"/>
      <c r="D150" s="16"/>
      <c r="E150" s="16"/>
      <c r="F150" s="16"/>
      <c r="G150" s="16"/>
      <c r="H150" t="s" s="96">
        <v>2006</v>
      </c>
      <c r="I150" t="s" s="96">
        <v>2221</v>
      </c>
      <c r="J150" t="s" s="96">
        <v>228</v>
      </c>
      <c r="K150" t="s" s="96">
        <v>37</v>
      </c>
      <c r="L150" s="79">
        <v>1855</v>
      </c>
      <c r="M150" s="79">
        <v>66</v>
      </c>
      <c r="N150" t="s" s="96">
        <v>54</v>
      </c>
      <c r="O150" t="s" s="96">
        <v>2222</v>
      </c>
      <c r="P150" t="s" s="96">
        <v>603</v>
      </c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</row>
    <row r="151" ht="15.35" customHeight="1">
      <c r="A151" s="16"/>
      <c r="B151" s="16"/>
      <c r="C151" s="16"/>
      <c r="D151" s="16"/>
      <c r="E151" s="16"/>
      <c r="F151" s="16"/>
      <c r="G151" s="16"/>
      <c r="H151" t="s" s="96">
        <v>706</v>
      </c>
      <c r="I151" t="s" s="96">
        <v>2221</v>
      </c>
      <c r="J151" t="s" s="96">
        <v>228</v>
      </c>
      <c r="K151" t="s" s="96">
        <v>37</v>
      </c>
      <c r="L151" s="79">
        <v>1873</v>
      </c>
      <c r="M151" s="79">
        <v>47</v>
      </c>
      <c r="N151" t="s" s="96">
        <v>54</v>
      </c>
      <c r="O151" t="s" s="96">
        <v>2222</v>
      </c>
      <c r="P151" t="s" s="96">
        <v>603</v>
      </c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</row>
    <row r="152" ht="15.35" customHeight="1">
      <c r="A152" s="16"/>
      <c r="B152" s="16"/>
      <c r="C152" s="16"/>
      <c r="D152" s="16"/>
      <c r="E152" s="16"/>
      <c r="F152" s="16"/>
      <c r="G152" s="16"/>
      <c r="H152" t="s" s="96">
        <v>193</v>
      </c>
      <c r="I152" t="s" s="96">
        <v>2223</v>
      </c>
      <c r="J152" t="s" s="96">
        <v>228</v>
      </c>
      <c r="K152" t="s" s="96">
        <v>37</v>
      </c>
      <c r="L152" s="79">
        <v>1873</v>
      </c>
      <c r="M152" s="79">
        <v>47</v>
      </c>
      <c r="N152" t="s" s="96">
        <v>630</v>
      </c>
      <c r="O152" t="s" s="96">
        <v>2224</v>
      </c>
      <c r="P152" t="s" s="96">
        <v>15</v>
      </c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</row>
    <row r="153" ht="15.35" customHeight="1">
      <c r="A153" s="16"/>
      <c r="B153" s="16"/>
      <c r="C153" s="16"/>
      <c r="D153" s="16"/>
      <c r="E153" s="16"/>
      <c r="F153" s="16"/>
      <c r="G153" s="16"/>
      <c r="H153" t="s" s="96">
        <v>369</v>
      </c>
      <c r="I153" t="s" s="96">
        <v>2223</v>
      </c>
      <c r="J153" t="s" s="96">
        <v>163</v>
      </c>
      <c r="K153" t="s" s="96">
        <v>12</v>
      </c>
      <c r="L153" s="79">
        <v>1873</v>
      </c>
      <c r="M153" s="79">
        <v>48</v>
      </c>
      <c r="N153" t="s" s="96">
        <v>630</v>
      </c>
      <c r="O153" t="s" s="96">
        <v>175</v>
      </c>
      <c r="P153" t="s" s="96">
        <v>15</v>
      </c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</row>
    <row r="154" ht="15.35" customHeight="1">
      <c r="A154" s="16"/>
      <c r="B154" s="16"/>
      <c r="C154" s="16"/>
      <c r="D154" s="16"/>
      <c r="E154" s="16"/>
      <c r="F154" s="16"/>
      <c r="G154" s="16"/>
      <c r="H154" t="s" s="96">
        <v>109</v>
      </c>
      <c r="I154" t="s" s="96">
        <v>510</v>
      </c>
      <c r="J154" t="s" s="96">
        <v>55</v>
      </c>
      <c r="K154" t="s" s="96">
        <v>12</v>
      </c>
      <c r="L154" s="79">
        <v>1897</v>
      </c>
      <c r="M154" s="79">
        <v>24</v>
      </c>
      <c r="N154" t="s" s="96">
        <v>630</v>
      </c>
      <c r="O154" t="s" s="96">
        <v>55</v>
      </c>
      <c r="P154" t="s" s="96">
        <v>15</v>
      </c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</row>
    <row r="155" ht="15.3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</row>
    <row r="156" ht="15.35" customHeight="1">
      <c r="A156" s="16"/>
      <c r="B156" s="16"/>
      <c r="C156" s="16"/>
      <c r="D156" s="16"/>
      <c r="E156" s="16"/>
      <c r="F156" s="16"/>
      <c r="G156" s="16"/>
      <c r="H156" t="s" s="96">
        <v>0</v>
      </c>
      <c r="I156" t="s" s="96">
        <v>1</v>
      </c>
      <c r="J156" t="s" s="96">
        <v>2</v>
      </c>
      <c r="K156" t="s" s="96">
        <v>3</v>
      </c>
      <c r="L156" t="s" s="96">
        <v>4</v>
      </c>
      <c r="M156" t="s" s="96">
        <v>5</v>
      </c>
      <c r="N156" t="s" s="96">
        <v>6</v>
      </c>
      <c r="O156" t="s" s="96">
        <v>7</v>
      </c>
      <c r="P156" t="s" s="96">
        <v>8</v>
      </c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</row>
    <row r="157" ht="15.35" customHeight="1">
      <c r="A157" s="16"/>
      <c r="B157" s="16"/>
      <c r="C157" s="16"/>
      <c r="D157" s="16"/>
      <c r="E157" s="16"/>
      <c r="F157" s="79">
        <v>6</v>
      </c>
      <c r="G157" s="16"/>
      <c r="H157" t="s" s="96">
        <v>95</v>
      </c>
      <c r="I157" t="s" s="96">
        <v>2225</v>
      </c>
      <c r="J157" t="s" s="96">
        <v>31</v>
      </c>
      <c r="K157" t="s" s="96">
        <v>12</v>
      </c>
      <c r="L157" s="79">
        <v>1842</v>
      </c>
      <c r="M157" s="79">
        <v>79</v>
      </c>
      <c r="N157" t="s" s="96">
        <v>2226</v>
      </c>
      <c r="O157" t="s" s="96">
        <v>94</v>
      </c>
      <c r="P157" t="s" s="96">
        <v>34</v>
      </c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</row>
    <row r="158" ht="15.35" customHeight="1">
      <c r="A158" s="16"/>
      <c r="B158" s="16"/>
      <c r="C158" s="16"/>
      <c r="D158" s="16"/>
      <c r="E158" s="16"/>
      <c r="F158" s="16"/>
      <c r="G158" s="16"/>
      <c r="H158" t="s" s="96">
        <v>214</v>
      </c>
      <c r="I158" t="s" s="96">
        <v>2225</v>
      </c>
      <c r="J158" t="s" s="96">
        <v>228</v>
      </c>
      <c r="K158" t="s" s="96">
        <v>37</v>
      </c>
      <c r="L158" s="79">
        <v>1849</v>
      </c>
      <c r="M158" s="79">
        <v>71</v>
      </c>
      <c r="N158" t="s" s="96">
        <v>2226</v>
      </c>
      <c r="O158" t="s" s="96">
        <v>2227</v>
      </c>
      <c r="P158" t="s" s="96">
        <v>2228</v>
      </c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</row>
    <row r="159" ht="15.35" customHeight="1">
      <c r="A159" s="16"/>
      <c r="B159" s="16"/>
      <c r="C159" s="16"/>
      <c r="D159" s="16"/>
      <c r="E159" s="16"/>
      <c r="F159" s="16"/>
      <c r="G159" s="16"/>
      <c r="H159" t="s" s="96">
        <v>123</v>
      </c>
      <c r="I159" t="s" s="96">
        <v>2229</v>
      </c>
      <c r="J159" t="s" s="96">
        <v>1575</v>
      </c>
      <c r="K159" t="s" s="96">
        <v>12</v>
      </c>
      <c r="L159" s="79">
        <v>1843</v>
      </c>
      <c r="M159" s="79">
        <v>78</v>
      </c>
      <c r="N159" t="s" s="96">
        <v>1520</v>
      </c>
      <c r="O159" t="s" s="96">
        <v>94</v>
      </c>
      <c r="P159" t="s" s="96">
        <v>34</v>
      </c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</row>
    <row r="160" ht="15.35" customHeight="1">
      <c r="A160" s="16"/>
      <c r="B160" s="16"/>
      <c r="C160" s="16"/>
      <c r="D160" s="16"/>
      <c r="E160" s="16"/>
      <c r="F160" s="16"/>
      <c r="G160" s="16"/>
      <c r="H160" t="s" s="96">
        <v>2230</v>
      </c>
      <c r="I160" t="s" s="96">
        <v>1811</v>
      </c>
      <c r="J160" t="s" s="96">
        <v>11</v>
      </c>
      <c r="K160" t="s" s="96">
        <v>12</v>
      </c>
      <c r="L160" s="79">
        <v>1872</v>
      </c>
      <c r="M160" s="79">
        <v>49</v>
      </c>
      <c r="N160" t="s" s="96">
        <v>2231</v>
      </c>
      <c r="O160" t="s" s="96">
        <v>45</v>
      </c>
      <c r="P160" t="s" s="96">
        <v>15</v>
      </c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</row>
    <row r="161" ht="15.35" customHeight="1">
      <c r="A161" s="16"/>
      <c r="B161" s="16"/>
      <c r="C161" s="16"/>
      <c r="D161" s="16"/>
      <c r="E161" s="16"/>
      <c r="F161" s="16"/>
      <c r="G161" s="16"/>
      <c r="H161" t="s" s="96">
        <v>2233</v>
      </c>
      <c r="I161" t="s" s="96">
        <v>2232</v>
      </c>
      <c r="J161" t="s" s="96">
        <v>11</v>
      </c>
      <c r="K161" t="s" s="96">
        <v>12</v>
      </c>
      <c r="L161" s="79">
        <v>1895</v>
      </c>
      <c r="M161" s="79">
        <v>25</v>
      </c>
      <c r="N161" t="s" s="96">
        <v>1659</v>
      </c>
      <c r="O161" t="s" s="96">
        <v>55</v>
      </c>
      <c r="P161" t="s" s="96">
        <v>15</v>
      </c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</row>
    <row r="162" ht="15.3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</row>
    <row r="163" ht="15.35" customHeight="1">
      <c r="A163" s="16"/>
      <c r="B163" s="16"/>
      <c r="C163" s="16"/>
      <c r="D163" s="16"/>
      <c r="E163" s="16"/>
      <c r="F163" s="16"/>
      <c r="G163" s="16"/>
      <c r="H163" t="s" s="96">
        <v>0</v>
      </c>
      <c r="I163" t="s" s="96">
        <v>1</v>
      </c>
      <c r="J163" t="s" s="96">
        <v>2</v>
      </c>
      <c r="K163" t="s" s="96">
        <v>3</v>
      </c>
      <c r="L163" t="s" s="96">
        <v>4</v>
      </c>
      <c r="M163" t="s" s="96">
        <v>5</v>
      </c>
      <c r="N163" t="s" s="96">
        <v>6</v>
      </c>
      <c r="O163" t="s" s="96">
        <v>7</v>
      </c>
      <c r="P163" t="s" s="96">
        <v>8</v>
      </c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</row>
    <row r="164" ht="15.35" customHeight="1">
      <c r="A164" s="16"/>
      <c r="B164" s="16"/>
      <c r="C164" s="16"/>
      <c r="D164" s="16"/>
      <c r="E164" s="16"/>
      <c r="F164" s="79">
        <v>7</v>
      </c>
      <c r="G164" s="16"/>
      <c r="H164" t="s" s="96">
        <v>1202</v>
      </c>
      <c r="I164" t="s" s="96">
        <v>2234</v>
      </c>
      <c r="J164" t="s" s="96">
        <v>31</v>
      </c>
      <c r="K164" t="s" s="96">
        <v>37</v>
      </c>
      <c r="L164" s="79">
        <v>1863</v>
      </c>
      <c r="M164" s="79">
        <v>58</v>
      </c>
      <c r="N164" t="s" s="96">
        <v>13</v>
      </c>
      <c r="O164" t="s" s="96">
        <v>2235</v>
      </c>
      <c r="P164" t="s" s="96">
        <v>8</v>
      </c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</row>
    <row r="165" ht="15.35" customHeight="1">
      <c r="A165" s="16"/>
      <c r="B165" s="16"/>
      <c r="C165" s="16"/>
      <c r="D165" s="16"/>
      <c r="E165" s="16"/>
      <c r="F165" s="16"/>
      <c r="G165" s="16"/>
      <c r="H165" t="s" s="96">
        <v>2236</v>
      </c>
      <c r="I165" t="s" s="96">
        <v>2234</v>
      </c>
      <c r="J165" t="s" s="96">
        <v>72</v>
      </c>
      <c r="K165" t="s" s="96">
        <v>12</v>
      </c>
      <c r="L165" s="79">
        <v>1858</v>
      </c>
      <c r="M165" s="79">
        <v>62</v>
      </c>
      <c r="N165" t="s" s="96">
        <v>13</v>
      </c>
      <c r="O165" t="s" s="96">
        <v>33</v>
      </c>
      <c r="P165" t="s" s="96">
        <v>34</v>
      </c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</row>
    <row r="166" ht="15.35" customHeight="1">
      <c r="A166" s="16"/>
      <c r="B166" s="16"/>
      <c r="C166" s="16"/>
      <c r="D166" s="16"/>
      <c r="E166" s="16"/>
      <c r="F166" s="16"/>
      <c r="G166" s="16"/>
      <c r="H166" t="s" s="96">
        <v>2238</v>
      </c>
      <c r="I166" t="s" s="96">
        <v>2237</v>
      </c>
      <c r="J166" t="s" s="96">
        <v>11</v>
      </c>
      <c r="K166" t="s" s="96">
        <v>12</v>
      </c>
      <c r="L166" s="79">
        <v>1871</v>
      </c>
      <c r="M166" s="79">
        <v>49</v>
      </c>
      <c r="N166" t="s" s="96">
        <v>134</v>
      </c>
      <c r="O166" t="s" s="96">
        <v>188</v>
      </c>
      <c r="P166" t="s" s="96">
        <v>15</v>
      </c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</row>
    <row r="167" ht="15.35" customHeight="1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</row>
    <row r="168" ht="15.35" customHeight="1">
      <c r="A168" s="16"/>
      <c r="B168" s="16"/>
      <c r="C168" s="16"/>
      <c r="D168" s="16"/>
      <c r="E168" s="16"/>
      <c r="F168" s="16"/>
      <c r="G168" s="16"/>
      <c r="H168" t="s" s="96">
        <v>0</v>
      </c>
      <c r="I168" t="s" s="96">
        <v>1</v>
      </c>
      <c r="J168" t="s" s="96">
        <v>2</v>
      </c>
      <c r="K168" t="s" s="96">
        <v>3</v>
      </c>
      <c r="L168" t="s" s="96">
        <v>4</v>
      </c>
      <c r="M168" t="s" s="96">
        <v>5</v>
      </c>
      <c r="N168" t="s" s="96">
        <v>6</v>
      </c>
      <c r="O168" t="s" s="96">
        <v>7</v>
      </c>
      <c r="P168" t="s" s="96">
        <v>8</v>
      </c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</row>
    <row r="169" ht="15.35" customHeight="1">
      <c r="A169" s="16"/>
      <c r="B169" s="16"/>
      <c r="C169" s="16"/>
      <c r="D169" s="16"/>
      <c r="E169" s="16"/>
      <c r="F169" s="79">
        <v>9</v>
      </c>
      <c r="G169" s="16"/>
      <c r="H169" t="s" s="96">
        <v>2239</v>
      </c>
      <c r="I169" t="s" s="96">
        <v>243</v>
      </c>
      <c r="J169" t="s" s="96">
        <v>31</v>
      </c>
      <c r="K169" t="s" s="96">
        <v>37</v>
      </c>
      <c r="L169" s="79">
        <v>1859</v>
      </c>
      <c r="M169" s="79">
        <v>62</v>
      </c>
      <c r="N169" t="s" s="96">
        <v>54</v>
      </c>
      <c r="O169" t="s" s="96">
        <v>1866</v>
      </c>
      <c r="P169" t="s" s="96">
        <v>2240</v>
      </c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</row>
    <row r="170" ht="15.35" customHeight="1">
      <c r="A170" s="16"/>
      <c r="B170" s="16"/>
      <c r="C170" s="16"/>
      <c r="D170" s="16"/>
      <c r="E170" s="16"/>
      <c r="F170" s="16"/>
      <c r="G170" s="16"/>
      <c r="H170" t="s" s="96">
        <v>412</v>
      </c>
      <c r="I170" t="s" s="96">
        <v>2241</v>
      </c>
      <c r="J170" t="s" s="96">
        <v>11</v>
      </c>
      <c r="K170" t="s" s="96">
        <v>12</v>
      </c>
      <c r="L170" s="79">
        <v>1871</v>
      </c>
      <c r="M170" s="79">
        <v>49</v>
      </c>
      <c r="N170" t="s" s="96">
        <v>54</v>
      </c>
      <c r="O170" t="s" s="96">
        <v>2242</v>
      </c>
      <c r="P170" t="s" s="96">
        <v>15</v>
      </c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</row>
    <row r="171" ht="15.35" customHeight="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</row>
    <row r="172" ht="15.35" customHeight="1">
      <c r="A172" s="16"/>
      <c r="B172" s="16"/>
      <c r="C172" s="16"/>
      <c r="D172" s="16"/>
      <c r="E172" s="16"/>
      <c r="F172" s="16"/>
      <c r="G172" s="16"/>
      <c r="H172" t="s" s="96">
        <v>0</v>
      </c>
      <c r="I172" t="s" s="96">
        <v>1</v>
      </c>
      <c r="J172" t="s" s="96">
        <v>2</v>
      </c>
      <c r="K172" t="s" s="96">
        <v>3</v>
      </c>
      <c r="L172" t="s" s="96">
        <v>4</v>
      </c>
      <c r="M172" t="s" s="96">
        <v>5</v>
      </c>
      <c r="N172" t="s" s="96">
        <v>6</v>
      </c>
      <c r="O172" t="s" s="96">
        <v>7</v>
      </c>
      <c r="P172" t="s" s="96">
        <v>8</v>
      </c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</row>
    <row r="173" ht="15.35" customHeight="1">
      <c r="A173" s="16"/>
      <c r="B173" s="16"/>
      <c r="C173" s="16"/>
      <c r="D173" s="16"/>
      <c r="E173" s="16"/>
      <c r="F173" s="79">
        <v>21</v>
      </c>
      <c r="G173" s="16"/>
      <c r="H173" t="s" s="96">
        <v>2244</v>
      </c>
      <c r="I173" t="s" s="96">
        <v>2243</v>
      </c>
      <c r="J173" t="s" s="96">
        <v>31</v>
      </c>
      <c r="K173" t="s" s="96">
        <v>37</v>
      </c>
      <c r="L173" s="79">
        <v>1881</v>
      </c>
      <c r="M173" s="79">
        <v>40</v>
      </c>
      <c r="N173" t="s" s="96">
        <v>54</v>
      </c>
      <c r="O173" t="s" s="96">
        <v>92</v>
      </c>
      <c r="P173" t="s" s="96">
        <v>603</v>
      </c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</row>
    <row r="174" ht="15.35" customHeight="1">
      <c r="A174" s="16"/>
      <c r="B174" s="16"/>
      <c r="C174" s="16"/>
      <c r="D174" s="16"/>
      <c r="E174" s="16"/>
      <c r="F174" s="16"/>
      <c r="G174" s="16"/>
      <c r="H174" t="s" s="96">
        <v>2245</v>
      </c>
      <c r="I174" t="s" s="96">
        <v>2243</v>
      </c>
      <c r="J174" t="s" s="96">
        <v>72</v>
      </c>
      <c r="K174" t="s" s="96">
        <v>12</v>
      </c>
      <c r="L174" s="79">
        <v>1884</v>
      </c>
      <c r="M174" s="79">
        <v>37</v>
      </c>
      <c r="N174" t="s" s="96">
        <v>54</v>
      </c>
      <c r="O174" t="s" s="96">
        <v>33</v>
      </c>
      <c r="P174" t="s" s="96">
        <v>34</v>
      </c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</row>
    <row r="175" ht="15.35" customHeight="1">
      <c r="A175" s="16"/>
      <c r="B175" s="16"/>
      <c r="C175" s="16"/>
      <c r="D175" s="16"/>
      <c r="E175" s="16"/>
      <c r="F175" s="16"/>
      <c r="G175" s="16"/>
      <c r="H175" t="s" s="96">
        <v>2246</v>
      </c>
      <c r="I175" t="s" s="96">
        <v>2243</v>
      </c>
      <c r="J175" t="s" s="96">
        <v>36</v>
      </c>
      <c r="K175" t="s" s="96">
        <v>37</v>
      </c>
      <c r="L175" s="79">
        <v>1909</v>
      </c>
      <c r="M175" s="79">
        <v>12</v>
      </c>
      <c r="N175" t="s" s="96">
        <v>54</v>
      </c>
      <c r="O175" t="s" s="96">
        <v>34</v>
      </c>
      <c r="P175" t="s" s="96">
        <v>34</v>
      </c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</row>
    <row r="176" ht="15.35" customHeight="1">
      <c r="A176" s="16"/>
      <c r="B176" s="16"/>
      <c r="C176" s="16"/>
      <c r="D176" s="16"/>
      <c r="E176" s="16"/>
      <c r="F176" s="16"/>
      <c r="G176" s="16"/>
      <c r="H176" t="s" s="96">
        <v>2247</v>
      </c>
      <c r="I176" t="s" s="96">
        <v>2243</v>
      </c>
      <c r="J176" t="s" s="96">
        <v>36</v>
      </c>
      <c r="K176" t="s" s="96">
        <v>37</v>
      </c>
      <c r="L176" s="79">
        <v>1911</v>
      </c>
      <c r="M176" s="79">
        <v>10</v>
      </c>
      <c r="N176" t="s" s="96">
        <v>54</v>
      </c>
      <c r="O176" t="s" s="96">
        <v>34</v>
      </c>
      <c r="P176" t="s" s="96">
        <v>34</v>
      </c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</row>
    <row r="177" ht="15.35" customHeight="1">
      <c r="A177" s="16"/>
      <c r="B177" s="16"/>
      <c r="C177" s="16"/>
      <c r="D177" s="16"/>
      <c r="E177" s="16"/>
      <c r="F177" s="16"/>
      <c r="G177" s="16"/>
      <c r="H177" t="s" s="96">
        <v>2248</v>
      </c>
      <c r="I177" t="s" s="96">
        <v>2243</v>
      </c>
      <c r="J177" t="s" s="96">
        <v>36</v>
      </c>
      <c r="K177" t="s" s="96">
        <v>37</v>
      </c>
      <c r="L177" s="79">
        <v>1918</v>
      </c>
      <c r="M177" s="79">
        <v>3</v>
      </c>
      <c r="N177" t="s" s="96">
        <v>54</v>
      </c>
      <c r="O177" t="s" s="96">
        <v>34</v>
      </c>
      <c r="P177" t="s" s="96">
        <v>34</v>
      </c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</row>
    <row r="178" ht="15.35" customHeight="1">
      <c r="A178" s="16"/>
      <c r="B178" s="16"/>
      <c r="C178" s="16"/>
      <c r="D178" s="16"/>
      <c r="E178" s="16"/>
      <c r="F178" s="16"/>
      <c r="G178" s="16"/>
      <c r="H178" t="s" s="96">
        <v>2250</v>
      </c>
      <c r="I178" t="s" s="96">
        <v>2249</v>
      </c>
      <c r="J178" t="s" s="96">
        <v>11</v>
      </c>
      <c r="K178" t="s" s="96">
        <v>12</v>
      </c>
      <c r="L178" s="79">
        <v>1897</v>
      </c>
      <c r="M178" s="79">
        <v>24</v>
      </c>
      <c r="N178" t="s" s="96">
        <v>1492</v>
      </c>
      <c r="O178" t="s" s="96">
        <v>1453</v>
      </c>
      <c r="P178" t="s" s="96">
        <v>15</v>
      </c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</row>
    <row r="179" ht="15.35" customHeight="1">
      <c r="A179" s="16"/>
      <c r="B179" s="16"/>
      <c r="C179" s="16"/>
      <c r="D179" s="16"/>
      <c r="E179" s="16"/>
      <c r="F179" s="16"/>
      <c r="G179" s="16"/>
      <c r="H179" t="s" s="96">
        <v>2251</v>
      </c>
      <c r="I179" t="s" s="96">
        <v>351</v>
      </c>
      <c r="J179" t="s" s="96">
        <v>11</v>
      </c>
      <c r="K179" t="s" s="96">
        <v>12</v>
      </c>
      <c r="L179" s="79">
        <v>1901</v>
      </c>
      <c r="M179" s="79">
        <v>19</v>
      </c>
      <c r="N179" t="s" s="96">
        <v>134</v>
      </c>
      <c r="O179" t="s" s="96">
        <v>105</v>
      </c>
      <c r="P179" t="s" s="96">
        <v>15</v>
      </c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</row>
    <row r="180" ht="15.35" customHeight="1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</row>
    <row r="181" ht="15.35" customHeight="1">
      <c r="A181" s="16"/>
      <c r="B181" s="16"/>
      <c r="C181" s="16"/>
      <c r="D181" s="16"/>
      <c r="E181" s="16"/>
      <c r="F181" s="16"/>
      <c r="G181" s="16"/>
      <c r="H181" t="s" s="96">
        <v>0</v>
      </c>
      <c r="I181" t="s" s="96">
        <v>1</v>
      </c>
      <c r="J181" t="s" s="96">
        <v>2</v>
      </c>
      <c r="K181" t="s" s="96">
        <v>3</v>
      </c>
      <c r="L181" t="s" s="96">
        <v>4</v>
      </c>
      <c r="M181" t="s" s="96">
        <v>5</v>
      </c>
      <c r="N181" t="s" s="96">
        <v>6</v>
      </c>
      <c r="O181" t="s" s="96">
        <v>7</v>
      </c>
      <c r="P181" t="s" s="96">
        <v>8</v>
      </c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</row>
    <row r="182" ht="15.35" customHeight="1">
      <c r="A182" s="16"/>
      <c r="B182" s="16"/>
      <c r="C182" s="16"/>
      <c r="D182" s="16"/>
      <c r="E182" s="16"/>
      <c r="F182" s="79">
        <v>1</v>
      </c>
      <c r="G182" s="16"/>
      <c r="H182" t="s" s="96">
        <v>2252</v>
      </c>
      <c r="I182" t="s" s="96">
        <v>1242</v>
      </c>
      <c r="J182" t="s" s="96">
        <v>31</v>
      </c>
      <c r="K182" t="s" s="96">
        <v>37</v>
      </c>
      <c r="L182" s="79">
        <v>1865</v>
      </c>
      <c r="M182" s="79">
        <v>56</v>
      </c>
      <c r="N182" t="s" s="96">
        <v>2255</v>
      </c>
      <c r="O182" t="s" s="96">
        <v>2253</v>
      </c>
      <c r="P182" t="s" s="96">
        <v>2254</v>
      </c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</row>
    <row r="183" ht="15.35" customHeight="1">
      <c r="A183" s="16"/>
      <c r="B183" s="16"/>
      <c r="C183" s="16"/>
      <c r="D183" s="16"/>
      <c r="E183" s="16"/>
      <c r="F183" s="16"/>
      <c r="G183" s="16"/>
      <c r="H183" t="s" s="96">
        <v>1574</v>
      </c>
      <c r="I183" t="s" s="96">
        <v>1242</v>
      </c>
      <c r="J183" t="s" s="96">
        <v>72</v>
      </c>
      <c r="K183" t="s" s="96">
        <v>12</v>
      </c>
      <c r="L183" s="79">
        <v>1871</v>
      </c>
      <c r="M183" s="79">
        <v>50</v>
      </c>
      <c r="N183" t="s" s="96">
        <v>2256</v>
      </c>
      <c r="O183" t="s" s="96">
        <v>33</v>
      </c>
      <c r="P183" t="s" s="96">
        <v>34</v>
      </c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</row>
    <row r="184" ht="15.35" customHeight="1">
      <c r="A184" s="16"/>
      <c r="B184" s="16"/>
      <c r="C184" s="16"/>
      <c r="D184" s="16"/>
      <c r="E184" s="16"/>
      <c r="F184" s="16"/>
      <c r="G184" s="16"/>
      <c r="H184" t="s" s="96">
        <v>2252</v>
      </c>
      <c r="I184" t="s" s="96">
        <v>1242</v>
      </c>
      <c r="J184" t="s" s="96">
        <v>36</v>
      </c>
      <c r="K184" t="s" s="96">
        <v>37</v>
      </c>
      <c r="L184" s="79">
        <v>1898</v>
      </c>
      <c r="M184" s="79">
        <v>23</v>
      </c>
      <c r="N184" t="s" s="96">
        <v>84</v>
      </c>
      <c r="O184" t="s" s="96">
        <v>2257</v>
      </c>
      <c r="P184" t="s" s="96">
        <v>2258</v>
      </c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</row>
    <row r="185" ht="15.35" customHeight="1">
      <c r="A185" s="16"/>
      <c r="B185" s="16"/>
      <c r="C185" s="16"/>
      <c r="D185" s="16"/>
      <c r="E185" s="16"/>
      <c r="F185" s="16"/>
      <c r="G185" s="16"/>
      <c r="H185" t="s" s="96">
        <v>2259</v>
      </c>
      <c r="I185" t="s" s="96">
        <v>1242</v>
      </c>
      <c r="J185" t="s" s="96">
        <v>78</v>
      </c>
      <c r="K185" t="s" s="96">
        <v>12</v>
      </c>
      <c r="L185" s="79">
        <v>1909</v>
      </c>
      <c r="M185" s="79">
        <v>12</v>
      </c>
      <c r="N185" t="s" s="96">
        <v>84</v>
      </c>
      <c r="O185" t="s" s="96">
        <v>34</v>
      </c>
      <c r="P185" t="s" s="96">
        <v>34</v>
      </c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</row>
    <row r="186" ht="15.35" customHeight="1">
      <c r="A186" s="16"/>
      <c r="B186" s="16"/>
      <c r="C186" s="16"/>
      <c r="D186" s="16"/>
      <c r="E186" s="16"/>
      <c r="F186" s="16"/>
      <c r="G186" s="16"/>
      <c r="H186" t="s" s="96">
        <v>2260</v>
      </c>
      <c r="I186" t="s" s="96">
        <v>1242</v>
      </c>
      <c r="J186" t="s" s="96">
        <v>78</v>
      </c>
      <c r="K186" t="s" s="96">
        <v>12</v>
      </c>
      <c r="L186" s="79">
        <v>1912</v>
      </c>
      <c r="M186" s="79">
        <v>9</v>
      </c>
      <c r="N186" t="s" s="96">
        <v>2261</v>
      </c>
      <c r="O186" t="s" s="96">
        <v>34</v>
      </c>
      <c r="P186" t="s" s="96">
        <v>34</v>
      </c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</row>
    <row r="187" ht="15.35" customHeight="1">
      <c r="A187" s="16"/>
      <c r="B187" s="16"/>
      <c r="C187" s="16"/>
      <c r="D187" s="16"/>
      <c r="E187" s="16"/>
      <c r="F187" s="16"/>
      <c r="G187" s="16"/>
      <c r="H187" t="s" s="96">
        <v>2263</v>
      </c>
      <c r="I187" t="s" s="96">
        <v>2262</v>
      </c>
      <c r="J187" t="s" s="96">
        <v>492</v>
      </c>
      <c r="K187" t="s" s="96">
        <v>12</v>
      </c>
      <c r="L187" s="79">
        <v>1891</v>
      </c>
      <c r="M187" s="79">
        <v>30</v>
      </c>
      <c r="N187" t="s" s="96">
        <v>84</v>
      </c>
      <c r="O187" t="s" s="96">
        <v>2264</v>
      </c>
      <c r="P187" t="s" s="96">
        <v>2265</v>
      </c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</row>
    <row r="188" ht="15.35" customHeight="1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</row>
    <row r="189" ht="15.35" customHeight="1">
      <c r="A189" s="16"/>
      <c r="B189" s="16"/>
      <c r="C189" s="16"/>
      <c r="D189" s="16"/>
      <c r="E189" s="16"/>
      <c r="F189" s="16"/>
      <c r="G189" s="16"/>
      <c r="H189" t="s" s="96">
        <v>0</v>
      </c>
      <c r="I189" t="s" s="96">
        <v>1</v>
      </c>
      <c r="J189" t="s" s="96">
        <v>2</v>
      </c>
      <c r="K189" t="s" s="96">
        <v>3</v>
      </c>
      <c r="L189" t="s" s="96">
        <v>4</v>
      </c>
      <c r="M189" t="s" s="96">
        <v>5</v>
      </c>
      <c r="N189" t="s" s="96">
        <v>6</v>
      </c>
      <c r="O189" t="s" s="96">
        <v>7</v>
      </c>
      <c r="P189" t="s" s="96">
        <v>8</v>
      </c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</row>
    <row r="190" ht="15.35" customHeight="1">
      <c r="A190" s="16"/>
      <c r="B190" s="16"/>
      <c r="C190" s="16"/>
      <c r="D190" s="16"/>
      <c r="E190" s="16"/>
      <c r="F190" s="79">
        <v>2</v>
      </c>
      <c r="G190" s="16"/>
      <c r="H190" t="s" s="96">
        <v>2266</v>
      </c>
      <c r="I190" t="s" s="96">
        <v>1937</v>
      </c>
      <c r="J190" t="s" s="96">
        <v>31</v>
      </c>
      <c r="K190" t="s" s="96">
        <v>37</v>
      </c>
      <c r="L190" s="79">
        <v>1854</v>
      </c>
      <c r="M190" s="79">
        <v>67</v>
      </c>
      <c r="N190" t="s" s="96">
        <v>13</v>
      </c>
      <c r="O190" t="s" s="96">
        <v>2267</v>
      </c>
      <c r="P190" t="s" s="96">
        <v>8</v>
      </c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</row>
    <row r="191" ht="15.35" customHeight="1">
      <c r="A191" s="16"/>
      <c r="B191" s="16"/>
      <c r="C191" s="16"/>
      <c r="D191" s="16"/>
      <c r="E191" s="16"/>
      <c r="F191" s="16"/>
      <c r="G191" s="16"/>
      <c r="H191" t="s" s="96">
        <v>1177</v>
      </c>
      <c r="I191" t="s" s="96">
        <v>1937</v>
      </c>
      <c r="J191" t="s" s="96">
        <v>72</v>
      </c>
      <c r="K191" t="s" s="96">
        <v>12</v>
      </c>
      <c r="L191" s="79">
        <v>1863</v>
      </c>
      <c r="M191" s="79">
        <v>58</v>
      </c>
      <c r="N191" t="s" s="96">
        <v>25</v>
      </c>
      <c r="O191" t="s" s="96">
        <v>33</v>
      </c>
      <c r="P191" t="s" s="96">
        <v>34</v>
      </c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</row>
    <row r="192" ht="15.35" customHeight="1">
      <c r="A192" s="16"/>
      <c r="B192" s="16"/>
      <c r="C192" s="16"/>
      <c r="D192" s="16"/>
      <c r="E192" s="16"/>
      <c r="F192" s="16"/>
      <c r="G192" s="16"/>
      <c r="H192" t="s" s="96">
        <v>2010</v>
      </c>
      <c r="I192" t="s" s="96">
        <v>2268</v>
      </c>
      <c r="J192" t="s" s="96">
        <v>11</v>
      </c>
      <c r="K192" t="s" s="96">
        <v>12</v>
      </c>
      <c r="L192" s="79">
        <v>1861</v>
      </c>
      <c r="M192" s="79">
        <v>59</v>
      </c>
      <c r="N192" t="s" s="96">
        <v>2269</v>
      </c>
      <c r="O192" t="s" s="96">
        <v>45</v>
      </c>
      <c r="P192" t="s" s="96">
        <v>15</v>
      </c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</row>
    <row r="193" ht="15.35" customHeight="1">
      <c r="A193" s="16"/>
      <c r="B193" s="16"/>
      <c r="C193" s="16"/>
      <c r="D193" s="16"/>
      <c r="E193" s="16"/>
      <c r="F193" s="16"/>
      <c r="G193" s="16"/>
      <c r="H193" t="s" s="96">
        <v>2271</v>
      </c>
      <c r="I193" t="s" s="96">
        <v>2270</v>
      </c>
      <c r="J193" t="s" s="96">
        <v>11</v>
      </c>
      <c r="K193" t="s" s="96">
        <v>12</v>
      </c>
      <c r="L193" s="79">
        <v>1898</v>
      </c>
      <c r="M193" s="79">
        <v>22</v>
      </c>
      <c r="N193" t="s" s="96">
        <v>2272</v>
      </c>
      <c r="O193" t="s" s="96">
        <v>89</v>
      </c>
      <c r="P193" t="s" s="96">
        <v>15</v>
      </c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</row>
    <row r="194" ht="15.35" customHeight="1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</row>
    <row r="195" ht="15.35" customHeight="1">
      <c r="A195" s="16"/>
      <c r="B195" s="16"/>
      <c r="C195" s="16"/>
      <c r="D195" s="16"/>
      <c r="E195" s="16"/>
      <c r="F195" s="16"/>
      <c r="G195" s="16"/>
      <c r="H195" t="s" s="96">
        <v>0</v>
      </c>
      <c r="I195" t="s" s="96">
        <v>1</v>
      </c>
      <c r="J195" t="s" s="96">
        <v>2</v>
      </c>
      <c r="K195" t="s" s="96">
        <v>3</v>
      </c>
      <c r="L195" t="s" s="96">
        <v>4</v>
      </c>
      <c r="M195" t="s" s="96">
        <v>5</v>
      </c>
      <c r="N195" t="s" s="96">
        <v>6</v>
      </c>
      <c r="O195" t="s" s="96">
        <v>7</v>
      </c>
      <c r="P195" t="s" s="96">
        <v>8</v>
      </c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</row>
    <row r="196" ht="15.35" customHeight="1">
      <c r="A196" s="16"/>
      <c r="B196" s="16"/>
      <c r="C196" s="16"/>
      <c r="D196" s="16"/>
      <c r="E196" s="16"/>
      <c r="F196" s="79">
        <v>4</v>
      </c>
      <c r="G196" s="16"/>
      <c r="H196" t="s" s="96">
        <v>525</v>
      </c>
      <c r="I196" t="s" s="96">
        <v>2273</v>
      </c>
      <c r="J196" t="s" s="96">
        <v>31</v>
      </c>
      <c r="K196" t="s" s="96">
        <v>37</v>
      </c>
      <c r="L196" s="79">
        <v>1851</v>
      </c>
      <c r="M196" s="79">
        <v>70</v>
      </c>
      <c r="N196" t="s" s="96">
        <v>13</v>
      </c>
      <c r="O196" t="s" s="96">
        <v>2274</v>
      </c>
      <c r="P196" t="s" s="96">
        <v>2275</v>
      </c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</row>
    <row r="197" ht="15.35" customHeight="1">
      <c r="A197" s="16"/>
      <c r="B197" s="16"/>
      <c r="C197" s="16"/>
      <c r="D197" s="16"/>
      <c r="E197" s="16"/>
      <c r="F197" s="16"/>
      <c r="G197" s="16"/>
      <c r="H197" t="s" s="96">
        <v>2276</v>
      </c>
      <c r="I197" t="s" s="96">
        <v>2273</v>
      </c>
      <c r="J197" t="s" s="96">
        <v>72</v>
      </c>
      <c r="K197" t="s" s="96">
        <v>12</v>
      </c>
      <c r="L197" s="79">
        <v>1859</v>
      </c>
      <c r="M197" s="79">
        <v>62</v>
      </c>
      <c r="N197" t="s" s="96">
        <v>84</v>
      </c>
      <c r="O197" t="s" s="96">
        <v>33</v>
      </c>
      <c r="P197" t="s" s="96">
        <v>34</v>
      </c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</row>
    <row r="198" ht="15.35" customHeight="1">
      <c r="A198" s="16"/>
      <c r="B198" s="16"/>
      <c r="C198" s="16"/>
      <c r="D198" s="16"/>
      <c r="E198" s="16"/>
      <c r="F198" s="16"/>
      <c r="G198" s="16"/>
      <c r="H198" t="s" s="96">
        <v>2277</v>
      </c>
      <c r="I198" t="s" s="96">
        <v>1106</v>
      </c>
      <c r="J198" t="s" s="96">
        <v>41</v>
      </c>
      <c r="K198" t="s" s="96">
        <v>12</v>
      </c>
      <c r="L198" s="79">
        <v>1883</v>
      </c>
      <c r="M198" s="79">
        <v>37</v>
      </c>
      <c r="N198" t="s" s="96">
        <v>13</v>
      </c>
      <c r="O198" t="s" s="96">
        <v>33</v>
      </c>
      <c r="P198" t="s" s="96">
        <v>34</v>
      </c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</row>
    <row r="199" ht="15.35" customHeight="1">
      <c r="A199" s="16"/>
      <c r="B199" s="16"/>
      <c r="C199" s="16"/>
      <c r="D199" s="16"/>
      <c r="E199" s="16"/>
      <c r="F199" s="16"/>
      <c r="G199" s="16"/>
      <c r="H199" t="s" s="96">
        <v>132</v>
      </c>
      <c r="I199" t="s" s="96">
        <v>2278</v>
      </c>
      <c r="J199" t="s" s="96">
        <v>11</v>
      </c>
      <c r="K199" t="s" s="96">
        <v>12</v>
      </c>
      <c r="L199" s="79">
        <v>1860</v>
      </c>
      <c r="M199" s="79">
        <v>60</v>
      </c>
      <c r="N199" t="s" s="96">
        <v>489</v>
      </c>
      <c r="O199" t="s" s="96">
        <v>2279</v>
      </c>
      <c r="P199" t="s" s="96">
        <v>603</v>
      </c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</row>
    <row r="200" ht="15.35" customHeight="1">
      <c r="A200" s="16"/>
      <c r="B200" s="16"/>
      <c r="C200" s="16"/>
      <c r="D200" s="16"/>
      <c r="E200" s="16"/>
      <c r="F200" s="16"/>
      <c r="G200" s="16"/>
      <c r="H200" t="s" s="96">
        <v>2280</v>
      </c>
      <c r="I200" t="s" s="96">
        <v>2083</v>
      </c>
      <c r="J200" t="s" s="96">
        <v>11</v>
      </c>
      <c r="K200" t="s" s="96">
        <v>12</v>
      </c>
      <c r="L200" s="79">
        <v>1874</v>
      </c>
      <c r="M200" s="79">
        <v>46</v>
      </c>
      <c r="N200" t="s" s="96">
        <v>2281</v>
      </c>
      <c r="O200" t="s" s="96">
        <v>188</v>
      </c>
      <c r="P200" t="s" s="96">
        <v>15</v>
      </c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</row>
    <row r="201" ht="15.35" customHeight="1">
      <c r="A201" s="16"/>
      <c r="B201" s="16"/>
      <c r="C201" s="16"/>
      <c r="D201" s="16"/>
      <c r="E201" s="16"/>
      <c r="F201" s="16"/>
      <c r="G201" s="16"/>
      <c r="H201" t="s" s="96">
        <v>2283</v>
      </c>
      <c r="I201" t="s" s="96">
        <v>2282</v>
      </c>
      <c r="J201" t="s" s="96">
        <v>11</v>
      </c>
      <c r="K201" t="s" s="96">
        <v>12</v>
      </c>
      <c r="L201" s="79">
        <v>1900</v>
      </c>
      <c r="M201" s="79">
        <v>20</v>
      </c>
      <c r="N201" t="s" s="96">
        <v>988</v>
      </c>
      <c r="O201" t="s" s="96">
        <v>188</v>
      </c>
      <c r="P201" t="s" s="96">
        <v>15</v>
      </c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</row>
    <row r="202" ht="15.35" customHeight="1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</row>
    <row r="203" ht="15.35" customHeight="1">
      <c r="A203" s="16"/>
      <c r="B203" s="16"/>
      <c r="C203" s="16"/>
      <c r="D203" s="16"/>
      <c r="E203" s="16"/>
      <c r="F203" s="16"/>
      <c r="G203" s="16"/>
      <c r="H203" t="s" s="96">
        <v>0</v>
      </c>
      <c r="I203" t="s" s="96">
        <v>1</v>
      </c>
      <c r="J203" t="s" s="96">
        <v>2</v>
      </c>
      <c r="K203" t="s" s="96">
        <v>3</v>
      </c>
      <c r="L203" t="s" s="96">
        <v>4</v>
      </c>
      <c r="M203" t="s" s="96">
        <v>5</v>
      </c>
      <c r="N203" t="s" s="96">
        <v>6</v>
      </c>
      <c r="O203" t="s" s="96">
        <v>7</v>
      </c>
      <c r="P203" t="s" s="96">
        <v>8</v>
      </c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</row>
    <row r="204" ht="15.35" customHeight="1">
      <c r="A204" s="16"/>
      <c r="B204" s="16"/>
      <c r="C204" s="16"/>
      <c r="D204" s="16"/>
      <c r="E204" s="16"/>
      <c r="F204" s="79">
        <v>5</v>
      </c>
      <c r="G204" s="16"/>
      <c r="H204" t="s" s="96">
        <v>619</v>
      </c>
      <c r="I204" t="s" s="96">
        <v>2284</v>
      </c>
      <c r="J204" t="s" s="96">
        <v>31</v>
      </c>
      <c r="K204" t="s" s="96">
        <v>37</v>
      </c>
      <c r="L204" s="79">
        <v>1874</v>
      </c>
      <c r="M204" s="79">
        <v>47</v>
      </c>
      <c r="N204" t="s" s="96">
        <v>830</v>
      </c>
      <c r="O204" t="s" s="96">
        <v>2285</v>
      </c>
      <c r="P204" t="s" s="96">
        <v>603</v>
      </c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</row>
    <row r="205" ht="15.35" customHeight="1">
      <c r="A205" s="16"/>
      <c r="B205" s="16"/>
      <c r="C205" s="16"/>
      <c r="D205" s="16"/>
      <c r="E205" s="16"/>
      <c r="F205" s="16"/>
      <c r="G205" s="16"/>
      <c r="H205" t="s" s="96">
        <v>192</v>
      </c>
      <c r="I205" t="s" s="96">
        <v>2284</v>
      </c>
      <c r="J205" t="s" s="96">
        <v>72</v>
      </c>
      <c r="K205" t="s" s="96">
        <v>12</v>
      </c>
      <c r="L205" s="79">
        <v>1878</v>
      </c>
      <c r="M205" s="79">
        <v>43</v>
      </c>
      <c r="N205" t="s" s="96">
        <v>13</v>
      </c>
      <c r="O205" t="s" s="96">
        <v>33</v>
      </c>
      <c r="P205" t="s" s="96">
        <v>34</v>
      </c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</row>
    <row r="206" ht="15.35" customHeight="1">
      <c r="A206" s="16"/>
      <c r="B206" s="16"/>
      <c r="C206" s="16"/>
      <c r="D206" s="16"/>
      <c r="E206" s="16"/>
      <c r="F206" s="16"/>
      <c r="G206" s="16"/>
      <c r="H206" t="s" s="96">
        <v>2286</v>
      </c>
      <c r="I206" t="s" s="96">
        <v>2284</v>
      </c>
      <c r="J206" t="s" s="96">
        <v>36</v>
      </c>
      <c r="K206" t="s" s="96">
        <v>37</v>
      </c>
      <c r="L206" s="79">
        <v>1904</v>
      </c>
      <c r="M206" s="79">
        <v>17</v>
      </c>
      <c r="N206" t="s" s="96">
        <v>13</v>
      </c>
      <c r="O206" t="s" s="96">
        <v>34</v>
      </c>
      <c r="P206" t="s" s="96">
        <v>34</v>
      </c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</row>
    <row r="207" ht="15.35" customHeight="1">
      <c r="A207" s="16"/>
      <c r="B207" s="16"/>
      <c r="C207" s="16"/>
      <c r="D207" s="16"/>
      <c r="E207" s="16"/>
      <c r="F207" s="16"/>
      <c r="G207" s="16"/>
      <c r="H207" t="s" s="96">
        <v>2287</v>
      </c>
      <c r="I207" t="s" s="96">
        <v>2284</v>
      </c>
      <c r="J207" t="s" s="96">
        <v>36</v>
      </c>
      <c r="K207" t="s" s="96">
        <v>37</v>
      </c>
      <c r="L207" s="79">
        <v>1905</v>
      </c>
      <c r="M207" s="79">
        <v>15</v>
      </c>
      <c r="N207" t="s" s="96">
        <v>13</v>
      </c>
      <c r="O207" t="s" s="96">
        <v>34</v>
      </c>
      <c r="P207" t="s" s="96">
        <v>34</v>
      </c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  <c r="AZ207" s="16"/>
      <c r="BA207" s="16"/>
      <c r="BB207" s="16"/>
      <c r="BC207" s="16"/>
    </row>
    <row r="208" ht="15.35" customHeight="1">
      <c r="A208" s="16"/>
      <c r="B208" s="16"/>
      <c r="C208" s="16"/>
      <c r="D208" s="16"/>
      <c r="E208" s="16"/>
      <c r="F208" s="16"/>
      <c r="G208" s="16"/>
      <c r="H208" t="s" s="96">
        <v>2288</v>
      </c>
      <c r="I208" t="s" s="96">
        <v>201</v>
      </c>
      <c r="J208" t="s" s="96">
        <v>11</v>
      </c>
      <c r="K208" t="s" s="96">
        <v>12</v>
      </c>
      <c r="L208" s="79">
        <v>1899</v>
      </c>
      <c r="M208" s="79">
        <v>22</v>
      </c>
      <c r="N208" t="s" s="96">
        <v>13</v>
      </c>
      <c r="O208" t="s" s="96">
        <v>105</v>
      </c>
      <c r="P208" t="s" s="96">
        <v>15</v>
      </c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  <c r="AZ208" s="16"/>
      <c r="BA208" s="16"/>
      <c r="BB208" s="16"/>
      <c r="BC208" s="16"/>
    </row>
    <row r="209" ht="15.35" customHeight="1">
      <c r="A209" s="16"/>
      <c r="B209" s="16"/>
      <c r="C209" s="16"/>
      <c r="D209" s="16"/>
      <c r="E209" s="16"/>
      <c r="F209" s="16"/>
      <c r="G209" s="16"/>
      <c r="H209" t="s" s="96">
        <v>39</v>
      </c>
      <c r="I209" t="s" s="96">
        <v>2289</v>
      </c>
      <c r="J209" t="s" s="96">
        <v>1032</v>
      </c>
      <c r="K209" t="s" s="96">
        <v>12</v>
      </c>
      <c r="L209" s="79">
        <v>1859</v>
      </c>
      <c r="M209" s="79">
        <v>62</v>
      </c>
      <c r="N209" t="s" s="96">
        <v>2290</v>
      </c>
      <c r="O209" t="s" s="96">
        <v>33</v>
      </c>
      <c r="P209" t="s" s="96">
        <v>34</v>
      </c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  <c r="AZ209" s="16"/>
      <c r="BA209" s="16"/>
      <c r="BB209" s="16"/>
      <c r="BC209" s="16"/>
    </row>
    <row r="210" ht="15.35" customHeight="1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  <c r="AZ210" s="16"/>
      <c r="BA210" s="16"/>
      <c r="BB210" s="16"/>
      <c r="BC210" s="16"/>
    </row>
    <row r="211" ht="15.35" customHeight="1">
      <c r="A211" s="16"/>
      <c r="B211" s="16"/>
      <c r="C211" s="16"/>
      <c r="D211" s="16"/>
      <c r="E211" s="16"/>
      <c r="F211" s="16"/>
      <c r="G211" s="16"/>
      <c r="H211" t="s" s="96">
        <v>0</v>
      </c>
      <c r="I211" t="s" s="96">
        <v>1</v>
      </c>
      <c r="J211" t="s" s="96">
        <v>2</v>
      </c>
      <c r="K211" t="s" s="96">
        <v>3</v>
      </c>
      <c r="L211" t="s" s="96">
        <v>4</v>
      </c>
      <c r="M211" t="s" s="96">
        <v>5</v>
      </c>
      <c r="N211" t="s" s="96">
        <v>6</v>
      </c>
      <c r="O211" t="s" s="96">
        <v>7</v>
      </c>
      <c r="P211" t="s" s="96">
        <v>8</v>
      </c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  <c r="AZ211" s="16"/>
      <c r="BA211" s="16"/>
      <c r="BB211" s="16"/>
      <c r="BC211" s="16"/>
    </row>
    <row r="212" ht="15.35" customHeight="1">
      <c r="A212" s="16"/>
      <c r="B212" s="16"/>
      <c r="C212" s="16"/>
      <c r="D212" s="16"/>
      <c r="E212" s="16"/>
      <c r="F212" s="79">
        <v>11</v>
      </c>
      <c r="G212" s="16"/>
      <c r="H212" t="s" s="96">
        <v>2292</v>
      </c>
      <c r="I212" t="s" s="96">
        <v>2291</v>
      </c>
      <c r="J212" t="s" s="96">
        <v>31</v>
      </c>
      <c r="K212" t="s" s="96">
        <v>37</v>
      </c>
      <c r="L212" s="79">
        <v>1867</v>
      </c>
      <c r="M212" s="79">
        <v>53</v>
      </c>
      <c r="N212" t="s" s="96">
        <v>13</v>
      </c>
      <c r="O212" t="s" s="96">
        <v>2293</v>
      </c>
      <c r="P212" t="s" s="96">
        <v>8</v>
      </c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  <c r="AZ212" s="16"/>
      <c r="BA212" s="16"/>
      <c r="BB212" s="16"/>
      <c r="BC212" s="16"/>
    </row>
    <row r="213" ht="15.35" customHeight="1">
      <c r="A213" s="16"/>
      <c r="B213" s="16"/>
      <c r="C213" s="16"/>
      <c r="D213" s="16"/>
      <c r="E213" s="16"/>
      <c r="F213" s="16"/>
      <c r="G213" s="16"/>
      <c r="H213" t="s" s="96">
        <v>2294</v>
      </c>
      <c r="I213" t="s" s="96">
        <v>2291</v>
      </c>
      <c r="J213" t="s" s="96">
        <v>72</v>
      </c>
      <c r="K213" t="s" s="96">
        <v>12</v>
      </c>
      <c r="L213" s="79">
        <v>1869</v>
      </c>
      <c r="M213" s="79">
        <v>52</v>
      </c>
      <c r="N213" t="s" s="96">
        <v>13</v>
      </c>
      <c r="O213" t="s" s="96">
        <v>33</v>
      </c>
      <c r="P213" t="s" s="96">
        <v>34</v>
      </c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  <c r="AZ213" s="16"/>
      <c r="BA213" s="16"/>
      <c r="BB213" s="16"/>
      <c r="BC213" s="16"/>
    </row>
    <row r="214" ht="15.35" customHeight="1">
      <c r="A214" s="16"/>
      <c r="B214" s="16"/>
      <c r="C214" s="16"/>
      <c r="D214" s="16"/>
      <c r="E214" s="16"/>
      <c r="F214" s="16"/>
      <c r="G214" s="16"/>
      <c r="H214" t="s" s="96">
        <v>2295</v>
      </c>
      <c r="I214" t="s" s="96">
        <v>2291</v>
      </c>
      <c r="J214" t="s" s="96">
        <v>78</v>
      </c>
      <c r="K214" t="s" s="96">
        <v>12</v>
      </c>
      <c r="L214" s="79">
        <v>1913</v>
      </c>
      <c r="M214" s="79">
        <v>8</v>
      </c>
      <c r="N214" t="s" s="96">
        <v>13</v>
      </c>
      <c r="O214" t="s" s="96">
        <v>34</v>
      </c>
      <c r="P214" t="s" s="96">
        <v>34</v>
      </c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  <c r="AZ214" s="16"/>
      <c r="BA214" s="16"/>
      <c r="BB214" s="16"/>
      <c r="BC214" s="16"/>
    </row>
    <row r="215" ht="15.35" customHeight="1">
      <c r="A215" s="16"/>
      <c r="B215" s="16"/>
      <c r="C215" s="16"/>
      <c r="D215" s="16"/>
      <c r="E215" s="16"/>
      <c r="F215" s="16"/>
      <c r="G215" s="16"/>
      <c r="H215" t="s" s="96">
        <v>2297</v>
      </c>
      <c r="I215" t="s" s="96">
        <v>2296</v>
      </c>
      <c r="J215" t="s" s="96">
        <v>11</v>
      </c>
      <c r="K215" t="s" s="96">
        <v>12</v>
      </c>
      <c r="L215" s="79">
        <v>1896</v>
      </c>
      <c r="M215" s="79">
        <v>25</v>
      </c>
      <c r="N215" t="s" s="96">
        <v>202</v>
      </c>
      <c r="O215" t="s" s="96">
        <v>105</v>
      </c>
      <c r="P215" t="s" s="96">
        <v>15</v>
      </c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  <c r="AZ215" s="16"/>
      <c r="BA215" s="16"/>
      <c r="BB215" s="16"/>
      <c r="BC215" s="16"/>
    </row>
    <row r="216" ht="15.35" customHeight="1">
      <c r="A216" s="16"/>
      <c r="B216" s="16"/>
      <c r="C216" s="16"/>
      <c r="D216" s="16"/>
      <c r="E216" s="16"/>
      <c r="F216" s="16"/>
      <c r="G216" s="16"/>
      <c r="H216" t="s" s="96">
        <v>593</v>
      </c>
      <c r="I216" t="s" s="96">
        <v>2298</v>
      </c>
      <c r="J216" t="s" s="96">
        <v>11</v>
      </c>
      <c r="K216" t="s" s="96">
        <v>12</v>
      </c>
      <c r="L216" s="79">
        <v>1902</v>
      </c>
      <c r="M216" s="79">
        <v>18</v>
      </c>
      <c r="N216" t="s" s="96">
        <v>472</v>
      </c>
      <c r="O216" t="s" s="96">
        <v>105</v>
      </c>
      <c r="P216" t="s" s="96">
        <v>15</v>
      </c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</row>
    <row r="217" ht="15.35" customHeight="1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  <c r="AZ217" s="16"/>
      <c r="BA217" s="16"/>
      <c r="BB217" s="16"/>
      <c r="BC217" s="16"/>
    </row>
    <row r="218" ht="15.35" customHeight="1">
      <c r="A218" s="16"/>
      <c r="B218" s="16"/>
      <c r="C218" s="16"/>
      <c r="D218" s="16"/>
      <c r="E218" s="16"/>
      <c r="F218" s="16"/>
      <c r="G218" s="16"/>
      <c r="H218" t="s" s="96">
        <v>0</v>
      </c>
      <c r="I218" t="s" s="96">
        <v>1</v>
      </c>
      <c r="J218" t="s" s="96">
        <v>2</v>
      </c>
      <c r="K218" t="s" s="96">
        <v>3</v>
      </c>
      <c r="L218" t="s" s="96">
        <v>4</v>
      </c>
      <c r="M218" t="s" s="96">
        <v>5</v>
      </c>
      <c r="N218" t="s" s="96">
        <v>6</v>
      </c>
      <c r="O218" t="s" s="96">
        <v>7</v>
      </c>
      <c r="P218" t="s" s="96">
        <v>8</v>
      </c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  <c r="AZ218" s="16"/>
      <c r="BA218" s="16"/>
      <c r="BB218" s="16"/>
      <c r="BC218" s="16"/>
    </row>
    <row r="219" ht="15.35" customHeight="1">
      <c r="A219" s="16"/>
      <c r="B219" s="16"/>
      <c r="C219" s="16"/>
      <c r="D219" s="16"/>
      <c r="E219" s="16"/>
      <c r="F219" s="79">
        <v>17</v>
      </c>
      <c r="G219" s="16"/>
      <c r="H219" t="s" s="96">
        <v>2300</v>
      </c>
      <c r="I219" t="s" s="96">
        <v>2299</v>
      </c>
      <c r="J219" t="s" s="96">
        <v>31</v>
      </c>
      <c r="K219" t="s" s="96">
        <v>37</v>
      </c>
      <c r="L219" s="79">
        <v>1877</v>
      </c>
      <c r="M219" s="79">
        <v>43</v>
      </c>
      <c r="N219" t="s" s="96">
        <v>2303</v>
      </c>
      <c r="O219" t="s" s="96">
        <v>2301</v>
      </c>
      <c r="P219" t="s" s="96">
        <v>2302</v>
      </c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  <c r="AZ219" s="16"/>
      <c r="BA219" s="16"/>
      <c r="BB219" s="16"/>
      <c r="BC219" s="16"/>
    </row>
    <row r="220" ht="15.35" customHeight="1">
      <c r="A220" s="16"/>
      <c r="B220" s="16"/>
      <c r="C220" s="16"/>
      <c r="D220" s="16"/>
      <c r="E220" s="16"/>
      <c r="F220" s="16"/>
      <c r="G220" s="16"/>
      <c r="H220" t="s" s="96">
        <v>2304</v>
      </c>
      <c r="I220" t="s" s="96">
        <v>2299</v>
      </c>
      <c r="J220" t="s" s="96">
        <v>36</v>
      </c>
      <c r="K220" t="s" s="96">
        <v>37</v>
      </c>
      <c r="L220" s="79">
        <v>1911</v>
      </c>
      <c r="M220" s="79">
        <v>10</v>
      </c>
      <c r="N220" t="s" s="96">
        <v>2305</v>
      </c>
      <c r="O220" t="s" s="96">
        <v>34</v>
      </c>
      <c r="P220" t="s" s="96">
        <v>34</v>
      </c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  <c r="AZ220" s="16"/>
      <c r="BA220" s="16"/>
      <c r="BB220" s="16"/>
      <c r="BC220" s="16"/>
    </row>
    <row r="221" ht="15.35" customHeight="1">
      <c r="A221" s="16"/>
      <c r="B221" s="16"/>
      <c r="C221" s="16"/>
      <c r="D221" s="16"/>
      <c r="E221" s="16"/>
      <c r="F221" s="16"/>
      <c r="G221" s="16"/>
      <c r="H221" t="s" s="96">
        <v>369</v>
      </c>
      <c r="I221" t="s" s="96">
        <v>2306</v>
      </c>
      <c r="J221" t="s" s="96">
        <v>11</v>
      </c>
      <c r="K221" t="s" s="96">
        <v>12</v>
      </c>
      <c r="L221" s="79">
        <v>1894</v>
      </c>
      <c r="M221" s="79">
        <v>27</v>
      </c>
      <c r="N221" t="s" s="96">
        <v>873</v>
      </c>
      <c r="O221" t="s" s="96">
        <v>105</v>
      </c>
      <c r="P221" t="s" s="96">
        <v>15</v>
      </c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  <c r="AZ221" s="16"/>
      <c r="BA221" s="16"/>
      <c r="BB221" s="16"/>
      <c r="BC221" s="16"/>
    </row>
    <row r="222" ht="15.35" customHeight="1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  <c r="AZ222" s="16"/>
      <c r="BA222" s="16"/>
      <c r="BB222" s="16"/>
      <c r="BC222" s="16"/>
    </row>
    <row r="223" ht="15.35" customHeight="1">
      <c r="A223" s="16"/>
      <c r="B223" s="16"/>
      <c r="C223" s="16"/>
      <c r="D223" s="16"/>
      <c r="E223" s="16"/>
      <c r="F223" s="16"/>
      <c r="G223" s="16"/>
      <c r="H223" t="s" s="96">
        <v>0</v>
      </c>
      <c r="I223" t="s" s="96">
        <v>1</v>
      </c>
      <c r="J223" t="s" s="96">
        <v>2</v>
      </c>
      <c r="K223" t="s" s="96">
        <v>3</v>
      </c>
      <c r="L223" t="s" s="96">
        <v>4</v>
      </c>
      <c r="M223" t="s" s="96">
        <v>5</v>
      </c>
      <c r="N223" t="s" s="96">
        <v>6</v>
      </c>
      <c r="O223" t="s" s="96">
        <v>7</v>
      </c>
      <c r="P223" t="s" s="96">
        <v>8</v>
      </c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  <c r="AZ223" s="16"/>
      <c r="BA223" s="16"/>
      <c r="BB223" s="16"/>
      <c r="BC223" s="16"/>
    </row>
    <row r="224" ht="15.35" customHeight="1">
      <c r="A224" s="16"/>
      <c r="B224" s="16"/>
      <c r="C224" s="16"/>
      <c r="D224" s="16"/>
      <c r="E224" s="16"/>
      <c r="F224" s="79">
        <v>19</v>
      </c>
      <c r="G224" s="16"/>
      <c r="H224" t="s" s="96">
        <v>839</v>
      </c>
      <c r="I224" t="s" s="96">
        <v>2307</v>
      </c>
      <c r="J224" t="s" s="96">
        <v>31</v>
      </c>
      <c r="K224" t="s" s="96">
        <v>37</v>
      </c>
      <c r="L224" s="79">
        <v>1878</v>
      </c>
      <c r="M224" s="79">
        <v>43</v>
      </c>
      <c r="N224" t="s" s="96">
        <v>13</v>
      </c>
      <c r="O224" t="s" s="96">
        <v>689</v>
      </c>
      <c r="P224" t="s" s="96">
        <v>2308</v>
      </c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  <c r="AZ224" s="16"/>
      <c r="BA224" s="16"/>
      <c r="BB224" s="16"/>
      <c r="BC224" s="16"/>
    </row>
    <row r="225" ht="15.35" customHeight="1">
      <c r="A225" s="16"/>
      <c r="B225" s="16"/>
      <c r="C225" s="16"/>
      <c r="D225" s="16"/>
      <c r="E225" s="16"/>
      <c r="F225" s="16"/>
      <c r="G225" s="16"/>
      <c r="H225" t="s" s="96">
        <v>2309</v>
      </c>
      <c r="I225" t="s" s="96">
        <v>2307</v>
      </c>
      <c r="J225" t="s" s="96">
        <v>72</v>
      </c>
      <c r="K225" t="s" s="96">
        <v>12</v>
      </c>
      <c r="L225" s="79">
        <v>1886</v>
      </c>
      <c r="M225" s="79">
        <v>34</v>
      </c>
      <c r="N225" t="s" s="96">
        <v>523</v>
      </c>
      <c r="O225" t="s" s="96">
        <v>33</v>
      </c>
      <c r="P225" t="s" s="96">
        <v>34</v>
      </c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  <c r="AZ225" s="16"/>
      <c r="BA225" s="16"/>
      <c r="BB225" s="16"/>
      <c r="BC225" s="16"/>
    </row>
    <row r="226" ht="15.35" customHeight="1">
      <c r="A226" s="16"/>
      <c r="B226" s="16"/>
      <c r="C226" s="16"/>
      <c r="D226" s="16"/>
      <c r="E226" s="16"/>
      <c r="F226" s="16"/>
      <c r="G226" s="16"/>
      <c r="H226" t="s" s="96">
        <v>2199</v>
      </c>
      <c r="I226" t="s" s="96">
        <v>2310</v>
      </c>
      <c r="J226" t="s" s="96">
        <v>11</v>
      </c>
      <c r="K226" t="s" s="96">
        <v>12</v>
      </c>
      <c r="L226" s="79">
        <v>1882</v>
      </c>
      <c r="M226" s="79">
        <v>38</v>
      </c>
      <c r="N226" t="s" s="96">
        <v>118</v>
      </c>
      <c r="O226" t="s" s="96">
        <v>2311</v>
      </c>
      <c r="P226" t="s" s="96">
        <v>15</v>
      </c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  <c r="AZ226" s="16"/>
      <c r="BA226" s="16"/>
      <c r="BB226" s="16"/>
      <c r="BC226" s="16"/>
    </row>
    <row r="227" ht="15.35" customHeight="1">
      <c r="A227" s="16"/>
      <c r="B227" s="16"/>
      <c r="C227" s="16"/>
      <c r="D227" s="16"/>
      <c r="E227" s="16"/>
      <c r="F227" s="16"/>
      <c r="G227" s="16"/>
      <c r="H227" t="s" s="96">
        <v>2313</v>
      </c>
      <c r="I227" t="s" s="96">
        <v>2312</v>
      </c>
      <c r="J227" t="s" s="96">
        <v>11</v>
      </c>
      <c r="K227" t="s" s="96">
        <v>12</v>
      </c>
      <c r="L227" s="79">
        <v>1903</v>
      </c>
      <c r="M227" s="79">
        <v>18</v>
      </c>
      <c r="N227" t="s" s="96">
        <v>2315</v>
      </c>
      <c r="O227" t="s" s="96">
        <v>2314</v>
      </c>
      <c r="P227" t="s" s="96">
        <v>15</v>
      </c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  <c r="AZ227" s="16"/>
      <c r="BA227" s="16"/>
      <c r="BB227" s="16"/>
      <c r="BC227" s="16"/>
    </row>
    <row r="228" ht="15.3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  <c r="AZ228" s="16"/>
      <c r="BA228" s="16"/>
      <c r="BB228" s="16"/>
      <c r="BC228" s="16"/>
    </row>
    <row r="229" ht="15.35" customHeight="1">
      <c r="A229" s="16"/>
      <c r="B229" s="16"/>
      <c r="C229" s="16"/>
      <c r="D229" s="16"/>
      <c r="E229" s="16"/>
      <c r="F229" s="16"/>
      <c r="G229" s="16"/>
      <c r="H229" t="s" s="96">
        <v>0</v>
      </c>
      <c r="I229" t="s" s="96">
        <v>1</v>
      </c>
      <c r="J229" t="s" s="96">
        <v>2</v>
      </c>
      <c r="K229" t="s" s="96">
        <v>3</v>
      </c>
      <c r="L229" t="s" s="96">
        <v>4</v>
      </c>
      <c r="M229" t="s" s="96">
        <v>5</v>
      </c>
      <c r="N229" t="s" s="96">
        <v>6</v>
      </c>
      <c r="O229" t="s" s="96">
        <v>7</v>
      </c>
      <c r="P229" t="s" s="96">
        <v>8</v>
      </c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</row>
    <row r="230" ht="15.35" customHeight="1">
      <c r="A230" s="16"/>
      <c r="B230" s="16"/>
      <c r="C230" s="16"/>
      <c r="D230" s="16"/>
      <c r="E230" s="16"/>
      <c r="F230" s="79">
        <v>23</v>
      </c>
      <c r="G230" s="16"/>
      <c r="H230" t="s" s="96">
        <v>2316</v>
      </c>
      <c r="I230" t="s" s="96">
        <v>1688</v>
      </c>
      <c r="J230" t="s" s="96">
        <v>31</v>
      </c>
      <c r="K230" t="s" s="96">
        <v>37</v>
      </c>
      <c r="L230" s="79">
        <v>1871</v>
      </c>
      <c r="M230" s="79">
        <v>49</v>
      </c>
      <c r="N230" t="s" s="96">
        <v>13</v>
      </c>
      <c r="O230" t="s" s="96">
        <v>2317</v>
      </c>
      <c r="P230" t="s" s="96">
        <v>8</v>
      </c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  <c r="AZ230" s="16"/>
      <c r="BA230" s="16"/>
      <c r="BB230" s="16"/>
      <c r="BC230" s="16"/>
    </row>
    <row r="231" ht="15.35" customHeight="1">
      <c r="A231" s="16"/>
      <c r="B231" s="16"/>
      <c r="C231" s="16"/>
      <c r="D231" s="16"/>
      <c r="E231" s="16"/>
      <c r="F231" s="16"/>
      <c r="G231" s="16"/>
      <c r="H231" t="s" s="96">
        <v>2318</v>
      </c>
      <c r="I231" t="s" s="96">
        <v>1688</v>
      </c>
      <c r="J231" t="s" s="96">
        <v>72</v>
      </c>
      <c r="K231" t="s" s="96">
        <v>12</v>
      </c>
      <c r="L231" s="79">
        <v>1882</v>
      </c>
      <c r="M231" s="79">
        <v>39</v>
      </c>
      <c r="N231" t="s" s="96">
        <v>2319</v>
      </c>
      <c r="O231" t="s" s="96">
        <v>33</v>
      </c>
      <c r="P231" t="s" s="96">
        <v>34</v>
      </c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  <c r="AZ231" s="16"/>
      <c r="BA231" s="16"/>
      <c r="BB231" s="16"/>
      <c r="BC231" s="16"/>
    </row>
    <row r="232" ht="15.35" customHeight="1">
      <c r="A232" s="16"/>
      <c r="B232" s="16"/>
      <c r="C232" s="16"/>
      <c r="D232" s="16"/>
      <c r="E232" s="16"/>
      <c r="F232" s="16"/>
      <c r="G232" s="16"/>
      <c r="H232" t="s" s="96">
        <v>2318</v>
      </c>
      <c r="I232" t="s" s="96">
        <v>1688</v>
      </c>
      <c r="J232" t="s" s="96">
        <v>78</v>
      </c>
      <c r="K232" t="s" s="96">
        <v>12</v>
      </c>
      <c r="L232" s="79">
        <v>1911</v>
      </c>
      <c r="M232" s="79">
        <v>10</v>
      </c>
      <c r="N232" t="s" s="96">
        <v>13</v>
      </c>
      <c r="O232" t="s" s="96">
        <v>34</v>
      </c>
      <c r="P232" t="s" s="96">
        <v>34</v>
      </c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  <c r="AZ232" s="16"/>
      <c r="BA232" s="16"/>
      <c r="BB232" s="16"/>
      <c r="BC232" s="16"/>
    </row>
    <row r="233" ht="15.35" customHeight="1">
      <c r="A233" s="16"/>
      <c r="B233" s="16"/>
      <c r="C233" s="16"/>
      <c r="D233" s="16"/>
      <c r="E233" s="16"/>
      <c r="F233" s="16"/>
      <c r="G233" s="16"/>
      <c r="H233" t="s" s="96">
        <v>2321</v>
      </c>
      <c r="I233" t="s" s="96">
        <v>2320</v>
      </c>
      <c r="J233" t="s" s="96">
        <v>11</v>
      </c>
      <c r="K233" t="s" s="96">
        <v>12</v>
      </c>
      <c r="L233" s="79">
        <v>1896</v>
      </c>
      <c r="M233" s="79">
        <v>25</v>
      </c>
      <c r="N233" t="s" s="96">
        <v>2322</v>
      </c>
      <c r="O233" t="s" s="96">
        <v>105</v>
      </c>
      <c r="P233" t="s" s="96">
        <v>15</v>
      </c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  <c r="AZ233" s="16"/>
      <c r="BA233" s="16"/>
      <c r="BB233" s="16"/>
      <c r="BC233" s="16"/>
    </row>
    <row r="234" ht="15.3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  <c r="AZ234" s="16"/>
      <c r="BA234" s="16"/>
      <c r="BB234" s="16"/>
      <c r="BC234" s="16"/>
    </row>
    <row r="235" ht="15.35" customHeight="1">
      <c r="A235" s="16"/>
      <c r="B235" s="16"/>
      <c r="C235" s="16"/>
      <c r="D235" s="16"/>
      <c r="E235" s="16"/>
      <c r="F235" s="16"/>
      <c r="G235" s="16"/>
      <c r="H235" t="s" s="96">
        <v>0</v>
      </c>
      <c r="I235" t="s" s="96">
        <v>1</v>
      </c>
      <c r="J235" t="s" s="96">
        <v>2</v>
      </c>
      <c r="K235" t="s" s="96">
        <v>3</v>
      </c>
      <c r="L235" t="s" s="96">
        <v>4</v>
      </c>
      <c r="M235" t="s" s="96">
        <v>5</v>
      </c>
      <c r="N235" t="s" s="96">
        <v>6</v>
      </c>
      <c r="O235" t="s" s="96">
        <v>7</v>
      </c>
      <c r="P235" t="s" s="96">
        <v>8</v>
      </c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  <c r="AZ235" s="16"/>
      <c r="BA235" s="16"/>
      <c r="BB235" s="16"/>
      <c r="BC235" s="16"/>
    </row>
    <row r="236" ht="15.35" customHeight="1">
      <c r="A236" s="16"/>
      <c r="B236" s="16"/>
      <c r="C236" s="16"/>
      <c r="D236" s="16"/>
      <c r="E236" s="16"/>
      <c r="F236" s="79">
        <v>25</v>
      </c>
      <c r="G236" s="16"/>
      <c r="H236" t="s" s="96">
        <v>153</v>
      </c>
      <c r="I236" t="s" s="96">
        <v>2323</v>
      </c>
      <c r="J236" t="s" s="96">
        <v>31</v>
      </c>
      <c r="K236" t="s" s="96">
        <v>37</v>
      </c>
      <c r="L236" s="79">
        <v>1866</v>
      </c>
      <c r="M236" s="79">
        <v>55</v>
      </c>
      <c r="N236" t="s" s="96">
        <v>134</v>
      </c>
      <c r="O236" t="s" s="96">
        <v>2324</v>
      </c>
      <c r="P236" t="s" s="96">
        <v>8</v>
      </c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  <c r="AZ236" s="16"/>
      <c r="BA236" s="16"/>
      <c r="BB236" s="16"/>
      <c r="BC236" s="16"/>
    </row>
    <row r="237" ht="15.35" customHeight="1">
      <c r="A237" s="16"/>
      <c r="B237" s="16"/>
      <c r="C237" s="16"/>
      <c r="D237" s="16"/>
      <c r="E237" s="16"/>
      <c r="F237" s="16"/>
      <c r="G237" s="16"/>
      <c r="H237" t="s" s="96">
        <v>2325</v>
      </c>
      <c r="I237" t="s" s="96">
        <v>2323</v>
      </c>
      <c r="J237" t="s" s="96">
        <v>72</v>
      </c>
      <c r="K237" t="s" s="96">
        <v>12</v>
      </c>
      <c r="L237" s="79">
        <v>1867</v>
      </c>
      <c r="M237" s="79">
        <v>54</v>
      </c>
      <c r="N237" t="s" s="96">
        <v>2326</v>
      </c>
      <c r="O237" t="s" s="96">
        <v>34</v>
      </c>
      <c r="P237" t="s" s="96">
        <v>34</v>
      </c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  <c r="AZ237" s="16"/>
      <c r="BA237" s="16"/>
      <c r="BB237" s="16"/>
      <c r="BC237" s="16"/>
    </row>
    <row r="238" ht="15.35" customHeight="1">
      <c r="A238" s="16"/>
      <c r="B238" s="16"/>
      <c r="C238" s="16"/>
      <c r="D238" s="16"/>
      <c r="E238" s="16"/>
      <c r="F238" s="16"/>
      <c r="G238" s="16"/>
      <c r="H238" t="s" s="96">
        <v>2328</v>
      </c>
      <c r="I238" t="s" s="96">
        <v>2327</v>
      </c>
      <c r="J238" t="s" s="96">
        <v>145</v>
      </c>
      <c r="K238" t="s" s="96">
        <v>12</v>
      </c>
      <c r="L238" s="79">
        <v>1879</v>
      </c>
      <c r="M238" s="79">
        <v>42</v>
      </c>
      <c r="N238" t="s" s="96">
        <v>2326</v>
      </c>
      <c r="O238" t="s" s="96">
        <v>909</v>
      </c>
      <c r="P238" t="s" s="96">
        <v>15</v>
      </c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  <c r="AZ238" s="16"/>
      <c r="BA238" s="16"/>
      <c r="BB238" s="16"/>
      <c r="BC238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5.xml><?xml version="1.0" encoding="utf-8"?>
<worksheet xmlns:r="http://schemas.openxmlformats.org/officeDocument/2006/relationships" xmlns="http://schemas.openxmlformats.org/spreadsheetml/2006/main">
  <dimension ref="A1:BC109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389" customWidth="1"/>
    <col min="4" max="4" width="17.8516" style="389" customWidth="1"/>
    <col min="5" max="5" width="16" style="389" customWidth="1"/>
    <col min="6" max="6" width="9.67188" style="389" customWidth="1"/>
    <col min="7" max="10" width="10.8516" style="389" customWidth="1"/>
    <col min="11" max="11" width="5.67188" style="389" customWidth="1"/>
    <col min="12" max="12" width="7.85156" style="389" customWidth="1"/>
    <col min="13" max="13" width="10" style="389" customWidth="1"/>
    <col min="14" max="14" width="8.67188" style="389" customWidth="1"/>
    <col min="15" max="15" width="8.35156" style="389" customWidth="1"/>
    <col min="16" max="16" width="11.5" style="389" customWidth="1"/>
    <col min="17" max="17" width="11.6719" style="389" customWidth="1"/>
    <col min="18" max="18" width="9" style="389" customWidth="1"/>
    <col min="19" max="19" width="10.8516" style="389" customWidth="1"/>
    <col min="20" max="20" width="15.1719" style="389" customWidth="1"/>
    <col min="21" max="23" width="10.8516" style="389" customWidth="1"/>
    <col min="24" max="24" width="31" style="389" customWidth="1"/>
    <col min="25" max="25" width="19.8516" style="389" customWidth="1"/>
    <col min="26" max="26" width="12.1719" style="389" customWidth="1"/>
    <col min="27" max="30" width="16.5" style="389" customWidth="1"/>
    <col min="31" max="31" width="14.6719" style="389" customWidth="1"/>
    <col min="32" max="32" width="10.8516" style="389" customWidth="1"/>
    <col min="33" max="33" width="11" style="389" customWidth="1"/>
    <col min="34" max="34" width="11.1719" style="389" customWidth="1"/>
    <col min="35" max="35" width="7.85156" style="389" customWidth="1"/>
    <col min="36" max="37" width="10.8516" style="389" customWidth="1"/>
    <col min="38" max="38" width="7.35156" style="389" customWidth="1"/>
    <col min="39" max="39" width="10.8516" style="389" customWidth="1"/>
    <col min="40" max="40" width="9.17188" style="389" customWidth="1"/>
    <col min="41" max="41" width="10.8516" style="389" customWidth="1"/>
    <col min="42" max="42" width="12.5" style="389" customWidth="1"/>
    <col min="43" max="43" width="13" style="389" customWidth="1"/>
    <col min="44" max="55" width="10.8516" style="389" customWidth="1"/>
    <col min="56" max="16384" width="10.8516" style="389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89"/>
      <c r="D2" s="89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7" customHeight="1">
      <c r="A3" t="s" s="88">
        <v>2329</v>
      </c>
      <c r="B3" s="89">
        <v>1921</v>
      </c>
      <c r="C3" s="89">
        <v>1</v>
      </c>
      <c r="D3" t="s" s="216">
        <v>2330</v>
      </c>
      <c r="E3" s="30"/>
      <c r="F3" s="30"/>
      <c r="G3" t="s" s="83">
        <v>1</v>
      </c>
      <c r="H3" t="s" s="83">
        <v>0</v>
      </c>
      <c r="I3" s="115"/>
      <c r="J3" t="s" s="83">
        <v>3</v>
      </c>
      <c r="K3" s="116"/>
      <c r="L3" s="62"/>
      <c r="M3" s="117"/>
      <c r="N3" t="s" s="83">
        <v>2</v>
      </c>
      <c r="O3" s="115"/>
      <c r="P3" s="30"/>
      <c r="Q3" s="116"/>
      <c r="R3" s="62"/>
      <c r="S3" s="117"/>
      <c r="T3" t="s" s="83">
        <v>5</v>
      </c>
      <c r="U3" s="74"/>
      <c r="V3" s="16"/>
      <c r="W3" s="117"/>
      <c r="X3" s="84"/>
      <c r="Y3" s="84"/>
      <c r="Z3" s="84"/>
      <c r="AA3" t="s" s="83">
        <v>7</v>
      </c>
      <c r="AB3" t="s" s="83">
        <v>8</v>
      </c>
      <c r="AC3" s="84"/>
      <c r="AD3" s="84"/>
      <c r="AE3" s="84"/>
      <c r="AF3" s="84"/>
      <c r="AG3" t="s" s="83">
        <v>6</v>
      </c>
      <c r="AH3" s="116"/>
      <c r="AI3" s="117"/>
      <c r="AJ3" s="87"/>
      <c r="AK3" s="87"/>
      <c r="AL3" s="87"/>
      <c r="AM3" s="87"/>
      <c r="AN3" s="87"/>
      <c r="AO3" s="87"/>
      <c r="AP3" s="87"/>
      <c r="AQ3" s="87"/>
      <c r="AR3" s="87"/>
      <c r="AS3" s="87"/>
      <c r="AT3" s="87"/>
      <c r="AU3" s="87"/>
      <c r="AV3" s="87"/>
      <c r="AW3" s="87"/>
      <c r="AX3" s="87"/>
      <c r="AY3" s="87"/>
      <c r="AZ3" s="116"/>
      <c r="BA3" s="62"/>
      <c r="BB3" s="62"/>
      <c r="BC3" s="62"/>
    </row>
    <row r="4" ht="34" customHeight="1">
      <c r="A4" t="s" s="88">
        <v>2329</v>
      </c>
      <c r="B4" s="89">
        <v>1921</v>
      </c>
      <c r="C4" s="89">
        <v>1</v>
      </c>
      <c r="D4" t="s" s="216">
        <v>2330</v>
      </c>
      <c r="E4" t="s" s="83">
        <v>2331</v>
      </c>
      <c r="F4" s="30"/>
      <c r="G4" t="s" s="83">
        <v>137</v>
      </c>
      <c r="H4" t="s" s="83">
        <v>2332</v>
      </c>
      <c r="I4" s="176">
        <v>1</v>
      </c>
      <c r="J4" t="s" s="83">
        <v>37</v>
      </c>
      <c r="K4" s="177">
        <v>1</v>
      </c>
      <c r="L4" s="16"/>
      <c r="M4" s="75"/>
      <c r="N4" s="112">
        <v>1</v>
      </c>
      <c r="O4" s="122"/>
      <c r="P4" s="30"/>
      <c r="Q4" s="74"/>
      <c r="R4" s="16"/>
      <c r="S4" s="75"/>
      <c r="T4" s="118">
        <v>33</v>
      </c>
      <c r="U4" s="74"/>
      <c r="V4" s="16"/>
      <c r="W4" s="75"/>
      <c r="X4" s="84"/>
      <c r="Y4" s="84"/>
      <c r="Z4" s="84"/>
      <c r="AA4" t="s" s="119">
        <v>2333</v>
      </c>
      <c r="AB4" t="s" s="119">
        <v>2334</v>
      </c>
      <c r="AC4" s="84">
        <v>1</v>
      </c>
      <c r="AD4" s="84"/>
      <c r="AE4" s="84"/>
      <c r="AF4" s="84"/>
      <c r="AG4" t="s" s="119">
        <v>729</v>
      </c>
      <c r="AH4" s="74"/>
      <c r="AI4" s="75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74"/>
      <c r="BA4" s="16"/>
      <c r="BB4" s="16"/>
      <c r="BC4" s="16"/>
    </row>
    <row r="5" ht="34" customHeight="1">
      <c r="A5" t="s" s="88">
        <v>2329</v>
      </c>
      <c r="B5" s="89">
        <v>1921</v>
      </c>
      <c r="C5" s="89">
        <v>1</v>
      </c>
      <c r="D5" t="s" s="216">
        <v>2330</v>
      </c>
      <c r="E5" t="s" s="83">
        <v>2331</v>
      </c>
      <c r="F5" s="30"/>
      <c r="G5" t="s" s="83">
        <v>137</v>
      </c>
      <c r="H5" t="s" s="83">
        <v>109</v>
      </c>
      <c r="I5" s="176">
        <v>2</v>
      </c>
      <c r="J5" s="112">
        <v>1</v>
      </c>
      <c r="K5" s="74"/>
      <c r="L5" s="16"/>
      <c r="M5" s="75"/>
      <c r="N5" t="s" s="83">
        <v>72</v>
      </c>
      <c r="O5" s="176">
        <v>1</v>
      </c>
      <c r="P5" s="30"/>
      <c r="Q5" s="74"/>
      <c r="R5" s="16"/>
      <c r="S5" s="75"/>
      <c r="T5" s="118">
        <v>29</v>
      </c>
      <c r="U5" s="74"/>
      <c r="V5" s="16"/>
      <c r="W5" s="75"/>
      <c r="X5" s="84"/>
      <c r="Y5" s="84"/>
      <c r="Z5" s="84"/>
      <c r="AA5" t="s" s="119">
        <v>33</v>
      </c>
      <c r="AB5" t="s" s="119">
        <v>34</v>
      </c>
      <c r="AC5" s="84"/>
      <c r="AD5" s="84"/>
      <c r="AE5" s="84"/>
      <c r="AF5" s="84"/>
      <c r="AG5" t="s" s="119">
        <v>2335</v>
      </c>
      <c r="AH5" s="74"/>
      <c r="AI5" s="75"/>
      <c r="AJ5" s="87"/>
      <c r="AK5" s="87"/>
      <c r="AL5" s="87"/>
      <c r="AM5" s="87"/>
      <c r="AN5" s="87"/>
      <c r="AO5" s="87"/>
      <c r="AP5" s="87"/>
      <c r="AQ5" s="87"/>
      <c r="AR5" s="87"/>
      <c r="AS5" s="87"/>
      <c r="AT5" s="87"/>
      <c r="AU5" s="87"/>
      <c r="AV5" s="87"/>
      <c r="AW5" s="87"/>
      <c r="AX5" s="87"/>
      <c r="AY5" s="87"/>
      <c r="AZ5" s="74"/>
      <c r="BA5" s="16"/>
      <c r="BB5" s="16"/>
      <c r="BC5" s="16"/>
    </row>
    <row r="6" ht="51" customHeight="1">
      <c r="A6" t="s" s="88">
        <v>2329</v>
      </c>
      <c r="B6" s="89">
        <v>1921</v>
      </c>
      <c r="C6" s="89">
        <v>1</v>
      </c>
      <c r="D6" t="s" s="216">
        <v>2330</v>
      </c>
      <c r="E6" t="s" s="83">
        <v>2331</v>
      </c>
      <c r="F6" s="30"/>
      <c r="G6" t="s" s="83">
        <v>137</v>
      </c>
      <c r="H6" t="s" s="83">
        <v>2336</v>
      </c>
      <c r="I6" s="176">
        <v>3</v>
      </c>
      <c r="J6" s="30"/>
      <c r="K6" s="74"/>
      <c r="L6" s="99">
        <v>1</v>
      </c>
      <c r="M6" s="75"/>
      <c r="N6" t="s" s="83">
        <v>78</v>
      </c>
      <c r="O6" s="122"/>
      <c r="P6" s="112">
        <v>1</v>
      </c>
      <c r="Q6" s="74"/>
      <c r="R6" s="16"/>
      <c r="S6" s="75"/>
      <c r="T6" s="118">
        <v>4</v>
      </c>
      <c r="U6" s="74"/>
      <c r="V6" s="16"/>
      <c r="W6" s="75"/>
      <c r="X6" s="84"/>
      <c r="Y6" s="84"/>
      <c r="Z6" s="84"/>
      <c r="AA6" t="s" s="119">
        <v>34</v>
      </c>
      <c r="AB6" t="s" s="119">
        <v>34</v>
      </c>
      <c r="AC6" s="84"/>
      <c r="AD6" s="84"/>
      <c r="AE6" s="84"/>
      <c r="AF6" s="84"/>
      <c r="AG6" t="s" s="119">
        <v>2226</v>
      </c>
      <c r="AH6" s="74"/>
      <c r="AI6" s="75"/>
      <c r="AJ6" s="87"/>
      <c r="AK6" s="87"/>
      <c r="AL6" s="87"/>
      <c r="AM6" s="87"/>
      <c r="AN6" s="87"/>
      <c r="AO6" s="87"/>
      <c r="AP6" s="87"/>
      <c r="AQ6" s="87"/>
      <c r="AR6" s="87"/>
      <c r="AS6" s="87"/>
      <c r="AT6" s="87"/>
      <c r="AU6" s="87"/>
      <c r="AV6" s="87"/>
      <c r="AW6" s="87"/>
      <c r="AX6" s="87"/>
      <c r="AY6" s="87"/>
      <c r="AZ6" s="74"/>
      <c r="BA6" s="16"/>
      <c r="BB6" s="16"/>
      <c r="BC6" s="16"/>
    </row>
    <row r="7" ht="51" customHeight="1">
      <c r="A7" t="s" s="88">
        <v>2329</v>
      </c>
      <c r="B7" s="89">
        <v>1921</v>
      </c>
      <c r="C7" s="89">
        <v>1</v>
      </c>
      <c r="D7" t="s" s="216">
        <v>2330</v>
      </c>
      <c r="E7" t="s" s="83">
        <v>2331</v>
      </c>
      <c r="F7" s="30"/>
      <c r="G7" t="s" s="83">
        <v>2337</v>
      </c>
      <c r="H7" t="s" s="83">
        <v>315</v>
      </c>
      <c r="I7" s="176">
        <v>4</v>
      </c>
      <c r="J7" s="112">
        <v>1</v>
      </c>
      <c r="K7" s="74"/>
      <c r="L7" s="16"/>
      <c r="M7" s="75"/>
      <c r="N7" t="s" s="83">
        <v>11</v>
      </c>
      <c r="O7" s="122"/>
      <c r="P7" s="30"/>
      <c r="Q7" s="74"/>
      <c r="R7" s="16"/>
      <c r="S7" s="178">
        <v>1</v>
      </c>
      <c r="T7" s="118">
        <v>20</v>
      </c>
      <c r="U7" s="74"/>
      <c r="V7" s="16"/>
      <c r="W7" s="75"/>
      <c r="X7" s="84"/>
      <c r="Y7" s="84"/>
      <c r="Z7" s="84"/>
      <c r="AA7" t="s" s="119">
        <v>2338</v>
      </c>
      <c r="AB7" t="s" s="119">
        <v>15</v>
      </c>
      <c r="AC7" s="84">
        <v>1</v>
      </c>
      <c r="AD7" s="84"/>
      <c r="AE7" s="84"/>
      <c r="AF7" s="84"/>
      <c r="AG7" t="s" s="119">
        <v>2339</v>
      </c>
      <c r="AH7" s="74"/>
      <c r="AI7" s="75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74"/>
      <c r="BA7" s="16"/>
      <c r="BB7" s="16"/>
      <c r="BC7" s="16"/>
    </row>
    <row r="8" ht="51" customHeight="1">
      <c r="A8" t="s" s="88">
        <v>2329</v>
      </c>
      <c r="B8" s="89">
        <v>1921</v>
      </c>
      <c r="C8" s="89">
        <v>1</v>
      </c>
      <c r="D8" t="s" s="216">
        <v>2330</v>
      </c>
      <c r="E8" t="s" s="83">
        <v>2331</v>
      </c>
      <c r="F8" s="30"/>
      <c r="G8" t="s" s="83">
        <v>2340</v>
      </c>
      <c r="H8" t="s" s="83">
        <v>2341</v>
      </c>
      <c r="I8" s="176">
        <v>5</v>
      </c>
      <c r="J8" s="112">
        <v>1</v>
      </c>
      <c r="K8" s="74"/>
      <c r="L8" s="16"/>
      <c r="M8" s="75"/>
      <c r="N8" t="s" s="83">
        <v>11</v>
      </c>
      <c r="O8" s="122"/>
      <c r="P8" s="30"/>
      <c r="Q8" s="74"/>
      <c r="R8" s="16"/>
      <c r="S8" s="178">
        <v>1</v>
      </c>
      <c r="T8" s="118">
        <v>18</v>
      </c>
      <c r="U8" s="74"/>
      <c r="V8" s="16"/>
      <c r="W8" s="75"/>
      <c r="X8" s="84"/>
      <c r="Y8" s="84"/>
      <c r="Z8" s="84"/>
      <c r="AA8" t="s" s="119">
        <v>105</v>
      </c>
      <c r="AB8" t="s" s="119">
        <v>15</v>
      </c>
      <c r="AC8" s="84">
        <v>1</v>
      </c>
      <c r="AD8" s="84"/>
      <c r="AE8" s="84"/>
      <c r="AF8" s="84"/>
      <c r="AG8" t="s" s="119">
        <v>851</v>
      </c>
      <c r="AH8" s="74"/>
      <c r="AI8" s="75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74"/>
      <c r="BA8" s="16"/>
      <c r="BB8" s="16"/>
      <c r="BC8" s="16"/>
    </row>
    <row r="9" ht="17" customHeight="1">
      <c r="A9" t="s" s="88">
        <v>2329</v>
      </c>
      <c r="B9" s="89">
        <v>1921</v>
      </c>
      <c r="C9" s="89"/>
      <c r="D9" t="s" s="216">
        <v>2330</v>
      </c>
      <c r="E9" s="30"/>
      <c r="F9" s="30"/>
      <c r="G9" s="30"/>
      <c r="H9" s="112">
        <v>5</v>
      </c>
      <c r="I9" s="122"/>
      <c r="J9" s="30"/>
      <c r="K9" s="74"/>
      <c r="L9" s="16"/>
      <c r="M9" s="75"/>
      <c r="N9" s="30"/>
      <c r="O9" s="122"/>
      <c r="P9" s="30"/>
      <c r="Q9" s="74"/>
      <c r="R9" s="16"/>
      <c r="S9" s="75"/>
      <c r="T9" s="121"/>
      <c r="U9" s="74"/>
      <c r="V9" s="16"/>
      <c r="W9" s="75"/>
      <c r="X9" s="84"/>
      <c r="Y9" s="84"/>
      <c r="Z9" s="84"/>
      <c r="AA9" s="121"/>
      <c r="AB9" s="121"/>
      <c r="AC9" s="84"/>
      <c r="AD9" s="84"/>
      <c r="AE9" s="84"/>
      <c r="AF9" s="84"/>
      <c r="AG9" s="121"/>
      <c r="AH9" s="74"/>
      <c r="AI9" s="75"/>
      <c r="AJ9" s="87"/>
      <c r="AK9" s="87"/>
      <c r="AL9" s="87"/>
      <c r="AM9" s="87"/>
      <c r="AN9" s="87"/>
      <c r="AO9" s="87"/>
      <c r="AP9" s="87"/>
      <c r="AQ9" s="87"/>
      <c r="AR9" s="87"/>
      <c r="AS9" s="87"/>
      <c r="AT9" s="87"/>
      <c r="AU9" s="87"/>
      <c r="AV9" s="87"/>
      <c r="AW9" s="87"/>
      <c r="AX9" s="87"/>
      <c r="AY9" s="87"/>
      <c r="AZ9" s="74"/>
      <c r="BA9" s="16"/>
      <c r="BB9" s="16"/>
      <c r="BC9" s="16"/>
    </row>
    <row r="10" ht="17" customHeight="1">
      <c r="A10" t="s" s="88">
        <v>2329</v>
      </c>
      <c r="B10" s="89">
        <v>1921</v>
      </c>
      <c r="C10" s="89"/>
      <c r="D10" t="s" s="216">
        <v>2330</v>
      </c>
      <c r="E10" s="30"/>
      <c r="F10" s="30"/>
      <c r="G10" t="s" s="83">
        <v>1</v>
      </c>
      <c r="H10" t="s" s="83">
        <v>0</v>
      </c>
      <c r="I10" s="122"/>
      <c r="J10" t="s" s="83">
        <v>3</v>
      </c>
      <c r="K10" s="74"/>
      <c r="L10" s="16"/>
      <c r="M10" s="75"/>
      <c r="N10" t="s" s="83">
        <v>2</v>
      </c>
      <c r="O10" s="122"/>
      <c r="P10" s="30"/>
      <c r="Q10" s="74"/>
      <c r="R10" s="16"/>
      <c r="S10" s="75"/>
      <c r="T10" t="s" s="119">
        <v>5</v>
      </c>
      <c r="U10" s="74"/>
      <c r="V10" s="16"/>
      <c r="W10" s="75"/>
      <c r="X10" s="84"/>
      <c r="Y10" s="84"/>
      <c r="Z10" s="84"/>
      <c r="AA10" t="s" s="119">
        <v>7</v>
      </c>
      <c r="AB10" t="s" s="119">
        <v>8</v>
      </c>
      <c r="AC10" s="84"/>
      <c r="AD10" s="84"/>
      <c r="AE10" s="84"/>
      <c r="AF10" s="84"/>
      <c r="AG10" t="s" s="119">
        <v>6</v>
      </c>
      <c r="AH10" s="74"/>
      <c r="AI10" s="75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74"/>
      <c r="BA10" s="16"/>
      <c r="BB10" s="16"/>
      <c r="BC10" s="16"/>
    </row>
    <row r="11" ht="17" customHeight="1">
      <c r="A11" t="s" s="88">
        <v>2329</v>
      </c>
      <c r="B11" s="89">
        <v>1921</v>
      </c>
      <c r="C11" s="89">
        <v>2</v>
      </c>
      <c r="D11" t="s" s="216">
        <v>2330</v>
      </c>
      <c r="E11" t="s" s="83">
        <v>2342</v>
      </c>
      <c r="F11" s="30"/>
      <c r="G11" t="s" s="83">
        <v>2343</v>
      </c>
      <c r="H11" t="s" s="83">
        <v>2344</v>
      </c>
      <c r="I11" s="176">
        <v>6</v>
      </c>
      <c r="J11" t="s" s="83">
        <v>37</v>
      </c>
      <c r="K11" s="177">
        <v>1</v>
      </c>
      <c r="L11" s="16"/>
      <c r="M11" s="75"/>
      <c r="N11" s="112">
        <v>1</v>
      </c>
      <c r="O11" s="122"/>
      <c r="P11" s="30"/>
      <c r="Q11" s="74"/>
      <c r="R11" s="16"/>
      <c r="S11" s="75"/>
      <c r="T11" s="112">
        <v>39</v>
      </c>
      <c r="U11" s="74"/>
      <c r="V11" s="16"/>
      <c r="W11" s="75"/>
      <c r="X11" s="84"/>
      <c r="Y11" s="84"/>
      <c r="Z11" s="84"/>
      <c r="AA11" t="s" s="83">
        <v>2345</v>
      </c>
      <c r="AB11" t="s" s="83">
        <v>8</v>
      </c>
      <c r="AC11" s="84">
        <v>1</v>
      </c>
      <c r="AD11" s="84">
        <v>1</v>
      </c>
      <c r="AE11" s="84"/>
      <c r="AF11" s="84"/>
      <c r="AG11" t="s" s="83">
        <v>34</v>
      </c>
      <c r="AH11" s="74"/>
      <c r="AI11" s="75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74"/>
      <c r="BA11" s="16"/>
      <c r="BB11" s="16"/>
      <c r="BC11" s="16"/>
    </row>
    <row r="12" ht="17" customHeight="1">
      <c r="A12" t="s" s="88">
        <v>2329</v>
      </c>
      <c r="B12" s="89">
        <v>1921</v>
      </c>
      <c r="C12" s="89">
        <v>2</v>
      </c>
      <c r="D12" t="s" s="216">
        <v>2330</v>
      </c>
      <c r="E12" t="s" s="83">
        <v>2342</v>
      </c>
      <c r="F12" s="30"/>
      <c r="G12" t="s" s="83">
        <v>2346</v>
      </c>
      <c r="H12" t="s" s="83">
        <v>2347</v>
      </c>
      <c r="I12" s="176">
        <v>7</v>
      </c>
      <c r="J12" s="112">
        <v>1</v>
      </c>
      <c r="K12" s="74"/>
      <c r="L12" s="16"/>
      <c r="M12" s="75"/>
      <c r="N12" t="s" s="83">
        <v>11</v>
      </c>
      <c r="O12" s="122"/>
      <c r="P12" s="30"/>
      <c r="Q12" s="74"/>
      <c r="R12" s="16"/>
      <c r="S12" s="178">
        <v>1</v>
      </c>
      <c r="T12" s="112">
        <v>27</v>
      </c>
      <c r="U12" s="74"/>
      <c r="V12" s="16"/>
      <c r="W12" s="75"/>
      <c r="X12" s="84"/>
      <c r="Y12" s="84"/>
      <c r="Z12" s="84"/>
      <c r="AA12" t="s" s="83">
        <v>34</v>
      </c>
      <c r="AB12" t="s" s="83">
        <v>15</v>
      </c>
      <c r="AC12" s="84">
        <v>1</v>
      </c>
      <c r="AD12" s="84"/>
      <c r="AE12" s="84"/>
      <c r="AF12" s="84"/>
      <c r="AG12" t="s" s="83">
        <v>187</v>
      </c>
      <c r="AH12" s="74"/>
      <c r="AI12" s="75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74"/>
      <c r="BA12" s="16"/>
      <c r="BB12" s="16"/>
      <c r="BC12" s="16"/>
    </row>
    <row r="13" ht="17" customHeight="1">
      <c r="A13" t="s" s="88">
        <v>2329</v>
      </c>
      <c r="B13" s="89">
        <v>1921</v>
      </c>
      <c r="C13" s="89"/>
      <c r="D13" t="s" s="216">
        <v>2330</v>
      </c>
      <c r="E13" s="30"/>
      <c r="F13" s="30"/>
      <c r="G13" s="130"/>
      <c r="H13" s="130">
        <v>0.02</v>
      </c>
      <c r="I13" s="122"/>
      <c r="J13" s="30"/>
      <c r="K13" s="74"/>
      <c r="L13" s="16"/>
      <c r="M13" s="75"/>
      <c r="N13" s="30"/>
      <c r="O13" s="122"/>
      <c r="P13" s="30"/>
      <c r="Q13" s="74"/>
      <c r="R13" s="16"/>
      <c r="S13" s="75"/>
      <c r="T13" s="30"/>
      <c r="U13" s="74"/>
      <c r="V13" s="16"/>
      <c r="W13" s="75"/>
      <c r="X13" s="84"/>
      <c r="Y13" s="84"/>
      <c r="Z13" s="84"/>
      <c r="AA13" s="30"/>
      <c r="AB13" s="30"/>
      <c r="AC13" s="84"/>
      <c r="AD13" s="84"/>
      <c r="AE13" s="84"/>
      <c r="AF13" s="84"/>
      <c r="AG13" s="30"/>
      <c r="AH13" s="74"/>
      <c r="AI13" s="75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74"/>
      <c r="BA13" s="16"/>
      <c r="BB13" s="16"/>
      <c r="BC13" s="16"/>
    </row>
    <row r="14" ht="17" customHeight="1">
      <c r="A14" t="s" s="88">
        <v>2329</v>
      </c>
      <c r="B14" s="89">
        <v>1921</v>
      </c>
      <c r="C14" s="89"/>
      <c r="D14" t="s" s="216">
        <v>2330</v>
      </c>
      <c r="E14" s="30"/>
      <c r="F14" s="30"/>
      <c r="G14" t="s" s="83">
        <v>1</v>
      </c>
      <c r="H14" t="s" s="83">
        <v>0</v>
      </c>
      <c r="I14" s="122"/>
      <c r="J14" t="s" s="83">
        <v>3</v>
      </c>
      <c r="K14" s="74"/>
      <c r="L14" s="16"/>
      <c r="M14" s="75"/>
      <c r="N14" t="s" s="83">
        <v>2</v>
      </c>
      <c r="O14" s="122"/>
      <c r="P14" s="30"/>
      <c r="Q14" s="74"/>
      <c r="R14" s="16"/>
      <c r="S14" s="75"/>
      <c r="T14" t="s" s="83">
        <v>5</v>
      </c>
      <c r="U14" s="74"/>
      <c r="V14" s="16"/>
      <c r="W14" s="75"/>
      <c r="X14" s="84"/>
      <c r="Y14" s="84"/>
      <c r="Z14" s="84"/>
      <c r="AA14" t="s" s="83">
        <v>7</v>
      </c>
      <c r="AB14" t="s" s="83">
        <v>8</v>
      </c>
      <c r="AC14" s="84"/>
      <c r="AD14" s="84"/>
      <c r="AE14" s="84"/>
      <c r="AF14" s="84"/>
      <c r="AG14" t="s" s="83">
        <v>6</v>
      </c>
      <c r="AH14" s="74"/>
      <c r="AI14" s="75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74"/>
      <c r="BA14" s="16"/>
      <c r="BB14" s="16"/>
      <c r="BC14" s="16"/>
    </row>
    <row r="15" ht="17" customHeight="1">
      <c r="A15" t="s" s="88">
        <v>2329</v>
      </c>
      <c r="B15" s="89">
        <v>1921</v>
      </c>
      <c r="C15" s="89">
        <v>3</v>
      </c>
      <c r="D15" t="s" s="216">
        <v>2330</v>
      </c>
      <c r="E15" s="30"/>
      <c r="F15" s="112">
        <v>15</v>
      </c>
      <c r="G15" t="s" s="83">
        <v>1245</v>
      </c>
      <c r="H15" t="s" s="83">
        <v>2348</v>
      </c>
      <c r="I15" s="176">
        <v>8</v>
      </c>
      <c r="J15" t="s" s="83">
        <v>37</v>
      </c>
      <c r="K15" s="177">
        <v>1</v>
      </c>
      <c r="L15" s="16"/>
      <c r="M15" s="75"/>
      <c r="N15" s="112">
        <v>1</v>
      </c>
      <c r="O15" s="122"/>
      <c r="P15" s="30"/>
      <c r="Q15" s="74"/>
      <c r="R15" s="16"/>
      <c r="S15" s="75"/>
      <c r="T15" s="112">
        <v>47</v>
      </c>
      <c r="U15" s="74"/>
      <c r="V15" s="16"/>
      <c r="W15" s="75"/>
      <c r="X15" s="84"/>
      <c r="Y15" s="84"/>
      <c r="Z15" s="84"/>
      <c r="AA15" t="s" s="83">
        <v>2349</v>
      </c>
      <c r="AB15" t="s" s="83">
        <v>2350</v>
      </c>
      <c r="AC15" s="84">
        <v>1</v>
      </c>
      <c r="AD15" s="84"/>
      <c r="AE15" s="84"/>
      <c r="AF15" s="84"/>
      <c r="AG15" t="s" s="83">
        <v>1458</v>
      </c>
      <c r="AH15" s="74"/>
      <c r="AI15" s="75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74"/>
      <c r="BA15" s="16"/>
      <c r="BB15" s="16"/>
      <c r="BC15" s="16"/>
    </row>
    <row r="16" ht="17" customHeight="1">
      <c r="A16" t="s" s="88">
        <v>2329</v>
      </c>
      <c r="B16" s="89">
        <v>1921</v>
      </c>
      <c r="C16" s="89">
        <v>3</v>
      </c>
      <c r="D16" t="s" s="216">
        <v>2330</v>
      </c>
      <c r="E16" s="30"/>
      <c r="F16" s="112">
        <v>15</v>
      </c>
      <c r="G16" t="s" s="83">
        <v>1245</v>
      </c>
      <c r="H16" t="s" s="83">
        <v>2351</v>
      </c>
      <c r="I16" s="176">
        <v>9</v>
      </c>
      <c r="J16" s="112">
        <v>1</v>
      </c>
      <c r="K16" s="74"/>
      <c r="L16" s="16"/>
      <c r="M16" s="75"/>
      <c r="N16" t="s" s="83">
        <v>72</v>
      </c>
      <c r="O16" s="176">
        <v>1</v>
      </c>
      <c r="P16" s="30"/>
      <c r="Q16" s="74"/>
      <c r="R16" s="16"/>
      <c r="S16" s="75"/>
      <c r="T16" s="112">
        <v>44</v>
      </c>
      <c r="U16" s="74"/>
      <c r="V16" s="16"/>
      <c r="W16" s="75"/>
      <c r="X16" s="84"/>
      <c r="Y16" s="84"/>
      <c r="Z16" s="84"/>
      <c r="AA16" t="s" s="83">
        <v>33</v>
      </c>
      <c r="AB16" t="s" s="83">
        <v>34</v>
      </c>
      <c r="AC16" s="84"/>
      <c r="AD16" s="84"/>
      <c r="AE16" s="84"/>
      <c r="AF16" s="84">
        <v>1</v>
      </c>
      <c r="AG16" t="s" s="83">
        <v>13</v>
      </c>
      <c r="AH16" s="74"/>
      <c r="AI16" s="75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74"/>
      <c r="BA16" s="16"/>
      <c r="BB16" s="16"/>
      <c r="BC16" s="16"/>
    </row>
    <row r="17" ht="17" customHeight="1">
      <c r="A17" t="s" s="88">
        <v>2329</v>
      </c>
      <c r="B17" s="89">
        <v>1921</v>
      </c>
      <c r="C17" s="89">
        <v>3</v>
      </c>
      <c r="D17" t="s" s="90">
        <v>2330</v>
      </c>
      <c r="E17" s="117"/>
      <c r="F17" s="112">
        <v>15</v>
      </c>
      <c r="G17" t="s" s="153">
        <v>2352</v>
      </c>
      <c r="H17" t="s" s="98">
        <v>2353</v>
      </c>
      <c r="I17" s="99">
        <v>10</v>
      </c>
      <c r="J17" s="97">
        <v>1</v>
      </c>
      <c r="K17" s="16"/>
      <c r="L17" s="16"/>
      <c r="M17" s="16"/>
      <c r="N17" t="s" s="98">
        <v>11</v>
      </c>
      <c r="O17" s="16"/>
      <c r="P17" s="62"/>
      <c r="Q17" s="16"/>
      <c r="R17" s="16"/>
      <c r="S17" s="99">
        <v>1</v>
      </c>
      <c r="T17" s="97">
        <v>48</v>
      </c>
      <c r="U17" s="16"/>
      <c r="V17" s="16"/>
      <c r="W17" s="75"/>
      <c r="X17" s="84"/>
      <c r="Y17" s="84"/>
      <c r="Z17" s="84"/>
      <c r="AA17" t="s" s="153">
        <v>45</v>
      </c>
      <c r="AB17" t="s" s="154">
        <v>15</v>
      </c>
      <c r="AC17" s="84">
        <v>1</v>
      </c>
      <c r="AD17" s="84"/>
      <c r="AE17" s="84"/>
      <c r="AF17" s="84">
        <v>1</v>
      </c>
      <c r="AG17" t="s" s="153">
        <v>13</v>
      </c>
      <c r="AH17" s="16"/>
      <c r="AI17" s="75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74"/>
      <c r="BA17" s="16"/>
      <c r="BB17" s="16"/>
      <c r="BC17" s="16"/>
    </row>
    <row r="18" ht="17" customHeight="1">
      <c r="A18" t="s" s="88">
        <v>2329</v>
      </c>
      <c r="B18" s="89">
        <v>1921</v>
      </c>
      <c r="C18" s="89">
        <v>3</v>
      </c>
      <c r="D18" t="s" s="90">
        <v>2330</v>
      </c>
      <c r="E18" s="16"/>
      <c r="F18" s="62"/>
      <c r="G18" t="s" s="96">
        <v>2354</v>
      </c>
      <c r="H18" t="s" s="96">
        <v>321</v>
      </c>
      <c r="I18" s="99">
        <v>11</v>
      </c>
      <c r="J18" s="79">
        <v>1</v>
      </c>
      <c r="K18" s="16"/>
      <c r="L18" s="16"/>
      <c r="M18" s="16"/>
      <c r="N18" t="s" s="96">
        <v>11</v>
      </c>
      <c r="O18" s="16"/>
      <c r="P18" s="16"/>
      <c r="Q18" s="16"/>
      <c r="R18" s="16"/>
      <c r="S18" s="99">
        <v>1</v>
      </c>
      <c r="T18" s="79">
        <v>28</v>
      </c>
      <c r="U18" s="16"/>
      <c r="V18" s="16"/>
      <c r="W18" s="75"/>
      <c r="X18" s="84"/>
      <c r="Y18" s="84"/>
      <c r="Z18" s="84"/>
      <c r="AA18" t="s" s="157">
        <v>85</v>
      </c>
      <c r="AB18" t="s" s="158">
        <v>15</v>
      </c>
      <c r="AC18" s="84">
        <v>1</v>
      </c>
      <c r="AD18" s="84"/>
      <c r="AE18" s="84"/>
      <c r="AF18" s="84"/>
      <c r="AG18" t="s" s="157">
        <v>134</v>
      </c>
      <c r="AH18" s="16"/>
      <c r="AI18" s="75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74"/>
      <c r="BA18" s="16"/>
      <c r="BB18" s="16"/>
      <c r="BC18" s="16"/>
    </row>
    <row r="19" ht="17" customHeight="1">
      <c r="A19" t="s" s="88">
        <v>2329</v>
      </c>
      <c r="B19" s="89">
        <v>1921</v>
      </c>
      <c r="C19" s="89"/>
      <c r="D19" t="s" s="90">
        <v>2330</v>
      </c>
      <c r="E19" s="16"/>
      <c r="F19" s="16"/>
      <c r="G19" s="16"/>
      <c r="H19" s="79">
        <v>4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75"/>
      <c r="X19" s="84"/>
      <c r="Y19" s="84"/>
      <c r="Z19" s="84"/>
      <c r="AA19" s="74"/>
      <c r="AB19" s="75"/>
      <c r="AC19" s="84"/>
      <c r="AD19" s="84"/>
      <c r="AE19" s="84"/>
      <c r="AF19" s="84"/>
      <c r="AG19" s="74"/>
      <c r="AH19" s="16"/>
      <c r="AI19" s="75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74"/>
      <c r="BA19" s="16"/>
      <c r="BB19" s="16"/>
      <c r="BC19" s="16"/>
    </row>
    <row r="20" ht="17" customHeight="1">
      <c r="A20" t="s" s="88">
        <v>2329</v>
      </c>
      <c r="B20" s="89">
        <v>1921</v>
      </c>
      <c r="C20" s="89"/>
      <c r="D20" t="s" s="90">
        <v>2330</v>
      </c>
      <c r="E20" s="16"/>
      <c r="F20" s="16"/>
      <c r="G20" t="s" s="96">
        <v>1</v>
      </c>
      <c r="H20" t="s" s="96">
        <v>0</v>
      </c>
      <c r="I20" s="16"/>
      <c r="J20" t="s" s="96">
        <v>3</v>
      </c>
      <c r="K20" s="16"/>
      <c r="L20" s="16"/>
      <c r="M20" s="16"/>
      <c r="N20" t="s" s="96">
        <v>2</v>
      </c>
      <c r="O20" s="16"/>
      <c r="P20" s="16"/>
      <c r="Q20" s="16"/>
      <c r="R20" s="16"/>
      <c r="S20" s="16"/>
      <c r="T20" t="s" s="96">
        <v>5</v>
      </c>
      <c r="U20" s="16"/>
      <c r="V20" s="16"/>
      <c r="W20" s="75"/>
      <c r="X20" s="84"/>
      <c r="Y20" s="84"/>
      <c r="Z20" s="84"/>
      <c r="AA20" t="s" s="157">
        <v>7</v>
      </c>
      <c r="AB20" t="s" s="158">
        <v>8</v>
      </c>
      <c r="AC20" s="84"/>
      <c r="AD20" s="84"/>
      <c r="AE20" s="84"/>
      <c r="AF20" s="84"/>
      <c r="AG20" t="s" s="157">
        <v>6</v>
      </c>
      <c r="AH20" s="16"/>
      <c r="AI20" s="75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74"/>
      <c r="BA20" s="16"/>
      <c r="BB20" s="16"/>
      <c r="BC20" s="16"/>
    </row>
    <row r="21" ht="17" customHeight="1">
      <c r="A21" t="s" s="88">
        <v>2329</v>
      </c>
      <c r="B21" s="89">
        <v>1921</v>
      </c>
      <c r="C21" s="89">
        <v>4</v>
      </c>
      <c r="D21" t="s" s="90">
        <v>2330</v>
      </c>
      <c r="E21" s="16"/>
      <c r="F21" s="79">
        <v>1</v>
      </c>
      <c r="G21" t="s" s="96">
        <v>2355</v>
      </c>
      <c r="H21" t="s" s="96">
        <v>2356</v>
      </c>
      <c r="I21" s="99">
        <v>12</v>
      </c>
      <c r="J21" t="s" s="96">
        <v>37</v>
      </c>
      <c r="K21" s="99">
        <v>1</v>
      </c>
      <c r="L21" s="16"/>
      <c r="M21" s="16"/>
      <c r="N21" s="79">
        <v>1</v>
      </c>
      <c r="O21" s="16"/>
      <c r="P21" s="16"/>
      <c r="Q21" s="16"/>
      <c r="R21" s="16"/>
      <c r="S21" s="16"/>
      <c r="T21" s="79">
        <v>46</v>
      </c>
      <c r="U21" s="16"/>
      <c r="V21" s="16"/>
      <c r="W21" s="75"/>
      <c r="X21" s="84"/>
      <c r="Y21" s="84"/>
      <c r="Z21" s="84"/>
      <c r="AA21" t="s" s="157">
        <v>2357</v>
      </c>
      <c r="AB21" t="s" s="158">
        <v>2358</v>
      </c>
      <c r="AC21" s="84">
        <v>1</v>
      </c>
      <c r="AD21" s="84"/>
      <c r="AE21" s="84"/>
      <c r="AF21" s="84"/>
      <c r="AG21" t="s" s="157">
        <v>1936</v>
      </c>
      <c r="AH21" s="16"/>
      <c r="AI21" s="75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74"/>
      <c r="BA21" s="16"/>
      <c r="BB21" s="16"/>
      <c r="BC21" s="16"/>
    </row>
    <row r="22" ht="17" customHeight="1">
      <c r="A22" t="s" s="88">
        <v>2329</v>
      </c>
      <c r="B22" s="89">
        <v>1921</v>
      </c>
      <c r="C22" s="89">
        <v>4</v>
      </c>
      <c r="D22" t="s" s="90">
        <v>2330</v>
      </c>
      <c r="E22" s="16"/>
      <c r="F22" s="79">
        <v>1</v>
      </c>
      <c r="G22" t="s" s="96">
        <v>2355</v>
      </c>
      <c r="H22" t="s" s="96">
        <v>2359</v>
      </c>
      <c r="I22" s="99">
        <v>13</v>
      </c>
      <c r="J22" s="79">
        <v>1</v>
      </c>
      <c r="K22" s="16"/>
      <c r="L22" s="16"/>
      <c r="M22" s="16"/>
      <c r="N22" t="s" s="96">
        <v>72</v>
      </c>
      <c r="O22" s="99">
        <v>1</v>
      </c>
      <c r="P22" s="16"/>
      <c r="Q22" s="16"/>
      <c r="R22" s="16"/>
      <c r="S22" s="16"/>
      <c r="T22" s="79">
        <v>47</v>
      </c>
      <c r="U22" s="16"/>
      <c r="V22" s="16"/>
      <c r="W22" s="75"/>
      <c r="X22" s="84"/>
      <c r="Y22" s="84"/>
      <c r="Z22" s="84"/>
      <c r="AA22" t="s" s="157">
        <v>33</v>
      </c>
      <c r="AB22" t="s" s="158">
        <v>34</v>
      </c>
      <c r="AC22" s="84"/>
      <c r="AD22" s="84"/>
      <c r="AE22" s="84"/>
      <c r="AF22" s="84"/>
      <c r="AG22" t="s" s="157">
        <v>1936</v>
      </c>
      <c r="AH22" s="16"/>
      <c r="AI22" s="75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74"/>
      <c r="BA22" s="16"/>
      <c r="BB22" s="16"/>
      <c r="BC22" s="16"/>
    </row>
    <row r="23" ht="17" customHeight="1">
      <c r="A23" t="s" s="88">
        <v>2329</v>
      </c>
      <c r="B23" s="89">
        <v>1921</v>
      </c>
      <c r="C23" s="89">
        <v>4</v>
      </c>
      <c r="D23" t="s" s="90">
        <v>2330</v>
      </c>
      <c r="E23" s="16"/>
      <c r="F23" s="79">
        <v>1</v>
      </c>
      <c r="G23" t="s" s="96">
        <v>2355</v>
      </c>
      <c r="H23" t="s" s="96">
        <v>2356</v>
      </c>
      <c r="I23" s="99">
        <v>14</v>
      </c>
      <c r="J23" t="s" s="96">
        <v>37</v>
      </c>
      <c r="K23" s="16"/>
      <c r="L23" s="16"/>
      <c r="M23" s="99">
        <v>1</v>
      </c>
      <c r="N23" t="s" s="96">
        <v>36</v>
      </c>
      <c r="O23" s="16"/>
      <c r="P23" s="16"/>
      <c r="Q23" s="99">
        <v>1</v>
      </c>
      <c r="R23" s="16"/>
      <c r="S23" s="16"/>
      <c r="T23" s="79">
        <v>14</v>
      </c>
      <c r="U23" s="16"/>
      <c r="V23" s="16"/>
      <c r="W23" s="75"/>
      <c r="X23" s="84"/>
      <c r="Y23" s="84"/>
      <c r="Z23" s="84"/>
      <c r="AA23" t="s" s="157">
        <v>34</v>
      </c>
      <c r="AB23" t="s" s="158">
        <v>34</v>
      </c>
      <c r="AC23" s="84"/>
      <c r="AD23" s="84"/>
      <c r="AE23" s="84"/>
      <c r="AF23" s="84"/>
      <c r="AG23" t="s" s="157">
        <v>1110</v>
      </c>
      <c r="AH23" s="16"/>
      <c r="AI23" s="75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74"/>
      <c r="BA23" s="16"/>
      <c r="BB23" s="16"/>
      <c r="BC23" s="16"/>
    </row>
    <row r="24" ht="17" customHeight="1">
      <c r="A24" t="s" s="88">
        <v>2329</v>
      </c>
      <c r="B24" s="89">
        <v>1921</v>
      </c>
      <c r="C24" s="89">
        <v>4</v>
      </c>
      <c r="D24" t="s" s="90">
        <v>2330</v>
      </c>
      <c r="E24" s="16"/>
      <c r="F24" s="79">
        <v>1</v>
      </c>
      <c r="G24" t="s" s="96">
        <v>2355</v>
      </c>
      <c r="H24" t="s" s="96">
        <v>1371</v>
      </c>
      <c r="I24" s="99">
        <v>15</v>
      </c>
      <c r="J24" s="79">
        <v>1</v>
      </c>
      <c r="K24" s="16"/>
      <c r="L24" s="16"/>
      <c r="M24" s="16"/>
      <c r="N24" t="s" s="96">
        <v>41</v>
      </c>
      <c r="O24" s="16"/>
      <c r="P24" s="16"/>
      <c r="Q24" s="16"/>
      <c r="R24" s="99">
        <v>1</v>
      </c>
      <c r="S24" s="16"/>
      <c r="T24" s="79">
        <v>40</v>
      </c>
      <c r="U24" s="16"/>
      <c r="V24" s="16"/>
      <c r="W24" s="75"/>
      <c r="X24" s="84"/>
      <c r="Y24" s="84"/>
      <c r="Z24" s="84"/>
      <c r="AA24" t="s" s="157">
        <v>94</v>
      </c>
      <c r="AB24" t="s" s="158">
        <v>34</v>
      </c>
      <c r="AC24" s="84"/>
      <c r="AD24" s="84"/>
      <c r="AE24" s="84"/>
      <c r="AF24" s="84"/>
      <c r="AG24" t="s" s="157">
        <v>2110</v>
      </c>
      <c r="AH24" s="16"/>
      <c r="AI24" s="75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74"/>
      <c r="BA24" s="16"/>
      <c r="BB24" s="16"/>
      <c r="BC24" s="16"/>
    </row>
    <row r="25" ht="17" customHeight="1">
      <c r="A25" t="s" s="88">
        <v>2329</v>
      </c>
      <c r="B25" s="89">
        <v>1921</v>
      </c>
      <c r="C25" s="89">
        <v>4</v>
      </c>
      <c r="D25" t="s" s="90">
        <v>2330</v>
      </c>
      <c r="E25" s="16"/>
      <c r="F25" s="79">
        <v>1</v>
      </c>
      <c r="G25" t="s" s="96">
        <v>2360</v>
      </c>
      <c r="H25" t="s" s="96">
        <v>2361</v>
      </c>
      <c r="I25" s="99">
        <v>16</v>
      </c>
      <c r="J25" s="79">
        <v>1</v>
      </c>
      <c r="K25" s="16"/>
      <c r="L25" s="16"/>
      <c r="M25" s="16"/>
      <c r="N25" t="s" s="96">
        <v>11</v>
      </c>
      <c r="O25" s="16"/>
      <c r="P25" s="16"/>
      <c r="Q25" s="16"/>
      <c r="R25" s="16"/>
      <c r="S25" s="99">
        <v>1</v>
      </c>
      <c r="T25" s="79">
        <v>23</v>
      </c>
      <c r="U25" s="16"/>
      <c r="V25" s="16"/>
      <c r="W25" s="75"/>
      <c r="X25" s="84"/>
      <c r="Y25" s="84"/>
      <c r="Z25" s="84"/>
      <c r="AA25" t="s" s="157">
        <v>188</v>
      </c>
      <c r="AB25" t="s" s="158">
        <v>15</v>
      </c>
      <c r="AC25" s="84">
        <v>1</v>
      </c>
      <c r="AD25" s="84"/>
      <c r="AE25" s="84"/>
      <c r="AF25" s="84"/>
      <c r="AG25" t="s" s="157">
        <v>1015</v>
      </c>
      <c r="AH25" s="16"/>
      <c r="AI25" s="75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74"/>
      <c r="BA25" s="16"/>
      <c r="BB25" s="16"/>
      <c r="BC25" s="16"/>
    </row>
    <row r="26" ht="17" customHeight="1">
      <c r="A26" t="s" s="88">
        <v>2329</v>
      </c>
      <c r="B26" s="89">
        <v>1921</v>
      </c>
      <c r="C26" s="89"/>
      <c r="D26" t="s" s="90">
        <v>2330</v>
      </c>
      <c r="E26" s="16"/>
      <c r="F26" s="16"/>
      <c r="G26" s="16"/>
      <c r="H26" s="79">
        <v>5</v>
      </c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75"/>
      <c r="X26" s="84"/>
      <c r="Y26" s="84"/>
      <c r="Z26" s="84"/>
      <c r="AA26" s="74"/>
      <c r="AB26" s="75"/>
      <c r="AC26" s="84"/>
      <c r="AD26" s="84"/>
      <c r="AE26" s="84"/>
      <c r="AF26" s="84"/>
      <c r="AG26" s="74"/>
      <c r="AH26" s="16"/>
      <c r="AI26" s="75"/>
      <c r="AJ26" s="87"/>
      <c r="AK26" s="87"/>
      <c r="AL26" s="87"/>
      <c r="AM26" s="87"/>
      <c r="AN26" s="87"/>
      <c r="AO26" s="87"/>
      <c r="AP26" s="87"/>
      <c r="AQ26" s="87"/>
      <c r="AR26" s="87"/>
      <c r="AS26" s="87"/>
      <c r="AT26" s="87"/>
      <c r="AU26" s="87"/>
      <c r="AV26" s="87"/>
      <c r="AW26" s="87"/>
      <c r="AX26" s="87"/>
      <c r="AY26" s="87"/>
      <c r="AZ26" s="74"/>
      <c r="BA26" s="16"/>
      <c r="BB26" s="16"/>
      <c r="BC26" s="16"/>
    </row>
    <row r="27" ht="17" customHeight="1">
      <c r="A27" t="s" s="88">
        <v>2329</v>
      </c>
      <c r="B27" s="89">
        <v>1921</v>
      </c>
      <c r="C27" s="89"/>
      <c r="D27" t="s" s="90">
        <v>2330</v>
      </c>
      <c r="E27" s="16"/>
      <c r="F27" s="16"/>
      <c r="G27" t="s" s="96">
        <v>1</v>
      </c>
      <c r="H27" t="s" s="96">
        <v>0</v>
      </c>
      <c r="I27" s="16"/>
      <c r="J27" t="s" s="96">
        <v>3</v>
      </c>
      <c r="K27" s="16"/>
      <c r="L27" s="16"/>
      <c r="M27" s="16"/>
      <c r="N27" t="s" s="96">
        <v>2</v>
      </c>
      <c r="O27" s="16"/>
      <c r="P27" s="16"/>
      <c r="Q27" s="16"/>
      <c r="R27" s="16"/>
      <c r="S27" s="16"/>
      <c r="T27" t="s" s="96">
        <v>5</v>
      </c>
      <c r="U27" s="16"/>
      <c r="V27" s="16"/>
      <c r="W27" s="75"/>
      <c r="X27" s="84"/>
      <c r="Y27" s="84"/>
      <c r="Z27" s="84"/>
      <c r="AA27" t="s" s="157">
        <v>7</v>
      </c>
      <c r="AB27" t="s" s="158">
        <v>8</v>
      </c>
      <c r="AC27" s="84"/>
      <c r="AD27" s="84"/>
      <c r="AE27" s="84"/>
      <c r="AF27" s="84"/>
      <c r="AG27" t="s" s="157">
        <v>6</v>
      </c>
      <c r="AH27" s="16"/>
      <c r="AI27" s="75"/>
      <c r="AJ27" s="87"/>
      <c r="AK27" s="87"/>
      <c r="AL27" s="87"/>
      <c r="AM27" s="87"/>
      <c r="AN27" s="87"/>
      <c r="AO27" s="87"/>
      <c r="AP27" s="87"/>
      <c r="AQ27" s="87"/>
      <c r="AR27" s="87"/>
      <c r="AS27" s="87"/>
      <c r="AT27" s="87"/>
      <c r="AU27" s="87"/>
      <c r="AV27" s="87"/>
      <c r="AW27" s="87"/>
      <c r="AX27" s="87"/>
      <c r="AY27" s="87"/>
      <c r="AZ27" s="74"/>
      <c r="BA27" s="16"/>
      <c r="BB27" s="16"/>
      <c r="BC27" s="16"/>
    </row>
    <row r="28" ht="17" customHeight="1">
      <c r="A28" t="s" s="88">
        <v>2329</v>
      </c>
      <c r="B28" s="89">
        <v>1921</v>
      </c>
      <c r="C28" s="89">
        <v>5</v>
      </c>
      <c r="D28" t="s" s="90">
        <v>2330</v>
      </c>
      <c r="E28" s="16"/>
      <c r="F28" s="79">
        <v>2</v>
      </c>
      <c r="G28" t="s" s="96">
        <v>2362</v>
      </c>
      <c r="H28" t="s" s="96">
        <v>2363</v>
      </c>
      <c r="I28" s="99">
        <v>17</v>
      </c>
      <c r="J28" t="s" s="96">
        <v>37</v>
      </c>
      <c r="K28" s="99">
        <v>1</v>
      </c>
      <c r="L28" s="16"/>
      <c r="M28" s="16"/>
      <c r="N28" s="79">
        <v>1</v>
      </c>
      <c r="O28" s="16"/>
      <c r="P28" s="16"/>
      <c r="Q28" s="16"/>
      <c r="R28" s="16"/>
      <c r="S28" s="16"/>
      <c r="T28" s="79">
        <v>45</v>
      </c>
      <c r="U28" s="16"/>
      <c r="V28" s="16"/>
      <c r="W28" s="75"/>
      <c r="X28" s="84"/>
      <c r="Y28" s="84"/>
      <c r="Z28" s="84"/>
      <c r="AA28" t="s" s="157">
        <v>2364</v>
      </c>
      <c r="AB28" t="s" s="158">
        <v>603</v>
      </c>
      <c r="AC28" s="84">
        <v>1</v>
      </c>
      <c r="AD28" s="84"/>
      <c r="AE28" s="84"/>
      <c r="AF28" s="84">
        <v>1</v>
      </c>
      <c r="AG28" t="s" s="157">
        <v>54</v>
      </c>
      <c r="AH28" s="16"/>
      <c r="AI28" s="75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74"/>
      <c r="BA28" s="16"/>
      <c r="BB28" s="16"/>
      <c r="BC28" s="16"/>
    </row>
    <row r="29" ht="17" customHeight="1">
      <c r="A29" t="s" s="88">
        <v>2329</v>
      </c>
      <c r="B29" s="89">
        <v>1921</v>
      </c>
      <c r="C29" s="89">
        <v>5</v>
      </c>
      <c r="D29" t="s" s="90">
        <v>2330</v>
      </c>
      <c r="E29" s="16"/>
      <c r="F29" s="79">
        <v>2</v>
      </c>
      <c r="G29" t="s" s="96">
        <v>2362</v>
      </c>
      <c r="H29" t="s" s="96">
        <v>2288</v>
      </c>
      <c r="I29" s="99">
        <v>18</v>
      </c>
      <c r="J29" s="79">
        <v>1</v>
      </c>
      <c r="K29" s="16"/>
      <c r="L29" s="16"/>
      <c r="M29" s="16"/>
      <c r="N29" t="s" s="96">
        <v>72</v>
      </c>
      <c r="O29" s="99">
        <v>1</v>
      </c>
      <c r="P29" s="16"/>
      <c r="Q29" s="16"/>
      <c r="R29" s="16"/>
      <c r="S29" s="16"/>
      <c r="T29" s="79">
        <v>45</v>
      </c>
      <c r="U29" s="16"/>
      <c r="V29" s="16"/>
      <c r="W29" s="75"/>
      <c r="X29" s="84"/>
      <c r="Y29" s="84"/>
      <c r="Z29" s="84"/>
      <c r="AA29" t="s" s="157">
        <v>33</v>
      </c>
      <c r="AB29" t="s" s="158">
        <v>34</v>
      </c>
      <c r="AC29" s="84"/>
      <c r="AD29" s="84"/>
      <c r="AE29" s="84"/>
      <c r="AF29" s="84">
        <v>1</v>
      </c>
      <c r="AG29" t="s" s="157">
        <v>54</v>
      </c>
      <c r="AH29" s="16"/>
      <c r="AI29" s="75"/>
      <c r="AJ29" s="87"/>
      <c r="AK29" s="87"/>
      <c r="AL29" s="87"/>
      <c r="AM29" s="87"/>
      <c r="AN29" s="87"/>
      <c r="AO29" s="87"/>
      <c r="AP29" s="87"/>
      <c r="AQ29" s="87"/>
      <c r="AR29" s="87"/>
      <c r="AS29" s="87"/>
      <c r="AT29" s="87"/>
      <c r="AU29" s="87"/>
      <c r="AV29" s="87"/>
      <c r="AW29" s="87"/>
      <c r="AX29" s="87"/>
      <c r="AY29" s="87"/>
      <c r="AZ29" s="74"/>
      <c r="BA29" s="16"/>
      <c r="BB29" s="16"/>
      <c r="BC29" s="16"/>
    </row>
    <row r="30" ht="17" customHeight="1">
      <c r="A30" t="s" s="88">
        <v>2329</v>
      </c>
      <c r="B30" s="89">
        <v>1921</v>
      </c>
      <c r="C30" s="89">
        <v>5</v>
      </c>
      <c r="D30" t="s" s="90">
        <v>2330</v>
      </c>
      <c r="E30" s="16"/>
      <c r="F30" s="79">
        <v>2</v>
      </c>
      <c r="G30" t="s" s="96">
        <v>2362</v>
      </c>
      <c r="H30" t="s" s="96">
        <v>315</v>
      </c>
      <c r="I30" s="99">
        <v>19</v>
      </c>
      <c r="J30" s="79">
        <v>1</v>
      </c>
      <c r="K30" s="16"/>
      <c r="L30" s="16"/>
      <c r="M30" s="16"/>
      <c r="N30" t="s" s="96">
        <v>78</v>
      </c>
      <c r="O30" s="16"/>
      <c r="P30" s="79">
        <v>1</v>
      </c>
      <c r="Q30" s="16"/>
      <c r="R30" s="16"/>
      <c r="S30" s="16"/>
      <c r="T30" s="79">
        <v>18</v>
      </c>
      <c r="U30" s="16"/>
      <c r="V30" s="16"/>
      <c r="W30" s="75"/>
      <c r="X30" s="84"/>
      <c r="Y30" s="84"/>
      <c r="Z30" s="84"/>
      <c r="AA30" t="s" s="157">
        <v>34</v>
      </c>
      <c r="AB30" t="s" s="158">
        <v>34</v>
      </c>
      <c r="AC30" s="84"/>
      <c r="AD30" s="84"/>
      <c r="AE30" s="84"/>
      <c r="AF30" s="84"/>
      <c r="AG30" t="s" s="157">
        <v>2182</v>
      </c>
      <c r="AH30" s="16"/>
      <c r="AI30" s="75"/>
      <c r="AJ30" s="87"/>
      <c r="AK30" s="87"/>
      <c r="AL30" s="87"/>
      <c r="AM30" s="87"/>
      <c r="AN30" s="87"/>
      <c r="AO30" s="87"/>
      <c r="AP30" s="87"/>
      <c r="AQ30" s="87"/>
      <c r="AR30" s="87"/>
      <c r="AS30" s="87"/>
      <c r="AT30" s="87"/>
      <c r="AU30" s="87"/>
      <c r="AV30" s="87"/>
      <c r="AW30" s="87"/>
      <c r="AX30" s="87"/>
      <c r="AY30" s="87"/>
      <c r="AZ30" s="74"/>
      <c r="BA30" s="16"/>
      <c r="BB30" s="16"/>
      <c r="BC30" s="16"/>
    </row>
    <row r="31" ht="17" customHeight="1">
      <c r="A31" t="s" s="88">
        <v>2329</v>
      </c>
      <c r="B31" s="89">
        <v>1921</v>
      </c>
      <c r="C31" s="89">
        <v>5</v>
      </c>
      <c r="D31" t="s" s="90">
        <v>2330</v>
      </c>
      <c r="E31" s="16"/>
      <c r="F31" s="79">
        <v>2</v>
      </c>
      <c r="G31" t="s" s="96">
        <v>2362</v>
      </c>
      <c r="H31" t="s" s="96">
        <v>2365</v>
      </c>
      <c r="I31" s="99">
        <v>20</v>
      </c>
      <c r="J31" s="16"/>
      <c r="K31" s="16"/>
      <c r="L31" s="99">
        <v>1</v>
      </c>
      <c r="M31" s="16"/>
      <c r="N31" t="s" s="96">
        <v>78</v>
      </c>
      <c r="O31" s="16"/>
      <c r="P31" s="79">
        <v>1</v>
      </c>
      <c r="Q31" s="16"/>
      <c r="R31" s="16"/>
      <c r="S31" s="16"/>
      <c r="T31" s="79">
        <v>12</v>
      </c>
      <c r="U31" s="16"/>
      <c r="V31" s="16"/>
      <c r="W31" s="75"/>
      <c r="X31" s="84"/>
      <c r="Y31" s="84"/>
      <c r="Z31" s="84"/>
      <c r="AA31" t="s" s="157">
        <v>34</v>
      </c>
      <c r="AB31" t="s" s="158">
        <v>34</v>
      </c>
      <c r="AC31" s="84"/>
      <c r="AD31" s="84"/>
      <c r="AE31" s="84"/>
      <c r="AF31" s="84"/>
      <c r="AG31" t="s" s="157">
        <v>2366</v>
      </c>
      <c r="AH31" s="16"/>
      <c r="AI31" s="75"/>
      <c r="AJ31" s="87"/>
      <c r="AK31" s="87"/>
      <c r="AL31" s="87"/>
      <c r="AM31" s="87"/>
      <c r="AN31" s="87"/>
      <c r="AO31" s="87"/>
      <c r="AP31" s="87"/>
      <c r="AQ31" s="87"/>
      <c r="AR31" s="87"/>
      <c r="AS31" s="87"/>
      <c r="AT31" s="87"/>
      <c r="AU31" s="87"/>
      <c r="AV31" s="87"/>
      <c r="AW31" s="87"/>
      <c r="AX31" s="87"/>
      <c r="AY31" s="87"/>
      <c r="AZ31" s="74"/>
      <c r="BA31" s="16"/>
      <c r="BB31" s="16"/>
      <c r="BC31" s="16"/>
    </row>
    <row r="32" ht="17" customHeight="1">
      <c r="A32" t="s" s="88">
        <v>2329</v>
      </c>
      <c r="B32" s="89">
        <v>1921</v>
      </c>
      <c r="C32" s="89">
        <v>5</v>
      </c>
      <c r="D32" t="s" s="90">
        <v>2330</v>
      </c>
      <c r="E32" s="16"/>
      <c r="F32" s="79">
        <v>2</v>
      </c>
      <c r="G32" t="s" s="96">
        <v>2362</v>
      </c>
      <c r="H32" t="s" s="96">
        <v>2367</v>
      </c>
      <c r="I32" s="99">
        <v>21</v>
      </c>
      <c r="J32" t="s" s="96">
        <v>37</v>
      </c>
      <c r="K32" s="16"/>
      <c r="L32" s="16"/>
      <c r="M32" s="99">
        <v>1</v>
      </c>
      <c r="N32" t="s" s="96">
        <v>36</v>
      </c>
      <c r="O32" s="16"/>
      <c r="P32" s="16"/>
      <c r="Q32" s="99">
        <v>1</v>
      </c>
      <c r="R32" s="16"/>
      <c r="S32" s="16"/>
      <c r="T32" s="79">
        <v>10</v>
      </c>
      <c r="U32" s="16"/>
      <c r="V32" s="16"/>
      <c r="W32" s="75"/>
      <c r="X32" s="84"/>
      <c r="Y32" s="84"/>
      <c r="Z32" s="84"/>
      <c r="AA32" t="s" s="157">
        <v>34</v>
      </c>
      <c r="AB32" t="s" s="158">
        <v>34</v>
      </c>
      <c r="AC32" s="84"/>
      <c r="AD32" s="84"/>
      <c r="AE32" s="84"/>
      <c r="AF32" s="84"/>
      <c r="AG32" t="s" s="157">
        <v>2366</v>
      </c>
      <c r="AH32" s="16"/>
      <c r="AI32" s="75"/>
      <c r="AJ32" s="87"/>
      <c r="AK32" s="87"/>
      <c r="AL32" s="87"/>
      <c r="AM32" s="87"/>
      <c r="AN32" s="87"/>
      <c r="AO32" s="87"/>
      <c r="AP32" s="87"/>
      <c r="AQ32" s="87"/>
      <c r="AR32" s="87"/>
      <c r="AS32" s="87"/>
      <c r="AT32" s="87"/>
      <c r="AU32" s="87"/>
      <c r="AV32" s="87"/>
      <c r="AW32" s="87"/>
      <c r="AX32" s="87"/>
      <c r="AY32" s="87"/>
      <c r="AZ32" s="74"/>
      <c r="BA32" s="16"/>
      <c r="BB32" s="16"/>
      <c r="BC32" s="16"/>
    </row>
    <row r="33" ht="17" customHeight="1">
      <c r="A33" t="s" s="88">
        <v>2329</v>
      </c>
      <c r="B33" s="89">
        <v>1921</v>
      </c>
      <c r="C33" s="89">
        <v>5</v>
      </c>
      <c r="D33" t="s" s="90">
        <v>2330</v>
      </c>
      <c r="E33" s="16"/>
      <c r="F33" s="79">
        <v>2</v>
      </c>
      <c r="G33" t="s" s="96">
        <v>2362</v>
      </c>
      <c r="H33" t="s" s="96">
        <v>1048</v>
      </c>
      <c r="I33" s="99">
        <v>22</v>
      </c>
      <c r="J33" s="16"/>
      <c r="K33" s="16"/>
      <c r="L33" s="99">
        <v>1</v>
      </c>
      <c r="M33" s="16"/>
      <c r="N33" t="s" s="96">
        <v>78</v>
      </c>
      <c r="O33" s="16"/>
      <c r="P33" s="79">
        <v>1</v>
      </c>
      <c r="Q33" s="16"/>
      <c r="R33" s="16"/>
      <c r="S33" s="16"/>
      <c r="T33" s="79">
        <v>7</v>
      </c>
      <c r="U33" s="16"/>
      <c r="V33" s="16"/>
      <c r="W33" s="75"/>
      <c r="X33" s="84"/>
      <c r="Y33" s="84"/>
      <c r="Z33" s="84"/>
      <c r="AA33" t="s" s="157">
        <v>34</v>
      </c>
      <c r="AB33" t="s" s="158">
        <v>34</v>
      </c>
      <c r="AC33" s="84"/>
      <c r="AD33" s="84"/>
      <c r="AE33" s="84"/>
      <c r="AF33" s="84"/>
      <c r="AG33" t="s" s="157">
        <v>2366</v>
      </c>
      <c r="AH33" s="16"/>
      <c r="AI33" s="75"/>
      <c r="AJ33" s="87"/>
      <c r="AK33" s="87"/>
      <c r="AL33" s="87"/>
      <c r="AM33" s="87"/>
      <c r="AN33" s="87"/>
      <c r="AO33" s="87"/>
      <c r="AP33" s="87"/>
      <c r="AQ33" s="87"/>
      <c r="AR33" s="87"/>
      <c r="AS33" s="87"/>
      <c r="AT33" s="87"/>
      <c r="AU33" s="87"/>
      <c r="AV33" s="87"/>
      <c r="AW33" s="87"/>
      <c r="AX33" s="87"/>
      <c r="AY33" s="87"/>
      <c r="AZ33" s="74"/>
      <c r="BA33" s="16"/>
      <c r="BB33" s="16"/>
      <c r="BC33" s="16"/>
    </row>
    <row r="34" ht="17" customHeight="1">
      <c r="A34" t="s" s="88">
        <v>2329</v>
      </c>
      <c r="B34" s="89">
        <v>1921</v>
      </c>
      <c r="C34" s="89">
        <v>5</v>
      </c>
      <c r="D34" t="s" s="90">
        <v>2330</v>
      </c>
      <c r="E34" s="16"/>
      <c r="F34" s="79">
        <v>2</v>
      </c>
      <c r="G34" t="s" s="96">
        <v>2368</v>
      </c>
      <c r="H34" t="s" s="96">
        <v>406</v>
      </c>
      <c r="I34" s="99">
        <v>23</v>
      </c>
      <c r="J34" s="79">
        <v>1</v>
      </c>
      <c r="K34" s="16"/>
      <c r="L34" s="16"/>
      <c r="M34" s="16"/>
      <c r="N34" t="s" s="96">
        <v>11</v>
      </c>
      <c r="O34" s="16"/>
      <c r="P34" s="16"/>
      <c r="Q34" s="16"/>
      <c r="R34" s="16"/>
      <c r="S34" s="99">
        <v>1</v>
      </c>
      <c r="T34" s="79">
        <v>47</v>
      </c>
      <c r="U34" s="16"/>
      <c r="V34" s="16"/>
      <c r="W34" s="75"/>
      <c r="X34" s="84"/>
      <c r="Y34" s="84"/>
      <c r="Z34" s="84"/>
      <c r="AA34" t="s" s="157">
        <v>188</v>
      </c>
      <c r="AB34" t="s" s="158">
        <v>15</v>
      </c>
      <c r="AC34" s="84">
        <v>1</v>
      </c>
      <c r="AD34" s="84"/>
      <c r="AE34" s="84"/>
      <c r="AF34" s="84"/>
      <c r="AG34" t="s" s="157">
        <v>54</v>
      </c>
      <c r="AH34" s="16"/>
      <c r="AI34" s="75"/>
      <c r="AJ34" s="87"/>
      <c r="AK34" s="87"/>
      <c r="AL34" s="87"/>
      <c r="AM34" s="87"/>
      <c r="AN34" s="87"/>
      <c r="AO34" s="87"/>
      <c r="AP34" s="87"/>
      <c r="AQ34" s="87"/>
      <c r="AR34" s="87"/>
      <c r="AS34" s="87"/>
      <c r="AT34" s="87"/>
      <c r="AU34" s="87"/>
      <c r="AV34" s="87"/>
      <c r="AW34" s="87"/>
      <c r="AX34" s="87"/>
      <c r="AY34" s="87"/>
      <c r="AZ34" s="74"/>
      <c r="BA34" s="16"/>
      <c r="BB34" s="16"/>
      <c r="BC34" s="16"/>
    </row>
    <row r="35" ht="17" customHeight="1">
      <c r="A35" t="s" s="88">
        <v>2329</v>
      </c>
      <c r="B35" s="89">
        <v>1921</v>
      </c>
      <c r="C35" s="89"/>
      <c r="D35" t="s" s="90">
        <v>2330</v>
      </c>
      <c r="E35" s="16"/>
      <c r="F35" s="16"/>
      <c r="G35" s="16"/>
      <c r="H35" s="79">
        <v>7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75"/>
      <c r="X35" s="84"/>
      <c r="Y35" s="84"/>
      <c r="Z35" s="84"/>
      <c r="AA35" s="74"/>
      <c r="AB35" s="75"/>
      <c r="AC35" s="84"/>
      <c r="AD35" s="84"/>
      <c r="AE35" s="84"/>
      <c r="AF35" s="84"/>
      <c r="AG35" s="74"/>
      <c r="AH35" s="16"/>
      <c r="AI35" s="75"/>
      <c r="AJ35" s="87"/>
      <c r="AK35" s="87"/>
      <c r="AL35" s="87"/>
      <c r="AM35" s="87"/>
      <c r="AN35" s="87"/>
      <c r="AO35" s="87"/>
      <c r="AP35" s="87"/>
      <c r="AQ35" s="87"/>
      <c r="AR35" s="87"/>
      <c r="AS35" s="87"/>
      <c r="AT35" s="87"/>
      <c r="AU35" s="87"/>
      <c r="AV35" s="87"/>
      <c r="AW35" s="87"/>
      <c r="AX35" s="87"/>
      <c r="AY35" s="87"/>
      <c r="AZ35" s="74"/>
      <c r="BA35" s="16"/>
      <c r="BB35" s="16"/>
      <c r="BC35" s="16"/>
    </row>
    <row r="36" ht="17" customHeight="1">
      <c r="A36" t="s" s="88">
        <v>2329</v>
      </c>
      <c r="B36" s="89">
        <v>1921</v>
      </c>
      <c r="C36" s="89"/>
      <c r="D36" t="s" s="90">
        <v>2330</v>
      </c>
      <c r="E36" s="16"/>
      <c r="F36" s="16"/>
      <c r="G36" t="s" s="96">
        <v>1</v>
      </c>
      <c r="H36" t="s" s="96">
        <v>0</v>
      </c>
      <c r="I36" s="16"/>
      <c r="J36" t="s" s="96">
        <v>3</v>
      </c>
      <c r="K36" s="16"/>
      <c r="L36" s="16"/>
      <c r="M36" s="16"/>
      <c r="N36" t="s" s="96">
        <v>2</v>
      </c>
      <c r="O36" s="16"/>
      <c r="P36" s="16"/>
      <c r="Q36" s="16"/>
      <c r="R36" s="16"/>
      <c r="S36" s="16"/>
      <c r="T36" t="s" s="96">
        <v>5</v>
      </c>
      <c r="U36" s="16"/>
      <c r="V36" s="16"/>
      <c r="W36" s="75"/>
      <c r="X36" s="84"/>
      <c r="Y36" s="84"/>
      <c r="Z36" s="84"/>
      <c r="AA36" t="s" s="157">
        <v>7</v>
      </c>
      <c r="AB36" t="s" s="158">
        <v>8</v>
      </c>
      <c r="AC36" s="84"/>
      <c r="AD36" s="84"/>
      <c r="AE36" s="84"/>
      <c r="AF36" s="84"/>
      <c r="AG36" t="s" s="157">
        <v>6</v>
      </c>
      <c r="AH36" s="16"/>
      <c r="AI36" s="75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74"/>
      <c r="BA36" s="16"/>
      <c r="BB36" s="16"/>
      <c r="BC36" s="16"/>
    </row>
    <row r="37" ht="17" customHeight="1">
      <c r="A37" t="s" s="88">
        <v>2329</v>
      </c>
      <c r="B37" s="89">
        <v>1921</v>
      </c>
      <c r="C37" s="89">
        <v>6</v>
      </c>
      <c r="D37" t="s" s="90">
        <v>2330</v>
      </c>
      <c r="E37" s="16"/>
      <c r="F37" s="79">
        <v>3</v>
      </c>
      <c r="G37" t="s" s="96">
        <v>2369</v>
      </c>
      <c r="H37" t="s" s="96">
        <v>2370</v>
      </c>
      <c r="I37" s="99">
        <v>24</v>
      </c>
      <c r="J37" t="s" s="96">
        <v>37</v>
      </c>
      <c r="K37" s="99">
        <v>1</v>
      </c>
      <c r="L37" s="16"/>
      <c r="M37" s="16"/>
      <c r="N37" s="79">
        <v>1</v>
      </c>
      <c r="O37" s="16"/>
      <c r="P37" s="16"/>
      <c r="Q37" s="16"/>
      <c r="R37" s="16"/>
      <c r="S37" s="16"/>
      <c r="T37" s="79">
        <v>33</v>
      </c>
      <c r="U37" s="16"/>
      <c r="V37" s="16"/>
      <c r="W37" s="75"/>
      <c r="X37" s="84"/>
      <c r="Y37" s="84"/>
      <c r="Z37" s="84"/>
      <c r="AA37" t="s" s="157">
        <v>194</v>
      </c>
      <c r="AB37" t="s" s="158">
        <v>8</v>
      </c>
      <c r="AC37" s="84">
        <v>1</v>
      </c>
      <c r="AD37" s="84">
        <v>1</v>
      </c>
      <c r="AE37" s="84"/>
      <c r="AF37" s="84">
        <v>1</v>
      </c>
      <c r="AG37" t="s" s="157">
        <v>54</v>
      </c>
      <c r="AH37" s="16"/>
      <c r="AI37" s="75"/>
      <c r="AJ37" s="87"/>
      <c r="AK37" s="87"/>
      <c r="AL37" s="87"/>
      <c r="AM37" s="87"/>
      <c r="AN37" s="87"/>
      <c r="AO37" s="87"/>
      <c r="AP37" s="87"/>
      <c r="AQ37" s="87"/>
      <c r="AR37" s="87"/>
      <c r="AS37" s="87"/>
      <c r="AT37" s="87"/>
      <c r="AU37" s="87"/>
      <c r="AV37" s="87"/>
      <c r="AW37" s="87"/>
      <c r="AX37" s="87"/>
      <c r="AY37" s="87"/>
      <c r="AZ37" s="74"/>
      <c r="BA37" s="16"/>
      <c r="BB37" s="16"/>
      <c r="BC37" s="16"/>
    </row>
    <row r="38" ht="17" customHeight="1">
      <c r="A38" t="s" s="88">
        <v>2329</v>
      </c>
      <c r="B38" s="89">
        <v>1921</v>
      </c>
      <c r="C38" s="89">
        <v>6</v>
      </c>
      <c r="D38" t="s" s="90">
        <v>2330</v>
      </c>
      <c r="E38" s="16"/>
      <c r="F38" s="79">
        <v>3</v>
      </c>
      <c r="G38" t="s" s="96">
        <v>2369</v>
      </c>
      <c r="H38" t="s" s="96">
        <v>2371</v>
      </c>
      <c r="I38" s="99">
        <v>25</v>
      </c>
      <c r="J38" s="79">
        <v>1</v>
      </c>
      <c r="K38" s="16"/>
      <c r="L38" s="16"/>
      <c r="M38" s="16"/>
      <c r="N38" t="s" s="96">
        <v>72</v>
      </c>
      <c r="O38" s="99">
        <v>1</v>
      </c>
      <c r="P38" s="16"/>
      <c r="Q38" s="16"/>
      <c r="R38" s="16"/>
      <c r="S38" s="16"/>
      <c r="T38" s="79">
        <v>29</v>
      </c>
      <c r="U38" s="16"/>
      <c r="V38" s="16"/>
      <c r="W38" s="75"/>
      <c r="X38" s="84"/>
      <c r="Y38" s="84"/>
      <c r="Z38" s="84"/>
      <c r="AA38" t="s" s="157">
        <v>34</v>
      </c>
      <c r="AB38" t="s" s="158">
        <v>34</v>
      </c>
      <c r="AC38" s="84"/>
      <c r="AD38" s="84"/>
      <c r="AE38" s="84"/>
      <c r="AF38" s="84"/>
      <c r="AG38" t="s" s="157">
        <v>2372</v>
      </c>
      <c r="AH38" s="16"/>
      <c r="AI38" s="75"/>
      <c r="AJ38" s="87"/>
      <c r="AK38" s="87"/>
      <c r="AL38" s="87"/>
      <c r="AM38" s="87"/>
      <c r="AN38" s="87"/>
      <c r="AO38" s="87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74"/>
      <c r="BA38" s="16"/>
      <c r="BB38" s="16"/>
      <c r="BC38" s="16"/>
    </row>
    <row r="39" ht="17" customHeight="1">
      <c r="A39" t="s" s="88">
        <v>2329</v>
      </c>
      <c r="B39" s="89">
        <v>1921</v>
      </c>
      <c r="C39" s="89">
        <v>6</v>
      </c>
      <c r="D39" t="s" s="90">
        <v>2330</v>
      </c>
      <c r="E39" s="16"/>
      <c r="F39" s="79">
        <v>3</v>
      </c>
      <c r="G39" t="s" s="96">
        <v>2373</v>
      </c>
      <c r="H39" t="s" s="96">
        <v>2374</v>
      </c>
      <c r="I39" s="99">
        <v>26</v>
      </c>
      <c r="J39" s="79">
        <v>1</v>
      </c>
      <c r="K39" s="16"/>
      <c r="L39" s="16"/>
      <c r="M39" s="16"/>
      <c r="N39" t="s" s="96">
        <v>11</v>
      </c>
      <c r="O39" s="16"/>
      <c r="P39" s="16"/>
      <c r="Q39" s="16"/>
      <c r="R39" s="16"/>
      <c r="S39" s="99">
        <v>1</v>
      </c>
      <c r="T39" s="79">
        <v>49</v>
      </c>
      <c r="U39" s="16"/>
      <c r="V39" s="16"/>
      <c r="W39" s="75"/>
      <c r="X39" s="84"/>
      <c r="Y39" s="84"/>
      <c r="Z39" s="84"/>
      <c r="AA39" t="s" s="157">
        <v>105</v>
      </c>
      <c r="AB39" t="s" s="158">
        <v>15</v>
      </c>
      <c r="AC39" s="84">
        <v>1</v>
      </c>
      <c r="AD39" s="84"/>
      <c r="AE39" s="84"/>
      <c r="AF39" s="84"/>
      <c r="AG39" t="s" s="157">
        <v>2375</v>
      </c>
      <c r="AH39" s="16"/>
      <c r="AI39" s="75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74"/>
      <c r="BA39" s="16"/>
      <c r="BB39" s="16"/>
      <c r="BC39" s="16"/>
    </row>
    <row r="40" ht="17" customHeight="1">
      <c r="A40" t="s" s="88">
        <v>2329</v>
      </c>
      <c r="B40" s="89">
        <v>1921</v>
      </c>
      <c r="C40" s="89"/>
      <c r="D40" t="s" s="90">
        <v>2330</v>
      </c>
      <c r="E40" s="16"/>
      <c r="F40" s="16"/>
      <c r="G40" s="16"/>
      <c r="H40" s="79">
        <v>3</v>
      </c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75"/>
      <c r="X40" s="84"/>
      <c r="Y40" s="84"/>
      <c r="Z40" s="84"/>
      <c r="AA40" s="74"/>
      <c r="AB40" s="75"/>
      <c r="AC40" s="84"/>
      <c r="AD40" s="84"/>
      <c r="AE40" s="84"/>
      <c r="AF40" s="84"/>
      <c r="AG40" s="74"/>
      <c r="AH40" s="16"/>
      <c r="AI40" s="75"/>
      <c r="AJ40" s="87"/>
      <c r="AK40" s="87"/>
      <c r="AL40" s="87"/>
      <c r="AM40" s="87"/>
      <c r="AN40" s="87"/>
      <c r="AO40" s="87"/>
      <c r="AP40" s="87"/>
      <c r="AQ40" s="87"/>
      <c r="AR40" s="87"/>
      <c r="AS40" s="87"/>
      <c r="AT40" s="87"/>
      <c r="AU40" s="87"/>
      <c r="AV40" s="87"/>
      <c r="AW40" s="87"/>
      <c r="AX40" s="87"/>
      <c r="AY40" s="87"/>
      <c r="AZ40" s="74"/>
      <c r="BA40" s="16"/>
      <c r="BB40" s="16"/>
      <c r="BC40" s="16"/>
    </row>
    <row r="41" ht="17" customHeight="1">
      <c r="A41" t="s" s="227">
        <v>2329</v>
      </c>
      <c r="B41" s="228">
        <v>1921</v>
      </c>
      <c r="C41" s="228"/>
      <c r="D41" t="s" s="229">
        <v>2330</v>
      </c>
      <c r="E41" s="3"/>
      <c r="F41" s="319">
        <v>4</v>
      </c>
      <c r="G41" t="s" s="2">
        <v>1</v>
      </c>
      <c r="H41" t="s" s="2">
        <v>0</v>
      </c>
      <c r="I41" s="3"/>
      <c r="J41" t="s" s="2">
        <v>3</v>
      </c>
      <c r="K41" s="3"/>
      <c r="L41" s="3"/>
      <c r="M41" s="3"/>
      <c r="N41" t="s" s="2">
        <v>2</v>
      </c>
      <c r="O41" s="3"/>
      <c r="P41" s="3"/>
      <c r="Q41" s="3"/>
      <c r="R41" s="3"/>
      <c r="S41" s="3"/>
      <c r="T41" t="s" s="2">
        <v>5</v>
      </c>
      <c r="U41" s="3"/>
      <c r="V41" s="3"/>
      <c r="W41" s="193"/>
      <c r="X41" s="84"/>
      <c r="Y41" s="84"/>
      <c r="Z41" s="84"/>
      <c r="AA41" t="s" s="358">
        <v>7</v>
      </c>
      <c r="AB41" t="s" s="384">
        <v>8</v>
      </c>
      <c r="AC41" s="84"/>
      <c r="AD41" s="84"/>
      <c r="AE41" s="84"/>
      <c r="AF41" s="84"/>
      <c r="AG41" t="s" s="358">
        <v>6</v>
      </c>
      <c r="AH41" s="3"/>
      <c r="AI41" s="193"/>
      <c r="AJ41" s="87"/>
      <c r="AK41" s="87"/>
      <c r="AL41" s="87"/>
      <c r="AM41" s="87"/>
      <c r="AN41" s="87"/>
      <c r="AO41" s="87"/>
      <c r="AP41" s="87"/>
      <c r="AQ41" s="87"/>
      <c r="AR41" s="87"/>
      <c r="AS41" s="87"/>
      <c r="AT41" s="87"/>
      <c r="AU41" s="87"/>
      <c r="AV41" s="87"/>
      <c r="AW41" s="87"/>
      <c r="AX41" s="87"/>
      <c r="AY41" s="87"/>
      <c r="AZ41" s="192"/>
      <c r="BA41" s="3"/>
      <c r="BB41" s="3"/>
      <c r="BC41" s="3"/>
    </row>
    <row r="42" ht="17" customHeight="1">
      <c r="A42" t="s" s="233">
        <v>2329</v>
      </c>
      <c r="B42" s="234">
        <v>1921</v>
      </c>
      <c r="C42" s="234">
        <v>7</v>
      </c>
      <c r="D42" t="s" s="235">
        <v>2330</v>
      </c>
      <c r="E42" s="13"/>
      <c r="F42" s="6">
        <v>4</v>
      </c>
      <c r="G42" t="s" s="5">
        <v>2376</v>
      </c>
      <c r="H42" t="s" s="5">
        <v>2377</v>
      </c>
      <c r="I42" s="239">
        <v>27</v>
      </c>
      <c r="J42" s="6">
        <v>1</v>
      </c>
      <c r="K42" s="239"/>
      <c r="L42" s="239"/>
      <c r="M42" s="239"/>
      <c r="N42" s="6">
        <v>1</v>
      </c>
      <c r="O42" s="239"/>
      <c r="P42" s="13"/>
      <c r="Q42" s="239"/>
      <c r="R42" s="239"/>
      <c r="S42" s="239"/>
      <c r="T42" s="6">
        <v>51</v>
      </c>
      <c r="U42" s="239"/>
      <c r="V42" s="239"/>
      <c r="W42" s="240"/>
      <c r="X42" s="243"/>
      <c r="Y42" s="243"/>
      <c r="Z42" s="243"/>
      <c r="AA42" t="s" s="359">
        <v>94</v>
      </c>
      <c r="AB42" t="s" s="315">
        <v>34</v>
      </c>
      <c r="AC42" s="243"/>
      <c r="AD42" s="243"/>
      <c r="AE42" s="243"/>
      <c r="AF42" s="243">
        <v>1</v>
      </c>
      <c r="AG42" t="s" s="359">
        <v>13</v>
      </c>
      <c r="AH42" s="239"/>
      <c r="AI42" s="240"/>
      <c r="AJ42" s="87"/>
      <c r="AK42" s="87"/>
      <c r="AL42" s="87"/>
      <c r="AM42" s="87"/>
      <c r="AN42" s="87"/>
      <c r="AO42" s="87"/>
      <c r="AP42" s="87"/>
      <c r="AQ42" s="87"/>
      <c r="AR42" s="87"/>
      <c r="AS42" s="87"/>
      <c r="AT42" s="87"/>
      <c r="AU42" s="87"/>
      <c r="AV42" s="87"/>
      <c r="AW42" s="87"/>
      <c r="AX42" s="87"/>
      <c r="AY42" s="87"/>
      <c r="AZ42" s="238"/>
      <c r="BA42" s="239"/>
      <c r="BB42" s="239"/>
      <c r="BC42" s="244"/>
    </row>
    <row r="43" ht="17" customHeight="1">
      <c r="A43" t="s" s="245">
        <v>2329</v>
      </c>
      <c r="B43" s="246">
        <v>1921</v>
      </c>
      <c r="C43" s="246">
        <v>7</v>
      </c>
      <c r="D43" t="s" s="247">
        <v>2330</v>
      </c>
      <c r="E43" s="14"/>
      <c r="F43" s="264">
        <v>4</v>
      </c>
      <c r="G43" t="s" s="285">
        <v>2378</v>
      </c>
      <c r="H43" t="s" s="285">
        <v>2379</v>
      </c>
      <c r="I43" s="250">
        <v>28</v>
      </c>
      <c r="J43" s="264">
        <v>1</v>
      </c>
      <c r="K43" s="14"/>
      <c r="L43" s="14"/>
      <c r="M43" s="14"/>
      <c r="N43" t="s" s="285">
        <v>65</v>
      </c>
      <c r="O43" s="14"/>
      <c r="P43" s="14"/>
      <c r="Q43" s="14"/>
      <c r="R43" s="250">
        <v>1</v>
      </c>
      <c r="S43" s="14"/>
      <c r="T43" s="264">
        <v>23</v>
      </c>
      <c r="U43" s="14"/>
      <c r="V43" s="14"/>
      <c r="W43" s="201"/>
      <c r="X43" s="84"/>
      <c r="Y43" s="84"/>
      <c r="Z43" s="84"/>
      <c r="AA43" t="s" s="357">
        <v>2380</v>
      </c>
      <c r="AB43" t="s" s="318">
        <v>2381</v>
      </c>
      <c r="AC43" s="84">
        <v>1</v>
      </c>
      <c r="AD43" s="84"/>
      <c r="AE43" s="84"/>
      <c r="AF43" s="84"/>
      <c r="AG43" t="s" s="357">
        <v>1424</v>
      </c>
      <c r="AH43" s="14"/>
      <c r="AI43" s="201"/>
      <c r="AJ43" s="87"/>
      <c r="AK43" s="87"/>
      <c r="AL43" s="87"/>
      <c r="AM43" s="87"/>
      <c r="AN43" s="87"/>
      <c r="AO43" s="87"/>
      <c r="AP43" s="87"/>
      <c r="AQ43" s="87"/>
      <c r="AR43" s="87"/>
      <c r="AS43" s="87"/>
      <c r="AT43" s="87"/>
      <c r="AU43" s="87"/>
      <c r="AV43" s="87"/>
      <c r="AW43" s="87"/>
      <c r="AX43" s="87"/>
      <c r="AY43" s="87"/>
      <c r="AZ43" s="200"/>
      <c r="BA43" s="14"/>
      <c r="BB43" s="14"/>
      <c r="BC43" s="14"/>
    </row>
    <row r="44" ht="17" customHeight="1">
      <c r="A44" t="s" s="88">
        <v>2329</v>
      </c>
      <c r="B44" s="89">
        <v>1921</v>
      </c>
      <c r="C44" s="89">
        <v>7</v>
      </c>
      <c r="D44" t="s" s="90">
        <v>2330</v>
      </c>
      <c r="E44" s="16"/>
      <c r="F44" s="79">
        <v>4</v>
      </c>
      <c r="G44" t="s" s="96">
        <v>2382</v>
      </c>
      <c r="H44" t="s" s="96">
        <v>2383</v>
      </c>
      <c r="I44" s="99">
        <v>29</v>
      </c>
      <c r="J44" s="79">
        <v>1</v>
      </c>
      <c r="K44" s="16"/>
      <c r="L44" s="16"/>
      <c r="M44" s="16"/>
      <c r="N44" t="s" s="96">
        <v>11</v>
      </c>
      <c r="O44" s="16"/>
      <c r="P44" s="16"/>
      <c r="Q44" s="16"/>
      <c r="R44" s="16"/>
      <c r="S44" s="99">
        <v>1</v>
      </c>
      <c r="T44" s="79">
        <v>26</v>
      </c>
      <c r="U44" s="16"/>
      <c r="V44" s="16"/>
      <c r="W44" s="75"/>
      <c r="X44" s="84"/>
      <c r="Y44" s="84"/>
      <c r="Z44" s="84"/>
      <c r="AA44" t="s" s="157">
        <v>105</v>
      </c>
      <c r="AB44" t="s" s="158">
        <v>15</v>
      </c>
      <c r="AC44" s="84">
        <v>1</v>
      </c>
      <c r="AD44" s="84"/>
      <c r="AE44" s="84"/>
      <c r="AF44" s="84"/>
      <c r="AG44" t="s" s="157">
        <v>1036</v>
      </c>
      <c r="AH44" s="16"/>
      <c r="AI44" s="75"/>
      <c r="AJ44" s="87"/>
      <c r="AK44" s="87"/>
      <c r="AL44" s="87"/>
      <c r="AM44" s="87"/>
      <c r="AN44" s="87"/>
      <c r="AO44" s="87"/>
      <c r="AP44" s="87"/>
      <c r="AQ44" s="87"/>
      <c r="AR44" s="87"/>
      <c r="AS44" s="87"/>
      <c r="AT44" s="87"/>
      <c r="AU44" s="87"/>
      <c r="AV44" s="87"/>
      <c r="AW44" s="87"/>
      <c r="AX44" s="87"/>
      <c r="AY44" s="87"/>
      <c r="AZ44" s="74"/>
      <c r="BA44" s="16"/>
      <c r="BB44" s="16"/>
      <c r="BC44" s="16"/>
    </row>
    <row r="45" ht="19" customHeight="1">
      <c r="A45" t="s" s="88">
        <v>2329</v>
      </c>
      <c r="B45" s="89">
        <v>1921</v>
      </c>
      <c r="C45" s="89"/>
      <c r="D45" t="s" s="90">
        <v>2330</v>
      </c>
      <c r="E45" s="16"/>
      <c r="F45" s="16"/>
      <c r="G45" s="16"/>
      <c r="H45" s="79">
        <v>3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75"/>
      <c r="X45" s="29"/>
      <c r="Y45" s="29"/>
      <c r="Z45" s="29"/>
      <c r="AA45" s="74"/>
      <c r="AB45" s="75"/>
      <c r="AC45" s="29"/>
      <c r="AD45" s="29"/>
      <c r="AE45" s="30"/>
      <c r="AF45" s="30"/>
      <c r="AG45" s="74"/>
      <c r="AH45" s="16"/>
      <c r="AI45" s="75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t="s" s="227">
        <v>2329</v>
      </c>
      <c r="B46" s="228">
        <v>1921</v>
      </c>
      <c r="C46" s="228"/>
      <c r="D46" t="s" s="229">
        <v>2330</v>
      </c>
      <c r="E46" s="3"/>
      <c r="F46" s="3"/>
      <c r="G46" t="s" s="2">
        <v>1</v>
      </c>
      <c r="H46" t="s" s="2">
        <v>0</v>
      </c>
      <c r="I46" s="3"/>
      <c r="J46" t="s" s="2">
        <v>3</v>
      </c>
      <c r="K46" s="3"/>
      <c r="L46" s="3"/>
      <c r="M46" s="3"/>
      <c r="N46" t="s" s="2">
        <v>2</v>
      </c>
      <c r="O46" s="3"/>
      <c r="P46" s="3"/>
      <c r="Q46" s="3"/>
      <c r="R46" s="3"/>
      <c r="S46" s="3"/>
      <c r="T46" t="s" s="2">
        <v>5</v>
      </c>
      <c r="U46" s="3"/>
      <c r="V46" s="3"/>
      <c r="W46" s="193"/>
      <c r="X46" s="30"/>
      <c r="Y46" s="30"/>
      <c r="Z46" s="30"/>
      <c r="AA46" t="s" s="358">
        <v>7</v>
      </c>
      <c r="AB46" t="s" s="384">
        <v>8</v>
      </c>
      <c r="AC46" s="30"/>
      <c r="AD46" s="30"/>
      <c r="AE46" s="30"/>
      <c r="AF46" s="30"/>
      <c r="AG46" t="s" s="358">
        <v>6</v>
      </c>
      <c r="AH46" s="3"/>
      <c r="AI46" s="193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192"/>
      <c r="BA46" s="3"/>
      <c r="BB46" s="3"/>
      <c r="BC46" s="3"/>
    </row>
    <row r="47" ht="17.5" customHeight="1">
      <c r="A47" t="s" s="233">
        <v>2329</v>
      </c>
      <c r="B47" s="234">
        <v>1921</v>
      </c>
      <c r="C47" s="234">
        <v>8</v>
      </c>
      <c r="D47" t="s" s="235">
        <v>2330</v>
      </c>
      <c r="E47" s="13"/>
      <c r="F47" s="6">
        <v>5</v>
      </c>
      <c r="G47" t="s" s="5">
        <v>515</v>
      </c>
      <c r="H47" t="s" s="5">
        <v>2384</v>
      </c>
      <c r="I47" s="239">
        <v>30</v>
      </c>
      <c r="J47" s="6">
        <v>1</v>
      </c>
      <c r="K47" s="13"/>
      <c r="L47" s="13"/>
      <c r="M47" s="13"/>
      <c r="N47" s="6">
        <v>1</v>
      </c>
      <c r="O47" s="13"/>
      <c r="P47" s="13"/>
      <c r="Q47" s="13"/>
      <c r="R47" s="13"/>
      <c r="S47" s="13"/>
      <c r="T47" s="6">
        <v>76</v>
      </c>
      <c r="U47" s="13"/>
      <c r="V47" s="13"/>
      <c r="W47" s="196"/>
      <c r="X47" s="30"/>
      <c r="Y47" s="30"/>
      <c r="Z47" s="30"/>
      <c r="AA47" t="s" s="359">
        <v>34</v>
      </c>
      <c r="AB47" t="s" s="315">
        <v>34</v>
      </c>
      <c r="AC47" s="30"/>
      <c r="AD47" s="30"/>
      <c r="AE47" s="30"/>
      <c r="AF47" s="30"/>
      <c r="AG47" t="s" s="359">
        <v>2385</v>
      </c>
      <c r="AH47" s="13"/>
      <c r="AI47" s="196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195"/>
      <c r="BA47" s="13"/>
      <c r="BB47" s="13"/>
      <c r="BC47" s="10"/>
    </row>
    <row r="48" ht="17.5" customHeight="1">
      <c r="A48" t="s" s="245">
        <v>2329</v>
      </c>
      <c r="B48" s="246">
        <v>1921</v>
      </c>
      <c r="C48" s="246">
        <v>8</v>
      </c>
      <c r="D48" t="s" s="247">
        <v>2330</v>
      </c>
      <c r="E48" s="390"/>
      <c r="F48" s="391">
        <v>5</v>
      </c>
      <c r="G48" t="s" s="392">
        <v>2386</v>
      </c>
      <c r="H48" t="s" s="392">
        <v>166</v>
      </c>
      <c r="I48" s="393">
        <v>31</v>
      </c>
      <c r="J48" s="391">
        <v>1</v>
      </c>
      <c r="K48" s="390"/>
      <c r="L48" s="390"/>
      <c r="M48" s="390"/>
      <c r="N48" t="s" s="392">
        <v>11</v>
      </c>
      <c r="O48" s="390"/>
      <c r="P48" s="390"/>
      <c r="Q48" s="390"/>
      <c r="R48" s="390"/>
      <c r="S48" s="391">
        <v>1</v>
      </c>
      <c r="T48" s="391">
        <v>51</v>
      </c>
      <c r="U48" s="390"/>
      <c r="V48" s="390"/>
      <c r="W48" s="394"/>
      <c r="X48" s="30"/>
      <c r="Y48" s="30"/>
      <c r="Z48" s="30"/>
      <c r="AA48" t="s" s="395">
        <v>2387</v>
      </c>
      <c r="AB48" t="s" s="396">
        <v>15</v>
      </c>
      <c r="AC48" s="112">
        <v>1</v>
      </c>
      <c r="AD48" s="30"/>
      <c r="AE48" s="30"/>
      <c r="AF48" s="112">
        <v>1</v>
      </c>
      <c r="AG48" t="s" s="395">
        <v>2388</v>
      </c>
      <c r="AH48" s="390"/>
      <c r="AI48" s="394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200"/>
      <c r="BA48" s="14"/>
      <c r="BB48" s="14"/>
      <c r="BC48" s="14"/>
    </row>
    <row r="49" ht="17.5" customHeight="1">
      <c r="A49" t="s" s="88">
        <v>2329</v>
      </c>
      <c r="B49" s="89">
        <v>1921</v>
      </c>
      <c r="C49" s="89">
        <v>8</v>
      </c>
      <c r="D49" t="s" s="216">
        <v>2330</v>
      </c>
      <c r="E49" s="30"/>
      <c r="F49" s="30"/>
      <c r="G49" s="30"/>
      <c r="H49" s="112">
        <v>2</v>
      </c>
      <c r="I49" s="30"/>
      <c r="J49" s="30"/>
      <c r="K49" s="30"/>
      <c r="L49" s="30"/>
      <c r="M49" s="121"/>
      <c r="N49" s="121"/>
      <c r="O49" s="121"/>
      <c r="P49" s="121"/>
      <c r="Q49" s="121"/>
      <c r="R49" s="121"/>
      <c r="S49" s="121"/>
      <c r="T49" s="121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t="s" s="88">
        <v>2329</v>
      </c>
      <c r="B50" s="89">
        <v>1921</v>
      </c>
      <c r="C50" s="89">
        <v>8</v>
      </c>
      <c r="D50" t="s" s="216">
        <v>2330</v>
      </c>
      <c r="E50" s="30"/>
      <c r="F50" s="30"/>
      <c r="G50" s="30"/>
      <c r="H50" s="30"/>
      <c r="I50" s="30"/>
      <c r="J50" s="30"/>
      <c r="K50" s="30"/>
      <c r="L50" s="30"/>
      <c r="M50" s="121"/>
      <c r="N50" s="121"/>
      <c r="O50" s="121"/>
      <c r="P50" s="121"/>
      <c r="Q50" s="121"/>
      <c r="R50" s="121"/>
      <c r="S50" s="121"/>
      <c r="T50" s="121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" customHeight="1">
      <c r="A51" t="s" s="189">
        <v>2329</v>
      </c>
      <c r="B51" s="107">
        <v>1921</v>
      </c>
      <c r="C51" s="107">
        <v>8</v>
      </c>
      <c r="D51" t="s" s="217">
        <v>2330</v>
      </c>
      <c r="E51" s="30"/>
      <c r="F51" s="30"/>
      <c r="G51" s="30"/>
      <c r="H51" s="30"/>
      <c r="I51" s="112">
        <v>31</v>
      </c>
      <c r="J51" s="112" cm="1">
        <f t="array" ref="J51">SUM(J3:J48)</f>
        <v>20</v>
      </c>
      <c r="K51" s="87" cm="1">
        <f t="array" ref="K51">SUM(K3:K48)</f>
        <v>6</v>
      </c>
      <c r="L51" s="87" cm="1">
        <f t="array" ref="L51">SUM(L3:L48)</f>
        <v>3</v>
      </c>
      <c r="M51" s="112" cm="1">
        <f t="array" ref="M51">SUM(M3:M48)</f>
        <v>2</v>
      </c>
      <c r="N51" s="112" cm="1">
        <f t="array" ref="N51">SUM(N3:N48)</f>
        <v>8</v>
      </c>
      <c r="O51" s="87" cm="1">
        <f t="array" ref="O51">SUM(O3:O48)</f>
        <v>5</v>
      </c>
      <c r="P51" s="112" cm="1">
        <f t="array" ref="P51">SUM(P3:P48)</f>
        <v>4</v>
      </c>
      <c r="Q51" s="112" cm="1">
        <f t="array" ref="Q51">SUM(Q3:Q48)</f>
        <v>2</v>
      </c>
      <c r="R51" s="112" cm="1">
        <f t="array" ref="R51">SUM(R3:R48)</f>
        <v>2</v>
      </c>
      <c r="S51" s="87" cm="1">
        <f t="array" ref="S51">SUM(S3:S48)</f>
        <v>10</v>
      </c>
      <c r="T51" s="112" cm="1">
        <f t="array" ref="T51">SUM(T3:T48)</f>
        <v>1029</v>
      </c>
      <c r="U51" s="112" cm="1">
        <f t="array" ref="U51">SUM(U3:U48)</f>
        <v>0</v>
      </c>
      <c r="V51" s="112" cm="1">
        <f t="array" ref="V51">SUM(V3:V48)</f>
        <v>0</v>
      </c>
      <c r="W51" s="112" cm="1">
        <f t="array" ref="W51">SUM(W3:W48)</f>
        <v>0</v>
      </c>
      <c r="X51" s="87" cm="1">
        <f t="array" ref="X51">SUM(X3:X48)</f>
        <v>0</v>
      </c>
      <c r="Y51" s="87" cm="1">
        <f t="array" ref="Y51">SUM(Y3:Y48)</f>
        <v>0</v>
      </c>
      <c r="Z51" s="87" cm="1">
        <f t="array" ref="Z51">SUM(Z3:Z48)</f>
        <v>0</v>
      </c>
      <c r="AA51" s="112" cm="1">
        <f t="array" ref="AA51">SUM(AA3:AA48)</f>
        <v>0</v>
      </c>
      <c r="AB51" s="112" cm="1">
        <f t="array" ref="AB51">SUM(AB3:AB48)</f>
        <v>0</v>
      </c>
      <c r="AC51" s="87" cm="1">
        <f t="array" ref="AC51">SUM(AC3:AC48)</f>
        <v>17</v>
      </c>
      <c r="AD51" s="87" cm="1">
        <f t="array" ref="AD51">SUM(AD3:AD48)</f>
        <v>2</v>
      </c>
      <c r="AE51" s="87" cm="1">
        <f t="array" ref="AE51">AC51-AD51</f>
        <v>15</v>
      </c>
      <c r="AF51" s="87" cm="1">
        <f t="array" ref="AF51">SUM(AF3:AF48)</f>
        <v>7</v>
      </c>
      <c r="AG51" s="87" cm="1">
        <f t="array" ref="AG51">I52-AF51</f>
        <v>24</v>
      </c>
      <c r="AH51" s="87" cm="1">
        <f t="array" ref="AH51">AG51+AF51</f>
        <v>31</v>
      </c>
      <c r="AI51" s="112" cm="1">
        <f t="array" ref="AI51">SUM(AI3:AI48)</f>
        <v>0</v>
      </c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.5" customHeight="1">
      <c r="A52" s="30"/>
      <c r="B52" s="30"/>
      <c r="C52" s="30"/>
      <c r="D52" s="30"/>
      <c r="E52" s="30"/>
      <c r="F52" s="30"/>
      <c r="G52" s="30"/>
      <c r="H52" s="30"/>
      <c r="I52" s="87" cm="1">
        <f t="array" ref="I52">SUM(J51:M51)</f>
        <v>31</v>
      </c>
      <c r="J52" s="30"/>
      <c r="K52" s="30"/>
      <c r="L52" s="30"/>
      <c r="M52" s="121"/>
      <c r="N52" s="86" cm="1">
        <f t="array" ref="N52">SUM(N51:S51)</f>
        <v>31</v>
      </c>
      <c r="O52" s="121"/>
      <c r="P52" s="121"/>
      <c r="Q52" s="121"/>
      <c r="R52" s="121"/>
      <c r="S52" s="121"/>
      <c r="T52" s="86" cm="1">
        <f t="array" ref="T52">T51/N52</f>
        <v>33.1935483870968</v>
      </c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121"/>
      <c r="N53" s="121"/>
      <c r="O53" s="121"/>
      <c r="P53" s="121"/>
      <c r="Q53" s="121"/>
      <c r="R53" s="121"/>
      <c r="S53" s="121"/>
      <c r="T53" s="121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s="124"/>
      <c r="B54" s="124"/>
      <c r="C54" s="124"/>
      <c r="D54" s="28"/>
      <c r="E54" s="124"/>
      <c r="F54" s="28"/>
      <c r="G54" s="28"/>
      <c r="H54" s="28"/>
      <c r="I54" s="28"/>
      <c r="J54" s="28"/>
      <c r="K54" s="125"/>
      <c r="L54" s="28"/>
      <c r="M54" s="28"/>
      <c r="N54" s="28"/>
      <c r="O54" s="28"/>
      <c r="P54" s="28"/>
      <c r="Q54" s="125"/>
      <c r="R54" s="125"/>
      <c r="S54" s="125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28" customHeight="1">
      <c r="A55" s="124"/>
      <c r="B55" s="124"/>
      <c r="C55" s="124"/>
      <c r="D55" s="28"/>
      <c r="E55" s="124"/>
      <c r="F55" s="28"/>
      <c r="G55" s="28"/>
      <c r="H55" s="28"/>
      <c r="I55" s="28"/>
      <c r="J55" s="163"/>
      <c r="K55" s="164"/>
      <c r="L55" s="165"/>
      <c r="M55" s="28"/>
      <c r="N55" s="28"/>
      <c r="O55" s="28"/>
      <c r="P55" s="163"/>
      <c r="Q55" s="164"/>
      <c r="R55" s="164"/>
      <c r="S55" s="164"/>
      <c r="T55" s="166"/>
      <c r="U55" s="28"/>
      <c r="V55" s="28"/>
      <c r="W55" s="28"/>
      <c r="X55" s="28"/>
      <c r="Y55" s="28"/>
      <c r="Z55" s="28"/>
      <c r="AA55" s="28"/>
      <c r="AB55" s="28"/>
      <c r="AC55" s="28"/>
      <c r="AD55" s="124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.5" customHeight="1">
      <c r="A56" s="146"/>
      <c r="B56" s="30"/>
      <c r="C56" s="30"/>
      <c r="D56" s="30"/>
      <c r="E56" s="30"/>
      <c r="F56" s="30"/>
      <c r="G56" s="30"/>
      <c r="H56" s="30"/>
      <c r="I56" s="30"/>
      <c r="J56" s="30"/>
      <c r="K56" s="141"/>
      <c r="L56" s="30"/>
      <c r="M56" s="121"/>
      <c r="N56" s="121"/>
      <c r="O56" s="121"/>
      <c r="P56" s="121"/>
      <c r="Q56" s="147"/>
      <c r="R56" s="147"/>
      <c r="S56" s="147"/>
      <c r="T56" s="121"/>
      <c r="U56" s="121"/>
      <c r="V56" s="121"/>
      <c r="W56" s="121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.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121"/>
      <c r="N57" s="121"/>
      <c r="O57" s="121"/>
      <c r="P57" s="121"/>
      <c r="Q57" s="30"/>
      <c r="R57" s="121"/>
      <c r="S57" s="121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.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121"/>
      <c r="N58" s="121"/>
      <c r="O58" s="121"/>
      <c r="P58" s="121"/>
      <c r="Q58" s="121"/>
      <c r="R58" s="121"/>
      <c r="S58" s="121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.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121"/>
      <c r="N59" s="121"/>
      <c r="O59" s="121"/>
      <c r="P59" s="121"/>
      <c r="Q59" s="121"/>
      <c r="R59" s="121"/>
      <c r="S59" s="121"/>
      <c r="T59" s="30"/>
      <c r="U59" s="121"/>
      <c r="V59" s="121"/>
      <c r="W59" s="121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.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121"/>
      <c r="N60" s="121"/>
      <c r="O60" s="121"/>
      <c r="P60" s="121"/>
      <c r="Q60" s="30"/>
      <c r="R60" s="121"/>
      <c r="S60" s="121"/>
      <c r="T60" s="30"/>
      <c r="U60" s="121"/>
      <c r="V60" s="121"/>
      <c r="W60" s="121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.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121"/>
      <c r="N61" s="121"/>
      <c r="O61" s="121"/>
      <c r="P61" s="121"/>
      <c r="Q61" s="30"/>
      <c r="R61" s="121"/>
      <c r="S61" s="121"/>
      <c r="T61" s="30"/>
      <c r="U61" s="121"/>
      <c r="V61" s="121"/>
      <c r="W61" s="121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7.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121"/>
      <c r="N62" s="121"/>
      <c r="O62" s="121"/>
      <c r="P62" s="121"/>
      <c r="Q62" s="30"/>
      <c r="R62" s="121"/>
      <c r="S62" s="121"/>
      <c r="T62" s="30"/>
      <c r="U62" s="121"/>
      <c r="V62" s="121"/>
      <c r="W62" s="121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7.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121"/>
      <c r="N63" s="121"/>
      <c r="O63" s="121"/>
      <c r="P63" s="121"/>
      <c r="Q63" s="30"/>
      <c r="R63" s="121"/>
      <c r="S63" s="121"/>
      <c r="T63" s="30"/>
      <c r="U63" s="121"/>
      <c r="V63" s="121"/>
      <c r="W63" s="121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</row>
    <row r="64" ht="17" customHeight="1">
      <c r="A64" s="30"/>
      <c r="B64" s="30"/>
      <c r="C64" s="30"/>
      <c r="D64" s="30"/>
      <c r="E64" s="30"/>
      <c r="F64" s="30"/>
      <c r="G64" s="30"/>
      <c r="H64" t="s" s="83">
        <v>0</v>
      </c>
      <c r="I64" t="s" s="83">
        <v>1</v>
      </c>
      <c r="J64" t="s" s="83">
        <v>2</v>
      </c>
      <c r="K64" t="s" s="83">
        <v>3</v>
      </c>
      <c r="L64" t="s" s="83">
        <v>4</v>
      </c>
      <c r="M64" t="s" s="83">
        <v>5</v>
      </c>
      <c r="N64" t="s" s="83">
        <v>6</v>
      </c>
      <c r="O64" t="s" s="83">
        <v>7</v>
      </c>
      <c r="P64" t="s" s="83">
        <v>8</v>
      </c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</row>
    <row r="65" ht="17.5" customHeight="1">
      <c r="A65" s="30"/>
      <c r="B65" s="30"/>
      <c r="C65" s="30"/>
      <c r="D65" s="30"/>
      <c r="E65" t="s" s="83">
        <v>2331</v>
      </c>
      <c r="F65" s="30"/>
      <c r="G65" s="30"/>
      <c r="H65" t="s" s="83">
        <v>2332</v>
      </c>
      <c r="I65" t="s" s="83">
        <v>137</v>
      </c>
      <c r="J65" t="s" s="83">
        <v>31</v>
      </c>
      <c r="K65" t="s" s="83">
        <v>37</v>
      </c>
      <c r="L65" s="112">
        <v>1888</v>
      </c>
      <c r="M65" s="118">
        <v>33</v>
      </c>
      <c r="N65" t="s" s="119">
        <v>729</v>
      </c>
      <c r="O65" t="s" s="119">
        <v>2333</v>
      </c>
      <c r="P65" t="s" s="119">
        <v>2334</v>
      </c>
      <c r="Q65" t="s" s="83">
        <v>2389</v>
      </c>
      <c r="R65" s="121"/>
      <c r="S65" s="121"/>
      <c r="T65" s="129"/>
      <c r="U65" s="121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</row>
    <row r="66" ht="17.5" customHeight="1">
      <c r="A66" s="30"/>
      <c r="B66" s="30"/>
      <c r="C66" s="30"/>
      <c r="D66" s="30"/>
      <c r="E66" s="30"/>
      <c r="F66" s="30"/>
      <c r="G66" s="30"/>
      <c r="H66" t="s" s="83">
        <v>109</v>
      </c>
      <c r="I66" t="s" s="83">
        <v>137</v>
      </c>
      <c r="J66" t="s" s="83">
        <v>72</v>
      </c>
      <c r="K66" t="s" s="83">
        <v>12</v>
      </c>
      <c r="L66" s="112">
        <v>1891</v>
      </c>
      <c r="M66" s="118">
        <v>29</v>
      </c>
      <c r="N66" t="s" s="119">
        <v>2335</v>
      </c>
      <c r="O66" t="s" s="119">
        <v>33</v>
      </c>
      <c r="P66" t="s" s="119">
        <v>34</v>
      </c>
      <c r="Q66" s="30"/>
      <c r="R66" s="121"/>
      <c r="S66" s="121"/>
      <c r="T66" s="30"/>
      <c r="U66" s="121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74"/>
      <c r="BA66" s="16"/>
      <c r="BB66" s="16"/>
      <c r="BC66" s="16"/>
    </row>
    <row r="67" ht="17.5" customHeight="1">
      <c r="A67" s="30"/>
      <c r="B67" s="30"/>
      <c r="C67" s="30"/>
      <c r="D67" s="30"/>
      <c r="E67" s="30"/>
      <c r="F67" s="30"/>
      <c r="G67" s="30"/>
      <c r="H67" t="s" s="83">
        <v>2336</v>
      </c>
      <c r="I67" t="s" s="83">
        <v>137</v>
      </c>
      <c r="J67" t="s" s="83">
        <v>78</v>
      </c>
      <c r="K67" t="s" s="83">
        <v>12</v>
      </c>
      <c r="L67" s="112">
        <v>1917</v>
      </c>
      <c r="M67" s="118">
        <v>4</v>
      </c>
      <c r="N67" t="s" s="119">
        <v>2226</v>
      </c>
      <c r="O67" t="s" s="119">
        <v>34</v>
      </c>
      <c r="P67" t="s" s="119">
        <v>34</v>
      </c>
      <c r="Q67" s="30"/>
      <c r="R67" s="121"/>
      <c r="S67" s="121"/>
      <c r="T67" s="30"/>
      <c r="U67" s="121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</row>
    <row r="68" ht="17.5" customHeight="1">
      <c r="A68" s="30"/>
      <c r="B68" s="30"/>
      <c r="C68" s="30"/>
      <c r="D68" s="30"/>
      <c r="E68" s="30"/>
      <c r="F68" s="30"/>
      <c r="G68" s="30"/>
      <c r="H68" t="s" s="83">
        <v>315</v>
      </c>
      <c r="I68" t="s" s="83">
        <v>2337</v>
      </c>
      <c r="J68" t="s" s="83">
        <v>11</v>
      </c>
      <c r="K68" t="s" s="83">
        <v>12</v>
      </c>
      <c r="L68" s="112">
        <v>1901</v>
      </c>
      <c r="M68" s="118">
        <v>20</v>
      </c>
      <c r="N68" t="s" s="119">
        <v>2339</v>
      </c>
      <c r="O68" t="s" s="119">
        <v>2338</v>
      </c>
      <c r="P68" t="s" s="119">
        <v>15</v>
      </c>
      <c r="Q68" s="30"/>
      <c r="R68" s="121"/>
      <c r="S68" s="121"/>
      <c r="T68" s="129"/>
      <c r="U68" s="121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74"/>
      <c r="BA68" s="16"/>
      <c r="BB68" s="16"/>
      <c r="BC68" s="16"/>
    </row>
    <row r="69" ht="17.5" customHeight="1">
      <c r="A69" s="30"/>
      <c r="B69" s="30"/>
      <c r="C69" s="30"/>
      <c r="D69" s="30"/>
      <c r="E69" s="30"/>
      <c r="F69" s="30"/>
      <c r="G69" s="30"/>
      <c r="H69" t="s" s="83">
        <v>2341</v>
      </c>
      <c r="I69" t="s" s="83">
        <v>2340</v>
      </c>
      <c r="J69" t="s" s="83">
        <v>11</v>
      </c>
      <c r="K69" t="s" s="83">
        <v>12</v>
      </c>
      <c r="L69" s="112">
        <v>1902</v>
      </c>
      <c r="M69" s="118">
        <v>18</v>
      </c>
      <c r="N69" t="s" s="119">
        <v>851</v>
      </c>
      <c r="O69" t="s" s="119">
        <v>105</v>
      </c>
      <c r="P69" t="s" s="119">
        <v>15</v>
      </c>
      <c r="Q69" s="30"/>
      <c r="R69" s="121"/>
      <c r="S69" s="121"/>
      <c r="T69" s="30"/>
      <c r="U69" s="121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74"/>
      <c r="BA69" s="16"/>
      <c r="BB69" s="16"/>
      <c r="BC69" s="16"/>
    </row>
    <row r="70" ht="17.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121"/>
      <c r="N70" s="121"/>
      <c r="O70" s="121"/>
      <c r="P70" s="121"/>
      <c r="Q70" s="30"/>
      <c r="R70" s="121"/>
      <c r="S70" s="121"/>
      <c r="T70" s="30"/>
      <c r="U70" s="121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74"/>
      <c r="BA70" s="16"/>
      <c r="BB70" s="16"/>
      <c r="BC70" s="16"/>
    </row>
    <row r="71" ht="17.5" customHeight="1">
      <c r="A71" s="30"/>
      <c r="B71" s="30"/>
      <c r="C71" s="30"/>
      <c r="D71" s="30"/>
      <c r="E71" s="30"/>
      <c r="F71" s="30"/>
      <c r="G71" s="30"/>
      <c r="H71" t="s" s="83">
        <v>0</v>
      </c>
      <c r="I71" t="s" s="83">
        <v>1</v>
      </c>
      <c r="J71" t="s" s="83">
        <v>2</v>
      </c>
      <c r="K71" t="s" s="83">
        <v>3</v>
      </c>
      <c r="L71" t="s" s="83">
        <v>4</v>
      </c>
      <c r="M71" t="s" s="119">
        <v>5</v>
      </c>
      <c r="N71" t="s" s="119">
        <v>6</v>
      </c>
      <c r="O71" t="s" s="119">
        <v>7</v>
      </c>
      <c r="P71" t="s" s="119">
        <v>8</v>
      </c>
      <c r="Q71" s="30"/>
      <c r="R71" s="121"/>
      <c r="S71" s="121"/>
      <c r="T71" s="30"/>
      <c r="U71" s="121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74"/>
      <c r="BA71" s="16"/>
      <c r="BB71" s="16"/>
      <c r="BC71" s="16"/>
    </row>
    <row r="72" ht="17" customHeight="1">
      <c r="A72" t="s" s="83">
        <v>723</v>
      </c>
      <c r="B72" s="30"/>
      <c r="C72" s="30"/>
      <c r="D72" s="30"/>
      <c r="E72" t="s" s="83">
        <v>2342</v>
      </c>
      <c r="F72" s="30"/>
      <c r="G72" s="112" cm="1">
        <f t="array" ref="G72">SUM(G49:G71)</f>
        <v>0</v>
      </c>
      <c r="H72" t="s" s="83">
        <v>2344</v>
      </c>
      <c r="I72" t="s" s="83">
        <v>2343</v>
      </c>
      <c r="J72" t="s" s="83">
        <v>31</v>
      </c>
      <c r="K72" t="s" s="83">
        <v>37</v>
      </c>
      <c r="L72" s="112">
        <v>1881</v>
      </c>
      <c r="M72" s="112">
        <v>39</v>
      </c>
      <c r="N72" t="s" s="83">
        <v>34</v>
      </c>
      <c r="O72" t="s" s="83">
        <v>2345</v>
      </c>
      <c r="P72" t="s" s="83">
        <v>8</v>
      </c>
      <c r="Q72" t="s" s="83">
        <v>2390</v>
      </c>
      <c r="R72" s="112" cm="1">
        <f t="array" ref="R72">SUM(R49:R71)</f>
        <v>2</v>
      </c>
      <c r="S72" s="87" cm="1">
        <f t="array" ref="S72">SUM(S49:S71)</f>
        <v>10</v>
      </c>
      <c r="T72" s="87" cm="1">
        <f t="array" ref="T72">SUM(T49:T71)</f>
        <v>1062.1935483871</v>
      </c>
      <c r="U72" s="112" cm="1">
        <f t="array" ref="U72">SUM(U49:U71)</f>
        <v>0</v>
      </c>
      <c r="V72" s="112" cm="1">
        <f t="array" ref="V72">SUM(V49:V71)</f>
        <v>0</v>
      </c>
      <c r="W72" s="112" cm="1">
        <f t="array" ref="W72">SUM(W49:W71)</f>
        <v>0</v>
      </c>
      <c r="X72" s="30"/>
      <c r="Y72" s="30"/>
      <c r="Z72" s="112" cm="1">
        <f t="array" ref="Z72">SUM(Z45:Z71)</f>
        <v>0</v>
      </c>
      <c r="AA72" s="112" cm="1">
        <f t="array" ref="AA72">SUM(AA49:AA71)</f>
        <v>0</v>
      </c>
      <c r="AB72" s="112" cm="1">
        <f t="array" ref="AB72">SUM(AB49:AB71)</f>
        <v>0</v>
      </c>
      <c r="AC72" s="112" cm="1">
        <f t="array" ref="AC72">SUM(AC45:AC71)</f>
        <v>18</v>
      </c>
      <c r="AD72" s="112" cm="1">
        <f t="array" ref="AD72">SUM(AD45:AD71)</f>
        <v>2</v>
      </c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74"/>
      <c r="BA72" s="16"/>
      <c r="BB72" s="16"/>
      <c r="BC72" s="16"/>
    </row>
    <row r="73" ht="17" customHeight="1">
      <c r="A73" s="30"/>
      <c r="B73" s="30"/>
      <c r="C73" s="30"/>
      <c r="D73" s="30"/>
      <c r="E73" s="30"/>
      <c r="F73" s="30"/>
      <c r="G73" s="30"/>
      <c r="H73" t="s" s="83">
        <v>2347</v>
      </c>
      <c r="I73" t="s" s="83">
        <v>2346</v>
      </c>
      <c r="J73" t="s" s="83">
        <v>11</v>
      </c>
      <c r="K73" t="s" s="83">
        <v>12</v>
      </c>
      <c r="L73" s="112">
        <v>1894</v>
      </c>
      <c r="M73" s="112">
        <v>27</v>
      </c>
      <c r="N73" t="s" s="83">
        <v>187</v>
      </c>
      <c r="O73" t="s" s="83">
        <v>34</v>
      </c>
      <c r="P73" t="s" s="83">
        <v>15</v>
      </c>
      <c r="Q73" s="87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74"/>
      <c r="BA73" s="16"/>
      <c r="BB73" s="16"/>
      <c r="BC73" s="16"/>
    </row>
    <row r="74" ht="17" customHeight="1">
      <c r="A74" s="30"/>
      <c r="B74" s="30"/>
      <c r="C74" s="30"/>
      <c r="D74" s="30"/>
      <c r="E74" s="30"/>
      <c r="F74" s="30"/>
      <c r="G74" s="130"/>
      <c r="H74" s="130"/>
      <c r="I74" s="130"/>
      <c r="J74" s="30"/>
      <c r="K74" s="30"/>
      <c r="L74" s="30"/>
      <c r="M74" s="30"/>
      <c r="N74" s="30"/>
      <c r="O74" s="30"/>
      <c r="P74" s="30"/>
      <c r="Q74" s="87"/>
      <c r="R74" s="130"/>
      <c r="S74" s="130"/>
      <c r="T74" s="1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74"/>
      <c r="BA74" s="16"/>
      <c r="BB74" s="16"/>
      <c r="BC74" s="16"/>
    </row>
    <row r="75" ht="17.5" customHeight="1">
      <c r="A75" s="30"/>
      <c r="B75" s="30"/>
      <c r="C75" s="30"/>
      <c r="D75" s="30"/>
      <c r="E75" s="30"/>
      <c r="F75" s="30"/>
      <c r="G75" s="30"/>
      <c r="H75" t="s" s="83">
        <v>0</v>
      </c>
      <c r="I75" t="s" s="83">
        <v>1</v>
      </c>
      <c r="J75" t="s" s="83">
        <v>2</v>
      </c>
      <c r="K75" t="s" s="83">
        <v>3</v>
      </c>
      <c r="L75" t="s" s="83">
        <v>4</v>
      </c>
      <c r="M75" t="s" s="83">
        <v>5</v>
      </c>
      <c r="N75" t="s" s="83">
        <v>6</v>
      </c>
      <c r="O75" t="s" s="83">
        <v>7</v>
      </c>
      <c r="P75" t="s" s="83">
        <v>8</v>
      </c>
      <c r="Q75" s="30"/>
      <c r="R75" s="121"/>
      <c r="S75" s="121"/>
      <c r="T75" s="129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74"/>
      <c r="BA75" s="16"/>
      <c r="BB75" s="16"/>
      <c r="BC75" s="16"/>
    </row>
    <row r="76" ht="17" customHeight="1">
      <c r="A76" s="30"/>
      <c r="B76" s="30"/>
      <c r="C76" s="30"/>
      <c r="D76" s="30"/>
      <c r="E76" s="30"/>
      <c r="F76" s="112">
        <v>15</v>
      </c>
      <c r="G76" s="30"/>
      <c r="H76" t="s" s="83">
        <v>2348</v>
      </c>
      <c r="I76" t="s" s="83">
        <v>1245</v>
      </c>
      <c r="J76" t="s" s="83">
        <v>31</v>
      </c>
      <c r="K76" t="s" s="83">
        <v>37</v>
      </c>
      <c r="L76" s="112">
        <v>1874</v>
      </c>
      <c r="M76" s="112">
        <v>47</v>
      </c>
      <c r="N76" t="s" s="83">
        <v>1458</v>
      </c>
      <c r="O76" t="s" s="83">
        <v>2349</v>
      </c>
      <c r="P76" t="s" s="83">
        <v>2350</v>
      </c>
      <c r="Q76" s="30"/>
      <c r="R76" s="130"/>
      <c r="S76" s="130"/>
      <c r="T76" s="130"/>
      <c r="U76" s="30"/>
      <c r="V76" s="30"/>
      <c r="W76" s="30"/>
      <c r="X76" s="30"/>
      <c r="Y76" s="30"/>
      <c r="Z76" s="30"/>
      <c r="AA76" s="30"/>
      <c r="AB76" s="30"/>
      <c r="AC76" s="134"/>
      <c r="AD76" s="134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74"/>
      <c r="BA76" s="16"/>
      <c r="BB76" s="16"/>
      <c r="BC76" s="16"/>
    </row>
    <row r="77" ht="17.5" customHeight="1">
      <c r="A77" s="30"/>
      <c r="B77" s="30"/>
      <c r="C77" s="30"/>
      <c r="D77" s="30"/>
      <c r="E77" s="30"/>
      <c r="F77" s="30"/>
      <c r="G77" s="30"/>
      <c r="H77" t="s" s="83">
        <v>2351</v>
      </c>
      <c r="I77" t="s" s="83">
        <v>1245</v>
      </c>
      <c r="J77" t="s" s="83">
        <v>72</v>
      </c>
      <c r="K77" t="s" s="83">
        <v>12</v>
      </c>
      <c r="L77" s="112">
        <v>1876</v>
      </c>
      <c r="M77" s="112">
        <v>44</v>
      </c>
      <c r="N77" t="s" s="83">
        <v>13</v>
      </c>
      <c r="O77" t="s" s="83">
        <v>33</v>
      </c>
      <c r="P77" t="s" s="83">
        <v>34</v>
      </c>
      <c r="Q77" s="30"/>
      <c r="R77" s="121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74"/>
      <c r="BA77" s="16"/>
      <c r="BB77" s="16"/>
      <c r="BC77" s="16"/>
    </row>
    <row r="78" ht="15.35" customHeight="1">
      <c r="A78" s="62"/>
      <c r="B78" s="62"/>
      <c r="C78" s="62"/>
      <c r="D78" s="62"/>
      <c r="E78" s="62"/>
      <c r="F78" s="62"/>
      <c r="G78" s="62"/>
      <c r="H78" t="s" s="98">
        <v>2353</v>
      </c>
      <c r="I78" t="s" s="98">
        <v>2352</v>
      </c>
      <c r="J78" t="s" s="98">
        <v>11</v>
      </c>
      <c r="K78" t="s" s="98">
        <v>12</v>
      </c>
      <c r="L78" s="97">
        <v>1873</v>
      </c>
      <c r="M78" s="97">
        <v>48</v>
      </c>
      <c r="N78" t="s" s="98">
        <v>13</v>
      </c>
      <c r="O78" t="s" s="98">
        <v>45</v>
      </c>
      <c r="P78" t="s" s="98">
        <v>15</v>
      </c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62"/>
      <c r="AB78" s="62"/>
      <c r="AC78" s="62"/>
      <c r="AD78" s="62"/>
      <c r="AE78" s="62"/>
      <c r="AF78" s="62"/>
      <c r="AG78" s="62"/>
      <c r="AH78" s="62"/>
      <c r="AI78" s="62"/>
      <c r="AJ78" s="62"/>
      <c r="AK78" s="62"/>
      <c r="AL78" s="62"/>
      <c r="AM78" s="62"/>
      <c r="AN78" s="62"/>
      <c r="AO78" s="62"/>
      <c r="AP78" s="62"/>
      <c r="AQ78" s="62"/>
      <c r="AR78" s="62"/>
      <c r="AS78" s="62"/>
      <c r="AT78" s="62"/>
      <c r="AU78" s="62"/>
      <c r="AV78" s="62"/>
      <c r="AW78" s="62"/>
      <c r="AX78" s="62"/>
      <c r="AY78" s="62"/>
      <c r="AZ78" s="16"/>
      <c r="BA78" s="16"/>
      <c r="BB78" s="16"/>
      <c r="BC78" s="16"/>
    </row>
    <row r="79" ht="15.35" customHeight="1">
      <c r="A79" s="16"/>
      <c r="B79" s="16"/>
      <c r="C79" s="16"/>
      <c r="D79" s="16"/>
      <c r="E79" s="16"/>
      <c r="F79" s="16"/>
      <c r="G79" s="16"/>
      <c r="H79" t="s" s="96">
        <v>321</v>
      </c>
      <c r="I79" t="s" s="96">
        <v>2354</v>
      </c>
      <c r="J79" t="s" s="96">
        <v>11</v>
      </c>
      <c r="K79" t="s" s="96">
        <v>12</v>
      </c>
      <c r="L79" s="79">
        <v>1893</v>
      </c>
      <c r="M79" s="79">
        <v>28</v>
      </c>
      <c r="N79" t="s" s="96">
        <v>134</v>
      </c>
      <c r="O79" t="s" s="96">
        <v>85</v>
      </c>
      <c r="P79" t="s" s="96">
        <v>15</v>
      </c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</row>
    <row r="80" ht="15.35" customHeight="1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</row>
    <row r="81" ht="15.35" customHeight="1">
      <c r="A81" s="16"/>
      <c r="B81" s="16"/>
      <c r="C81" s="16"/>
      <c r="D81" s="16"/>
      <c r="E81" s="16"/>
      <c r="F81" s="16"/>
      <c r="G81" s="16"/>
      <c r="H81" t="s" s="96">
        <v>0</v>
      </c>
      <c r="I81" t="s" s="96">
        <v>1</v>
      </c>
      <c r="J81" t="s" s="96">
        <v>2</v>
      </c>
      <c r="K81" t="s" s="96">
        <v>3</v>
      </c>
      <c r="L81" t="s" s="96">
        <v>4</v>
      </c>
      <c r="M81" t="s" s="96">
        <v>5</v>
      </c>
      <c r="N81" t="s" s="96">
        <v>6</v>
      </c>
      <c r="O81" t="s" s="96">
        <v>7</v>
      </c>
      <c r="P81" t="s" s="96">
        <v>8</v>
      </c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</row>
    <row r="82" ht="15.35" customHeight="1">
      <c r="A82" s="16"/>
      <c r="B82" s="16"/>
      <c r="C82" s="16"/>
      <c r="D82" s="16"/>
      <c r="E82" s="16"/>
      <c r="F82" s="79">
        <v>1</v>
      </c>
      <c r="G82" s="16"/>
      <c r="H82" t="s" s="96">
        <v>2356</v>
      </c>
      <c r="I82" t="s" s="96">
        <v>2355</v>
      </c>
      <c r="J82" t="s" s="96">
        <v>31</v>
      </c>
      <c r="K82" t="s" s="96">
        <v>37</v>
      </c>
      <c r="L82" s="79">
        <v>1874</v>
      </c>
      <c r="M82" s="79">
        <v>46</v>
      </c>
      <c r="N82" t="s" s="96">
        <v>1936</v>
      </c>
      <c r="O82" t="s" s="96">
        <v>2357</v>
      </c>
      <c r="P82" t="s" s="96">
        <v>2358</v>
      </c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</row>
    <row r="83" ht="15.35" customHeight="1">
      <c r="A83" s="16"/>
      <c r="B83" s="16"/>
      <c r="C83" s="16"/>
      <c r="D83" s="16"/>
      <c r="E83" s="16"/>
      <c r="F83" s="16"/>
      <c r="G83" s="16"/>
      <c r="H83" t="s" s="96">
        <v>2359</v>
      </c>
      <c r="I83" t="s" s="96">
        <v>2355</v>
      </c>
      <c r="J83" t="s" s="96">
        <v>72</v>
      </c>
      <c r="K83" t="s" s="96">
        <v>12</v>
      </c>
      <c r="L83" s="79">
        <v>1874</v>
      </c>
      <c r="M83" s="79">
        <v>47</v>
      </c>
      <c r="N83" t="s" s="96">
        <v>1936</v>
      </c>
      <c r="O83" t="s" s="96">
        <v>33</v>
      </c>
      <c r="P83" t="s" s="96">
        <v>34</v>
      </c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</row>
    <row r="84" ht="15.35" customHeight="1">
      <c r="A84" s="16"/>
      <c r="B84" s="16"/>
      <c r="C84" s="16"/>
      <c r="D84" s="16"/>
      <c r="E84" s="16"/>
      <c r="F84" s="16"/>
      <c r="G84" s="16"/>
      <c r="H84" t="s" s="96">
        <v>2356</v>
      </c>
      <c r="I84" t="s" s="96">
        <v>2355</v>
      </c>
      <c r="J84" t="s" s="96">
        <v>36</v>
      </c>
      <c r="K84" t="s" s="96">
        <v>37</v>
      </c>
      <c r="L84" s="79">
        <v>1907</v>
      </c>
      <c r="M84" s="79">
        <v>14</v>
      </c>
      <c r="N84" t="s" s="96">
        <v>1110</v>
      </c>
      <c r="O84" t="s" s="96">
        <v>34</v>
      </c>
      <c r="P84" t="s" s="96">
        <v>34</v>
      </c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</row>
    <row r="85" ht="15.35" customHeight="1">
      <c r="A85" s="16"/>
      <c r="B85" s="16"/>
      <c r="C85" s="16"/>
      <c r="D85" s="16"/>
      <c r="E85" s="16"/>
      <c r="F85" s="16"/>
      <c r="G85" s="16"/>
      <c r="H85" t="s" s="96">
        <v>1371</v>
      </c>
      <c r="I85" t="s" s="96">
        <v>2355</v>
      </c>
      <c r="J85" t="s" s="96">
        <v>41</v>
      </c>
      <c r="K85" t="s" s="96">
        <v>12</v>
      </c>
      <c r="L85" s="79">
        <v>1880</v>
      </c>
      <c r="M85" s="79">
        <v>40</v>
      </c>
      <c r="N85" t="s" s="96">
        <v>2110</v>
      </c>
      <c r="O85" t="s" s="96">
        <v>94</v>
      </c>
      <c r="P85" t="s" s="96">
        <v>34</v>
      </c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</row>
    <row r="86" ht="15.35" customHeight="1">
      <c r="A86" s="16"/>
      <c r="B86" s="16"/>
      <c r="C86" s="16"/>
      <c r="D86" s="16"/>
      <c r="E86" s="16"/>
      <c r="F86" s="16"/>
      <c r="G86" s="16"/>
      <c r="H86" t="s" s="96">
        <v>2361</v>
      </c>
      <c r="I86" t="s" s="96">
        <v>2360</v>
      </c>
      <c r="J86" t="s" s="96">
        <v>11</v>
      </c>
      <c r="K86" t="s" s="96">
        <v>12</v>
      </c>
      <c r="L86" s="79">
        <v>1898</v>
      </c>
      <c r="M86" s="79">
        <v>23</v>
      </c>
      <c r="N86" t="s" s="96">
        <v>1015</v>
      </c>
      <c r="O86" t="s" s="96">
        <v>188</v>
      </c>
      <c r="P86" t="s" s="96">
        <v>15</v>
      </c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5.35" customHeight="1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</row>
    <row r="88" ht="15.35" customHeight="1">
      <c r="A88" s="16"/>
      <c r="B88" s="16"/>
      <c r="C88" s="16"/>
      <c r="D88" s="16"/>
      <c r="E88" s="16"/>
      <c r="F88" s="16"/>
      <c r="G88" s="16"/>
      <c r="H88" t="s" s="96">
        <v>0</v>
      </c>
      <c r="I88" t="s" s="96">
        <v>1</v>
      </c>
      <c r="J88" t="s" s="96">
        <v>2</v>
      </c>
      <c r="K88" t="s" s="96">
        <v>3</v>
      </c>
      <c r="L88" t="s" s="96">
        <v>4</v>
      </c>
      <c r="M88" t="s" s="96">
        <v>5</v>
      </c>
      <c r="N88" t="s" s="96">
        <v>6</v>
      </c>
      <c r="O88" t="s" s="96">
        <v>7</v>
      </c>
      <c r="P88" t="s" s="96">
        <v>8</v>
      </c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15.35" customHeight="1">
      <c r="A89" s="16"/>
      <c r="B89" s="16"/>
      <c r="C89" s="16"/>
      <c r="D89" s="16"/>
      <c r="E89" s="16"/>
      <c r="F89" s="79">
        <v>2</v>
      </c>
      <c r="G89" s="16"/>
      <c r="H89" t="s" s="96">
        <v>2363</v>
      </c>
      <c r="I89" t="s" s="96">
        <v>2362</v>
      </c>
      <c r="J89" t="s" s="96">
        <v>31</v>
      </c>
      <c r="K89" t="s" s="96">
        <v>37</v>
      </c>
      <c r="L89" s="79">
        <v>1876</v>
      </c>
      <c r="M89" s="79">
        <v>45</v>
      </c>
      <c r="N89" t="s" s="96">
        <v>54</v>
      </c>
      <c r="O89" t="s" s="96">
        <v>2364</v>
      </c>
      <c r="P89" t="s" s="96">
        <v>603</v>
      </c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15.35" customHeight="1">
      <c r="A90" s="16"/>
      <c r="B90" s="16"/>
      <c r="C90" s="16"/>
      <c r="D90" s="16"/>
      <c r="E90" s="16"/>
      <c r="F90" s="16"/>
      <c r="G90" s="16"/>
      <c r="H90" t="s" s="96">
        <v>2288</v>
      </c>
      <c r="I90" t="s" s="96">
        <v>2362</v>
      </c>
      <c r="J90" t="s" s="96">
        <v>72</v>
      </c>
      <c r="K90" t="s" s="96">
        <v>12</v>
      </c>
      <c r="L90" s="79">
        <v>1876</v>
      </c>
      <c r="M90" s="79">
        <v>45</v>
      </c>
      <c r="N90" t="s" s="96">
        <v>54</v>
      </c>
      <c r="O90" t="s" s="96">
        <v>33</v>
      </c>
      <c r="P90" t="s" s="96">
        <v>34</v>
      </c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</row>
    <row r="91" ht="15.35" customHeight="1">
      <c r="A91" s="16"/>
      <c r="B91" s="16"/>
      <c r="C91" s="16"/>
      <c r="D91" s="16"/>
      <c r="E91" s="16"/>
      <c r="F91" s="16"/>
      <c r="G91" s="16"/>
      <c r="H91" t="s" s="96">
        <v>315</v>
      </c>
      <c r="I91" t="s" s="96">
        <v>2362</v>
      </c>
      <c r="J91" t="s" s="96">
        <v>78</v>
      </c>
      <c r="K91" t="s" s="96">
        <v>12</v>
      </c>
      <c r="L91" s="79">
        <v>1903</v>
      </c>
      <c r="M91" s="79">
        <v>18</v>
      </c>
      <c r="N91" t="s" s="96">
        <v>2182</v>
      </c>
      <c r="O91" t="s" s="96">
        <v>34</v>
      </c>
      <c r="P91" t="s" s="96">
        <v>34</v>
      </c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5.35" customHeight="1">
      <c r="A92" s="16"/>
      <c r="B92" s="16"/>
      <c r="C92" s="16"/>
      <c r="D92" s="16"/>
      <c r="E92" s="16"/>
      <c r="F92" s="16"/>
      <c r="G92" s="16"/>
      <c r="H92" t="s" s="96">
        <v>2365</v>
      </c>
      <c r="I92" t="s" s="96">
        <v>2362</v>
      </c>
      <c r="J92" t="s" s="96">
        <v>78</v>
      </c>
      <c r="K92" t="s" s="96">
        <v>12</v>
      </c>
      <c r="L92" s="79">
        <v>1909</v>
      </c>
      <c r="M92" s="79">
        <v>12</v>
      </c>
      <c r="N92" t="s" s="96">
        <v>2366</v>
      </c>
      <c r="O92" t="s" s="96">
        <v>34</v>
      </c>
      <c r="P92" t="s" s="96">
        <v>34</v>
      </c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15.35" customHeight="1">
      <c r="A93" s="16"/>
      <c r="B93" s="16"/>
      <c r="C93" s="16"/>
      <c r="D93" s="16"/>
      <c r="E93" s="16"/>
      <c r="F93" s="16"/>
      <c r="G93" s="16"/>
      <c r="H93" t="s" s="96">
        <v>2367</v>
      </c>
      <c r="I93" t="s" s="96">
        <v>2362</v>
      </c>
      <c r="J93" t="s" s="96">
        <v>36</v>
      </c>
      <c r="K93" t="s" s="96">
        <v>37</v>
      </c>
      <c r="L93" s="79">
        <v>1911</v>
      </c>
      <c r="M93" s="79">
        <v>10</v>
      </c>
      <c r="N93" t="s" s="96">
        <v>2366</v>
      </c>
      <c r="O93" t="s" s="96">
        <v>34</v>
      </c>
      <c r="P93" t="s" s="96">
        <v>34</v>
      </c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</row>
    <row r="94" ht="15.35" customHeight="1">
      <c r="A94" s="16"/>
      <c r="B94" s="16"/>
      <c r="C94" s="16"/>
      <c r="D94" s="16"/>
      <c r="E94" s="16"/>
      <c r="F94" s="16"/>
      <c r="G94" s="16"/>
      <c r="H94" t="s" s="96">
        <v>1048</v>
      </c>
      <c r="I94" t="s" s="96">
        <v>2362</v>
      </c>
      <c r="J94" t="s" s="96">
        <v>78</v>
      </c>
      <c r="K94" t="s" s="96">
        <v>12</v>
      </c>
      <c r="L94" s="79">
        <v>1914</v>
      </c>
      <c r="M94" s="79">
        <v>7</v>
      </c>
      <c r="N94" t="s" s="96">
        <v>2366</v>
      </c>
      <c r="O94" t="s" s="96">
        <v>34</v>
      </c>
      <c r="P94" t="s" s="96">
        <v>34</v>
      </c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</row>
    <row r="95" ht="15.35" customHeight="1">
      <c r="A95" s="16"/>
      <c r="B95" s="16"/>
      <c r="C95" s="16"/>
      <c r="D95" s="16"/>
      <c r="E95" s="16"/>
      <c r="F95" s="16"/>
      <c r="G95" s="16"/>
      <c r="H95" t="s" s="96">
        <v>406</v>
      </c>
      <c r="I95" t="s" s="96">
        <v>2368</v>
      </c>
      <c r="J95" t="s" s="96">
        <v>11</v>
      </c>
      <c r="K95" t="s" s="96">
        <v>12</v>
      </c>
      <c r="L95" s="79">
        <v>1874</v>
      </c>
      <c r="M95" s="79">
        <v>47</v>
      </c>
      <c r="N95" t="s" s="96">
        <v>54</v>
      </c>
      <c r="O95" t="s" s="96">
        <v>188</v>
      </c>
      <c r="P95" t="s" s="96">
        <v>15</v>
      </c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</row>
    <row r="96" ht="15.3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</row>
    <row r="97" ht="15.35" customHeight="1">
      <c r="A97" s="16"/>
      <c r="B97" s="16"/>
      <c r="C97" s="16"/>
      <c r="D97" s="16"/>
      <c r="E97" s="16"/>
      <c r="F97" s="16"/>
      <c r="G97" s="16"/>
      <c r="H97" t="s" s="96">
        <v>0</v>
      </c>
      <c r="I97" t="s" s="96">
        <v>1</v>
      </c>
      <c r="J97" t="s" s="96">
        <v>2</v>
      </c>
      <c r="K97" t="s" s="96">
        <v>3</v>
      </c>
      <c r="L97" t="s" s="96">
        <v>4</v>
      </c>
      <c r="M97" t="s" s="96">
        <v>5</v>
      </c>
      <c r="N97" t="s" s="96">
        <v>6</v>
      </c>
      <c r="O97" t="s" s="96">
        <v>7</v>
      </c>
      <c r="P97" t="s" s="96">
        <v>8</v>
      </c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</row>
    <row r="98" ht="15.35" customHeight="1">
      <c r="A98" s="16"/>
      <c r="B98" s="16"/>
      <c r="C98" s="16"/>
      <c r="D98" s="16"/>
      <c r="E98" s="16"/>
      <c r="F98" s="79">
        <v>3</v>
      </c>
      <c r="G98" s="16"/>
      <c r="H98" t="s" s="96">
        <v>2370</v>
      </c>
      <c r="I98" t="s" s="96">
        <v>2369</v>
      </c>
      <c r="J98" t="s" s="96">
        <v>31</v>
      </c>
      <c r="K98" t="s" s="96">
        <v>37</v>
      </c>
      <c r="L98" s="79">
        <v>1887</v>
      </c>
      <c r="M98" s="79">
        <v>33</v>
      </c>
      <c r="N98" t="s" s="96">
        <v>54</v>
      </c>
      <c r="O98" t="s" s="96">
        <v>194</v>
      </c>
      <c r="P98" t="s" s="96">
        <v>8</v>
      </c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</row>
    <row r="99" ht="15.35" customHeight="1">
      <c r="A99" s="16"/>
      <c r="B99" s="16"/>
      <c r="C99" s="16"/>
      <c r="D99" s="16"/>
      <c r="E99" s="16"/>
      <c r="F99" s="16"/>
      <c r="G99" s="16"/>
      <c r="H99" t="s" s="96">
        <v>2371</v>
      </c>
      <c r="I99" t="s" s="96">
        <v>2369</v>
      </c>
      <c r="J99" t="s" s="96">
        <v>72</v>
      </c>
      <c r="K99" t="s" s="96">
        <v>12</v>
      </c>
      <c r="L99" s="79">
        <v>1891</v>
      </c>
      <c r="M99" s="79">
        <v>29</v>
      </c>
      <c r="N99" t="s" s="96">
        <v>2372</v>
      </c>
      <c r="O99" t="s" s="96">
        <v>34</v>
      </c>
      <c r="P99" t="s" s="96">
        <v>34</v>
      </c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</row>
    <row r="100" ht="15.35" customHeight="1">
      <c r="A100" s="16"/>
      <c r="B100" s="16"/>
      <c r="C100" s="16"/>
      <c r="D100" s="16"/>
      <c r="E100" s="16"/>
      <c r="F100" s="16"/>
      <c r="G100" s="16"/>
      <c r="H100" t="s" s="96">
        <v>2374</v>
      </c>
      <c r="I100" t="s" s="96">
        <v>2373</v>
      </c>
      <c r="J100" t="s" s="96">
        <v>11</v>
      </c>
      <c r="K100" t="s" s="96">
        <v>12</v>
      </c>
      <c r="L100" s="79">
        <v>1872</v>
      </c>
      <c r="M100" s="79">
        <v>49</v>
      </c>
      <c r="N100" t="s" s="96">
        <v>2375</v>
      </c>
      <c r="O100" t="s" s="96">
        <v>105</v>
      </c>
      <c r="P100" t="s" s="96">
        <v>15</v>
      </c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</row>
    <row r="101" ht="15.35" customHeight="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</row>
    <row r="102" ht="15.35" customHeight="1">
      <c r="A102" s="16"/>
      <c r="B102" s="16"/>
      <c r="C102" s="16"/>
      <c r="D102" s="16"/>
      <c r="E102" s="16"/>
      <c r="F102" s="79">
        <v>4</v>
      </c>
      <c r="G102" s="16"/>
      <c r="H102" t="s" s="96">
        <v>0</v>
      </c>
      <c r="I102" t="s" s="96">
        <v>1</v>
      </c>
      <c r="J102" t="s" s="96">
        <v>2</v>
      </c>
      <c r="K102" t="s" s="96">
        <v>3</v>
      </c>
      <c r="L102" t="s" s="96">
        <v>4</v>
      </c>
      <c r="M102" t="s" s="96">
        <v>5</v>
      </c>
      <c r="N102" t="s" s="96">
        <v>6</v>
      </c>
      <c r="O102" t="s" s="96">
        <v>7</v>
      </c>
      <c r="P102" t="s" s="96">
        <v>8</v>
      </c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</row>
    <row r="103" ht="15.35" customHeight="1">
      <c r="A103" s="16"/>
      <c r="B103" s="16"/>
      <c r="C103" s="16"/>
      <c r="D103" s="16"/>
      <c r="E103" s="16"/>
      <c r="F103" s="16"/>
      <c r="G103" s="16"/>
      <c r="H103" t="s" s="96">
        <v>2377</v>
      </c>
      <c r="I103" t="s" s="96">
        <v>2376</v>
      </c>
      <c r="J103" t="s" s="96">
        <v>31</v>
      </c>
      <c r="K103" t="s" s="96">
        <v>12</v>
      </c>
      <c r="L103" s="79">
        <v>1870</v>
      </c>
      <c r="M103" s="79">
        <v>51</v>
      </c>
      <c r="N103" t="s" s="96">
        <v>13</v>
      </c>
      <c r="O103" t="s" s="96">
        <v>94</v>
      </c>
      <c r="P103" t="s" s="96">
        <v>34</v>
      </c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</row>
    <row r="104" ht="15.35" customHeight="1">
      <c r="A104" s="16"/>
      <c r="B104" s="16"/>
      <c r="C104" s="16"/>
      <c r="D104" s="16"/>
      <c r="E104" s="16"/>
      <c r="F104" s="16"/>
      <c r="G104" s="16"/>
      <c r="H104" t="s" s="96">
        <v>2379</v>
      </c>
      <c r="I104" t="s" s="96">
        <v>2378</v>
      </c>
      <c r="J104" t="s" s="96">
        <v>65</v>
      </c>
      <c r="K104" t="s" s="96">
        <v>12</v>
      </c>
      <c r="L104" s="79">
        <v>1897</v>
      </c>
      <c r="M104" s="79">
        <v>23</v>
      </c>
      <c r="N104" t="s" s="96">
        <v>1424</v>
      </c>
      <c r="O104" t="s" s="96">
        <v>2380</v>
      </c>
      <c r="P104" t="s" s="96">
        <v>2381</v>
      </c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</row>
    <row r="105" ht="15.35" customHeight="1">
      <c r="A105" s="16"/>
      <c r="B105" s="16"/>
      <c r="C105" s="16"/>
      <c r="D105" s="16"/>
      <c r="E105" s="16"/>
      <c r="F105" s="16"/>
      <c r="G105" s="16"/>
      <c r="H105" t="s" s="96">
        <v>2383</v>
      </c>
      <c r="I105" t="s" s="96">
        <v>2382</v>
      </c>
      <c r="J105" t="s" s="96">
        <v>11</v>
      </c>
      <c r="K105" t="s" s="96">
        <v>12</v>
      </c>
      <c r="L105" s="79">
        <v>1895</v>
      </c>
      <c r="M105" s="79">
        <v>26</v>
      </c>
      <c r="N105" t="s" s="96">
        <v>1036</v>
      </c>
      <c r="O105" t="s" s="96">
        <v>105</v>
      </c>
      <c r="P105" t="s" s="96">
        <v>15</v>
      </c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</row>
    <row r="106" ht="15.3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</row>
    <row r="107" ht="15.35" customHeight="1">
      <c r="A107" s="16"/>
      <c r="B107" s="16"/>
      <c r="C107" s="16"/>
      <c r="D107" s="16"/>
      <c r="E107" s="16"/>
      <c r="F107" s="16"/>
      <c r="G107" s="16"/>
      <c r="H107" t="s" s="96">
        <v>0</v>
      </c>
      <c r="I107" t="s" s="96">
        <v>1</v>
      </c>
      <c r="J107" t="s" s="96">
        <v>2</v>
      </c>
      <c r="K107" t="s" s="96">
        <v>3</v>
      </c>
      <c r="L107" t="s" s="96">
        <v>4</v>
      </c>
      <c r="M107" t="s" s="96">
        <v>5</v>
      </c>
      <c r="N107" t="s" s="96">
        <v>6</v>
      </c>
      <c r="O107" t="s" s="96">
        <v>7</v>
      </c>
      <c r="P107" t="s" s="96">
        <v>8</v>
      </c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</row>
    <row r="108" ht="15.35" customHeight="1">
      <c r="A108" s="16"/>
      <c r="B108" s="16"/>
      <c r="C108" s="16"/>
      <c r="D108" s="16"/>
      <c r="E108" s="16"/>
      <c r="F108" s="79">
        <v>5</v>
      </c>
      <c r="G108" s="16"/>
      <c r="H108" t="s" s="96">
        <v>2384</v>
      </c>
      <c r="I108" t="s" s="96">
        <v>515</v>
      </c>
      <c r="J108" t="s" s="96">
        <v>31</v>
      </c>
      <c r="K108" t="s" s="96">
        <v>12</v>
      </c>
      <c r="L108" s="79">
        <v>1845</v>
      </c>
      <c r="M108" s="79">
        <v>76</v>
      </c>
      <c r="N108" t="s" s="96">
        <v>2385</v>
      </c>
      <c r="O108" t="s" s="96">
        <v>34</v>
      </c>
      <c r="P108" t="s" s="96">
        <v>34</v>
      </c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</row>
    <row r="109" ht="15.35" customHeight="1">
      <c r="A109" s="16"/>
      <c r="B109" s="16"/>
      <c r="C109" s="16"/>
      <c r="D109" s="16"/>
      <c r="E109" s="16"/>
      <c r="F109" s="16"/>
      <c r="G109" s="16"/>
      <c r="H109" t="s" s="96">
        <v>166</v>
      </c>
      <c r="I109" t="s" s="96">
        <v>2386</v>
      </c>
      <c r="J109" t="s" s="96">
        <v>11</v>
      </c>
      <c r="K109" t="s" s="96">
        <v>12</v>
      </c>
      <c r="L109" s="79">
        <v>1870</v>
      </c>
      <c r="M109" s="79">
        <v>51</v>
      </c>
      <c r="N109" t="s" s="96">
        <v>2388</v>
      </c>
      <c r="O109" t="s" s="96">
        <v>2387</v>
      </c>
      <c r="P109" t="s" s="96">
        <v>15</v>
      </c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6.xml><?xml version="1.0" encoding="utf-8"?>
<worksheet xmlns:r="http://schemas.openxmlformats.org/officeDocument/2006/relationships" xmlns="http://schemas.openxmlformats.org/spreadsheetml/2006/main">
  <dimension ref="A1:BC38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397" customWidth="1"/>
    <col min="4" max="4" width="17.8516" style="397" customWidth="1"/>
    <col min="5" max="5" width="20.1719" style="397" customWidth="1"/>
    <col min="6" max="6" width="9.85156" style="397" customWidth="1"/>
    <col min="7" max="10" width="10.8516" style="397" customWidth="1"/>
    <col min="11" max="11" width="8.5" style="397" customWidth="1"/>
    <col min="12" max="12" width="7.85156" style="397" customWidth="1"/>
    <col min="13" max="13" width="10" style="397" customWidth="1"/>
    <col min="14" max="14" width="8.67188" style="397" customWidth="1"/>
    <col min="15" max="15" width="18.5" style="397" customWidth="1"/>
    <col min="16" max="16" width="11.5" style="397" customWidth="1"/>
    <col min="17" max="17" width="11.6719" style="397" customWidth="1"/>
    <col min="18" max="18" width="12.3516" style="397" customWidth="1"/>
    <col min="19" max="19" width="10.8516" style="397" customWidth="1"/>
    <col min="20" max="20" width="15.1719" style="397" customWidth="1"/>
    <col min="21" max="23" width="10.8516" style="397" customWidth="1"/>
    <col min="24" max="24" width="31" style="397" customWidth="1"/>
    <col min="25" max="25" width="19.8516" style="397" customWidth="1"/>
    <col min="26" max="26" width="12.1719" style="397" customWidth="1"/>
    <col min="27" max="30" width="16.5" style="397" customWidth="1"/>
    <col min="31" max="31" width="14.6719" style="397" customWidth="1"/>
    <col min="32" max="32" width="10.8516" style="397" customWidth="1"/>
    <col min="33" max="33" width="11" style="397" customWidth="1"/>
    <col min="34" max="34" width="11.1719" style="397" customWidth="1"/>
    <col min="35" max="35" width="7.85156" style="397" customWidth="1"/>
    <col min="36" max="37" width="10.8516" style="397" customWidth="1"/>
    <col min="38" max="38" width="7.35156" style="397" customWidth="1"/>
    <col min="39" max="39" width="10.8516" style="397" customWidth="1"/>
    <col min="40" max="40" width="9.17188" style="397" customWidth="1"/>
    <col min="41" max="41" width="10.8516" style="397" customWidth="1"/>
    <col min="42" max="42" width="12.5" style="397" customWidth="1"/>
    <col min="43" max="43" width="13" style="397" customWidth="1"/>
    <col min="44" max="55" width="10.8516" style="397" customWidth="1"/>
    <col min="56" max="16384" width="10.8516" style="397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2391</v>
      </c>
      <c r="B3" s="111">
        <v>2021</v>
      </c>
      <c r="C3" s="30"/>
      <c r="D3" t="s" s="83">
        <v>2392</v>
      </c>
      <c r="E3" s="30"/>
      <c r="F3" s="29"/>
      <c r="G3" t="s" s="27">
        <v>1</v>
      </c>
      <c r="H3" t="s" s="27">
        <v>0</v>
      </c>
      <c r="I3" s="115"/>
      <c r="J3" t="s" s="27">
        <v>3</v>
      </c>
      <c r="K3" s="116"/>
      <c r="L3" s="62"/>
      <c r="M3" s="117"/>
      <c r="N3" t="s" s="27">
        <v>2</v>
      </c>
      <c r="O3" s="115"/>
      <c r="P3" s="29"/>
      <c r="Q3" s="116"/>
      <c r="R3" s="62"/>
      <c r="S3" s="117"/>
      <c r="T3" t="s" s="27">
        <v>5</v>
      </c>
      <c r="U3" s="74"/>
      <c r="V3" s="16"/>
      <c r="W3" s="117"/>
      <c r="X3" s="29"/>
      <c r="Y3" s="29"/>
      <c r="Z3" s="29"/>
      <c r="AA3" t="s" s="27">
        <v>7</v>
      </c>
      <c r="AB3" t="s" s="27">
        <v>8</v>
      </c>
      <c r="AC3" s="29"/>
      <c r="AD3" s="29"/>
      <c r="AE3" s="30"/>
      <c r="AF3" s="30"/>
      <c r="AG3" t="s" s="27">
        <v>6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2391</v>
      </c>
      <c r="B4" s="112">
        <v>2021</v>
      </c>
      <c r="C4" s="112">
        <v>1</v>
      </c>
      <c r="D4" t="s" s="83">
        <v>2392</v>
      </c>
      <c r="E4" s="30"/>
      <c r="F4" s="112">
        <v>1</v>
      </c>
      <c r="G4" t="s" s="83">
        <v>2393</v>
      </c>
      <c r="H4" t="s" s="83">
        <v>2394</v>
      </c>
      <c r="I4" s="120">
        <v>1</v>
      </c>
      <c r="J4" t="s" s="83">
        <v>37</v>
      </c>
      <c r="K4" s="156">
        <v>1</v>
      </c>
      <c r="L4" s="16"/>
      <c r="M4" s="75"/>
      <c r="N4" s="112">
        <v>1</v>
      </c>
      <c r="O4" s="122"/>
      <c r="P4" s="30"/>
      <c r="Q4" s="74"/>
      <c r="R4" s="16"/>
      <c r="S4" s="75"/>
      <c r="T4" s="118">
        <v>55</v>
      </c>
      <c r="U4" s="74"/>
      <c r="V4" s="16"/>
      <c r="W4" s="75"/>
      <c r="X4" s="30"/>
      <c r="Y4" s="30"/>
      <c r="Z4" s="30"/>
      <c r="AA4" t="s" s="119">
        <v>1097</v>
      </c>
      <c r="AB4" t="s" s="119">
        <v>8</v>
      </c>
      <c r="AC4" s="112">
        <v>1</v>
      </c>
      <c r="AD4" s="112">
        <v>1</v>
      </c>
      <c r="AE4" s="30"/>
      <c r="AF4" s="30"/>
      <c r="AG4" t="s" s="119">
        <v>2395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2391</v>
      </c>
      <c r="B5" s="112">
        <v>2021</v>
      </c>
      <c r="C5" s="112">
        <v>1</v>
      </c>
      <c r="D5" t="s" s="83">
        <v>2392</v>
      </c>
      <c r="E5" s="30"/>
      <c r="F5" s="112">
        <v>1</v>
      </c>
      <c r="G5" t="s" s="83">
        <v>2393</v>
      </c>
      <c r="H5" t="s" s="83">
        <v>2396</v>
      </c>
      <c r="I5" s="120">
        <v>2</v>
      </c>
      <c r="J5" s="112">
        <v>1</v>
      </c>
      <c r="K5" s="74"/>
      <c r="L5" s="16"/>
      <c r="M5" s="75"/>
      <c r="N5" t="s" s="83">
        <v>72</v>
      </c>
      <c r="O5" s="120">
        <v>1</v>
      </c>
      <c r="P5" s="30"/>
      <c r="Q5" s="74"/>
      <c r="R5" s="16"/>
      <c r="S5" s="75"/>
      <c r="T5" s="118">
        <v>42</v>
      </c>
      <c r="U5" s="74"/>
      <c r="V5" s="16"/>
      <c r="W5" s="75"/>
      <c r="X5" s="30"/>
      <c r="Y5" s="30"/>
      <c r="Z5" s="30"/>
      <c r="AA5" t="s" s="119">
        <v>33</v>
      </c>
      <c r="AB5" t="s" s="119">
        <v>34</v>
      </c>
      <c r="AC5" s="30"/>
      <c r="AD5" s="30"/>
      <c r="AE5" s="30"/>
      <c r="AF5" s="30"/>
      <c r="AG5" t="s" s="119">
        <v>13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2391</v>
      </c>
      <c r="B6" s="112">
        <v>2021</v>
      </c>
      <c r="C6" s="112">
        <v>1</v>
      </c>
      <c r="D6" t="s" s="83">
        <v>2392</v>
      </c>
      <c r="E6" s="30"/>
      <c r="F6" s="112">
        <v>1</v>
      </c>
      <c r="G6" t="s" s="83">
        <v>2393</v>
      </c>
      <c r="H6" t="s" s="83">
        <v>2397</v>
      </c>
      <c r="I6" s="120">
        <v>3</v>
      </c>
      <c r="J6" t="s" s="83">
        <v>37</v>
      </c>
      <c r="K6" s="74"/>
      <c r="L6" s="16"/>
      <c r="M6" s="123">
        <v>1</v>
      </c>
      <c r="N6" t="s" s="83">
        <v>36</v>
      </c>
      <c r="O6" s="122"/>
      <c r="P6" s="30"/>
      <c r="Q6" s="156">
        <v>1</v>
      </c>
      <c r="R6" s="16"/>
      <c r="S6" s="75"/>
      <c r="T6" s="118">
        <v>6</v>
      </c>
      <c r="U6" s="74"/>
      <c r="V6" s="16"/>
      <c r="W6" s="75"/>
      <c r="X6" s="30"/>
      <c r="Y6" s="30"/>
      <c r="Z6" s="30"/>
      <c r="AA6" t="s" s="119">
        <v>34</v>
      </c>
      <c r="AB6" t="s" s="119">
        <v>34</v>
      </c>
      <c r="AC6" s="30"/>
      <c r="AD6" s="30"/>
      <c r="AE6" s="30"/>
      <c r="AF6" s="30"/>
      <c r="AG6" t="s" s="119">
        <v>13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2391</v>
      </c>
      <c r="B7" s="112">
        <v>2021</v>
      </c>
      <c r="C7" s="112">
        <v>1</v>
      </c>
      <c r="D7" t="s" s="83">
        <v>2392</v>
      </c>
      <c r="E7" s="30"/>
      <c r="F7" s="112">
        <v>1</v>
      </c>
      <c r="G7" t="s" s="83">
        <v>2398</v>
      </c>
      <c r="H7" t="s" s="83">
        <v>2399</v>
      </c>
      <c r="I7" s="120">
        <v>4</v>
      </c>
      <c r="J7" s="112">
        <v>1</v>
      </c>
      <c r="K7" s="74"/>
      <c r="L7" s="16"/>
      <c r="M7" s="75"/>
      <c r="N7" t="s" s="83">
        <v>41</v>
      </c>
      <c r="O7" s="122"/>
      <c r="P7" s="30"/>
      <c r="Q7" s="74"/>
      <c r="R7" s="79">
        <v>1</v>
      </c>
      <c r="S7" s="75"/>
      <c r="T7" s="118">
        <v>61</v>
      </c>
      <c r="U7" s="74"/>
      <c r="V7" s="16"/>
      <c r="W7" s="75"/>
      <c r="X7" s="30"/>
      <c r="Y7" s="30"/>
      <c r="Z7" s="30"/>
      <c r="AA7" t="s" s="119">
        <v>33</v>
      </c>
      <c r="AB7" t="s" s="119">
        <v>34</v>
      </c>
      <c r="AC7" s="30"/>
      <c r="AD7" s="30"/>
      <c r="AE7" s="30"/>
      <c r="AF7" s="30"/>
      <c r="AG7" t="s" s="119">
        <v>2395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2391</v>
      </c>
      <c r="B8" s="112">
        <v>2021</v>
      </c>
      <c r="C8" s="112">
        <v>1</v>
      </c>
      <c r="D8" t="s" s="83">
        <v>2392</v>
      </c>
      <c r="E8" s="30"/>
      <c r="F8" s="112">
        <v>1</v>
      </c>
      <c r="G8" t="s" s="83">
        <v>2400</v>
      </c>
      <c r="H8" t="s" s="83">
        <v>2401</v>
      </c>
      <c r="I8" s="120">
        <v>5</v>
      </c>
      <c r="J8" s="112">
        <v>1</v>
      </c>
      <c r="K8" s="74"/>
      <c r="L8" s="16"/>
      <c r="M8" s="75"/>
      <c r="N8" t="s" s="83">
        <v>41</v>
      </c>
      <c r="O8" s="122"/>
      <c r="P8" s="30"/>
      <c r="Q8" s="74"/>
      <c r="R8" s="79">
        <v>1</v>
      </c>
      <c r="S8" s="75"/>
      <c r="T8" s="118">
        <v>56</v>
      </c>
      <c r="U8" s="74"/>
      <c r="V8" s="16"/>
      <c r="W8" s="75"/>
      <c r="X8" s="30"/>
      <c r="Y8" s="30"/>
      <c r="Z8" s="30"/>
      <c r="AA8" t="s" s="119">
        <v>33</v>
      </c>
      <c r="AB8" t="s" s="119">
        <v>34</v>
      </c>
      <c r="AC8" s="30"/>
      <c r="AD8" s="30"/>
      <c r="AE8" s="30"/>
      <c r="AF8" s="30"/>
      <c r="AG8" t="s" s="119">
        <v>2395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2391</v>
      </c>
      <c r="B9" s="112">
        <v>2021</v>
      </c>
      <c r="C9" s="112">
        <v>1</v>
      </c>
      <c r="D9" t="s" s="83">
        <v>2392</v>
      </c>
      <c r="E9" s="30"/>
      <c r="F9" s="112">
        <v>1</v>
      </c>
      <c r="G9" t="s" s="83">
        <v>614</v>
      </c>
      <c r="H9" t="s" s="83">
        <v>1750</v>
      </c>
      <c r="I9" s="120">
        <v>6</v>
      </c>
      <c r="J9" s="112">
        <v>1</v>
      </c>
      <c r="K9" s="74"/>
      <c r="L9" s="16"/>
      <c r="M9" s="75"/>
      <c r="N9" t="s" s="83">
        <v>11</v>
      </c>
      <c r="O9" s="122"/>
      <c r="P9" s="30"/>
      <c r="Q9" s="74"/>
      <c r="R9" s="16"/>
      <c r="S9" s="123">
        <v>1</v>
      </c>
      <c r="T9" s="118">
        <v>38</v>
      </c>
      <c r="U9" s="74"/>
      <c r="V9" s="16"/>
      <c r="W9" s="75"/>
      <c r="X9" s="30"/>
      <c r="Y9" s="30"/>
      <c r="Z9" s="30"/>
      <c r="AA9" t="s" s="119">
        <v>126</v>
      </c>
      <c r="AB9" t="s" s="119">
        <v>15</v>
      </c>
      <c r="AC9" s="112">
        <v>1</v>
      </c>
      <c r="AD9" s="30"/>
      <c r="AE9" s="30"/>
      <c r="AF9" s="112">
        <v>1</v>
      </c>
      <c r="AG9" t="s" s="119">
        <v>1538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2391</v>
      </c>
      <c r="B10" s="112">
        <v>2021</v>
      </c>
      <c r="C10" s="112">
        <v>1</v>
      </c>
      <c r="D10" t="s" s="83">
        <v>2392</v>
      </c>
      <c r="E10" s="30"/>
      <c r="F10" s="112">
        <v>1</v>
      </c>
      <c r="G10" t="s" s="83">
        <v>2402</v>
      </c>
      <c r="H10" t="s" s="83">
        <v>2403</v>
      </c>
      <c r="I10" s="120">
        <v>7</v>
      </c>
      <c r="J10" s="112">
        <v>1</v>
      </c>
      <c r="K10" s="74"/>
      <c r="L10" s="16"/>
      <c r="M10" s="75"/>
      <c r="N10" t="s" s="83">
        <v>11</v>
      </c>
      <c r="O10" s="122"/>
      <c r="P10" s="30"/>
      <c r="Q10" s="74"/>
      <c r="R10" s="16"/>
      <c r="S10" s="123">
        <v>1</v>
      </c>
      <c r="T10" s="118">
        <v>33</v>
      </c>
      <c r="U10" s="74"/>
      <c r="V10" s="16"/>
      <c r="W10" s="75"/>
      <c r="X10" s="30"/>
      <c r="Y10" s="30"/>
      <c r="Z10" s="30"/>
      <c r="AA10" t="s" s="119">
        <v>699</v>
      </c>
      <c r="AB10" t="s" s="119">
        <v>15</v>
      </c>
      <c r="AC10" s="112">
        <v>1</v>
      </c>
      <c r="AD10" s="30"/>
      <c r="AE10" s="30"/>
      <c r="AF10" s="30"/>
      <c r="AG10" t="s" s="119">
        <v>2404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83">
        <v>2391</v>
      </c>
      <c r="B11" s="112">
        <v>2021</v>
      </c>
      <c r="C11" s="112">
        <v>1</v>
      </c>
      <c r="D11" t="s" s="83">
        <v>2392</v>
      </c>
      <c r="E11" s="30"/>
      <c r="F11" s="112">
        <v>1</v>
      </c>
      <c r="G11" t="s" s="83">
        <v>2405</v>
      </c>
      <c r="H11" t="s" s="83">
        <v>537</v>
      </c>
      <c r="I11" s="120">
        <v>8</v>
      </c>
      <c r="J11" s="112">
        <v>1</v>
      </c>
      <c r="K11" s="74"/>
      <c r="L11" s="16"/>
      <c r="M11" s="75"/>
      <c r="N11" t="s" s="83">
        <v>11</v>
      </c>
      <c r="O11" s="122"/>
      <c r="P11" s="30"/>
      <c r="Q11" s="74"/>
      <c r="R11" s="16"/>
      <c r="S11" s="123">
        <v>1</v>
      </c>
      <c r="T11" s="118">
        <v>22</v>
      </c>
      <c r="U11" s="74"/>
      <c r="V11" s="16"/>
      <c r="W11" s="75"/>
      <c r="X11" s="30"/>
      <c r="Y11" s="30"/>
      <c r="Z11" s="30"/>
      <c r="AA11" t="s" s="119">
        <v>45</v>
      </c>
      <c r="AB11" t="s" s="119">
        <v>15</v>
      </c>
      <c r="AC11" s="112">
        <v>1</v>
      </c>
      <c r="AD11" s="30"/>
      <c r="AE11" s="30"/>
      <c r="AF11" s="30"/>
      <c r="AG11" t="s" s="119">
        <v>2406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" customHeight="1">
      <c r="A12" t="s" s="83">
        <v>2391</v>
      </c>
      <c r="B12" s="112">
        <v>2021</v>
      </c>
      <c r="C12" s="112">
        <v>1</v>
      </c>
      <c r="D12" t="s" s="83">
        <v>2392</v>
      </c>
      <c r="E12" s="30"/>
      <c r="F12" s="112">
        <v>1</v>
      </c>
      <c r="G12" t="s" s="83">
        <v>2407</v>
      </c>
      <c r="H12" t="s" s="83">
        <v>231</v>
      </c>
      <c r="I12" s="120">
        <v>9</v>
      </c>
      <c r="J12" s="112">
        <v>1</v>
      </c>
      <c r="K12" s="74"/>
      <c r="L12" s="16"/>
      <c r="M12" s="75"/>
      <c r="N12" t="s" s="83">
        <v>11</v>
      </c>
      <c r="O12" s="122"/>
      <c r="P12" s="30"/>
      <c r="Q12" s="74"/>
      <c r="R12" s="16"/>
      <c r="S12" s="123">
        <v>1</v>
      </c>
      <c r="T12" s="112">
        <v>20</v>
      </c>
      <c r="U12" s="74"/>
      <c r="V12" s="16"/>
      <c r="W12" s="75"/>
      <c r="X12" s="112" cm="1">
        <f t="array" ref="X12">SUM(X3:X11)</f>
        <v>0</v>
      </c>
      <c r="Y12" s="112" cm="1">
        <f t="array" ref="Y12">SUM(Y3:Y11)</f>
        <v>0</v>
      </c>
      <c r="Z12" s="112" cm="1">
        <f t="array" ref="Z12">SUM(Z3:Z11)</f>
        <v>0</v>
      </c>
      <c r="AA12" t="s" s="83">
        <v>55</v>
      </c>
      <c r="AB12" t="s" s="83">
        <v>15</v>
      </c>
      <c r="AC12" s="112">
        <v>1</v>
      </c>
      <c r="AD12" s="112" cm="1">
        <f t="array" ref="AD12">SUM(AD3:AD11)</f>
        <v>1</v>
      </c>
      <c r="AE12" s="30"/>
      <c r="AF12" s="30"/>
      <c r="AG12" t="s" s="83">
        <v>2408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2391</v>
      </c>
      <c r="B13" s="112">
        <v>2021</v>
      </c>
      <c r="C13" s="30"/>
      <c r="D13" t="s" s="83">
        <v>2392</v>
      </c>
      <c r="E13" s="30"/>
      <c r="F13" s="30"/>
      <c r="G13" s="30"/>
      <c r="H13" s="112">
        <v>9</v>
      </c>
      <c r="I13" s="122"/>
      <c r="J13" s="30"/>
      <c r="K13" s="74"/>
      <c r="L13" s="16"/>
      <c r="M13" s="75"/>
      <c r="N13" s="30"/>
      <c r="O13" s="122"/>
      <c r="P13" s="30"/>
      <c r="Q13" s="74"/>
      <c r="R13" s="16"/>
      <c r="S13" s="75"/>
      <c r="T13" s="121"/>
      <c r="U13" s="74"/>
      <c r="V13" s="16"/>
      <c r="W13" s="75"/>
      <c r="X13" s="30"/>
      <c r="Y13" s="30"/>
      <c r="Z13" s="30"/>
      <c r="AA13" s="121"/>
      <c r="AB13" s="121"/>
      <c r="AC13" s="30"/>
      <c r="AD13" s="30"/>
      <c r="AE13" s="30"/>
      <c r="AF13" s="30"/>
      <c r="AG13" s="121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2391</v>
      </c>
      <c r="B14" s="112">
        <v>2021</v>
      </c>
      <c r="C14" s="30"/>
      <c r="D14" t="s" s="83">
        <v>2392</v>
      </c>
      <c r="E14" s="30"/>
      <c r="F14" s="30"/>
      <c r="G14" t="s" s="83">
        <v>1</v>
      </c>
      <c r="H14" t="s" s="83">
        <v>0</v>
      </c>
      <c r="I14" s="122"/>
      <c r="J14" t="s" s="83">
        <v>3</v>
      </c>
      <c r="K14" s="74"/>
      <c r="L14" s="16"/>
      <c r="M14" s="75"/>
      <c r="N14" t="s" s="83">
        <v>2</v>
      </c>
      <c r="O14" s="122"/>
      <c r="P14" s="30"/>
      <c r="Q14" s="74"/>
      <c r="R14" s="16"/>
      <c r="S14" s="75"/>
      <c r="T14" t="s" s="119">
        <v>5</v>
      </c>
      <c r="U14" s="74"/>
      <c r="V14" s="16"/>
      <c r="W14" s="75"/>
      <c r="X14" s="30"/>
      <c r="Y14" s="30"/>
      <c r="Z14" s="30"/>
      <c r="AA14" t="s" s="119">
        <v>7</v>
      </c>
      <c r="AB14" t="s" s="119">
        <v>8</v>
      </c>
      <c r="AC14" s="30"/>
      <c r="AD14" s="30"/>
      <c r="AE14" s="30"/>
      <c r="AF14" s="30"/>
      <c r="AG14" t="s" s="119">
        <v>6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2391</v>
      </c>
      <c r="B15" s="112">
        <v>2021</v>
      </c>
      <c r="C15" s="112">
        <v>2</v>
      </c>
      <c r="D15" t="s" s="83">
        <v>2392</v>
      </c>
      <c r="E15" s="124"/>
      <c r="F15" s="307">
        <v>6</v>
      </c>
      <c r="G15" t="s" s="148">
        <v>869</v>
      </c>
      <c r="H15" t="s" s="148">
        <v>2409</v>
      </c>
      <c r="I15" s="120">
        <v>10</v>
      </c>
      <c r="J15" t="s" s="398">
        <v>37</v>
      </c>
      <c r="K15" s="156">
        <v>1</v>
      </c>
      <c r="L15" s="16"/>
      <c r="M15" s="75"/>
      <c r="N15" s="307">
        <v>1</v>
      </c>
      <c r="O15" s="122"/>
      <c r="P15" s="28"/>
      <c r="Q15" s="74"/>
      <c r="R15" s="16"/>
      <c r="S15" s="75"/>
      <c r="T15" s="307">
        <v>41</v>
      </c>
      <c r="U15" s="74"/>
      <c r="V15" s="16"/>
      <c r="W15" s="75"/>
      <c r="X15" s="28"/>
      <c r="Y15" s="28"/>
      <c r="Z15" s="28"/>
      <c r="AA15" t="s" s="148">
        <v>2410</v>
      </c>
      <c r="AB15" t="s" s="148">
        <v>2411</v>
      </c>
      <c r="AC15" s="307">
        <v>1</v>
      </c>
      <c r="AD15" s="28"/>
      <c r="AE15" s="30"/>
      <c r="AF15" s="112">
        <v>1</v>
      </c>
      <c r="AG15" t="s" s="148">
        <v>54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28" customHeight="1">
      <c r="A16" t="s" s="83">
        <v>2391</v>
      </c>
      <c r="B16" s="112">
        <v>2021</v>
      </c>
      <c r="C16" s="112">
        <v>2</v>
      </c>
      <c r="D16" t="s" s="83">
        <v>2392</v>
      </c>
      <c r="E16" s="124"/>
      <c r="F16" s="307">
        <v>6</v>
      </c>
      <c r="G16" t="s" s="148">
        <v>869</v>
      </c>
      <c r="H16" t="s" s="148">
        <v>2199</v>
      </c>
      <c r="I16" s="162">
        <v>11</v>
      </c>
      <c r="J16" s="399">
        <v>1</v>
      </c>
      <c r="K16" s="132"/>
      <c r="L16" s="132"/>
      <c r="M16" s="133"/>
      <c r="N16" t="s" s="149">
        <v>609</v>
      </c>
      <c r="O16" s="132"/>
      <c r="P16" s="165"/>
      <c r="Q16" s="131"/>
      <c r="R16" s="126">
        <v>1</v>
      </c>
      <c r="S16" s="133"/>
      <c r="T16" s="307">
        <v>72</v>
      </c>
      <c r="U16" s="131"/>
      <c r="V16" s="132"/>
      <c r="W16" s="133"/>
      <c r="X16" s="28"/>
      <c r="Y16" s="28"/>
      <c r="Z16" s="28"/>
      <c r="AA16" t="s" s="148">
        <v>33</v>
      </c>
      <c r="AB16" t="s" s="148">
        <v>34</v>
      </c>
      <c r="AC16" s="28"/>
      <c r="AD16" s="124"/>
      <c r="AE16" s="30"/>
      <c r="AF16" s="112">
        <v>1</v>
      </c>
      <c r="AG16" t="s" s="148">
        <v>54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2391</v>
      </c>
      <c r="B17" s="112">
        <v>2021</v>
      </c>
      <c r="C17" s="112">
        <v>2</v>
      </c>
      <c r="D17" t="s" s="83">
        <v>2392</v>
      </c>
      <c r="E17" s="30"/>
      <c r="F17" s="30"/>
      <c r="G17" s="30"/>
      <c r="H17" s="112">
        <v>2</v>
      </c>
      <c r="I17" s="112">
        <v>11</v>
      </c>
      <c r="J17" s="112" cm="1">
        <f t="array" ref="J17">SUM(J3:J16)</f>
        <v>8</v>
      </c>
      <c r="K17" s="112" cm="1">
        <f t="array" ref="K17">SUM(K3:K16)</f>
        <v>2</v>
      </c>
      <c r="L17" s="112" cm="1">
        <f t="array" ref="L17">SUM(L3:L16)</f>
        <v>0</v>
      </c>
      <c r="M17" s="112" cm="1">
        <f t="array" ref="M17">SUM(M3:M16)</f>
        <v>1</v>
      </c>
      <c r="N17" s="112" cm="1">
        <f t="array" ref="N17">SUM(N3:N16)</f>
        <v>2</v>
      </c>
      <c r="O17" s="112" cm="1">
        <f t="array" ref="O17">SUM(O3:O16)</f>
        <v>1</v>
      </c>
      <c r="P17" s="112" cm="1">
        <f t="array" ref="P17">SUM(P3:P16)</f>
        <v>0</v>
      </c>
      <c r="Q17" s="112" cm="1">
        <f t="array" ref="Q17">SUM(Q3:Q16)</f>
        <v>1</v>
      </c>
      <c r="R17" s="112" cm="1">
        <f t="array" ref="R17">SUM(R3:R16)</f>
        <v>3</v>
      </c>
      <c r="S17" s="112" cm="1">
        <f t="array" ref="S17">SUM(S3:S16)</f>
        <v>4</v>
      </c>
      <c r="T17" s="112" cm="1">
        <f t="array" ref="T17">SUM(T3:T16)</f>
        <v>446</v>
      </c>
      <c r="U17" s="112" cm="1">
        <f t="array" ref="U17">SUM(U3:U16)</f>
        <v>0</v>
      </c>
      <c r="V17" s="112" cm="1">
        <f t="array" ref="V17">SUM(V3:V16)</f>
        <v>0</v>
      </c>
      <c r="W17" s="112" cm="1">
        <f t="array" ref="W17">SUM(W3:W16)</f>
        <v>0</v>
      </c>
      <c r="X17" s="112" cm="1">
        <f t="array" ref="X17">SUM(X3:X16)</f>
        <v>0</v>
      </c>
      <c r="Y17" s="112" cm="1">
        <f t="array" ref="Y17">SUM(Y3:Y16)</f>
        <v>0</v>
      </c>
      <c r="Z17" s="112" cm="1">
        <f t="array" ref="Z17">SUM(Z3:Z16)</f>
        <v>0</v>
      </c>
      <c r="AA17" s="112" cm="1">
        <f t="array" ref="AA17">SUM(AA3:AA16)</f>
        <v>0</v>
      </c>
      <c r="AB17" s="112" cm="1">
        <f t="array" ref="AB17">SUM(AB3:AB16)</f>
        <v>0</v>
      </c>
      <c r="AC17" s="112" cm="1">
        <f t="array" ref="AC17">SUM(AC3:AC16)</f>
        <v>6</v>
      </c>
      <c r="AD17" s="112" cm="1">
        <f t="array" ref="AD17">SUM(AD3:AD16)</f>
        <v>2</v>
      </c>
      <c r="AE17" s="112" cm="1">
        <f t="array" ref="AE17">AC17-AD17</f>
        <v>4</v>
      </c>
      <c r="AF17" s="112" cm="1">
        <f t="array" ref="AF17">SUM(AF3:AF16)</f>
        <v>3</v>
      </c>
      <c r="AG17" s="112" cm="1">
        <f t="array" ref="AG17">I17-AF17</f>
        <v>8</v>
      </c>
      <c r="AH17" s="112">
        <v>11</v>
      </c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2391</v>
      </c>
      <c r="B18" s="112">
        <v>2021</v>
      </c>
      <c r="C18" s="112">
        <v>2</v>
      </c>
      <c r="D18" t="s" s="83">
        <v>2392</v>
      </c>
      <c r="E18" s="30"/>
      <c r="F18" s="30"/>
      <c r="G18" s="30"/>
      <c r="H18" s="30"/>
      <c r="I18" s="30"/>
      <c r="J18" s="30"/>
      <c r="K18" s="30"/>
      <c r="L18" s="30"/>
      <c r="M18" s="121"/>
      <c r="N18" s="121"/>
      <c r="O18" s="121"/>
      <c r="P18" s="121"/>
      <c r="Q18" s="30"/>
      <c r="R18" s="121"/>
      <c r="S18" s="121"/>
      <c r="T18" s="87" cm="1">
        <f t="array" ref="T18">T17/I17</f>
        <v>40.5454545454545</v>
      </c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121"/>
      <c r="N19" s="121"/>
      <c r="O19" s="121"/>
      <c r="P19" s="121"/>
      <c r="Q19" s="121"/>
      <c r="R19" s="121"/>
      <c r="S19" s="121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121"/>
      <c r="N20" s="121"/>
      <c r="O20" s="121"/>
      <c r="P20" s="121"/>
      <c r="Q20" s="121"/>
      <c r="R20" s="121"/>
      <c r="S20" s="121"/>
      <c r="T20" s="30"/>
      <c r="U20" s="121"/>
      <c r="V20" s="121"/>
      <c r="W20" s="121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s="30"/>
      <c r="B21" s="30"/>
      <c r="C21" s="30"/>
      <c r="D21" s="30"/>
      <c r="E21" s="30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30"/>
      <c r="R21" s="121"/>
      <c r="S21" s="121"/>
      <c r="T21" s="30"/>
      <c r="U21" s="121"/>
      <c r="V21" s="121"/>
      <c r="W21" s="121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121"/>
      <c r="N22" s="121"/>
      <c r="O22" s="121"/>
      <c r="P22" s="121"/>
      <c r="Q22" s="30"/>
      <c r="R22" s="121"/>
      <c r="S22" s="121"/>
      <c r="T22" s="30"/>
      <c r="U22" s="121"/>
      <c r="V22" s="121"/>
      <c r="W22" s="121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121"/>
      <c r="N23" s="121"/>
      <c r="O23" s="121"/>
      <c r="P23" s="121"/>
      <c r="Q23" s="30"/>
      <c r="R23" s="121"/>
      <c r="S23" s="121"/>
      <c r="T23" s="30"/>
      <c r="U23" s="121"/>
      <c r="V23" s="121"/>
      <c r="W23" s="121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21"/>
      <c r="N24" s="121"/>
      <c r="O24" s="121"/>
      <c r="P24" s="121"/>
      <c r="Q24" s="30"/>
      <c r="R24" s="121"/>
      <c r="S24" s="121"/>
      <c r="T24" s="30"/>
      <c r="U24" s="121"/>
      <c r="V24" s="121"/>
      <c r="W24" s="121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121"/>
      <c r="N25" s="121"/>
      <c r="O25" s="121"/>
      <c r="P25" s="121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121"/>
      <c r="N26" s="121"/>
      <c r="O26" s="121"/>
      <c r="P26" s="121"/>
      <c r="Q26" s="30"/>
      <c r="R26" s="121"/>
      <c r="S26" s="121"/>
      <c r="T26" s="129"/>
      <c r="U26" s="121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121"/>
      <c r="N27" s="121"/>
      <c r="O27" s="121"/>
      <c r="P27" s="121"/>
      <c r="Q27" s="30"/>
      <c r="R27" s="121"/>
      <c r="S27" s="121"/>
      <c r="T27" s="30"/>
      <c r="U27" s="121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121"/>
      <c r="N28" s="121"/>
      <c r="O28" s="121"/>
      <c r="P28" s="121"/>
      <c r="Q28" s="30"/>
      <c r="R28" s="121"/>
      <c r="S28" s="121"/>
      <c r="T28" s="30"/>
      <c r="U28" s="121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121"/>
      <c r="N29" s="121"/>
      <c r="O29" s="121"/>
      <c r="P29" s="121"/>
      <c r="Q29" s="30"/>
      <c r="R29" s="121"/>
      <c r="S29" s="121"/>
      <c r="T29" s="129"/>
      <c r="U29" s="121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121"/>
      <c r="S30" s="121"/>
      <c r="T30" s="30"/>
      <c r="U30" s="121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30"/>
      <c r="R31" s="121"/>
      <c r="S31" s="121"/>
      <c r="T31" s="30"/>
      <c r="U31" s="121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30"/>
      <c r="R32" s="121"/>
      <c r="S32" s="121"/>
      <c r="T32" s="30"/>
      <c r="U32" s="121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t="s" s="83">
        <v>723</v>
      </c>
      <c r="B33" s="30"/>
      <c r="C33" s="30"/>
      <c r="D33" s="30"/>
      <c r="E33" s="30"/>
      <c r="F33" s="28"/>
      <c r="G33" s="28"/>
      <c r="H33" s="28"/>
      <c r="I33" s="28"/>
      <c r="J33" s="28"/>
      <c r="K33" s="125"/>
      <c r="L33" s="28"/>
      <c r="M33" s="28"/>
      <c r="N33" s="28"/>
      <c r="O33" s="28"/>
      <c r="P33" s="28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112" cm="1">
        <f t="array" ref="AD33">SUM(AD3:AD32)</f>
        <v>4</v>
      </c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s="30"/>
      <c r="B34" s="30"/>
      <c r="C34" s="30"/>
      <c r="D34" s="30"/>
      <c r="E34" s="30"/>
      <c r="F34" s="28"/>
      <c r="G34" s="28"/>
      <c r="H34" s="28"/>
      <c r="I34" s="28"/>
      <c r="J34" s="163"/>
      <c r="K34" s="297"/>
      <c r="L34" s="165"/>
      <c r="M34" s="28"/>
      <c r="N34" s="28"/>
      <c r="O34" s="28"/>
      <c r="P34" s="28"/>
      <c r="Q34" s="87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" customHeight="1">
      <c r="A35" s="30"/>
      <c r="B35" s="30"/>
      <c r="C35" s="30"/>
      <c r="D35" s="30"/>
      <c r="E35" s="30"/>
      <c r="F35" s="30"/>
      <c r="G35" s="130"/>
      <c r="H35" s="130"/>
      <c r="I35" s="130"/>
      <c r="J35" s="30"/>
      <c r="K35" s="30"/>
      <c r="L35" s="30"/>
      <c r="M35" s="30"/>
      <c r="N35" s="30"/>
      <c r="O35" s="30"/>
      <c r="P35" s="30"/>
      <c r="Q35" s="87"/>
      <c r="R35" s="130"/>
      <c r="S35" s="130"/>
      <c r="T35" s="1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121"/>
      <c r="S36" s="121"/>
      <c r="T36" s="129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130"/>
      <c r="S37" s="130"/>
      <c r="T37" s="130"/>
      <c r="U37" s="30"/>
      <c r="V37" s="30"/>
      <c r="W37" s="30"/>
      <c r="X37" s="30"/>
      <c r="Y37" s="30"/>
      <c r="Z37" s="30"/>
      <c r="AA37" s="30"/>
      <c r="AB37" s="30"/>
      <c r="AC37" s="134"/>
      <c r="AD37" s="134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121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7.xml><?xml version="1.0" encoding="utf-8"?>
<worksheet xmlns:r="http://schemas.openxmlformats.org/officeDocument/2006/relationships" xmlns="http://schemas.openxmlformats.org/spreadsheetml/2006/main">
  <dimension ref="A1:BC38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400" customWidth="1"/>
    <col min="4" max="4" width="17.8516" style="400" customWidth="1"/>
    <col min="5" max="5" width="20.1719" style="400" customWidth="1"/>
    <col min="6" max="6" width="9.85156" style="400" customWidth="1"/>
    <col min="7" max="10" width="10.8516" style="400" customWidth="1"/>
    <col min="11" max="11" width="8.5" style="400" customWidth="1"/>
    <col min="12" max="12" width="7.85156" style="400" customWidth="1"/>
    <col min="13" max="13" width="10" style="400" customWidth="1"/>
    <col min="14" max="14" width="8.67188" style="400" customWidth="1"/>
    <col min="15" max="15" width="18.5" style="400" customWidth="1"/>
    <col min="16" max="16" width="11.5" style="400" customWidth="1"/>
    <col min="17" max="17" width="11.6719" style="400" customWidth="1"/>
    <col min="18" max="18" width="12.3516" style="400" customWidth="1"/>
    <col min="19" max="19" width="10.8516" style="400" customWidth="1"/>
    <col min="20" max="20" width="15.1719" style="400" customWidth="1"/>
    <col min="21" max="23" width="10.8516" style="400" customWidth="1"/>
    <col min="24" max="24" width="31" style="400" customWidth="1"/>
    <col min="25" max="25" width="19.8516" style="400" customWidth="1"/>
    <col min="26" max="26" width="12.1719" style="400" customWidth="1"/>
    <col min="27" max="30" width="16.5" style="400" customWidth="1"/>
    <col min="31" max="31" width="14.6719" style="400" customWidth="1"/>
    <col min="32" max="32" width="10.8516" style="400" customWidth="1"/>
    <col min="33" max="33" width="11" style="400" customWidth="1"/>
    <col min="34" max="34" width="11.1719" style="400" customWidth="1"/>
    <col min="35" max="35" width="7.85156" style="400" customWidth="1"/>
    <col min="36" max="37" width="10.8516" style="400" customWidth="1"/>
    <col min="38" max="38" width="7.35156" style="400" customWidth="1"/>
    <col min="39" max="39" width="10.8516" style="400" customWidth="1"/>
    <col min="40" max="40" width="9.17188" style="400" customWidth="1"/>
    <col min="41" max="41" width="10.8516" style="400" customWidth="1"/>
    <col min="42" max="42" width="12.5" style="400" customWidth="1"/>
    <col min="43" max="43" width="13" style="400" customWidth="1"/>
    <col min="44" max="55" width="10.8516" style="400" customWidth="1"/>
    <col min="56" max="16384" width="10.8516" style="400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s="141"/>
      <c r="B3" s="141"/>
      <c r="C3" s="30"/>
      <c r="D3" s="30"/>
      <c r="E3" s="30"/>
      <c r="F3" s="29"/>
      <c r="G3" s="29"/>
      <c r="H3" t="s" s="27">
        <v>0</v>
      </c>
      <c r="I3" t="s" s="82">
        <v>1</v>
      </c>
      <c r="J3" t="s" s="27">
        <v>2</v>
      </c>
      <c r="K3" t="s" s="153">
        <v>3</v>
      </c>
      <c r="L3" t="s" s="98">
        <v>4</v>
      </c>
      <c r="M3" t="s" s="154">
        <v>5</v>
      </c>
      <c r="N3" t="s" s="27">
        <v>6</v>
      </c>
      <c r="O3" t="s" s="82">
        <v>7</v>
      </c>
      <c r="P3" t="s" s="27">
        <v>8</v>
      </c>
      <c r="Q3" s="116"/>
      <c r="R3" s="62"/>
      <c r="S3" s="117"/>
      <c r="T3" s="29"/>
      <c r="U3" s="74"/>
      <c r="V3" s="16"/>
      <c r="W3" s="117"/>
      <c r="X3" s="29"/>
      <c r="Y3" s="29"/>
      <c r="Z3" s="29"/>
      <c r="AA3" t="s" s="27">
        <v>7</v>
      </c>
      <c r="AB3" t="s" s="27">
        <v>8</v>
      </c>
      <c r="AC3" s="29"/>
      <c r="AD3" s="29"/>
      <c r="AE3" s="30"/>
      <c r="AF3" s="30"/>
      <c r="AG3" t="s" s="27">
        <v>6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s="30"/>
      <c r="B4" s="30"/>
      <c r="C4" s="30"/>
      <c r="D4" s="30"/>
      <c r="E4" s="30"/>
      <c r="F4" s="112">
        <v>1</v>
      </c>
      <c r="G4" s="30"/>
      <c r="H4" t="s" s="83">
        <v>2412</v>
      </c>
      <c r="I4" t="s" s="159">
        <v>579</v>
      </c>
      <c r="J4" t="s" s="83">
        <v>31</v>
      </c>
      <c r="K4" t="s" s="157">
        <v>37</v>
      </c>
      <c r="L4" s="79">
        <v>1873</v>
      </c>
      <c r="M4" s="123">
        <v>47</v>
      </c>
      <c r="N4" t="s" s="83">
        <v>1140</v>
      </c>
      <c r="O4" t="s" s="159">
        <v>2413</v>
      </c>
      <c r="P4" t="s" s="83">
        <v>2414</v>
      </c>
      <c r="Q4" s="74"/>
      <c r="R4" s="16"/>
      <c r="S4" s="75"/>
      <c r="T4" s="121"/>
      <c r="U4" s="74"/>
      <c r="V4" s="16"/>
      <c r="W4" s="75"/>
      <c r="X4" s="30"/>
      <c r="Y4" s="30"/>
      <c r="Z4" s="30"/>
      <c r="AA4" t="s" s="119">
        <v>1097</v>
      </c>
      <c r="AB4" t="s" s="119">
        <v>8</v>
      </c>
      <c r="AC4" s="112">
        <v>1</v>
      </c>
      <c r="AD4" s="112">
        <v>1</v>
      </c>
      <c r="AE4" s="30"/>
      <c r="AF4" s="30"/>
      <c r="AG4" t="s" s="119">
        <v>2395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s="30"/>
      <c r="B5" s="30"/>
      <c r="C5" s="30"/>
      <c r="D5" s="30"/>
      <c r="E5" s="30"/>
      <c r="F5" s="112">
        <v>1</v>
      </c>
      <c r="G5" s="30"/>
      <c r="H5" t="s" s="83">
        <v>1144</v>
      </c>
      <c r="I5" t="s" s="159">
        <v>579</v>
      </c>
      <c r="J5" t="s" s="83">
        <v>72</v>
      </c>
      <c r="K5" t="s" s="157">
        <v>12</v>
      </c>
      <c r="L5" s="79">
        <v>1872</v>
      </c>
      <c r="M5" s="123">
        <v>49</v>
      </c>
      <c r="N5" t="s" s="83">
        <v>134</v>
      </c>
      <c r="O5" t="s" s="159">
        <v>33</v>
      </c>
      <c r="P5" t="s" s="83">
        <v>34</v>
      </c>
      <c r="Q5" s="74"/>
      <c r="R5" s="16"/>
      <c r="S5" s="75"/>
      <c r="T5" s="121"/>
      <c r="U5" s="74"/>
      <c r="V5" s="16"/>
      <c r="W5" s="75"/>
      <c r="X5" s="30"/>
      <c r="Y5" s="30"/>
      <c r="Z5" s="30"/>
      <c r="AA5" t="s" s="119">
        <v>33</v>
      </c>
      <c r="AB5" t="s" s="119">
        <v>34</v>
      </c>
      <c r="AC5" s="30"/>
      <c r="AD5" s="30"/>
      <c r="AE5" s="30"/>
      <c r="AF5" s="30"/>
      <c r="AG5" t="s" s="119">
        <v>13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s="30"/>
      <c r="B6" s="30"/>
      <c r="C6" s="30"/>
      <c r="D6" s="30"/>
      <c r="E6" s="30"/>
      <c r="F6" s="112">
        <v>1</v>
      </c>
      <c r="G6" s="30"/>
      <c r="H6" t="s" s="83">
        <v>64</v>
      </c>
      <c r="I6" t="s" s="159">
        <v>579</v>
      </c>
      <c r="J6" t="s" s="83">
        <v>36</v>
      </c>
      <c r="K6" t="s" s="157">
        <v>37</v>
      </c>
      <c r="L6" s="79">
        <v>1904</v>
      </c>
      <c r="M6" s="123">
        <v>17</v>
      </c>
      <c r="N6" t="s" s="83">
        <v>54</v>
      </c>
      <c r="O6" t="s" s="159">
        <v>2415</v>
      </c>
      <c r="P6" t="s" s="83">
        <v>2416</v>
      </c>
      <c r="Q6" s="74"/>
      <c r="R6" s="16"/>
      <c r="S6" s="75"/>
      <c r="T6" s="121"/>
      <c r="U6" s="74"/>
      <c r="V6" s="16"/>
      <c r="W6" s="75"/>
      <c r="X6" s="30"/>
      <c r="Y6" s="30"/>
      <c r="Z6" s="30"/>
      <c r="AA6" t="s" s="119">
        <v>34</v>
      </c>
      <c r="AB6" t="s" s="119">
        <v>34</v>
      </c>
      <c r="AC6" s="30"/>
      <c r="AD6" s="30"/>
      <c r="AE6" s="30"/>
      <c r="AF6" s="30"/>
      <c r="AG6" t="s" s="119">
        <v>13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s="30"/>
      <c r="B7" s="30"/>
      <c r="C7" s="30"/>
      <c r="D7" s="30"/>
      <c r="E7" s="30"/>
      <c r="F7" s="30"/>
      <c r="G7" s="30"/>
      <c r="H7" s="30"/>
      <c r="I7" s="122"/>
      <c r="J7" s="30"/>
      <c r="K7" s="74"/>
      <c r="L7" s="16"/>
      <c r="M7" s="75"/>
      <c r="N7" s="30"/>
      <c r="O7" s="122"/>
      <c r="P7" s="30"/>
      <c r="Q7" s="74"/>
      <c r="R7" s="16"/>
      <c r="S7" s="75"/>
      <c r="T7" s="121"/>
      <c r="U7" s="74"/>
      <c r="V7" s="16"/>
      <c r="W7" s="75"/>
      <c r="X7" s="30"/>
      <c r="Y7" s="30"/>
      <c r="Z7" s="30"/>
      <c r="AA7" t="s" s="119">
        <v>33</v>
      </c>
      <c r="AB7" t="s" s="119">
        <v>34</v>
      </c>
      <c r="AC7" s="30"/>
      <c r="AD7" s="30"/>
      <c r="AE7" s="30"/>
      <c r="AF7" s="30"/>
      <c r="AG7" t="s" s="119">
        <v>2395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s="30"/>
      <c r="B8" s="30"/>
      <c r="C8" s="30"/>
      <c r="D8" s="30"/>
      <c r="E8" s="30"/>
      <c r="F8" s="30"/>
      <c r="G8" s="30"/>
      <c r="H8" t="s" s="83">
        <v>0</v>
      </c>
      <c r="I8" t="s" s="159">
        <v>1</v>
      </c>
      <c r="J8" t="s" s="83">
        <v>2</v>
      </c>
      <c r="K8" t="s" s="157">
        <v>3</v>
      </c>
      <c r="L8" t="s" s="96">
        <v>4</v>
      </c>
      <c r="M8" t="s" s="158">
        <v>5</v>
      </c>
      <c r="N8" t="s" s="83">
        <v>6</v>
      </c>
      <c r="O8" t="s" s="159">
        <v>7</v>
      </c>
      <c r="P8" t="s" s="83">
        <v>8</v>
      </c>
      <c r="Q8" s="74"/>
      <c r="R8" s="16"/>
      <c r="S8" s="75"/>
      <c r="T8" s="121"/>
      <c r="U8" s="74"/>
      <c r="V8" s="16"/>
      <c r="W8" s="75"/>
      <c r="X8" s="30"/>
      <c r="Y8" s="30"/>
      <c r="Z8" s="30"/>
      <c r="AA8" t="s" s="119">
        <v>33</v>
      </c>
      <c r="AB8" t="s" s="119">
        <v>34</v>
      </c>
      <c r="AC8" s="30"/>
      <c r="AD8" s="30"/>
      <c r="AE8" s="30"/>
      <c r="AF8" s="30"/>
      <c r="AG8" t="s" s="119">
        <v>2395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s="30"/>
      <c r="B9" s="30"/>
      <c r="C9" s="30"/>
      <c r="D9" s="30"/>
      <c r="E9" s="30"/>
      <c r="F9" s="112">
        <v>1</v>
      </c>
      <c r="G9" s="30"/>
      <c r="H9" t="s" s="83">
        <v>193</v>
      </c>
      <c r="I9" t="s" s="159">
        <v>1253</v>
      </c>
      <c r="J9" t="s" s="83">
        <v>31</v>
      </c>
      <c r="K9" t="s" s="157">
        <v>37</v>
      </c>
      <c r="L9" s="79">
        <v>1893</v>
      </c>
      <c r="M9" s="123">
        <v>28</v>
      </c>
      <c r="N9" t="s" s="83">
        <v>13</v>
      </c>
      <c r="O9" t="s" s="159">
        <v>1002</v>
      </c>
      <c r="P9" t="s" s="83">
        <v>2417</v>
      </c>
      <c r="Q9" t="s" s="157">
        <v>2418</v>
      </c>
      <c r="R9" s="16"/>
      <c r="S9" s="75"/>
      <c r="T9" s="121"/>
      <c r="U9" s="74"/>
      <c r="V9" s="16"/>
      <c r="W9" s="75"/>
      <c r="X9" s="30"/>
      <c r="Y9" s="30"/>
      <c r="Z9" s="30"/>
      <c r="AA9" t="s" s="119">
        <v>126</v>
      </c>
      <c r="AB9" t="s" s="119">
        <v>15</v>
      </c>
      <c r="AC9" s="112">
        <v>1</v>
      </c>
      <c r="AD9" s="30"/>
      <c r="AE9" s="30"/>
      <c r="AF9" s="112">
        <v>1</v>
      </c>
      <c r="AG9" t="s" s="119">
        <v>1538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s="30"/>
      <c r="B10" s="30"/>
      <c r="C10" s="30"/>
      <c r="D10" s="30"/>
      <c r="E10" s="30"/>
      <c r="F10" s="112">
        <v>1</v>
      </c>
      <c r="G10" s="30"/>
      <c r="H10" t="s" s="83">
        <v>192</v>
      </c>
      <c r="I10" t="s" s="159">
        <v>1253</v>
      </c>
      <c r="J10" t="s" s="83">
        <v>72</v>
      </c>
      <c r="K10" t="s" s="157">
        <v>12</v>
      </c>
      <c r="L10" s="79">
        <v>1896</v>
      </c>
      <c r="M10" s="123">
        <v>25</v>
      </c>
      <c r="N10" t="s" s="83">
        <v>13</v>
      </c>
      <c r="O10" t="s" s="159">
        <v>1061</v>
      </c>
      <c r="P10" t="s" s="83">
        <v>34</v>
      </c>
      <c r="Q10" s="74"/>
      <c r="R10" s="16"/>
      <c r="S10" s="75"/>
      <c r="T10" s="121"/>
      <c r="U10" s="74"/>
      <c r="V10" s="16"/>
      <c r="W10" s="75"/>
      <c r="X10" s="30"/>
      <c r="Y10" s="30"/>
      <c r="Z10" s="30"/>
      <c r="AA10" t="s" s="119">
        <v>699</v>
      </c>
      <c r="AB10" t="s" s="119">
        <v>15</v>
      </c>
      <c r="AC10" s="112">
        <v>1</v>
      </c>
      <c r="AD10" s="30"/>
      <c r="AE10" s="30"/>
      <c r="AF10" s="30"/>
      <c r="AG10" t="s" s="119">
        <v>2404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s="30"/>
      <c r="B11" s="30"/>
      <c r="C11" s="30"/>
      <c r="D11" s="30"/>
      <c r="E11" s="30"/>
      <c r="F11" s="30"/>
      <c r="G11" s="30"/>
      <c r="H11" s="30"/>
      <c r="I11" s="122"/>
      <c r="J11" s="30"/>
      <c r="K11" s="74"/>
      <c r="L11" s="16"/>
      <c r="M11" s="75"/>
      <c r="N11" s="30"/>
      <c r="O11" s="122"/>
      <c r="P11" s="30"/>
      <c r="Q11" s="74"/>
      <c r="R11" s="16"/>
      <c r="S11" s="75"/>
      <c r="T11" s="121"/>
      <c r="U11" s="74"/>
      <c r="V11" s="16"/>
      <c r="W11" s="75"/>
      <c r="X11" s="30"/>
      <c r="Y11" s="30"/>
      <c r="Z11" s="30"/>
      <c r="AA11" t="s" s="119">
        <v>45</v>
      </c>
      <c r="AB11" t="s" s="119">
        <v>15</v>
      </c>
      <c r="AC11" s="112">
        <v>1</v>
      </c>
      <c r="AD11" s="30"/>
      <c r="AE11" s="30"/>
      <c r="AF11" s="30"/>
      <c r="AG11" t="s" s="119">
        <v>2406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" customHeight="1">
      <c r="A12" s="30"/>
      <c r="B12" s="30"/>
      <c r="C12" s="30"/>
      <c r="D12" s="30"/>
      <c r="E12" s="30"/>
      <c r="F12" s="30"/>
      <c r="G12" s="30"/>
      <c r="H12" t="s" s="83">
        <v>2419</v>
      </c>
      <c r="I12" s="122"/>
      <c r="J12" s="30"/>
      <c r="K12" s="74"/>
      <c r="L12" s="16"/>
      <c r="M12" s="75"/>
      <c r="N12" s="30"/>
      <c r="O12" s="122"/>
      <c r="P12" s="30"/>
      <c r="Q12" s="74"/>
      <c r="R12" s="16"/>
      <c r="S12" s="75"/>
      <c r="T12" s="30"/>
      <c r="U12" s="74"/>
      <c r="V12" s="16"/>
      <c r="W12" s="75"/>
      <c r="X12" s="112" cm="1">
        <f t="array" ref="X12">SUM(X3:X11)</f>
        <v>0</v>
      </c>
      <c r="Y12" s="112" cm="1">
        <f t="array" ref="Y12">SUM(Y3:Y11)</f>
        <v>0</v>
      </c>
      <c r="Z12" s="112" cm="1">
        <f t="array" ref="Z12">SUM(Z3:Z11)</f>
        <v>0</v>
      </c>
      <c r="AA12" t="s" s="83">
        <v>55</v>
      </c>
      <c r="AB12" t="s" s="83">
        <v>15</v>
      </c>
      <c r="AC12" s="112">
        <v>1</v>
      </c>
      <c r="AD12" s="112" cm="1">
        <f t="array" ref="AD12">SUM(AD3:AD11)</f>
        <v>1</v>
      </c>
      <c r="AE12" s="30"/>
      <c r="AF12" s="30"/>
      <c r="AG12" t="s" s="83">
        <v>2408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s="30"/>
      <c r="B13" s="30"/>
      <c r="C13" s="30"/>
      <c r="D13" s="30"/>
      <c r="E13" s="30"/>
      <c r="F13" s="30"/>
      <c r="G13" s="30"/>
      <c r="H13" s="30"/>
      <c r="I13" s="122"/>
      <c r="J13" s="30"/>
      <c r="K13" s="74"/>
      <c r="L13" s="16"/>
      <c r="M13" s="75"/>
      <c r="N13" s="30"/>
      <c r="O13" s="122"/>
      <c r="P13" s="30"/>
      <c r="Q13" s="74"/>
      <c r="R13" s="16"/>
      <c r="S13" s="75"/>
      <c r="T13" s="121"/>
      <c r="U13" s="74"/>
      <c r="V13" s="16"/>
      <c r="W13" s="75"/>
      <c r="X13" s="30"/>
      <c r="Y13" s="30"/>
      <c r="Z13" s="30"/>
      <c r="AA13" s="121"/>
      <c r="AB13" s="121"/>
      <c r="AC13" s="30"/>
      <c r="AD13" s="30"/>
      <c r="AE13" s="30"/>
      <c r="AF13" s="30"/>
      <c r="AG13" s="121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s="30"/>
      <c r="B14" s="30"/>
      <c r="C14" s="30"/>
      <c r="D14" s="30"/>
      <c r="E14" s="30"/>
      <c r="F14" s="30"/>
      <c r="G14" s="30"/>
      <c r="H14" s="30"/>
      <c r="I14" s="122"/>
      <c r="J14" s="30"/>
      <c r="K14" s="74"/>
      <c r="L14" s="16"/>
      <c r="M14" s="75"/>
      <c r="N14" s="30"/>
      <c r="O14" s="122"/>
      <c r="P14" s="30"/>
      <c r="Q14" s="74"/>
      <c r="R14" s="16"/>
      <c r="S14" s="75"/>
      <c r="T14" s="121"/>
      <c r="U14" s="74"/>
      <c r="V14" s="16"/>
      <c r="W14" s="75"/>
      <c r="X14" s="30"/>
      <c r="Y14" s="30"/>
      <c r="Z14" s="30"/>
      <c r="AA14" t="s" s="119">
        <v>7</v>
      </c>
      <c r="AB14" t="s" s="119">
        <v>8</v>
      </c>
      <c r="AC14" s="30"/>
      <c r="AD14" s="30"/>
      <c r="AE14" s="30"/>
      <c r="AF14" s="30"/>
      <c r="AG14" t="s" s="119">
        <v>6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s="30"/>
      <c r="B15" s="30"/>
      <c r="C15" s="30"/>
      <c r="D15" s="30"/>
      <c r="E15" s="124"/>
      <c r="F15" s="28"/>
      <c r="G15" s="28"/>
      <c r="H15" s="28"/>
      <c r="I15" s="122"/>
      <c r="J15" s="125"/>
      <c r="K15" s="74"/>
      <c r="L15" s="16"/>
      <c r="M15" s="75"/>
      <c r="N15" s="28"/>
      <c r="O15" s="122"/>
      <c r="P15" s="28"/>
      <c r="Q15" s="74"/>
      <c r="R15" s="16"/>
      <c r="S15" s="75"/>
      <c r="T15" s="28"/>
      <c r="U15" s="74"/>
      <c r="V15" s="16"/>
      <c r="W15" s="75"/>
      <c r="X15" s="28"/>
      <c r="Y15" s="28"/>
      <c r="Z15" s="28"/>
      <c r="AA15" t="s" s="148">
        <v>2410</v>
      </c>
      <c r="AB15" t="s" s="148">
        <v>2411</v>
      </c>
      <c r="AC15" s="307">
        <v>1</v>
      </c>
      <c r="AD15" s="28"/>
      <c r="AE15" s="30"/>
      <c r="AF15" s="112">
        <v>1</v>
      </c>
      <c r="AG15" t="s" s="148">
        <v>54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28" customHeight="1">
      <c r="A16" s="30"/>
      <c r="B16" s="30"/>
      <c r="C16" s="30"/>
      <c r="D16" s="30"/>
      <c r="E16" s="124"/>
      <c r="F16" s="28"/>
      <c r="G16" s="28"/>
      <c r="H16" s="28"/>
      <c r="I16" s="131"/>
      <c r="J16" s="297"/>
      <c r="K16" s="132"/>
      <c r="L16" s="132"/>
      <c r="M16" s="133"/>
      <c r="N16" s="163"/>
      <c r="O16" s="132"/>
      <c r="P16" s="165"/>
      <c r="Q16" s="131"/>
      <c r="R16" s="132"/>
      <c r="S16" s="133"/>
      <c r="T16" s="28"/>
      <c r="U16" s="131"/>
      <c r="V16" s="132"/>
      <c r="W16" s="133"/>
      <c r="X16" s="28"/>
      <c r="Y16" s="28"/>
      <c r="Z16" s="28"/>
      <c r="AA16" t="s" s="148">
        <v>33</v>
      </c>
      <c r="AB16" t="s" s="148">
        <v>34</v>
      </c>
      <c r="AC16" s="28"/>
      <c r="AD16" s="124"/>
      <c r="AE16" s="30"/>
      <c r="AF16" s="112">
        <v>1</v>
      </c>
      <c r="AG16" t="s" s="148">
        <v>54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112" cm="1">
        <f t="array" ref="U17">SUM(U3:U16)</f>
        <v>0</v>
      </c>
      <c r="V17" s="112" cm="1">
        <f t="array" ref="V17">SUM(V3:V16)</f>
        <v>0</v>
      </c>
      <c r="W17" s="112" cm="1">
        <f t="array" ref="W17">SUM(W3:W16)</f>
        <v>0</v>
      </c>
      <c r="X17" s="112" cm="1">
        <f t="array" ref="X17">SUM(X3:X16)</f>
        <v>0</v>
      </c>
      <c r="Y17" s="112" cm="1">
        <f t="array" ref="Y17">SUM(Y3:Y16)</f>
        <v>0</v>
      </c>
      <c r="Z17" s="112" cm="1">
        <f t="array" ref="Z17">SUM(Z3:Z16)</f>
        <v>0</v>
      </c>
      <c r="AA17" s="112" cm="1">
        <f t="array" ref="AA17">SUM(AA3:AA16)</f>
        <v>0</v>
      </c>
      <c r="AB17" s="112" cm="1">
        <f t="array" ref="AB17">SUM(AB3:AB16)</f>
        <v>0</v>
      </c>
      <c r="AC17" s="112" cm="1">
        <f t="array" ref="AC17">SUM(AC3:AC16)</f>
        <v>6</v>
      </c>
      <c r="AD17" s="112" cm="1">
        <f t="array" ref="AD17">SUM(AD3:AD16)</f>
        <v>2</v>
      </c>
      <c r="AE17" s="112" cm="1">
        <f t="array" ref="AE17">AC17-AD17</f>
        <v>4</v>
      </c>
      <c r="AF17" s="112" cm="1">
        <f t="array" ref="AF17">SUM(AF3:AF16)</f>
        <v>3</v>
      </c>
      <c r="AG17" s="112" cm="1">
        <f t="array" ref="AG17">I17-AF17</f>
        <v>-3</v>
      </c>
      <c r="AH17" s="112">
        <v>11</v>
      </c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121"/>
      <c r="N18" s="121"/>
      <c r="O18" s="121"/>
      <c r="P18" s="121"/>
      <c r="Q18" s="30"/>
      <c r="R18" s="121"/>
      <c r="S18" s="121"/>
      <c r="T18" s="87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121"/>
      <c r="N19" s="121"/>
      <c r="O19" s="121"/>
      <c r="P19" s="121"/>
      <c r="Q19" s="121"/>
      <c r="R19" s="121"/>
      <c r="S19" s="121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121"/>
      <c r="N20" s="121"/>
      <c r="O20" s="121"/>
      <c r="P20" s="121"/>
      <c r="Q20" s="121"/>
      <c r="R20" s="121"/>
      <c r="S20" s="121"/>
      <c r="T20" s="30"/>
      <c r="U20" s="121"/>
      <c r="V20" s="121"/>
      <c r="W20" s="121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s="30"/>
      <c r="B21" s="30"/>
      <c r="C21" s="30"/>
      <c r="D21" s="30"/>
      <c r="E21" s="30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30"/>
      <c r="R21" s="121"/>
      <c r="S21" s="121"/>
      <c r="T21" s="30"/>
      <c r="U21" s="121"/>
      <c r="V21" s="121"/>
      <c r="W21" s="121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121"/>
      <c r="N22" s="121"/>
      <c r="O22" s="121"/>
      <c r="P22" s="121"/>
      <c r="Q22" s="30"/>
      <c r="R22" s="121"/>
      <c r="S22" s="121"/>
      <c r="T22" s="30"/>
      <c r="U22" s="121"/>
      <c r="V22" s="121"/>
      <c r="W22" s="121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121"/>
      <c r="N23" s="121"/>
      <c r="O23" s="121"/>
      <c r="P23" s="121"/>
      <c r="Q23" s="30"/>
      <c r="R23" s="121"/>
      <c r="S23" s="121"/>
      <c r="T23" s="30"/>
      <c r="U23" s="121"/>
      <c r="V23" s="121"/>
      <c r="W23" s="121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21"/>
      <c r="N24" s="121"/>
      <c r="O24" s="121"/>
      <c r="P24" s="121"/>
      <c r="Q24" s="30"/>
      <c r="R24" s="121"/>
      <c r="S24" s="121"/>
      <c r="T24" s="30"/>
      <c r="U24" s="121"/>
      <c r="V24" s="121"/>
      <c r="W24" s="121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121"/>
      <c r="N25" s="121"/>
      <c r="O25" s="121"/>
      <c r="P25" s="121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121"/>
      <c r="N26" s="121"/>
      <c r="O26" s="121"/>
      <c r="P26" s="121"/>
      <c r="Q26" s="30"/>
      <c r="R26" s="121"/>
      <c r="S26" s="121"/>
      <c r="T26" s="129"/>
      <c r="U26" s="121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121"/>
      <c r="N27" s="121"/>
      <c r="O27" s="121"/>
      <c r="P27" s="121"/>
      <c r="Q27" s="30"/>
      <c r="R27" s="121"/>
      <c r="S27" s="121"/>
      <c r="T27" s="30"/>
      <c r="U27" s="121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121"/>
      <c r="N28" s="121"/>
      <c r="O28" s="121"/>
      <c r="P28" s="121"/>
      <c r="Q28" s="30"/>
      <c r="R28" s="121"/>
      <c r="S28" s="121"/>
      <c r="T28" s="30"/>
      <c r="U28" s="121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121"/>
      <c r="N29" s="121"/>
      <c r="O29" s="121"/>
      <c r="P29" s="121"/>
      <c r="Q29" s="30"/>
      <c r="R29" s="121"/>
      <c r="S29" s="121"/>
      <c r="T29" s="129"/>
      <c r="U29" s="121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121"/>
      <c r="S30" s="121"/>
      <c r="T30" s="30"/>
      <c r="U30" s="121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30"/>
      <c r="R31" s="121"/>
      <c r="S31" s="121"/>
      <c r="T31" s="30"/>
      <c r="U31" s="121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30"/>
      <c r="R32" s="121"/>
      <c r="S32" s="121"/>
      <c r="T32" s="30"/>
      <c r="U32" s="121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s="83"/>
      <c r="B33" s="30"/>
      <c r="C33" s="30"/>
      <c r="D33" s="30"/>
      <c r="E33" s="30"/>
      <c r="F33" s="28"/>
      <c r="G33" s="28"/>
      <c r="H33" s="28"/>
      <c r="I33" s="28"/>
      <c r="J33" s="28"/>
      <c r="K33" s="125"/>
      <c r="L33" s="28"/>
      <c r="M33" s="28"/>
      <c r="N33" s="28"/>
      <c r="O33" s="28"/>
      <c r="P33" s="28"/>
      <c r="Q33" s="30"/>
      <c r="R33" s="30"/>
      <c r="S33" s="30"/>
      <c r="T33" s="30"/>
      <c r="U33" s="112" cm="1">
        <f t="array" ref="U33">SUM(U3:U32)</f>
        <v>0</v>
      </c>
      <c r="V33" s="112" cm="1">
        <f t="array" ref="V33">SUM(V3:V32)</f>
        <v>0</v>
      </c>
      <c r="W33" s="112" cm="1">
        <f t="array" ref="W33">SUM(W3:W32)</f>
        <v>0</v>
      </c>
      <c r="X33" s="30"/>
      <c r="Y33" s="30"/>
      <c r="Z33" s="112" cm="1">
        <f t="array" ref="Z33">SUM(Z3:Z32)</f>
        <v>0</v>
      </c>
      <c r="AA33" s="112" cm="1">
        <f t="array" ref="AA33">SUM(AA3:AA32)</f>
        <v>0</v>
      </c>
      <c r="AB33" s="112" cm="1">
        <f t="array" ref="AB33">SUM(AB3:AB32)</f>
        <v>0</v>
      </c>
      <c r="AC33" s="112" cm="1">
        <f t="array" ref="AC33">SUM(AC3:AC32)</f>
        <v>12</v>
      </c>
      <c r="AD33" s="112" cm="1">
        <f t="array" ref="AD33">SUM(AD3:AD32)</f>
        <v>4</v>
      </c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s="30"/>
      <c r="B34" s="30"/>
      <c r="C34" s="30"/>
      <c r="D34" s="30"/>
      <c r="E34" s="30"/>
      <c r="F34" s="28"/>
      <c r="G34" s="28"/>
      <c r="H34" s="28"/>
      <c r="I34" s="28"/>
      <c r="J34" s="163"/>
      <c r="K34" s="297"/>
      <c r="L34" s="165"/>
      <c r="M34" s="28"/>
      <c r="N34" s="28"/>
      <c r="O34" s="28"/>
      <c r="P34" s="28"/>
      <c r="Q34" s="87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" customHeight="1">
      <c r="A35" s="30"/>
      <c r="B35" s="30"/>
      <c r="C35" s="30"/>
      <c r="D35" s="30"/>
      <c r="E35" s="30"/>
      <c r="F35" s="30"/>
      <c r="G35" s="130"/>
      <c r="H35" s="130"/>
      <c r="I35" s="130"/>
      <c r="J35" s="30"/>
      <c r="K35" s="30"/>
      <c r="L35" s="30"/>
      <c r="M35" s="30"/>
      <c r="N35" s="30"/>
      <c r="O35" s="30"/>
      <c r="P35" s="30"/>
      <c r="Q35" s="87"/>
      <c r="R35" s="130"/>
      <c r="S35" s="130"/>
      <c r="T35" s="1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121"/>
      <c r="S36" s="121"/>
      <c r="T36" s="129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130"/>
      <c r="S37" s="130"/>
      <c r="T37" s="130"/>
      <c r="U37" s="30"/>
      <c r="V37" s="30"/>
      <c r="W37" s="30"/>
      <c r="X37" s="30"/>
      <c r="Y37" s="30"/>
      <c r="Z37" s="30"/>
      <c r="AA37" s="30"/>
      <c r="AB37" s="30"/>
      <c r="AC37" s="134"/>
      <c r="AD37" s="134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121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8.xml><?xml version="1.0" encoding="utf-8"?>
<worksheet xmlns:r="http://schemas.openxmlformats.org/officeDocument/2006/relationships" xmlns="http://schemas.openxmlformats.org/spreadsheetml/2006/main">
  <dimension ref="A1:BC73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401" customWidth="1"/>
    <col min="4" max="4" width="22.1719" style="401" customWidth="1"/>
    <col min="5" max="5" width="16.8516" style="401" customWidth="1"/>
    <col min="6" max="6" width="9.85156" style="401" customWidth="1"/>
    <col min="7" max="7" width="12.5" style="401" customWidth="1"/>
    <col min="8" max="8" width="14.8516" style="401" customWidth="1"/>
    <col min="9" max="10" width="10.8516" style="401" customWidth="1"/>
    <col min="11" max="11" width="8.5" style="401" customWidth="1"/>
    <col min="12" max="12" width="7.85156" style="401" customWidth="1"/>
    <col min="13" max="13" width="10" style="401" customWidth="1"/>
    <col min="14" max="14" width="8.67188" style="401" customWidth="1"/>
    <col min="15" max="15" width="18.5" style="401" customWidth="1"/>
    <col min="16" max="16" width="11.5" style="401" customWidth="1"/>
    <col min="17" max="17" width="11.6719" style="401" customWidth="1"/>
    <col min="18" max="18" width="12.3516" style="401" customWidth="1"/>
    <col min="19" max="19" width="10.8516" style="401" customWidth="1"/>
    <col min="20" max="20" width="15.1719" style="401" customWidth="1"/>
    <col min="21" max="21" width="20.8516" style="401" customWidth="1"/>
    <col min="22" max="22" width="26.1719" style="401" customWidth="1"/>
    <col min="23" max="23" width="10.8516" style="401" customWidth="1"/>
    <col min="24" max="24" width="31" style="401" customWidth="1"/>
    <col min="25" max="25" width="19.8516" style="401" customWidth="1"/>
    <col min="26" max="26" width="12.1719" style="401" customWidth="1"/>
    <col min="27" max="27" width="28.6719" style="401" customWidth="1"/>
    <col min="28" max="30" width="16.5" style="401" customWidth="1"/>
    <col min="31" max="31" width="14.6719" style="401" customWidth="1"/>
    <col min="32" max="32" width="24.5" style="401" customWidth="1"/>
    <col min="33" max="33" width="11" style="401" customWidth="1"/>
    <col min="34" max="34" width="11.1719" style="401" customWidth="1"/>
    <col min="35" max="35" width="7.85156" style="401" customWidth="1"/>
    <col min="36" max="37" width="10.8516" style="401" customWidth="1"/>
    <col min="38" max="38" width="7.35156" style="401" customWidth="1"/>
    <col min="39" max="39" width="10.8516" style="401" customWidth="1"/>
    <col min="40" max="40" width="9.17188" style="401" customWidth="1"/>
    <col min="41" max="41" width="10.8516" style="401" customWidth="1"/>
    <col min="42" max="42" width="12.5" style="401" customWidth="1"/>
    <col min="43" max="43" width="13" style="401" customWidth="1"/>
    <col min="44" max="55" width="10.8516" style="401" customWidth="1"/>
    <col min="56" max="16384" width="10.8516" style="401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t="s" s="402">
        <v>2420</v>
      </c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7.5" customHeight="1">
      <c r="A3" t="s" s="110">
        <v>2421</v>
      </c>
      <c r="B3" s="111">
        <v>1921</v>
      </c>
      <c r="C3" s="112">
        <v>1</v>
      </c>
      <c r="D3" t="s" s="83">
        <v>2422</v>
      </c>
      <c r="E3" s="30"/>
      <c r="F3" s="115"/>
      <c r="G3" t="s" s="83">
        <v>342</v>
      </c>
      <c r="H3" t="s" s="83">
        <v>2423</v>
      </c>
      <c r="I3" s="190">
        <v>1</v>
      </c>
      <c r="J3" t="s" s="98">
        <v>37</v>
      </c>
      <c r="K3" s="97">
        <v>1</v>
      </c>
      <c r="L3" s="62"/>
      <c r="M3" s="117"/>
      <c r="N3" s="112">
        <v>1</v>
      </c>
      <c r="O3" s="115"/>
      <c r="P3" s="30"/>
      <c r="Q3" s="116"/>
      <c r="R3" s="62"/>
      <c r="S3" s="62"/>
      <c r="T3" s="79">
        <v>35</v>
      </c>
      <c r="U3" s="16"/>
      <c r="V3" s="16"/>
      <c r="W3" s="117"/>
      <c r="X3" s="30"/>
      <c r="Y3" s="30"/>
      <c r="Z3" s="30"/>
      <c r="AA3" t="s" s="82">
        <v>2424</v>
      </c>
      <c r="AB3" s="121"/>
      <c r="AC3" s="112">
        <v>1</v>
      </c>
      <c r="AD3" s="112">
        <v>1</v>
      </c>
      <c r="AE3" s="30"/>
      <c r="AF3" s="113">
        <v>1</v>
      </c>
      <c r="AG3" s="121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2421</v>
      </c>
      <c r="B4" s="112">
        <v>1921</v>
      </c>
      <c r="C4" s="112">
        <v>1</v>
      </c>
      <c r="D4" t="s" s="83">
        <v>2422</v>
      </c>
      <c r="E4" s="30"/>
      <c r="F4" s="122"/>
      <c r="G4" t="s" s="83">
        <v>342</v>
      </c>
      <c r="H4" t="s" s="83">
        <v>2425</v>
      </c>
      <c r="I4" s="156">
        <v>2</v>
      </c>
      <c r="J4" s="79">
        <v>1</v>
      </c>
      <c r="K4" s="16"/>
      <c r="L4" s="16"/>
      <c r="M4" s="75"/>
      <c r="N4" t="s" s="83">
        <v>72</v>
      </c>
      <c r="O4" s="120">
        <v>1</v>
      </c>
      <c r="P4" s="30"/>
      <c r="Q4" s="74"/>
      <c r="R4" s="16"/>
      <c r="S4" s="16"/>
      <c r="T4" s="79">
        <v>30</v>
      </c>
      <c r="U4" s="16"/>
      <c r="V4" s="16"/>
      <c r="W4" s="75"/>
      <c r="X4" s="30"/>
      <c r="Y4" s="30"/>
      <c r="Z4" s="30"/>
      <c r="AA4" t="s" s="159">
        <v>909</v>
      </c>
      <c r="AB4" s="121"/>
      <c r="AC4" s="30"/>
      <c r="AD4" t="s" s="83">
        <v>34</v>
      </c>
      <c r="AE4" s="30"/>
      <c r="AF4" s="120">
        <v>1</v>
      </c>
      <c r="AG4" s="121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2421</v>
      </c>
      <c r="B5" s="112">
        <v>1921</v>
      </c>
      <c r="C5" s="112">
        <v>1</v>
      </c>
      <c r="D5" t="s" s="83">
        <v>2422</v>
      </c>
      <c r="E5" s="30"/>
      <c r="F5" s="122"/>
      <c r="G5" t="s" s="83">
        <v>2426</v>
      </c>
      <c r="H5" t="s" s="83">
        <v>2427</v>
      </c>
      <c r="I5" s="156">
        <v>3</v>
      </c>
      <c r="J5" s="79">
        <v>1</v>
      </c>
      <c r="K5" s="16"/>
      <c r="L5" s="16"/>
      <c r="M5" s="75"/>
      <c r="N5" t="s" s="83">
        <v>11</v>
      </c>
      <c r="O5" s="122"/>
      <c r="P5" s="30"/>
      <c r="Q5" s="74"/>
      <c r="R5" s="16"/>
      <c r="S5" s="79">
        <v>1</v>
      </c>
      <c r="T5" s="79">
        <v>29</v>
      </c>
      <c r="U5" s="16"/>
      <c r="V5" s="16"/>
      <c r="W5" s="75"/>
      <c r="X5" s="30"/>
      <c r="Y5" s="30"/>
      <c r="Z5" s="30"/>
      <c r="AA5" t="s" s="159">
        <v>45</v>
      </c>
      <c r="AB5" s="121"/>
      <c r="AC5" s="112">
        <v>1</v>
      </c>
      <c r="AD5" t="s" s="83">
        <v>15</v>
      </c>
      <c r="AE5" s="112">
        <v>1</v>
      </c>
      <c r="AF5" t="s" s="159">
        <v>2428</v>
      </c>
      <c r="AG5" s="118">
        <v>1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2421</v>
      </c>
      <c r="B6" s="112">
        <v>1921</v>
      </c>
      <c r="C6" s="112">
        <v>1</v>
      </c>
      <c r="D6" t="s" s="83">
        <v>2422</v>
      </c>
      <c r="E6" s="30"/>
      <c r="F6" s="122"/>
      <c r="G6" t="s" s="83">
        <v>141</v>
      </c>
      <c r="H6" t="s" s="83">
        <v>2429</v>
      </c>
      <c r="I6" s="156">
        <v>4</v>
      </c>
      <c r="J6" s="79">
        <v>1</v>
      </c>
      <c r="K6" s="16"/>
      <c r="L6" s="16"/>
      <c r="M6" s="75"/>
      <c r="N6" t="s" s="83">
        <v>11</v>
      </c>
      <c r="O6" s="122"/>
      <c r="P6" s="30"/>
      <c r="Q6" s="74"/>
      <c r="R6" s="16"/>
      <c r="S6" s="79">
        <v>1</v>
      </c>
      <c r="T6" s="79">
        <v>20</v>
      </c>
      <c r="U6" s="16"/>
      <c r="V6" s="16"/>
      <c r="W6" s="75"/>
      <c r="X6" s="30"/>
      <c r="Y6" s="30"/>
      <c r="Z6" s="30"/>
      <c r="AA6" t="s" s="159">
        <v>188</v>
      </c>
      <c r="AB6" s="121"/>
      <c r="AC6" s="112">
        <v>1</v>
      </c>
      <c r="AD6" t="s" s="83">
        <v>15</v>
      </c>
      <c r="AE6" s="112">
        <v>1</v>
      </c>
      <c r="AF6" t="s" s="159">
        <v>2430</v>
      </c>
      <c r="AG6" s="118">
        <v>1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2421</v>
      </c>
      <c r="B7" s="112">
        <v>1921</v>
      </c>
      <c r="C7" s="30"/>
      <c r="D7" t="s" s="83">
        <v>2422</v>
      </c>
      <c r="E7" s="30"/>
      <c r="F7" s="122"/>
      <c r="G7" s="30"/>
      <c r="H7" s="112">
        <v>4</v>
      </c>
      <c r="I7" s="74"/>
      <c r="J7" s="16"/>
      <c r="K7" s="16"/>
      <c r="L7" s="16"/>
      <c r="M7" s="75"/>
      <c r="N7" s="30"/>
      <c r="O7" s="122"/>
      <c r="P7" s="30"/>
      <c r="Q7" s="74"/>
      <c r="R7" s="16"/>
      <c r="S7" s="16"/>
      <c r="T7" s="16"/>
      <c r="U7" s="16"/>
      <c r="V7" s="16"/>
      <c r="W7" s="75"/>
      <c r="X7" s="30"/>
      <c r="Y7" s="30"/>
      <c r="Z7" s="30"/>
      <c r="AA7" s="122"/>
      <c r="AB7" s="121"/>
      <c r="AC7" s="30"/>
      <c r="AD7" s="30"/>
      <c r="AE7" s="30"/>
      <c r="AF7" s="122"/>
      <c r="AG7" s="121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2421</v>
      </c>
      <c r="B8" s="112">
        <v>1921</v>
      </c>
      <c r="C8" s="30"/>
      <c r="D8" t="s" s="83">
        <v>2422</v>
      </c>
      <c r="E8" s="30"/>
      <c r="F8" s="122"/>
      <c r="G8" t="s" s="83">
        <v>1</v>
      </c>
      <c r="H8" t="s" s="83">
        <v>0</v>
      </c>
      <c r="I8" s="74"/>
      <c r="J8" t="s" s="96">
        <v>3</v>
      </c>
      <c r="K8" s="16"/>
      <c r="L8" s="16"/>
      <c r="M8" s="75"/>
      <c r="N8" t="s" s="83">
        <v>2</v>
      </c>
      <c r="O8" s="122"/>
      <c r="P8" s="30"/>
      <c r="Q8" s="74"/>
      <c r="R8" s="16"/>
      <c r="S8" s="16"/>
      <c r="T8" t="s" s="96">
        <v>5</v>
      </c>
      <c r="U8" s="16"/>
      <c r="V8" s="16"/>
      <c r="W8" s="75"/>
      <c r="X8" s="30"/>
      <c r="Y8" s="30"/>
      <c r="Z8" s="30"/>
      <c r="AA8" t="s" s="159">
        <v>7</v>
      </c>
      <c r="AB8" s="121"/>
      <c r="AC8" s="30"/>
      <c r="AD8" s="30"/>
      <c r="AE8" s="30"/>
      <c r="AF8" t="s" s="159">
        <v>6</v>
      </c>
      <c r="AG8" s="121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2421</v>
      </c>
      <c r="B9" s="112">
        <v>1921</v>
      </c>
      <c r="C9" s="112">
        <v>2</v>
      </c>
      <c r="D9" t="s" s="83">
        <v>2422</v>
      </c>
      <c r="E9" s="30"/>
      <c r="F9" s="122"/>
      <c r="G9" t="s" s="83">
        <v>888</v>
      </c>
      <c r="H9" t="s" s="83">
        <v>2431</v>
      </c>
      <c r="I9" s="156">
        <v>5</v>
      </c>
      <c r="J9" t="s" s="96">
        <v>37</v>
      </c>
      <c r="K9" s="79">
        <v>1</v>
      </c>
      <c r="L9" s="16"/>
      <c r="M9" s="75"/>
      <c r="N9" s="112">
        <v>1</v>
      </c>
      <c r="O9" s="122"/>
      <c r="P9" s="30"/>
      <c r="Q9" s="74"/>
      <c r="R9" s="16"/>
      <c r="S9" s="16"/>
      <c r="T9" s="79">
        <v>63</v>
      </c>
      <c r="U9" s="16"/>
      <c r="V9" s="16"/>
      <c r="W9" s="75"/>
      <c r="X9" s="30"/>
      <c r="Y9" s="30"/>
      <c r="Z9" s="30"/>
      <c r="AA9" t="s" s="159">
        <v>2432</v>
      </c>
      <c r="AB9" s="121"/>
      <c r="AC9" s="112">
        <v>1</v>
      </c>
      <c r="AD9" t="s" s="83">
        <v>34</v>
      </c>
      <c r="AE9" s="112">
        <v>1</v>
      </c>
      <c r="AF9" s="120">
        <v>1</v>
      </c>
      <c r="AG9" s="12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2421</v>
      </c>
      <c r="B10" s="112">
        <v>1921</v>
      </c>
      <c r="C10" s="112">
        <v>2</v>
      </c>
      <c r="D10" t="s" s="83">
        <v>2422</v>
      </c>
      <c r="E10" s="30"/>
      <c r="F10" s="122"/>
      <c r="G10" t="s" s="83">
        <v>888</v>
      </c>
      <c r="H10" t="s" s="83">
        <v>2433</v>
      </c>
      <c r="I10" s="156">
        <v>6</v>
      </c>
      <c r="J10" s="79">
        <v>1</v>
      </c>
      <c r="K10" s="16"/>
      <c r="L10" s="16"/>
      <c r="M10" s="75"/>
      <c r="N10" t="s" s="83">
        <v>72</v>
      </c>
      <c r="O10" s="120">
        <v>1</v>
      </c>
      <c r="P10" s="30"/>
      <c r="Q10" s="74"/>
      <c r="R10" s="16"/>
      <c r="S10" s="16"/>
      <c r="T10" s="79">
        <v>63</v>
      </c>
      <c r="U10" s="16"/>
      <c r="V10" s="16"/>
      <c r="W10" s="75"/>
      <c r="X10" s="30"/>
      <c r="Y10" s="30"/>
      <c r="Z10" s="30"/>
      <c r="AA10" t="s" s="159">
        <v>34</v>
      </c>
      <c r="AB10" s="121"/>
      <c r="AC10" s="30"/>
      <c r="AD10" t="s" s="83">
        <v>34</v>
      </c>
      <c r="AE10" s="30"/>
      <c r="AF10" s="120">
        <v>1</v>
      </c>
      <c r="AG10" s="12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" customHeight="1">
      <c r="A11" t="s" s="83">
        <v>2421</v>
      </c>
      <c r="B11" s="112">
        <v>1921</v>
      </c>
      <c r="C11" s="112">
        <v>2</v>
      </c>
      <c r="D11" t="s" s="83">
        <v>2422</v>
      </c>
      <c r="E11" s="30"/>
      <c r="F11" s="122"/>
      <c r="G11" t="s" s="83">
        <v>2434</v>
      </c>
      <c r="H11" t="s" s="83">
        <v>530</v>
      </c>
      <c r="I11" s="156">
        <v>7</v>
      </c>
      <c r="J11" s="79">
        <v>1</v>
      </c>
      <c r="K11" s="16"/>
      <c r="L11" s="16"/>
      <c r="M11" s="75"/>
      <c r="N11" t="s" s="83">
        <v>45</v>
      </c>
      <c r="O11" s="122"/>
      <c r="P11" s="30"/>
      <c r="Q11" s="74"/>
      <c r="R11" s="16"/>
      <c r="S11" s="79">
        <v>1</v>
      </c>
      <c r="T11" s="79">
        <v>46</v>
      </c>
      <c r="U11" s="16"/>
      <c r="V11" s="16"/>
      <c r="W11" s="75"/>
      <c r="X11" s="112" cm="1">
        <f t="array" ref="X11">SUM(X3:X10)</f>
        <v>0</v>
      </c>
      <c r="Y11" s="112" cm="1">
        <f t="array" ref="Y11">SUM(Y3:Y10)</f>
        <v>0</v>
      </c>
      <c r="Z11" s="112" cm="1">
        <f t="array" ref="Z11">SUM(Z3:Z10)</f>
        <v>0</v>
      </c>
      <c r="AA11" t="s" s="159">
        <v>45</v>
      </c>
      <c r="AB11" s="30"/>
      <c r="AC11" s="112">
        <v>1</v>
      </c>
      <c r="AD11" t="s" s="83">
        <v>15</v>
      </c>
      <c r="AE11" s="112">
        <v>1</v>
      </c>
      <c r="AF11" s="120">
        <v>1</v>
      </c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.5" customHeight="1">
      <c r="A12" t="s" s="83">
        <v>2421</v>
      </c>
      <c r="B12" s="112">
        <v>1921</v>
      </c>
      <c r="C12" s="112">
        <v>2</v>
      </c>
      <c r="D12" t="s" s="83">
        <v>2422</v>
      </c>
      <c r="E12" s="30"/>
      <c r="F12" s="141"/>
      <c r="G12" t="s" s="83">
        <v>2435</v>
      </c>
      <c r="H12" t="s" s="83">
        <v>885</v>
      </c>
      <c r="I12" s="156">
        <v>8</v>
      </c>
      <c r="J12" s="126">
        <v>1</v>
      </c>
      <c r="K12" s="16"/>
      <c r="L12" s="16"/>
      <c r="M12" s="75"/>
      <c r="N12" t="s" s="83">
        <v>55</v>
      </c>
      <c r="O12" s="122"/>
      <c r="P12" s="30"/>
      <c r="Q12" s="74"/>
      <c r="R12" s="16"/>
      <c r="S12" s="79">
        <v>1</v>
      </c>
      <c r="T12" s="126">
        <v>20</v>
      </c>
      <c r="U12" s="16"/>
      <c r="V12" s="16"/>
      <c r="W12" s="75"/>
      <c r="X12" s="30"/>
      <c r="Y12" s="30"/>
      <c r="Z12" s="30"/>
      <c r="AA12" t="s" s="110">
        <v>55</v>
      </c>
      <c r="AB12" s="121"/>
      <c r="AC12" s="112">
        <v>1</v>
      </c>
      <c r="AD12" t="s" s="83">
        <v>15</v>
      </c>
      <c r="AE12" s="112">
        <v>1</v>
      </c>
      <c r="AF12" s="111">
        <v>1</v>
      </c>
      <c r="AG12" s="121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s="30"/>
      <c r="B13" s="30"/>
      <c r="C13" s="30"/>
      <c r="D13" t="s" s="83">
        <v>2422</v>
      </c>
      <c r="E13" s="124"/>
      <c r="F13" s="28"/>
      <c r="G13" s="28"/>
      <c r="H13" s="28"/>
      <c r="I13" s="122"/>
      <c r="J13" s="28"/>
      <c r="K13" s="74"/>
      <c r="L13" s="16"/>
      <c r="M13" s="75"/>
      <c r="N13" s="28"/>
      <c r="O13" s="122"/>
      <c r="P13" s="28"/>
      <c r="Q13" s="74"/>
      <c r="R13" s="16"/>
      <c r="S13" s="75"/>
      <c r="T13" s="403"/>
      <c r="U13" s="74"/>
      <c r="V13" s="16"/>
      <c r="W13" s="75"/>
      <c r="X13" s="28"/>
      <c r="Y13" s="28"/>
      <c r="Z13" s="28"/>
      <c r="AA13" s="28"/>
      <c r="AB13" s="28"/>
      <c r="AC13" s="28"/>
      <c r="AD13" s="28"/>
      <c r="AE13" s="30"/>
      <c r="AF13" s="30"/>
      <c r="AG13" s="28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2421</v>
      </c>
      <c r="B14" s="112">
        <v>1921</v>
      </c>
      <c r="C14" s="112">
        <v>3</v>
      </c>
      <c r="D14" t="s" s="83">
        <v>2422</v>
      </c>
      <c r="E14" s="30"/>
      <c r="F14" s="30"/>
      <c r="G14" t="s" s="148">
        <v>2436</v>
      </c>
      <c r="H14" t="s" s="148">
        <v>2437</v>
      </c>
      <c r="I14" s="120">
        <v>9</v>
      </c>
      <c r="J14" t="s" s="148">
        <v>37</v>
      </c>
      <c r="K14" s="156">
        <v>1</v>
      </c>
      <c r="L14" s="16"/>
      <c r="M14" s="75"/>
      <c r="N14" s="307">
        <v>1</v>
      </c>
      <c r="O14" s="122"/>
      <c r="P14" s="163"/>
      <c r="Q14" s="16"/>
      <c r="R14" s="16"/>
      <c r="S14" s="16"/>
      <c r="T14" s="404">
        <v>75</v>
      </c>
      <c r="U14" s="16"/>
      <c r="V14" s="16"/>
      <c r="W14" s="16"/>
      <c r="X14" s="117"/>
      <c r="Y14" s="28"/>
      <c r="Z14" s="28"/>
      <c r="AA14" t="s" s="148">
        <v>2438</v>
      </c>
      <c r="AB14" t="s" s="148">
        <v>34</v>
      </c>
      <c r="AC14" s="28"/>
      <c r="AD14" s="28"/>
      <c r="AE14" s="30"/>
      <c r="AF14" t="s" s="148">
        <v>1936</v>
      </c>
      <c r="AG14" s="307">
        <v>1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2421</v>
      </c>
      <c r="B15" s="112">
        <v>1921</v>
      </c>
      <c r="C15" s="112">
        <v>3</v>
      </c>
      <c r="D15" t="s" s="83">
        <v>2422</v>
      </c>
      <c r="E15" s="30"/>
      <c r="F15" s="30"/>
      <c r="G15" t="s" s="83">
        <v>2436</v>
      </c>
      <c r="H15" t="s" s="83">
        <v>1306</v>
      </c>
      <c r="I15" s="120">
        <v>10</v>
      </c>
      <c r="J15" s="112">
        <v>1</v>
      </c>
      <c r="K15" s="156">
        <v>1</v>
      </c>
      <c r="L15" s="16"/>
      <c r="M15" s="75"/>
      <c r="N15" t="s" s="83">
        <v>72</v>
      </c>
      <c r="O15" s="120">
        <v>1</v>
      </c>
      <c r="P15" s="30"/>
      <c r="Q15" s="74"/>
      <c r="R15" s="16"/>
      <c r="S15" s="75"/>
      <c r="T15" s="112">
        <v>72</v>
      </c>
      <c r="U15" s="74"/>
      <c r="V15" s="16"/>
      <c r="W15" s="16"/>
      <c r="X15" s="75"/>
      <c r="Y15" s="28"/>
      <c r="Z15" s="28"/>
      <c r="AA15" t="s" s="83">
        <v>33</v>
      </c>
      <c r="AB15" t="s" s="83">
        <v>34</v>
      </c>
      <c r="AC15" s="30"/>
      <c r="AD15" s="28"/>
      <c r="AE15" s="30"/>
      <c r="AF15" s="112">
        <v>1</v>
      </c>
      <c r="AG15" s="2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83">
        <v>2421</v>
      </c>
      <c r="B16" s="112">
        <v>1921</v>
      </c>
      <c r="C16" s="112">
        <v>3</v>
      </c>
      <c r="D16" t="s" s="83">
        <v>2422</v>
      </c>
      <c r="E16" s="30"/>
      <c r="F16" s="30"/>
      <c r="G16" t="s" s="83">
        <v>2436</v>
      </c>
      <c r="H16" t="s" s="83">
        <v>2439</v>
      </c>
      <c r="I16" s="120">
        <v>11</v>
      </c>
      <c r="J16" s="112">
        <v>1</v>
      </c>
      <c r="K16" s="74"/>
      <c r="L16" s="16"/>
      <c r="M16" s="75"/>
      <c r="N16" t="s" s="83">
        <v>78</v>
      </c>
      <c r="O16" s="122"/>
      <c r="P16" s="112">
        <v>1</v>
      </c>
      <c r="Q16" s="74"/>
      <c r="R16" s="16"/>
      <c r="S16" s="75"/>
      <c r="T16" s="112">
        <v>46</v>
      </c>
      <c r="U16" s="74"/>
      <c r="V16" s="16"/>
      <c r="W16" s="16"/>
      <c r="X16" s="75"/>
      <c r="Y16" s="28"/>
      <c r="Z16" s="28"/>
      <c r="AA16" t="s" s="83">
        <v>33</v>
      </c>
      <c r="AB16" t="s" s="83">
        <v>34</v>
      </c>
      <c r="AC16" s="30"/>
      <c r="AD16" s="28"/>
      <c r="AE16" s="30"/>
      <c r="AF16" s="112">
        <v>1</v>
      </c>
      <c r="AG16" s="28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2421</v>
      </c>
      <c r="B17" s="112">
        <v>1921</v>
      </c>
      <c r="C17" s="112">
        <v>3</v>
      </c>
      <c r="D17" t="s" s="83">
        <v>2422</v>
      </c>
      <c r="E17" s="30"/>
      <c r="F17" s="30"/>
      <c r="G17" t="s" s="83">
        <v>2436</v>
      </c>
      <c r="H17" t="s" s="83">
        <v>2440</v>
      </c>
      <c r="I17" s="120">
        <v>12</v>
      </c>
      <c r="J17" s="112">
        <v>1</v>
      </c>
      <c r="K17" s="74"/>
      <c r="L17" s="16"/>
      <c r="M17" s="75"/>
      <c r="N17" t="s" s="83">
        <v>78</v>
      </c>
      <c r="O17" s="122"/>
      <c r="P17" s="112">
        <v>1</v>
      </c>
      <c r="Q17" s="74"/>
      <c r="R17" s="16"/>
      <c r="S17" s="75"/>
      <c r="T17" s="112">
        <v>40</v>
      </c>
      <c r="U17" s="74"/>
      <c r="V17" s="16"/>
      <c r="W17" s="16"/>
      <c r="X17" s="75"/>
      <c r="Y17" s="28"/>
      <c r="Z17" s="28"/>
      <c r="AA17" t="s" s="83">
        <v>33</v>
      </c>
      <c r="AB17" t="s" s="83">
        <v>34</v>
      </c>
      <c r="AC17" s="30"/>
      <c r="AD17" s="28"/>
      <c r="AE17" s="30"/>
      <c r="AF17" s="112">
        <v>1</v>
      </c>
      <c r="AG17" s="28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2421</v>
      </c>
      <c r="B18" s="112">
        <v>1921</v>
      </c>
      <c r="C18" s="112">
        <v>3</v>
      </c>
      <c r="D18" t="s" s="83">
        <v>2422</v>
      </c>
      <c r="E18" s="30"/>
      <c r="F18" s="30"/>
      <c r="G18" t="s" s="83">
        <v>2436</v>
      </c>
      <c r="H18" t="s" s="83">
        <v>2441</v>
      </c>
      <c r="I18" s="120">
        <v>13</v>
      </c>
      <c r="J18" s="112">
        <v>1</v>
      </c>
      <c r="K18" s="74"/>
      <c r="L18" s="16"/>
      <c r="M18" s="75"/>
      <c r="N18" t="s" s="83">
        <v>41</v>
      </c>
      <c r="O18" s="122"/>
      <c r="P18" s="30"/>
      <c r="Q18" s="74"/>
      <c r="R18" s="79">
        <v>1</v>
      </c>
      <c r="S18" s="75"/>
      <c r="T18" s="112">
        <v>38</v>
      </c>
      <c r="U18" s="74"/>
      <c r="V18" s="16"/>
      <c r="W18" s="16"/>
      <c r="X18" s="75"/>
      <c r="Y18" s="28"/>
      <c r="Z18" s="28"/>
      <c r="AA18" t="s" s="83">
        <v>2442</v>
      </c>
      <c r="AB18" t="s" s="83">
        <v>2443</v>
      </c>
      <c r="AC18" s="112">
        <v>1</v>
      </c>
      <c r="AD18" s="28"/>
      <c r="AE18" s="30"/>
      <c r="AF18" s="112">
        <v>1</v>
      </c>
      <c r="AG18" s="28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2421</v>
      </c>
      <c r="B19" s="112">
        <v>1921</v>
      </c>
      <c r="C19" s="112">
        <v>3</v>
      </c>
      <c r="D19" t="s" s="83">
        <v>2422</v>
      </c>
      <c r="E19" s="116"/>
      <c r="F19" s="62"/>
      <c r="G19" t="s" s="98">
        <v>2436</v>
      </c>
      <c r="H19" t="s" s="98">
        <v>2444</v>
      </c>
      <c r="I19" s="79">
        <v>14</v>
      </c>
      <c r="J19" t="s" s="98">
        <v>37</v>
      </c>
      <c r="K19" s="16"/>
      <c r="L19" s="16"/>
      <c r="M19" s="16"/>
      <c r="N19" t="s" s="98">
        <v>2445</v>
      </c>
      <c r="O19" s="16"/>
      <c r="P19" s="62"/>
      <c r="Q19" s="16"/>
      <c r="R19" s="79">
        <v>1</v>
      </c>
      <c r="S19" s="16"/>
      <c r="T19" s="97">
        <v>11</v>
      </c>
      <c r="U19" s="16"/>
      <c r="V19" s="16"/>
      <c r="W19" s="16"/>
      <c r="X19" s="75"/>
      <c r="Y19" s="28"/>
      <c r="Z19" s="28"/>
      <c r="AA19" t="s" s="153">
        <v>34</v>
      </c>
      <c r="AB19" t="s" s="98">
        <v>34</v>
      </c>
      <c r="AC19" s="117"/>
      <c r="AD19" s="28"/>
      <c r="AE19" s="30"/>
      <c r="AF19" s="113">
        <v>1</v>
      </c>
      <c r="AG19" s="28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2421</v>
      </c>
      <c r="B20" s="112">
        <v>1921</v>
      </c>
      <c r="C20" s="30"/>
      <c r="D20" t="s" s="83">
        <v>2422</v>
      </c>
      <c r="E20" s="74"/>
      <c r="F20" s="16"/>
      <c r="G20" s="16"/>
      <c r="H20" s="79">
        <v>5</v>
      </c>
      <c r="I20" s="16"/>
      <c r="J20" s="16"/>
      <c r="K20" s="79">
        <v>1</v>
      </c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75"/>
      <c r="Y20" s="28"/>
      <c r="Z20" s="28"/>
      <c r="AA20" s="74"/>
      <c r="AB20" s="16"/>
      <c r="AC20" s="75"/>
      <c r="AD20" s="28"/>
      <c r="AE20" s="30"/>
      <c r="AF20" s="122"/>
      <c r="AG20" s="28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2421</v>
      </c>
      <c r="B21" s="112">
        <v>1921</v>
      </c>
      <c r="C21" s="30"/>
      <c r="D21" t="s" s="83">
        <v>2422</v>
      </c>
      <c r="E21" s="74"/>
      <c r="F21" s="16"/>
      <c r="G21" t="s" s="96">
        <v>1</v>
      </c>
      <c r="H21" t="s" s="96">
        <v>0</v>
      </c>
      <c r="I21" s="16"/>
      <c r="J21" s="16"/>
      <c r="K21" s="16"/>
      <c r="L21" s="16"/>
      <c r="M21" s="16"/>
      <c r="N21" t="s" s="96">
        <v>2</v>
      </c>
      <c r="O21" s="16"/>
      <c r="P21" s="16"/>
      <c r="Q21" s="16"/>
      <c r="R21" s="16"/>
      <c r="S21" s="16"/>
      <c r="T21" t="s" s="96">
        <v>5</v>
      </c>
      <c r="U21" s="16"/>
      <c r="V21" s="16"/>
      <c r="W21" s="16"/>
      <c r="X21" s="75"/>
      <c r="Y21" s="28"/>
      <c r="Z21" s="28"/>
      <c r="AA21" t="s" s="157">
        <v>7</v>
      </c>
      <c r="AB21" t="s" s="96">
        <v>8</v>
      </c>
      <c r="AC21" s="75"/>
      <c r="AD21" s="28"/>
      <c r="AE21" s="30"/>
      <c r="AF21" t="s" s="159">
        <v>6</v>
      </c>
      <c r="AG21" s="28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2421</v>
      </c>
      <c r="B22" s="112">
        <v>1921</v>
      </c>
      <c r="C22" s="112">
        <v>4</v>
      </c>
      <c r="D22" t="s" s="83">
        <v>2422</v>
      </c>
      <c r="E22" t="s" s="157">
        <v>2446</v>
      </c>
      <c r="F22" s="16"/>
      <c r="G22" t="s" s="96">
        <v>2447</v>
      </c>
      <c r="H22" t="s" s="96">
        <v>2448</v>
      </c>
      <c r="I22" s="79">
        <v>15</v>
      </c>
      <c r="J22" t="s" s="96">
        <v>3</v>
      </c>
      <c r="K22" s="16"/>
      <c r="L22" s="16"/>
      <c r="M22" s="16"/>
      <c r="N22" s="79">
        <v>1</v>
      </c>
      <c r="O22" s="16"/>
      <c r="P22" s="16"/>
      <c r="Q22" s="16"/>
      <c r="R22" s="16"/>
      <c r="S22" s="16"/>
      <c r="T22" s="79">
        <v>60</v>
      </c>
      <c r="U22" s="16"/>
      <c r="V22" s="16"/>
      <c r="W22" s="16"/>
      <c r="X22" s="75"/>
      <c r="Y22" s="28"/>
      <c r="Z22" s="28"/>
      <c r="AA22" t="s" s="157">
        <v>257</v>
      </c>
      <c r="AB22" t="s" s="96">
        <v>2449</v>
      </c>
      <c r="AC22" s="123">
        <v>1</v>
      </c>
      <c r="AD22" s="28"/>
      <c r="AE22" s="30"/>
      <c r="AF22" t="s" s="159">
        <v>2450</v>
      </c>
      <c r="AG22" s="307">
        <v>1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2421</v>
      </c>
      <c r="B23" s="112">
        <v>1921</v>
      </c>
      <c r="C23" s="112">
        <v>4</v>
      </c>
      <c r="D23" t="s" s="83">
        <v>2422</v>
      </c>
      <c r="E23" t="s" s="157">
        <v>2446</v>
      </c>
      <c r="F23" s="16"/>
      <c r="G23" t="s" s="96">
        <v>2447</v>
      </c>
      <c r="H23" t="s" s="96">
        <v>2451</v>
      </c>
      <c r="I23" s="79">
        <v>16</v>
      </c>
      <c r="J23" s="16"/>
      <c r="K23" s="79">
        <v>1</v>
      </c>
      <c r="L23" s="16"/>
      <c r="M23" s="16"/>
      <c r="N23" t="s" s="96">
        <v>72</v>
      </c>
      <c r="O23" s="79">
        <v>1</v>
      </c>
      <c r="P23" s="16"/>
      <c r="Q23" s="16"/>
      <c r="R23" s="16"/>
      <c r="S23" s="16"/>
      <c r="T23" s="79">
        <v>48</v>
      </c>
      <c r="U23" s="16"/>
      <c r="V23" s="16"/>
      <c r="W23" s="16"/>
      <c r="X23" s="75"/>
      <c r="Y23" s="28"/>
      <c r="Z23" s="28"/>
      <c r="AA23" t="s" s="157">
        <v>34</v>
      </c>
      <c r="AB23" t="s" s="96">
        <v>34</v>
      </c>
      <c r="AC23" s="75"/>
      <c r="AD23" s="28"/>
      <c r="AE23" s="30"/>
      <c r="AF23" t="s" s="159">
        <v>84</v>
      </c>
      <c r="AG23" s="307">
        <v>1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t="s" s="83">
        <v>2421</v>
      </c>
      <c r="B24" s="112">
        <v>1921</v>
      </c>
      <c r="C24" s="112">
        <v>4</v>
      </c>
      <c r="D24" t="s" s="83">
        <v>2422</v>
      </c>
      <c r="E24" t="s" s="157">
        <v>2446</v>
      </c>
      <c r="F24" s="16"/>
      <c r="G24" t="s" s="96">
        <v>2447</v>
      </c>
      <c r="H24" t="s" s="96">
        <v>2452</v>
      </c>
      <c r="I24" s="79">
        <v>17</v>
      </c>
      <c r="J24" s="79">
        <v>1</v>
      </c>
      <c r="K24" s="16"/>
      <c r="L24" s="16"/>
      <c r="M24" s="16"/>
      <c r="N24" t="s" s="96">
        <v>78</v>
      </c>
      <c r="O24" s="16"/>
      <c r="P24" s="79">
        <v>1</v>
      </c>
      <c r="Q24" s="16"/>
      <c r="R24" s="16"/>
      <c r="S24" s="16"/>
      <c r="T24" s="79">
        <v>11</v>
      </c>
      <c r="U24" s="16"/>
      <c r="V24" s="16"/>
      <c r="W24" s="16"/>
      <c r="X24" s="75"/>
      <c r="Y24" s="28"/>
      <c r="Z24" s="28"/>
      <c r="AA24" t="s" s="157">
        <v>34</v>
      </c>
      <c r="AB24" t="s" s="96">
        <v>34</v>
      </c>
      <c r="AC24" s="75"/>
      <c r="AD24" s="28"/>
      <c r="AE24" s="30"/>
      <c r="AF24" s="120">
        <v>1</v>
      </c>
      <c r="AG24" s="28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t="s" s="83">
        <v>2421</v>
      </c>
      <c r="B25" s="112">
        <v>1921</v>
      </c>
      <c r="C25" s="112">
        <v>4</v>
      </c>
      <c r="D25" t="s" s="83">
        <v>2422</v>
      </c>
      <c r="E25" t="s" s="157">
        <v>2446</v>
      </c>
      <c r="F25" s="16"/>
      <c r="G25" t="s" s="96">
        <v>83</v>
      </c>
      <c r="H25" t="s" s="96">
        <v>2453</v>
      </c>
      <c r="I25" s="79">
        <v>18</v>
      </c>
      <c r="J25" s="16"/>
      <c r="K25" s="79">
        <v>1</v>
      </c>
      <c r="L25" s="16"/>
      <c r="M25" s="16"/>
      <c r="N25" t="s" s="96">
        <v>41</v>
      </c>
      <c r="O25" s="16"/>
      <c r="P25" s="16"/>
      <c r="Q25" s="16"/>
      <c r="R25" s="79">
        <v>1</v>
      </c>
      <c r="S25" s="16"/>
      <c r="T25" s="79">
        <v>54</v>
      </c>
      <c r="U25" s="16"/>
      <c r="V25" s="16"/>
      <c r="W25" s="16"/>
      <c r="X25" s="75"/>
      <c r="Y25" s="28"/>
      <c r="Z25" s="28"/>
      <c r="AA25" t="s" s="157">
        <v>2454</v>
      </c>
      <c r="AB25" t="s" s="96">
        <v>2455</v>
      </c>
      <c r="AC25" s="75"/>
      <c r="AD25" s="28"/>
      <c r="AE25" s="30"/>
      <c r="AF25" t="s" s="159">
        <v>2450</v>
      </c>
      <c r="AG25" s="307">
        <v>1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t="s" s="83">
        <v>2421</v>
      </c>
      <c r="B26" s="112">
        <v>1921</v>
      </c>
      <c r="C26" s="112">
        <v>4</v>
      </c>
      <c r="D26" t="s" s="83">
        <v>2422</v>
      </c>
      <c r="E26" t="s" s="157">
        <v>2446</v>
      </c>
      <c r="F26" s="16"/>
      <c r="G26" t="s" s="96">
        <v>83</v>
      </c>
      <c r="H26" t="s" s="96">
        <v>2456</v>
      </c>
      <c r="I26" s="79">
        <v>19</v>
      </c>
      <c r="J26" s="79">
        <v>1</v>
      </c>
      <c r="K26" s="16"/>
      <c r="L26" s="16"/>
      <c r="M26" s="16"/>
      <c r="N26" t="s" s="96">
        <v>41</v>
      </c>
      <c r="O26" s="16"/>
      <c r="P26" s="16"/>
      <c r="Q26" s="16"/>
      <c r="R26" s="79">
        <v>1</v>
      </c>
      <c r="S26" s="16"/>
      <c r="T26" s="79">
        <v>25</v>
      </c>
      <c r="U26" s="16"/>
      <c r="V26" s="16"/>
      <c r="W26" s="16"/>
      <c r="X26" s="75"/>
      <c r="Y26" s="28"/>
      <c r="Z26" s="28"/>
      <c r="AA26" t="s" s="157">
        <v>34</v>
      </c>
      <c r="AB26" t="s" s="96">
        <v>34</v>
      </c>
      <c r="AC26" s="75"/>
      <c r="AD26" s="28"/>
      <c r="AE26" s="30"/>
      <c r="AF26" t="s" s="159">
        <v>84</v>
      </c>
      <c r="AG26" s="307">
        <v>1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2421</v>
      </c>
      <c r="B27" s="112">
        <v>1921</v>
      </c>
      <c r="C27" s="112">
        <v>4</v>
      </c>
      <c r="D27" t="s" s="83">
        <v>2422</v>
      </c>
      <c r="E27" t="s" s="157">
        <v>2446</v>
      </c>
      <c r="F27" s="16"/>
      <c r="G27" t="s" s="96">
        <v>2457</v>
      </c>
      <c r="H27" t="s" s="96">
        <v>2199</v>
      </c>
      <c r="I27" s="79">
        <v>20</v>
      </c>
      <c r="J27" s="79">
        <v>1</v>
      </c>
      <c r="K27" s="16"/>
      <c r="L27" s="16"/>
      <c r="M27" s="16"/>
      <c r="N27" t="s" s="96">
        <v>2458</v>
      </c>
      <c r="O27" s="16"/>
      <c r="P27" s="16"/>
      <c r="Q27" s="16"/>
      <c r="R27" s="16"/>
      <c r="S27" s="79">
        <v>1</v>
      </c>
      <c r="T27" s="79">
        <v>41</v>
      </c>
      <c r="U27" s="16"/>
      <c r="V27" s="16"/>
      <c r="W27" s="16"/>
      <c r="X27" s="75"/>
      <c r="Y27" s="28"/>
      <c r="Z27" s="28"/>
      <c r="AA27" t="s" s="157">
        <v>1021</v>
      </c>
      <c r="AB27" t="s" s="96">
        <v>2459</v>
      </c>
      <c r="AC27" s="123">
        <v>1</v>
      </c>
      <c r="AD27" s="28"/>
      <c r="AE27" s="30"/>
      <c r="AF27" t="s" s="159">
        <v>2460</v>
      </c>
      <c r="AG27" s="307">
        <v>1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t="s" s="83">
        <v>2421</v>
      </c>
      <c r="B28" s="112">
        <v>1921</v>
      </c>
      <c r="C28" s="112">
        <v>4</v>
      </c>
      <c r="D28" t="s" s="83">
        <v>2422</v>
      </c>
      <c r="E28" t="s" s="157">
        <v>2446</v>
      </c>
      <c r="F28" s="16"/>
      <c r="G28" t="s" s="96">
        <v>2461</v>
      </c>
      <c r="H28" t="s" s="96">
        <v>2462</v>
      </c>
      <c r="I28" s="79">
        <v>21</v>
      </c>
      <c r="J28" s="79">
        <v>1</v>
      </c>
      <c r="K28" s="16"/>
      <c r="L28" s="16"/>
      <c r="M28" s="16"/>
      <c r="N28" t="s" s="96">
        <v>45</v>
      </c>
      <c r="O28" s="16"/>
      <c r="P28" s="16"/>
      <c r="Q28" s="16"/>
      <c r="R28" s="16"/>
      <c r="S28" s="79">
        <v>1</v>
      </c>
      <c r="T28" s="79">
        <v>37</v>
      </c>
      <c r="U28" s="16"/>
      <c r="V28" s="16"/>
      <c r="W28" s="16"/>
      <c r="X28" s="75"/>
      <c r="Y28" s="28"/>
      <c r="Z28" s="28"/>
      <c r="AA28" t="s" s="157">
        <v>45</v>
      </c>
      <c r="AB28" t="s" s="96">
        <v>2459</v>
      </c>
      <c r="AC28" s="123">
        <v>1</v>
      </c>
      <c r="AD28" s="28"/>
      <c r="AE28" s="30"/>
      <c r="AF28" t="s" s="159">
        <v>2463</v>
      </c>
      <c r="AG28" s="307">
        <v>1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2421</v>
      </c>
      <c r="B29" s="112">
        <v>1921</v>
      </c>
      <c r="C29" s="112">
        <v>4</v>
      </c>
      <c r="D29" t="s" s="83">
        <v>2422</v>
      </c>
      <c r="E29" t="s" s="157">
        <v>2446</v>
      </c>
      <c r="F29" s="16"/>
      <c r="G29" t="s" s="96">
        <v>2464</v>
      </c>
      <c r="H29" t="s" s="96">
        <v>2465</v>
      </c>
      <c r="I29" s="79">
        <v>22</v>
      </c>
      <c r="J29" s="79">
        <v>1</v>
      </c>
      <c r="K29" s="16"/>
      <c r="L29" s="16"/>
      <c r="M29" s="16"/>
      <c r="N29" t="s" s="96">
        <v>11</v>
      </c>
      <c r="O29" s="16"/>
      <c r="P29" s="16"/>
      <c r="Q29" s="16"/>
      <c r="R29" s="16"/>
      <c r="S29" s="79">
        <v>1</v>
      </c>
      <c r="T29" s="79">
        <v>25</v>
      </c>
      <c r="U29" s="16"/>
      <c r="V29" s="16"/>
      <c r="W29" s="16"/>
      <c r="X29" s="75"/>
      <c r="Y29" s="28"/>
      <c r="Z29" s="28"/>
      <c r="AA29" t="s" s="157">
        <v>126</v>
      </c>
      <c r="AB29" t="s" s="96">
        <v>2459</v>
      </c>
      <c r="AC29" s="123">
        <v>1</v>
      </c>
      <c r="AD29" s="28"/>
      <c r="AE29" s="30"/>
      <c r="AF29" t="s" s="159">
        <v>2466</v>
      </c>
      <c r="AG29" s="307">
        <v>1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3">
        <v>2421</v>
      </c>
      <c r="B30" s="112">
        <v>1921</v>
      </c>
      <c r="C30" s="112">
        <v>4</v>
      </c>
      <c r="D30" t="s" s="83">
        <v>2422</v>
      </c>
      <c r="E30" t="s" s="157">
        <v>2446</v>
      </c>
      <c r="F30" s="16"/>
      <c r="G30" t="s" s="96">
        <v>368</v>
      </c>
      <c r="H30" t="s" s="96">
        <v>2467</v>
      </c>
      <c r="I30" s="79">
        <v>23</v>
      </c>
      <c r="J30" s="79">
        <v>1</v>
      </c>
      <c r="K30" s="16"/>
      <c r="L30" s="16"/>
      <c r="M30" s="16"/>
      <c r="N30" t="s" s="96">
        <v>11</v>
      </c>
      <c r="O30" s="16"/>
      <c r="P30" s="16"/>
      <c r="Q30" s="16"/>
      <c r="R30" s="16"/>
      <c r="S30" s="79">
        <v>1</v>
      </c>
      <c r="T30" s="79">
        <v>23</v>
      </c>
      <c r="U30" s="16"/>
      <c r="V30" s="16"/>
      <c r="W30" s="16"/>
      <c r="X30" s="75"/>
      <c r="Y30" s="28"/>
      <c r="Z30" s="28"/>
      <c r="AA30" t="s" s="157">
        <v>55</v>
      </c>
      <c r="AB30" t="s" s="96">
        <v>2459</v>
      </c>
      <c r="AC30" s="123">
        <v>1</v>
      </c>
      <c r="AD30" s="28"/>
      <c r="AE30" s="30"/>
      <c r="AF30" t="s" s="159">
        <v>1104</v>
      </c>
      <c r="AG30" s="307">
        <v>1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t="s" s="83">
        <v>2421</v>
      </c>
      <c r="B31" s="112">
        <v>1921</v>
      </c>
      <c r="C31" s="112">
        <v>4</v>
      </c>
      <c r="D31" t="s" s="83">
        <v>2422</v>
      </c>
      <c r="E31" t="s" s="160">
        <v>2446</v>
      </c>
      <c r="F31" s="132"/>
      <c r="G31" t="s" s="181">
        <v>2468</v>
      </c>
      <c r="H31" t="s" s="181">
        <v>1565</v>
      </c>
      <c r="I31" s="79">
        <v>24</v>
      </c>
      <c r="J31" s="79">
        <v>1</v>
      </c>
      <c r="K31" s="16"/>
      <c r="L31" s="16"/>
      <c r="M31" s="16"/>
      <c r="N31" t="s" s="96">
        <v>11</v>
      </c>
      <c r="O31" s="16"/>
      <c r="P31" s="16"/>
      <c r="Q31" s="16"/>
      <c r="R31" s="16"/>
      <c r="S31" s="79">
        <v>1</v>
      </c>
      <c r="T31" s="79">
        <v>15</v>
      </c>
      <c r="U31" s="16"/>
      <c r="V31" s="16"/>
      <c r="W31" s="16"/>
      <c r="X31" s="75"/>
      <c r="Y31" s="28"/>
      <c r="Z31" s="28"/>
      <c r="AA31" t="s" s="157">
        <v>475</v>
      </c>
      <c r="AB31" t="s" s="96">
        <v>2459</v>
      </c>
      <c r="AC31" s="123">
        <v>1</v>
      </c>
      <c r="AD31" s="28"/>
      <c r="AE31" s="30"/>
      <c r="AF31" t="s" s="159">
        <v>84</v>
      </c>
      <c r="AG31" s="307">
        <v>1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t="s" s="83">
        <v>2421</v>
      </c>
      <c r="B32" s="112">
        <v>1921</v>
      </c>
      <c r="C32" s="112">
        <v>4</v>
      </c>
      <c r="D32" t="s" s="83">
        <v>2422</v>
      </c>
      <c r="E32" s="30"/>
      <c r="F32" s="30"/>
      <c r="G32" s="30"/>
      <c r="H32" s="112">
        <v>10</v>
      </c>
      <c r="I32" s="156">
        <v>24</v>
      </c>
      <c r="J32" s="99" cm="1">
        <f t="array" ref="J32">SUM(J1:J31)</f>
        <v>17</v>
      </c>
      <c r="K32" s="99" cm="1">
        <f t="array" ref="K32">SUM(K1:K31)</f>
        <v>7</v>
      </c>
      <c r="L32" s="99" cm="1">
        <f t="array" ref="L32">SUM(L1:L31)</f>
        <v>0</v>
      </c>
      <c r="M32" s="99" cm="1">
        <f t="array" ref="M32">SUM(M1:M31)</f>
        <v>0</v>
      </c>
      <c r="N32" s="182" cm="1">
        <f t="array" ref="N32">SUM(N1:N31)</f>
        <v>4</v>
      </c>
      <c r="O32" s="99" cm="1">
        <f t="array" ref="O32">SUM(O1:O31)</f>
        <v>4</v>
      </c>
      <c r="P32" s="182" cm="1">
        <f t="array" ref="P32">SUM(P1:P31)</f>
        <v>3</v>
      </c>
      <c r="Q32" s="99" cm="1">
        <f t="array" ref="Q32">SUM(Q1:Q31)</f>
        <v>0</v>
      </c>
      <c r="R32" s="99" cm="1">
        <f t="array" ref="R32">SUM(R1:R31)</f>
        <v>4</v>
      </c>
      <c r="S32" s="99" cm="1">
        <f t="array" ref="S32">SUM(S1:S31)</f>
        <v>9</v>
      </c>
      <c r="T32" s="182" cm="1">
        <f t="array" ref="T32">SUM(T1:T31)</f>
        <v>927</v>
      </c>
      <c r="U32" s="99" cm="1">
        <f t="array" ref="U32">SUM(U1:U31)</f>
        <v>0</v>
      </c>
      <c r="V32" s="99" cm="1">
        <f t="array" ref="V32">SUM(V1:V31)</f>
        <v>0</v>
      </c>
      <c r="W32" s="99" cm="1">
        <f t="array" ref="W32">SUM(W1:W31)</f>
        <v>0</v>
      </c>
      <c r="X32" s="182" cm="1">
        <f t="array" ref="X32">SUM(X1:X31)</f>
        <v>0</v>
      </c>
      <c r="Y32" s="365" cm="1">
        <f t="array" ref="Y32">SUM(Y1:Y31)</f>
        <v>0</v>
      </c>
      <c r="Z32" s="365" cm="1">
        <f t="array" ref="Z32">SUM(Z1:Z31)</f>
        <v>0</v>
      </c>
      <c r="AA32" s="182" cm="1">
        <f t="array" ref="AA32">SUM(AA1:AA31)</f>
        <v>0</v>
      </c>
      <c r="AB32" s="182" cm="1">
        <f t="array" ref="AB32">SUM(AB1:AB31)</f>
        <v>0</v>
      </c>
      <c r="AC32" s="182" cm="1">
        <f t="array" ref="AC32">SUM(AC1:AC31)</f>
        <v>13</v>
      </c>
      <c r="AD32" s="365" cm="1">
        <f t="array" ref="AD32">SUM(AD1:AD31)</f>
        <v>1</v>
      </c>
      <c r="AE32" s="365" cm="1">
        <f t="array" ref="AE32">AC32-AD32</f>
        <v>12</v>
      </c>
      <c r="AF32" s="182" cm="1">
        <f t="array" ref="AF32">SUM(AF1:AF31)</f>
        <v>12</v>
      </c>
      <c r="AG32" s="91" cm="1">
        <f t="array" ref="AG32">SUM(AG1:AG31)</f>
        <v>12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.5" customHeight="1">
      <c r="A33" s="30"/>
      <c r="B33" s="30"/>
      <c r="C33" s="30"/>
      <c r="D33" s="30"/>
      <c r="E33" s="124"/>
      <c r="F33" s="28"/>
      <c r="G33" s="28"/>
      <c r="H33" s="28"/>
      <c r="I33" s="74"/>
      <c r="J33" s="186" cm="1">
        <f t="array" ref="J33">SUM(J32:M32)</f>
        <v>24</v>
      </c>
      <c r="K33" s="16"/>
      <c r="L33" s="16"/>
      <c r="M33" s="75"/>
      <c r="N33" s="405" cm="1">
        <f t="array" ref="N33">SUM(N32:S32)</f>
        <v>24</v>
      </c>
      <c r="O33" s="16"/>
      <c r="P33" s="165"/>
      <c r="Q33" s="74"/>
      <c r="R33" s="16"/>
      <c r="S33" s="75"/>
      <c r="T33" s="403" cm="1">
        <f t="array" ref="T33">T32/N33</f>
        <v>38.625</v>
      </c>
      <c r="U33" s="74"/>
      <c r="V33" s="16"/>
      <c r="W33" s="75"/>
      <c r="X33" s="28"/>
      <c r="Y33" s="28"/>
      <c r="Z33" s="28"/>
      <c r="AA33" s="28"/>
      <c r="AB33" s="28"/>
      <c r="AC33" s="28"/>
      <c r="AD33" s="28"/>
      <c r="AE33" s="30"/>
      <c r="AF33" s="30"/>
      <c r="AG33" s="28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.5" customHeight="1">
      <c r="A34" s="30"/>
      <c r="B34" s="30"/>
      <c r="C34" s="30"/>
      <c r="D34" s="30"/>
      <c r="E34" s="124"/>
      <c r="F34" s="28"/>
      <c r="G34" s="28"/>
      <c r="H34" s="28"/>
      <c r="I34" s="74"/>
      <c r="J34" s="164"/>
      <c r="K34" s="16"/>
      <c r="L34" s="16"/>
      <c r="M34" s="75"/>
      <c r="N34" s="163"/>
      <c r="O34" s="16"/>
      <c r="P34" s="165"/>
      <c r="Q34" s="74"/>
      <c r="R34" s="16"/>
      <c r="S34" s="75"/>
      <c r="T34" s="403"/>
      <c r="U34" s="74"/>
      <c r="V34" s="16"/>
      <c r="W34" s="75"/>
      <c r="X34" s="28"/>
      <c r="Y34" s="28"/>
      <c r="Z34" s="28"/>
      <c r="AA34" s="28"/>
      <c r="AB34" s="28"/>
      <c r="AC34" s="28"/>
      <c r="AD34" s="28"/>
      <c r="AE34" s="30"/>
      <c r="AF34" s="30"/>
      <c r="AG34" s="28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s="30"/>
      <c r="B35" s="30"/>
      <c r="C35" s="30"/>
      <c r="D35" s="30"/>
      <c r="E35" s="124"/>
      <c r="F35" s="28"/>
      <c r="G35" s="28"/>
      <c r="H35" s="28"/>
      <c r="I35" s="74"/>
      <c r="J35" s="164"/>
      <c r="K35" s="16"/>
      <c r="L35" s="16"/>
      <c r="M35" s="75"/>
      <c r="N35" s="163"/>
      <c r="O35" s="16"/>
      <c r="P35" s="165"/>
      <c r="Q35" s="74"/>
      <c r="R35" s="16"/>
      <c r="S35" s="75"/>
      <c r="T35" s="403"/>
      <c r="U35" s="74"/>
      <c r="V35" s="16"/>
      <c r="W35" s="75"/>
      <c r="X35" s="28"/>
      <c r="Y35" s="28"/>
      <c r="Z35" s="28"/>
      <c r="AA35" s="28"/>
      <c r="AB35" s="28"/>
      <c r="AC35" s="28"/>
      <c r="AD35" s="28"/>
      <c r="AE35" s="30"/>
      <c r="AF35" s="30"/>
      <c r="AG35" s="28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124"/>
      <c r="F36" s="28"/>
      <c r="G36" s="28"/>
      <c r="H36" s="28"/>
      <c r="I36" s="74"/>
      <c r="J36" s="164"/>
      <c r="K36" s="16"/>
      <c r="L36" s="16"/>
      <c r="M36" s="75"/>
      <c r="N36" s="163"/>
      <c r="O36" s="16"/>
      <c r="P36" s="165"/>
      <c r="Q36" s="74"/>
      <c r="R36" s="16"/>
      <c r="S36" s="75"/>
      <c r="T36" s="403"/>
      <c r="U36" s="74"/>
      <c r="V36" s="16"/>
      <c r="W36" s="75"/>
      <c r="X36" s="28"/>
      <c r="Y36" s="28"/>
      <c r="Z36" s="28"/>
      <c r="AA36" s="28"/>
      <c r="AB36" s="28"/>
      <c r="AC36" s="28"/>
      <c r="AD36" s="28"/>
      <c r="AE36" s="30"/>
      <c r="AF36" s="30"/>
      <c r="AG36" s="28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s="30"/>
      <c r="B37" s="30"/>
      <c r="C37" s="30"/>
      <c r="D37" s="30"/>
      <c r="E37" s="124"/>
      <c r="F37" s="28"/>
      <c r="G37" s="28"/>
      <c r="H37" s="28"/>
      <c r="I37" s="74"/>
      <c r="J37" s="164"/>
      <c r="K37" s="16"/>
      <c r="L37" s="16"/>
      <c r="M37" s="75"/>
      <c r="N37" s="163"/>
      <c r="O37" s="16"/>
      <c r="P37" s="165"/>
      <c r="Q37" s="74"/>
      <c r="R37" s="16"/>
      <c r="S37" s="75"/>
      <c r="T37" s="403"/>
      <c r="U37" s="74"/>
      <c r="V37" s="16"/>
      <c r="W37" s="75"/>
      <c r="X37" s="28"/>
      <c r="Y37" s="28"/>
      <c r="Z37" s="28"/>
      <c r="AA37" s="28"/>
      <c r="AB37" s="28"/>
      <c r="AC37" s="28"/>
      <c r="AD37" s="28"/>
      <c r="AE37" s="30"/>
      <c r="AF37" s="30"/>
      <c r="AG37" s="28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28" customHeight="1">
      <c r="A38" s="30"/>
      <c r="B38" s="30"/>
      <c r="C38" s="30"/>
      <c r="D38" s="30"/>
      <c r="E38" s="124"/>
      <c r="F38" s="28"/>
      <c r="G38" s="28"/>
      <c r="H38" s="28"/>
      <c r="I38" s="131"/>
      <c r="J38" s="297"/>
      <c r="K38" s="132"/>
      <c r="L38" s="132"/>
      <c r="M38" s="133"/>
      <c r="N38" s="163"/>
      <c r="O38" s="132"/>
      <c r="P38" s="165"/>
      <c r="Q38" s="131"/>
      <c r="R38" s="132"/>
      <c r="S38" s="133"/>
      <c r="T38" s="28"/>
      <c r="U38" s="131"/>
      <c r="V38" s="132"/>
      <c r="W38" s="133"/>
      <c r="X38" s="28"/>
      <c r="Y38" s="28"/>
      <c r="Z38" s="28"/>
      <c r="AA38" s="28"/>
      <c r="AB38" s="28"/>
      <c r="AC38" s="28"/>
      <c r="AD38" s="124"/>
      <c r="AE38" s="30"/>
      <c r="AF38" s="30"/>
      <c r="AG38" s="28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.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121"/>
      <c r="N40" s="121"/>
      <c r="O40" s="121"/>
      <c r="P40" s="121"/>
      <c r="Q40" s="30"/>
      <c r="R40" s="121"/>
      <c r="S40" s="121"/>
      <c r="T40" s="87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121"/>
      <c r="N41" s="121"/>
      <c r="O41" s="121"/>
      <c r="P41" s="121"/>
      <c r="Q41" s="121"/>
      <c r="R41" s="121"/>
      <c r="S41" s="121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.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121"/>
      <c r="N42" s="121"/>
      <c r="O42" s="121"/>
      <c r="P42" s="121"/>
      <c r="Q42" s="121"/>
      <c r="R42" s="121"/>
      <c r="S42" s="121"/>
      <c r="T42" s="30"/>
      <c r="U42" s="121"/>
      <c r="V42" s="121"/>
      <c r="W42" s="121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9" customHeight="1">
      <c r="A43" s="30"/>
      <c r="B43" s="30"/>
      <c r="C43" s="30"/>
      <c r="D43" s="30"/>
      <c r="E43" s="30"/>
      <c r="F43" s="29"/>
      <c r="G43" s="29"/>
      <c r="H43" s="29"/>
      <c r="I43" s="115"/>
      <c r="J43" s="29"/>
      <c r="K43" s="116"/>
      <c r="L43" s="62"/>
      <c r="M43" s="117"/>
      <c r="N43" s="29"/>
      <c r="O43" s="115"/>
      <c r="P43" s="29"/>
      <c r="Q43" s="116"/>
      <c r="R43" s="62"/>
      <c r="S43" s="117"/>
      <c r="T43" s="29"/>
      <c r="U43" s="116"/>
      <c r="V43" s="62"/>
      <c r="W43" s="117"/>
      <c r="X43" s="29"/>
      <c r="Y43" s="29"/>
      <c r="Z43" s="29"/>
      <c r="AA43" s="29"/>
      <c r="AB43" s="29"/>
      <c r="AC43" s="29"/>
      <c r="AD43" s="29"/>
      <c r="AE43" s="30"/>
      <c r="AF43" s="30"/>
      <c r="AG43" s="29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s="30"/>
      <c r="F44" s="30"/>
      <c r="G44" s="30"/>
      <c r="H44" s="30"/>
      <c r="I44" s="122"/>
      <c r="J44" s="30"/>
      <c r="K44" s="74"/>
      <c r="L44" s="16"/>
      <c r="M44" s="75"/>
      <c r="N44" s="30"/>
      <c r="O44" s="122"/>
      <c r="P44" s="30"/>
      <c r="Q44" s="74"/>
      <c r="R44" s="16"/>
      <c r="S44" s="75"/>
      <c r="T44" s="121"/>
      <c r="U44" s="74"/>
      <c r="V44" s="16"/>
      <c r="W44" s="75"/>
      <c r="X44" s="30"/>
      <c r="Y44" s="30"/>
      <c r="Z44" s="30"/>
      <c r="AA44" s="121"/>
      <c r="AB44" s="121"/>
      <c r="AC44" s="30"/>
      <c r="AD44" s="30"/>
      <c r="AE44" s="30"/>
      <c r="AF44" s="30"/>
      <c r="AG44" s="121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s="30"/>
      <c r="B45" s="30"/>
      <c r="C45" s="30"/>
      <c r="D45" s="30"/>
      <c r="E45" s="30"/>
      <c r="F45" s="30"/>
      <c r="G45" s="30"/>
      <c r="H45" s="30"/>
      <c r="I45" s="122"/>
      <c r="J45" s="30"/>
      <c r="K45" s="74"/>
      <c r="L45" s="16"/>
      <c r="M45" s="75"/>
      <c r="N45" s="30"/>
      <c r="O45" s="122"/>
      <c r="P45" s="30"/>
      <c r="Q45" s="74"/>
      <c r="R45" s="16"/>
      <c r="S45" s="75"/>
      <c r="T45" s="121"/>
      <c r="U45" s="74"/>
      <c r="V45" s="16"/>
      <c r="W45" s="75"/>
      <c r="X45" s="30"/>
      <c r="Y45" s="30"/>
      <c r="Z45" s="30"/>
      <c r="AA45" s="121"/>
      <c r="AB45" s="121"/>
      <c r="AC45" s="30"/>
      <c r="AD45" s="30"/>
      <c r="AE45" s="30"/>
      <c r="AF45" s="30"/>
      <c r="AG45" s="121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s="30"/>
      <c r="B46" s="30"/>
      <c r="C46" s="30"/>
      <c r="D46" s="30"/>
      <c r="E46" s="30"/>
      <c r="F46" s="30"/>
      <c r="G46" s="30"/>
      <c r="H46" s="30"/>
      <c r="I46" s="122"/>
      <c r="J46" s="30"/>
      <c r="K46" s="74"/>
      <c r="L46" s="16"/>
      <c r="M46" s="75"/>
      <c r="N46" s="30"/>
      <c r="O46" s="122"/>
      <c r="P46" s="30"/>
      <c r="Q46" s="74"/>
      <c r="R46" s="16"/>
      <c r="S46" s="75"/>
      <c r="T46" s="121"/>
      <c r="U46" s="74"/>
      <c r="V46" s="16"/>
      <c r="W46" s="75"/>
      <c r="X46" s="30"/>
      <c r="Y46" s="30"/>
      <c r="Z46" s="30"/>
      <c r="AA46" s="121"/>
      <c r="AB46" s="121"/>
      <c r="AC46" s="30"/>
      <c r="AD46" s="30"/>
      <c r="AE46" s="30"/>
      <c r="AF46" s="30"/>
      <c r="AG46" s="121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.5" customHeight="1">
      <c r="A47" s="30"/>
      <c r="B47" s="30"/>
      <c r="C47" s="30"/>
      <c r="D47" s="30"/>
      <c r="E47" s="30"/>
      <c r="F47" s="30"/>
      <c r="G47" s="30"/>
      <c r="H47" s="30"/>
      <c r="I47" s="122"/>
      <c r="J47" s="30"/>
      <c r="K47" s="74"/>
      <c r="L47" s="16"/>
      <c r="M47" s="75"/>
      <c r="N47" s="30"/>
      <c r="O47" s="122"/>
      <c r="P47" s="30"/>
      <c r="Q47" s="74"/>
      <c r="R47" s="16"/>
      <c r="S47" s="75"/>
      <c r="T47" s="121"/>
      <c r="U47" s="74"/>
      <c r="V47" s="16"/>
      <c r="W47" s="75"/>
      <c r="X47" s="30"/>
      <c r="Y47" s="30"/>
      <c r="Z47" s="30"/>
      <c r="AA47" s="121"/>
      <c r="AB47" s="121"/>
      <c r="AC47" s="30"/>
      <c r="AD47" s="30"/>
      <c r="AE47" s="30"/>
      <c r="AF47" s="30"/>
      <c r="AG47" s="121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.5" customHeight="1">
      <c r="A48" s="30"/>
      <c r="B48" s="30"/>
      <c r="C48" s="30"/>
      <c r="D48" s="30"/>
      <c r="E48" s="30"/>
      <c r="F48" s="30"/>
      <c r="G48" s="30"/>
      <c r="H48" s="30"/>
      <c r="I48" s="122"/>
      <c r="J48" s="30"/>
      <c r="K48" s="74"/>
      <c r="L48" s="16"/>
      <c r="M48" s="75"/>
      <c r="N48" s="30"/>
      <c r="O48" s="122"/>
      <c r="P48" s="30"/>
      <c r="Q48" s="74"/>
      <c r="R48" s="16"/>
      <c r="S48" s="75"/>
      <c r="T48" s="121"/>
      <c r="U48" s="74"/>
      <c r="V48" s="16"/>
      <c r="W48" s="75"/>
      <c r="X48" s="30"/>
      <c r="Y48" s="30"/>
      <c r="Z48" s="30"/>
      <c r="AA48" s="121"/>
      <c r="AB48" s="121"/>
      <c r="AC48" s="30"/>
      <c r="AD48" s="30"/>
      <c r="AE48" s="30"/>
      <c r="AF48" s="30"/>
      <c r="AG48" s="121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.5" customHeight="1">
      <c r="A49" s="30"/>
      <c r="B49" s="30"/>
      <c r="C49" s="30"/>
      <c r="D49" s="30"/>
      <c r="E49" s="30"/>
      <c r="F49" s="30"/>
      <c r="G49" s="30"/>
      <c r="H49" s="30"/>
      <c r="I49" s="122"/>
      <c r="J49" s="30"/>
      <c r="K49" s="74"/>
      <c r="L49" s="16"/>
      <c r="M49" s="75"/>
      <c r="N49" s="30"/>
      <c r="O49" s="122"/>
      <c r="P49" s="30"/>
      <c r="Q49" s="74"/>
      <c r="R49" s="16"/>
      <c r="S49" s="75"/>
      <c r="T49" s="121"/>
      <c r="U49" s="74"/>
      <c r="V49" s="16"/>
      <c r="W49" s="75"/>
      <c r="X49" s="30"/>
      <c r="Y49" s="30"/>
      <c r="Z49" s="30"/>
      <c r="AA49" s="121"/>
      <c r="AB49" s="121"/>
      <c r="AC49" s="30"/>
      <c r="AD49" s="30"/>
      <c r="AE49" s="30"/>
      <c r="AF49" s="30"/>
      <c r="AG49" s="121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s="30"/>
      <c r="B50" s="30"/>
      <c r="C50" s="30"/>
      <c r="D50" s="30"/>
      <c r="E50" s="30"/>
      <c r="F50" s="30"/>
      <c r="G50" s="30"/>
      <c r="H50" s="30"/>
      <c r="I50" s="122"/>
      <c r="J50" s="30"/>
      <c r="K50" s="74"/>
      <c r="L50" s="16"/>
      <c r="M50" s="75"/>
      <c r="N50" s="30"/>
      <c r="O50" s="122"/>
      <c r="P50" s="30"/>
      <c r="Q50" s="74"/>
      <c r="R50" s="16"/>
      <c r="S50" s="75"/>
      <c r="T50" s="121"/>
      <c r="U50" s="74"/>
      <c r="V50" s="16"/>
      <c r="W50" s="75"/>
      <c r="X50" s="30"/>
      <c r="Y50" s="30"/>
      <c r="Z50" s="30"/>
      <c r="AA50" s="121"/>
      <c r="AB50" s="121"/>
      <c r="AC50" s="30"/>
      <c r="AD50" s="30"/>
      <c r="AE50" s="30"/>
      <c r="AF50" s="30"/>
      <c r="AG50" s="121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s="30"/>
      <c r="B51" s="30"/>
      <c r="C51" s="30"/>
      <c r="D51" s="30"/>
      <c r="E51" s="30"/>
      <c r="F51" s="30"/>
      <c r="G51" s="30"/>
      <c r="H51" s="30"/>
      <c r="I51" s="122"/>
      <c r="J51" s="30"/>
      <c r="K51" s="74"/>
      <c r="L51" s="16"/>
      <c r="M51" s="75"/>
      <c r="N51" s="30"/>
      <c r="O51" s="122"/>
      <c r="P51" s="30"/>
      <c r="Q51" s="74"/>
      <c r="R51" s="16"/>
      <c r="S51" s="75"/>
      <c r="T51" s="121"/>
      <c r="U51" s="74"/>
      <c r="V51" s="16"/>
      <c r="W51" s="75"/>
      <c r="X51" s="30"/>
      <c r="Y51" s="30"/>
      <c r="Z51" s="30"/>
      <c r="AA51" s="121"/>
      <c r="AB51" s="121"/>
      <c r="AC51" s="30"/>
      <c r="AD51" s="30"/>
      <c r="AE51" s="30"/>
      <c r="AF51" s="30"/>
      <c r="AG51" s="121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" customHeight="1">
      <c r="A52" s="30"/>
      <c r="B52" s="30"/>
      <c r="C52" s="30"/>
      <c r="D52" s="30"/>
      <c r="E52" s="30"/>
      <c r="F52" s="30"/>
      <c r="G52" s="30"/>
      <c r="H52" s="30"/>
      <c r="I52" s="122"/>
      <c r="J52" s="30"/>
      <c r="K52" s="74"/>
      <c r="L52" s="16"/>
      <c r="M52" s="75"/>
      <c r="N52" s="30"/>
      <c r="O52" s="122"/>
      <c r="P52" s="30"/>
      <c r="Q52" s="74"/>
      <c r="R52" s="16"/>
      <c r="S52" s="75"/>
      <c r="T52" s="30"/>
      <c r="U52" s="74"/>
      <c r="V52" s="16"/>
      <c r="W52" s="75"/>
      <c r="X52" s="112" cm="1">
        <f t="array" ref="X52">SUM(X43:X51)</f>
        <v>0</v>
      </c>
      <c r="Y52" s="112" cm="1">
        <f t="array" ref="Y52">SUM(Y43:Y51)</f>
        <v>0</v>
      </c>
      <c r="Z52" s="112" cm="1">
        <f t="array" ref="Z52">SUM(Z43:Z51)</f>
        <v>0</v>
      </c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s="30"/>
      <c r="B53" s="30"/>
      <c r="C53" s="30"/>
      <c r="D53" s="30"/>
      <c r="E53" s="30"/>
      <c r="F53" s="30"/>
      <c r="G53" s="30"/>
      <c r="H53" s="30"/>
      <c r="I53" s="141"/>
      <c r="J53" s="30"/>
      <c r="K53" s="131"/>
      <c r="L53" s="132"/>
      <c r="M53" s="133"/>
      <c r="N53" s="30"/>
      <c r="O53" s="141"/>
      <c r="P53" s="30"/>
      <c r="Q53" s="131"/>
      <c r="R53" s="132"/>
      <c r="S53" s="133"/>
      <c r="T53" s="121"/>
      <c r="U53" s="131"/>
      <c r="V53" s="132"/>
      <c r="W53" s="133"/>
      <c r="X53" s="30"/>
      <c r="Y53" s="30"/>
      <c r="Z53" s="30"/>
      <c r="AA53" s="121"/>
      <c r="AB53" s="121"/>
      <c r="AC53" s="30"/>
      <c r="AD53" s="30"/>
      <c r="AE53" s="30"/>
      <c r="AF53" s="30"/>
      <c r="AG53" s="121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121"/>
      <c r="N54" s="121"/>
      <c r="O54" s="121"/>
      <c r="P54" s="121"/>
      <c r="Q54" s="30"/>
      <c r="R54" s="121"/>
      <c r="S54" s="121"/>
      <c r="T54" s="30"/>
      <c r="U54" s="121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" customHeight="1">
      <c r="A55" s="83"/>
      <c r="B55" s="30"/>
      <c r="C55" s="30"/>
      <c r="D55" s="30"/>
      <c r="E55" s="30"/>
      <c r="F55" s="28"/>
      <c r="G55" s="28"/>
      <c r="H55" s="28"/>
      <c r="I55" s="28"/>
      <c r="J55" s="28"/>
      <c r="K55" s="125"/>
      <c r="L55" s="28"/>
      <c r="M55" s="28"/>
      <c r="N55" s="28"/>
      <c r="O55" s="28"/>
      <c r="P55" s="28"/>
      <c r="Q55" s="30"/>
      <c r="R55" s="30"/>
      <c r="S55" s="30"/>
      <c r="T55" s="30"/>
      <c r="U55" s="112" cm="1">
        <f t="array" ref="U55">SUM(U3:U54)</f>
        <v>0</v>
      </c>
      <c r="V55" s="112" cm="1">
        <f t="array" ref="V55">SUM(V3:V54)</f>
        <v>0</v>
      </c>
      <c r="W55" s="112" cm="1">
        <f t="array" ref="W55">SUM(W3:W54)</f>
        <v>0</v>
      </c>
      <c r="X55" s="30"/>
      <c r="Y55" s="30"/>
      <c r="Z55" s="112" cm="1">
        <f t="array" ref="Z55">SUM(Z3:Z54)</f>
        <v>0</v>
      </c>
      <c r="AA55" s="112" cm="1">
        <f t="array" ref="AA55">SUM(AA3:AA54)</f>
        <v>0</v>
      </c>
      <c r="AB55" s="112" cm="1">
        <f t="array" ref="AB55">SUM(AB3:AB54)</f>
        <v>0</v>
      </c>
      <c r="AC55" s="112" cm="1">
        <f t="array" ref="AC55">SUM(AC3:AC54)</f>
        <v>26</v>
      </c>
      <c r="AD55" s="112" cm="1">
        <f t="array" ref="AD55">SUM(AD3:AD54)</f>
        <v>2</v>
      </c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" customHeight="1">
      <c r="A56" s="30"/>
      <c r="B56" s="30"/>
      <c r="C56" s="30"/>
      <c r="D56" s="30"/>
      <c r="E56" s="30"/>
      <c r="F56" s="28"/>
      <c r="G56" s="28"/>
      <c r="H56" s="28"/>
      <c r="I56" s="28"/>
      <c r="J56" s="163"/>
      <c r="K56" s="297"/>
      <c r="L56" s="165"/>
      <c r="M56" s="28"/>
      <c r="N56" s="28"/>
      <c r="O56" s="28"/>
      <c r="P56" s="28"/>
      <c r="Q56" s="87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87"/>
      <c r="R57" s="130"/>
      <c r="S57" s="130"/>
      <c r="T57" s="1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.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121"/>
      <c r="S58" s="121"/>
      <c r="T58" s="129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130"/>
      <c r="S59" s="130"/>
      <c r="T59" s="130"/>
      <c r="U59" s="30"/>
      <c r="V59" s="30"/>
      <c r="W59" s="30"/>
      <c r="X59" s="30"/>
      <c r="Y59" s="30"/>
      <c r="Z59" s="30"/>
      <c r="AA59" s="30"/>
      <c r="AB59" s="30"/>
      <c r="AC59" s="134"/>
      <c r="AD59" s="134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.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121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5.35" customHeight="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62"/>
      <c r="AF61" s="62"/>
      <c r="AG61" s="62"/>
      <c r="AH61" s="62"/>
      <c r="AI61" s="62"/>
      <c r="AJ61" s="62"/>
      <c r="AK61" s="62"/>
      <c r="AL61" s="62"/>
      <c r="AM61" s="62"/>
      <c r="AN61" s="62"/>
      <c r="AO61" s="62"/>
      <c r="AP61" s="62"/>
      <c r="AQ61" s="62"/>
      <c r="AR61" s="62"/>
      <c r="AS61" s="62"/>
      <c r="AT61" s="62"/>
      <c r="AU61" s="62"/>
      <c r="AV61" s="62"/>
      <c r="AW61" s="62"/>
      <c r="AX61" s="62"/>
      <c r="AY61" s="62"/>
      <c r="AZ61" s="16"/>
      <c r="BA61" s="16"/>
      <c r="BB61" s="16"/>
      <c r="BC61" s="16"/>
    </row>
    <row r="62" ht="15.35" customHeight="1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15.35" customHeight="1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</row>
    <row r="65" ht="15.35" customHeight="1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</row>
    <row r="66" ht="15.35" customHeight="1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15.35" customHeight="1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15.3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15.3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15.3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15.35" customHeight="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15.35" customHeight="1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</row>
    <row r="73" ht="15.35" customHeight="1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9.xml><?xml version="1.0" encoding="utf-8"?>
<worksheet xmlns:r="http://schemas.openxmlformats.org/officeDocument/2006/relationships" xmlns="http://schemas.openxmlformats.org/spreadsheetml/2006/main">
  <dimension ref="A1:BC50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406" customWidth="1"/>
    <col min="4" max="4" width="12.6719" style="406" customWidth="1"/>
    <col min="5" max="5" width="25.1719" style="406" customWidth="1"/>
    <col min="6" max="6" width="9.85156" style="406" customWidth="1"/>
    <col min="7" max="7" width="10.8516" style="406" customWidth="1"/>
    <col min="8" max="8" width="21.5" style="406" customWidth="1"/>
    <col min="9" max="10" width="10.8516" style="406" customWidth="1"/>
    <col min="11" max="11" width="8.5" style="406" customWidth="1"/>
    <col min="12" max="12" width="7.85156" style="406" customWidth="1"/>
    <col min="13" max="13" width="10" style="406" customWidth="1"/>
    <col min="14" max="14" width="8.67188" style="406" customWidth="1"/>
    <col min="15" max="15" width="10" style="406" customWidth="1"/>
    <col min="16" max="16" width="11.5" style="406" customWidth="1"/>
    <col min="17" max="17" width="11.6719" style="406" customWidth="1"/>
    <col min="18" max="18" width="12.3516" style="406" customWidth="1"/>
    <col min="19" max="19" width="10.8516" style="406" customWidth="1"/>
    <col min="20" max="20" width="15.1719" style="406" customWidth="1"/>
    <col min="21" max="23" width="10.8516" style="406" customWidth="1"/>
    <col min="24" max="24" width="12.8516" style="406" customWidth="1"/>
    <col min="25" max="25" width="19.8516" style="406" customWidth="1"/>
    <col min="26" max="26" width="12.1719" style="406" customWidth="1"/>
    <col min="27" max="27" width="25" style="406" customWidth="1"/>
    <col min="28" max="30" width="16.5" style="406" customWidth="1"/>
    <col min="31" max="31" width="14.6719" style="406" customWidth="1"/>
    <col min="32" max="32" width="10.8516" style="406" customWidth="1"/>
    <col min="33" max="33" width="11" style="406" customWidth="1"/>
    <col min="34" max="34" width="11.1719" style="406" customWidth="1"/>
    <col min="35" max="35" width="7.85156" style="406" customWidth="1"/>
    <col min="36" max="37" width="10.8516" style="406" customWidth="1"/>
    <col min="38" max="38" width="7.35156" style="406" customWidth="1"/>
    <col min="39" max="39" width="10.8516" style="406" customWidth="1"/>
    <col min="40" max="40" width="9.17188" style="406" customWidth="1"/>
    <col min="41" max="41" width="10.8516" style="406" customWidth="1"/>
    <col min="42" max="42" width="12.5" style="406" customWidth="1"/>
    <col min="43" max="43" width="13" style="406" customWidth="1"/>
    <col min="44" max="55" width="10.8516" style="406" customWidth="1"/>
    <col min="56" max="16384" width="10.8516" style="406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227">
        <v>290</v>
      </c>
      <c r="B2" s="228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206">
        <v>302</v>
      </c>
      <c r="V2" t="s" s="206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407">
        <v>2469</v>
      </c>
      <c r="B3" s="408">
        <v>1921</v>
      </c>
      <c r="C3" s="112">
        <v>1</v>
      </c>
      <c r="D3" t="s" s="83">
        <v>2470</v>
      </c>
      <c r="E3" t="s" s="83">
        <v>2471</v>
      </c>
      <c r="F3" s="332"/>
      <c r="G3" t="s" s="409">
        <v>2472</v>
      </c>
      <c r="H3" t="s" s="83">
        <v>123</v>
      </c>
      <c r="I3" s="112">
        <v>1</v>
      </c>
      <c r="J3" s="112">
        <v>1</v>
      </c>
      <c r="K3" s="208"/>
      <c r="L3" s="209"/>
      <c r="M3" s="210"/>
      <c r="N3" s="112">
        <v>1</v>
      </c>
      <c r="O3" s="211"/>
      <c r="P3" s="30"/>
      <c r="Q3" s="208"/>
      <c r="R3" s="209"/>
      <c r="S3" s="210"/>
      <c r="T3" s="112">
        <v>53</v>
      </c>
      <c r="U3" s="195"/>
      <c r="V3" s="13"/>
      <c r="W3" s="210"/>
      <c r="X3" s="332"/>
      <c r="Y3" s="332"/>
      <c r="Z3" s="332"/>
      <c r="AA3" t="s" s="83">
        <v>33</v>
      </c>
      <c r="AB3" t="s" s="198">
        <v>34</v>
      </c>
      <c r="AC3" s="332"/>
      <c r="AD3" s="332"/>
      <c r="AE3" s="30"/>
      <c r="AF3" t="s" s="83">
        <v>22</v>
      </c>
      <c r="AG3" s="332"/>
      <c r="AH3" s="30"/>
      <c r="AI3" t="s" s="83">
        <v>2473</v>
      </c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208"/>
      <c r="BA3" s="209"/>
      <c r="BB3" s="209"/>
      <c r="BC3" s="213"/>
    </row>
    <row r="4" ht="17.5" customHeight="1">
      <c r="A4" t="s" s="83">
        <v>2469</v>
      </c>
      <c r="B4" s="112">
        <v>1921</v>
      </c>
      <c r="C4" s="112">
        <v>1</v>
      </c>
      <c r="D4" t="s" s="83">
        <v>2470</v>
      </c>
      <c r="E4" t="s" s="83">
        <v>2471</v>
      </c>
      <c r="F4" s="30"/>
      <c r="G4" t="s" s="27">
        <v>2472</v>
      </c>
      <c r="H4" t="s" s="83">
        <v>839</v>
      </c>
      <c r="I4" s="114">
        <v>2</v>
      </c>
      <c r="J4" t="s" s="27">
        <v>37</v>
      </c>
      <c r="K4" s="316">
        <v>1</v>
      </c>
      <c r="L4" s="14"/>
      <c r="M4" s="201"/>
      <c r="N4" t="s" s="27">
        <v>36</v>
      </c>
      <c r="O4" s="202"/>
      <c r="P4" s="29"/>
      <c r="Q4" s="316">
        <v>1</v>
      </c>
      <c r="R4" s="14"/>
      <c r="S4" s="201"/>
      <c r="T4" s="114">
        <v>30</v>
      </c>
      <c r="U4" s="200"/>
      <c r="V4" s="14"/>
      <c r="W4" s="201"/>
      <c r="X4" s="30"/>
      <c r="Y4" s="30"/>
      <c r="Z4" s="30"/>
      <c r="AA4" t="s" s="27">
        <v>2474</v>
      </c>
      <c r="AB4" t="s" s="27">
        <v>2475</v>
      </c>
      <c r="AC4" s="112">
        <v>1</v>
      </c>
      <c r="AD4" s="30"/>
      <c r="AE4" s="30"/>
      <c r="AF4" s="114">
        <v>1</v>
      </c>
      <c r="AG4" s="121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200"/>
      <c r="BA4" s="14"/>
      <c r="BB4" s="14"/>
      <c r="BC4" s="14"/>
    </row>
    <row r="5" ht="17.5" customHeight="1">
      <c r="A5" t="s" s="83">
        <v>2469</v>
      </c>
      <c r="B5" s="112">
        <v>1921</v>
      </c>
      <c r="C5" s="112">
        <v>1</v>
      </c>
      <c r="D5" t="s" s="83">
        <v>2470</v>
      </c>
      <c r="E5" t="s" s="83">
        <v>2471</v>
      </c>
      <c r="F5" s="30"/>
      <c r="G5" t="s" s="27">
        <v>2472</v>
      </c>
      <c r="H5" t="s" s="83">
        <v>192</v>
      </c>
      <c r="I5" s="112">
        <v>3</v>
      </c>
      <c r="J5" s="112">
        <v>1</v>
      </c>
      <c r="K5" s="74"/>
      <c r="L5" s="16"/>
      <c r="M5" s="75"/>
      <c r="N5" t="s" s="83">
        <v>78</v>
      </c>
      <c r="O5" s="122"/>
      <c r="P5" s="112">
        <v>1</v>
      </c>
      <c r="Q5" s="74"/>
      <c r="R5" s="16"/>
      <c r="S5" s="75"/>
      <c r="T5" s="112">
        <v>24</v>
      </c>
      <c r="U5" s="74"/>
      <c r="V5" s="16"/>
      <c r="W5" s="75"/>
      <c r="X5" s="30"/>
      <c r="Y5" s="30"/>
      <c r="Z5" s="30"/>
      <c r="AA5" t="s" s="83">
        <v>34</v>
      </c>
      <c r="AB5" t="s" s="119">
        <v>34</v>
      </c>
      <c r="AC5" s="30"/>
      <c r="AD5" s="30"/>
      <c r="AE5" s="30"/>
      <c r="AF5" s="112">
        <v>1</v>
      </c>
      <c r="AG5" s="121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2469</v>
      </c>
      <c r="B6" s="112">
        <v>1921</v>
      </c>
      <c r="C6" s="112">
        <v>1</v>
      </c>
      <c r="D6" t="s" s="83">
        <v>2470</v>
      </c>
      <c r="E6" t="s" s="83">
        <v>2471</v>
      </c>
      <c r="F6" s="30"/>
      <c r="G6" t="s" s="27">
        <v>2472</v>
      </c>
      <c r="H6" t="s" s="83">
        <v>2476</v>
      </c>
      <c r="I6" s="112">
        <v>4</v>
      </c>
      <c r="J6" t="s" s="83">
        <v>37</v>
      </c>
      <c r="K6" s="156">
        <v>1</v>
      </c>
      <c r="L6" s="16"/>
      <c r="M6" s="75"/>
      <c r="N6" t="s" s="83">
        <v>36</v>
      </c>
      <c r="O6" s="122"/>
      <c r="P6" s="30"/>
      <c r="Q6" s="156">
        <v>1</v>
      </c>
      <c r="R6" s="16"/>
      <c r="S6" s="75"/>
      <c r="T6" s="112">
        <v>14</v>
      </c>
      <c r="U6" s="74"/>
      <c r="V6" s="16"/>
      <c r="W6" s="75"/>
      <c r="X6" s="30"/>
      <c r="Y6" s="30"/>
      <c r="Z6" s="30"/>
      <c r="AA6" t="s" s="83">
        <v>2477</v>
      </c>
      <c r="AB6" t="s" s="119">
        <v>34</v>
      </c>
      <c r="AC6" s="30"/>
      <c r="AD6" s="30"/>
      <c r="AE6" s="30"/>
      <c r="AF6" s="112">
        <v>1</v>
      </c>
      <c r="AG6" s="121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2469</v>
      </c>
      <c r="B7" s="112">
        <v>1921</v>
      </c>
      <c r="C7" s="30"/>
      <c r="D7" t="s" s="83">
        <v>2470</v>
      </c>
      <c r="E7" s="30"/>
      <c r="F7" s="30"/>
      <c r="G7" s="30"/>
      <c r="H7" s="112">
        <v>4</v>
      </c>
      <c r="I7" s="116"/>
      <c r="J7" s="62"/>
      <c r="K7" s="16"/>
      <c r="L7" s="16"/>
      <c r="M7" s="75"/>
      <c r="N7" s="30"/>
      <c r="O7" s="74"/>
      <c r="P7" s="62"/>
      <c r="Q7" s="16"/>
      <c r="R7" s="16"/>
      <c r="S7" s="16"/>
      <c r="T7" s="62"/>
      <c r="U7" s="16"/>
      <c r="V7" s="16"/>
      <c r="W7" s="75"/>
      <c r="X7" s="30"/>
      <c r="Y7" s="30"/>
      <c r="Z7" s="30"/>
      <c r="AA7" s="115"/>
      <c r="AB7" s="30"/>
      <c r="AC7" s="30"/>
      <c r="AD7" s="30"/>
      <c r="AE7" s="30"/>
      <c r="AF7" s="30"/>
      <c r="AG7" s="121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2469</v>
      </c>
      <c r="B8" s="112">
        <v>1921</v>
      </c>
      <c r="C8" s="30"/>
      <c r="D8" t="s" s="83">
        <v>2470</v>
      </c>
      <c r="E8" s="30"/>
      <c r="F8" s="30"/>
      <c r="G8" s="30"/>
      <c r="H8" t="s" s="83">
        <v>0</v>
      </c>
      <c r="I8" t="s" s="157">
        <v>1</v>
      </c>
      <c r="J8" t="s" s="96">
        <v>3</v>
      </c>
      <c r="K8" s="16"/>
      <c r="L8" s="16"/>
      <c r="M8" s="75"/>
      <c r="N8" t="s" s="83">
        <v>2</v>
      </c>
      <c r="O8" s="74"/>
      <c r="P8" s="16"/>
      <c r="Q8" s="16"/>
      <c r="R8" s="16"/>
      <c r="S8" s="16"/>
      <c r="T8" t="s" s="96">
        <v>5</v>
      </c>
      <c r="U8" s="16"/>
      <c r="V8" s="16"/>
      <c r="W8" s="75"/>
      <c r="X8" s="30"/>
      <c r="Y8" s="30"/>
      <c r="Z8" s="30"/>
      <c r="AA8" t="s" s="159">
        <v>7</v>
      </c>
      <c r="AB8" t="s" s="83">
        <v>8</v>
      </c>
      <c r="AC8" s="30"/>
      <c r="AD8" s="30"/>
      <c r="AE8" s="30"/>
      <c r="AF8" t="s" s="83">
        <v>6</v>
      </c>
      <c r="AG8" s="121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2469</v>
      </c>
      <c r="B9" s="112">
        <v>1921</v>
      </c>
      <c r="C9" s="112">
        <v>2</v>
      </c>
      <c r="D9" t="s" s="83">
        <v>2470</v>
      </c>
      <c r="E9" t="s" s="82">
        <v>2478</v>
      </c>
      <c r="F9" s="30"/>
      <c r="G9" t="s" s="82">
        <v>2479</v>
      </c>
      <c r="H9" t="s" s="83">
        <v>1410</v>
      </c>
      <c r="I9" s="156">
        <v>5</v>
      </c>
      <c r="J9" t="s" s="96">
        <v>37</v>
      </c>
      <c r="K9" s="79">
        <v>1</v>
      </c>
      <c r="L9" s="16"/>
      <c r="M9" s="75"/>
      <c r="N9" s="112">
        <v>1</v>
      </c>
      <c r="O9" s="74"/>
      <c r="P9" s="16"/>
      <c r="Q9" s="16"/>
      <c r="R9" s="16"/>
      <c r="S9" s="16"/>
      <c r="T9" s="79">
        <v>36</v>
      </c>
      <c r="U9" s="16"/>
      <c r="V9" s="16"/>
      <c r="W9" s="75"/>
      <c r="X9" s="30"/>
      <c r="Y9" s="30"/>
      <c r="Z9" s="30"/>
      <c r="AA9" t="s" s="159">
        <v>2480</v>
      </c>
      <c r="AB9" t="s" s="83">
        <v>2481</v>
      </c>
      <c r="AC9" s="112">
        <v>1</v>
      </c>
      <c r="AD9" s="30"/>
      <c r="AE9" s="30"/>
      <c r="AF9" t="s" s="83">
        <v>34</v>
      </c>
      <c r="AG9" s="12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2469</v>
      </c>
      <c r="B10" s="112">
        <v>1921</v>
      </c>
      <c r="C10" s="112">
        <v>2</v>
      </c>
      <c r="D10" t="s" s="83">
        <v>2470</v>
      </c>
      <c r="E10" t="s" s="159">
        <v>2478</v>
      </c>
      <c r="F10" s="30"/>
      <c r="G10" t="s" s="159">
        <v>2479</v>
      </c>
      <c r="H10" t="s" s="83">
        <v>874</v>
      </c>
      <c r="I10" s="156">
        <v>6</v>
      </c>
      <c r="J10" s="79">
        <v>1</v>
      </c>
      <c r="K10" s="16"/>
      <c r="L10" s="16"/>
      <c r="M10" s="75"/>
      <c r="N10" t="s" s="83">
        <v>72</v>
      </c>
      <c r="O10" s="156">
        <v>1</v>
      </c>
      <c r="P10" s="16"/>
      <c r="Q10" s="16"/>
      <c r="R10" s="16"/>
      <c r="S10" s="16"/>
      <c r="T10" s="79">
        <v>32</v>
      </c>
      <c r="U10" s="16"/>
      <c r="V10" s="16"/>
      <c r="W10" s="75"/>
      <c r="X10" s="30"/>
      <c r="Y10" s="30"/>
      <c r="Z10" s="30"/>
      <c r="AA10" t="s" s="159">
        <v>33</v>
      </c>
      <c r="AB10" t="s" s="83">
        <v>34</v>
      </c>
      <c r="AC10" s="30"/>
      <c r="AD10" s="30"/>
      <c r="AE10" s="30"/>
      <c r="AF10" s="112">
        <v>1</v>
      </c>
      <c r="AG10" s="12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83">
        <v>2469</v>
      </c>
      <c r="B11" s="112">
        <v>1921</v>
      </c>
      <c r="C11" s="112">
        <v>2</v>
      </c>
      <c r="D11" t="s" s="83">
        <v>2470</v>
      </c>
      <c r="E11" t="s" s="110">
        <v>2478</v>
      </c>
      <c r="F11" s="30"/>
      <c r="G11" t="s" s="159">
        <v>2479</v>
      </c>
      <c r="H11" t="s" s="83">
        <v>2482</v>
      </c>
      <c r="I11" s="156">
        <v>7</v>
      </c>
      <c r="J11" t="s" s="96">
        <v>37</v>
      </c>
      <c r="K11" s="79">
        <v>1</v>
      </c>
      <c r="L11" s="16"/>
      <c r="M11" s="75"/>
      <c r="N11" t="s" s="83">
        <v>36</v>
      </c>
      <c r="O11" s="74"/>
      <c r="P11" s="16"/>
      <c r="Q11" s="79">
        <v>1</v>
      </c>
      <c r="R11" s="16"/>
      <c r="S11" s="16"/>
      <c r="T11" s="79">
        <v>10</v>
      </c>
      <c r="U11" s="16"/>
      <c r="V11" s="16"/>
      <c r="W11" s="75"/>
      <c r="X11" s="30"/>
      <c r="Y11" s="30"/>
      <c r="Z11" s="30"/>
      <c r="AA11" t="s" s="159">
        <v>34</v>
      </c>
      <c r="AB11" t="s" s="83">
        <v>34</v>
      </c>
      <c r="AC11" s="30"/>
      <c r="AD11" s="30"/>
      <c r="AE11" s="30"/>
      <c r="AF11" s="112">
        <v>1</v>
      </c>
      <c r="AG11" s="121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" customHeight="1">
      <c r="A12" t="s" s="83">
        <v>2469</v>
      </c>
      <c r="B12" s="112">
        <v>1921</v>
      </c>
      <c r="C12" s="30"/>
      <c r="D12" t="s" s="83">
        <v>2470</v>
      </c>
      <c r="E12" s="30"/>
      <c r="F12" s="30"/>
      <c r="G12" s="141"/>
      <c r="H12" s="112">
        <v>3</v>
      </c>
      <c r="I12" s="74"/>
      <c r="J12" s="132"/>
      <c r="K12" s="16"/>
      <c r="L12" s="16"/>
      <c r="M12" s="75"/>
      <c r="N12" s="30"/>
      <c r="O12" s="74"/>
      <c r="P12" s="132"/>
      <c r="Q12" s="16"/>
      <c r="R12" s="16"/>
      <c r="S12" s="16"/>
      <c r="T12" s="132"/>
      <c r="U12" s="16"/>
      <c r="V12" s="16"/>
      <c r="W12" s="75"/>
      <c r="X12" s="112" cm="1">
        <f t="array" ref="X12">SUM(X3:X11)</f>
        <v>0</v>
      </c>
      <c r="Y12" s="112" cm="1">
        <f t="array" ref="Y12">SUM(Y3:Y11)</f>
        <v>0</v>
      </c>
      <c r="Z12" s="112" cm="1">
        <f t="array" ref="Z12">SUM(Z3:Z11)</f>
        <v>0</v>
      </c>
      <c r="AA12" s="141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2469</v>
      </c>
      <c r="B13" s="112">
        <v>1921</v>
      </c>
      <c r="C13" s="112">
        <v>3</v>
      </c>
      <c r="D13" t="s" s="83">
        <v>2470</v>
      </c>
      <c r="E13" t="s" s="83">
        <v>2483</v>
      </c>
      <c r="F13" s="30"/>
      <c r="G13" t="s" s="83">
        <v>2362</v>
      </c>
      <c r="H13" t="s" s="83">
        <v>2484</v>
      </c>
      <c r="I13" s="120">
        <v>8</v>
      </c>
      <c r="J13" s="112">
        <v>1</v>
      </c>
      <c r="K13" s="74"/>
      <c r="L13" s="16"/>
      <c r="M13" s="75"/>
      <c r="N13" s="112">
        <v>1</v>
      </c>
      <c r="O13" s="122"/>
      <c r="P13" s="30"/>
      <c r="Q13" s="74"/>
      <c r="R13" s="16"/>
      <c r="S13" s="75"/>
      <c r="T13" s="118">
        <v>72</v>
      </c>
      <c r="U13" s="74"/>
      <c r="V13" s="16"/>
      <c r="W13" s="75"/>
      <c r="X13" s="30"/>
      <c r="Y13" s="30"/>
      <c r="Z13" s="30"/>
      <c r="AA13" t="s" s="119">
        <v>2485</v>
      </c>
      <c r="AB13" s="121"/>
      <c r="AC13" s="30"/>
      <c r="AD13" s="30"/>
      <c r="AE13" s="30"/>
      <c r="AF13" s="118">
        <v>1</v>
      </c>
      <c r="AG13" s="121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2469</v>
      </c>
      <c r="B14" s="112">
        <v>1921</v>
      </c>
      <c r="C14" s="112">
        <v>3</v>
      </c>
      <c r="D14" t="s" s="83">
        <v>2470</v>
      </c>
      <c r="E14" t="s" s="83">
        <v>2483</v>
      </c>
      <c r="F14" s="30"/>
      <c r="G14" t="s" s="83">
        <v>2362</v>
      </c>
      <c r="H14" t="s" s="83">
        <v>259</v>
      </c>
      <c r="I14" s="120">
        <v>9</v>
      </c>
      <c r="J14" s="112">
        <v>1</v>
      </c>
      <c r="K14" s="74"/>
      <c r="L14" s="16"/>
      <c r="M14" s="75"/>
      <c r="N14" t="s" s="83">
        <v>298</v>
      </c>
      <c r="O14" s="122"/>
      <c r="P14" s="112">
        <v>1</v>
      </c>
      <c r="Q14" s="74"/>
      <c r="R14" s="16"/>
      <c r="S14" s="75"/>
      <c r="T14" s="112">
        <v>46</v>
      </c>
      <c r="U14" s="74"/>
      <c r="V14" s="16"/>
      <c r="W14" s="75"/>
      <c r="X14" s="30"/>
      <c r="Y14" s="30"/>
      <c r="Z14" s="30"/>
      <c r="AA14" t="s" s="83">
        <v>2486</v>
      </c>
      <c r="AB14" t="s" s="83">
        <v>2487</v>
      </c>
      <c r="AC14" s="112">
        <v>1</v>
      </c>
      <c r="AD14" s="30"/>
      <c r="AE14" s="30"/>
      <c r="AF14" s="112">
        <v>1</v>
      </c>
      <c r="AG14" s="121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2469</v>
      </c>
      <c r="B15" s="112">
        <v>1921</v>
      </c>
      <c r="C15" s="30"/>
      <c r="D15" t="s" s="83">
        <v>2470</v>
      </c>
      <c r="E15" s="30"/>
      <c r="F15" s="30"/>
      <c r="G15" s="115"/>
      <c r="H15" s="112">
        <v>2</v>
      </c>
      <c r="I15" s="74"/>
      <c r="J15" s="62"/>
      <c r="K15" s="16"/>
      <c r="L15" s="16"/>
      <c r="M15" s="75"/>
      <c r="N15" s="115"/>
      <c r="O15" s="74"/>
      <c r="P15" s="62"/>
      <c r="Q15" s="16"/>
      <c r="R15" s="16"/>
      <c r="S15" s="16"/>
      <c r="T15" s="62"/>
      <c r="U15" s="16"/>
      <c r="V15" s="16"/>
      <c r="W15" s="75"/>
      <c r="X15" s="30"/>
      <c r="Y15" s="30"/>
      <c r="Z15" s="30"/>
      <c r="AA15" s="115"/>
      <c r="AB15" s="30"/>
      <c r="AC15" s="30"/>
      <c r="AD15" s="30"/>
      <c r="AE15" s="30"/>
      <c r="AF15" s="30"/>
      <c r="AG15" s="121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83">
        <v>2469</v>
      </c>
      <c r="B16" s="112">
        <v>1921</v>
      </c>
      <c r="C16" s="30"/>
      <c r="D16" t="s" s="83">
        <v>2470</v>
      </c>
      <c r="E16" s="30"/>
      <c r="F16" s="30"/>
      <c r="G16" t="s" s="157">
        <v>1</v>
      </c>
      <c r="H16" t="s" s="98">
        <v>0</v>
      </c>
      <c r="I16" s="16"/>
      <c r="J16" t="s" s="96">
        <v>3</v>
      </c>
      <c r="K16" s="16"/>
      <c r="L16" s="16"/>
      <c r="M16" s="16"/>
      <c r="N16" t="s" s="96">
        <v>2</v>
      </c>
      <c r="O16" s="16"/>
      <c r="P16" s="16"/>
      <c r="Q16" s="16"/>
      <c r="R16" s="16"/>
      <c r="S16" s="16"/>
      <c r="T16" t="s" s="96">
        <v>5</v>
      </c>
      <c r="U16" s="16"/>
      <c r="V16" s="16"/>
      <c r="W16" s="75"/>
      <c r="X16" s="30"/>
      <c r="Y16" s="30"/>
      <c r="Z16" s="30"/>
      <c r="AA16" t="s" s="157">
        <v>7</v>
      </c>
      <c r="AB16" t="s" s="154">
        <v>8</v>
      </c>
      <c r="AC16" s="30"/>
      <c r="AD16" s="30"/>
      <c r="AE16" s="30"/>
      <c r="AF16" t="s" s="82">
        <v>6</v>
      </c>
      <c r="AG16" s="121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2469</v>
      </c>
      <c r="B17" s="112">
        <v>1921</v>
      </c>
      <c r="C17" s="112">
        <v>4</v>
      </c>
      <c r="D17" t="s" s="83">
        <v>2470</v>
      </c>
      <c r="E17" s="30"/>
      <c r="F17" s="30"/>
      <c r="G17" t="s" s="157">
        <v>710</v>
      </c>
      <c r="H17" t="s" s="96">
        <v>2488</v>
      </c>
      <c r="I17" s="79">
        <v>10</v>
      </c>
      <c r="J17" t="s" s="96">
        <v>37</v>
      </c>
      <c r="K17" s="79">
        <v>1</v>
      </c>
      <c r="L17" s="16"/>
      <c r="M17" s="16"/>
      <c r="N17" s="79">
        <v>1</v>
      </c>
      <c r="O17" s="16"/>
      <c r="P17" s="16"/>
      <c r="Q17" s="16"/>
      <c r="R17" s="16"/>
      <c r="S17" s="16"/>
      <c r="T17" s="79">
        <v>76</v>
      </c>
      <c r="U17" s="16"/>
      <c r="V17" s="16"/>
      <c r="W17" s="75"/>
      <c r="X17" s="30"/>
      <c r="Y17" s="30"/>
      <c r="Z17" s="30"/>
      <c r="AA17" t="s" s="157">
        <v>2489</v>
      </c>
      <c r="AB17" t="s" s="158">
        <v>34</v>
      </c>
      <c r="AC17" s="112">
        <v>1</v>
      </c>
      <c r="AD17" s="30"/>
      <c r="AE17" s="30"/>
      <c r="AF17" s="120">
        <v>1</v>
      </c>
      <c r="AG17" s="121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2469</v>
      </c>
      <c r="B18" s="112">
        <v>1921</v>
      </c>
      <c r="C18" s="112">
        <v>4</v>
      </c>
      <c r="D18" t="s" s="83">
        <v>2470</v>
      </c>
      <c r="E18" s="30"/>
      <c r="F18" s="30"/>
      <c r="G18" t="s" s="157">
        <v>710</v>
      </c>
      <c r="H18" t="s" s="96">
        <v>2490</v>
      </c>
      <c r="I18" s="79">
        <v>11</v>
      </c>
      <c r="J18" t="s" s="96">
        <v>37</v>
      </c>
      <c r="K18" s="79">
        <v>1</v>
      </c>
      <c r="L18" s="16"/>
      <c r="M18" s="16"/>
      <c r="N18" t="s" s="96">
        <v>36</v>
      </c>
      <c r="O18" s="16"/>
      <c r="P18" s="16"/>
      <c r="Q18" s="79">
        <v>1</v>
      </c>
      <c r="R18" s="16"/>
      <c r="S18" s="16"/>
      <c r="T18" s="79">
        <v>42</v>
      </c>
      <c r="U18" s="16"/>
      <c r="V18" s="16"/>
      <c r="W18" s="75"/>
      <c r="X18" s="30"/>
      <c r="Y18" s="30"/>
      <c r="Z18" s="30"/>
      <c r="AA18" t="s" s="157">
        <v>689</v>
      </c>
      <c r="AB18" t="s" s="158">
        <v>8</v>
      </c>
      <c r="AC18" s="112">
        <v>1</v>
      </c>
      <c r="AD18" s="112">
        <v>1</v>
      </c>
      <c r="AE18" s="30"/>
      <c r="AF18" s="120">
        <v>1</v>
      </c>
      <c r="AG18" s="121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2469</v>
      </c>
      <c r="B19" s="112">
        <v>1921</v>
      </c>
      <c r="C19" s="112">
        <v>4</v>
      </c>
      <c r="D19" t="s" s="83">
        <v>2470</v>
      </c>
      <c r="E19" s="30"/>
      <c r="F19" s="30"/>
      <c r="G19" t="s" s="157">
        <v>2491</v>
      </c>
      <c r="H19" t="s" s="96">
        <v>2492</v>
      </c>
      <c r="I19" s="79">
        <v>12</v>
      </c>
      <c r="J19" s="79">
        <v>1</v>
      </c>
      <c r="K19" s="16"/>
      <c r="L19" s="16"/>
      <c r="M19" s="16"/>
      <c r="N19" t="s" s="96">
        <v>11</v>
      </c>
      <c r="O19" s="16"/>
      <c r="P19" s="16"/>
      <c r="Q19" s="16"/>
      <c r="R19" s="16"/>
      <c r="S19" s="79">
        <v>1</v>
      </c>
      <c r="T19" s="79">
        <v>42</v>
      </c>
      <c r="U19" s="16"/>
      <c r="V19" s="16"/>
      <c r="W19" s="75"/>
      <c r="X19" s="30"/>
      <c r="Y19" s="30"/>
      <c r="Z19" s="30"/>
      <c r="AA19" t="s" s="157">
        <v>188</v>
      </c>
      <c r="AB19" t="s" s="158">
        <v>15</v>
      </c>
      <c r="AC19" s="112">
        <v>1</v>
      </c>
      <c r="AD19" s="30"/>
      <c r="AE19" s="30"/>
      <c r="AF19" t="s" s="159">
        <v>2182</v>
      </c>
      <c r="AG19" s="121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2469</v>
      </c>
      <c r="B20" s="112">
        <v>1921</v>
      </c>
      <c r="C20" s="112">
        <v>4</v>
      </c>
      <c r="D20" t="s" s="83">
        <v>2470</v>
      </c>
      <c r="E20" s="30"/>
      <c r="F20" s="30"/>
      <c r="G20" t="s" s="157">
        <v>1196</v>
      </c>
      <c r="H20" t="s" s="96">
        <v>2493</v>
      </c>
      <c r="I20" s="79">
        <v>13</v>
      </c>
      <c r="J20" s="79">
        <v>1</v>
      </c>
      <c r="K20" s="16"/>
      <c r="L20" s="16"/>
      <c r="M20" s="16"/>
      <c r="N20" t="s" s="96">
        <v>11</v>
      </c>
      <c r="O20" s="16"/>
      <c r="P20" s="16"/>
      <c r="Q20" s="16"/>
      <c r="R20" s="16"/>
      <c r="S20" s="79">
        <v>1</v>
      </c>
      <c r="T20" s="79">
        <v>36</v>
      </c>
      <c r="U20" s="16"/>
      <c r="V20" s="16"/>
      <c r="W20" s="75"/>
      <c r="X20" s="30"/>
      <c r="Y20" s="30"/>
      <c r="Z20" s="30"/>
      <c r="AA20" t="s" s="157">
        <v>188</v>
      </c>
      <c r="AB20" t="s" s="158">
        <v>34</v>
      </c>
      <c r="AC20" s="112">
        <v>1</v>
      </c>
      <c r="AD20" s="30"/>
      <c r="AE20" s="30"/>
      <c r="AF20" t="s" s="159">
        <v>2494</v>
      </c>
      <c r="AG20" s="121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2469</v>
      </c>
      <c r="B21" s="112">
        <v>1921</v>
      </c>
      <c r="C21" s="112">
        <v>4</v>
      </c>
      <c r="D21" t="s" s="83">
        <v>2470</v>
      </c>
      <c r="E21" s="30"/>
      <c r="F21" s="30"/>
      <c r="G21" t="s" s="160">
        <v>2495</v>
      </c>
      <c r="H21" t="s" s="96">
        <v>2496</v>
      </c>
      <c r="I21" s="79">
        <v>14</v>
      </c>
      <c r="J21" s="79">
        <v>1</v>
      </c>
      <c r="K21" s="16"/>
      <c r="L21" s="16"/>
      <c r="M21" s="16"/>
      <c r="N21" t="s" s="96">
        <v>11</v>
      </c>
      <c r="O21" s="16"/>
      <c r="P21" s="16"/>
      <c r="Q21" s="16"/>
      <c r="R21" s="16"/>
      <c r="S21" s="79">
        <v>1</v>
      </c>
      <c r="T21" s="79">
        <v>23</v>
      </c>
      <c r="U21" s="16"/>
      <c r="V21" s="16"/>
      <c r="W21" s="75"/>
      <c r="X21" s="30"/>
      <c r="Y21" s="30"/>
      <c r="Z21" s="30"/>
      <c r="AA21" t="s" s="157">
        <v>188</v>
      </c>
      <c r="AB21" t="s" s="158">
        <v>34</v>
      </c>
      <c r="AC21" s="112">
        <v>1</v>
      </c>
      <c r="AD21" s="30"/>
      <c r="AE21" s="30"/>
      <c r="AF21" t="s" s="159">
        <v>2182</v>
      </c>
      <c r="AG21" s="121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2469</v>
      </c>
      <c r="B22" s="112">
        <v>1921</v>
      </c>
      <c r="C22" s="112">
        <v>4</v>
      </c>
      <c r="D22" t="s" s="83">
        <v>2470</v>
      </c>
      <c r="E22" s="30"/>
      <c r="F22" s="30"/>
      <c r="G22" s="30"/>
      <c r="H22" s="162">
        <v>5</v>
      </c>
      <c r="I22" s="79">
        <v>14</v>
      </c>
      <c r="J22" s="126" cm="1">
        <f t="array" ref="J22">SUM(J3:J21)</f>
        <v>8</v>
      </c>
      <c r="K22" s="79" cm="1">
        <f t="array" ref="K22">SUM(K3:K21)</f>
        <v>6</v>
      </c>
      <c r="L22" s="79" cm="1">
        <f t="array" ref="L22">SUM(L3:L21)</f>
        <v>0</v>
      </c>
      <c r="M22" s="79" cm="1">
        <f t="array" ref="M22">SUM(M3:M21)</f>
        <v>0</v>
      </c>
      <c r="N22" s="126" cm="1">
        <f t="array" ref="N22">SUM(N3:N21)</f>
        <v>4</v>
      </c>
      <c r="O22" s="79" cm="1">
        <f t="array" ref="O22">SUM(O3:O21)</f>
        <v>1</v>
      </c>
      <c r="P22" s="126" cm="1">
        <f t="array" ref="P22">SUM(P3:P21)</f>
        <v>2</v>
      </c>
      <c r="Q22" s="79" cm="1">
        <f t="array" ref="Q22">SUM(Q3:Q21)</f>
        <v>4</v>
      </c>
      <c r="R22" s="79" cm="1">
        <f t="array" ref="R22">SUM(R3:R21)</f>
        <v>0</v>
      </c>
      <c r="S22" s="79" cm="1">
        <f t="array" ref="S22">SUM(S3:S21)</f>
        <v>3</v>
      </c>
      <c r="T22" s="126" cm="1">
        <f t="array" ref="T22">SUM(T3:T21)</f>
        <v>536</v>
      </c>
      <c r="U22" s="79" cm="1">
        <f t="array" ref="U22">SUM(AF3:AF21)</f>
        <v>9</v>
      </c>
      <c r="V22" s="79" cm="1">
        <f t="array" ref="V22">SUM(AA3:AA21)</f>
        <v>0</v>
      </c>
      <c r="W22" s="79" cm="1">
        <f t="array" ref="W22">SUM(AB3:AB21)</f>
        <v>0</v>
      </c>
      <c r="X22" s="127" cm="1">
        <f t="array" ref="X22">SUM(X3:X21)</f>
        <v>0</v>
      </c>
      <c r="Y22" s="127" cm="1">
        <f t="array" ref="Y22">SUM(Y3:Y21)</f>
        <v>0</v>
      </c>
      <c r="Z22" s="127" cm="1">
        <f t="array" ref="Z22">SUM(Z3:Z21)</f>
        <v>0</v>
      </c>
      <c r="AA22" s="126" cm="1">
        <f t="array" ref="AA22">SUM(AA3:AA21)</f>
        <v>0</v>
      </c>
      <c r="AB22" s="126" cm="1">
        <f t="array" ref="AB22">SUM(AB3:AB21)</f>
        <v>0</v>
      </c>
      <c r="AC22" s="127" cm="1">
        <f t="array" ref="AC22">SUM(AC3:AC21)</f>
        <v>8</v>
      </c>
      <c r="AD22" s="127" cm="1">
        <f t="array" ref="AD22">SUM(AD3:AD21)</f>
        <v>1</v>
      </c>
      <c r="AE22" s="127" cm="1">
        <f t="array" ref="AE22">AC22-AD22</f>
        <v>7</v>
      </c>
      <c r="AF22" s="126" cm="1">
        <f t="array" ref="AF22">SUM(AF3:AF21)</f>
        <v>9</v>
      </c>
      <c r="AG22" s="127" cm="1">
        <f t="array" ref="AG22">J23-AF22</f>
        <v>5</v>
      </c>
      <c r="AH22" s="128" cm="1">
        <f t="array" ref="AH22">SUM(AH3:AH21)</f>
        <v>0</v>
      </c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2469</v>
      </c>
      <c r="B23" s="112">
        <v>1921</v>
      </c>
      <c r="C23" s="30"/>
      <c r="D23" t="s" s="83">
        <v>2470</v>
      </c>
      <c r="E23" s="124"/>
      <c r="F23" s="28"/>
      <c r="G23" s="28"/>
      <c r="H23" s="28"/>
      <c r="I23" s="122"/>
      <c r="J23" s="346" cm="1">
        <f t="array" ref="J23">J22+K22</f>
        <v>14</v>
      </c>
      <c r="K23" s="74"/>
      <c r="L23" s="16"/>
      <c r="M23" s="75"/>
      <c r="N23" s="28"/>
      <c r="O23" s="122"/>
      <c r="P23" s="28"/>
      <c r="Q23" s="74"/>
      <c r="R23" s="16"/>
      <c r="S23" s="75"/>
      <c r="T23" s="410" cm="1">
        <f t="array" ref="T23">T22/J23</f>
        <v>38.2857142857143</v>
      </c>
      <c r="U23" s="74"/>
      <c r="V23" s="16"/>
      <c r="W23" s="75"/>
      <c r="X23" s="28"/>
      <c r="Y23" s="28"/>
      <c r="Z23" s="28"/>
      <c r="AA23" s="28"/>
      <c r="AB23" s="28"/>
      <c r="AC23" s="28"/>
      <c r="AD23" s="28"/>
      <c r="AE23" s="30"/>
      <c r="AF23" s="30"/>
      <c r="AG23" s="28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28" customHeight="1">
      <c r="A24" s="30"/>
      <c r="B24" s="30"/>
      <c r="C24" s="30"/>
      <c r="D24" s="30"/>
      <c r="E24" s="124"/>
      <c r="F24" s="28"/>
      <c r="G24" s="28"/>
      <c r="H24" s="28"/>
      <c r="I24" s="131"/>
      <c r="J24" s="297"/>
      <c r="K24" s="132"/>
      <c r="L24" s="132"/>
      <c r="M24" s="133"/>
      <c r="N24" s="163"/>
      <c r="O24" s="132"/>
      <c r="P24" s="165"/>
      <c r="Q24" s="131"/>
      <c r="R24" s="132"/>
      <c r="S24" s="133"/>
      <c r="T24" s="28"/>
      <c r="U24" s="131"/>
      <c r="V24" s="132"/>
      <c r="W24" s="133"/>
      <c r="X24" s="28"/>
      <c r="Y24" s="28"/>
      <c r="Z24" s="28"/>
      <c r="AA24" s="28"/>
      <c r="AB24" s="28"/>
      <c r="AC24" s="28"/>
      <c r="AD24" s="124"/>
      <c r="AE24" s="30"/>
      <c r="AF24" s="30"/>
      <c r="AG24" s="28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112" cm="1">
        <f t="array" ref="U25">SUM(U3:U24)</f>
        <v>9</v>
      </c>
      <c r="V25" s="112" cm="1">
        <f t="array" ref="V25">SUM(V3:V24)</f>
        <v>0</v>
      </c>
      <c r="W25" s="112" cm="1">
        <f t="array" ref="W25">SUM(W3:W24)</f>
        <v>0</v>
      </c>
      <c r="X25" s="112" cm="1">
        <f t="array" ref="X25">SUM(X3:X24)</f>
        <v>0</v>
      </c>
      <c r="Y25" s="112" cm="1">
        <f t="array" ref="Y25">SUM(Y3:Y24)</f>
        <v>0</v>
      </c>
      <c r="Z25" s="112" cm="1">
        <f t="array" ref="Z25">SUM(Z3:Z24)</f>
        <v>0</v>
      </c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121"/>
      <c r="N26" s="121"/>
      <c r="O26" s="121"/>
      <c r="P26" s="121"/>
      <c r="Q26" s="30"/>
      <c r="R26" s="121"/>
      <c r="S26" s="121"/>
      <c r="T26" s="87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179"/>
      <c r="F27" s="62"/>
      <c r="G27" s="117"/>
      <c r="H27" s="30"/>
      <c r="I27" s="30"/>
      <c r="J27" s="30"/>
      <c r="K27" s="30"/>
      <c r="L27" s="30"/>
      <c r="M27" s="30"/>
      <c r="N27" s="30"/>
      <c r="O27" s="30"/>
      <c r="P27" s="121"/>
      <c r="Q27" s="121"/>
      <c r="R27" s="121"/>
      <c r="S27" s="121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74"/>
      <c r="G28" s="75"/>
      <c r="H28" s="30"/>
      <c r="I28" s="30"/>
      <c r="J28" s="30"/>
      <c r="K28" s="30"/>
      <c r="L28" s="30"/>
      <c r="M28" s="30"/>
      <c r="N28" s="30"/>
      <c r="O28" s="30"/>
      <c r="P28" s="121"/>
      <c r="Q28" s="121"/>
      <c r="R28" s="121"/>
      <c r="S28" s="121"/>
      <c r="T28" s="30"/>
      <c r="U28" s="121"/>
      <c r="V28" s="121"/>
      <c r="W28" s="121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116"/>
      <c r="F29" s="16"/>
      <c r="G29" s="75"/>
      <c r="H29" s="30"/>
      <c r="I29" s="29"/>
      <c r="J29" s="29"/>
      <c r="K29" s="29"/>
      <c r="L29" s="29"/>
      <c r="M29" s="29"/>
      <c r="N29" s="29"/>
      <c r="O29" s="29"/>
      <c r="P29" s="29"/>
      <c r="Q29" s="30"/>
      <c r="R29" s="121"/>
      <c r="S29" s="121"/>
      <c r="T29" s="30"/>
      <c r="U29" s="121"/>
      <c r="V29" s="121"/>
      <c r="W29" s="121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74"/>
      <c r="F30" s="16"/>
      <c r="G30" s="75"/>
      <c r="H30" s="30"/>
      <c r="I30" s="30"/>
      <c r="J30" s="30"/>
      <c r="K30" s="30"/>
      <c r="L30" s="30"/>
      <c r="M30" s="30"/>
      <c r="N30" s="30"/>
      <c r="O30" s="30"/>
      <c r="P30" s="121"/>
      <c r="Q30" s="30"/>
      <c r="R30" s="121"/>
      <c r="S30" s="121"/>
      <c r="T30" s="30"/>
      <c r="U30" s="121"/>
      <c r="V30" s="121"/>
      <c r="W30" s="121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74"/>
      <c r="F31" s="16"/>
      <c r="G31" s="75"/>
      <c r="H31" s="30"/>
      <c r="I31" s="30"/>
      <c r="J31" s="30"/>
      <c r="K31" s="30"/>
      <c r="L31" s="30"/>
      <c r="M31" s="30"/>
      <c r="N31" s="30"/>
      <c r="O31" s="30"/>
      <c r="P31" s="121"/>
      <c r="Q31" s="30"/>
      <c r="R31" s="121"/>
      <c r="S31" s="121"/>
      <c r="T31" s="30"/>
      <c r="U31" s="121"/>
      <c r="V31" s="121"/>
      <c r="W31" s="121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74"/>
      <c r="F32" s="16"/>
      <c r="G32" s="75"/>
      <c r="H32" s="30"/>
      <c r="I32" s="30"/>
      <c r="J32" s="30"/>
      <c r="K32" s="30"/>
      <c r="L32" s="30"/>
      <c r="M32" s="30"/>
      <c r="N32" s="30"/>
      <c r="O32" s="30"/>
      <c r="P32" s="121"/>
      <c r="Q32" s="30"/>
      <c r="R32" s="121"/>
      <c r="S32" s="121"/>
      <c r="T32" s="30"/>
      <c r="U32" s="121"/>
      <c r="V32" s="121"/>
      <c r="W32" s="121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s="30"/>
      <c r="B33" s="30"/>
      <c r="C33" s="30"/>
      <c r="D33" s="30"/>
      <c r="E33" s="74"/>
      <c r="F33" s="16"/>
      <c r="G33" s="75"/>
      <c r="H33" s="30"/>
      <c r="I33" s="30"/>
      <c r="J33" s="30"/>
      <c r="K33" s="30"/>
      <c r="L33" s="30"/>
      <c r="M33" s="30"/>
      <c r="N33" s="30"/>
      <c r="O33" s="30"/>
      <c r="P33" s="121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.5" customHeight="1">
      <c r="A34" s="30"/>
      <c r="B34" s="30"/>
      <c r="C34" s="30"/>
      <c r="D34" s="30"/>
      <c r="E34" s="74"/>
      <c r="F34" s="16"/>
      <c r="G34" s="75"/>
      <c r="H34" s="30"/>
      <c r="I34" s="30"/>
      <c r="J34" s="30"/>
      <c r="K34" s="30"/>
      <c r="L34" s="30"/>
      <c r="M34" s="30"/>
      <c r="N34" s="30"/>
      <c r="O34" s="30"/>
      <c r="P34" s="121"/>
      <c r="Q34" s="30"/>
      <c r="R34" s="121"/>
      <c r="S34" s="121"/>
      <c r="T34" s="129"/>
      <c r="U34" s="121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s="30"/>
      <c r="B35" s="30"/>
      <c r="C35" s="30"/>
      <c r="D35" s="30"/>
      <c r="E35" s="131"/>
      <c r="F35" s="132"/>
      <c r="G35" s="133"/>
      <c r="H35" s="30"/>
      <c r="I35" s="30"/>
      <c r="J35" s="30"/>
      <c r="K35" s="30"/>
      <c r="L35" s="30"/>
      <c r="M35" s="30"/>
      <c r="N35" s="30"/>
      <c r="O35" s="30"/>
      <c r="P35" s="121"/>
      <c r="Q35" s="30"/>
      <c r="R35" s="121"/>
      <c r="S35" s="121"/>
      <c r="T35" s="30"/>
      <c r="U35" s="121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121"/>
      <c r="N36" s="121"/>
      <c r="O36" s="121"/>
      <c r="P36" s="121"/>
      <c r="Q36" s="30"/>
      <c r="R36" s="121"/>
      <c r="S36" s="121"/>
      <c r="T36" s="30"/>
      <c r="U36" s="121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121"/>
      <c r="N37" s="121"/>
      <c r="O37" s="121"/>
      <c r="P37" s="121"/>
      <c r="Q37" s="30"/>
      <c r="R37" s="121"/>
      <c r="S37" s="121"/>
      <c r="T37" s="129"/>
      <c r="U37" s="121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121"/>
      <c r="S38" t="s" s="119">
        <v>2497</v>
      </c>
      <c r="T38" s="30"/>
      <c r="U38" s="121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121"/>
      <c r="N39" s="121"/>
      <c r="O39" s="121"/>
      <c r="P39" s="121"/>
      <c r="Q39" s="30"/>
      <c r="R39" s="121"/>
      <c r="S39" s="121"/>
      <c r="T39" s="30"/>
      <c r="U39" s="121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.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121"/>
      <c r="N40" s="121"/>
      <c r="O40" s="121"/>
      <c r="P40" s="121"/>
      <c r="Q40" s="30"/>
      <c r="R40" s="121"/>
      <c r="S40" s="121"/>
      <c r="T40" s="30"/>
      <c r="U40" s="121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" customHeight="1">
      <c r="A41" s="83"/>
      <c r="B41" s="30"/>
      <c r="C41" s="30"/>
      <c r="D41" s="30"/>
      <c r="E41" s="30"/>
      <c r="F41" s="28"/>
      <c r="G41" s="28"/>
      <c r="H41" s="28"/>
      <c r="I41" s="28"/>
      <c r="J41" s="28"/>
      <c r="K41" s="125"/>
      <c r="L41" s="28"/>
      <c r="M41" s="28"/>
      <c r="N41" s="28"/>
      <c r="O41" s="28"/>
      <c r="P41" s="28"/>
      <c r="Q41" s="30"/>
      <c r="R41" t="s" s="83">
        <v>2498</v>
      </c>
      <c r="S41" s="30"/>
      <c r="T41" s="30"/>
      <c r="U41" s="112" cm="1">
        <f t="array" ref="U41">SUM(U3:U40)</f>
        <v>18</v>
      </c>
      <c r="V41" s="112" cm="1">
        <f t="array" ref="V41">SUM(V3:V40)</f>
        <v>0</v>
      </c>
      <c r="W41" s="112" cm="1">
        <f t="array" ref="W41">SUM(W3:W40)</f>
        <v>0</v>
      </c>
      <c r="X41" s="30"/>
      <c r="Y41" s="30"/>
      <c r="Z41" s="112" cm="1">
        <f t="array" ref="Z41">SUM(Z3:Z40)</f>
        <v>0</v>
      </c>
      <c r="AA41" s="112" cm="1">
        <f t="array" ref="AA41">SUM(AA3:AA40)</f>
        <v>0</v>
      </c>
      <c r="AB41" s="112" cm="1">
        <f t="array" ref="AB41">SUM(AB3:AB40)</f>
        <v>0</v>
      </c>
      <c r="AC41" s="112" cm="1">
        <f t="array" ref="AC41">SUM(AC3:AC40)</f>
        <v>16</v>
      </c>
      <c r="AD41" s="112" cm="1">
        <f t="array" ref="AD41">SUM(AD3:AD40)</f>
        <v>2</v>
      </c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" customHeight="1">
      <c r="A42" s="30"/>
      <c r="B42" s="30"/>
      <c r="C42" s="30"/>
      <c r="D42" s="30"/>
      <c r="E42" s="30"/>
      <c r="F42" s="28"/>
      <c r="G42" s="28"/>
      <c r="H42" s="28"/>
      <c r="I42" s="28"/>
      <c r="J42" s="163"/>
      <c r="K42" s="297"/>
      <c r="L42" s="165"/>
      <c r="M42" s="28"/>
      <c r="N42" s="28"/>
      <c r="O42" s="28"/>
      <c r="P42" s="28"/>
      <c r="Q42" s="87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7" customHeight="1">
      <c r="A43" s="30"/>
      <c r="B43" s="30"/>
      <c r="C43" s="30"/>
      <c r="D43" s="30"/>
      <c r="E43" s="30"/>
      <c r="F43" s="30"/>
      <c r="G43" s="130"/>
      <c r="H43" s="30"/>
      <c r="I43" s="30"/>
      <c r="J43" s="30"/>
      <c r="K43" s="30"/>
      <c r="L43" s="30"/>
      <c r="M43" s="30"/>
      <c r="N43" s="30"/>
      <c r="O43" s="28"/>
      <c r="P43" s="30"/>
      <c r="Q43" s="87"/>
      <c r="R43" s="130"/>
      <c r="S43" s="130"/>
      <c r="T43" s="1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28"/>
      <c r="P44" s="30"/>
      <c r="Q44" s="30"/>
      <c r="R44" s="121"/>
      <c r="S44" s="121"/>
      <c r="T44" s="129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130"/>
      <c r="S45" s="130"/>
      <c r="T45" s="130"/>
      <c r="U45" s="30"/>
      <c r="V45" s="30"/>
      <c r="W45" s="30"/>
      <c r="X45" s="30"/>
      <c r="Y45" s="30"/>
      <c r="Z45" s="30"/>
      <c r="AA45" s="30"/>
      <c r="AB45" s="30"/>
      <c r="AC45" s="134"/>
      <c r="AD45" s="134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" customHeight="1">
      <c r="A46" s="30"/>
      <c r="B46" s="30"/>
      <c r="C46" s="30"/>
      <c r="D46" s="30"/>
      <c r="E46" s="30"/>
      <c r="F46" s="30"/>
      <c r="G46" s="30"/>
      <c r="H46" s="30"/>
      <c r="I46" s="115"/>
      <c r="J46" s="30"/>
      <c r="K46" s="116"/>
      <c r="L46" s="62"/>
      <c r="M46" s="117"/>
      <c r="N46" s="30"/>
      <c r="O46" s="115"/>
      <c r="P46" s="30"/>
      <c r="Q46" s="30"/>
      <c r="R46" s="130"/>
      <c r="S46" s="130"/>
      <c r="T46" s="130"/>
      <c r="U46" s="30"/>
      <c r="V46" s="30"/>
      <c r="W46" s="30"/>
      <c r="X46" s="30"/>
      <c r="Y46" s="30"/>
      <c r="Z46" s="30"/>
      <c r="AA46" s="30"/>
      <c r="AB46" s="30"/>
      <c r="AC46" s="134"/>
      <c r="AD46" s="134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.5" customHeight="1">
      <c r="A47" s="30"/>
      <c r="B47" s="30"/>
      <c r="C47" s="30"/>
      <c r="D47" s="30"/>
      <c r="E47" s="30"/>
      <c r="F47" s="30"/>
      <c r="G47" s="30"/>
      <c r="H47" s="30"/>
      <c r="I47" s="122"/>
      <c r="J47" s="30"/>
      <c r="K47" s="74"/>
      <c r="L47" s="16"/>
      <c r="M47" s="75"/>
      <c r="N47" s="30"/>
      <c r="O47" s="122"/>
      <c r="P47" s="30"/>
      <c r="Q47" s="30"/>
      <c r="R47" s="121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5.35" customHeight="1">
      <c r="A48" s="62"/>
      <c r="B48" s="62"/>
      <c r="C48" s="62"/>
      <c r="D48" s="62"/>
      <c r="E48" s="62"/>
      <c r="F48" s="62"/>
      <c r="G48" s="117"/>
      <c r="H48" s="30"/>
      <c r="I48" s="122"/>
      <c r="J48" s="30"/>
      <c r="K48" s="74"/>
      <c r="L48" s="16"/>
      <c r="M48" s="75"/>
      <c r="N48" s="30"/>
      <c r="O48" s="122"/>
      <c r="P48" s="30"/>
      <c r="Q48" s="116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  <c r="AK48" s="62"/>
      <c r="AL48" s="62"/>
      <c r="AM48" s="62"/>
      <c r="AN48" s="62"/>
      <c r="AO48" s="62"/>
      <c r="AP48" s="62"/>
      <c r="AQ48" s="62"/>
      <c r="AR48" s="62"/>
      <c r="AS48" s="62"/>
      <c r="AT48" s="62"/>
      <c r="AU48" s="62"/>
      <c r="AV48" s="62"/>
      <c r="AW48" s="62"/>
      <c r="AX48" s="62"/>
      <c r="AY48" s="62"/>
      <c r="AZ48" s="16"/>
      <c r="BA48" s="16"/>
      <c r="BB48" s="16"/>
      <c r="BC48" s="16"/>
    </row>
    <row r="49" ht="15.35" customHeight="1">
      <c r="A49" s="16"/>
      <c r="B49" s="16"/>
      <c r="C49" s="16"/>
      <c r="D49" s="16"/>
      <c r="E49" s="16"/>
      <c r="F49" s="16"/>
      <c r="G49" s="75"/>
      <c r="H49" s="30"/>
      <c r="I49" s="122"/>
      <c r="J49" s="30"/>
      <c r="K49" s="74"/>
      <c r="L49" s="16"/>
      <c r="M49" s="75"/>
      <c r="N49" s="30"/>
      <c r="O49" s="122"/>
      <c r="P49" s="30"/>
      <c r="Q49" s="74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s="16"/>
      <c r="B50" s="16"/>
      <c r="C50" s="16"/>
      <c r="D50" s="16"/>
      <c r="E50" s="16"/>
      <c r="F50" s="16"/>
      <c r="G50" s="75"/>
      <c r="H50" s="30"/>
      <c r="I50" s="122"/>
      <c r="J50" s="30"/>
      <c r="K50" s="74"/>
      <c r="L50" s="16"/>
      <c r="M50" s="75"/>
      <c r="N50" s="30"/>
      <c r="O50" s="122"/>
      <c r="P50" s="30"/>
      <c r="Q50" s="74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0.xml><?xml version="1.0" encoding="utf-8"?>
<worksheet xmlns:r="http://schemas.openxmlformats.org/officeDocument/2006/relationships" xmlns="http://schemas.openxmlformats.org/spreadsheetml/2006/main">
  <dimension ref="A1:BC100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411" customWidth="1"/>
    <col min="4" max="4" width="17.8516" style="411" customWidth="1"/>
    <col min="5" max="5" width="20.1719" style="411" customWidth="1"/>
    <col min="6" max="6" width="9.85156" style="411" customWidth="1"/>
    <col min="7" max="7" width="10.8516" style="411" customWidth="1"/>
    <col min="8" max="8" width="16.8516" style="411" customWidth="1"/>
    <col min="9" max="10" width="10.8516" style="411" customWidth="1"/>
    <col min="11" max="11" width="8.5" style="411" customWidth="1"/>
    <col min="12" max="12" width="7.85156" style="411" customWidth="1"/>
    <col min="13" max="13" width="10" style="411" customWidth="1"/>
    <col min="14" max="14" width="8.67188" style="411" customWidth="1"/>
    <col min="15" max="15" width="18.5" style="411" customWidth="1"/>
    <col min="16" max="16" width="11.5" style="411" customWidth="1"/>
    <col min="17" max="17" width="11.6719" style="411" customWidth="1"/>
    <col min="18" max="18" width="12.3516" style="411" customWidth="1"/>
    <col min="19" max="19" width="10.8516" style="411" customWidth="1"/>
    <col min="20" max="20" width="15.1719" style="411" customWidth="1"/>
    <col min="21" max="24" width="10.8516" style="411" customWidth="1"/>
    <col min="25" max="25" width="19.8516" style="411" customWidth="1"/>
    <col min="26" max="26" width="12.1719" style="411" customWidth="1"/>
    <col min="27" max="30" width="16.5" style="411" customWidth="1"/>
    <col min="31" max="31" width="14.6719" style="411" customWidth="1"/>
    <col min="32" max="32" width="10.8516" style="411" customWidth="1"/>
    <col min="33" max="33" width="42.1719" style="411" customWidth="1"/>
    <col min="34" max="34" width="11.1719" style="411" customWidth="1"/>
    <col min="35" max="35" width="7.85156" style="411" customWidth="1"/>
    <col min="36" max="37" width="10.8516" style="411" customWidth="1"/>
    <col min="38" max="38" width="7.35156" style="411" customWidth="1"/>
    <col min="39" max="39" width="10.8516" style="411" customWidth="1"/>
    <col min="40" max="40" width="9.17188" style="411" customWidth="1"/>
    <col min="41" max="41" width="10.8516" style="411" customWidth="1"/>
    <col min="42" max="42" width="12.5" style="411" customWidth="1"/>
    <col min="43" max="43" width="13" style="411" customWidth="1"/>
    <col min="44" max="55" width="10.8516" style="411" customWidth="1"/>
    <col min="56" max="16384" width="10.8516" style="411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2499</v>
      </c>
      <c r="B3" s="111">
        <v>1921</v>
      </c>
      <c r="C3" s="112">
        <v>1</v>
      </c>
      <c r="D3" t="s" s="83">
        <v>2500</v>
      </c>
      <c r="E3" s="30"/>
      <c r="F3" s="29"/>
      <c r="G3" t="s" s="311">
        <v>1</v>
      </c>
      <c r="H3" t="s" s="27">
        <v>0</v>
      </c>
      <c r="I3" s="309"/>
      <c r="J3" t="s" s="310">
        <v>3</v>
      </c>
      <c r="K3" s="412"/>
      <c r="L3" s="412"/>
      <c r="M3" s="413"/>
      <c r="N3" t="s" s="204">
        <v>2</v>
      </c>
      <c r="O3" s="309"/>
      <c r="P3" s="412"/>
      <c r="Q3" s="412"/>
      <c r="R3" s="412"/>
      <c r="S3" s="412"/>
      <c r="T3" t="s" s="2">
        <v>5</v>
      </c>
      <c r="U3" s="3"/>
      <c r="V3" s="3"/>
      <c r="W3" s="412"/>
      <c r="X3" s="413"/>
      <c r="Y3" s="29"/>
      <c r="Z3" s="29"/>
      <c r="AA3" t="s" s="311">
        <v>7</v>
      </c>
      <c r="AB3" t="s" s="27">
        <v>8</v>
      </c>
      <c r="AC3" s="211"/>
      <c r="AD3" s="29"/>
      <c r="AE3" s="30"/>
      <c r="AF3" s="30"/>
      <c r="AG3" t="s" s="27">
        <v>6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9"/>
      <c r="BA3" s="412"/>
      <c r="BB3" s="412"/>
      <c r="BC3" s="412"/>
    </row>
    <row r="4" ht="17.5" customHeight="1">
      <c r="A4" t="s" s="83">
        <v>2499</v>
      </c>
      <c r="B4" s="112">
        <v>1921</v>
      </c>
      <c r="C4" s="112">
        <v>1</v>
      </c>
      <c r="D4" t="s" s="83">
        <v>2500</v>
      </c>
      <c r="E4" s="30"/>
      <c r="F4" s="30"/>
      <c r="G4" t="s" s="314">
        <v>2501</v>
      </c>
      <c r="H4" t="s" s="83">
        <v>1946</v>
      </c>
      <c r="I4" s="313">
        <v>1</v>
      </c>
      <c r="J4" s="6">
        <v>1</v>
      </c>
      <c r="K4" s="13"/>
      <c r="L4" s="13"/>
      <c r="M4" s="196"/>
      <c r="N4" s="112">
        <v>1</v>
      </c>
      <c r="O4" s="195"/>
      <c r="P4" s="13"/>
      <c r="Q4" s="13"/>
      <c r="R4" s="13"/>
      <c r="S4" s="13"/>
      <c r="T4" s="6">
        <v>46</v>
      </c>
      <c r="U4" s="13"/>
      <c r="V4" s="13"/>
      <c r="W4" s="13"/>
      <c r="X4" s="196"/>
      <c r="Y4" s="30"/>
      <c r="Z4" s="30"/>
      <c r="AA4" t="s" s="314">
        <v>2502</v>
      </c>
      <c r="AB4" t="s" s="83">
        <v>34</v>
      </c>
      <c r="AC4" s="212"/>
      <c r="AD4" s="30"/>
      <c r="AE4" s="30"/>
      <c r="AF4" s="112">
        <v>1</v>
      </c>
      <c r="AG4" t="s" s="83">
        <v>13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195"/>
      <c r="BA4" s="13"/>
      <c r="BB4" s="13"/>
      <c r="BC4" s="10"/>
    </row>
    <row r="5" ht="17.5" customHeight="1">
      <c r="A5" t="s" s="83">
        <v>2499</v>
      </c>
      <c r="B5" s="112">
        <v>1921</v>
      </c>
      <c r="C5" s="112">
        <v>1</v>
      </c>
      <c r="D5" t="s" s="83">
        <v>2500</v>
      </c>
      <c r="E5" s="30"/>
      <c r="F5" s="30"/>
      <c r="G5" t="s" s="317">
        <v>351</v>
      </c>
      <c r="H5" t="s" s="83">
        <v>39</v>
      </c>
      <c r="I5" s="316">
        <v>2</v>
      </c>
      <c r="J5" s="264">
        <v>1</v>
      </c>
      <c r="K5" s="14"/>
      <c r="L5" s="14"/>
      <c r="M5" s="201"/>
      <c r="N5" t="s" s="83">
        <v>163</v>
      </c>
      <c r="O5" s="200"/>
      <c r="P5" s="14"/>
      <c r="Q5" s="14"/>
      <c r="R5" s="14"/>
      <c r="S5" s="264">
        <v>1</v>
      </c>
      <c r="T5" s="264">
        <v>57</v>
      </c>
      <c r="U5" s="14"/>
      <c r="V5" s="14"/>
      <c r="W5" s="14"/>
      <c r="X5" s="201"/>
      <c r="Y5" s="30"/>
      <c r="Z5" s="30"/>
      <c r="AA5" t="s" s="317">
        <v>2503</v>
      </c>
      <c r="AB5" t="s" s="83">
        <v>15</v>
      </c>
      <c r="AC5" s="199">
        <v>1</v>
      </c>
      <c r="AD5" s="30"/>
      <c r="AE5" s="30"/>
      <c r="AF5" s="112">
        <v>1</v>
      </c>
      <c r="AG5" t="s" s="83">
        <v>536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200"/>
      <c r="BA5" s="14"/>
      <c r="BB5" s="14"/>
      <c r="BC5" s="14"/>
    </row>
    <row r="6" ht="17.5" customHeight="1">
      <c r="A6" t="s" s="83">
        <v>2499</v>
      </c>
      <c r="B6" s="112">
        <v>1921</v>
      </c>
      <c r="C6" s="112">
        <v>1</v>
      </c>
      <c r="D6" t="s" s="83">
        <v>2500</v>
      </c>
      <c r="E6" s="30"/>
      <c r="F6" s="30"/>
      <c r="G6" s="122"/>
      <c r="H6" s="112">
        <v>2</v>
      </c>
      <c r="I6" s="74"/>
      <c r="J6" s="16"/>
      <c r="K6" s="16"/>
      <c r="L6" s="16"/>
      <c r="M6" s="75"/>
      <c r="N6" s="30"/>
      <c r="O6" s="74"/>
      <c r="P6" s="16"/>
      <c r="Q6" s="16"/>
      <c r="R6" s="16"/>
      <c r="S6" s="16"/>
      <c r="T6" s="16"/>
      <c r="U6" s="16"/>
      <c r="V6" s="16"/>
      <c r="W6" s="16"/>
      <c r="X6" s="75"/>
      <c r="Y6" s="30"/>
      <c r="Z6" s="30"/>
      <c r="AA6" s="122"/>
      <c r="AB6" s="30"/>
      <c r="AC6" s="122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2499</v>
      </c>
      <c r="B7" s="112">
        <v>1921</v>
      </c>
      <c r="C7" s="30"/>
      <c r="D7" t="s" s="83">
        <v>2500</v>
      </c>
      <c r="E7" s="30"/>
      <c r="F7" s="30"/>
      <c r="G7" t="s" s="159">
        <v>1</v>
      </c>
      <c r="H7" t="s" s="83">
        <v>0</v>
      </c>
      <c r="I7" s="74"/>
      <c r="J7" t="s" s="96">
        <v>3</v>
      </c>
      <c r="K7" s="16"/>
      <c r="L7" s="16"/>
      <c r="M7" s="75"/>
      <c r="N7" t="s" s="83">
        <v>2</v>
      </c>
      <c r="O7" s="74"/>
      <c r="P7" s="16"/>
      <c r="Q7" s="16"/>
      <c r="R7" s="16"/>
      <c r="S7" s="16"/>
      <c r="T7" t="s" s="96">
        <v>5</v>
      </c>
      <c r="U7" s="16"/>
      <c r="V7" s="16"/>
      <c r="W7" s="16"/>
      <c r="X7" s="75"/>
      <c r="Y7" s="30"/>
      <c r="Z7" s="30"/>
      <c r="AA7" t="s" s="159">
        <v>7</v>
      </c>
      <c r="AB7" t="s" s="83">
        <v>8</v>
      </c>
      <c r="AC7" s="122"/>
      <c r="AD7" s="30"/>
      <c r="AE7" s="30"/>
      <c r="AF7" s="30"/>
      <c r="AG7" t="s" s="83">
        <v>6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2499</v>
      </c>
      <c r="B8" s="112">
        <v>1921</v>
      </c>
      <c r="C8" s="112">
        <v>2</v>
      </c>
      <c r="D8" t="s" s="83">
        <v>2500</v>
      </c>
      <c r="E8" t="s" s="83">
        <v>2504</v>
      </c>
      <c r="F8" s="30"/>
      <c r="G8" t="s" s="159">
        <v>515</v>
      </c>
      <c r="H8" t="s" s="83">
        <v>1621</v>
      </c>
      <c r="I8" s="156">
        <v>3</v>
      </c>
      <c r="J8" t="s" s="96">
        <v>37</v>
      </c>
      <c r="K8" s="79">
        <v>1</v>
      </c>
      <c r="L8" s="16"/>
      <c r="M8" s="75"/>
      <c r="N8" s="112">
        <v>1</v>
      </c>
      <c r="O8" s="74"/>
      <c r="P8" s="16"/>
      <c r="Q8" s="16"/>
      <c r="R8" s="16"/>
      <c r="S8" s="16"/>
      <c r="T8" s="79">
        <v>81</v>
      </c>
      <c r="U8" s="16"/>
      <c r="V8" s="16"/>
      <c r="W8" s="16"/>
      <c r="X8" s="75"/>
      <c r="Y8" s="30"/>
      <c r="Z8" s="30"/>
      <c r="AA8" t="s" s="159">
        <v>2505</v>
      </c>
      <c r="AB8" t="s" s="83">
        <v>8</v>
      </c>
      <c r="AC8" s="120">
        <v>1</v>
      </c>
      <c r="AD8" s="112">
        <v>1</v>
      </c>
      <c r="AE8" s="30"/>
      <c r="AF8" s="30"/>
      <c r="AG8" t="s" s="83">
        <v>2385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2499</v>
      </c>
      <c r="B9" s="112">
        <v>1921</v>
      </c>
      <c r="C9" s="112">
        <v>2</v>
      </c>
      <c r="D9" t="s" s="83">
        <v>2500</v>
      </c>
      <c r="E9" t="s" s="83">
        <v>2504</v>
      </c>
      <c r="F9" s="30"/>
      <c r="G9" t="s" s="159">
        <v>515</v>
      </c>
      <c r="H9" t="s" s="83">
        <v>1852</v>
      </c>
      <c r="I9" s="156">
        <v>4</v>
      </c>
      <c r="J9" s="79">
        <v>1</v>
      </c>
      <c r="K9" s="16"/>
      <c r="L9" s="16"/>
      <c r="M9" s="75"/>
      <c r="N9" t="s" s="83">
        <v>72</v>
      </c>
      <c r="O9" s="156">
        <v>1</v>
      </c>
      <c r="P9" s="16"/>
      <c r="Q9" s="16"/>
      <c r="R9" s="16"/>
      <c r="S9" s="16"/>
      <c r="T9" s="79">
        <v>78</v>
      </c>
      <c r="U9" s="16"/>
      <c r="V9" s="16"/>
      <c r="W9" s="16"/>
      <c r="X9" s="75"/>
      <c r="Y9" s="30"/>
      <c r="Z9" s="30"/>
      <c r="AA9" t="s" s="159">
        <v>33</v>
      </c>
      <c r="AB9" t="s" s="83">
        <v>34</v>
      </c>
      <c r="AC9" s="122"/>
      <c r="AD9" s="30"/>
      <c r="AE9" s="30"/>
      <c r="AF9" s="112">
        <v>1</v>
      </c>
      <c r="AG9" t="s" s="83">
        <v>13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2499</v>
      </c>
      <c r="B10" s="112">
        <v>1921</v>
      </c>
      <c r="C10" s="112">
        <v>2</v>
      </c>
      <c r="D10" t="s" s="83">
        <v>2500</v>
      </c>
      <c r="E10" t="s" s="83">
        <v>2504</v>
      </c>
      <c r="F10" s="30"/>
      <c r="G10" t="s" s="159">
        <v>2506</v>
      </c>
      <c r="H10" t="s" s="83">
        <v>2507</v>
      </c>
      <c r="I10" s="156">
        <v>5</v>
      </c>
      <c r="J10" s="79">
        <v>1</v>
      </c>
      <c r="K10" s="16"/>
      <c r="L10" s="16"/>
      <c r="M10" s="75"/>
      <c r="N10" t="s" s="83">
        <v>11</v>
      </c>
      <c r="O10" s="74"/>
      <c r="P10" s="16"/>
      <c r="Q10" s="16"/>
      <c r="R10" s="16"/>
      <c r="S10" s="79">
        <v>1</v>
      </c>
      <c r="T10" s="79">
        <v>48</v>
      </c>
      <c r="U10" s="16"/>
      <c r="V10" s="16"/>
      <c r="W10" s="16"/>
      <c r="X10" s="75"/>
      <c r="Y10" s="30"/>
      <c r="Z10" s="30"/>
      <c r="AA10" t="s" s="159">
        <v>105</v>
      </c>
      <c r="AB10" t="s" s="83">
        <v>15</v>
      </c>
      <c r="AC10" s="120">
        <v>1</v>
      </c>
      <c r="AD10" s="30"/>
      <c r="AE10" s="30"/>
      <c r="AF10" s="112">
        <v>1</v>
      </c>
      <c r="AG10" t="s" s="83">
        <v>13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83">
        <v>2499</v>
      </c>
      <c r="B11" s="112">
        <v>1921</v>
      </c>
      <c r="C11" s="112">
        <v>2</v>
      </c>
      <c r="D11" t="s" s="83">
        <v>2500</v>
      </c>
      <c r="E11" t="s" s="83">
        <v>2504</v>
      </c>
      <c r="F11" s="30"/>
      <c r="G11" t="s" s="159">
        <v>2508</v>
      </c>
      <c r="H11" t="s" s="83">
        <v>2509</v>
      </c>
      <c r="I11" s="156">
        <v>6</v>
      </c>
      <c r="J11" s="79">
        <v>1</v>
      </c>
      <c r="K11" s="16"/>
      <c r="L11" s="16"/>
      <c r="M11" s="75"/>
      <c r="N11" t="s" s="83">
        <v>11</v>
      </c>
      <c r="O11" s="74"/>
      <c r="P11" s="16"/>
      <c r="Q11" s="16"/>
      <c r="R11" s="16"/>
      <c r="S11" s="79">
        <v>1</v>
      </c>
      <c r="T11" s="79">
        <v>48</v>
      </c>
      <c r="U11" s="16"/>
      <c r="V11" s="16"/>
      <c r="W11" s="16"/>
      <c r="X11" s="75"/>
      <c r="Y11" s="30"/>
      <c r="Z11" s="30"/>
      <c r="AA11" t="s" s="159">
        <v>105</v>
      </c>
      <c r="AB11" t="s" s="83">
        <v>15</v>
      </c>
      <c r="AC11" s="120">
        <v>1</v>
      </c>
      <c r="AD11" s="30"/>
      <c r="AE11" s="30"/>
      <c r="AF11" s="30"/>
      <c r="AG11" t="s" s="83">
        <v>213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" customHeight="1">
      <c r="A12" t="s" s="83">
        <v>2499</v>
      </c>
      <c r="B12" s="112">
        <v>1921</v>
      </c>
      <c r="C12" s="30"/>
      <c r="D12" t="s" s="83">
        <v>2500</v>
      </c>
      <c r="E12" s="30"/>
      <c r="F12" s="30"/>
      <c r="G12" s="122"/>
      <c r="H12" s="112">
        <v>4</v>
      </c>
      <c r="I12" s="74"/>
      <c r="J12" s="16"/>
      <c r="K12" s="16"/>
      <c r="L12" s="16"/>
      <c r="M12" s="75"/>
      <c r="N12" s="30"/>
      <c r="O12" s="74"/>
      <c r="P12" s="16"/>
      <c r="Q12" s="16"/>
      <c r="R12" s="16"/>
      <c r="S12" s="16"/>
      <c r="T12" s="16"/>
      <c r="U12" s="16"/>
      <c r="V12" s="16"/>
      <c r="W12" s="16"/>
      <c r="X12" s="75"/>
      <c r="Y12" s="112" cm="1">
        <f t="array" ref="Y12">SUM(Y3:Y11)</f>
        <v>0</v>
      </c>
      <c r="Z12" s="112" cm="1">
        <f t="array" ref="Z12">SUM(Z3:Z11)</f>
        <v>0</v>
      </c>
      <c r="AA12" s="122"/>
      <c r="AB12" s="30"/>
      <c r="AC12" s="122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2499</v>
      </c>
      <c r="B13" s="112">
        <v>1921</v>
      </c>
      <c r="C13" s="30"/>
      <c r="D13" t="s" s="83">
        <v>2500</v>
      </c>
      <c r="E13" s="30"/>
      <c r="F13" s="30"/>
      <c r="G13" t="s" s="159">
        <v>1</v>
      </c>
      <c r="H13" t="s" s="83">
        <v>0</v>
      </c>
      <c r="I13" s="74"/>
      <c r="J13" t="s" s="96">
        <v>3</v>
      </c>
      <c r="K13" s="16"/>
      <c r="L13" s="16"/>
      <c r="M13" s="75"/>
      <c r="N13" t="s" s="83">
        <v>2</v>
      </c>
      <c r="O13" s="74"/>
      <c r="P13" s="16"/>
      <c r="Q13" s="16"/>
      <c r="R13" s="16"/>
      <c r="S13" s="16"/>
      <c r="T13" t="s" s="96">
        <v>5</v>
      </c>
      <c r="U13" s="16"/>
      <c r="V13" s="16"/>
      <c r="W13" s="16"/>
      <c r="X13" s="75"/>
      <c r="Y13" s="30"/>
      <c r="Z13" s="30"/>
      <c r="AA13" t="s" s="159">
        <v>7</v>
      </c>
      <c r="AB13" t="s" s="83">
        <v>8</v>
      </c>
      <c r="AC13" s="122"/>
      <c r="AD13" s="30"/>
      <c r="AE13" s="30"/>
      <c r="AF13" s="30"/>
      <c r="AG13" t="s" s="83">
        <v>6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2499</v>
      </c>
      <c r="B14" s="112">
        <v>1921</v>
      </c>
      <c r="C14" s="112">
        <v>3</v>
      </c>
      <c r="D14" t="s" s="83">
        <v>2500</v>
      </c>
      <c r="E14" t="s" s="83">
        <v>2510</v>
      </c>
      <c r="F14" s="30"/>
      <c r="G14" t="s" s="159">
        <v>342</v>
      </c>
      <c r="H14" t="s" s="83">
        <v>533</v>
      </c>
      <c r="I14" s="156">
        <v>7</v>
      </c>
      <c r="J14" t="s" s="96">
        <v>37</v>
      </c>
      <c r="K14" s="79">
        <v>1</v>
      </c>
      <c r="L14" s="16"/>
      <c r="M14" s="75"/>
      <c r="N14" s="112">
        <v>1</v>
      </c>
      <c r="O14" s="74"/>
      <c r="P14" s="16"/>
      <c r="Q14" s="16"/>
      <c r="R14" s="16"/>
      <c r="S14" s="16"/>
      <c r="T14" s="79">
        <v>63</v>
      </c>
      <c r="U14" s="16"/>
      <c r="V14" s="16"/>
      <c r="W14" s="16"/>
      <c r="X14" s="75"/>
      <c r="Y14" s="30"/>
      <c r="Z14" s="30"/>
      <c r="AA14" t="s" s="159">
        <v>526</v>
      </c>
      <c r="AB14" t="s" s="83">
        <v>8</v>
      </c>
      <c r="AC14" s="120">
        <v>1</v>
      </c>
      <c r="AD14" s="112">
        <v>1</v>
      </c>
      <c r="AE14" s="30"/>
      <c r="AF14" s="112">
        <v>1</v>
      </c>
      <c r="AG14" t="s" s="83">
        <v>13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2499</v>
      </c>
      <c r="B15" s="112">
        <v>1921</v>
      </c>
      <c r="C15" s="112">
        <v>3</v>
      </c>
      <c r="D15" t="s" s="83">
        <v>2500</v>
      </c>
      <c r="E15" t="s" s="83">
        <v>2510</v>
      </c>
      <c r="F15" s="28"/>
      <c r="G15" t="s" s="159">
        <v>342</v>
      </c>
      <c r="H15" t="s" s="119">
        <v>231</v>
      </c>
      <c r="I15" s="156">
        <v>8</v>
      </c>
      <c r="J15" s="79">
        <v>1</v>
      </c>
      <c r="K15" s="16"/>
      <c r="L15" s="16"/>
      <c r="M15" s="75"/>
      <c r="N15" t="s" s="224">
        <v>72</v>
      </c>
      <c r="O15" s="156">
        <v>1</v>
      </c>
      <c r="P15" s="16"/>
      <c r="Q15" s="16"/>
      <c r="R15" s="16"/>
      <c r="S15" s="16"/>
      <c r="T15" s="79">
        <v>62</v>
      </c>
      <c r="U15" s="16"/>
      <c r="V15" s="16"/>
      <c r="W15" s="16"/>
      <c r="X15" s="75"/>
      <c r="Y15" s="28"/>
      <c r="Z15" s="28"/>
      <c r="AA15" t="s" s="159">
        <v>33</v>
      </c>
      <c r="AB15" t="s" s="148">
        <v>34</v>
      </c>
      <c r="AC15" s="122"/>
      <c r="AD15" s="28"/>
      <c r="AE15" s="30"/>
      <c r="AF15" s="112">
        <v>1</v>
      </c>
      <c r="AG15" t="s" s="148">
        <v>13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28" customHeight="1">
      <c r="A16" t="s" s="83">
        <v>2499</v>
      </c>
      <c r="B16" s="112">
        <v>1921</v>
      </c>
      <c r="C16" s="112">
        <v>3</v>
      </c>
      <c r="D16" t="s" s="83">
        <v>2500</v>
      </c>
      <c r="E16" s="124"/>
      <c r="F16" s="28"/>
      <c r="G16" t="s" s="110">
        <v>342</v>
      </c>
      <c r="H16" t="s" s="119">
        <v>2511</v>
      </c>
      <c r="I16" s="156">
        <v>9</v>
      </c>
      <c r="J16" t="s" s="181">
        <v>37</v>
      </c>
      <c r="K16" s="79">
        <v>1</v>
      </c>
      <c r="L16" s="16"/>
      <c r="M16" s="16"/>
      <c r="N16" t="s" s="108">
        <v>826</v>
      </c>
      <c r="O16" s="16"/>
      <c r="P16" s="132"/>
      <c r="Q16" s="16"/>
      <c r="R16" s="79">
        <v>1</v>
      </c>
      <c r="S16" s="16"/>
      <c r="T16" s="126">
        <v>8</v>
      </c>
      <c r="U16" s="16"/>
      <c r="V16" s="16"/>
      <c r="W16" s="16"/>
      <c r="X16" s="75"/>
      <c r="Y16" s="28"/>
      <c r="Z16" s="28"/>
      <c r="AA16" t="s" s="160">
        <v>34</v>
      </c>
      <c r="AB16" t="s" s="151">
        <v>34</v>
      </c>
      <c r="AC16" s="141"/>
      <c r="AD16" s="124"/>
      <c r="AE16" s="30"/>
      <c r="AF16" s="112">
        <v>1</v>
      </c>
      <c r="AG16" t="s" s="148">
        <v>13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2499</v>
      </c>
      <c r="B17" s="112">
        <v>1921</v>
      </c>
      <c r="C17" s="112">
        <v>3</v>
      </c>
      <c r="D17" t="s" s="83">
        <v>2500</v>
      </c>
      <c r="E17" s="30"/>
      <c r="F17" s="30"/>
      <c r="G17" t="s" s="83">
        <v>2512</v>
      </c>
      <c r="H17" t="s" s="83">
        <v>2513</v>
      </c>
      <c r="I17" s="120">
        <v>10</v>
      </c>
      <c r="J17" s="112">
        <v>1</v>
      </c>
      <c r="K17" s="74"/>
      <c r="L17" s="16"/>
      <c r="M17" s="75"/>
      <c r="N17" t="s" s="83">
        <v>41</v>
      </c>
      <c r="O17" s="122"/>
      <c r="P17" s="30"/>
      <c r="Q17" s="74"/>
      <c r="R17" s="79">
        <v>1</v>
      </c>
      <c r="S17" s="75"/>
      <c r="T17" s="112">
        <v>24</v>
      </c>
      <c r="U17" s="74"/>
      <c r="V17" s="16"/>
      <c r="W17" s="16"/>
      <c r="X17" s="75"/>
      <c r="Y17" s="112" cm="1">
        <f t="array" ref="Y17">SUM(Y3:Y16)</f>
        <v>0</v>
      </c>
      <c r="Z17" s="112" cm="1">
        <f t="array" ref="Z17">SUM(Z3:Z16)</f>
        <v>0</v>
      </c>
      <c r="AA17" t="s" s="83">
        <v>34</v>
      </c>
      <c r="AB17" t="s" s="83">
        <v>34</v>
      </c>
      <c r="AC17" s="30"/>
      <c r="AD17" s="30"/>
      <c r="AE17" s="30"/>
      <c r="AF17" s="30"/>
      <c r="AG17" t="s" s="83">
        <v>2514</v>
      </c>
      <c r="AH17" s="112">
        <v>11</v>
      </c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2499</v>
      </c>
      <c r="B18" s="112">
        <v>1921</v>
      </c>
      <c r="C18" s="112">
        <v>3</v>
      </c>
      <c r="D18" t="s" s="83">
        <v>2500</v>
      </c>
      <c r="E18" s="30"/>
      <c r="F18" s="30"/>
      <c r="G18" t="s" s="83">
        <v>2515</v>
      </c>
      <c r="H18" t="s" s="83">
        <v>95</v>
      </c>
      <c r="I18" s="120">
        <v>11</v>
      </c>
      <c r="J18" s="112">
        <v>1</v>
      </c>
      <c r="K18" s="74"/>
      <c r="L18" s="16"/>
      <c r="M18" s="75"/>
      <c r="N18" t="s" s="83">
        <v>11</v>
      </c>
      <c r="O18" s="122"/>
      <c r="P18" s="30"/>
      <c r="Q18" s="74"/>
      <c r="R18" s="16"/>
      <c r="S18" s="123">
        <v>1</v>
      </c>
      <c r="T18" s="118">
        <v>27</v>
      </c>
      <c r="U18" s="74"/>
      <c r="V18" s="16"/>
      <c r="W18" s="16"/>
      <c r="X18" s="75"/>
      <c r="Y18" s="30"/>
      <c r="Z18" s="30"/>
      <c r="AA18" t="s" s="119">
        <v>105</v>
      </c>
      <c r="AB18" t="s" s="119">
        <v>15</v>
      </c>
      <c r="AC18" s="112">
        <v>1</v>
      </c>
      <c r="AD18" s="30"/>
      <c r="AE18" s="30"/>
      <c r="AF18" s="112">
        <v>1</v>
      </c>
      <c r="AG18" t="s" s="119">
        <v>54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2499</v>
      </c>
      <c r="B19" s="112">
        <v>1921</v>
      </c>
      <c r="C19" s="112">
        <v>3</v>
      </c>
      <c r="D19" t="s" s="83">
        <v>2500</v>
      </c>
      <c r="E19" s="30"/>
      <c r="F19" s="30"/>
      <c r="G19" t="s" s="83">
        <v>2516</v>
      </c>
      <c r="H19" t="s" s="83">
        <v>109</v>
      </c>
      <c r="I19" s="120">
        <v>12</v>
      </c>
      <c r="J19" s="112">
        <v>1</v>
      </c>
      <c r="K19" s="74"/>
      <c r="L19" s="16"/>
      <c r="M19" s="75"/>
      <c r="N19" t="s" s="83">
        <v>11</v>
      </c>
      <c r="O19" s="122"/>
      <c r="P19" s="30"/>
      <c r="Q19" s="74"/>
      <c r="R19" s="16"/>
      <c r="S19" s="123">
        <v>1</v>
      </c>
      <c r="T19" s="118">
        <v>52</v>
      </c>
      <c r="U19" s="74"/>
      <c r="V19" s="16"/>
      <c r="W19" s="16"/>
      <c r="X19" s="75"/>
      <c r="Y19" s="30"/>
      <c r="Z19" s="30"/>
      <c r="AA19" t="s" s="119">
        <v>45</v>
      </c>
      <c r="AB19" t="s" s="119">
        <v>15</v>
      </c>
      <c r="AC19" s="118">
        <v>1</v>
      </c>
      <c r="AD19" s="30"/>
      <c r="AE19" s="30"/>
      <c r="AF19" s="30"/>
      <c r="AG19" t="s" s="119">
        <v>134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2499</v>
      </c>
      <c r="B20" s="112">
        <v>1921</v>
      </c>
      <c r="C20" s="112">
        <v>3</v>
      </c>
      <c r="D20" t="s" s="83">
        <v>2500</v>
      </c>
      <c r="E20" s="30"/>
      <c r="F20" s="30"/>
      <c r="G20" t="s" s="83">
        <v>2517</v>
      </c>
      <c r="H20" t="s" s="83">
        <v>2518</v>
      </c>
      <c r="I20" s="120">
        <v>13</v>
      </c>
      <c r="J20" s="112">
        <v>1</v>
      </c>
      <c r="K20" s="74"/>
      <c r="L20" s="16"/>
      <c r="M20" s="75"/>
      <c r="N20" t="s" s="83">
        <v>11</v>
      </c>
      <c r="O20" s="122"/>
      <c r="P20" s="30"/>
      <c r="Q20" s="74"/>
      <c r="R20" s="16"/>
      <c r="S20" s="123">
        <v>1</v>
      </c>
      <c r="T20" s="118">
        <v>42</v>
      </c>
      <c r="U20" s="74"/>
      <c r="V20" s="16"/>
      <c r="W20" s="16"/>
      <c r="X20" s="75"/>
      <c r="Y20" s="30"/>
      <c r="Z20" s="30"/>
      <c r="AA20" t="s" s="119">
        <v>105</v>
      </c>
      <c r="AB20" t="s" s="119">
        <v>15</v>
      </c>
      <c r="AC20" s="118">
        <v>1</v>
      </c>
      <c r="AD20" s="30"/>
      <c r="AE20" s="30"/>
      <c r="AF20" s="112">
        <v>1</v>
      </c>
      <c r="AG20" t="s" s="119">
        <v>219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2499</v>
      </c>
      <c r="B21" s="112">
        <v>1921</v>
      </c>
      <c r="C21" s="112">
        <v>3</v>
      </c>
      <c r="D21" t="s" s="83">
        <v>2500</v>
      </c>
      <c r="E21" s="30"/>
      <c r="F21" s="29"/>
      <c r="G21" t="s" s="27">
        <v>2519</v>
      </c>
      <c r="H21" t="s" s="27">
        <v>2520</v>
      </c>
      <c r="I21" s="120">
        <v>14</v>
      </c>
      <c r="J21" s="112">
        <v>1</v>
      </c>
      <c r="K21" s="74"/>
      <c r="L21" s="16"/>
      <c r="M21" s="75"/>
      <c r="N21" t="s" s="27">
        <v>11</v>
      </c>
      <c r="O21" s="122"/>
      <c r="P21" s="29"/>
      <c r="Q21" s="74"/>
      <c r="R21" s="16"/>
      <c r="S21" s="123">
        <v>1</v>
      </c>
      <c r="T21" s="114">
        <v>19</v>
      </c>
      <c r="U21" s="74"/>
      <c r="V21" s="16"/>
      <c r="W21" s="16"/>
      <c r="X21" s="75"/>
      <c r="Y21" s="30"/>
      <c r="Z21" s="30"/>
      <c r="AA21" t="s" s="27">
        <v>105</v>
      </c>
      <c r="AB21" t="s" s="27">
        <v>15</v>
      </c>
      <c r="AC21" s="112">
        <v>1</v>
      </c>
      <c r="AD21" s="30"/>
      <c r="AE21" s="30"/>
      <c r="AF21" s="30"/>
      <c r="AG21" t="s" s="27">
        <v>2404</v>
      </c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2499</v>
      </c>
      <c r="B22" s="112">
        <v>1921</v>
      </c>
      <c r="C22" s="112">
        <v>3</v>
      </c>
      <c r="D22" t="s" s="83">
        <v>2500</v>
      </c>
      <c r="E22" s="30"/>
      <c r="F22" s="30"/>
      <c r="G22" t="s" s="83">
        <v>412</v>
      </c>
      <c r="H22" t="s" s="83">
        <v>605</v>
      </c>
      <c r="I22" s="120">
        <v>15</v>
      </c>
      <c r="J22" s="112">
        <v>1</v>
      </c>
      <c r="K22" s="74"/>
      <c r="L22" s="16"/>
      <c r="M22" s="75"/>
      <c r="N22" t="s" s="83">
        <v>11</v>
      </c>
      <c r="O22" s="122"/>
      <c r="P22" s="30"/>
      <c r="Q22" s="74"/>
      <c r="R22" s="16"/>
      <c r="S22" s="123">
        <v>1</v>
      </c>
      <c r="T22" s="118">
        <v>20</v>
      </c>
      <c r="U22" s="74"/>
      <c r="V22" s="16"/>
      <c r="W22" s="16"/>
      <c r="X22" s="75"/>
      <c r="Y22" s="30"/>
      <c r="Z22" s="30"/>
      <c r="AA22" t="s" s="119">
        <v>105</v>
      </c>
      <c r="AB22" t="s" s="119">
        <v>15</v>
      </c>
      <c r="AC22" s="112">
        <v>1</v>
      </c>
      <c r="AD22" s="30"/>
      <c r="AE22" s="30"/>
      <c r="AF22" s="30"/>
      <c r="AG22" t="s" s="119">
        <v>34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2499</v>
      </c>
      <c r="B23" s="112">
        <v>1921</v>
      </c>
      <c r="C23" s="30"/>
      <c r="D23" t="s" s="83">
        <v>2500</v>
      </c>
      <c r="E23" s="30"/>
      <c r="F23" s="30"/>
      <c r="G23" s="30"/>
      <c r="H23" s="112">
        <v>9</v>
      </c>
      <c r="I23" s="122"/>
      <c r="J23" s="30"/>
      <c r="K23" s="74"/>
      <c r="L23" s="16"/>
      <c r="M23" s="75"/>
      <c r="N23" s="30"/>
      <c r="O23" s="122"/>
      <c r="P23" s="30"/>
      <c r="Q23" s="74"/>
      <c r="R23" s="16"/>
      <c r="S23" s="75"/>
      <c r="T23" s="121"/>
      <c r="U23" s="74"/>
      <c r="V23" s="16"/>
      <c r="W23" s="16"/>
      <c r="X23" s="75"/>
      <c r="Y23" s="30"/>
      <c r="Z23" s="30"/>
      <c r="AA23" s="121"/>
      <c r="AB23" s="121"/>
      <c r="AC23" s="30"/>
      <c r="AD23" s="30"/>
      <c r="AE23" s="30"/>
      <c r="AF23" s="30"/>
      <c r="AG23" s="121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t="s" s="83">
        <v>2499</v>
      </c>
      <c r="B24" s="112">
        <v>1921</v>
      </c>
      <c r="C24" s="30"/>
      <c r="D24" t="s" s="83">
        <v>2500</v>
      </c>
      <c r="E24" s="30"/>
      <c r="F24" s="30"/>
      <c r="G24" t="s" s="83">
        <v>1</v>
      </c>
      <c r="H24" t="s" s="83">
        <v>0</v>
      </c>
      <c r="I24" s="122"/>
      <c r="J24" t="s" s="83">
        <v>3</v>
      </c>
      <c r="K24" s="74"/>
      <c r="L24" s="16"/>
      <c r="M24" s="75"/>
      <c r="N24" t="s" s="83">
        <v>2</v>
      </c>
      <c r="O24" s="122"/>
      <c r="P24" s="30"/>
      <c r="Q24" s="74"/>
      <c r="R24" s="16"/>
      <c r="S24" s="75"/>
      <c r="T24" t="s" s="119">
        <v>5</v>
      </c>
      <c r="U24" s="74"/>
      <c r="V24" s="16"/>
      <c r="W24" s="16"/>
      <c r="X24" s="75"/>
      <c r="Y24" s="30"/>
      <c r="Z24" s="30"/>
      <c r="AA24" t="s" s="119">
        <v>7</v>
      </c>
      <c r="AB24" t="s" s="119">
        <v>8</v>
      </c>
      <c r="AC24" s="30"/>
      <c r="AD24" s="30"/>
      <c r="AE24" s="30"/>
      <c r="AF24" s="30"/>
      <c r="AG24" t="s" s="119">
        <v>6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t="s" s="83">
        <v>2499</v>
      </c>
      <c r="B25" s="112">
        <v>1921</v>
      </c>
      <c r="C25" s="112">
        <v>4</v>
      </c>
      <c r="D25" t="s" s="83">
        <v>2500</v>
      </c>
      <c r="E25" s="30"/>
      <c r="F25" s="112">
        <v>25</v>
      </c>
      <c r="G25" t="s" s="83">
        <v>342</v>
      </c>
      <c r="H25" t="s" s="83">
        <v>2217</v>
      </c>
      <c r="I25" s="120">
        <v>16</v>
      </c>
      <c r="J25" t="s" s="83">
        <v>37</v>
      </c>
      <c r="K25" s="156">
        <v>1</v>
      </c>
      <c r="L25" s="16"/>
      <c r="M25" s="75"/>
      <c r="N25" s="112">
        <v>1</v>
      </c>
      <c r="O25" s="122"/>
      <c r="P25" s="30"/>
      <c r="Q25" s="74"/>
      <c r="R25" s="16"/>
      <c r="S25" s="75"/>
      <c r="T25" s="118">
        <v>67</v>
      </c>
      <c r="U25" s="74"/>
      <c r="V25" s="16"/>
      <c r="W25" s="16"/>
      <c r="X25" s="75"/>
      <c r="Y25" s="30"/>
      <c r="Z25" s="30"/>
      <c r="AA25" t="s" s="119">
        <v>194</v>
      </c>
      <c r="AB25" t="s" s="119">
        <v>603</v>
      </c>
      <c r="AC25" s="112">
        <v>1</v>
      </c>
      <c r="AD25" s="30"/>
      <c r="AE25" s="30"/>
      <c r="AF25" s="30"/>
      <c r="AG25" t="s" s="119">
        <v>13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t="s" s="83">
        <v>2499</v>
      </c>
      <c r="B26" s="112">
        <v>1921</v>
      </c>
      <c r="C26" s="112">
        <v>4</v>
      </c>
      <c r="D26" t="s" s="83">
        <v>2500</v>
      </c>
      <c r="E26" s="30"/>
      <c r="F26" s="112">
        <v>25</v>
      </c>
      <c r="G26" t="s" s="83">
        <v>342</v>
      </c>
      <c r="H26" t="s" s="83">
        <v>86</v>
      </c>
      <c r="I26" s="120">
        <v>17</v>
      </c>
      <c r="J26" s="112">
        <v>1</v>
      </c>
      <c r="K26" s="74"/>
      <c r="L26" s="16"/>
      <c r="M26" s="75"/>
      <c r="N26" t="s" s="83">
        <v>78</v>
      </c>
      <c r="O26" s="122"/>
      <c r="P26" s="112">
        <v>1</v>
      </c>
      <c r="Q26" s="74"/>
      <c r="R26" s="16"/>
      <c r="S26" s="75"/>
      <c r="T26" s="118">
        <v>34</v>
      </c>
      <c r="U26" s="74"/>
      <c r="V26" s="16"/>
      <c r="W26" s="16"/>
      <c r="X26" s="75"/>
      <c r="Y26" s="30"/>
      <c r="Z26" s="30"/>
      <c r="AA26" t="s" s="119">
        <v>33</v>
      </c>
      <c r="AB26" t="s" s="119">
        <v>34</v>
      </c>
      <c r="AC26" s="30"/>
      <c r="AD26" s="30"/>
      <c r="AE26" s="30"/>
      <c r="AF26" s="112">
        <v>1</v>
      </c>
      <c r="AG26" t="s" s="119">
        <v>54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2499</v>
      </c>
      <c r="B27" s="112">
        <v>1921</v>
      </c>
      <c r="C27" s="112">
        <v>4</v>
      </c>
      <c r="D27" t="s" s="83">
        <v>2500</v>
      </c>
      <c r="E27" s="30"/>
      <c r="F27" s="112">
        <v>25</v>
      </c>
      <c r="G27" t="s" s="83">
        <v>2521</v>
      </c>
      <c r="H27" t="s" s="83">
        <v>95</v>
      </c>
      <c r="I27" s="120">
        <v>18</v>
      </c>
      <c r="J27" s="112">
        <v>1</v>
      </c>
      <c r="K27" s="74"/>
      <c r="L27" s="16"/>
      <c r="M27" s="75"/>
      <c r="N27" t="s" s="83">
        <v>11</v>
      </c>
      <c r="O27" s="122"/>
      <c r="P27" s="30"/>
      <c r="Q27" s="74"/>
      <c r="R27" s="16"/>
      <c r="S27" s="123">
        <v>1</v>
      </c>
      <c r="T27" s="118">
        <v>60</v>
      </c>
      <c r="U27" s="74"/>
      <c r="V27" s="16"/>
      <c r="W27" s="16"/>
      <c r="X27" s="75"/>
      <c r="Y27" s="30"/>
      <c r="Z27" s="30"/>
      <c r="AA27" t="s" s="119">
        <v>175</v>
      </c>
      <c r="AB27" t="s" s="119">
        <v>15</v>
      </c>
      <c r="AC27" s="112">
        <v>1</v>
      </c>
      <c r="AD27" s="30"/>
      <c r="AE27" s="30"/>
      <c r="AF27" s="30"/>
      <c r="AG27" t="s" s="119">
        <v>134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t="s" s="83">
        <v>2499</v>
      </c>
      <c r="B28" s="112">
        <v>1921</v>
      </c>
      <c r="C28" s="112">
        <v>4</v>
      </c>
      <c r="D28" t="s" s="83">
        <v>2500</v>
      </c>
      <c r="E28" s="30"/>
      <c r="F28" s="112">
        <v>25</v>
      </c>
      <c r="G28" t="s" s="83">
        <v>2522</v>
      </c>
      <c r="H28" t="s" s="83">
        <v>2523</v>
      </c>
      <c r="I28" s="120">
        <v>19</v>
      </c>
      <c r="J28" s="112">
        <v>1</v>
      </c>
      <c r="K28" s="74"/>
      <c r="L28" s="16"/>
      <c r="M28" s="75"/>
      <c r="N28" t="s" s="83">
        <v>11</v>
      </c>
      <c r="O28" s="122"/>
      <c r="P28" s="30"/>
      <c r="Q28" s="74"/>
      <c r="R28" s="16"/>
      <c r="S28" s="123">
        <v>1</v>
      </c>
      <c r="T28" s="118">
        <v>18</v>
      </c>
      <c r="U28" s="74"/>
      <c r="V28" s="16"/>
      <c r="W28" s="16"/>
      <c r="X28" s="75"/>
      <c r="Y28" s="30"/>
      <c r="Z28" s="30"/>
      <c r="AA28" t="s" s="119">
        <v>175</v>
      </c>
      <c r="AB28" t="s" s="119">
        <v>15</v>
      </c>
      <c r="AC28" s="112">
        <v>1</v>
      </c>
      <c r="AD28" s="30"/>
      <c r="AE28" s="30"/>
      <c r="AF28" s="112">
        <v>1</v>
      </c>
      <c r="AG28" t="s" s="119">
        <v>1171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2499</v>
      </c>
      <c r="B29" s="112">
        <v>1921</v>
      </c>
      <c r="C29" s="112">
        <v>4</v>
      </c>
      <c r="D29" t="s" s="83">
        <v>2500</v>
      </c>
      <c r="E29" s="30"/>
      <c r="F29" s="112">
        <v>25</v>
      </c>
      <c r="G29" t="s" s="83">
        <v>2524</v>
      </c>
      <c r="H29" t="s" s="83">
        <v>1999</v>
      </c>
      <c r="I29" s="120">
        <v>20</v>
      </c>
      <c r="J29" s="112">
        <v>1</v>
      </c>
      <c r="K29" s="74"/>
      <c r="L29" s="16"/>
      <c r="M29" s="75"/>
      <c r="N29" t="s" s="83">
        <v>11</v>
      </c>
      <c r="O29" s="122"/>
      <c r="P29" s="30"/>
      <c r="Q29" s="74"/>
      <c r="R29" s="16"/>
      <c r="S29" s="123">
        <v>1</v>
      </c>
      <c r="T29" s="118">
        <v>17</v>
      </c>
      <c r="U29" s="74"/>
      <c r="V29" s="16"/>
      <c r="W29" s="16"/>
      <c r="X29" s="75"/>
      <c r="Y29" s="30"/>
      <c r="Z29" s="30"/>
      <c r="AA29" t="s" s="119">
        <v>175</v>
      </c>
      <c r="AB29" t="s" s="119">
        <v>15</v>
      </c>
      <c r="AC29" s="112">
        <v>1</v>
      </c>
      <c r="AD29" s="30"/>
      <c r="AE29" s="30"/>
      <c r="AF29" s="112">
        <v>1</v>
      </c>
      <c r="AG29" t="s" s="119">
        <v>1171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3">
        <v>2499</v>
      </c>
      <c r="B30" s="112">
        <v>1921</v>
      </c>
      <c r="C30" s="30"/>
      <c r="D30" t="s" s="83">
        <v>2500</v>
      </c>
      <c r="E30" s="30"/>
      <c r="F30" s="30"/>
      <c r="G30" s="30"/>
      <c r="H30" s="112">
        <v>5</v>
      </c>
      <c r="I30" s="122"/>
      <c r="J30" s="30"/>
      <c r="K30" s="74"/>
      <c r="L30" s="16"/>
      <c r="M30" s="75"/>
      <c r="N30" s="30"/>
      <c r="O30" s="122"/>
      <c r="P30" s="30"/>
      <c r="Q30" s="74"/>
      <c r="R30" s="16"/>
      <c r="S30" s="75"/>
      <c r="T30" s="30"/>
      <c r="U30" s="74"/>
      <c r="V30" s="16"/>
      <c r="W30" s="16"/>
      <c r="X30" s="75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t="s" s="83">
        <v>2499</v>
      </c>
      <c r="B31" s="112">
        <v>1921</v>
      </c>
      <c r="C31" s="30"/>
      <c r="D31" t="s" s="83">
        <v>2500</v>
      </c>
      <c r="E31" s="30"/>
      <c r="F31" s="30"/>
      <c r="G31" t="s" s="83">
        <v>1</v>
      </c>
      <c r="H31" t="s" s="83">
        <v>0</v>
      </c>
      <c r="I31" s="122"/>
      <c r="J31" t="s" s="83">
        <v>3</v>
      </c>
      <c r="K31" s="74"/>
      <c r="L31" s="16"/>
      <c r="M31" s="75"/>
      <c r="N31" t="s" s="83">
        <v>2</v>
      </c>
      <c r="O31" s="122"/>
      <c r="P31" s="30"/>
      <c r="Q31" s="74"/>
      <c r="R31" s="16"/>
      <c r="S31" s="75"/>
      <c r="T31" t="s" s="119">
        <v>5</v>
      </c>
      <c r="U31" s="74"/>
      <c r="V31" s="16"/>
      <c r="W31" s="16"/>
      <c r="X31" s="75"/>
      <c r="Y31" s="30"/>
      <c r="Z31" s="30"/>
      <c r="AA31" t="s" s="119">
        <v>7</v>
      </c>
      <c r="AB31" t="s" s="119">
        <v>8</v>
      </c>
      <c r="AC31" s="30"/>
      <c r="AD31" s="30"/>
      <c r="AE31" s="30"/>
      <c r="AF31" s="30"/>
      <c r="AG31" t="s" s="119">
        <v>6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t="s" s="83">
        <v>2499</v>
      </c>
      <c r="B32" s="112">
        <v>1921</v>
      </c>
      <c r="C32" s="112">
        <v>5</v>
      </c>
      <c r="D32" t="s" s="83">
        <v>2500</v>
      </c>
      <c r="E32" s="30"/>
      <c r="F32" s="112">
        <v>31</v>
      </c>
      <c r="G32" t="s" s="83">
        <v>1620</v>
      </c>
      <c r="H32" t="s" s="83">
        <v>809</v>
      </c>
      <c r="I32" s="120">
        <v>21</v>
      </c>
      <c r="J32" t="s" s="83">
        <v>37</v>
      </c>
      <c r="K32" s="156">
        <v>1</v>
      </c>
      <c r="L32" s="16"/>
      <c r="M32" s="75"/>
      <c r="N32" s="112">
        <v>1</v>
      </c>
      <c r="O32" s="122"/>
      <c r="P32" s="30"/>
      <c r="Q32" s="74"/>
      <c r="R32" s="16"/>
      <c r="S32" s="75"/>
      <c r="T32" s="118">
        <v>78</v>
      </c>
      <c r="U32" s="74"/>
      <c r="V32" s="16"/>
      <c r="W32" s="16"/>
      <c r="X32" s="75"/>
      <c r="Y32" s="30"/>
      <c r="Z32" s="30"/>
      <c r="AA32" t="s" s="119">
        <v>2525</v>
      </c>
      <c r="AB32" t="s" s="119">
        <v>8</v>
      </c>
      <c r="AC32" s="112">
        <v>1</v>
      </c>
      <c r="AD32" s="112">
        <v>1</v>
      </c>
      <c r="AE32" s="30"/>
      <c r="AF32" s="112">
        <v>1</v>
      </c>
      <c r="AG32" t="s" s="119">
        <v>54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t="s" s="83">
        <v>2499</v>
      </c>
      <c r="B33" s="112">
        <v>1921</v>
      </c>
      <c r="C33" s="112">
        <v>5</v>
      </c>
      <c r="D33" t="s" s="83">
        <v>2500</v>
      </c>
      <c r="E33" s="30"/>
      <c r="F33" s="112">
        <v>31</v>
      </c>
      <c r="G33" t="s" s="119">
        <v>1620</v>
      </c>
      <c r="H33" t="s" s="148">
        <v>2526</v>
      </c>
      <c r="I33" s="120">
        <v>22</v>
      </c>
      <c r="J33" s="346">
        <v>1</v>
      </c>
      <c r="K33" s="74"/>
      <c r="L33" s="16"/>
      <c r="M33" s="75"/>
      <c r="N33" t="s" s="119">
        <v>72</v>
      </c>
      <c r="O33" s="120">
        <v>1</v>
      </c>
      <c r="P33" s="28"/>
      <c r="Q33" s="74"/>
      <c r="R33" s="16"/>
      <c r="S33" s="75"/>
      <c r="T33" s="307">
        <v>72</v>
      </c>
      <c r="U33" s="74"/>
      <c r="V33" s="16"/>
      <c r="W33" s="16"/>
      <c r="X33" s="75"/>
      <c r="Y33" s="30"/>
      <c r="Z33" s="112" cm="1">
        <f t="array" ref="Z33">SUM(Z3:Z32)</f>
        <v>0</v>
      </c>
      <c r="AA33" t="s" s="148">
        <v>33</v>
      </c>
      <c r="AB33" t="s" s="148">
        <v>34</v>
      </c>
      <c r="AC33" s="30"/>
      <c r="AD33" s="30"/>
      <c r="AE33" s="30"/>
      <c r="AF33" s="112">
        <v>1</v>
      </c>
      <c r="AG33" t="s" s="148">
        <v>2319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t="s" s="83">
        <v>2499</v>
      </c>
      <c r="B34" s="112">
        <v>1921</v>
      </c>
      <c r="C34" s="112">
        <v>5</v>
      </c>
      <c r="D34" t="s" s="83">
        <v>2500</v>
      </c>
      <c r="E34" s="30"/>
      <c r="F34" s="112">
        <v>31</v>
      </c>
      <c r="G34" t="s" s="119">
        <v>2527</v>
      </c>
      <c r="H34" t="s" s="148">
        <v>2238</v>
      </c>
      <c r="I34" s="156">
        <v>23</v>
      </c>
      <c r="J34" s="399">
        <v>1</v>
      </c>
      <c r="K34" s="16"/>
      <c r="L34" s="16"/>
      <c r="M34" s="75"/>
      <c r="N34" t="s" s="295">
        <v>11</v>
      </c>
      <c r="O34" s="16"/>
      <c r="P34" s="165"/>
      <c r="Q34" s="74"/>
      <c r="R34" s="16"/>
      <c r="S34" s="123">
        <v>1</v>
      </c>
      <c r="T34" s="307">
        <v>54</v>
      </c>
      <c r="U34" s="74"/>
      <c r="V34" s="16"/>
      <c r="W34" s="16"/>
      <c r="X34" s="75"/>
      <c r="Y34" s="30"/>
      <c r="Z34" s="30"/>
      <c r="AA34" t="s" s="148">
        <v>188</v>
      </c>
      <c r="AB34" t="s" s="148">
        <v>15</v>
      </c>
      <c r="AC34" s="87">
        <v>1</v>
      </c>
      <c r="AD34" s="30"/>
      <c r="AE34" s="30"/>
      <c r="AF34" s="30"/>
      <c r="AG34" t="s" s="148">
        <v>1351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" customHeight="1">
      <c r="A35" t="s" s="83">
        <v>2499</v>
      </c>
      <c r="B35" s="112">
        <v>1921</v>
      </c>
      <c r="C35" s="112">
        <v>5</v>
      </c>
      <c r="D35" t="s" s="83">
        <v>2500</v>
      </c>
      <c r="E35" s="30"/>
      <c r="F35" s="112">
        <v>31</v>
      </c>
      <c r="G35" t="s" s="83">
        <v>2528</v>
      </c>
      <c r="H35" t="s" s="83">
        <v>2529</v>
      </c>
      <c r="I35" s="120">
        <v>24</v>
      </c>
      <c r="J35" s="112">
        <v>1</v>
      </c>
      <c r="K35" s="74"/>
      <c r="L35" s="16"/>
      <c r="M35" s="75"/>
      <c r="N35" t="s" s="83">
        <v>11</v>
      </c>
      <c r="O35" s="122"/>
      <c r="P35" s="30"/>
      <c r="Q35" s="74"/>
      <c r="R35" s="16"/>
      <c r="S35" s="123">
        <v>1</v>
      </c>
      <c r="T35" s="112">
        <v>17</v>
      </c>
      <c r="U35" s="74"/>
      <c r="V35" s="16"/>
      <c r="W35" s="16"/>
      <c r="X35" s="75"/>
      <c r="Y35" s="30"/>
      <c r="Z35" s="30"/>
      <c r="AA35" t="s" s="83">
        <v>188</v>
      </c>
      <c r="AB35" t="s" s="83">
        <v>15</v>
      </c>
      <c r="AC35" s="87">
        <v>1</v>
      </c>
      <c r="AD35" s="30"/>
      <c r="AE35" s="30"/>
      <c r="AF35" s="30"/>
      <c r="AG35" t="s" s="83">
        <v>2530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t="s" s="83">
        <v>2499</v>
      </c>
      <c r="B36" s="112">
        <v>1921</v>
      </c>
      <c r="C36" s="112">
        <v>5</v>
      </c>
      <c r="D36" t="s" s="83">
        <v>2500</v>
      </c>
      <c r="E36" s="30"/>
      <c r="F36" s="112">
        <v>31</v>
      </c>
      <c r="G36" t="s" s="83">
        <v>2531</v>
      </c>
      <c r="H36" t="s" s="83">
        <v>109</v>
      </c>
      <c r="I36" s="120">
        <v>25</v>
      </c>
      <c r="J36" s="112">
        <v>1</v>
      </c>
      <c r="K36" s="74"/>
      <c r="L36" s="16"/>
      <c r="M36" s="75"/>
      <c r="N36" t="s" s="83">
        <v>11</v>
      </c>
      <c r="O36" s="141"/>
      <c r="P36" s="30"/>
      <c r="Q36" s="74"/>
      <c r="R36" s="16"/>
      <c r="S36" s="123">
        <v>1</v>
      </c>
      <c r="T36" s="112">
        <v>41</v>
      </c>
      <c r="U36" s="74"/>
      <c r="V36" s="16"/>
      <c r="W36" s="16"/>
      <c r="X36" s="75"/>
      <c r="Y36" s="30"/>
      <c r="Z36" s="30"/>
      <c r="AA36" t="s" s="83">
        <v>2503</v>
      </c>
      <c r="AB36" t="s" s="83">
        <v>15</v>
      </c>
      <c r="AC36" s="112">
        <v>1</v>
      </c>
      <c r="AD36" s="30"/>
      <c r="AE36" s="30"/>
      <c r="AF36" s="30"/>
      <c r="AG36" t="s" s="83">
        <v>2532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" customHeight="1">
      <c r="A37" t="s" s="83">
        <v>2499</v>
      </c>
      <c r="B37" s="112">
        <v>1921</v>
      </c>
      <c r="C37" s="30"/>
      <c r="D37" t="s" s="83">
        <v>2500</v>
      </c>
      <c r="E37" s="30"/>
      <c r="F37" s="30"/>
      <c r="G37" s="30"/>
      <c r="H37" s="112">
        <v>5</v>
      </c>
      <c r="I37" s="74"/>
      <c r="J37" s="62"/>
      <c r="K37" s="16"/>
      <c r="L37" s="16"/>
      <c r="M37" s="75"/>
      <c r="N37" s="30"/>
      <c r="O37" s="30"/>
      <c r="P37" s="30"/>
      <c r="Q37" s="74"/>
      <c r="R37" s="16"/>
      <c r="S37" s="75"/>
      <c r="T37" s="30"/>
      <c r="U37" s="74"/>
      <c r="V37" s="16"/>
      <c r="W37" s="16"/>
      <c r="X37" s="75"/>
      <c r="Y37" s="30"/>
      <c r="Z37" s="30"/>
      <c r="AA37" s="30"/>
      <c r="AB37" s="30"/>
      <c r="AC37" s="30"/>
      <c r="AD37" s="134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t="s" s="83">
        <v>2499</v>
      </c>
      <c r="B38" s="112">
        <v>1921</v>
      </c>
      <c r="C38" s="112">
        <v>6</v>
      </c>
      <c r="D38" t="s" s="83">
        <v>2500</v>
      </c>
      <c r="E38" t="s" s="83">
        <v>2533</v>
      </c>
      <c r="F38" s="30"/>
      <c r="G38" t="s" s="83">
        <v>2534</v>
      </c>
      <c r="H38" t="s" s="83">
        <v>2535</v>
      </c>
      <c r="I38" s="156">
        <v>26</v>
      </c>
      <c r="J38" s="16"/>
      <c r="K38" s="79">
        <v>1</v>
      </c>
      <c r="L38" s="16"/>
      <c r="M38" s="75"/>
      <c r="N38" s="112">
        <v>1</v>
      </c>
      <c r="O38" s="30"/>
      <c r="P38" s="30"/>
      <c r="Q38" s="74"/>
      <c r="R38" s="16"/>
      <c r="S38" s="75"/>
      <c r="T38" s="112">
        <v>50</v>
      </c>
      <c r="U38" s="74"/>
      <c r="V38" s="16"/>
      <c r="W38" s="16"/>
      <c r="X38" s="75"/>
      <c r="Y38" s="30"/>
      <c r="Z38" s="30"/>
      <c r="AA38" t="s" s="83">
        <v>2536</v>
      </c>
      <c r="AB38" s="30"/>
      <c r="AC38" s="113">
        <v>1</v>
      </c>
      <c r="AD38" s="115"/>
      <c r="AE38" s="30"/>
      <c r="AF38" s="30"/>
      <c r="AG38" t="s" s="83">
        <v>2537</v>
      </c>
      <c r="AH38" s="30"/>
      <c r="AI38" s="30"/>
      <c r="AJ38" t="s" s="414">
        <v>2538</v>
      </c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5.35" customHeight="1">
      <c r="A39" t="s" s="83">
        <v>2499</v>
      </c>
      <c r="B39" s="112">
        <v>1921</v>
      </c>
      <c r="C39" s="112">
        <v>6</v>
      </c>
      <c r="D39" t="s" s="83">
        <v>2500</v>
      </c>
      <c r="E39" t="s" s="83">
        <v>2533</v>
      </c>
      <c r="F39" s="115"/>
      <c r="G39" t="s" s="82">
        <v>2539</v>
      </c>
      <c r="H39" t="s" s="82">
        <v>2540</v>
      </c>
      <c r="I39" s="156">
        <v>27</v>
      </c>
      <c r="J39" s="79">
        <v>1</v>
      </c>
      <c r="K39" s="16"/>
      <c r="L39" s="16"/>
      <c r="M39" s="75"/>
      <c r="N39" t="s" s="153">
        <v>322</v>
      </c>
      <c r="O39" s="62"/>
      <c r="P39" s="62"/>
      <c r="Q39" s="16"/>
      <c r="R39" s="16"/>
      <c r="S39" s="123">
        <v>1</v>
      </c>
      <c r="T39" s="113">
        <v>50</v>
      </c>
      <c r="U39" s="74"/>
      <c r="V39" s="16"/>
      <c r="W39" s="16"/>
      <c r="X39" s="16"/>
      <c r="Y39" s="62"/>
      <c r="Z39" s="117"/>
      <c r="AA39" t="s" s="82">
        <v>2541</v>
      </c>
      <c r="AB39" s="115"/>
      <c r="AC39" s="120">
        <v>1</v>
      </c>
      <c r="AD39" s="74"/>
      <c r="AE39" s="62"/>
      <c r="AF39" s="117"/>
      <c r="AG39" t="s" s="82">
        <v>2542</v>
      </c>
      <c r="AH39" s="116"/>
      <c r="AI39" s="62"/>
      <c r="AJ39" t="s" s="415">
        <v>2538</v>
      </c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16"/>
      <c r="BA39" s="16"/>
      <c r="BB39" s="16"/>
      <c r="BC39" s="16"/>
    </row>
    <row r="40" ht="15.35" customHeight="1">
      <c r="A40" t="s" s="83">
        <v>2499</v>
      </c>
      <c r="B40" s="112">
        <v>1921</v>
      </c>
      <c r="C40" s="112">
        <v>6</v>
      </c>
      <c r="D40" t="s" s="83">
        <v>2500</v>
      </c>
      <c r="E40" t="s" s="83">
        <v>2533</v>
      </c>
      <c r="F40" s="74"/>
      <c r="G40" t="s" s="158">
        <v>2543</v>
      </c>
      <c r="H40" t="s" s="159">
        <v>2544</v>
      </c>
      <c r="I40" s="156">
        <v>28</v>
      </c>
      <c r="J40" s="79">
        <v>1</v>
      </c>
      <c r="K40" s="16"/>
      <c r="L40" s="16"/>
      <c r="M40" s="75"/>
      <c r="N40" t="s" s="157">
        <v>41</v>
      </c>
      <c r="O40" s="16"/>
      <c r="P40" s="16"/>
      <c r="Q40" s="16"/>
      <c r="R40" s="79">
        <v>1</v>
      </c>
      <c r="S40" s="75"/>
      <c r="T40" s="120">
        <v>48</v>
      </c>
      <c r="U40" s="74"/>
      <c r="V40" s="16"/>
      <c r="W40" s="16"/>
      <c r="X40" s="16"/>
      <c r="Y40" s="16"/>
      <c r="Z40" s="75"/>
      <c r="AA40" t="s" s="159">
        <v>2545</v>
      </c>
      <c r="AB40" s="74"/>
      <c r="AC40" s="16"/>
      <c r="AD40" s="16"/>
      <c r="AE40" s="16"/>
      <c r="AF40" s="75"/>
      <c r="AG40" t="s" s="159">
        <v>2546</v>
      </c>
      <c r="AH40" s="74"/>
      <c r="AI40" s="16"/>
      <c r="AJ40" t="s" s="416">
        <v>2538</v>
      </c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5.35" customHeight="1">
      <c r="A41" t="s" s="83">
        <v>2499</v>
      </c>
      <c r="B41" s="112">
        <v>1921</v>
      </c>
      <c r="C41" s="30"/>
      <c r="D41" t="s" s="83">
        <v>2500</v>
      </c>
      <c r="E41" s="116"/>
      <c r="F41" s="16"/>
      <c r="G41" s="16"/>
      <c r="H41" s="79">
        <v>3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75"/>
      <c r="AJ41" s="30"/>
      <c r="AK41" s="74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5.35" customHeight="1">
      <c r="A42" t="s" s="83">
        <v>2499</v>
      </c>
      <c r="B42" s="112">
        <v>1921</v>
      </c>
      <c r="C42" s="112">
        <v>7</v>
      </c>
      <c r="D42" t="s" s="83">
        <v>2500</v>
      </c>
      <c r="E42" t="s" s="157">
        <v>2547</v>
      </c>
      <c r="F42" s="16"/>
      <c r="G42" t="s" s="96">
        <v>2548</v>
      </c>
      <c r="H42" t="s" s="96">
        <v>2549</v>
      </c>
      <c r="I42" s="79">
        <v>29</v>
      </c>
      <c r="J42" s="16"/>
      <c r="K42" s="79">
        <v>1</v>
      </c>
      <c r="L42" s="16"/>
      <c r="M42" s="16"/>
      <c r="N42" s="79">
        <v>1</v>
      </c>
      <c r="O42" s="16"/>
      <c r="P42" s="16"/>
      <c r="Q42" s="16"/>
      <c r="R42" s="16"/>
      <c r="S42" s="16"/>
      <c r="T42" s="79">
        <v>47</v>
      </c>
      <c r="U42" s="16"/>
      <c r="V42" s="16"/>
      <c r="W42" s="16"/>
      <c r="X42" s="16"/>
      <c r="Y42" s="16"/>
      <c r="Z42" s="16"/>
      <c r="AA42" t="s" s="96">
        <v>2550</v>
      </c>
      <c r="AB42" s="16"/>
      <c r="AC42" s="79">
        <v>1</v>
      </c>
      <c r="AD42" s="16"/>
      <c r="AE42" s="16"/>
      <c r="AF42" s="16"/>
      <c r="AG42" s="16"/>
      <c r="AH42" s="16"/>
      <c r="AI42" s="75"/>
      <c r="AJ42" t="s" s="83">
        <v>2551</v>
      </c>
      <c r="AK42" s="74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5.35" customHeight="1">
      <c r="A43" t="s" s="83">
        <v>2499</v>
      </c>
      <c r="B43" s="112">
        <v>1921</v>
      </c>
      <c r="C43" s="112">
        <v>7</v>
      </c>
      <c r="D43" t="s" s="83">
        <v>2500</v>
      </c>
      <c r="E43" t="s" s="157">
        <v>2547</v>
      </c>
      <c r="F43" s="16"/>
      <c r="G43" t="s" s="96">
        <v>243</v>
      </c>
      <c r="H43" t="s" s="96">
        <v>1202</v>
      </c>
      <c r="I43" s="79">
        <v>30</v>
      </c>
      <c r="J43" s="16"/>
      <c r="K43" s="79">
        <v>1</v>
      </c>
      <c r="L43" s="16"/>
      <c r="M43" s="16"/>
      <c r="N43" t="s" s="96">
        <v>11</v>
      </c>
      <c r="O43" s="16"/>
      <c r="P43" s="16"/>
      <c r="Q43" s="16"/>
      <c r="R43" s="16"/>
      <c r="S43" s="79">
        <v>1</v>
      </c>
      <c r="T43" s="79">
        <v>58</v>
      </c>
      <c r="U43" s="16"/>
      <c r="V43" s="16"/>
      <c r="W43" s="16"/>
      <c r="X43" s="16"/>
      <c r="Y43" s="16"/>
      <c r="Z43" s="16"/>
      <c r="AA43" t="s" s="96">
        <v>11</v>
      </c>
      <c r="AB43" s="16"/>
      <c r="AC43" s="79">
        <v>1</v>
      </c>
      <c r="AD43" s="16"/>
      <c r="AE43" s="16"/>
      <c r="AF43" s="16"/>
      <c r="AG43" s="16"/>
      <c r="AH43" s="16"/>
      <c r="AI43" s="75"/>
      <c r="AJ43" t="s" s="83">
        <v>2551</v>
      </c>
      <c r="AK43" s="74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</row>
    <row r="44" ht="15.35" customHeight="1">
      <c r="A44" t="s" s="83">
        <v>2499</v>
      </c>
      <c r="B44" s="112">
        <v>1921</v>
      </c>
      <c r="C44" s="112">
        <v>7</v>
      </c>
      <c r="D44" t="s" s="83">
        <v>2500</v>
      </c>
      <c r="E44" t="s" s="157">
        <v>2547</v>
      </c>
      <c r="F44" s="16"/>
      <c r="G44" t="s" s="96">
        <v>243</v>
      </c>
      <c r="H44" t="s" s="96">
        <v>2552</v>
      </c>
      <c r="I44" s="16"/>
      <c r="J44" s="79">
        <v>1</v>
      </c>
      <c r="K44" s="16"/>
      <c r="L44" s="16"/>
      <c r="M44" s="16"/>
      <c r="N44" t="s" s="96">
        <v>11</v>
      </c>
      <c r="O44" s="16"/>
      <c r="P44" s="16"/>
      <c r="Q44" s="16"/>
      <c r="R44" s="16"/>
      <c r="S44" s="79">
        <v>1</v>
      </c>
      <c r="T44" s="79">
        <v>47</v>
      </c>
      <c r="U44" s="16"/>
      <c r="V44" s="16"/>
      <c r="W44" s="16"/>
      <c r="X44" s="16"/>
      <c r="Y44" s="16"/>
      <c r="Z44" s="16"/>
      <c r="AA44" t="s" s="96">
        <v>11</v>
      </c>
      <c r="AB44" s="16"/>
      <c r="AC44" s="79">
        <v>1</v>
      </c>
      <c r="AD44" s="16"/>
      <c r="AE44" s="16"/>
      <c r="AF44" s="16"/>
      <c r="AG44" s="16"/>
      <c r="AH44" s="16"/>
      <c r="AI44" s="75"/>
      <c r="AJ44" t="s" s="83">
        <v>2551</v>
      </c>
      <c r="AK44" s="74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</row>
    <row r="45" ht="15.35" customHeight="1">
      <c r="A45" t="s" s="83">
        <v>2499</v>
      </c>
      <c r="B45" s="112">
        <v>1921</v>
      </c>
      <c r="C45" s="30"/>
      <c r="D45" t="s" s="83">
        <v>2500</v>
      </c>
      <c r="E45" s="74"/>
      <c r="F45" s="16"/>
      <c r="G45" s="16"/>
      <c r="H45" s="79">
        <v>3</v>
      </c>
      <c r="I45" s="79">
        <v>31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75"/>
      <c r="AJ45" t="s" s="83">
        <v>2551</v>
      </c>
      <c r="AK45" s="74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</row>
    <row r="46" ht="15.35" customHeight="1">
      <c r="A46" t="s" s="83">
        <v>2499</v>
      </c>
      <c r="B46" s="112">
        <v>1921</v>
      </c>
      <c r="C46" s="112">
        <v>8</v>
      </c>
      <c r="D46" t="s" s="83">
        <v>2500</v>
      </c>
      <c r="E46" t="s" s="157">
        <v>2553</v>
      </c>
      <c r="F46" s="16"/>
      <c r="G46" t="s" s="96">
        <v>2554</v>
      </c>
      <c r="H46" t="s" s="96">
        <v>2555</v>
      </c>
      <c r="I46" s="79">
        <v>32</v>
      </c>
      <c r="J46" s="16"/>
      <c r="K46" s="79">
        <v>1</v>
      </c>
      <c r="L46" s="16"/>
      <c r="M46" s="16"/>
      <c r="N46" s="79">
        <v>1</v>
      </c>
      <c r="O46" s="16"/>
      <c r="P46" s="16"/>
      <c r="Q46" s="16"/>
      <c r="R46" s="16"/>
      <c r="S46" s="16"/>
      <c r="T46" s="79">
        <v>69</v>
      </c>
      <c r="U46" s="16"/>
      <c r="V46" s="16"/>
      <c r="W46" s="16"/>
      <c r="X46" s="16"/>
      <c r="Y46" s="16"/>
      <c r="Z46" s="16"/>
      <c r="AA46" t="s" s="96">
        <v>2556</v>
      </c>
      <c r="AB46" s="16"/>
      <c r="AC46" s="79">
        <v>1</v>
      </c>
      <c r="AD46" s="16"/>
      <c r="AE46" s="16"/>
      <c r="AF46" s="16"/>
      <c r="AG46" t="s" s="96">
        <v>319</v>
      </c>
      <c r="AH46" s="16"/>
      <c r="AI46" s="75"/>
      <c r="AJ46" t="s" s="83">
        <v>2551</v>
      </c>
      <c r="AK46" s="74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5.35" customHeight="1">
      <c r="A47" t="s" s="83">
        <v>2499</v>
      </c>
      <c r="B47" s="112">
        <v>1921</v>
      </c>
      <c r="C47" s="112">
        <v>8</v>
      </c>
      <c r="D47" t="s" s="83">
        <v>2500</v>
      </c>
      <c r="E47" t="s" s="157">
        <v>2553</v>
      </c>
      <c r="F47" s="16"/>
      <c r="G47" t="s" s="96">
        <v>2554</v>
      </c>
      <c r="H47" t="s" s="96">
        <v>2557</v>
      </c>
      <c r="I47" s="79">
        <v>33</v>
      </c>
      <c r="J47" s="79">
        <v>1</v>
      </c>
      <c r="K47" s="16"/>
      <c r="L47" s="16"/>
      <c r="M47" s="16"/>
      <c r="N47" t="s" s="96">
        <v>2545</v>
      </c>
      <c r="O47" s="79">
        <v>1</v>
      </c>
      <c r="P47" s="16"/>
      <c r="Q47" s="16"/>
      <c r="R47" s="16"/>
      <c r="S47" s="16"/>
      <c r="T47" s="79">
        <v>69</v>
      </c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t="s" s="96">
        <v>319</v>
      </c>
      <c r="AH47" s="16"/>
      <c r="AI47" s="16"/>
      <c r="AJ47" s="62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</row>
    <row r="48" ht="15.35" customHeight="1">
      <c r="A48" t="s" s="83">
        <v>2499</v>
      </c>
      <c r="B48" s="112">
        <v>1921</v>
      </c>
      <c r="C48" s="112">
        <v>8</v>
      </c>
      <c r="D48" t="s" s="83">
        <v>2500</v>
      </c>
      <c r="E48" t="s" s="157">
        <v>2553</v>
      </c>
      <c r="F48" s="16"/>
      <c r="G48" t="s" s="96">
        <v>69</v>
      </c>
      <c r="H48" t="s" s="96">
        <v>410</v>
      </c>
      <c r="I48" s="79">
        <v>34</v>
      </c>
      <c r="J48" s="79">
        <v>1</v>
      </c>
      <c r="K48" s="16"/>
      <c r="L48" s="16"/>
      <c r="M48" s="16"/>
      <c r="N48" t="s" s="96">
        <v>322</v>
      </c>
      <c r="O48" s="16"/>
      <c r="P48" s="16"/>
      <c r="Q48" s="16"/>
      <c r="R48" s="16"/>
      <c r="S48" s="79">
        <v>1</v>
      </c>
      <c r="T48" s="79">
        <v>46</v>
      </c>
      <c r="U48" s="16"/>
      <c r="V48" s="16"/>
      <c r="W48" s="16"/>
      <c r="X48" s="16"/>
      <c r="Y48" s="16"/>
      <c r="Z48" s="16"/>
      <c r="AA48" s="16"/>
      <c r="AB48" s="16"/>
      <c r="AC48" s="79">
        <v>1</v>
      </c>
      <c r="AD48" s="16"/>
      <c r="AE48" s="16"/>
      <c r="AF48" s="79">
        <v>1</v>
      </c>
      <c r="AG48" t="s" s="96">
        <v>312</v>
      </c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5.35" customHeight="1">
      <c r="A49" t="s" s="83">
        <v>2499</v>
      </c>
      <c r="B49" s="112">
        <v>1921</v>
      </c>
      <c r="C49" s="112">
        <v>8</v>
      </c>
      <c r="D49" t="s" s="83">
        <v>2500</v>
      </c>
      <c r="E49" t="s" s="157">
        <v>2553</v>
      </c>
      <c r="F49" s="16"/>
      <c r="G49" t="s" s="96">
        <v>2558</v>
      </c>
      <c r="H49" t="s" s="96">
        <v>71</v>
      </c>
      <c r="I49" s="79">
        <v>35</v>
      </c>
      <c r="J49" s="79">
        <v>1</v>
      </c>
      <c r="K49" s="16"/>
      <c r="L49" s="16"/>
      <c r="M49" s="16"/>
      <c r="N49" t="s" s="96">
        <v>322</v>
      </c>
      <c r="O49" s="16"/>
      <c r="P49" s="16"/>
      <c r="Q49" s="16"/>
      <c r="R49" s="16"/>
      <c r="S49" s="79">
        <v>1</v>
      </c>
      <c r="T49" s="79">
        <v>29</v>
      </c>
      <c r="U49" s="16"/>
      <c r="V49" s="16"/>
      <c r="W49" s="16"/>
      <c r="X49" s="16"/>
      <c r="Y49" s="16"/>
      <c r="Z49" s="16"/>
      <c r="AA49" s="16"/>
      <c r="AB49" s="16"/>
      <c r="AC49" s="79">
        <v>1</v>
      </c>
      <c r="AD49" s="16"/>
      <c r="AE49" s="16"/>
      <c r="AF49" s="16"/>
      <c r="AG49" t="s" s="96">
        <v>2559</v>
      </c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t="s" s="83">
        <v>2499</v>
      </c>
      <c r="B50" s="112">
        <v>1921</v>
      </c>
      <c r="C50" s="112">
        <v>8</v>
      </c>
      <c r="D50" t="s" s="83">
        <v>2500</v>
      </c>
      <c r="E50" s="74"/>
      <c r="F50" s="16"/>
      <c r="G50" s="16"/>
      <c r="H50" s="79">
        <v>4</v>
      </c>
      <c r="I50" s="79">
        <v>35</v>
      </c>
      <c r="J50" s="79" cm="1">
        <f t="array" ref="J50">SUM(J3:J49)</f>
        <v>26</v>
      </c>
      <c r="K50" s="79" cm="1">
        <f t="array" ref="K50">SUM(K3:K49)</f>
        <v>9</v>
      </c>
      <c r="L50" s="79" cm="1">
        <f t="array" ref="L50">SUM(L3:L49)</f>
        <v>0</v>
      </c>
      <c r="M50" s="79" cm="1">
        <f t="array" ref="M50">SUM(M3:M49)</f>
        <v>0</v>
      </c>
      <c r="N50" s="79" cm="1">
        <f t="array" ref="N50">SUM(N3:N49)</f>
        <v>8</v>
      </c>
      <c r="O50" s="79" cm="1">
        <f t="array" ref="O50">SUM(O3:O49)</f>
        <v>4</v>
      </c>
      <c r="P50" s="79" cm="1">
        <f t="array" ref="P50">SUM(P3:P49)</f>
        <v>1</v>
      </c>
      <c r="Q50" s="79" cm="1">
        <f t="array" ref="Q50">SUM(Q3:Q49)</f>
        <v>0</v>
      </c>
      <c r="R50" s="79" cm="1">
        <f t="array" ref="R50">SUM(R3:R49)</f>
        <v>3</v>
      </c>
      <c r="S50" s="79" cm="1">
        <f t="array" ref="S50">SUM(S3:S49)</f>
        <v>19</v>
      </c>
      <c r="T50" s="79" cm="1">
        <f t="array" ref="T50">SUM(T3:T49)</f>
        <v>1646</v>
      </c>
      <c r="U50" s="79" cm="1">
        <f t="array" ref="U50">SUM(AG3:AG49)</f>
        <v>0</v>
      </c>
      <c r="V50" s="79" cm="1">
        <f t="array" ref="V50">SUM(V3:V49)</f>
        <v>0</v>
      </c>
      <c r="W50" s="79" cm="1">
        <f t="array" ref="W50">SUM(W3:W49)</f>
        <v>0</v>
      </c>
      <c r="X50" s="79" cm="1">
        <f t="array" ref="X50">SUM(X3:X49)</f>
        <v>0</v>
      </c>
      <c r="Y50" s="79" cm="1">
        <f t="array" ref="Y50">SUM(Y3:Y49)</f>
        <v>0</v>
      </c>
      <c r="Z50" s="79" cm="1">
        <f t="array" ref="Z50">SUM(Z3:Z49)</f>
        <v>0</v>
      </c>
      <c r="AA50" s="79" cm="1">
        <f t="array" ref="AA50">SUM(AA3:AA49)</f>
        <v>0</v>
      </c>
      <c r="AB50" s="79" cm="1">
        <f t="array" ref="AB50">SUM(AB3:AB49)</f>
        <v>0</v>
      </c>
      <c r="AC50" s="79" cm="1">
        <f t="array" ref="AC50">SUM(AC3:AC49)</f>
        <v>26</v>
      </c>
      <c r="AD50" s="79" cm="1">
        <f t="array" ref="AD50">SUM(AD3:AD49)</f>
        <v>3</v>
      </c>
      <c r="AE50" s="79" cm="1">
        <f t="array" ref="AE50">AC50-AD50</f>
        <v>23</v>
      </c>
      <c r="AF50" s="79" cm="1">
        <f t="array" ref="AF50">SUM(AF3:AF49)</f>
        <v>15</v>
      </c>
      <c r="AG50" s="79" cm="1">
        <f t="array" ref="AG50">J51-AF50</f>
        <v>20</v>
      </c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5.35" customHeight="1">
      <c r="A51" s="30"/>
      <c r="B51" s="30"/>
      <c r="C51" s="30"/>
      <c r="D51" s="30"/>
      <c r="E51" s="74"/>
      <c r="F51" s="16"/>
      <c r="G51" s="16"/>
      <c r="H51" s="16"/>
      <c r="I51" s="16"/>
      <c r="J51" s="79" cm="1">
        <f t="array" ref="J51">SUM(J50:M50)</f>
        <v>35</v>
      </c>
      <c r="K51" s="16"/>
      <c r="L51" s="16"/>
      <c r="M51" s="16"/>
      <c r="N51" s="16"/>
      <c r="O51" s="16"/>
      <c r="P51" s="16"/>
      <c r="Q51" s="16"/>
      <c r="R51" s="16"/>
      <c r="S51" s="16"/>
      <c r="T51" s="99" cm="1">
        <f t="array" ref="T51">T50/J51</f>
        <v>47.0285714285714</v>
      </c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15.35" customHeight="1">
      <c r="A52" s="62"/>
      <c r="B52" s="62"/>
      <c r="C52" s="62"/>
      <c r="D52" s="62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5.35" customHeight="1">
      <c r="A53" s="16"/>
      <c r="B53" s="16"/>
      <c r="C53" s="132"/>
      <c r="D53" s="132"/>
      <c r="E53" s="132"/>
      <c r="F53" s="132"/>
      <c r="G53" s="132"/>
      <c r="H53" s="132"/>
      <c r="I53" s="16"/>
      <c r="J53" s="16"/>
      <c r="K53" s="16"/>
      <c r="L53" s="16"/>
      <c r="M53" s="16"/>
      <c r="N53" s="132"/>
      <c r="O53" s="16"/>
      <c r="P53" s="132"/>
      <c r="Q53" s="16"/>
      <c r="R53" s="16"/>
      <c r="S53" s="16"/>
      <c r="T53" s="132"/>
      <c r="U53" s="16"/>
      <c r="V53" s="16"/>
      <c r="W53" s="16"/>
      <c r="X53" s="132"/>
      <c r="Y53" s="132"/>
      <c r="Z53" s="132"/>
      <c r="AA53" s="132"/>
      <c r="AB53" s="132"/>
      <c r="AC53" s="132"/>
      <c r="AD53" s="132"/>
      <c r="AE53" s="132"/>
      <c r="AF53" s="132"/>
      <c r="AG53" s="132"/>
      <c r="AH53" s="132"/>
      <c r="AI53" s="132"/>
      <c r="AJ53" s="132"/>
      <c r="AK53" s="132"/>
      <c r="AL53" s="132"/>
      <c r="AM53" s="132"/>
      <c r="AN53" s="132"/>
      <c r="AO53" s="132"/>
      <c r="AP53" s="132"/>
      <c r="AQ53" s="132"/>
      <c r="AR53" s="132"/>
      <c r="AS53" s="132"/>
      <c r="AT53" s="132"/>
      <c r="AU53" s="132"/>
      <c r="AV53" s="132"/>
      <c r="AW53" s="132"/>
      <c r="AX53" s="132"/>
      <c r="AY53" s="132"/>
      <c r="AZ53" s="16"/>
      <c r="BA53" s="16"/>
      <c r="BB53" s="16"/>
      <c r="BC53" s="16"/>
    </row>
    <row r="54" ht="19" customHeight="1">
      <c r="A54" s="141"/>
      <c r="B54" s="141"/>
      <c r="C54" s="30"/>
      <c r="D54" s="30"/>
      <c r="E54" s="30"/>
      <c r="F54" s="29"/>
      <c r="G54" s="29"/>
      <c r="H54" s="29"/>
      <c r="I54" s="122"/>
      <c r="J54" s="417"/>
      <c r="K54" s="74"/>
      <c r="L54" s="16"/>
      <c r="M54" s="75"/>
      <c r="N54" s="29"/>
      <c r="O54" s="122"/>
      <c r="P54" s="29"/>
      <c r="Q54" s="74"/>
      <c r="R54" s="16"/>
      <c r="S54" s="75"/>
      <c r="T54" s="29"/>
      <c r="U54" s="74"/>
      <c r="V54" s="16"/>
      <c r="W54" s="75"/>
      <c r="X54" s="29"/>
      <c r="Y54" s="29"/>
      <c r="Z54" s="29"/>
      <c r="AA54" s="29"/>
      <c r="AB54" s="29"/>
      <c r="AC54" s="29"/>
      <c r="AD54" s="29"/>
      <c r="AE54" s="30"/>
      <c r="AF54" s="30"/>
      <c r="AG54" t="s" s="27">
        <v>6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.5" customHeight="1">
      <c r="A55" s="30"/>
      <c r="B55" s="30"/>
      <c r="C55" s="30"/>
      <c r="D55" s="30"/>
      <c r="E55" s="30"/>
      <c r="F55" s="30"/>
      <c r="G55" s="30"/>
      <c r="H55" s="30"/>
      <c r="I55" s="122"/>
      <c r="J55" s="30"/>
      <c r="K55" s="74"/>
      <c r="L55" s="16"/>
      <c r="M55" s="75"/>
      <c r="N55" s="30"/>
      <c r="O55" s="122"/>
      <c r="P55" s="30"/>
      <c r="Q55" s="74"/>
      <c r="R55" s="16"/>
      <c r="S55" s="75"/>
      <c r="T55" s="121"/>
      <c r="U55" s="74"/>
      <c r="V55" s="16"/>
      <c r="W55" s="75"/>
      <c r="X55" s="30"/>
      <c r="Y55" s="30"/>
      <c r="Z55" s="30"/>
      <c r="AA55" s="121"/>
      <c r="AB55" s="121"/>
      <c r="AC55" s="30"/>
      <c r="AD55" s="30"/>
      <c r="AE55" s="30"/>
      <c r="AF55" s="30"/>
      <c r="AG55" t="s" s="119">
        <v>2395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.5" customHeight="1">
      <c r="A56" s="30"/>
      <c r="B56" s="30"/>
      <c r="C56" s="30"/>
      <c r="D56" s="30"/>
      <c r="E56" s="30"/>
      <c r="F56" s="30"/>
      <c r="G56" s="30"/>
      <c r="H56" s="30"/>
      <c r="I56" s="122"/>
      <c r="J56" s="30"/>
      <c r="K56" s="74"/>
      <c r="L56" s="16"/>
      <c r="M56" s="75"/>
      <c r="N56" s="30"/>
      <c r="O56" s="122"/>
      <c r="P56" s="30"/>
      <c r="Q56" s="74"/>
      <c r="R56" s="16"/>
      <c r="S56" s="75"/>
      <c r="T56" s="121"/>
      <c r="U56" s="74"/>
      <c r="V56" s="16"/>
      <c r="W56" s="75"/>
      <c r="X56" s="30"/>
      <c r="Y56" s="30"/>
      <c r="Z56" s="30"/>
      <c r="AA56" s="121"/>
      <c r="AB56" s="121"/>
      <c r="AC56" s="30"/>
      <c r="AD56" s="30"/>
      <c r="AE56" s="30"/>
      <c r="AF56" s="30"/>
      <c r="AG56" t="s" s="119">
        <v>13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.5" customHeight="1">
      <c r="A57" s="30"/>
      <c r="B57" s="30"/>
      <c r="C57" s="30"/>
      <c r="D57" s="30"/>
      <c r="E57" s="30"/>
      <c r="F57" s="30"/>
      <c r="G57" s="30"/>
      <c r="H57" s="30"/>
      <c r="I57" s="122"/>
      <c r="J57" s="30"/>
      <c r="K57" s="74"/>
      <c r="L57" s="16"/>
      <c r="M57" s="75"/>
      <c r="N57" s="30"/>
      <c r="O57" s="122"/>
      <c r="P57" s="30"/>
      <c r="Q57" s="74"/>
      <c r="R57" s="16"/>
      <c r="S57" s="75"/>
      <c r="T57" s="121"/>
      <c r="U57" s="74"/>
      <c r="V57" s="16"/>
      <c r="W57" s="75"/>
      <c r="X57" s="30"/>
      <c r="Y57" s="30"/>
      <c r="Z57" s="30"/>
      <c r="AA57" s="121"/>
      <c r="AB57" s="121"/>
      <c r="AC57" s="30"/>
      <c r="AD57" s="30"/>
      <c r="AE57" s="30"/>
      <c r="AF57" s="30"/>
      <c r="AG57" t="s" s="119">
        <v>13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.5" customHeight="1">
      <c r="A58" s="30"/>
      <c r="B58" s="30"/>
      <c r="C58" s="30"/>
      <c r="D58" s="30"/>
      <c r="E58" s="30"/>
      <c r="F58" s="30"/>
      <c r="G58" s="30"/>
      <c r="H58" s="30"/>
      <c r="I58" s="122"/>
      <c r="J58" s="30"/>
      <c r="K58" s="74"/>
      <c r="L58" s="16"/>
      <c r="M58" s="75"/>
      <c r="N58" s="30"/>
      <c r="O58" s="122"/>
      <c r="P58" s="30"/>
      <c r="Q58" s="74"/>
      <c r="R58" s="16"/>
      <c r="S58" s="75"/>
      <c r="T58" s="121"/>
      <c r="U58" s="74"/>
      <c r="V58" s="16"/>
      <c r="W58" s="75"/>
      <c r="X58" s="30"/>
      <c r="Y58" s="30"/>
      <c r="Z58" s="30"/>
      <c r="AA58" s="121"/>
      <c r="AB58" s="121"/>
      <c r="AC58" s="30"/>
      <c r="AD58" s="30"/>
      <c r="AE58" s="30"/>
      <c r="AF58" s="30"/>
      <c r="AG58" t="s" s="119">
        <v>2395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.5" customHeight="1">
      <c r="A59" s="30"/>
      <c r="B59" s="30"/>
      <c r="C59" s="30"/>
      <c r="D59" s="30"/>
      <c r="E59" s="30"/>
      <c r="F59" s="30"/>
      <c r="G59" s="30"/>
      <c r="H59" s="30"/>
      <c r="I59" s="122"/>
      <c r="J59" s="30"/>
      <c r="K59" s="74"/>
      <c r="L59" s="16"/>
      <c r="M59" s="75"/>
      <c r="N59" s="30"/>
      <c r="O59" s="122"/>
      <c r="P59" s="30"/>
      <c r="Q59" s="74"/>
      <c r="R59" s="16"/>
      <c r="S59" s="75"/>
      <c r="T59" s="121"/>
      <c r="U59" s="74"/>
      <c r="V59" s="16"/>
      <c r="W59" s="75"/>
      <c r="X59" s="30"/>
      <c r="Y59" s="30"/>
      <c r="Z59" s="30"/>
      <c r="AA59" s="121"/>
      <c r="AB59" s="121"/>
      <c r="AC59" s="30"/>
      <c r="AD59" s="30"/>
      <c r="AE59" s="30"/>
      <c r="AF59" s="30"/>
      <c r="AG59" t="s" s="119">
        <v>2395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.5" customHeight="1">
      <c r="A60" s="30"/>
      <c r="B60" s="30"/>
      <c r="C60" s="30"/>
      <c r="D60" s="30"/>
      <c r="E60" s="30"/>
      <c r="F60" s="30"/>
      <c r="G60" s="30"/>
      <c r="H60" s="30"/>
      <c r="I60" s="122"/>
      <c r="J60" s="30"/>
      <c r="K60" s="74"/>
      <c r="L60" s="16"/>
      <c r="M60" s="75"/>
      <c r="N60" s="30"/>
      <c r="O60" s="122"/>
      <c r="P60" s="30"/>
      <c r="Q60" s="74"/>
      <c r="R60" s="16"/>
      <c r="S60" s="75"/>
      <c r="T60" s="121"/>
      <c r="U60" s="74"/>
      <c r="V60" s="16"/>
      <c r="W60" s="75"/>
      <c r="X60" s="30"/>
      <c r="Y60" s="30"/>
      <c r="Z60" s="30"/>
      <c r="AA60" s="121"/>
      <c r="AB60" s="121"/>
      <c r="AC60" s="30"/>
      <c r="AD60" s="30"/>
      <c r="AE60" s="30"/>
      <c r="AF60" s="112">
        <v>1</v>
      </c>
      <c r="AG60" t="s" s="119">
        <v>1538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.5" customHeight="1">
      <c r="A61" s="30"/>
      <c r="B61" s="30"/>
      <c r="C61" s="30"/>
      <c r="D61" s="30"/>
      <c r="E61" s="30"/>
      <c r="F61" s="30"/>
      <c r="G61" s="30"/>
      <c r="H61" s="30"/>
      <c r="I61" s="122"/>
      <c r="J61" s="30"/>
      <c r="K61" s="74"/>
      <c r="L61" s="16"/>
      <c r="M61" s="75"/>
      <c r="N61" s="30"/>
      <c r="O61" s="122"/>
      <c r="P61" s="30"/>
      <c r="Q61" s="74"/>
      <c r="R61" s="16"/>
      <c r="S61" s="75"/>
      <c r="T61" s="121"/>
      <c r="U61" s="74"/>
      <c r="V61" s="16"/>
      <c r="W61" s="75"/>
      <c r="X61" s="30"/>
      <c r="Y61" s="30"/>
      <c r="Z61" s="30"/>
      <c r="AA61" s="121"/>
      <c r="AB61" s="121"/>
      <c r="AC61" s="30"/>
      <c r="AD61" s="30"/>
      <c r="AE61" s="30"/>
      <c r="AF61" s="30"/>
      <c r="AG61" t="s" s="119">
        <v>2404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7.5" customHeight="1">
      <c r="A62" s="30"/>
      <c r="B62" s="30"/>
      <c r="C62" s="30"/>
      <c r="D62" s="30"/>
      <c r="E62" s="30"/>
      <c r="F62" s="30"/>
      <c r="G62" s="30"/>
      <c r="H62" s="30"/>
      <c r="I62" s="122"/>
      <c r="J62" s="30"/>
      <c r="K62" s="74"/>
      <c r="L62" s="16"/>
      <c r="M62" s="75"/>
      <c r="N62" s="30"/>
      <c r="O62" s="122"/>
      <c r="P62" s="30"/>
      <c r="Q62" s="74"/>
      <c r="R62" s="16"/>
      <c r="S62" s="75"/>
      <c r="T62" s="121"/>
      <c r="U62" s="74"/>
      <c r="V62" s="16"/>
      <c r="W62" s="75"/>
      <c r="X62" s="30"/>
      <c r="Y62" s="30"/>
      <c r="Z62" s="30"/>
      <c r="AA62" s="121"/>
      <c r="AB62" s="121"/>
      <c r="AC62" s="30"/>
      <c r="AD62" s="30"/>
      <c r="AE62" s="30"/>
      <c r="AF62" s="30"/>
      <c r="AG62" t="s" s="119">
        <v>2406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7" customHeight="1">
      <c r="A63" s="30"/>
      <c r="B63" s="30"/>
      <c r="C63" s="30"/>
      <c r="D63" s="30"/>
      <c r="E63" s="30"/>
      <c r="F63" s="30"/>
      <c r="G63" s="30"/>
      <c r="H63" s="30"/>
      <c r="I63" s="122"/>
      <c r="J63" s="30"/>
      <c r="K63" s="74"/>
      <c r="L63" s="16"/>
      <c r="M63" s="75"/>
      <c r="N63" s="30"/>
      <c r="O63" s="122"/>
      <c r="P63" s="30"/>
      <c r="Q63" s="74"/>
      <c r="R63" s="16"/>
      <c r="S63" s="75"/>
      <c r="T63" s="30"/>
      <c r="U63" s="74"/>
      <c r="V63" s="16"/>
      <c r="W63" s="75"/>
      <c r="X63" s="112" cm="1">
        <f t="array" ref="X63">SUM(X54:X62)</f>
        <v>0</v>
      </c>
      <c r="Y63" s="112" cm="1">
        <f t="array" ref="Y63">SUM(Y54:Y62)</f>
        <v>0</v>
      </c>
      <c r="Z63" s="112" cm="1">
        <f t="array" ref="Z63">SUM(Z54:Z62)</f>
        <v>0</v>
      </c>
      <c r="AA63" s="30"/>
      <c r="AB63" s="30"/>
      <c r="AC63" s="30"/>
      <c r="AD63" s="30"/>
      <c r="AE63" s="30"/>
      <c r="AF63" s="30"/>
      <c r="AG63" t="s" s="83">
        <v>2408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</row>
    <row r="64" ht="17.5" customHeight="1">
      <c r="A64" s="30"/>
      <c r="B64" s="30"/>
      <c r="C64" s="30"/>
      <c r="D64" s="30"/>
      <c r="E64" s="30"/>
      <c r="F64" s="30"/>
      <c r="G64" s="30"/>
      <c r="H64" s="30"/>
      <c r="I64" s="122"/>
      <c r="J64" s="30"/>
      <c r="K64" s="74"/>
      <c r="L64" s="16"/>
      <c r="M64" s="75"/>
      <c r="N64" s="30"/>
      <c r="O64" s="122"/>
      <c r="P64" s="30"/>
      <c r="Q64" s="74"/>
      <c r="R64" s="16"/>
      <c r="S64" s="75"/>
      <c r="T64" s="121"/>
      <c r="U64" s="74"/>
      <c r="V64" s="16"/>
      <c r="W64" s="75"/>
      <c r="X64" s="30"/>
      <c r="Y64" s="30"/>
      <c r="Z64" s="30"/>
      <c r="AA64" s="121"/>
      <c r="AB64" s="121"/>
      <c r="AC64" s="30"/>
      <c r="AD64" s="30"/>
      <c r="AE64" s="30"/>
      <c r="AF64" s="30"/>
      <c r="AG64" s="121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</row>
    <row r="65" ht="17.5" customHeight="1">
      <c r="A65" s="30"/>
      <c r="B65" s="30"/>
      <c r="C65" s="30"/>
      <c r="D65" s="30"/>
      <c r="E65" s="30"/>
      <c r="F65" s="30"/>
      <c r="G65" s="30"/>
      <c r="H65" s="30"/>
      <c r="I65" s="122"/>
      <c r="J65" s="30"/>
      <c r="K65" s="74"/>
      <c r="L65" s="16"/>
      <c r="M65" s="75"/>
      <c r="N65" s="30"/>
      <c r="O65" s="122"/>
      <c r="P65" s="30"/>
      <c r="Q65" s="74"/>
      <c r="R65" s="16"/>
      <c r="S65" s="75"/>
      <c r="T65" s="121"/>
      <c r="U65" s="74"/>
      <c r="V65" s="16"/>
      <c r="W65" s="75"/>
      <c r="X65" s="30"/>
      <c r="Y65" s="30"/>
      <c r="Z65" s="30"/>
      <c r="AA65" s="121"/>
      <c r="AB65" s="121"/>
      <c r="AC65" s="30"/>
      <c r="AD65" s="30"/>
      <c r="AE65" s="30"/>
      <c r="AF65" s="30"/>
      <c r="AG65" t="s" s="119">
        <v>6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</row>
    <row r="66" ht="17.5" customHeight="1">
      <c r="A66" s="30"/>
      <c r="B66" s="30"/>
      <c r="C66" s="30"/>
      <c r="D66" s="30"/>
      <c r="E66" s="124"/>
      <c r="F66" s="28"/>
      <c r="G66" s="28"/>
      <c r="H66" s="28"/>
      <c r="I66" s="122"/>
      <c r="J66" s="418"/>
      <c r="K66" s="74"/>
      <c r="L66" s="16"/>
      <c r="M66" s="75"/>
      <c r="N66" s="28"/>
      <c r="O66" s="122"/>
      <c r="P66" s="28"/>
      <c r="Q66" s="74"/>
      <c r="R66" s="16"/>
      <c r="S66" s="75"/>
      <c r="T66" s="28"/>
      <c r="U66" s="74"/>
      <c r="V66" s="16"/>
      <c r="W66" s="75"/>
      <c r="X66" s="28"/>
      <c r="Y66" s="28"/>
      <c r="Z66" s="28"/>
      <c r="AA66" s="28"/>
      <c r="AB66" s="28"/>
      <c r="AC66" s="28"/>
      <c r="AD66" s="28"/>
      <c r="AE66" s="30"/>
      <c r="AF66" s="112">
        <v>1</v>
      </c>
      <c r="AG66" t="s" s="148">
        <v>54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74"/>
      <c r="BA66" s="16"/>
      <c r="BB66" s="16"/>
      <c r="BC66" s="16"/>
    </row>
    <row r="67" ht="28" customHeight="1">
      <c r="A67" s="30"/>
      <c r="B67" s="30"/>
      <c r="C67" s="30"/>
      <c r="D67" s="30"/>
      <c r="E67" s="124"/>
      <c r="F67" s="28"/>
      <c r="G67" s="28"/>
      <c r="H67" s="28"/>
      <c r="I67" s="131"/>
      <c r="J67" s="419"/>
      <c r="K67" s="132"/>
      <c r="L67" s="132"/>
      <c r="M67" s="133"/>
      <c r="N67" s="163"/>
      <c r="O67" s="132"/>
      <c r="P67" s="165"/>
      <c r="Q67" s="131"/>
      <c r="R67" s="132"/>
      <c r="S67" s="133"/>
      <c r="T67" s="28"/>
      <c r="U67" s="131"/>
      <c r="V67" s="132"/>
      <c r="W67" s="133"/>
      <c r="X67" s="28"/>
      <c r="Y67" s="28"/>
      <c r="Z67" s="28"/>
      <c r="AA67" s="28"/>
      <c r="AB67" s="28"/>
      <c r="AC67" s="28"/>
      <c r="AD67" s="124"/>
      <c r="AE67" s="30"/>
      <c r="AF67" s="112">
        <v>1</v>
      </c>
      <c r="AG67" t="s" s="148">
        <v>54</v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</row>
    <row r="68" ht="17.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112" cm="1">
        <f t="array" ref="U68">SUM(U54:U67)</f>
        <v>0</v>
      </c>
      <c r="V68" s="112" cm="1">
        <f t="array" ref="V68">SUM(V54:V67)</f>
        <v>0</v>
      </c>
      <c r="W68" s="112" cm="1">
        <f t="array" ref="W68">SUM(W54:W67)</f>
        <v>0</v>
      </c>
      <c r="X68" s="112" cm="1">
        <f t="array" ref="X68">SUM(X54:X67)</f>
        <v>0</v>
      </c>
      <c r="Y68" s="112" cm="1">
        <f t="array" ref="Y68">SUM(Y54:Y67)</f>
        <v>0</v>
      </c>
      <c r="Z68" s="112" cm="1">
        <f t="array" ref="Z68">SUM(Z54:Z67)</f>
        <v>0</v>
      </c>
      <c r="AA68" s="30"/>
      <c r="AB68" s="30"/>
      <c r="AC68" s="30"/>
      <c r="AD68" s="30"/>
      <c r="AE68" s="30"/>
      <c r="AF68" s="112" cm="1">
        <f t="array" ref="AF68">SUM(AF54:AF67)</f>
        <v>3</v>
      </c>
      <c r="AG68" s="112" cm="1">
        <f t="array" ref="AG68">I68-AF68</f>
        <v>-3</v>
      </c>
      <c r="AH68" s="112">
        <v>11</v>
      </c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74"/>
      <c r="BA68" s="16"/>
      <c r="BB68" s="16"/>
      <c r="BC68" s="16"/>
    </row>
    <row r="69" ht="17.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121"/>
      <c r="N69" s="121"/>
      <c r="O69" s="121"/>
      <c r="P69" s="121"/>
      <c r="Q69" s="30"/>
      <c r="R69" s="121"/>
      <c r="S69" s="121"/>
      <c r="T69" s="87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74"/>
      <c r="BA69" s="16"/>
      <c r="BB69" s="16"/>
      <c r="BC69" s="16"/>
    </row>
    <row r="70" ht="17.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121"/>
      <c r="N70" s="121"/>
      <c r="O70" s="121"/>
      <c r="P70" s="121"/>
      <c r="Q70" s="121"/>
      <c r="R70" s="121"/>
      <c r="S70" s="121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74"/>
      <c r="BA70" s="16"/>
      <c r="BB70" s="16"/>
      <c r="BC70" s="16"/>
    </row>
    <row r="71" ht="17.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121"/>
      <c r="N71" s="121"/>
      <c r="O71" s="121"/>
      <c r="P71" s="121"/>
      <c r="Q71" s="121"/>
      <c r="R71" s="121"/>
      <c r="S71" s="121"/>
      <c r="T71" s="30"/>
      <c r="U71" s="121"/>
      <c r="V71" s="121"/>
      <c r="W71" s="121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74"/>
      <c r="BA71" s="16"/>
      <c r="BB71" s="16"/>
      <c r="BC71" s="16"/>
    </row>
    <row r="72" ht="17.5" customHeight="1">
      <c r="A72" s="30"/>
      <c r="B72" s="30"/>
      <c r="C72" s="30"/>
      <c r="D72" s="30"/>
      <c r="E72" s="30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30"/>
      <c r="R72" s="121"/>
      <c r="S72" s="121"/>
      <c r="T72" s="30"/>
      <c r="U72" s="121"/>
      <c r="V72" s="121"/>
      <c r="W72" s="121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74"/>
      <c r="BA72" s="16"/>
      <c r="BB72" s="16"/>
      <c r="BC72" s="16"/>
    </row>
    <row r="73" ht="17.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21"/>
      <c r="N73" s="121"/>
      <c r="O73" s="121"/>
      <c r="P73" s="121"/>
      <c r="Q73" s="30"/>
      <c r="R73" s="121"/>
      <c r="S73" s="121"/>
      <c r="T73" s="30"/>
      <c r="U73" s="121"/>
      <c r="V73" s="121"/>
      <c r="W73" s="121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74"/>
      <c r="BA73" s="16"/>
      <c r="BB73" s="16"/>
      <c r="BC73" s="16"/>
    </row>
    <row r="74" ht="17.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21"/>
      <c r="N74" s="121"/>
      <c r="O74" s="121"/>
      <c r="P74" s="121"/>
      <c r="Q74" s="30"/>
      <c r="R74" s="121"/>
      <c r="S74" s="121"/>
      <c r="T74" s="30"/>
      <c r="U74" s="121"/>
      <c r="V74" s="121"/>
      <c r="W74" s="121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74"/>
      <c r="BA74" s="16"/>
      <c r="BB74" s="16"/>
      <c r="BC74" s="16"/>
    </row>
    <row r="75" ht="17.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121"/>
      <c r="N75" s="121"/>
      <c r="O75" s="121"/>
      <c r="P75" s="121"/>
      <c r="Q75" s="30"/>
      <c r="R75" s="121"/>
      <c r="S75" s="121"/>
      <c r="T75" s="30"/>
      <c r="U75" s="121"/>
      <c r="V75" s="121"/>
      <c r="W75" s="121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74"/>
      <c r="BA75" s="16"/>
      <c r="BB75" s="16"/>
      <c r="BC75" s="16"/>
    </row>
    <row r="76" ht="17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121"/>
      <c r="N76" s="121"/>
      <c r="O76" s="121"/>
      <c r="P76" s="121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74"/>
      <c r="BA76" s="16"/>
      <c r="BB76" s="16"/>
      <c r="BC76" s="16"/>
    </row>
    <row r="77" ht="17.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121"/>
      <c r="N77" s="121"/>
      <c r="O77" s="121"/>
      <c r="P77" s="121"/>
      <c r="Q77" s="30"/>
      <c r="R77" s="121"/>
      <c r="S77" s="121"/>
      <c r="T77" s="129"/>
      <c r="U77" s="121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74"/>
      <c r="BA77" s="16"/>
      <c r="BB77" s="16"/>
      <c r="BC77" s="16"/>
    </row>
    <row r="78" ht="17.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121"/>
      <c r="N78" s="121"/>
      <c r="O78" s="121"/>
      <c r="P78" s="121"/>
      <c r="Q78" s="30"/>
      <c r="R78" s="121"/>
      <c r="S78" s="121"/>
      <c r="T78" s="30"/>
      <c r="U78" s="121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74"/>
      <c r="BA78" s="16"/>
      <c r="BB78" s="16"/>
      <c r="BC78" s="16"/>
    </row>
    <row r="79" ht="17.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121"/>
      <c r="N79" s="121"/>
      <c r="O79" s="121"/>
      <c r="P79" s="121"/>
      <c r="Q79" s="30"/>
      <c r="R79" s="121"/>
      <c r="S79" s="121"/>
      <c r="T79" s="30"/>
      <c r="U79" s="121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74"/>
      <c r="BA79" s="16"/>
      <c r="BB79" s="16"/>
      <c r="BC79" s="16"/>
    </row>
    <row r="80" ht="17.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121"/>
      <c r="N80" s="121"/>
      <c r="O80" s="121"/>
      <c r="P80" s="121"/>
      <c r="Q80" s="30"/>
      <c r="R80" s="121"/>
      <c r="S80" s="121"/>
      <c r="T80" s="129"/>
      <c r="U80" s="121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74"/>
      <c r="BA80" s="16"/>
      <c r="BB80" s="16"/>
      <c r="BC80" s="16"/>
    </row>
    <row r="81" ht="17.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121"/>
      <c r="S81" s="121"/>
      <c r="T81" s="30"/>
      <c r="U81" s="121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74"/>
      <c r="BA81" s="16"/>
      <c r="BB81" s="16"/>
      <c r="BC81" s="16"/>
    </row>
    <row r="82" ht="17.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121"/>
      <c r="N82" s="121"/>
      <c r="O82" s="121"/>
      <c r="P82" s="121"/>
      <c r="Q82" s="30"/>
      <c r="R82" s="121"/>
      <c r="S82" s="121"/>
      <c r="T82" s="30"/>
      <c r="U82" s="121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74"/>
      <c r="BA82" s="16"/>
      <c r="BB82" s="16"/>
      <c r="BC82" s="16"/>
    </row>
    <row r="83" ht="17.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121"/>
      <c r="N83" s="121"/>
      <c r="O83" s="121"/>
      <c r="P83" s="121"/>
      <c r="Q83" s="30"/>
      <c r="R83" s="121"/>
      <c r="S83" s="121"/>
      <c r="T83" s="30"/>
      <c r="U83" s="121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74"/>
      <c r="BA83" s="16"/>
      <c r="BB83" s="16"/>
      <c r="BC83" s="16"/>
    </row>
    <row r="84" ht="17" customHeight="1">
      <c r="A84" s="83"/>
      <c r="B84" s="30"/>
      <c r="C84" s="30"/>
      <c r="D84" s="30"/>
      <c r="E84" s="30"/>
      <c r="F84" s="28"/>
      <c r="G84" s="28"/>
      <c r="H84" s="28"/>
      <c r="I84" s="121"/>
      <c r="J84" s="121"/>
      <c r="K84" s="125"/>
      <c r="L84" s="28"/>
      <c r="M84" s="28"/>
      <c r="N84" s="28"/>
      <c r="O84" s="28"/>
      <c r="P84" s="28"/>
      <c r="Q84" s="30"/>
      <c r="R84" s="30"/>
      <c r="S84" s="30"/>
      <c r="T84" s="30"/>
      <c r="U84" s="112" cm="1">
        <f t="array" ref="U84">SUM(U54:U83)</f>
        <v>0</v>
      </c>
      <c r="V84" s="112" cm="1">
        <f t="array" ref="V84">SUM(V54:V83)</f>
        <v>0</v>
      </c>
      <c r="W84" s="112" cm="1">
        <f t="array" ref="W84">SUM(W54:W83)</f>
        <v>0</v>
      </c>
      <c r="X84" s="30"/>
      <c r="Y84" s="30"/>
      <c r="Z84" s="112" cm="1">
        <f t="array" ref="Z84">SUM(Z54:Z83)</f>
        <v>0</v>
      </c>
      <c r="AA84" s="112" cm="1">
        <f t="array" ref="AA84">SUM(AA54:AA83)</f>
        <v>0</v>
      </c>
      <c r="AB84" s="112" cm="1">
        <f t="array" ref="AB84">SUM(AB54:AB83)</f>
        <v>0</v>
      </c>
      <c r="AC84" s="112" cm="1">
        <f t="array" ref="AC84">SUM(AC54:AC83)</f>
        <v>0</v>
      </c>
      <c r="AD84" s="112" cm="1">
        <f t="array" ref="AD84">SUM(AD54:AD83)</f>
        <v>0</v>
      </c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74"/>
      <c r="BA84" s="16"/>
      <c r="BB84" s="16"/>
      <c r="BC84" s="16"/>
    </row>
    <row r="85" ht="17" customHeight="1">
      <c r="A85" s="30"/>
      <c r="B85" s="30"/>
      <c r="C85" s="30"/>
      <c r="D85" s="30"/>
      <c r="E85" s="30"/>
      <c r="F85" s="28"/>
      <c r="G85" s="28"/>
      <c r="H85" s="28"/>
      <c r="I85" s="121"/>
      <c r="J85" s="301"/>
      <c r="K85" s="297"/>
      <c r="L85" s="165"/>
      <c r="M85" s="28"/>
      <c r="N85" s="28"/>
      <c r="O85" s="28"/>
      <c r="P85" s="28"/>
      <c r="Q85" s="87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74"/>
      <c r="BA85" s="16"/>
      <c r="BB85" s="16"/>
      <c r="BC85" s="16"/>
    </row>
    <row r="86" ht="17" customHeight="1">
      <c r="A86" s="30"/>
      <c r="B86" s="30"/>
      <c r="C86" s="30"/>
      <c r="D86" s="30"/>
      <c r="E86" s="30"/>
      <c r="F86" s="30"/>
      <c r="G86" s="130"/>
      <c r="H86" s="30"/>
      <c r="I86" s="30"/>
      <c r="J86" s="30"/>
      <c r="K86" s="30"/>
      <c r="L86" s="30"/>
      <c r="M86" s="30"/>
      <c r="N86" s="30"/>
      <c r="O86" s="30"/>
      <c r="P86" s="30"/>
      <c r="Q86" s="87"/>
      <c r="R86" s="130"/>
      <c r="S86" s="130"/>
      <c r="T86" s="1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74"/>
      <c r="BA86" s="16"/>
      <c r="BB86" s="16"/>
      <c r="BC86" s="16"/>
    </row>
    <row r="87" ht="17.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121"/>
      <c r="S87" s="121"/>
      <c r="T87" s="129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74"/>
      <c r="BA87" s="16"/>
      <c r="BB87" s="16"/>
      <c r="BC87" s="16"/>
    </row>
    <row r="88" ht="17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130"/>
      <c r="S88" s="130"/>
      <c r="T88" s="130"/>
      <c r="U88" s="30"/>
      <c r="V88" s="30"/>
      <c r="W88" s="30"/>
      <c r="X88" s="30"/>
      <c r="Y88" s="30"/>
      <c r="Z88" s="30"/>
      <c r="AA88" s="30"/>
      <c r="AB88" s="30"/>
      <c r="AC88" s="134"/>
      <c r="AD88" s="134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74"/>
      <c r="BA88" s="16"/>
      <c r="BB88" s="16"/>
      <c r="BC88" s="16"/>
    </row>
    <row r="89" ht="17.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121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74"/>
      <c r="BA89" s="16"/>
      <c r="BB89" s="16"/>
      <c r="BC89" s="16"/>
    </row>
    <row r="90" ht="15.35" customHeight="1">
      <c r="A90" s="62"/>
      <c r="B90" s="62"/>
      <c r="C90" s="62"/>
      <c r="D90" s="62"/>
      <c r="E90" s="62"/>
      <c r="F90" s="62"/>
      <c r="G90" s="117"/>
      <c r="H90" s="115"/>
      <c r="I90" s="115"/>
      <c r="J90" s="116"/>
      <c r="K90" s="62"/>
      <c r="L90" s="117"/>
      <c r="M90" s="115"/>
      <c r="N90" s="115"/>
      <c r="O90" s="115"/>
      <c r="P90" s="115"/>
      <c r="Q90" s="30"/>
      <c r="R90" s="116"/>
      <c r="S90" s="62"/>
      <c r="T90" s="62"/>
      <c r="U90" s="62"/>
      <c r="V90" s="62"/>
      <c r="W90" s="62"/>
      <c r="X90" s="62"/>
      <c r="Y90" s="62"/>
      <c r="Z90" s="62"/>
      <c r="AA90" s="62"/>
      <c r="AB90" s="62"/>
      <c r="AC90" s="62"/>
      <c r="AD90" s="62"/>
      <c r="AE90" s="62"/>
      <c r="AF90" s="62"/>
      <c r="AG90" s="62"/>
      <c r="AH90" s="62"/>
      <c r="AI90" s="62"/>
      <c r="AJ90" s="62"/>
      <c r="AK90" s="62"/>
      <c r="AL90" s="62"/>
      <c r="AM90" s="62"/>
      <c r="AN90" s="62"/>
      <c r="AO90" s="62"/>
      <c r="AP90" s="62"/>
      <c r="AQ90" s="62"/>
      <c r="AR90" s="62"/>
      <c r="AS90" s="62"/>
      <c r="AT90" s="62"/>
      <c r="AU90" s="62"/>
      <c r="AV90" s="62"/>
      <c r="AW90" s="62"/>
      <c r="AX90" s="62"/>
      <c r="AY90" s="62"/>
      <c r="AZ90" s="16"/>
      <c r="BA90" s="16"/>
      <c r="BB90" s="16"/>
      <c r="BC90" s="16"/>
    </row>
    <row r="91" ht="15.35" customHeight="1">
      <c r="A91" s="16"/>
      <c r="B91" s="16"/>
      <c r="C91" s="16"/>
      <c r="D91" s="16"/>
      <c r="E91" s="16"/>
      <c r="F91" s="16"/>
      <c r="G91" s="75"/>
      <c r="H91" s="122"/>
      <c r="I91" s="122"/>
      <c r="J91" s="74"/>
      <c r="K91" s="16"/>
      <c r="L91" s="75"/>
      <c r="M91" s="122"/>
      <c r="N91" s="122"/>
      <c r="O91" s="122"/>
      <c r="P91" s="122"/>
      <c r="Q91" s="30"/>
      <c r="R91" s="74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5.35" customHeight="1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75"/>
      <c r="Q92" s="30"/>
      <c r="R92" s="74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15.35" customHeight="1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75"/>
      <c r="Q93" s="30"/>
      <c r="R93" s="74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</row>
    <row r="94" ht="15.35" customHeight="1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75"/>
      <c r="Q94" s="30"/>
      <c r="R94" s="74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</row>
    <row r="95" ht="15.35" customHeight="1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75"/>
      <c r="Q95" s="30"/>
      <c r="R95" s="74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</row>
    <row r="96" ht="15.35" customHeight="1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75"/>
      <c r="Q96" s="30"/>
      <c r="R96" s="74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</row>
    <row r="97" ht="15.35" customHeight="1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75"/>
      <c r="Q97" s="30"/>
      <c r="R97" s="74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</row>
    <row r="98" ht="15.35" customHeight="1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62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</row>
    <row r="99" ht="15.35" customHeight="1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</row>
    <row r="100" ht="15.35" customHeight="1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1.xml><?xml version="1.0" encoding="utf-8"?>
<worksheet xmlns:r="http://schemas.openxmlformats.org/officeDocument/2006/relationships" xmlns="http://schemas.openxmlformats.org/spreadsheetml/2006/main">
  <dimension ref="A1:BC70"/>
  <sheetViews>
    <sheetView workbookViewId="0" showGridLines="0" defaultGridColor="1"/>
  </sheetViews>
  <sheetFormatPr defaultColWidth="10.8333" defaultRowHeight="16" customHeight="1" outlineLevelRow="0" outlineLevelCol="0"/>
  <cols>
    <col min="1" max="1" width="10.8516" style="420" customWidth="1"/>
    <col min="2" max="2" width="6.5" style="420" customWidth="1"/>
    <col min="3" max="3" width="10.8516" style="420" customWidth="1"/>
    <col min="4" max="4" width="17.8516" style="420" customWidth="1"/>
    <col min="5" max="5" width="20.1719" style="420" customWidth="1"/>
    <col min="6" max="6" width="9.85156" style="420" customWidth="1"/>
    <col min="7" max="10" width="10.8516" style="420" customWidth="1"/>
    <col min="11" max="11" width="8.5" style="420" customWidth="1"/>
    <col min="12" max="12" width="7.85156" style="420" customWidth="1"/>
    <col min="13" max="13" width="10" style="420" customWidth="1"/>
    <col min="14" max="14" width="8.67188" style="420" customWidth="1"/>
    <col min="15" max="15" width="18.5" style="420" customWidth="1"/>
    <col min="16" max="16" width="11.5" style="420" customWidth="1"/>
    <col min="17" max="17" width="11.6719" style="420" customWidth="1"/>
    <col min="18" max="18" width="12.3516" style="420" customWidth="1"/>
    <col min="19" max="19" width="10.8516" style="420" customWidth="1"/>
    <col min="20" max="20" width="15.1719" style="420" customWidth="1"/>
    <col min="21" max="23" width="10.8516" style="420" customWidth="1"/>
    <col min="24" max="24" width="31" style="420" customWidth="1"/>
    <col min="25" max="25" width="19.8516" style="420" customWidth="1"/>
    <col min="26" max="26" width="12.1719" style="420" customWidth="1"/>
    <col min="27" max="30" width="16.5" style="420" customWidth="1"/>
    <col min="31" max="31" width="14.6719" style="420" customWidth="1"/>
    <col min="32" max="32" width="19.1719" style="420" customWidth="1"/>
    <col min="33" max="33" width="11" style="420" customWidth="1"/>
    <col min="34" max="34" width="11.1719" style="420" customWidth="1"/>
    <col min="35" max="35" width="7.85156" style="420" customWidth="1"/>
    <col min="36" max="37" width="10.8516" style="420" customWidth="1"/>
    <col min="38" max="38" width="7.35156" style="420" customWidth="1"/>
    <col min="39" max="39" width="10.8516" style="420" customWidth="1"/>
    <col min="40" max="40" width="9.17188" style="420" customWidth="1"/>
    <col min="41" max="41" width="10.8516" style="420" customWidth="1"/>
    <col min="42" max="42" width="12.5" style="420" customWidth="1"/>
    <col min="43" max="43" width="13" style="420" customWidth="1"/>
    <col min="44" max="55" width="10.8516" style="420" customWidth="1"/>
    <col min="56" max="16384" width="10.8516" style="420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2560</v>
      </c>
      <c r="B3" s="111">
        <v>1921</v>
      </c>
      <c r="C3" s="30"/>
      <c r="D3" t="s" s="83">
        <v>2561</v>
      </c>
      <c r="E3" s="30"/>
      <c r="F3" s="29"/>
      <c r="G3" t="s" s="82">
        <v>1</v>
      </c>
      <c r="H3" t="s" s="27">
        <v>0</v>
      </c>
      <c r="I3" s="116"/>
      <c r="J3" t="s" s="98">
        <v>3</v>
      </c>
      <c r="K3" s="62"/>
      <c r="L3" s="62"/>
      <c r="M3" s="62"/>
      <c r="N3" t="s" s="96">
        <v>2</v>
      </c>
      <c r="O3" s="62"/>
      <c r="P3" s="62"/>
      <c r="Q3" s="62"/>
      <c r="R3" s="62"/>
      <c r="S3" s="62"/>
      <c r="T3" t="s" s="96">
        <v>5</v>
      </c>
      <c r="U3" s="16"/>
      <c r="V3" s="16"/>
      <c r="W3" s="117"/>
      <c r="X3" s="29"/>
      <c r="Y3" s="29"/>
      <c r="Z3" s="29"/>
      <c r="AA3" t="s" s="153">
        <v>7</v>
      </c>
      <c r="AB3" t="s" s="154">
        <v>8</v>
      </c>
      <c r="AC3" s="29"/>
      <c r="AD3" s="29"/>
      <c r="AE3" s="30"/>
      <c r="AF3" t="s" s="27">
        <v>6</v>
      </c>
      <c r="AG3" s="29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2560</v>
      </c>
      <c r="B4" s="112">
        <v>1921</v>
      </c>
      <c r="C4" s="112">
        <v>1</v>
      </c>
      <c r="D4" t="s" s="83">
        <v>2561</v>
      </c>
      <c r="E4" t="s" s="83">
        <v>2562</v>
      </c>
      <c r="F4" s="30"/>
      <c r="G4" t="s" s="159">
        <v>2563</v>
      </c>
      <c r="H4" t="s" s="83">
        <v>193</v>
      </c>
      <c r="I4" s="156">
        <v>1</v>
      </c>
      <c r="J4" t="s" s="96">
        <v>37</v>
      </c>
      <c r="K4" s="79">
        <v>1</v>
      </c>
      <c r="L4" s="16"/>
      <c r="M4" s="16"/>
      <c r="N4" s="79">
        <v>1</v>
      </c>
      <c r="O4" s="16"/>
      <c r="P4" s="16"/>
      <c r="Q4" s="16"/>
      <c r="R4" s="16"/>
      <c r="S4" s="16"/>
      <c r="T4" s="79">
        <v>67</v>
      </c>
      <c r="U4" s="16"/>
      <c r="V4" s="16"/>
      <c r="W4" s="75"/>
      <c r="X4" s="30"/>
      <c r="Y4" s="30"/>
      <c r="Z4" s="30"/>
      <c r="AA4" t="s" s="157">
        <v>1917</v>
      </c>
      <c r="AB4" t="s" s="158">
        <v>1301</v>
      </c>
      <c r="AC4" s="30"/>
      <c r="AD4" s="30"/>
      <c r="AE4" s="30"/>
      <c r="AF4" t="s" s="83">
        <v>13</v>
      </c>
      <c r="AG4" s="121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2560</v>
      </c>
      <c r="B5" s="112">
        <v>1921</v>
      </c>
      <c r="C5" s="112">
        <v>1</v>
      </c>
      <c r="D5" t="s" s="83">
        <v>2561</v>
      </c>
      <c r="E5" t="s" s="83">
        <v>2562</v>
      </c>
      <c r="F5" s="30"/>
      <c r="G5" t="s" s="159">
        <v>2563</v>
      </c>
      <c r="H5" t="s" s="83">
        <v>406</v>
      </c>
      <c r="I5" s="156">
        <v>2</v>
      </c>
      <c r="J5" s="79">
        <v>1</v>
      </c>
      <c r="K5" s="16"/>
      <c r="L5" s="16"/>
      <c r="M5" s="16"/>
      <c r="N5" t="s" s="96">
        <v>72</v>
      </c>
      <c r="O5" s="79">
        <v>1</v>
      </c>
      <c r="P5" s="16"/>
      <c r="Q5" s="16"/>
      <c r="R5" s="16"/>
      <c r="S5" s="16"/>
      <c r="T5" s="79">
        <v>60</v>
      </c>
      <c r="U5" s="16"/>
      <c r="V5" s="16"/>
      <c r="W5" s="75"/>
      <c r="X5" s="30"/>
      <c r="Y5" s="30"/>
      <c r="Z5" s="30"/>
      <c r="AA5" t="s" s="157">
        <v>94</v>
      </c>
      <c r="AB5" t="s" s="158">
        <v>34</v>
      </c>
      <c r="AC5" s="30"/>
      <c r="AD5" s="30"/>
      <c r="AE5" s="30"/>
      <c r="AF5" t="s" s="83">
        <v>790</v>
      </c>
      <c r="AG5" s="118">
        <v>1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2560</v>
      </c>
      <c r="B6" s="112">
        <v>1921</v>
      </c>
      <c r="C6" s="112">
        <v>1</v>
      </c>
      <c r="D6" t="s" s="83">
        <v>2561</v>
      </c>
      <c r="E6" t="s" s="83">
        <v>2562</v>
      </c>
      <c r="F6" s="30"/>
      <c r="G6" t="s" s="159">
        <v>2563</v>
      </c>
      <c r="H6" t="s" s="83">
        <v>2564</v>
      </c>
      <c r="I6" s="156">
        <v>3</v>
      </c>
      <c r="J6" s="79">
        <v>1</v>
      </c>
      <c r="K6" s="16"/>
      <c r="L6" s="16"/>
      <c r="M6" s="16"/>
      <c r="N6" t="s" s="96">
        <v>78</v>
      </c>
      <c r="O6" s="16"/>
      <c r="P6" s="79">
        <v>1</v>
      </c>
      <c r="Q6" s="16"/>
      <c r="R6" s="16"/>
      <c r="S6" s="16"/>
      <c r="T6" s="79">
        <v>30</v>
      </c>
      <c r="U6" s="16"/>
      <c r="V6" s="16"/>
      <c r="W6" s="75"/>
      <c r="X6" s="30"/>
      <c r="Y6" s="30"/>
      <c r="Z6" s="30"/>
      <c r="AA6" t="s" s="157">
        <v>2565</v>
      </c>
      <c r="AB6" t="s" s="158">
        <v>34</v>
      </c>
      <c r="AC6" s="112">
        <v>1</v>
      </c>
      <c r="AD6" s="30"/>
      <c r="AE6" s="30"/>
      <c r="AF6" t="s" s="83">
        <v>13</v>
      </c>
      <c r="AG6" s="121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2560</v>
      </c>
      <c r="B7" s="112">
        <v>1921</v>
      </c>
      <c r="C7" s="112">
        <v>1</v>
      </c>
      <c r="D7" t="s" s="83">
        <v>2561</v>
      </c>
      <c r="E7" t="s" s="83">
        <v>2562</v>
      </c>
      <c r="F7" s="30"/>
      <c r="G7" t="s" s="159">
        <v>2566</v>
      </c>
      <c r="H7" t="s" s="83">
        <v>235</v>
      </c>
      <c r="I7" s="156">
        <v>4</v>
      </c>
      <c r="J7" s="79">
        <v>1</v>
      </c>
      <c r="K7" s="16"/>
      <c r="L7" s="16"/>
      <c r="M7" s="16"/>
      <c r="N7" t="s" s="96">
        <v>11</v>
      </c>
      <c r="O7" s="16"/>
      <c r="P7" s="16"/>
      <c r="Q7" s="16"/>
      <c r="R7" s="16"/>
      <c r="S7" s="79">
        <v>1</v>
      </c>
      <c r="T7" s="79">
        <v>31</v>
      </c>
      <c r="U7" s="16"/>
      <c r="V7" s="16"/>
      <c r="W7" s="75"/>
      <c r="X7" s="30"/>
      <c r="Y7" s="30"/>
      <c r="Z7" s="30"/>
      <c r="AA7" t="s" s="157">
        <v>45</v>
      </c>
      <c r="AB7" t="s" s="158">
        <v>2567</v>
      </c>
      <c r="AC7" s="112">
        <v>1</v>
      </c>
      <c r="AD7" s="30"/>
      <c r="AE7" s="30"/>
      <c r="AF7" t="s" s="83">
        <v>791</v>
      </c>
      <c r="AG7" s="118">
        <v>1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2560</v>
      </c>
      <c r="B8" s="112">
        <v>1921</v>
      </c>
      <c r="C8" s="112">
        <v>1</v>
      </c>
      <c r="D8" t="s" s="83">
        <v>2561</v>
      </c>
      <c r="E8" t="s" s="83">
        <v>2562</v>
      </c>
      <c r="F8" s="30"/>
      <c r="G8" t="s" s="159">
        <v>2568</v>
      </c>
      <c r="H8" t="s" s="83">
        <v>2569</v>
      </c>
      <c r="I8" s="156">
        <v>5</v>
      </c>
      <c r="J8" s="79">
        <v>1</v>
      </c>
      <c r="K8" s="16"/>
      <c r="L8" s="16"/>
      <c r="M8" s="16"/>
      <c r="N8" t="s" s="96">
        <v>11</v>
      </c>
      <c r="O8" s="16"/>
      <c r="P8" s="16"/>
      <c r="Q8" s="16"/>
      <c r="R8" s="16"/>
      <c r="S8" s="79">
        <v>1</v>
      </c>
      <c r="T8" s="79">
        <v>21</v>
      </c>
      <c r="U8" s="16"/>
      <c r="V8" s="16"/>
      <c r="W8" s="75"/>
      <c r="X8" s="30"/>
      <c r="Y8" s="30"/>
      <c r="Z8" s="30"/>
      <c r="AA8" t="s" s="157">
        <v>89</v>
      </c>
      <c r="AB8" t="s" s="158">
        <v>2567</v>
      </c>
      <c r="AC8" s="112">
        <v>1</v>
      </c>
      <c r="AD8" s="30"/>
      <c r="AE8" s="30"/>
      <c r="AF8" t="s" s="83">
        <v>1305</v>
      </c>
      <c r="AG8" s="118">
        <v>1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2560</v>
      </c>
      <c r="B9" s="30"/>
      <c r="C9" s="30"/>
      <c r="D9" s="30"/>
      <c r="E9" s="30"/>
      <c r="F9" s="30"/>
      <c r="G9" s="122"/>
      <c r="H9" s="112">
        <v>5</v>
      </c>
      <c r="I9" s="74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75"/>
      <c r="X9" s="30"/>
      <c r="Y9" s="30"/>
      <c r="Z9" s="30"/>
      <c r="AA9" s="74"/>
      <c r="AB9" s="75"/>
      <c r="AC9" s="30"/>
      <c r="AD9" s="30"/>
      <c r="AE9" s="30"/>
      <c r="AF9" s="30"/>
      <c r="AG9" s="12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2560</v>
      </c>
      <c r="B10" s="112">
        <v>1921</v>
      </c>
      <c r="C10" s="30"/>
      <c r="D10" t="s" s="83">
        <v>2561</v>
      </c>
      <c r="E10" s="30"/>
      <c r="F10" s="30"/>
      <c r="G10" t="s" s="159">
        <v>1</v>
      </c>
      <c r="H10" t="s" s="83">
        <v>0</v>
      </c>
      <c r="I10" s="74"/>
      <c r="J10" s="16"/>
      <c r="K10" s="16"/>
      <c r="L10" s="16"/>
      <c r="M10" s="16"/>
      <c r="N10" t="s" s="96">
        <v>2</v>
      </c>
      <c r="O10" s="16"/>
      <c r="P10" s="16"/>
      <c r="Q10" s="16"/>
      <c r="R10" s="16"/>
      <c r="S10" s="16"/>
      <c r="T10" t="s" s="96">
        <v>5</v>
      </c>
      <c r="U10" s="16"/>
      <c r="V10" s="16"/>
      <c r="W10" s="75"/>
      <c r="X10" s="30"/>
      <c r="Y10" s="30"/>
      <c r="Z10" s="30"/>
      <c r="AA10" t="s" s="157">
        <v>7</v>
      </c>
      <c r="AB10" t="s" s="158">
        <v>8</v>
      </c>
      <c r="AC10" s="30"/>
      <c r="AD10" s="30"/>
      <c r="AE10" s="30"/>
      <c r="AF10" t="s" s="83">
        <v>6</v>
      </c>
      <c r="AG10" s="12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" customHeight="1">
      <c r="A11" t="s" s="83">
        <v>2560</v>
      </c>
      <c r="B11" s="112">
        <v>1921</v>
      </c>
      <c r="C11" s="112">
        <v>2</v>
      </c>
      <c r="D11" t="s" s="83">
        <v>2561</v>
      </c>
      <c r="E11" t="s" s="83">
        <v>2570</v>
      </c>
      <c r="F11" s="30"/>
      <c r="G11" t="s" s="159">
        <v>2571</v>
      </c>
      <c r="H11" t="s" s="83">
        <v>132</v>
      </c>
      <c r="I11" s="156">
        <v>6</v>
      </c>
      <c r="J11" s="79">
        <v>1</v>
      </c>
      <c r="K11" s="16"/>
      <c r="L11" s="16"/>
      <c r="M11" s="16"/>
      <c r="N11" t="s" s="96">
        <v>207</v>
      </c>
      <c r="O11" s="16"/>
      <c r="P11" s="16"/>
      <c r="Q11" s="16"/>
      <c r="R11" s="16"/>
      <c r="S11" s="79">
        <v>1</v>
      </c>
      <c r="T11" s="79">
        <v>26</v>
      </c>
      <c r="U11" s="16"/>
      <c r="V11" s="16"/>
      <c r="W11" s="75"/>
      <c r="X11" s="30"/>
      <c r="Y11" s="30"/>
      <c r="Z11" s="30"/>
      <c r="AA11" t="s" s="157">
        <v>254</v>
      </c>
      <c r="AB11" t="s" s="158">
        <v>15</v>
      </c>
      <c r="AC11" s="112">
        <v>1</v>
      </c>
      <c r="AD11" s="30"/>
      <c r="AE11" s="30"/>
      <c r="AF11" t="s" s="83">
        <v>2572</v>
      </c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.5" customHeight="1">
      <c r="A12" t="s" s="83">
        <v>2560</v>
      </c>
      <c r="B12" s="112">
        <v>1921</v>
      </c>
      <c r="C12" s="112">
        <v>2</v>
      </c>
      <c r="D12" t="s" s="83">
        <v>2561</v>
      </c>
      <c r="E12" t="s" s="83">
        <v>2570</v>
      </c>
      <c r="F12" s="30"/>
      <c r="G12" t="s" s="159">
        <v>1811</v>
      </c>
      <c r="H12" t="s" s="83">
        <v>1239</v>
      </c>
      <c r="I12" s="156">
        <v>7</v>
      </c>
      <c r="J12" s="79">
        <v>1</v>
      </c>
      <c r="K12" s="16"/>
      <c r="L12" s="16"/>
      <c r="M12" s="16"/>
      <c r="N12" t="s" s="96">
        <v>207</v>
      </c>
      <c r="O12" s="16"/>
      <c r="P12" s="16"/>
      <c r="Q12" s="16"/>
      <c r="R12" s="16"/>
      <c r="S12" s="79">
        <v>1</v>
      </c>
      <c r="T12" s="79">
        <v>24</v>
      </c>
      <c r="U12" s="16"/>
      <c r="V12" s="16"/>
      <c r="W12" s="75"/>
      <c r="X12" s="30"/>
      <c r="Y12" s="30"/>
      <c r="Z12" s="30"/>
      <c r="AA12" t="s" s="157">
        <v>2573</v>
      </c>
      <c r="AB12" t="s" s="158">
        <v>15</v>
      </c>
      <c r="AC12" s="112">
        <v>1</v>
      </c>
      <c r="AD12" s="30"/>
      <c r="AE12" s="30"/>
      <c r="AF12" t="s" s="83">
        <v>2574</v>
      </c>
      <c r="AG12" s="118">
        <v>1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2560</v>
      </c>
      <c r="B13" s="112">
        <v>1921</v>
      </c>
      <c r="C13" s="112">
        <v>2</v>
      </c>
      <c r="D13" t="s" s="83">
        <v>2561</v>
      </c>
      <c r="E13" t="s" s="83">
        <v>2570</v>
      </c>
      <c r="F13" s="30"/>
      <c r="G13" t="s" s="159">
        <v>1055</v>
      </c>
      <c r="H13" t="s" s="83">
        <v>2575</v>
      </c>
      <c r="I13" s="156">
        <v>8</v>
      </c>
      <c r="J13" s="79">
        <v>1</v>
      </c>
      <c r="K13" s="16"/>
      <c r="L13" s="16"/>
      <c r="M13" s="16"/>
      <c r="N13" t="s" s="96">
        <v>207</v>
      </c>
      <c r="O13" s="16"/>
      <c r="P13" s="16"/>
      <c r="Q13" s="16"/>
      <c r="R13" s="16"/>
      <c r="S13" s="79">
        <v>1</v>
      </c>
      <c r="T13" s="79">
        <v>27</v>
      </c>
      <c r="U13" s="16"/>
      <c r="V13" s="16"/>
      <c r="W13" s="75"/>
      <c r="X13" s="30"/>
      <c r="Y13" s="30"/>
      <c r="Z13" s="30"/>
      <c r="AA13" t="s" s="157">
        <v>2576</v>
      </c>
      <c r="AB13" t="s" s="158">
        <v>15</v>
      </c>
      <c r="AC13" s="112">
        <v>1</v>
      </c>
      <c r="AD13" s="30"/>
      <c r="AE13" s="30"/>
      <c r="AF13" t="s" s="83">
        <v>2577</v>
      </c>
      <c r="AG13" s="118">
        <v>1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2560</v>
      </c>
      <c r="B14" s="112">
        <v>1921</v>
      </c>
      <c r="C14" s="112">
        <v>2</v>
      </c>
      <c r="D14" t="s" s="83">
        <v>2561</v>
      </c>
      <c r="E14" t="s" s="83">
        <v>2570</v>
      </c>
      <c r="F14" s="28"/>
      <c r="G14" t="s" s="159">
        <v>351</v>
      </c>
      <c r="H14" t="s" s="119">
        <v>477</v>
      </c>
      <c r="I14" s="156">
        <v>9</v>
      </c>
      <c r="J14" s="79">
        <v>1</v>
      </c>
      <c r="K14" s="16"/>
      <c r="L14" s="16"/>
      <c r="M14" s="16"/>
      <c r="N14" t="s" s="96">
        <v>207</v>
      </c>
      <c r="O14" s="16"/>
      <c r="P14" s="16"/>
      <c r="Q14" s="16"/>
      <c r="R14" s="16"/>
      <c r="S14" s="79">
        <v>1</v>
      </c>
      <c r="T14" s="79">
        <v>19</v>
      </c>
      <c r="U14" s="16"/>
      <c r="V14" s="16"/>
      <c r="W14" s="75"/>
      <c r="X14" s="28"/>
      <c r="Y14" s="28"/>
      <c r="Z14" s="28"/>
      <c r="AA14" t="s" s="157">
        <v>2578</v>
      </c>
      <c r="AB14" t="s" s="158">
        <v>15</v>
      </c>
      <c r="AC14" s="307">
        <v>1</v>
      </c>
      <c r="AD14" s="28"/>
      <c r="AE14" s="30"/>
      <c r="AF14" t="s" s="398">
        <v>54</v>
      </c>
      <c r="AG14" s="28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28" customHeight="1">
      <c r="A15" t="s" s="83">
        <v>2560</v>
      </c>
      <c r="B15" s="30"/>
      <c r="C15" s="30"/>
      <c r="D15" s="30"/>
      <c r="E15" s="124"/>
      <c r="F15" s="28"/>
      <c r="G15" s="122"/>
      <c r="H15" s="118">
        <v>4</v>
      </c>
      <c r="I15" s="74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75"/>
      <c r="X15" s="28"/>
      <c r="Y15" s="28"/>
      <c r="Z15" s="28"/>
      <c r="AA15" s="74"/>
      <c r="AB15" s="133"/>
      <c r="AC15" s="28"/>
      <c r="AD15" s="124"/>
      <c r="AE15" s="30"/>
      <c r="AF15" s="421"/>
      <c r="AG15" s="2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83">
        <v>2560</v>
      </c>
      <c r="B16" s="112">
        <v>1921</v>
      </c>
      <c r="C16" s="30"/>
      <c r="D16" t="s" s="83">
        <v>2561</v>
      </c>
      <c r="E16" s="30"/>
      <c r="F16" s="30"/>
      <c r="G16" t="s" s="159">
        <v>1</v>
      </c>
      <c r="H16" t="s" s="83">
        <v>0</v>
      </c>
      <c r="I16" s="74"/>
      <c r="J16" s="16"/>
      <c r="K16" s="16"/>
      <c r="L16" s="16"/>
      <c r="M16" s="16"/>
      <c r="N16" t="s" s="96">
        <v>2</v>
      </c>
      <c r="O16" s="16"/>
      <c r="P16" s="16"/>
      <c r="Q16" s="16"/>
      <c r="R16" s="16"/>
      <c r="S16" s="16"/>
      <c r="T16" t="s" s="96">
        <v>5</v>
      </c>
      <c r="U16" s="16"/>
      <c r="V16" s="16"/>
      <c r="W16" s="75"/>
      <c r="X16" s="30"/>
      <c r="Y16" s="30"/>
      <c r="Z16" s="30"/>
      <c r="AA16" t="s" s="159">
        <v>7</v>
      </c>
      <c r="AB16" t="s" s="83">
        <v>8</v>
      </c>
      <c r="AC16" s="28"/>
      <c r="AD16" s="30"/>
      <c r="AE16" s="30"/>
      <c r="AF16" t="s" s="83">
        <v>6</v>
      </c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2560</v>
      </c>
      <c r="B17" s="112">
        <v>1921</v>
      </c>
      <c r="C17" s="112">
        <v>3</v>
      </c>
      <c r="D17" t="s" s="83">
        <v>2561</v>
      </c>
      <c r="E17" t="s" s="83">
        <v>2579</v>
      </c>
      <c r="F17" s="30"/>
      <c r="G17" t="s" s="159">
        <v>91</v>
      </c>
      <c r="H17" t="s" s="83">
        <v>95</v>
      </c>
      <c r="I17" s="156">
        <v>10</v>
      </c>
      <c r="J17" s="79">
        <v>1</v>
      </c>
      <c r="K17" s="16"/>
      <c r="L17" s="16"/>
      <c r="M17" s="16"/>
      <c r="N17" t="s" s="96">
        <v>163</v>
      </c>
      <c r="O17" s="16"/>
      <c r="P17" s="16"/>
      <c r="Q17" s="16"/>
      <c r="R17" s="16"/>
      <c r="S17" s="79">
        <v>1</v>
      </c>
      <c r="T17" s="79">
        <v>54</v>
      </c>
      <c r="U17" s="16"/>
      <c r="V17" s="16"/>
      <c r="W17" s="75"/>
      <c r="X17" s="30"/>
      <c r="Y17" s="30"/>
      <c r="Z17" s="30"/>
      <c r="AA17" t="s" s="159">
        <v>2580</v>
      </c>
      <c r="AB17" t="s" s="83">
        <v>15</v>
      </c>
      <c r="AC17" s="307">
        <v>1</v>
      </c>
      <c r="AD17" s="30"/>
      <c r="AE17" s="30"/>
      <c r="AF17" t="s" s="83">
        <v>2581</v>
      </c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2560</v>
      </c>
      <c r="B18" s="112">
        <v>1921</v>
      </c>
      <c r="C18" s="112">
        <v>3</v>
      </c>
      <c r="D18" t="s" s="83">
        <v>2561</v>
      </c>
      <c r="E18" t="s" s="83">
        <v>2579</v>
      </c>
      <c r="F18" s="30"/>
      <c r="G18" t="s" s="159">
        <v>2582</v>
      </c>
      <c r="H18" t="s" s="83">
        <v>962</v>
      </c>
      <c r="I18" s="156">
        <v>11</v>
      </c>
      <c r="J18" s="79">
        <v>1</v>
      </c>
      <c r="K18" s="16"/>
      <c r="L18" s="16"/>
      <c r="M18" s="16"/>
      <c r="N18" t="s" s="181">
        <v>11</v>
      </c>
      <c r="O18" s="16"/>
      <c r="P18" s="16"/>
      <c r="Q18" s="16"/>
      <c r="R18" s="16"/>
      <c r="S18" s="79">
        <v>1</v>
      </c>
      <c r="T18" s="79">
        <v>18</v>
      </c>
      <c r="U18" s="16"/>
      <c r="V18" s="16"/>
      <c r="W18" s="75"/>
      <c r="X18" s="30"/>
      <c r="Y18" s="30"/>
      <c r="Z18" s="30"/>
      <c r="AA18" t="s" s="159">
        <v>55</v>
      </c>
      <c r="AB18" t="s" s="83">
        <v>15</v>
      </c>
      <c r="AC18" s="307">
        <v>1</v>
      </c>
      <c r="AD18" s="30"/>
      <c r="AE18" s="30"/>
      <c r="AF18" t="s" s="83">
        <v>2583</v>
      </c>
      <c r="AG18" s="112">
        <v>1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2560</v>
      </c>
      <c r="B19" s="112">
        <v>1921</v>
      </c>
      <c r="C19" s="112">
        <v>3</v>
      </c>
      <c r="D19" t="s" s="83">
        <v>2561</v>
      </c>
      <c r="E19" s="30"/>
      <c r="F19" s="30"/>
      <c r="G19" s="122"/>
      <c r="H19" s="112">
        <v>2</v>
      </c>
      <c r="I19" s="74"/>
      <c r="J19" s="16"/>
      <c r="K19" s="16"/>
      <c r="L19" s="16"/>
      <c r="M19" s="75"/>
      <c r="N19" s="30"/>
      <c r="O19" s="74"/>
      <c r="P19" s="16"/>
      <c r="Q19" s="16"/>
      <c r="R19" s="16"/>
      <c r="S19" s="16"/>
      <c r="T19" s="16"/>
      <c r="U19" s="16"/>
      <c r="V19" s="16"/>
      <c r="W19" s="75"/>
      <c r="X19" s="30"/>
      <c r="Y19" s="30"/>
      <c r="Z19" s="30"/>
      <c r="AA19" s="122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2560</v>
      </c>
      <c r="B20" s="30"/>
      <c r="C20" s="30"/>
      <c r="D20" s="30"/>
      <c r="E20" s="116"/>
      <c r="F20" s="62"/>
      <c r="G20" s="16"/>
      <c r="H20" s="62"/>
      <c r="I20" s="16"/>
      <c r="J20" s="16"/>
      <c r="K20" s="16"/>
      <c r="L20" s="16"/>
      <c r="M20" s="16"/>
      <c r="N20" s="62"/>
      <c r="O20" s="16"/>
      <c r="P20" s="16"/>
      <c r="Q20" s="16"/>
      <c r="R20" s="16"/>
      <c r="S20" s="16"/>
      <c r="T20" s="16"/>
      <c r="U20" s="16"/>
      <c r="V20" s="16"/>
      <c r="W20" s="16"/>
      <c r="X20" s="62"/>
      <c r="Y20" s="62"/>
      <c r="Z20" s="62"/>
      <c r="AA20" s="16"/>
      <c r="AB20" s="62"/>
      <c r="AC20" s="62"/>
      <c r="AD20" s="62"/>
      <c r="AE20" s="62"/>
      <c r="AF20" s="62"/>
      <c r="AG20" s="62"/>
      <c r="AH20" s="62"/>
      <c r="AI20" s="62"/>
      <c r="AJ20" s="62"/>
      <c r="AK20" s="62"/>
      <c r="AL20" s="62"/>
      <c r="AM20" s="62"/>
      <c r="AN20" s="62"/>
      <c r="AO20" s="62"/>
      <c r="AP20" s="62"/>
      <c r="AQ20" s="62"/>
      <c r="AR20" s="62"/>
      <c r="AS20" s="62"/>
      <c r="AT20" s="62"/>
      <c r="AU20" s="62"/>
      <c r="AV20" s="62"/>
      <c r="AW20" s="62"/>
      <c r="AX20" s="62"/>
      <c r="AY20" s="62"/>
      <c r="AZ20" s="16"/>
      <c r="BA20" s="16"/>
      <c r="BB20" s="16"/>
      <c r="BC20" s="16"/>
    </row>
    <row r="21" ht="15.35" customHeight="1">
      <c r="A21" t="s" s="83">
        <v>2560</v>
      </c>
      <c r="B21" s="112">
        <v>1921</v>
      </c>
      <c r="C21" s="30"/>
      <c r="D21" t="s" s="83">
        <v>2561</v>
      </c>
      <c r="E21" s="74"/>
      <c r="F21" s="16"/>
      <c r="G21" t="s" s="96">
        <v>1</v>
      </c>
      <c r="H21" t="s" s="96">
        <v>0</v>
      </c>
      <c r="I21" s="16"/>
      <c r="J21" t="s" s="96">
        <v>3</v>
      </c>
      <c r="K21" s="16"/>
      <c r="L21" s="16"/>
      <c r="M21" s="16"/>
      <c r="N21" t="s" s="96">
        <v>2</v>
      </c>
      <c r="O21" s="16"/>
      <c r="P21" s="16"/>
      <c r="Q21" s="16"/>
      <c r="R21" s="16"/>
      <c r="S21" s="16"/>
      <c r="T21" t="s" s="96">
        <v>5</v>
      </c>
      <c r="U21" s="16"/>
      <c r="V21" s="16"/>
      <c r="W21" s="16"/>
      <c r="X21" s="16"/>
      <c r="Y21" s="16"/>
      <c r="Z21" s="16"/>
      <c r="AA21" t="s" s="96">
        <v>7</v>
      </c>
      <c r="AB21" t="s" s="96">
        <v>8</v>
      </c>
      <c r="AC21" s="16"/>
      <c r="AD21" s="16"/>
      <c r="AE21" s="16"/>
      <c r="AF21" t="s" s="96">
        <v>6</v>
      </c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</row>
    <row r="22" ht="15.35" customHeight="1">
      <c r="A22" t="s" s="83">
        <v>2560</v>
      </c>
      <c r="B22" s="112">
        <v>1921</v>
      </c>
      <c r="C22" s="112">
        <v>4</v>
      </c>
      <c r="D22" t="s" s="83">
        <v>2561</v>
      </c>
      <c r="E22" t="s" s="157">
        <v>2584</v>
      </c>
      <c r="F22" s="16"/>
      <c r="G22" t="s" s="96">
        <v>2585</v>
      </c>
      <c r="H22" t="s" s="96">
        <v>2586</v>
      </c>
      <c r="I22" s="79">
        <v>12</v>
      </c>
      <c r="J22" t="s" s="96">
        <v>37</v>
      </c>
      <c r="K22" s="79">
        <v>1</v>
      </c>
      <c r="L22" s="16"/>
      <c r="M22" s="16"/>
      <c r="N22" s="79">
        <v>1</v>
      </c>
      <c r="O22" s="16"/>
      <c r="P22" s="16"/>
      <c r="Q22" s="16"/>
      <c r="R22" s="16"/>
      <c r="S22" s="16"/>
      <c r="T22" s="79">
        <v>60</v>
      </c>
      <c r="U22" s="16"/>
      <c r="V22" s="16"/>
      <c r="W22" s="16"/>
      <c r="X22" s="16"/>
      <c r="Y22" s="16"/>
      <c r="Z22" s="16"/>
      <c r="AA22" t="s" s="96">
        <v>2587</v>
      </c>
      <c r="AB22" t="s" s="96">
        <v>8</v>
      </c>
      <c r="AC22" s="79">
        <v>1</v>
      </c>
      <c r="AD22" s="79">
        <v>1</v>
      </c>
      <c r="AE22" s="16"/>
      <c r="AF22" t="s" s="96">
        <v>1842</v>
      </c>
      <c r="AG22" s="79">
        <v>1</v>
      </c>
      <c r="AH22" s="16"/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</row>
    <row r="23" ht="15.35" customHeight="1">
      <c r="A23" t="s" s="83">
        <v>2560</v>
      </c>
      <c r="B23" s="112">
        <v>1921</v>
      </c>
      <c r="C23" s="112">
        <v>4</v>
      </c>
      <c r="D23" t="s" s="83">
        <v>2561</v>
      </c>
      <c r="E23" t="s" s="157">
        <v>2584</v>
      </c>
      <c r="F23" s="16"/>
      <c r="G23" t="s" s="96">
        <v>2585</v>
      </c>
      <c r="H23" t="s" s="96">
        <v>2588</v>
      </c>
      <c r="I23" s="79">
        <v>13</v>
      </c>
      <c r="J23" s="79">
        <v>1</v>
      </c>
      <c r="K23" s="16"/>
      <c r="L23" s="16"/>
      <c r="M23" s="16"/>
      <c r="N23" t="s" s="96">
        <v>72</v>
      </c>
      <c r="O23" s="79">
        <v>1</v>
      </c>
      <c r="P23" s="16"/>
      <c r="Q23" s="16"/>
      <c r="R23" s="16"/>
      <c r="S23" s="16"/>
      <c r="T23" s="79">
        <v>48</v>
      </c>
      <c r="U23" s="16"/>
      <c r="V23" s="16"/>
      <c r="W23" s="16"/>
      <c r="X23" s="16"/>
      <c r="Y23" s="16"/>
      <c r="Z23" s="16"/>
      <c r="AA23" t="s" s="96">
        <v>33</v>
      </c>
      <c r="AB23" t="s" s="96">
        <v>34</v>
      </c>
      <c r="AC23" s="16"/>
      <c r="AD23" s="16"/>
      <c r="AE23" s="16"/>
      <c r="AF23" t="s" s="96">
        <v>1374</v>
      </c>
      <c r="AG23" s="79">
        <v>1</v>
      </c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</row>
    <row r="24" ht="15.35" customHeight="1">
      <c r="A24" t="s" s="83">
        <v>2560</v>
      </c>
      <c r="B24" s="112">
        <v>1921</v>
      </c>
      <c r="C24" s="112">
        <v>4</v>
      </c>
      <c r="D24" t="s" s="83">
        <v>2561</v>
      </c>
      <c r="E24" t="s" s="157">
        <v>2584</v>
      </c>
      <c r="F24" s="16"/>
      <c r="G24" t="s" s="96">
        <v>2585</v>
      </c>
      <c r="H24" t="s" s="96">
        <v>2589</v>
      </c>
      <c r="I24" s="79">
        <v>14</v>
      </c>
      <c r="J24" s="79">
        <v>1</v>
      </c>
      <c r="K24" s="16"/>
      <c r="L24" s="16"/>
      <c r="M24" s="16"/>
      <c r="N24" t="s" s="96">
        <v>78</v>
      </c>
      <c r="O24" s="16"/>
      <c r="P24" s="79">
        <v>1</v>
      </c>
      <c r="Q24" s="16"/>
      <c r="R24" s="16"/>
      <c r="S24" s="16"/>
      <c r="T24" s="79">
        <v>26</v>
      </c>
      <c r="U24" s="16"/>
      <c r="V24" s="16"/>
      <c r="W24" s="16"/>
      <c r="X24" s="16"/>
      <c r="Y24" s="16"/>
      <c r="Z24" s="16"/>
      <c r="AA24" t="s" s="96">
        <v>2590</v>
      </c>
      <c r="AB24" t="s" s="96">
        <v>603</v>
      </c>
      <c r="AC24" s="79">
        <v>1</v>
      </c>
      <c r="AD24" s="16"/>
      <c r="AE24" s="16"/>
      <c r="AF24" t="s" s="96">
        <v>13</v>
      </c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</row>
    <row r="25" ht="15.35" customHeight="1">
      <c r="A25" t="s" s="83">
        <v>2560</v>
      </c>
      <c r="B25" s="112">
        <v>1921</v>
      </c>
      <c r="C25" s="112">
        <v>4</v>
      </c>
      <c r="D25" t="s" s="83">
        <v>2561</v>
      </c>
      <c r="E25" t="s" s="157">
        <v>2584</v>
      </c>
      <c r="F25" s="132"/>
      <c r="G25" t="s" s="181">
        <v>2585</v>
      </c>
      <c r="H25" t="s" s="181">
        <v>2591</v>
      </c>
      <c r="I25" s="79">
        <v>15</v>
      </c>
      <c r="J25" s="79">
        <v>1</v>
      </c>
      <c r="K25" s="16"/>
      <c r="L25" s="16"/>
      <c r="M25" s="16"/>
      <c r="N25" t="s" s="181">
        <v>41</v>
      </c>
      <c r="O25" s="16"/>
      <c r="P25" s="132"/>
      <c r="Q25" s="16"/>
      <c r="R25" s="79">
        <v>1</v>
      </c>
      <c r="S25" s="16"/>
      <c r="T25" s="126">
        <v>33</v>
      </c>
      <c r="U25" s="16"/>
      <c r="V25" s="16"/>
      <c r="W25" s="16"/>
      <c r="X25" s="132"/>
      <c r="Y25" s="132"/>
      <c r="Z25" s="132"/>
      <c r="AA25" t="s" s="181">
        <v>2592</v>
      </c>
      <c r="AB25" t="s" s="181">
        <v>2593</v>
      </c>
      <c r="AC25" s="126">
        <v>1</v>
      </c>
      <c r="AD25" s="132"/>
      <c r="AE25" s="132"/>
      <c r="AF25" t="s" s="181">
        <v>183</v>
      </c>
      <c r="AG25" s="126">
        <v>1</v>
      </c>
      <c r="AH25" s="132"/>
      <c r="AI25" s="132"/>
      <c r="AJ25" s="132"/>
      <c r="AK25" s="132"/>
      <c r="AL25" s="132"/>
      <c r="AM25" s="132"/>
      <c r="AN25" s="132"/>
      <c r="AO25" s="132"/>
      <c r="AP25" s="132"/>
      <c r="AQ25" s="132"/>
      <c r="AR25" s="132"/>
      <c r="AS25" s="132"/>
      <c r="AT25" s="132"/>
      <c r="AU25" s="132"/>
      <c r="AV25" s="132"/>
      <c r="AW25" s="132"/>
      <c r="AX25" s="132"/>
      <c r="AY25" s="132"/>
      <c r="AZ25" s="16"/>
      <c r="BA25" s="16"/>
      <c r="BB25" s="16"/>
      <c r="BC25" s="16"/>
    </row>
    <row r="26" ht="17.5" customHeight="1">
      <c r="A26" t="s" s="83">
        <v>2560</v>
      </c>
      <c r="B26" s="112">
        <v>1921</v>
      </c>
      <c r="C26" s="112">
        <v>4</v>
      </c>
      <c r="D26" t="s" s="83">
        <v>2561</v>
      </c>
      <c r="E26" t="s" s="159">
        <v>2584</v>
      </c>
      <c r="F26" s="30"/>
      <c r="G26" t="s" s="83">
        <v>2594</v>
      </c>
      <c r="H26" t="s" s="83">
        <v>2595</v>
      </c>
      <c r="I26" s="156">
        <v>16</v>
      </c>
      <c r="J26" s="79">
        <v>1</v>
      </c>
      <c r="K26" s="16"/>
      <c r="L26" s="16"/>
      <c r="M26" s="75"/>
      <c r="N26" t="s" s="83">
        <v>41</v>
      </c>
      <c r="O26" s="122"/>
      <c r="P26" s="30"/>
      <c r="Q26" s="74"/>
      <c r="R26" s="79">
        <v>1</v>
      </c>
      <c r="S26" s="75"/>
      <c r="T26" s="112">
        <v>31</v>
      </c>
      <c r="U26" s="74"/>
      <c r="V26" s="16"/>
      <c r="W26" s="75"/>
      <c r="X26" s="30"/>
      <c r="Y26" s="30"/>
      <c r="Z26" s="30"/>
      <c r="AA26" t="s" s="83">
        <v>1158</v>
      </c>
      <c r="AB26" t="s" s="83">
        <v>34</v>
      </c>
      <c r="AC26" s="30"/>
      <c r="AD26" s="30"/>
      <c r="AE26" s="30"/>
      <c r="AF26" t="s" s="83">
        <v>1842</v>
      </c>
      <c r="AG26" s="112">
        <v>1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2560</v>
      </c>
      <c r="B27" s="112">
        <v>1921</v>
      </c>
      <c r="C27" s="112">
        <v>4</v>
      </c>
      <c r="D27" t="s" s="83">
        <v>2561</v>
      </c>
      <c r="E27" t="s" s="159">
        <v>2584</v>
      </c>
      <c r="F27" s="30"/>
      <c r="G27" t="s" s="83">
        <v>2594</v>
      </c>
      <c r="H27" t="s" s="83">
        <v>2596</v>
      </c>
      <c r="I27" s="156">
        <v>17</v>
      </c>
      <c r="J27" s="79">
        <v>1</v>
      </c>
      <c r="K27" s="16"/>
      <c r="L27" s="16"/>
      <c r="M27" s="75"/>
      <c r="N27" t="s" s="83">
        <v>41</v>
      </c>
      <c r="O27" s="122"/>
      <c r="P27" s="30"/>
      <c r="Q27" s="74"/>
      <c r="R27" s="79">
        <v>1</v>
      </c>
      <c r="S27" s="75"/>
      <c r="T27" s="118">
        <v>9</v>
      </c>
      <c r="U27" s="74"/>
      <c r="V27" s="16"/>
      <c r="W27" s="75"/>
      <c r="X27" s="30"/>
      <c r="Y27" s="30"/>
      <c r="Z27" s="30"/>
      <c r="AA27" t="s" s="119">
        <v>34</v>
      </c>
      <c r="AB27" t="s" s="119">
        <v>34</v>
      </c>
      <c r="AC27" s="30"/>
      <c r="AD27" s="30"/>
      <c r="AE27" s="30"/>
      <c r="AF27" t="s" s="119">
        <v>791</v>
      </c>
      <c r="AG27" s="112">
        <v>1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" customHeight="1">
      <c r="A28" t="s" s="83">
        <v>2560</v>
      </c>
      <c r="B28" s="112">
        <v>1921</v>
      </c>
      <c r="C28" s="112">
        <v>4</v>
      </c>
      <c r="D28" t="s" s="83">
        <v>2561</v>
      </c>
      <c r="E28" t="s" s="159">
        <v>2584</v>
      </c>
      <c r="F28" s="28"/>
      <c r="G28" t="s" s="148">
        <v>2597</v>
      </c>
      <c r="H28" t="s" s="119">
        <v>1306</v>
      </c>
      <c r="I28" s="156">
        <v>18</v>
      </c>
      <c r="J28" s="79">
        <v>1</v>
      </c>
      <c r="K28" s="16"/>
      <c r="L28" s="16"/>
      <c r="M28" s="75"/>
      <c r="N28" t="s" s="148">
        <v>11</v>
      </c>
      <c r="O28" s="122"/>
      <c r="P28" s="28"/>
      <c r="Q28" s="74"/>
      <c r="R28" s="16"/>
      <c r="S28" s="123">
        <v>1</v>
      </c>
      <c r="T28" s="307">
        <v>26</v>
      </c>
      <c r="U28" s="74"/>
      <c r="V28" s="16"/>
      <c r="W28" s="75"/>
      <c r="X28" s="30"/>
      <c r="Y28" s="30"/>
      <c r="Z28" s="112" cm="1">
        <f t="array" ref="Z28">SUM(Z3:Z27)</f>
        <v>0</v>
      </c>
      <c r="AA28" t="s" s="148">
        <v>45</v>
      </c>
      <c r="AB28" t="s" s="148">
        <v>2598</v>
      </c>
      <c r="AC28" s="112">
        <v>1</v>
      </c>
      <c r="AD28" s="30"/>
      <c r="AE28" s="112" cm="1">
        <f t="array" ref="AE28">AC28-AD28</f>
        <v>1</v>
      </c>
      <c r="AF28" t="s" s="148">
        <v>13</v>
      </c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" customHeight="1">
      <c r="A29" t="s" s="83">
        <v>2560</v>
      </c>
      <c r="B29" s="112">
        <v>1921</v>
      </c>
      <c r="C29" s="112">
        <v>4</v>
      </c>
      <c r="D29" t="s" s="83">
        <v>2561</v>
      </c>
      <c r="E29" t="s" s="157">
        <v>2584</v>
      </c>
      <c r="F29" s="180"/>
      <c r="G29" t="s" s="98">
        <v>2599</v>
      </c>
      <c r="H29" t="s" s="327">
        <v>199</v>
      </c>
      <c r="I29" s="79">
        <v>19</v>
      </c>
      <c r="J29" s="79">
        <v>1</v>
      </c>
      <c r="K29" s="16"/>
      <c r="L29" s="16"/>
      <c r="M29" s="16"/>
      <c r="N29" t="s" s="98">
        <v>11</v>
      </c>
      <c r="O29" s="16"/>
      <c r="P29" s="62"/>
      <c r="Q29" s="16"/>
      <c r="R29" s="16"/>
      <c r="S29" s="79">
        <v>1</v>
      </c>
      <c r="T29" s="97">
        <v>21</v>
      </c>
      <c r="U29" s="16"/>
      <c r="V29" s="16"/>
      <c r="W29" s="16"/>
      <c r="X29" s="180"/>
      <c r="Y29" s="180"/>
      <c r="Z29" s="180"/>
      <c r="AA29" t="s" s="98">
        <v>2600</v>
      </c>
      <c r="AB29" t="s" s="327">
        <v>2601</v>
      </c>
      <c r="AC29" s="127">
        <v>1</v>
      </c>
      <c r="AD29" s="180"/>
      <c r="AE29" s="180"/>
      <c r="AF29" t="s" s="327">
        <v>791</v>
      </c>
      <c r="AG29" s="127">
        <v>1</v>
      </c>
      <c r="AH29" s="180"/>
      <c r="AI29" s="180"/>
      <c r="AJ29" s="180"/>
      <c r="AK29" s="180"/>
      <c r="AL29" s="180"/>
      <c r="AM29" s="180"/>
      <c r="AN29" s="180"/>
      <c r="AO29" s="180"/>
      <c r="AP29" s="180"/>
      <c r="AQ29" s="180"/>
      <c r="AR29" s="180"/>
      <c r="AS29" s="180"/>
      <c r="AT29" s="180"/>
      <c r="AU29" s="180"/>
      <c r="AV29" s="180"/>
      <c r="AW29" s="180"/>
      <c r="AX29" s="180"/>
      <c r="AY29" s="180"/>
      <c r="AZ29" s="16"/>
      <c r="BA29" s="16"/>
      <c r="BB29" s="16"/>
      <c r="BC29" s="16"/>
    </row>
    <row r="30" ht="17" customHeight="1">
      <c r="A30" t="s" s="83">
        <v>2560</v>
      </c>
      <c r="B30" s="112">
        <v>1921</v>
      </c>
      <c r="C30" s="112">
        <v>4</v>
      </c>
      <c r="D30" t="s" s="83">
        <v>2561</v>
      </c>
      <c r="E30" t="s" s="110">
        <v>2584</v>
      </c>
      <c r="F30" s="30"/>
      <c r="G30" t="s" s="110">
        <v>2597</v>
      </c>
      <c r="H30" t="s" s="27">
        <v>2602</v>
      </c>
      <c r="I30" s="156">
        <v>20</v>
      </c>
      <c r="J30" s="126">
        <v>1</v>
      </c>
      <c r="K30" s="132"/>
      <c r="L30" s="132"/>
      <c r="M30" s="133"/>
      <c r="N30" t="s" s="204">
        <v>11</v>
      </c>
      <c r="O30" s="131"/>
      <c r="P30" s="132"/>
      <c r="Q30" s="132"/>
      <c r="R30" s="132"/>
      <c r="S30" s="126">
        <v>1</v>
      </c>
      <c r="T30" s="126">
        <v>17</v>
      </c>
      <c r="U30" s="132"/>
      <c r="V30" s="132"/>
      <c r="W30" s="133"/>
      <c r="X30" s="30"/>
      <c r="Y30" s="30"/>
      <c r="Z30" s="30"/>
      <c r="AA30" t="s" s="110">
        <v>89</v>
      </c>
      <c r="AB30" t="s" s="27">
        <v>2601</v>
      </c>
      <c r="AC30" s="112">
        <v>1</v>
      </c>
      <c r="AD30" s="30"/>
      <c r="AE30" s="30"/>
      <c r="AF30" t="s" s="27">
        <v>2603</v>
      </c>
      <c r="AG30" s="112">
        <v>1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t="s" s="83">
        <v>2560</v>
      </c>
      <c r="B31" s="112">
        <v>1921</v>
      </c>
      <c r="C31" s="112">
        <v>4</v>
      </c>
      <c r="D31" t="s" s="83">
        <v>2561</v>
      </c>
      <c r="E31" s="30"/>
      <c r="F31" s="30"/>
      <c r="G31" s="30"/>
      <c r="H31" s="30"/>
      <c r="I31" s="120">
        <v>20</v>
      </c>
      <c r="J31" s="112" cm="1">
        <f t="array" ref="J31">SUM(J3:J30)</f>
        <v>18</v>
      </c>
      <c r="K31" s="112" cm="1">
        <f t="array" ref="K31">SUM(K3:K30)</f>
        <v>2</v>
      </c>
      <c r="L31" s="112" cm="1">
        <f t="array" ref="L31">SUM(L3:L30)</f>
        <v>0</v>
      </c>
      <c r="M31" s="112" cm="1">
        <f t="array" ref="M31">SUM(M3:M30)</f>
        <v>0</v>
      </c>
      <c r="N31" s="112" cm="1">
        <f t="array" ref="N31">SUM(N3:N30)</f>
        <v>2</v>
      </c>
      <c r="O31" s="112" cm="1">
        <f t="array" ref="O31">SUM(O3:O30)</f>
        <v>2</v>
      </c>
      <c r="P31" s="112" cm="1">
        <f t="array" ref="P31">SUM(P3:P30)</f>
        <v>2</v>
      </c>
      <c r="Q31" s="112" cm="1">
        <f t="array" ref="Q31">SUM(Q3:Q30)</f>
        <v>0</v>
      </c>
      <c r="R31" s="112" cm="1">
        <f t="array" ref="R31">SUM(R3:R30)</f>
        <v>3</v>
      </c>
      <c r="S31" s="112" cm="1">
        <f t="array" ref="S31">SUM(S3:S30)</f>
        <v>11</v>
      </c>
      <c r="T31" s="112" cm="1">
        <f t="array" ref="T31">SUM(T3:T30)</f>
        <v>648</v>
      </c>
      <c r="U31" s="112" cm="1">
        <f t="array" ref="U31">SUM(AF3:AF30)</f>
        <v>0</v>
      </c>
      <c r="V31" s="112" cm="1">
        <f t="array" ref="V31">SUM(AA3:AA30)</f>
        <v>0</v>
      </c>
      <c r="W31" s="112" cm="1">
        <f t="array" ref="W31">SUM(AB3:AB30)</f>
        <v>0</v>
      </c>
      <c r="X31" s="112" cm="1">
        <f t="array" ref="X31">SUM(X3:X30)</f>
        <v>0</v>
      </c>
      <c r="Y31" s="112" cm="1">
        <f t="array" ref="Y31">SUM(Y3:Y30)</f>
        <v>0</v>
      </c>
      <c r="Z31" s="112" cm="1">
        <f t="array" ref="Z31">SUM(Z3:Z30)</f>
        <v>0</v>
      </c>
      <c r="AA31" s="30"/>
      <c r="AB31" s="30"/>
      <c r="AC31" s="112" cm="1">
        <f t="array" ref="AC31">SUM(AC3:AC30)</f>
        <v>15</v>
      </c>
      <c r="AD31" s="112" cm="1">
        <f t="array" ref="AD31">SUM(AD3:AD30)</f>
        <v>1</v>
      </c>
      <c r="AE31" s="112" cm="1">
        <f t="array" ref="AE31">AC31-AD31</f>
        <v>14</v>
      </c>
      <c r="AF31" s="112" cm="1">
        <f t="array" ref="AF31">N32-AG31</f>
        <v>7</v>
      </c>
      <c r="AG31" s="112" cm="1">
        <f t="array" ref="AG31">SUM(AG3:AG30)</f>
        <v>13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" customHeight="1">
      <c r="A32" t="s" s="83">
        <v>2560</v>
      </c>
      <c r="B32" s="112">
        <v>1921</v>
      </c>
      <c r="C32" s="30"/>
      <c r="D32" t="s" s="83">
        <v>2561</v>
      </c>
      <c r="E32" s="30"/>
      <c r="F32" s="30"/>
      <c r="G32" s="30"/>
      <c r="H32" s="30"/>
      <c r="I32" s="122"/>
      <c r="J32" s="112" cm="1">
        <f t="array" ref="J32">SUM(J31:M31)</f>
        <v>20</v>
      </c>
      <c r="K32" s="116"/>
      <c r="L32" s="62"/>
      <c r="M32" s="117"/>
      <c r="N32" s="112" cm="1">
        <f t="array" ref="N32">SUM(N31:S31)</f>
        <v>20</v>
      </c>
      <c r="O32" s="115"/>
      <c r="P32" s="30"/>
      <c r="Q32" s="30"/>
      <c r="R32" s="130"/>
      <c r="S32" s="130"/>
      <c r="T32" s="87" cm="1">
        <f t="array" ref="T32">T31/N32</f>
        <v>32.4</v>
      </c>
      <c r="U32" s="30"/>
      <c r="V32" s="30"/>
      <c r="W32" s="30"/>
      <c r="X32" s="30"/>
      <c r="Y32" s="30"/>
      <c r="Z32" s="30"/>
      <c r="AA32" s="30"/>
      <c r="AB32" s="30"/>
      <c r="AC32" s="134"/>
      <c r="AD32" s="134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.5" customHeight="1">
      <c r="A33" s="30"/>
      <c r="B33" s="30"/>
      <c r="C33" s="30"/>
      <c r="D33" s="30"/>
      <c r="E33" s="30"/>
      <c r="F33" s="30"/>
      <c r="G33" s="30"/>
      <c r="H33" s="30"/>
      <c r="I33" s="122"/>
      <c r="J33" s="30"/>
      <c r="K33" s="74"/>
      <c r="L33" s="16"/>
      <c r="M33" s="75"/>
      <c r="N33" s="30"/>
      <c r="O33" s="122"/>
      <c r="P33" s="30"/>
      <c r="Q33" s="30"/>
      <c r="R33" s="121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5.35" customHeight="1">
      <c r="A34" s="62"/>
      <c r="B34" s="62"/>
      <c r="C34" s="62"/>
      <c r="D34" s="62"/>
      <c r="E34" s="62"/>
      <c r="F34" s="62"/>
      <c r="G34" s="117"/>
      <c r="H34" s="30"/>
      <c r="I34" s="122"/>
      <c r="J34" s="30"/>
      <c r="K34" s="74"/>
      <c r="L34" s="16"/>
      <c r="M34" s="75"/>
      <c r="N34" s="30"/>
      <c r="O34" s="122"/>
      <c r="P34" s="30"/>
      <c r="Q34" s="116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  <c r="AK34" s="62"/>
      <c r="AL34" s="62"/>
      <c r="AM34" s="62"/>
      <c r="AN34" s="62"/>
      <c r="AO34" s="62"/>
      <c r="AP34" s="62"/>
      <c r="AQ34" s="62"/>
      <c r="AR34" s="62"/>
      <c r="AS34" s="62"/>
      <c r="AT34" s="62"/>
      <c r="AU34" s="62"/>
      <c r="AV34" s="62"/>
      <c r="AW34" s="62"/>
      <c r="AX34" s="62"/>
      <c r="AY34" s="62"/>
      <c r="AZ34" s="16"/>
      <c r="BA34" s="16"/>
      <c r="BB34" s="16"/>
      <c r="BC34" s="16"/>
    </row>
    <row r="35" ht="15.35" customHeight="1">
      <c r="A35" s="16"/>
      <c r="B35" s="16"/>
      <c r="C35" s="16"/>
      <c r="D35" s="16"/>
      <c r="E35" s="16"/>
      <c r="F35" s="16"/>
      <c r="G35" s="75"/>
      <c r="H35" s="30"/>
      <c r="I35" s="122"/>
      <c r="J35" s="30"/>
      <c r="K35" s="74"/>
      <c r="L35" s="16"/>
      <c r="M35" s="75"/>
      <c r="N35" s="30"/>
      <c r="O35" s="122"/>
      <c r="P35" s="30"/>
      <c r="Q35" s="74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</row>
    <row r="36" ht="15.35" customHeight="1">
      <c r="A36" s="16"/>
      <c r="B36" s="16"/>
      <c r="C36" s="16"/>
      <c r="D36" s="16"/>
      <c r="E36" s="16"/>
      <c r="F36" s="16"/>
      <c r="G36" s="75"/>
      <c r="H36" s="30"/>
      <c r="I36" s="122"/>
      <c r="J36" s="30"/>
      <c r="K36" s="74"/>
      <c r="L36" s="16"/>
      <c r="M36" s="75"/>
      <c r="N36" s="30"/>
      <c r="O36" s="122"/>
      <c r="P36" s="30"/>
      <c r="Q36" s="74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</row>
    <row r="37" ht="15.35" customHeight="1">
      <c r="A37" s="16"/>
      <c r="B37" s="16"/>
      <c r="C37" s="16"/>
      <c r="D37" s="16"/>
      <c r="E37" s="16"/>
      <c r="F37" s="16"/>
      <c r="G37" s="75"/>
      <c r="H37" s="30"/>
      <c r="I37" s="122"/>
      <c r="J37" s="30"/>
      <c r="K37" s="74"/>
      <c r="L37" s="16"/>
      <c r="M37" s="75"/>
      <c r="N37" s="30"/>
      <c r="O37" s="122"/>
      <c r="P37" s="30"/>
      <c r="Q37" s="74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</row>
    <row r="38" ht="15.35" customHeight="1">
      <c r="A38" s="16"/>
      <c r="B38" s="16"/>
      <c r="C38" s="16"/>
      <c r="D38" s="16"/>
      <c r="E38" s="16"/>
      <c r="F38" s="16"/>
      <c r="G38" s="75"/>
      <c r="H38" s="30"/>
      <c r="I38" s="122"/>
      <c r="J38" s="30"/>
      <c r="K38" s="74"/>
      <c r="L38" s="16"/>
      <c r="M38" s="75"/>
      <c r="N38" s="30"/>
      <c r="O38" s="122"/>
      <c r="P38" s="30"/>
      <c r="Q38" s="74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</row>
    <row r="39" ht="15.35" customHeight="1">
      <c r="A39" s="16"/>
      <c r="B39" s="16"/>
      <c r="C39" s="16"/>
      <c r="D39" s="16"/>
      <c r="E39" s="16"/>
      <c r="F39" s="16"/>
      <c r="G39" s="75"/>
      <c r="H39" s="30"/>
      <c r="I39" s="122"/>
      <c r="J39" s="30"/>
      <c r="K39" s="74"/>
      <c r="L39" s="16"/>
      <c r="M39" s="75"/>
      <c r="N39" s="30"/>
      <c r="O39" s="122"/>
      <c r="P39" s="30"/>
      <c r="Q39" s="74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</row>
    <row r="40" ht="15.35" customHeight="1">
      <c r="A40" s="16"/>
      <c r="B40" s="16"/>
      <c r="C40" s="16"/>
      <c r="D40" s="16"/>
      <c r="E40" s="16"/>
      <c r="F40" s="16"/>
      <c r="G40" s="75"/>
      <c r="H40" s="30"/>
      <c r="I40" s="122"/>
      <c r="J40" s="30"/>
      <c r="K40" s="74"/>
      <c r="L40" s="16"/>
      <c r="M40" s="75"/>
      <c r="N40" s="30"/>
      <c r="O40" s="122"/>
      <c r="P40" s="30"/>
      <c r="Q40" s="74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7.45" customHeight="1">
      <c r="A41" s="16"/>
      <c r="B41" s="16"/>
      <c r="C41" s="16"/>
      <c r="D41" s="16"/>
      <c r="E41" s="16"/>
      <c r="F41" s="16"/>
      <c r="G41" s="75"/>
      <c r="H41" s="121"/>
      <c r="I41" s="122"/>
      <c r="J41" s="125"/>
      <c r="K41" s="74"/>
      <c r="L41" s="16"/>
      <c r="M41" s="75"/>
      <c r="N41" s="28"/>
      <c r="O41" s="122"/>
      <c r="P41" s="28"/>
      <c r="Q41" s="74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7.45" customHeight="1">
      <c r="A42" s="16"/>
      <c r="B42" s="16"/>
      <c r="C42" s="132"/>
      <c r="D42" s="132"/>
      <c r="E42" s="132"/>
      <c r="F42" s="132"/>
      <c r="G42" s="75"/>
      <c r="H42" s="121"/>
      <c r="I42" s="74"/>
      <c r="J42" s="164"/>
      <c r="K42" s="16"/>
      <c r="L42" s="16"/>
      <c r="M42" s="75"/>
      <c r="N42" s="163"/>
      <c r="O42" s="16"/>
      <c r="P42" s="165"/>
      <c r="Q42" s="74"/>
      <c r="R42" s="16"/>
      <c r="S42" s="16"/>
      <c r="T42" s="16"/>
      <c r="U42" s="16"/>
      <c r="V42" s="16"/>
      <c r="W42" s="16"/>
      <c r="X42" s="132"/>
      <c r="Y42" s="132"/>
      <c r="Z42" s="132"/>
      <c r="AA42" s="16"/>
      <c r="AB42" s="132"/>
      <c r="AC42" s="132"/>
      <c r="AD42" s="132"/>
      <c r="AE42" s="132"/>
      <c r="AF42" s="132"/>
      <c r="AG42" s="132"/>
      <c r="AH42" s="132"/>
      <c r="AI42" s="132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32"/>
      <c r="AU42" s="132"/>
      <c r="AV42" s="132"/>
      <c r="AW42" s="132"/>
      <c r="AX42" s="132"/>
      <c r="AY42" s="132"/>
      <c r="AZ42" s="16"/>
      <c r="BA42" s="16"/>
      <c r="BB42" s="16"/>
      <c r="BC42" s="16"/>
    </row>
    <row r="43" ht="19" customHeight="1">
      <c r="A43" s="141"/>
      <c r="B43" s="141"/>
      <c r="C43" s="30"/>
      <c r="D43" s="30"/>
      <c r="E43" s="30"/>
      <c r="F43" s="29"/>
      <c r="G43" s="122"/>
      <c r="H43" t="s" s="27">
        <v>0</v>
      </c>
      <c r="I43" t="s" s="157">
        <v>1</v>
      </c>
      <c r="J43" t="s" s="96">
        <v>2</v>
      </c>
      <c r="K43" t="s" s="96">
        <v>3</v>
      </c>
      <c r="L43" t="s" s="96">
        <v>4</v>
      </c>
      <c r="M43" t="s" s="158">
        <v>5</v>
      </c>
      <c r="N43" t="s" s="27">
        <v>6</v>
      </c>
      <c r="O43" t="s" s="157">
        <v>7</v>
      </c>
      <c r="P43" t="s" s="98">
        <v>8</v>
      </c>
      <c r="Q43" s="16"/>
      <c r="R43" s="16"/>
      <c r="S43" s="16"/>
      <c r="T43" s="16"/>
      <c r="U43" s="16"/>
      <c r="V43" s="16"/>
      <c r="W43" s="75"/>
      <c r="X43" s="29"/>
      <c r="Y43" s="29"/>
      <c r="Z43" s="29"/>
      <c r="AA43" s="122"/>
      <c r="AB43" s="29"/>
      <c r="AC43" s="29"/>
      <c r="AD43" s="29"/>
      <c r="AE43" s="30"/>
      <c r="AF43" s="29"/>
      <c r="AG43" s="29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t="s" s="83">
        <v>2604</v>
      </c>
      <c r="F44" s="30"/>
      <c r="G44" s="122"/>
      <c r="H44" t="s" s="83">
        <v>193</v>
      </c>
      <c r="I44" t="s" s="157">
        <v>2563</v>
      </c>
      <c r="J44" t="s" s="96">
        <v>31</v>
      </c>
      <c r="K44" t="s" s="96">
        <v>37</v>
      </c>
      <c r="L44" s="79">
        <v>1854</v>
      </c>
      <c r="M44" s="123">
        <v>67</v>
      </c>
      <c r="N44" t="s" s="83">
        <v>13</v>
      </c>
      <c r="O44" t="s" s="157">
        <v>1917</v>
      </c>
      <c r="P44" t="s" s="96">
        <v>1301</v>
      </c>
      <c r="Q44" s="16"/>
      <c r="R44" s="16"/>
      <c r="S44" s="16"/>
      <c r="T44" s="16"/>
      <c r="U44" s="16"/>
      <c r="V44" s="16"/>
      <c r="W44" s="75"/>
      <c r="X44" s="30"/>
      <c r="Y44" s="30"/>
      <c r="Z44" s="30"/>
      <c r="AA44" s="122"/>
      <c r="AB44" s="30"/>
      <c r="AC44" s="30"/>
      <c r="AD44" s="30"/>
      <c r="AE44" s="30"/>
      <c r="AF44" s="30"/>
      <c r="AG44" s="121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s="30"/>
      <c r="B45" s="30"/>
      <c r="C45" s="30"/>
      <c r="D45" s="30"/>
      <c r="E45" s="30"/>
      <c r="F45" s="30"/>
      <c r="G45" s="122"/>
      <c r="H45" t="s" s="83">
        <v>406</v>
      </c>
      <c r="I45" t="s" s="157">
        <v>2563</v>
      </c>
      <c r="J45" t="s" s="96">
        <v>72</v>
      </c>
      <c r="K45" t="s" s="96">
        <v>12</v>
      </c>
      <c r="L45" s="79">
        <v>1860</v>
      </c>
      <c r="M45" s="123">
        <v>60</v>
      </c>
      <c r="N45" t="s" s="83">
        <v>790</v>
      </c>
      <c r="O45" t="s" s="157">
        <v>94</v>
      </c>
      <c r="P45" t="s" s="96">
        <v>34</v>
      </c>
      <c r="Q45" s="16"/>
      <c r="R45" s="16"/>
      <c r="S45" s="16"/>
      <c r="T45" s="16"/>
      <c r="U45" s="16"/>
      <c r="V45" s="16"/>
      <c r="W45" s="75"/>
      <c r="X45" s="30"/>
      <c r="Y45" s="30"/>
      <c r="Z45" s="30"/>
      <c r="AA45" s="122"/>
      <c r="AB45" s="30"/>
      <c r="AC45" s="30"/>
      <c r="AD45" s="30"/>
      <c r="AE45" s="30"/>
      <c r="AF45" s="30"/>
      <c r="AG45" s="121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s="30"/>
      <c r="B46" s="30"/>
      <c r="C46" s="30"/>
      <c r="D46" s="30"/>
      <c r="E46" s="30"/>
      <c r="F46" s="30"/>
      <c r="G46" s="122"/>
      <c r="H46" t="s" s="83">
        <v>2564</v>
      </c>
      <c r="I46" t="s" s="157">
        <v>2563</v>
      </c>
      <c r="J46" t="s" s="96">
        <v>78</v>
      </c>
      <c r="K46" t="s" s="96">
        <v>12</v>
      </c>
      <c r="L46" s="79">
        <v>1891</v>
      </c>
      <c r="M46" s="123">
        <v>30</v>
      </c>
      <c r="N46" t="s" s="83">
        <v>13</v>
      </c>
      <c r="O46" t="s" s="157">
        <v>2565</v>
      </c>
      <c r="P46" t="s" s="96">
        <v>34</v>
      </c>
      <c r="Q46" s="16"/>
      <c r="R46" s="16"/>
      <c r="S46" s="16"/>
      <c r="T46" s="16"/>
      <c r="U46" s="16"/>
      <c r="V46" s="16"/>
      <c r="W46" s="75"/>
      <c r="X46" s="30"/>
      <c r="Y46" s="30"/>
      <c r="Z46" s="30"/>
      <c r="AA46" s="122"/>
      <c r="AB46" s="30"/>
      <c r="AC46" s="30"/>
      <c r="AD46" s="30"/>
      <c r="AE46" s="30"/>
      <c r="AF46" s="30"/>
      <c r="AG46" s="121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.5" customHeight="1">
      <c r="A47" s="30"/>
      <c r="B47" s="30"/>
      <c r="C47" s="30"/>
      <c r="D47" s="30"/>
      <c r="E47" s="30"/>
      <c r="F47" s="30"/>
      <c r="G47" s="122"/>
      <c r="H47" t="s" s="83">
        <v>235</v>
      </c>
      <c r="I47" t="s" s="157">
        <v>2566</v>
      </c>
      <c r="J47" t="s" s="96">
        <v>11</v>
      </c>
      <c r="K47" t="s" s="96">
        <v>12</v>
      </c>
      <c r="L47" s="79">
        <v>1889</v>
      </c>
      <c r="M47" s="123">
        <v>31</v>
      </c>
      <c r="N47" t="s" s="83">
        <v>791</v>
      </c>
      <c r="O47" t="s" s="157">
        <v>45</v>
      </c>
      <c r="P47" t="s" s="96">
        <v>2567</v>
      </c>
      <c r="Q47" s="16"/>
      <c r="R47" s="16"/>
      <c r="S47" s="16"/>
      <c r="T47" s="16"/>
      <c r="U47" s="16"/>
      <c r="V47" s="16"/>
      <c r="W47" s="75"/>
      <c r="X47" s="30"/>
      <c r="Y47" s="30"/>
      <c r="Z47" s="30"/>
      <c r="AA47" s="122"/>
      <c r="AB47" s="30"/>
      <c r="AC47" s="30"/>
      <c r="AD47" s="30"/>
      <c r="AE47" s="30"/>
      <c r="AF47" s="30"/>
      <c r="AG47" s="121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.5" customHeight="1">
      <c r="A48" s="30"/>
      <c r="B48" s="30"/>
      <c r="C48" s="30"/>
      <c r="D48" s="30"/>
      <c r="E48" s="30"/>
      <c r="F48" s="30"/>
      <c r="G48" s="122"/>
      <c r="H48" t="s" s="83">
        <v>2569</v>
      </c>
      <c r="I48" t="s" s="157">
        <v>2568</v>
      </c>
      <c r="J48" t="s" s="96">
        <v>11</v>
      </c>
      <c r="K48" t="s" s="96">
        <v>12</v>
      </c>
      <c r="L48" s="79">
        <v>1900</v>
      </c>
      <c r="M48" s="123">
        <v>21</v>
      </c>
      <c r="N48" t="s" s="83">
        <v>1305</v>
      </c>
      <c r="O48" t="s" s="157">
        <v>89</v>
      </c>
      <c r="P48" t="s" s="96">
        <v>2567</v>
      </c>
      <c r="Q48" s="16"/>
      <c r="R48" s="16"/>
      <c r="S48" s="16"/>
      <c r="T48" s="16"/>
      <c r="U48" s="16"/>
      <c r="V48" s="16"/>
      <c r="W48" s="75"/>
      <c r="X48" s="30"/>
      <c r="Y48" s="30"/>
      <c r="Z48" s="30"/>
      <c r="AA48" s="122"/>
      <c r="AB48" s="30"/>
      <c r="AC48" s="30"/>
      <c r="AD48" s="30"/>
      <c r="AE48" s="30"/>
      <c r="AF48" s="30"/>
      <c r="AG48" s="121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.5" customHeight="1">
      <c r="A49" s="30"/>
      <c r="B49" s="30"/>
      <c r="C49" s="30"/>
      <c r="D49" s="30"/>
      <c r="E49" s="30"/>
      <c r="F49" s="30"/>
      <c r="G49" s="122"/>
      <c r="H49" s="30"/>
      <c r="I49" s="74"/>
      <c r="J49" s="16"/>
      <c r="K49" s="16"/>
      <c r="L49" s="16"/>
      <c r="M49" s="75"/>
      <c r="N49" s="30"/>
      <c r="O49" s="74"/>
      <c r="P49" s="16"/>
      <c r="Q49" s="16"/>
      <c r="R49" s="16"/>
      <c r="S49" s="16"/>
      <c r="T49" s="16"/>
      <c r="U49" s="16"/>
      <c r="V49" s="16"/>
      <c r="W49" s="75"/>
      <c r="X49" s="30"/>
      <c r="Y49" s="30"/>
      <c r="Z49" s="30"/>
      <c r="AA49" s="122"/>
      <c r="AB49" s="30"/>
      <c r="AC49" s="30"/>
      <c r="AD49" s="30"/>
      <c r="AE49" s="30"/>
      <c r="AF49" s="30"/>
      <c r="AG49" s="121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s="30"/>
      <c r="B50" s="30"/>
      <c r="C50" s="30"/>
      <c r="D50" s="30"/>
      <c r="E50" s="30"/>
      <c r="F50" s="30"/>
      <c r="G50" s="122"/>
      <c r="H50" t="s" s="83">
        <v>0</v>
      </c>
      <c r="I50" t="s" s="157">
        <v>1</v>
      </c>
      <c r="J50" t="s" s="96">
        <v>2</v>
      </c>
      <c r="K50" t="s" s="96">
        <v>3</v>
      </c>
      <c r="L50" t="s" s="96">
        <v>4</v>
      </c>
      <c r="M50" t="s" s="158">
        <v>5</v>
      </c>
      <c r="N50" t="s" s="83">
        <v>6</v>
      </c>
      <c r="O50" t="s" s="157">
        <v>7</v>
      </c>
      <c r="P50" t="s" s="96">
        <v>8</v>
      </c>
      <c r="Q50" s="16"/>
      <c r="R50" s="16"/>
      <c r="S50" s="16"/>
      <c r="T50" s="16"/>
      <c r="U50" s="16"/>
      <c r="V50" s="16"/>
      <c r="W50" s="75"/>
      <c r="X50" s="30"/>
      <c r="Y50" s="30"/>
      <c r="Z50" s="30"/>
      <c r="AA50" s="122"/>
      <c r="AB50" s="30"/>
      <c r="AC50" s="30"/>
      <c r="AD50" s="30"/>
      <c r="AE50" s="30"/>
      <c r="AF50" s="30"/>
      <c r="AG50" s="121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" customHeight="1">
      <c r="A51" s="30"/>
      <c r="B51" s="30"/>
      <c r="C51" s="30"/>
      <c r="D51" s="30"/>
      <c r="E51" t="s" s="83">
        <v>2570</v>
      </c>
      <c r="F51" s="30"/>
      <c r="G51" s="122"/>
      <c r="H51" t="s" s="83">
        <v>132</v>
      </c>
      <c r="I51" t="s" s="157">
        <v>2571</v>
      </c>
      <c r="J51" t="s" s="96">
        <v>207</v>
      </c>
      <c r="K51" t="s" s="96">
        <v>12</v>
      </c>
      <c r="L51" s="79">
        <v>1894</v>
      </c>
      <c r="M51" s="123">
        <v>26</v>
      </c>
      <c r="N51" t="s" s="83">
        <v>2572</v>
      </c>
      <c r="O51" t="s" s="157">
        <v>254</v>
      </c>
      <c r="P51" t="s" s="96">
        <v>15</v>
      </c>
      <c r="Q51" s="16"/>
      <c r="R51" s="16"/>
      <c r="S51" s="16"/>
      <c r="T51" s="16"/>
      <c r="U51" s="16"/>
      <c r="V51" s="16"/>
      <c r="W51" s="75"/>
      <c r="X51" s="30"/>
      <c r="Y51" s="30"/>
      <c r="Z51" s="30"/>
      <c r="AA51" s="122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.5" customHeight="1">
      <c r="A52" s="30"/>
      <c r="B52" s="30"/>
      <c r="C52" s="30"/>
      <c r="D52" s="30"/>
      <c r="E52" s="30"/>
      <c r="F52" s="30"/>
      <c r="G52" s="191"/>
      <c r="H52" t="s" s="83">
        <v>1239</v>
      </c>
      <c r="I52" t="s" s="358">
        <v>1811</v>
      </c>
      <c r="J52" t="s" s="2">
        <v>207</v>
      </c>
      <c r="K52" t="s" s="2">
        <v>12</v>
      </c>
      <c r="L52" s="319">
        <v>1896</v>
      </c>
      <c r="M52" s="422">
        <v>24</v>
      </c>
      <c r="N52" t="s" s="83">
        <v>2574</v>
      </c>
      <c r="O52" t="s" s="358">
        <v>2573</v>
      </c>
      <c r="P52" t="s" s="2">
        <v>15</v>
      </c>
      <c r="Q52" s="3"/>
      <c r="R52" s="3"/>
      <c r="S52" s="3"/>
      <c r="T52" s="3"/>
      <c r="U52" s="3"/>
      <c r="V52" s="3"/>
      <c r="W52" s="193"/>
      <c r="X52" s="30"/>
      <c r="Y52" s="30"/>
      <c r="Z52" s="30"/>
      <c r="AA52" s="191"/>
      <c r="AB52" s="30"/>
      <c r="AC52" s="30"/>
      <c r="AD52" s="30"/>
      <c r="AE52" s="30"/>
      <c r="AF52" s="30"/>
      <c r="AG52" s="121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192"/>
      <c r="BA52" s="3"/>
      <c r="BB52" s="3"/>
      <c r="BC52" s="3"/>
    </row>
    <row r="53" ht="17.5" customHeight="1">
      <c r="A53" s="30"/>
      <c r="B53" s="30"/>
      <c r="C53" s="30"/>
      <c r="D53" s="30"/>
      <c r="E53" s="30"/>
      <c r="F53" s="30"/>
      <c r="G53" s="212"/>
      <c r="H53" t="s" s="83">
        <v>2575</v>
      </c>
      <c r="I53" t="s" s="359">
        <v>1055</v>
      </c>
      <c r="J53" t="s" s="5">
        <v>207</v>
      </c>
      <c r="K53" t="s" s="5">
        <v>12</v>
      </c>
      <c r="L53" s="6">
        <v>1894</v>
      </c>
      <c r="M53" s="360">
        <v>27</v>
      </c>
      <c r="N53" t="s" s="83">
        <v>2577</v>
      </c>
      <c r="O53" t="s" s="359">
        <v>2576</v>
      </c>
      <c r="P53" t="s" s="5">
        <v>15</v>
      </c>
      <c r="Q53" s="13"/>
      <c r="R53" s="13"/>
      <c r="S53" s="13"/>
      <c r="T53" s="13"/>
      <c r="U53" s="13"/>
      <c r="V53" s="13"/>
      <c r="W53" s="196"/>
      <c r="X53" s="30"/>
      <c r="Y53" s="30"/>
      <c r="Z53" s="30"/>
      <c r="AA53" s="212"/>
      <c r="AB53" s="30"/>
      <c r="AC53" s="30"/>
      <c r="AD53" s="30"/>
      <c r="AE53" s="30"/>
      <c r="AF53" s="30"/>
      <c r="AG53" s="361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195"/>
      <c r="BA53" s="13"/>
      <c r="BB53" s="13"/>
      <c r="BC53" s="10"/>
    </row>
    <row r="54" ht="17.5" customHeight="1">
      <c r="A54" s="30"/>
      <c r="B54" s="30"/>
      <c r="C54" s="30"/>
      <c r="D54" s="30"/>
      <c r="E54" s="124"/>
      <c r="F54" s="28"/>
      <c r="G54" s="202"/>
      <c r="H54" t="s" s="119">
        <v>477</v>
      </c>
      <c r="I54" t="s" s="423">
        <v>351</v>
      </c>
      <c r="J54" t="s" s="424">
        <v>207</v>
      </c>
      <c r="K54" t="s" s="322">
        <v>12</v>
      </c>
      <c r="L54" s="264">
        <v>1902</v>
      </c>
      <c r="M54" s="203">
        <v>19</v>
      </c>
      <c r="N54" t="s" s="398">
        <v>54</v>
      </c>
      <c r="O54" t="s" s="357">
        <v>2578</v>
      </c>
      <c r="P54" t="s" s="285">
        <v>15</v>
      </c>
      <c r="Q54" s="14"/>
      <c r="R54" s="14"/>
      <c r="S54" s="14"/>
      <c r="T54" s="14"/>
      <c r="U54" s="14"/>
      <c r="V54" s="14"/>
      <c r="W54" s="201"/>
      <c r="X54" s="28"/>
      <c r="Y54" s="28"/>
      <c r="Z54" s="28"/>
      <c r="AA54" s="202"/>
      <c r="AB54" s="28"/>
      <c r="AC54" s="28"/>
      <c r="AD54" s="28"/>
      <c r="AE54" s="30"/>
      <c r="AF54" s="28"/>
      <c r="AG54" s="28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200"/>
      <c r="BA54" s="14"/>
      <c r="BB54" s="14"/>
      <c r="BC54" s="14"/>
    </row>
    <row r="55" ht="28" customHeight="1">
      <c r="A55" s="30"/>
      <c r="B55" s="30"/>
      <c r="C55" s="30"/>
      <c r="D55" s="30"/>
      <c r="E55" s="124"/>
      <c r="F55" s="28"/>
      <c r="G55" s="141"/>
      <c r="H55" s="121"/>
      <c r="I55" s="323"/>
      <c r="J55" s="425"/>
      <c r="K55" s="78"/>
      <c r="L55" s="16"/>
      <c r="M55" s="16"/>
      <c r="N55" s="297"/>
      <c r="O55" s="16"/>
      <c r="P55" s="132"/>
      <c r="Q55" s="16"/>
      <c r="R55" s="16"/>
      <c r="S55" s="16"/>
      <c r="T55" s="132"/>
      <c r="U55" s="16"/>
      <c r="V55" s="16"/>
      <c r="W55" s="75"/>
      <c r="X55" s="28"/>
      <c r="Y55" s="28"/>
      <c r="Z55" s="28"/>
      <c r="AA55" s="131"/>
      <c r="AB55" s="165"/>
      <c r="AC55" s="28"/>
      <c r="AD55" s="124"/>
      <c r="AE55" s="30"/>
      <c r="AF55" s="28"/>
      <c r="AG55" s="28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.5" customHeight="1">
      <c r="A56" s="30"/>
      <c r="B56" s="30"/>
      <c r="C56" s="30"/>
      <c r="D56" s="30"/>
      <c r="E56" s="30"/>
      <c r="F56" s="30"/>
      <c r="G56" s="30"/>
      <c r="H56" t="s" s="83">
        <v>0</v>
      </c>
      <c r="I56" t="s" s="426">
        <v>1</v>
      </c>
      <c r="J56" t="s" s="424">
        <v>2</v>
      </c>
      <c r="K56" t="s" s="324">
        <v>3</v>
      </c>
      <c r="L56" t="s" s="96">
        <v>4</v>
      </c>
      <c r="M56" t="s" s="158">
        <v>5</v>
      </c>
      <c r="N56" t="s" s="83">
        <v>6</v>
      </c>
      <c r="O56" t="s" s="159">
        <v>7</v>
      </c>
      <c r="P56" t="s" s="83">
        <v>8</v>
      </c>
      <c r="Q56" s="74"/>
      <c r="R56" s="16"/>
      <c r="S56" s="75"/>
      <c r="T56" s="30"/>
      <c r="U56" s="74"/>
      <c r="V56" s="16"/>
      <c r="W56" s="75"/>
      <c r="X56" s="30"/>
      <c r="Y56" s="30"/>
      <c r="Z56" s="30"/>
      <c r="AA56" s="30"/>
      <c r="AB56" s="30"/>
      <c r="AC56" s="28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.5" customHeight="1">
      <c r="A57" s="30"/>
      <c r="B57" s="30"/>
      <c r="C57" s="30"/>
      <c r="D57" s="30"/>
      <c r="E57" t="s" s="83">
        <v>2605</v>
      </c>
      <c r="F57" s="30"/>
      <c r="G57" s="30"/>
      <c r="H57" t="s" s="83">
        <v>95</v>
      </c>
      <c r="I57" t="s" s="426">
        <v>91</v>
      </c>
      <c r="J57" t="s" s="424">
        <v>163</v>
      </c>
      <c r="K57" t="s" s="324">
        <v>12</v>
      </c>
      <c r="L57" s="79">
        <v>1867</v>
      </c>
      <c r="M57" s="123">
        <v>54</v>
      </c>
      <c r="N57" t="s" s="83">
        <v>2581</v>
      </c>
      <c r="O57" t="s" s="159">
        <v>2580</v>
      </c>
      <c r="P57" t="s" s="83">
        <v>15</v>
      </c>
      <c r="Q57" s="74"/>
      <c r="R57" s="16"/>
      <c r="S57" s="75"/>
      <c r="T57" s="121"/>
      <c r="U57" s="74"/>
      <c r="V57" s="16"/>
      <c r="W57" s="75"/>
      <c r="X57" s="30"/>
      <c r="Y57" s="30"/>
      <c r="Z57" s="30"/>
      <c r="AA57" s="121"/>
      <c r="AB57" s="121"/>
      <c r="AC57" s="28"/>
      <c r="AD57" s="30"/>
      <c r="AE57" s="30"/>
      <c r="AF57" s="121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.5" customHeight="1">
      <c r="A58" s="30"/>
      <c r="B58" s="30"/>
      <c r="C58" s="30"/>
      <c r="D58" s="30"/>
      <c r="E58" s="30"/>
      <c r="F58" s="30"/>
      <c r="G58" s="30"/>
      <c r="H58" t="s" s="83">
        <v>962</v>
      </c>
      <c r="I58" t="s" s="426">
        <v>2582</v>
      </c>
      <c r="J58" t="s" s="427">
        <v>11</v>
      </c>
      <c r="K58" t="s" s="324">
        <v>12</v>
      </c>
      <c r="L58" s="79">
        <v>1903</v>
      </c>
      <c r="M58" s="123">
        <v>18</v>
      </c>
      <c r="N58" t="s" s="83">
        <v>2583</v>
      </c>
      <c r="O58" t="s" s="159">
        <v>55</v>
      </c>
      <c r="P58" t="s" s="83">
        <v>15</v>
      </c>
      <c r="Q58" s="74"/>
      <c r="R58" s="16"/>
      <c r="S58" s="75"/>
      <c r="T58" s="121"/>
      <c r="U58" s="74"/>
      <c r="V58" s="16"/>
      <c r="W58" s="75"/>
      <c r="X58" s="30"/>
      <c r="Y58" s="30"/>
      <c r="Z58" s="30"/>
      <c r="AA58" s="121"/>
      <c r="AB58" s="121"/>
      <c r="AC58" s="28"/>
      <c r="AD58" s="30"/>
      <c r="AE58" s="30"/>
      <c r="AF58" s="121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.5" customHeight="1">
      <c r="A59" s="30"/>
      <c r="B59" s="30"/>
      <c r="C59" s="30"/>
      <c r="D59" s="30"/>
      <c r="E59" s="30"/>
      <c r="F59" s="30"/>
      <c r="G59" s="30"/>
      <c r="H59" s="30"/>
      <c r="I59" s="122"/>
      <c r="J59" s="30"/>
      <c r="K59" s="74"/>
      <c r="L59" s="16"/>
      <c r="M59" s="75"/>
      <c r="N59" s="30"/>
      <c r="O59" s="122"/>
      <c r="P59" s="30"/>
      <c r="Q59" s="74"/>
      <c r="R59" s="16"/>
      <c r="S59" s="75"/>
      <c r="T59" s="121"/>
      <c r="U59" s="74"/>
      <c r="V59" s="16"/>
      <c r="W59" s="75"/>
      <c r="X59" s="30"/>
      <c r="Y59" s="30"/>
      <c r="Z59" s="30"/>
      <c r="AA59" s="121"/>
      <c r="AB59" s="121"/>
      <c r="AC59" s="30"/>
      <c r="AD59" s="30"/>
      <c r="AE59" s="30"/>
      <c r="AF59" s="121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5.35" customHeight="1">
      <c r="A60" s="62"/>
      <c r="B60" s="62"/>
      <c r="C60" s="62"/>
      <c r="D60" s="62"/>
      <c r="E60" s="62"/>
      <c r="F60" s="62"/>
      <c r="G60" s="62"/>
      <c r="H60" t="s" s="98">
        <v>0</v>
      </c>
      <c r="I60" t="s" s="96">
        <v>1</v>
      </c>
      <c r="J60" t="s" s="98">
        <v>2</v>
      </c>
      <c r="K60" t="s" s="96">
        <v>3</v>
      </c>
      <c r="L60" t="s" s="96">
        <v>4</v>
      </c>
      <c r="M60" t="s" s="96">
        <v>5</v>
      </c>
      <c r="N60" t="s" s="98">
        <v>6</v>
      </c>
      <c r="O60" t="s" s="96">
        <v>7</v>
      </c>
      <c r="P60" t="s" s="98">
        <v>8</v>
      </c>
      <c r="Q60" s="16"/>
      <c r="R60" s="16"/>
      <c r="S60" s="16"/>
      <c r="T60" s="62"/>
      <c r="U60" s="16"/>
      <c r="V60" s="16"/>
      <c r="W60" s="16"/>
      <c r="X60" s="62"/>
      <c r="Y60" s="62"/>
      <c r="Z60" s="62"/>
      <c r="AA60" s="62"/>
      <c r="AB60" s="62"/>
      <c r="AC60" s="62"/>
      <c r="AD60" s="62"/>
      <c r="AE60" s="62"/>
      <c r="AF60" s="62"/>
      <c r="AG60" s="62"/>
      <c r="AH60" s="62"/>
      <c r="AI60" s="62"/>
      <c r="AJ60" s="62"/>
      <c r="AK60" s="62"/>
      <c r="AL60" s="62"/>
      <c r="AM60" s="62"/>
      <c r="AN60" s="62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16"/>
      <c r="BA60" s="16"/>
      <c r="BB60" s="16"/>
      <c r="BC60" s="16"/>
    </row>
    <row r="61" ht="15.35" customHeight="1">
      <c r="A61" s="16"/>
      <c r="B61" s="16"/>
      <c r="C61" s="16"/>
      <c r="D61" s="16"/>
      <c r="E61" t="s" s="96">
        <v>2584</v>
      </c>
      <c r="F61" s="16"/>
      <c r="G61" s="16"/>
      <c r="H61" t="s" s="96">
        <v>2586</v>
      </c>
      <c r="I61" t="s" s="96">
        <v>2585</v>
      </c>
      <c r="J61" t="s" s="96">
        <v>31</v>
      </c>
      <c r="K61" t="s" s="96">
        <v>37</v>
      </c>
      <c r="L61" s="79">
        <v>1860</v>
      </c>
      <c r="M61" s="79">
        <v>60</v>
      </c>
      <c r="N61" t="s" s="96">
        <v>1842</v>
      </c>
      <c r="O61" t="s" s="96">
        <v>2587</v>
      </c>
      <c r="P61" t="s" s="96">
        <v>8</v>
      </c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15.35" customHeight="1">
      <c r="A62" s="16"/>
      <c r="B62" s="16"/>
      <c r="C62" s="16"/>
      <c r="D62" s="16"/>
      <c r="E62" s="16"/>
      <c r="F62" s="16"/>
      <c r="G62" s="16"/>
      <c r="H62" t="s" s="96">
        <v>2588</v>
      </c>
      <c r="I62" t="s" s="96">
        <v>2585</v>
      </c>
      <c r="J62" t="s" s="96">
        <v>72</v>
      </c>
      <c r="K62" t="s" s="96">
        <v>12</v>
      </c>
      <c r="L62" s="79">
        <v>1873</v>
      </c>
      <c r="M62" s="79">
        <v>48</v>
      </c>
      <c r="N62" t="s" s="96">
        <v>1374</v>
      </c>
      <c r="O62" t="s" s="96">
        <v>33</v>
      </c>
      <c r="P62" t="s" s="96">
        <v>34</v>
      </c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s="16"/>
      <c r="B63" s="16"/>
      <c r="C63" s="16"/>
      <c r="D63" s="16"/>
      <c r="E63" s="16"/>
      <c r="F63" s="16"/>
      <c r="G63" s="16"/>
      <c r="H63" t="s" s="96">
        <v>2589</v>
      </c>
      <c r="I63" t="s" s="96">
        <v>2585</v>
      </c>
      <c r="J63" t="s" s="96">
        <v>78</v>
      </c>
      <c r="K63" t="s" s="96">
        <v>12</v>
      </c>
      <c r="L63" s="79">
        <v>1895</v>
      </c>
      <c r="M63" s="79">
        <v>26</v>
      </c>
      <c r="N63" t="s" s="96">
        <v>13</v>
      </c>
      <c r="O63" t="s" s="96">
        <v>2590</v>
      </c>
      <c r="P63" t="s" s="96">
        <v>603</v>
      </c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15.35" customHeight="1">
      <c r="A64" s="16"/>
      <c r="B64" s="16"/>
      <c r="C64" s="132"/>
      <c r="D64" s="132"/>
      <c r="E64" s="132"/>
      <c r="F64" s="132"/>
      <c r="G64" s="132"/>
      <c r="H64" t="s" s="181">
        <v>2591</v>
      </c>
      <c r="I64" t="s" s="181">
        <v>2585</v>
      </c>
      <c r="J64" t="s" s="181">
        <v>41</v>
      </c>
      <c r="K64" t="s" s="181">
        <v>12</v>
      </c>
      <c r="L64" s="126">
        <v>1887</v>
      </c>
      <c r="M64" s="126">
        <v>33</v>
      </c>
      <c r="N64" t="s" s="181">
        <v>183</v>
      </c>
      <c r="O64" t="s" s="181">
        <v>2592</v>
      </c>
      <c r="P64" t="s" s="181">
        <v>2593</v>
      </c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  <c r="AB64" s="132"/>
      <c r="AC64" s="132"/>
      <c r="AD64" s="132"/>
      <c r="AE64" s="132"/>
      <c r="AF64" s="132"/>
      <c r="AG64" s="132"/>
      <c r="AH64" s="132"/>
      <c r="AI64" s="132"/>
      <c r="AJ64" s="132"/>
      <c r="AK64" s="132"/>
      <c r="AL64" s="132"/>
      <c r="AM64" s="132"/>
      <c r="AN64" s="132"/>
      <c r="AO64" s="132"/>
      <c r="AP64" s="132"/>
      <c r="AQ64" s="132"/>
      <c r="AR64" s="132"/>
      <c r="AS64" s="132"/>
      <c r="AT64" s="132"/>
      <c r="AU64" s="132"/>
      <c r="AV64" s="132"/>
      <c r="AW64" s="132"/>
      <c r="AX64" s="132"/>
      <c r="AY64" s="132"/>
      <c r="AZ64" s="16"/>
      <c r="BA64" s="16"/>
      <c r="BB64" s="16"/>
      <c r="BC64" s="16"/>
    </row>
    <row r="65" ht="17.5" customHeight="1">
      <c r="A65" s="141"/>
      <c r="B65" s="141"/>
      <c r="C65" s="30"/>
      <c r="D65" s="30"/>
      <c r="E65" s="30"/>
      <c r="F65" s="30"/>
      <c r="G65" s="30"/>
      <c r="H65" t="s" s="83">
        <v>2595</v>
      </c>
      <c r="I65" t="s" s="83">
        <v>2594</v>
      </c>
      <c r="J65" t="s" s="83">
        <v>41</v>
      </c>
      <c r="K65" t="s" s="83">
        <v>12</v>
      </c>
      <c r="L65" s="112">
        <v>1889</v>
      </c>
      <c r="M65" s="112">
        <v>31</v>
      </c>
      <c r="N65" t="s" s="83">
        <v>1842</v>
      </c>
      <c r="O65" t="s" s="83">
        <v>1158</v>
      </c>
      <c r="P65" t="s" s="83">
        <v>34</v>
      </c>
      <c r="Q65" s="112" cm="1">
        <f t="array" ref="Q65">SUM(Q44:Q59)</f>
        <v>0</v>
      </c>
      <c r="R65" s="112" cm="1">
        <f t="array" ref="R65">SUM(R44:R59)</f>
        <v>0</v>
      </c>
      <c r="S65" s="112" cm="1">
        <f t="array" ref="S65">SUM(S44:S59)</f>
        <v>0</v>
      </c>
      <c r="T65" s="112" cm="1">
        <f t="array" ref="T65">SUM(T44:T59)</f>
        <v>0</v>
      </c>
      <c r="U65" s="121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</row>
    <row r="66" ht="17.5" customHeight="1">
      <c r="A66" s="30"/>
      <c r="B66" s="30"/>
      <c r="C66" s="30"/>
      <c r="D66" s="30"/>
      <c r="E66" s="30"/>
      <c r="F66" s="30"/>
      <c r="G66" s="30"/>
      <c r="H66" t="s" s="83">
        <v>2596</v>
      </c>
      <c r="I66" t="s" s="83">
        <v>2594</v>
      </c>
      <c r="J66" t="s" s="83">
        <v>41</v>
      </c>
      <c r="K66" t="s" s="83">
        <v>12</v>
      </c>
      <c r="L66" s="112">
        <v>1912</v>
      </c>
      <c r="M66" s="118">
        <v>9</v>
      </c>
      <c r="N66" t="s" s="119">
        <v>791</v>
      </c>
      <c r="O66" t="s" s="119">
        <v>34</v>
      </c>
      <c r="P66" t="s" s="119">
        <v>34</v>
      </c>
      <c r="Q66" s="30"/>
      <c r="R66" s="121"/>
      <c r="S66" s="121"/>
      <c r="T66" s="87" cm="1">
        <f t="array" ref="T66">T65/I65</f>
      </c>
      <c r="U66" s="121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74"/>
      <c r="BA66" s="16"/>
      <c r="BB66" s="16"/>
      <c r="BC66" s="16"/>
    </row>
    <row r="67" ht="17" customHeight="1">
      <c r="A67" s="83"/>
      <c r="B67" s="30"/>
      <c r="C67" s="30"/>
      <c r="D67" s="30"/>
      <c r="E67" s="30"/>
      <c r="F67" s="28"/>
      <c r="G67" s="28"/>
      <c r="H67" t="s" s="119">
        <v>1306</v>
      </c>
      <c r="I67" t="s" s="148">
        <v>2597</v>
      </c>
      <c r="J67" t="s" s="148">
        <v>11</v>
      </c>
      <c r="K67" t="s" s="398">
        <v>12</v>
      </c>
      <c r="L67" s="307">
        <v>1895</v>
      </c>
      <c r="M67" s="307">
        <v>26</v>
      </c>
      <c r="N67" t="s" s="148">
        <v>13</v>
      </c>
      <c r="O67" t="s" s="148">
        <v>45</v>
      </c>
      <c r="P67" t="s" s="148">
        <v>2598</v>
      </c>
      <c r="Q67" s="30"/>
      <c r="R67" s="30"/>
      <c r="S67" s="30"/>
      <c r="T67" s="30"/>
      <c r="U67" s="112" cm="1">
        <f t="array" ref="U67">SUM(U43:U66)</f>
        <v>0</v>
      </c>
      <c r="V67" s="112" cm="1">
        <f t="array" ref="V67">SUM(V43:V66)</f>
        <v>0</v>
      </c>
      <c r="W67" s="112" cm="1">
        <f t="array" ref="W67">SUM(W43:W66)</f>
        <v>0</v>
      </c>
      <c r="X67" s="30"/>
      <c r="Y67" s="30"/>
      <c r="Z67" s="112" cm="1">
        <f t="array" ref="Z67">SUM(Z43:Z66)</f>
        <v>0</v>
      </c>
      <c r="AA67" s="112" cm="1">
        <f t="array" ref="AA67">SUM(AA43:AA66)</f>
        <v>0</v>
      </c>
      <c r="AB67" s="112" cm="1">
        <f t="array" ref="AB67">SUM(AB43:AB66)</f>
        <v>0</v>
      </c>
      <c r="AC67" s="112" cm="1">
        <f t="array" ref="AC67">SUM(AC43:AC66)</f>
        <v>0</v>
      </c>
      <c r="AD67" s="112" cm="1">
        <f t="array" ref="AD67">SUM(AD43:AD66)</f>
        <v>0</v>
      </c>
      <c r="AE67" s="112" cm="1">
        <f t="array" ref="AE67">AC67-AD67</f>
        <v>0</v>
      </c>
      <c r="AF67" s="112" cm="1">
        <f t="array" ref="AF67">SUM(AF43:AF59)</f>
        <v>0</v>
      </c>
      <c r="AG67" s="30" cm="1">
        <f t="array" ref="AG67">I65-AF67</f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</row>
    <row r="68" ht="17" customHeight="1">
      <c r="A68" s="180"/>
      <c r="B68" s="180"/>
      <c r="C68" s="180"/>
      <c r="D68" s="180"/>
      <c r="E68" s="180"/>
      <c r="F68" s="180"/>
      <c r="G68" s="180"/>
      <c r="H68" t="s" s="327">
        <v>199</v>
      </c>
      <c r="I68" t="s" s="98">
        <v>2599</v>
      </c>
      <c r="J68" t="s" s="98">
        <v>11</v>
      </c>
      <c r="K68" t="s" s="96">
        <v>12</v>
      </c>
      <c r="L68" s="97">
        <v>1899</v>
      </c>
      <c r="M68" s="97">
        <v>21</v>
      </c>
      <c r="N68" t="s" s="327">
        <v>791</v>
      </c>
      <c r="O68" t="s" s="98">
        <v>2600</v>
      </c>
      <c r="P68" t="s" s="327">
        <v>2601</v>
      </c>
      <c r="Q68" s="180"/>
      <c r="R68" s="180"/>
      <c r="S68" s="180"/>
      <c r="T68" s="180"/>
      <c r="U68" s="180"/>
      <c r="V68" s="180"/>
      <c r="W68" s="180"/>
      <c r="X68" s="180"/>
      <c r="Y68" s="180"/>
      <c r="Z68" s="180"/>
      <c r="AA68" s="180"/>
      <c r="AB68" s="180"/>
      <c r="AC68" s="180"/>
      <c r="AD68" s="180"/>
      <c r="AE68" s="180"/>
      <c r="AF68" s="180"/>
      <c r="AG68" s="180"/>
      <c r="AH68" s="180"/>
      <c r="AI68" s="180"/>
      <c r="AJ68" s="180"/>
      <c r="AK68" s="180"/>
      <c r="AL68" s="180"/>
      <c r="AM68" s="180"/>
      <c r="AN68" s="180"/>
      <c r="AO68" s="180"/>
      <c r="AP68" s="180"/>
      <c r="AQ68" s="180"/>
      <c r="AR68" s="180"/>
      <c r="AS68" s="180"/>
      <c r="AT68" s="180"/>
      <c r="AU68" s="180"/>
      <c r="AV68" s="180"/>
      <c r="AW68" s="180"/>
      <c r="AX68" s="180"/>
      <c r="AY68" s="180"/>
      <c r="AZ68" s="16"/>
      <c r="BA68" s="16"/>
      <c r="BB68" s="16"/>
      <c r="BC68" s="16"/>
    </row>
    <row r="69" ht="17" customHeight="1">
      <c r="A69" s="30"/>
      <c r="B69" s="30"/>
      <c r="C69" s="30"/>
      <c r="D69" s="30"/>
      <c r="E69" s="30"/>
      <c r="F69" s="30"/>
      <c r="G69" s="130"/>
      <c r="H69" t="s" s="27">
        <v>2602</v>
      </c>
      <c r="I69" t="s" s="159">
        <v>2597</v>
      </c>
      <c r="J69" t="s" s="204">
        <v>11</v>
      </c>
      <c r="K69" t="s" s="157">
        <v>12</v>
      </c>
      <c r="L69" s="79">
        <v>1903</v>
      </c>
      <c r="M69" s="123">
        <v>17</v>
      </c>
      <c r="N69" t="s" s="27">
        <v>2603</v>
      </c>
      <c r="O69" t="s" s="159">
        <v>89</v>
      </c>
      <c r="P69" t="s" s="27">
        <v>2601</v>
      </c>
      <c r="Q69" s="87"/>
      <c r="R69" s="130"/>
      <c r="S69" s="130"/>
      <c r="T69" s="1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74"/>
      <c r="BA69" s="16"/>
      <c r="BB69" s="16"/>
      <c r="BC69" s="16"/>
    </row>
    <row r="70" ht="17.5" customHeight="1">
      <c r="A70" s="30"/>
      <c r="B70" s="30"/>
      <c r="C70" s="30"/>
      <c r="D70" s="30"/>
      <c r="E70" s="30"/>
      <c r="F70" s="30"/>
      <c r="G70" s="30"/>
      <c r="H70" s="30"/>
      <c r="I70" s="122"/>
      <c r="J70" s="30"/>
      <c r="K70" s="74"/>
      <c r="L70" s="16"/>
      <c r="M70" s="75"/>
      <c r="N70" s="30"/>
      <c r="O70" s="122"/>
      <c r="P70" s="30"/>
      <c r="Q70" s="30"/>
      <c r="R70" s="121"/>
      <c r="S70" s="121"/>
      <c r="T70" s="129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74"/>
      <c r="BA70" s="16"/>
      <c r="BB70" s="16"/>
      <c r="BC70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2.xml><?xml version="1.0" encoding="utf-8"?>
<worksheet xmlns:r="http://schemas.openxmlformats.org/officeDocument/2006/relationships" xmlns="http://schemas.openxmlformats.org/spreadsheetml/2006/main">
  <dimension ref="A1:BC65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428" customWidth="1"/>
    <col min="4" max="4" width="17.8516" style="428" customWidth="1"/>
    <col min="5" max="5" width="13.3516" style="428" customWidth="1"/>
    <col min="6" max="6" width="9.85156" style="428" customWidth="1"/>
    <col min="7" max="10" width="10.8516" style="428" customWidth="1"/>
    <col min="11" max="11" width="8.5" style="428" customWidth="1"/>
    <col min="12" max="12" width="7.85156" style="428" customWidth="1"/>
    <col min="13" max="13" width="10" style="428" customWidth="1"/>
    <col min="14" max="14" width="8.67188" style="428" customWidth="1"/>
    <col min="15" max="15" width="9.5" style="428" customWidth="1"/>
    <col min="16" max="16" width="11.5" style="428" customWidth="1"/>
    <col min="17" max="17" width="11.6719" style="428" customWidth="1"/>
    <col min="18" max="18" width="12.3516" style="428" customWidth="1"/>
    <col min="19" max="19" width="10.8516" style="428" customWidth="1"/>
    <col min="20" max="20" width="15.1719" style="428" customWidth="1"/>
    <col min="21" max="23" width="10.8516" style="428" customWidth="1"/>
    <col min="24" max="24" width="31" style="428" customWidth="1"/>
    <col min="25" max="25" width="19.8516" style="428" customWidth="1"/>
    <col min="26" max="26" width="12.1719" style="428" customWidth="1"/>
    <col min="27" max="27" width="16.5" style="428" customWidth="1"/>
    <col min="28" max="28" width="20.3516" style="428" customWidth="1"/>
    <col min="29" max="30" width="16.5" style="428" customWidth="1"/>
    <col min="31" max="31" width="14.6719" style="428" customWidth="1"/>
    <col min="32" max="32" width="10.8516" style="428" customWidth="1"/>
    <col min="33" max="33" width="11" style="428" customWidth="1"/>
    <col min="34" max="34" width="11.1719" style="428" customWidth="1"/>
    <col min="35" max="35" width="7.85156" style="428" customWidth="1"/>
    <col min="36" max="37" width="10.8516" style="428" customWidth="1"/>
    <col min="38" max="38" width="7.35156" style="428" customWidth="1"/>
    <col min="39" max="39" width="10.8516" style="428" customWidth="1"/>
    <col min="40" max="40" width="9.17188" style="428" customWidth="1"/>
    <col min="41" max="41" width="10.8516" style="428" customWidth="1"/>
    <col min="42" max="42" width="12.5" style="428" customWidth="1"/>
    <col min="43" max="43" width="13" style="428" customWidth="1"/>
    <col min="44" max="55" width="10.8516" style="428" customWidth="1"/>
    <col min="56" max="16384" width="10.8516" style="428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s="141"/>
      <c r="B3" s="141"/>
      <c r="C3" s="30"/>
      <c r="D3" s="30"/>
      <c r="E3" s="30"/>
      <c r="F3" s="29"/>
      <c r="G3" t="s" s="311">
        <v>1</v>
      </c>
      <c r="H3" t="s" s="27">
        <v>0</v>
      </c>
      <c r="I3" s="309"/>
      <c r="J3" t="s" s="310">
        <v>3</v>
      </c>
      <c r="K3" s="412"/>
      <c r="L3" s="412"/>
      <c r="M3" s="413"/>
      <c r="N3" t="s" s="204">
        <v>2</v>
      </c>
      <c r="O3" s="309"/>
      <c r="P3" s="412"/>
      <c r="Q3" s="412"/>
      <c r="R3" s="412"/>
      <c r="S3" s="412"/>
      <c r="T3" t="s" s="2">
        <v>5</v>
      </c>
      <c r="U3" s="3"/>
      <c r="V3" s="3"/>
      <c r="W3" s="412"/>
      <c r="X3" s="413"/>
      <c r="Y3" s="29"/>
      <c r="Z3" s="29"/>
      <c r="AA3" t="s" s="311">
        <v>7</v>
      </c>
      <c r="AB3" t="s" s="27">
        <v>8</v>
      </c>
      <c r="AC3" s="29"/>
      <c r="AD3" s="29"/>
      <c r="AE3" s="30"/>
      <c r="AF3" t="s" s="27">
        <v>6</v>
      </c>
      <c r="AG3" s="29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9"/>
      <c r="BA3" s="412"/>
      <c r="BB3" s="412"/>
      <c r="BC3" s="412"/>
    </row>
    <row r="4" ht="17.5" customHeight="1">
      <c r="A4" t="s" s="337">
        <v>2606</v>
      </c>
      <c r="B4" s="331">
        <v>1921</v>
      </c>
      <c r="C4" s="331">
        <v>1</v>
      </c>
      <c r="D4" t="s" s="337">
        <v>2607</v>
      </c>
      <c r="E4" s="30"/>
      <c r="F4" s="30"/>
      <c r="G4" t="s" s="314">
        <v>2608</v>
      </c>
      <c r="H4" t="s" s="83">
        <v>2609</v>
      </c>
      <c r="I4" s="313">
        <v>1</v>
      </c>
      <c r="J4" s="6">
        <v>1</v>
      </c>
      <c r="K4" s="13"/>
      <c r="L4" s="13"/>
      <c r="M4" s="196"/>
      <c r="N4" s="112">
        <v>1</v>
      </c>
      <c r="O4" s="195"/>
      <c r="P4" s="13"/>
      <c r="Q4" s="13"/>
      <c r="R4" s="13"/>
      <c r="S4" s="13"/>
      <c r="T4" s="6">
        <v>29</v>
      </c>
      <c r="U4" s="13"/>
      <c r="V4" s="13"/>
      <c r="W4" s="13"/>
      <c r="X4" s="196"/>
      <c r="Y4" s="30"/>
      <c r="Z4" s="30"/>
      <c r="AA4" t="s" s="314">
        <v>2610</v>
      </c>
      <c r="AB4" t="s" s="83">
        <v>2611</v>
      </c>
      <c r="AC4" s="112">
        <v>1</v>
      </c>
      <c r="AD4" s="30"/>
      <c r="AE4" s="30"/>
      <c r="AF4" s="112">
        <v>1</v>
      </c>
      <c r="AG4" s="361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195"/>
      <c r="BA4" s="13"/>
      <c r="BB4" s="13"/>
      <c r="BC4" s="10"/>
    </row>
    <row r="5" ht="17.5" customHeight="1">
      <c r="A5" t="s" s="83">
        <v>2606</v>
      </c>
      <c r="B5" s="112">
        <v>1921</v>
      </c>
      <c r="C5" s="112">
        <v>1</v>
      </c>
      <c r="D5" t="s" s="83">
        <v>2607</v>
      </c>
      <c r="E5" s="30"/>
      <c r="F5" s="30"/>
      <c r="G5" t="s" s="317">
        <v>2612</v>
      </c>
      <c r="H5" t="s" s="83">
        <v>406</v>
      </c>
      <c r="I5" s="316">
        <v>2</v>
      </c>
      <c r="J5" s="264">
        <v>1</v>
      </c>
      <c r="K5" s="14"/>
      <c r="L5" s="14"/>
      <c r="M5" s="201"/>
      <c r="N5" t="s" s="83">
        <v>41</v>
      </c>
      <c r="O5" s="200"/>
      <c r="P5" s="14"/>
      <c r="Q5" s="14"/>
      <c r="R5" s="264">
        <v>1</v>
      </c>
      <c r="S5" s="14"/>
      <c r="T5" s="264">
        <v>66</v>
      </c>
      <c r="U5" s="14"/>
      <c r="V5" s="14"/>
      <c r="W5" s="14"/>
      <c r="X5" s="201"/>
      <c r="Y5" s="30"/>
      <c r="Z5" s="30"/>
      <c r="AA5" t="s" s="317">
        <v>94</v>
      </c>
      <c r="AB5" t="s" s="83">
        <v>34</v>
      </c>
      <c r="AC5" s="30"/>
      <c r="AD5" s="30"/>
      <c r="AE5" s="30"/>
      <c r="AF5" s="112">
        <v>1</v>
      </c>
      <c r="AG5" s="121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200"/>
      <c r="BA5" s="14"/>
      <c r="BB5" s="14"/>
      <c r="BC5" s="14"/>
    </row>
    <row r="6" ht="17.5" customHeight="1">
      <c r="A6" t="s" s="83">
        <v>2606</v>
      </c>
      <c r="B6" s="112">
        <v>1921</v>
      </c>
      <c r="C6" s="112">
        <v>1</v>
      </c>
      <c r="D6" t="s" s="83">
        <v>2607</v>
      </c>
      <c r="E6" s="30"/>
      <c r="F6" s="30"/>
      <c r="G6" t="s" s="159">
        <v>243</v>
      </c>
      <c r="H6" t="s" s="83">
        <v>1072</v>
      </c>
      <c r="I6" s="156">
        <v>3</v>
      </c>
      <c r="J6" s="79">
        <v>1</v>
      </c>
      <c r="K6" s="16"/>
      <c r="L6" s="16"/>
      <c r="M6" s="75"/>
      <c r="N6" t="s" s="83">
        <v>11</v>
      </c>
      <c r="O6" s="74"/>
      <c r="P6" s="16"/>
      <c r="Q6" s="16"/>
      <c r="R6" s="16"/>
      <c r="S6" s="79">
        <v>1</v>
      </c>
      <c r="T6" s="79">
        <v>60</v>
      </c>
      <c r="U6" s="16"/>
      <c r="V6" s="16"/>
      <c r="W6" s="16"/>
      <c r="X6" s="75"/>
      <c r="Y6" s="30"/>
      <c r="Z6" s="30"/>
      <c r="AA6" t="s" s="159">
        <v>45</v>
      </c>
      <c r="AB6" t="s" s="83">
        <v>2613</v>
      </c>
      <c r="AC6" s="112">
        <v>1</v>
      </c>
      <c r="AD6" s="30"/>
      <c r="AE6" s="30"/>
      <c r="AF6" t="s" s="83">
        <v>2614</v>
      </c>
      <c r="AG6" s="121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2606</v>
      </c>
      <c r="B7" s="112">
        <v>1921</v>
      </c>
      <c r="C7" s="112">
        <v>1</v>
      </c>
      <c r="D7" t="s" s="83">
        <v>2607</v>
      </c>
      <c r="E7" s="30"/>
      <c r="F7" s="30"/>
      <c r="G7" t="s" s="159">
        <v>2615</v>
      </c>
      <c r="H7" t="s" s="83">
        <v>2616</v>
      </c>
      <c r="I7" s="156">
        <v>4</v>
      </c>
      <c r="J7" s="79">
        <v>1</v>
      </c>
      <c r="K7" s="16"/>
      <c r="L7" s="16"/>
      <c r="M7" s="75"/>
      <c r="N7" t="s" s="83">
        <v>11</v>
      </c>
      <c r="O7" s="74"/>
      <c r="P7" s="16"/>
      <c r="Q7" s="16"/>
      <c r="R7" s="16"/>
      <c r="S7" s="79">
        <v>1</v>
      </c>
      <c r="T7" s="79">
        <v>21</v>
      </c>
      <c r="U7" s="16"/>
      <c r="V7" s="16"/>
      <c r="W7" s="16"/>
      <c r="X7" s="75"/>
      <c r="Y7" s="30"/>
      <c r="Z7" s="30"/>
      <c r="AA7" t="s" s="159">
        <v>55</v>
      </c>
      <c r="AB7" t="s" s="83">
        <v>2613</v>
      </c>
      <c r="AC7" s="112">
        <v>1</v>
      </c>
      <c r="AD7" s="30"/>
      <c r="AE7" s="30"/>
      <c r="AF7" s="112">
        <v>1</v>
      </c>
      <c r="AG7" s="121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2606</v>
      </c>
      <c r="B8" s="112">
        <v>1921</v>
      </c>
      <c r="C8" s="30"/>
      <c r="D8" t="s" s="83">
        <v>2607</v>
      </c>
      <c r="E8" s="30"/>
      <c r="F8" s="30"/>
      <c r="G8" s="122"/>
      <c r="H8" s="112">
        <v>4</v>
      </c>
      <c r="I8" s="74"/>
      <c r="J8" s="16"/>
      <c r="K8" s="16"/>
      <c r="L8" s="16"/>
      <c r="M8" s="75"/>
      <c r="N8" s="30"/>
      <c r="O8" s="74"/>
      <c r="P8" s="16"/>
      <c r="Q8" s="16"/>
      <c r="R8" s="16"/>
      <c r="S8" s="16"/>
      <c r="T8" s="16"/>
      <c r="U8" s="16"/>
      <c r="V8" s="16"/>
      <c r="W8" s="16"/>
      <c r="X8" s="75"/>
      <c r="Y8" s="30"/>
      <c r="Z8" s="30"/>
      <c r="AA8" s="122"/>
      <c r="AB8" s="30"/>
      <c r="AC8" s="30"/>
      <c r="AD8" s="30"/>
      <c r="AE8" s="30"/>
      <c r="AF8" s="30"/>
      <c r="AG8" s="121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2606</v>
      </c>
      <c r="B9" s="112">
        <v>1921</v>
      </c>
      <c r="C9" s="30"/>
      <c r="D9" t="s" s="83">
        <v>2607</v>
      </c>
      <c r="E9" s="30"/>
      <c r="F9" s="30"/>
      <c r="G9" t="s" s="330">
        <v>1</v>
      </c>
      <c r="H9" t="s" s="83">
        <v>0</v>
      </c>
      <c r="I9" s="192"/>
      <c r="J9" t="s" s="2">
        <v>3</v>
      </c>
      <c r="K9" s="3"/>
      <c r="L9" s="3"/>
      <c r="M9" s="193"/>
      <c r="N9" t="s" s="83">
        <v>2</v>
      </c>
      <c r="O9" s="192"/>
      <c r="P9" s="3"/>
      <c r="Q9" s="3"/>
      <c r="R9" s="3"/>
      <c r="S9" s="3"/>
      <c r="T9" t="s" s="2">
        <v>5</v>
      </c>
      <c r="U9" s="3"/>
      <c r="V9" s="3"/>
      <c r="W9" s="3"/>
      <c r="X9" s="193"/>
      <c r="Y9" s="30"/>
      <c r="Z9" s="30"/>
      <c r="AA9" t="s" s="330">
        <v>7</v>
      </c>
      <c r="AB9" t="s" s="83">
        <v>8</v>
      </c>
      <c r="AC9" s="30"/>
      <c r="AD9" s="30"/>
      <c r="AE9" s="30"/>
      <c r="AF9" t="s" s="83">
        <v>6</v>
      </c>
      <c r="AG9" s="12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192"/>
      <c r="BA9" s="3"/>
      <c r="BB9" s="3"/>
      <c r="BC9" s="3"/>
    </row>
    <row r="10" ht="17.5" customHeight="1">
      <c r="A10" t="s" s="337">
        <v>2606</v>
      </c>
      <c r="B10" s="331">
        <v>1921</v>
      </c>
      <c r="C10" s="331">
        <v>2</v>
      </c>
      <c r="D10" t="s" s="337">
        <v>2607</v>
      </c>
      <c r="E10" s="30"/>
      <c r="F10" s="30"/>
      <c r="G10" t="s" s="314">
        <v>1498</v>
      </c>
      <c r="H10" t="s" s="83">
        <v>2617</v>
      </c>
      <c r="I10" s="313">
        <v>5</v>
      </c>
      <c r="J10" s="6">
        <v>1</v>
      </c>
      <c r="K10" s="13"/>
      <c r="L10" s="13"/>
      <c r="M10" s="196"/>
      <c r="N10" s="112">
        <v>1</v>
      </c>
      <c r="O10" s="195"/>
      <c r="P10" s="13"/>
      <c r="Q10" s="13"/>
      <c r="R10" s="13"/>
      <c r="S10" s="13"/>
      <c r="T10" s="6">
        <v>56</v>
      </c>
      <c r="U10" s="13"/>
      <c r="V10" s="13"/>
      <c r="W10" s="13"/>
      <c r="X10" s="196"/>
      <c r="Y10" s="30"/>
      <c r="Z10" s="30"/>
      <c r="AA10" t="s" s="314">
        <v>2618</v>
      </c>
      <c r="AB10" t="s" s="83">
        <v>34</v>
      </c>
      <c r="AC10" s="30"/>
      <c r="AD10" s="30"/>
      <c r="AE10" s="30"/>
      <c r="AF10" s="112">
        <v>1</v>
      </c>
      <c r="AG10" s="36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195"/>
      <c r="BA10" s="13"/>
      <c r="BB10" s="13"/>
      <c r="BC10" s="10"/>
    </row>
    <row r="11" ht="17.5" customHeight="1">
      <c r="A11" t="s" s="83">
        <v>2606</v>
      </c>
      <c r="B11" s="112">
        <v>1921</v>
      </c>
      <c r="C11" s="112">
        <v>2</v>
      </c>
      <c r="D11" t="s" s="83">
        <v>2607</v>
      </c>
      <c r="E11" s="30"/>
      <c r="F11" s="30"/>
      <c r="G11" t="s" s="317">
        <v>1498</v>
      </c>
      <c r="H11" t="s" s="83">
        <v>2619</v>
      </c>
      <c r="I11" s="316">
        <v>6</v>
      </c>
      <c r="J11" s="264">
        <v>1</v>
      </c>
      <c r="K11" s="14"/>
      <c r="L11" s="14"/>
      <c r="M11" s="201"/>
      <c r="N11" t="s" s="83">
        <v>78</v>
      </c>
      <c r="O11" s="200"/>
      <c r="P11" s="264">
        <v>1</v>
      </c>
      <c r="Q11" s="14"/>
      <c r="R11" s="14"/>
      <c r="S11" s="14"/>
      <c r="T11" s="264">
        <v>20</v>
      </c>
      <c r="U11" s="14"/>
      <c r="V11" s="14"/>
      <c r="W11" s="14"/>
      <c r="X11" s="201"/>
      <c r="Y11" s="30"/>
      <c r="Z11" s="30"/>
      <c r="AA11" t="s" s="317">
        <v>34</v>
      </c>
      <c r="AB11" t="s" s="83">
        <v>34</v>
      </c>
      <c r="AC11" s="30"/>
      <c r="AD11" s="30"/>
      <c r="AE11" s="30"/>
      <c r="AF11" s="112">
        <v>1</v>
      </c>
      <c r="AG11" s="121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200"/>
      <c r="BA11" s="14"/>
      <c r="BB11" s="14"/>
      <c r="BC11" s="14"/>
    </row>
    <row r="12" ht="17" customHeight="1">
      <c r="A12" t="s" s="83">
        <v>2606</v>
      </c>
      <c r="B12" s="112">
        <v>1921</v>
      </c>
      <c r="C12" s="112">
        <v>2</v>
      </c>
      <c r="D12" t="s" s="83">
        <v>2607</v>
      </c>
      <c r="E12" s="30"/>
      <c r="F12" s="30"/>
      <c r="G12" t="s" s="159">
        <v>368</v>
      </c>
      <c r="H12" t="s" s="83">
        <v>1747</v>
      </c>
      <c r="I12" s="156">
        <v>7</v>
      </c>
      <c r="J12" s="79">
        <v>1</v>
      </c>
      <c r="K12" s="16"/>
      <c r="L12" s="16"/>
      <c r="M12" s="75"/>
      <c r="N12" t="s" s="83">
        <v>11</v>
      </c>
      <c r="O12" s="74"/>
      <c r="P12" s="16"/>
      <c r="Q12" s="16"/>
      <c r="R12" s="16"/>
      <c r="S12" s="79">
        <v>1</v>
      </c>
      <c r="T12" s="79">
        <v>35</v>
      </c>
      <c r="U12" s="16"/>
      <c r="V12" s="16"/>
      <c r="W12" s="16"/>
      <c r="X12" s="75"/>
      <c r="Y12" s="112" cm="1">
        <f t="array" ref="Y12">SUM(Y3:Y11)</f>
        <v>0</v>
      </c>
      <c r="Z12" s="112" cm="1">
        <f t="array" ref="Z12">SUM(Z3:Z11)</f>
        <v>0</v>
      </c>
      <c r="AA12" t="s" s="159">
        <v>45</v>
      </c>
      <c r="AB12" t="s" s="83">
        <v>2620</v>
      </c>
      <c r="AC12" s="112">
        <v>1</v>
      </c>
      <c r="AD12" s="30"/>
      <c r="AE12" s="30"/>
      <c r="AF12" s="112">
        <v>1</v>
      </c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2606</v>
      </c>
      <c r="B13" s="112">
        <v>1921</v>
      </c>
      <c r="C13" s="112">
        <v>2</v>
      </c>
      <c r="D13" t="s" s="83">
        <v>2607</v>
      </c>
      <c r="E13" s="30"/>
      <c r="F13" s="30"/>
      <c r="G13" t="s" s="159">
        <v>2224</v>
      </c>
      <c r="H13" t="s" s="83">
        <v>704</v>
      </c>
      <c r="I13" s="156">
        <v>8</v>
      </c>
      <c r="J13" s="79">
        <v>1</v>
      </c>
      <c r="K13" s="16"/>
      <c r="L13" s="16"/>
      <c r="M13" s="75"/>
      <c r="N13" t="s" s="83">
        <v>11</v>
      </c>
      <c r="O13" s="74"/>
      <c r="P13" s="16"/>
      <c r="Q13" s="16"/>
      <c r="R13" s="16"/>
      <c r="S13" s="79">
        <v>1</v>
      </c>
      <c r="T13" s="79">
        <v>39</v>
      </c>
      <c r="U13" s="16"/>
      <c r="V13" s="16"/>
      <c r="W13" s="16"/>
      <c r="X13" s="75"/>
      <c r="Y13" s="30"/>
      <c r="Z13" s="30"/>
      <c r="AA13" t="s" s="159">
        <v>55</v>
      </c>
      <c r="AB13" t="s" s="83">
        <v>2621</v>
      </c>
      <c r="AC13" s="112">
        <v>1</v>
      </c>
      <c r="AD13" s="30"/>
      <c r="AE13" s="30"/>
      <c r="AF13" s="112">
        <v>1</v>
      </c>
      <c r="AG13" s="121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2606</v>
      </c>
      <c r="B14" s="112">
        <v>1921</v>
      </c>
      <c r="C14" s="30"/>
      <c r="D14" t="s" s="83">
        <v>2607</v>
      </c>
      <c r="E14" s="30"/>
      <c r="F14" s="30"/>
      <c r="G14" s="122"/>
      <c r="H14" s="112">
        <v>4</v>
      </c>
      <c r="I14" s="74"/>
      <c r="J14" s="16"/>
      <c r="K14" s="16"/>
      <c r="L14" s="16"/>
      <c r="M14" s="75"/>
      <c r="N14" s="30"/>
      <c r="O14" s="74"/>
      <c r="P14" s="16"/>
      <c r="Q14" s="16"/>
      <c r="R14" s="16"/>
      <c r="S14" s="16"/>
      <c r="T14" s="16"/>
      <c r="U14" s="16"/>
      <c r="V14" s="16"/>
      <c r="W14" s="16"/>
      <c r="X14" s="75"/>
      <c r="Y14" s="30"/>
      <c r="Z14" s="30"/>
      <c r="AA14" s="122"/>
      <c r="AB14" s="30"/>
      <c r="AC14" s="30"/>
      <c r="AD14" s="30"/>
      <c r="AE14" s="30"/>
      <c r="AF14" s="30"/>
      <c r="AG14" s="121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2606</v>
      </c>
      <c r="B15" s="112">
        <v>1921</v>
      </c>
      <c r="C15" s="30"/>
      <c r="D15" t="s" s="83">
        <v>2607</v>
      </c>
      <c r="E15" s="124"/>
      <c r="F15" s="28"/>
      <c r="G15" t="s" s="159">
        <v>1</v>
      </c>
      <c r="H15" t="s" s="148">
        <v>0</v>
      </c>
      <c r="I15" s="74"/>
      <c r="J15" t="s" s="96">
        <v>3</v>
      </c>
      <c r="K15" s="16"/>
      <c r="L15" s="16"/>
      <c r="M15" s="75"/>
      <c r="N15" t="s" s="398">
        <v>2</v>
      </c>
      <c r="O15" s="74"/>
      <c r="P15" s="16"/>
      <c r="Q15" s="16"/>
      <c r="R15" s="16"/>
      <c r="S15" s="16"/>
      <c r="T15" t="s" s="96">
        <v>5</v>
      </c>
      <c r="U15" s="16"/>
      <c r="V15" s="16"/>
      <c r="W15" s="16"/>
      <c r="X15" s="75"/>
      <c r="Y15" s="28"/>
      <c r="Z15" s="28"/>
      <c r="AA15" t="s" s="159">
        <v>7</v>
      </c>
      <c r="AB15" t="s" s="119">
        <v>8</v>
      </c>
      <c r="AC15" s="28"/>
      <c r="AD15" s="28"/>
      <c r="AE15" s="30"/>
      <c r="AF15" t="s" s="148">
        <v>6</v>
      </c>
      <c r="AG15" s="2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28" customHeight="1">
      <c r="A16" t="s" s="83">
        <v>2606</v>
      </c>
      <c r="B16" s="112">
        <v>1921</v>
      </c>
      <c r="C16" s="112">
        <v>3</v>
      </c>
      <c r="D16" t="s" s="83">
        <v>2607</v>
      </c>
      <c r="E16" s="124"/>
      <c r="F16" s="307">
        <v>4</v>
      </c>
      <c r="G16" t="s" s="110">
        <v>2622</v>
      </c>
      <c r="H16" t="s" s="148">
        <v>2623</v>
      </c>
      <c r="I16" s="156">
        <v>9</v>
      </c>
      <c r="J16" t="s" s="181">
        <v>37</v>
      </c>
      <c r="K16" s="79">
        <v>1</v>
      </c>
      <c r="L16" s="16"/>
      <c r="M16" s="16"/>
      <c r="N16" s="399">
        <v>1</v>
      </c>
      <c r="O16" s="16"/>
      <c r="P16" s="132"/>
      <c r="Q16" s="16"/>
      <c r="R16" s="16"/>
      <c r="S16" s="16"/>
      <c r="T16" s="126">
        <v>61</v>
      </c>
      <c r="U16" s="16"/>
      <c r="V16" s="16"/>
      <c r="W16" s="16"/>
      <c r="X16" s="75"/>
      <c r="Y16" s="28"/>
      <c r="Z16" s="28"/>
      <c r="AA16" t="s" s="160">
        <v>2624</v>
      </c>
      <c r="AB16" t="s" s="429">
        <v>2625</v>
      </c>
      <c r="AC16" s="307">
        <v>1</v>
      </c>
      <c r="AD16" s="124"/>
      <c r="AE16" s="30"/>
      <c r="AF16" t="s" s="148">
        <v>2626</v>
      </c>
      <c r="AG16" s="28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2606</v>
      </c>
      <c r="B17" s="112">
        <v>1921</v>
      </c>
      <c r="C17" s="112">
        <v>3</v>
      </c>
      <c r="D17" t="s" s="83">
        <v>2607</v>
      </c>
      <c r="E17" s="30"/>
      <c r="F17" s="307">
        <v>4</v>
      </c>
      <c r="G17" t="s" s="83">
        <v>2622</v>
      </c>
      <c r="H17" t="s" s="83">
        <v>2627</v>
      </c>
      <c r="I17" s="120">
        <v>10</v>
      </c>
      <c r="J17" s="112">
        <v>1</v>
      </c>
      <c r="K17" s="74"/>
      <c r="L17" s="16"/>
      <c r="M17" s="75"/>
      <c r="N17" t="s" s="83">
        <v>72</v>
      </c>
      <c r="O17" s="120">
        <v>1</v>
      </c>
      <c r="P17" s="30"/>
      <c r="Q17" s="74"/>
      <c r="R17" s="16"/>
      <c r="S17" s="75"/>
      <c r="T17" s="112">
        <v>52</v>
      </c>
      <c r="U17" s="74"/>
      <c r="V17" s="16"/>
      <c r="W17" s="16"/>
      <c r="X17" s="75"/>
      <c r="Y17" s="112" cm="1">
        <f t="array" ref="Y17">SUM(Y3:Y16)</f>
        <v>0</v>
      </c>
      <c r="Z17" s="112" cm="1">
        <f t="array" ref="Z17">SUM(Z3:Z16)</f>
        <v>0</v>
      </c>
      <c r="AA17" t="s" s="83">
        <v>33</v>
      </c>
      <c r="AB17" t="s" s="83">
        <v>34</v>
      </c>
      <c r="AC17" s="30"/>
      <c r="AD17" s="30"/>
      <c r="AE17" s="30"/>
      <c r="AF17" s="112">
        <v>1</v>
      </c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2606</v>
      </c>
      <c r="B18" s="112">
        <v>1921</v>
      </c>
      <c r="C18" s="112">
        <v>3</v>
      </c>
      <c r="D18" t="s" s="83">
        <v>2607</v>
      </c>
      <c r="E18" s="30"/>
      <c r="F18" s="307">
        <v>4</v>
      </c>
      <c r="G18" t="s" s="83">
        <v>91</v>
      </c>
      <c r="H18" t="s" s="83">
        <v>2628</v>
      </c>
      <c r="I18" s="120">
        <v>11</v>
      </c>
      <c r="J18" t="s" s="83">
        <v>37</v>
      </c>
      <c r="K18" s="156">
        <v>1</v>
      </c>
      <c r="L18" s="16"/>
      <c r="M18" s="75"/>
      <c r="N18" t="s" s="83">
        <v>11</v>
      </c>
      <c r="O18" s="122"/>
      <c r="P18" s="30"/>
      <c r="Q18" s="74"/>
      <c r="R18" s="16"/>
      <c r="S18" s="123">
        <v>1</v>
      </c>
      <c r="T18" s="118">
        <v>22</v>
      </c>
      <c r="U18" s="74"/>
      <c r="V18" s="16"/>
      <c r="W18" s="16"/>
      <c r="X18" s="75"/>
      <c r="Y18" s="30"/>
      <c r="Z18" s="30"/>
      <c r="AA18" t="s" s="119">
        <v>2503</v>
      </c>
      <c r="AB18" t="s" s="119">
        <v>15</v>
      </c>
      <c r="AC18" s="112">
        <v>1</v>
      </c>
      <c r="AD18" s="30"/>
      <c r="AE18" s="30"/>
      <c r="AF18" s="118">
        <v>1</v>
      </c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2606</v>
      </c>
      <c r="B19" s="112">
        <v>1921</v>
      </c>
      <c r="C19" s="112">
        <v>3</v>
      </c>
      <c r="D19" t="s" s="83">
        <v>2607</v>
      </c>
      <c r="E19" s="30"/>
      <c r="F19" s="307">
        <v>4</v>
      </c>
      <c r="G19" t="s" s="83">
        <v>2629</v>
      </c>
      <c r="H19" t="s" s="83">
        <v>2630</v>
      </c>
      <c r="I19" s="120">
        <v>12</v>
      </c>
      <c r="J19" s="112">
        <v>1</v>
      </c>
      <c r="K19" s="74"/>
      <c r="L19" s="16"/>
      <c r="M19" s="75"/>
      <c r="N19" t="s" s="83">
        <v>41</v>
      </c>
      <c r="O19" s="122"/>
      <c r="P19" s="30"/>
      <c r="Q19" s="74"/>
      <c r="R19" s="79">
        <v>1</v>
      </c>
      <c r="S19" s="75"/>
      <c r="T19" s="118">
        <v>23</v>
      </c>
      <c r="U19" s="74"/>
      <c r="V19" s="16"/>
      <c r="W19" s="16"/>
      <c r="X19" s="75"/>
      <c r="Y19" s="30"/>
      <c r="Z19" s="30"/>
      <c r="AA19" t="s" s="119">
        <v>2631</v>
      </c>
      <c r="AB19" t="s" s="119">
        <v>2139</v>
      </c>
      <c r="AC19" s="112">
        <v>1</v>
      </c>
      <c r="AD19" s="30"/>
      <c r="AE19" s="30"/>
      <c r="AF19" t="s" s="119">
        <v>817</v>
      </c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2606</v>
      </c>
      <c r="B20" s="112">
        <v>1921</v>
      </c>
      <c r="C20" s="30"/>
      <c r="D20" t="s" s="83">
        <v>2607</v>
      </c>
      <c r="E20" s="30"/>
      <c r="F20" s="30"/>
      <c r="G20" s="30"/>
      <c r="H20" s="112">
        <v>4</v>
      </c>
      <c r="I20" s="122"/>
      <c r="J20" s="30"/>
      <c r="K20" s="74"/>
      <c r="L20" s="16"/>
      <c r="M20" s="75"/>
      <c r="N20" s="30"/>
      <c r="O20" s="122"/>
      <c r="P20" s="30"/>
      <c r="Q20" s="74"/>
      <c r="R20" s="16"/>
      <c r="S20" s="75"/>
      <c r="T20" s="121"/>
      <c r="U20" s="74"/>
      <c r="V20" s="16"/>
      <c r="W20" s="16"/>
      <c r="X20" s="75"/>
      <c r="Y20" s="30"/>
      <c r="Z20" s="30"/>
      <c r="AA20" s="121"/>
      <c r="AB20" s="121"/>
      <c r="AC20" s="30"/>
      <c r="AD20" s="30"/>
      <c r="AE20" s="30"/>
      <c r="AF20" s="121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2606</v>
      </c>
      <c r="B21" s="112">
        <v>1921</v>
      </c>
      <c r="C21" s="30"/>
      <c r="D21" t="s" s="83">
        <v>2607</v>
      </c>
      <c r="E21" s="30"/>
      <c r="F21" s="29"/>
      <c r="G21" t="s" s="27">
        <v>1</v>
      </c>
      <c r="H21" t="s" s="27">
        <v>0</v>
      </c>
      <c r="I21" s="122"/>
      <c r="J21" t="s" s="27">
        <v>3</v>
      </c>
      <c r="K21" s="74"/>
      <c r="L21" s="16"/>
      <c r="M21" s="75"/>
      <c r="N21" t="s" s="27">
        <v>2</v>
      </c>
      <c r="O21" s="122"/>
      <c r="P21" s="29"/>
      <c r="Q21" s="74"/>
      <c r="R21" s="16"/>
      <c r="S21" s="75"/>
      <c r="T21" t="s" s="27">
        <v>5</v>
      </c>
      <c r="U21" s="74"/>
      <c r="V21" s="16"/>
      <c r="W21" s="16"/>
      <c r="X21" s="75"/>
      <c r="Y21" s="30"/>
      <c r="Z21" s="30"/>
      <c r="AA21" t="s" s="27">
        <v>7</v>
      </c>
      <c r="AB21" t="s" s="27">
        <v>8</v>
      </c>
      <c r="AC21" s="30"/>
      <c r="AD21" s="30"/>
      <c r="AE21" s="30"/>
      <c r="AF21" t="s" s="27">
        <v>6</v>
      </c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2606</v>
      </c>
      <c r="B22" s="112">
        <v>1921</v>
      </c>
      <c r="C22" s="112">
        <v>4</v>
      </c>
      <c r="D22" t="s" s="83">
        <v>2607</v>
      </c>
      <c r="E22" s="30"/>
      <c r="F22" s="112">
        <v>6</v>
      </c>
      <c r="G22" t="s" s="83">
        <v>309</v>
      </c>
      <c r="H22" t="s" s="83">
        <v>2632</v>
      </c>
      <c r="I22" s="120">
        <v>13</v>
      </c>
      <c r="J22" t="s" s="83">
        <v>37</v>
      </c>
      <c r="K22" s="156">
        <v>1</v>
      </c>
      <c r="L22" s="16"/>
      <c r="M22" s="75"/>
      <c r="N22" s="112">
        <v>1</v>
      </c>
      <c r="O22" s="122"/>
      <c r="P22" s="30"/>
      <c r="Q22" s="74"/>
      <c r="R22" s="16"/>
      <c r="S22" s="75"/>
      <c r="T22" s="118">
        <v>59</v>
      </c>
      <c r="U22" s="74"/>
      <c r="V22" s="16"/>
      <c r="W22" s="16"/>
      <c r="X22" s="75"/>
      <c r="Y22" s="30"/>
      <c r="Z22" s="30"/>
      <c r="AA22" t="s" s="119">
        <v>2633</v>
      </c>
      <c r="AB22" t="s" s="119">
        <v>2634</v>
      </c>
      <c r="AC22" s="112">
        <v>1</v>
      </c>
      <c r="AD22" s="30"/>
      <c r="AE22" s="30"/>
      <c r="AF22" s="118">
        <v>1</v>
      </c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2606</v>
      </c>
      <c r="B23" s="112">
        <v>1921</v>
      </c>
      <c r="C23" s="112">
        <v>4</v>
      </c>
      <c r="D23" t="s" s="83">
        <v>2607</v>
      </c>
      <c r="E23" s="30"/>
      <c r="F23" s="112">
        <v>6</v>
      </c>
      <c r="G23" t="s" s="83">
        <v>309</v>
      </c>
      <c r="H23" t="s" s="83">
        <v>2635</v>
      </c>
      <c r="I23" s="120">
        <v>14</v>
      </c>
      <c r="J23" s="112">
        <v>1</v>
      </c>
      <c r="K23" s="74"/>
      <c r="L23" s="16"/>
      <c r="M23" s="75"/>
      <c r="N23" t="s" s="83">
        <v>246</v>
      </c>
      <c r="O23" s="122"/>
      <c r="P23" s="30"/>
      <c r="Q23" s="74"/>
      <c r="R23" s="79">
        <v>1</v>
      </c>
      <c r="S23" s="75"/>
      <c r="T23" s="118">
        <v>64</v>
      </c>
      <c r="U23" s="74"/>
      <c r="V23" s="16"/>
      <c r="W23" s="16"/>
      <c r="X23" s="75"/>
      <c r="Y23" s="30"/>
      <c r="Z23" s="30"/>
      <c r="AA23" t="s" s="119">
        <v>33</v>
      </c>
      <c r="AB23" t="s" s="119">
        <v>34</v>
      </c>
      <c r="AC23" s="30"/>
      <c r="AD23" s="30"/>
      <c r="AE23" s="30"/>
      <c r="AF23" s="118">
        <v>1</v>
      </c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t="s" s="83">
        <v>2606</v>
      </c>
      <c r="B24" s="112">
        <v>1921</v>
      </c>
      <c r="C24" s="112">
        <v>4</v>
      </c>
      <c r="D24" t="s" s="83">
        <v>2607</v>
      </c>
      <c r="E24" s="30"/>
      <c r="F24" s="112">
        <v>6</v>
      </c>
      <c r="G24" t="s" s="83">
        <v>309</v>
      </c>
      <c r="H24" t="s" s="83">
        <v>2636</v>
      </c>
      <c r="I24" s="120">
        <v>15</v>
      </c>
      <c r="J24" s="112">
        <v>1</v>
      </c>
      <c r="K24" s="74"/>
      <c r="L24" s="16"/>
      <c r="M24" s="75"/>
      <c r="N24" t="s" s="83">
        <v>246</v>
      </c>
      <c r="O24" s="122"/>
      <c r="P24" s="30"/>
      <c r="Q24" s="74"/>
      <c r="R24" s="79">
        <v>1</v>
      </c>
      <c r="S24" s="75"/>
      <c r="T24" s="118">
        <v>56</v>
      </c>
      <c r="U24" s="74"/>
      <c r="V24" s="16"/>
      <c r="W24" s="16"/>
      <c r="X24" s="75"/>
      <c r="Y24" s="30"/>
      <c r="Z24" s="30"/>
      <c r="AA24" t="s" s="119">
        <v>33</v>
      </c>
      <c r="AB24" t="s" s="119">
        <v>34</v>
      </c>
      <c r="AC24" s="30"/>
      <c r="AD24" s="30"/>
      <c r="AE24" s="30"/>
      <c r="AF24" s="118">
        <v>1</v>
      </c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t="s" s="83">
        <v>2606</v>
      </c>
      <c r="B25" s="112">
        <v>1921</v>
      </c>
      <c r="C25" s="112">
        <v>4</v>
      </c>
      <c r="D25" t="s" s="83">
        <v>2607</v>
      </c>
      <c r="E25" s="30"/>
      <c r="F25" s="112">
        <v>6</v>
      </c>
      <c r="G25" t="s" s="83">
        <v>2217</v>
      </c>
      <c r="H25" t="s" s="83">
        <v>9</v>
      </c>
      <c r="I25" s="120">
        <v>16</v>
      </c>
      <c r="J25" s="112">
        <v>1</v>
      </c>
      <c r="K25" s="74"/>
      <c r="L25" s="16"/>
      <c r="M25" s="75"/>
      <c r="N25" t="s" s="83">
        <v>207</v>
      </c>
      <c r="O25" s="122"/>
      <c r="P25" s="30"/>
      <c r="Q25" s="74"/>
      <c r="R25" s="16"/>
      <c r="S25" s="123">
        <v>1</v>
      </c>
      <c r="T25" s="118">
        <v>24</v>
      </c>
      <c r="U25" s="74"/>
      <c r="V25" s="16"/>
      <c r="W25" s="16"/>
      <c r="X25" s="75"/>
      <c r="Y25" s="30"/>
      <c r="Z25" s="30"/>
      <c r="AA25" t="s" s="119">
        <v>105</v>
      </c>
      <c r="AB25" t="s" s="119">
        <v>15</v>
      </c>
      <c r="AC25" s="112">
        <v>1</v>
      </c>
      <c r="AD25" s="30"/>
      <c r="AE25" s="30"/>
      <c r="AF25" s="118">
        <v>1</v>
      </c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t="s" s="83">
        <v>2606</v>
      </c>
      <c r="B26" s="112">
        <v>1921</v>
      </c>
      <c r="C26" s="30"/>
      <c r="D26" t="s" s="83">
        <v>2607</v>
      </c>
      <c r="E26" s="30"/>
      <c r="F26" s="30"/>
      <c r="G26" s="30"/>
      <c r="H26" s="112">
        <v>4</v>
      </c>
      <c r="I26" s="122"/>
      <c r="J26" s="30"/>
      <c r="K26" s="74"/>
      <c r="L26" s="16"/>
      <c r="M26" s="75"/>
      <c r="N26" s="30"/>
      <c r="O26" s="122"/>
      <c r="P26" s="30"/>
      <c r="Q26" s="74"/>
      <c r="R26" s="16"/>
      <c r="S26" s="75"/>
      <c r="T26" s="121"/>
      <c r="U26" s="74"/>
      <c r="V26" s="16"/>
      <c r="W26" s="16"/>
      <c r="X26" s="75"/>
      <c r="Y26" s="30"/>
      <c r="Z26" s="30"/>
      <c r="AA26" s="121"/>
      <c r="AB26" s="121"/>
      <c r="AC26" s="30"/>
      <c r="AD26" s="30"/>
      <c r="AE26" s="30"/>
      <c r="AF26" s="121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2606</v>
      </c>
      <c r="B27" s="112">
        <v>1921</v>
      </c>
      <c r="C27" s="30"/>
      <c r="D27" t="s" s="83">
        <v>2607</v>
      </c>
      <c r="E27" s="30"/>
      <c r="F27" s="30"/>
      <c r="G27" t="s" s="83">
        <v>1</v>
      </c>
      <c r="H27" t="s" s="83">
        <v>0</v>
      </c>
      <c r="I27" s="122"/>
      <c r="J27" t="s" s="83">
        <v>3</v>
      </c>
      <c r="K27" s="74"/>
      <c r="L27" s="16"/>
      <c r="M27" s="75"/>
      <c r="N27" t="s" s="83">
        <v>2</v>
      </c>
      <c r="O27" s="122"/>
      <c r="P27" s="30"/>
      <c r="Q27" s="74"/>
      <c r="R27" s="16"/>
      <c r="S27" s="75"/>
      <c r="T27" t="s" s="119">
        <v>5</v>
      </c>
      <c r="U27" s="74"/>
      <c r="V27" s="16"/>
      <c r="W27" s="16"/>
      <c r="X27" s="75"/>
      <c r="Y27" s="30"/>
      <c r="Z27" s="30"/>
      <c r="AA27" t="s" s="119">
        <v>7</v>
      </c>
      <c r="AB27" t="s" s="119">
        <v>8</v>
      </c>
      <c r="AC27" s="30"/>
      <c r="AD27" s="30"/>
      <c r="AE27" s="30"/>
      <c r="AF27" t="s" s="119">
        <v>6</v>
      </c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t="s" s="83">
        <v>2606</v>
      </c>
      <c r="B28" s="112">
        <v>1921</v>
      </c>
      <c r="C28" s="112">
        <v>5</v>
      </c>
      <c r="D28" t="s" s="83">
        <v>2607</v>
      </c>
      <c r="E28" s="30"/>
      <c r="F28" s="112">
        <v>7</v>
      </c>
      <c r="G28" t="s" s="83">
        <v>1802</v>
      </c>
      <c r="H28" t="s" s="83">
        <v>611</v>
      </c>
      <c r="I28" s="120">
        <v>17</v>
      </c>
      <c r="J28" t="s" s="83">
        <v>37</v>
      </c>
      <c r="K28" s="156">
        <v>1</v>
      </c>
      <c r="L28" s="16"/>
      <c r="M28" s="75"/>
      <c r="N28" s="112">
        <v>1</v>
      </c>
      <c r="O28" s="122"/>
      <c r="P28" s="30"/>
      <c r="Q28" s="74"/>
      <c r="R28" s="16"/>
      <c r="S28" s="75"/>
      <c r="T28" s="118">
        <v>30</v>
      </c>
      <c r="U28" s="74"/>
      <c r="V28" s="16"/>
      <c r="W28" s="16"/>
      <c r="X28" s="75"/>
      <c r="Y28" s="30"/>
      <c r="Z28" s="30"/>
      <c r="AA28" t="s" s="119">
        <v>2637</v>
      </c>
      <c r="AB28" t="s" s="119">
        <v>8</v>
      </c>
      <c r="AC28" s="112">
        <v>1</v>
      </c>
      <c r="AD28" s="112">
        <v>1</v>
      </c>
      <c r="AE28" s="30"/>
      <c r="AF28" t="s" s="119">
        <v>1051</v>
      </c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2606</v>
      </c>
      <c r="B29" s="112">
        <v>1921</v>
      </c>
      <c r="C29" s="112">
        <v>5</v>
      </c>
      <c r="D29" t="s" s="83">
        <v>2607</v>
      </c>
      <c r="E29" s="30"/>
      <c r="F29" s="112">
        <v>7</v>
      </c>
      <c r="G29" t="s" s="83">
        <v>1802</v>
      </c>
      <c r="H29" t="s" s="83">
        <v>2638</v>
      </c>
      <c r="I29" s="111">
        <v>18</v>
      </c>
      <c r="J29" s="112">
        <v>1</v>
      </c>
      <c r="K29" s="131"/>
      <c r="L29" s="132"/>
      <c r="M29" s="133"/>
      <c r="N29" t="s" s="83">
        <v>72</v>
      </c>
      <c r="O29" s="111">
        <v>1</v>
      </c>
      <c r="P29" s="30"/>
      <c r="Q29" s="131"/>
      <c r="R29" s="132"/>
      <c r="S29" s="133"/>
      <c r="T29" s="118">
        <v>29</v>
      </c>
      <c r="U29" s="131"/>
      <c r="V29" s="132"/>
      <c r="W29" s="132"/>
      <c r="X29" s="133"/>
      <c r="Y29" s="30"/>
      <c r="Z29" s="30"/>
      <c r="AA29" t="s" s="119">
        <v>33</v>
      </c>
      <c r="AB29" t="s" s="119">
        <v>34</v>
      </c>
      <c r="AC29" s="30"/>
      <c r="AD29" s="30"/>
      <c r="AE29" s="30"/>
      <c r="AF29" t="s" s="119">
        <v>2639</v>
      </c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3">
        <v>2606</v>
      </c>
      <c r="B30" s="112">
        <v>1921</v>
      </c>
      <c r="C30" s="112">
        <v>5</v>
      </c>
      <c r="D30" t="s" s="83">
        <v>2607</v>
      </c>
      <c r="E30" s="30"/>
      <c r="F30" s="30"/>
      <c r="G30" s="30"/>
      <c r="H30" s="112">
        <v>2</v>
      </c>
      <c r="I30" s="112">
        <v>18</v>
      </c>
      <c r="J30" s="112" cm="1">
        <f t="array" ref="J30">SUM(J3:J29)</f>
        <v>14</v>
      </c>
      <c r="K30" s="112" cm="1">
        <f t="array" ref="K30">SUM(K3:K29)</f>
        <v>4</v>
      </c>
      <c r="L30" s="112" cm="1">
        <f t="array" ref="L30">SUM(L3:L29)</f>
        <v>0</v>
      </c>
      <c r="M30" s="112" cm="1">
        <f t="array" ref="M30">SUM(M3:M29)</f>
        <v>0</v>
      </c>
      <c r="N30" s="112" cm="1">
        <f t="array" ref="N30">SUM(N3:N29)</f>
        <v>5</v>
      </c>
      <c r="O30" s="112" cm="1">
        <f t="array" ref="O30">SUM(O3:O29)</f>
        <v>2</v>
      </c>
      <c r="P30" s="112" cm="1">
        <f t="array" ref="P30">SUM(P3:P29)</f>
        <v>1</v>
      </c>
      <c r="Q30" s="112" cm="1">
        <f t="array" ref="Q30">SUM(Q3:Q29)</f>
        <v>0</v>
      </c>
      <c r="R30" s="112" cm="1">
        <f t="array" ref="R30">SUM(R3:R29)</f>
        <v>4</v>
      </c>
      <c r="S30" s="112" cm="1">
        <f t="array" ref="S30">SUM(S3:S29)</f>
        <v>6</v>
      </c>
      <c r="T30" s="112" cm="1">
        <f t="array" ref="T30">SUM(T3:T29)</f>
        <v>746</v>
      </c>
      <c r="U30" s="112" cm="1">
        <f t="array" ref="U30">SUM(U3:U29)</f>
        <v>0</v>
      </c>
      <c r="V30" s="112" cm="1">
        <f t="array" ref="V30">SUM(V3:V29)</f>
        <v>0</v>
      </c>
      <c r="W30" s="112" cm="1">
        <f t="array" ref="W30">SUM(W3:W29)</f>
        <v>0</v>
      </c>
      <c r="X30" s="112" cm="1">
        <f t="array" ref="X30">SUM(X3:X29)</f>
        <v>0</v>
      </c>
      <c r="Y30" s="112" cm="1">
        <f t="array" ref="Y30">SUM(Y3:Y29)</f>
        <v>0</v>
      </c>
      <c r="Z30" s="112" cm="1">
        <f t="array" ref="Z30">SUM(Z3:Z29)</f>
        <v>0</v>
      </c>
      <c r="AA30" s="112" cm="1">
        <f t="array" ref="AA30">SUM(AA3:AA29)</f>
        <v>0</v>
      </c>
      <c r="AB30" s="112" cm="1">
        <f t="array" ref="AB30">SUM(AB3:AB29)</f>
        <v>0</v>
      </c>
      <c r="AC30" s="112" cm="1">
        <f t="array" ref="AC30">SUM(AC3:AC29)</f>
        <v>11</v>
      </c>
      <c r="AD30" s="112" cm="1">
        <f t="array" ref="AD30">SUM(AD3:AD29)</f>
        <v>1</v>
      </c>
      <c r="AE30" s="112" cm="1">
        <f t="array" ref="AE30">AC30-AD30</f>
        <v>10</v>
      </c>
      <c r="AF30" s="112" cm="1">
        <f t="array" ref="AF30">SUM(AF3:AF29)</f>
        <v>13</v>
      </c>
      <c r="AG30" s="112" cm="1">
        <f t="array" ref="AG30">I30-AF30</f>
        <v>5</v>
      </c>
      <c r="AH30" s="112" cm="1">
        <f t="array" ref="AH30">SUM(AH3:AH29)</f>
        <v>0</v>
      </c>
      <c r="AI30" s="112" cm="1">
        <f t="array" ref="AI30">SUM(AI3:AI29)</f>
        <v>0</v>
      </c>
      <c r="AJ30" s="112" cm="1">
        <f t="array" ref="AJ30">SUM(AJ3:AJ29)</f>
        <v>0</v>
      </c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t="s" s="83">
        <v>2606</v>
      </c>
      <c r="B31" s="112">
        <v>1921</v>
      </c>
      <c r="C31" s="30"/>
      <c r="D31" t="s" s="83">
        <v>2607</v>
      </c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30"/>
      <c r="R31" s="121"/>
      <c r="S31" s="121"/>
      <c r="T31" s="430" cm="1">
        <f t="array" ref="T31">T30/I30</f>
        <v>41.4444444444444</v>
      </c>
      <c r="U31" s="121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30"/>
      <c r="R32" s="121"/>
      <c r="S32" s="121"/>
      <c r="T32" s="30"/>
      <c r="U32" s="121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s="83"/>
      <c r="B33" s="30"/>
      <c r="C33" s="30"/>
      <c r="D33" s="30"/>
      <c r="E33" s="30"/>
      <c r="F33" s="28"/>
      <c r="G33" s="28"/>
      <c r="H33" s="28"/>
      <c r="I33" s="28"/>
      <c r="J33" s="28"/>
      <c r="K33" s="125"/>
      <c r="L33" s="28"/>
      <c r="M33" s="28"/>
      <c r="N33" s="28"/>
      <c r="O33" s="28"/>
      <c r="P33" s="28"/>
      <c r="Q33" s="30"/>
      <c r="R33" s="30"/>
      <c r="S33" s="30"/>
      <c r="T33" s="30"/>
      <c r="U33" s="112" cm="1">
        <f t="array" ref="U33">SUM(U3:U32)</f>
        <v>0</v>
      </c>
      <c r="V33" s="112" cm="1">
        <f t="array" ref="V33">SUM(V3:V32)</f>
        <v>0</v>
      </c>
      <c r="W33" s="112" cm="1">
        <f t="array" ref="W33">SUM(W3:W32)</f>
        <v>0</v>
      </c>
      <c r="X33" s="30"/>
      <c r="Y33" s="30"/>
      <c r="Z33" s="112" cm="1">
        <f t="array" ref="Z33">SUM(Z3:Z32)</f>
        <v>0</v>
      </c>
      <c r="AA33" s="112" cm="1">
        <f t="array" ref="AA33">SUM(AA3:AA32)</f>
        <v>0</v>
      </c>
      <c r="AB33" s="112" cm="1">
        <f t="array" ref="AB33">SUM(AB3:AB32)</f>
        <v>0</v>
      </c>
      <c r="AC33" s="112" cm="1">
        <f t="array" ref="AC33">SUM(AC3:AC32)</f>
        <v>22</v>
      </c>
      <c r="AD33" s="112" cm="1">
        <f t="array" ref="AD33">SUM(AD3:AD32)</f>
        <v>2</v>
      </c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s="30"/>
      <c r="B34" s="30"/>
      <c r="C34" s="30"/>
      <c r="D34" s="30"/>
      <c r="E34" s="30"/>
      <c r="F34" s="28"/>
      <c r="G34" s="28"/>
      <c r="H34" s="28"/>
      <c r="I34" s="28"/>
      <c r="J34" s="163"/>
      <c r="K34" s="297"/>
      <c r="L34" s="165"/>
      <c r="M34" s="28"/>
      <c r="N34" s="28"/>
      <c r="O34" s="28"/>
      <c r="P34" s="28"/>
      <c r="Q34" s="87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" customHeight="1">
      <c r="A35" s="30"/>
      <c r="B35" s="30"/>
      <c r="C35" s="30"/>
      <c r="D35" s="30"/>
      <c r="E35" s="30"/>
      <c r="F35" s="30"/>
      <c r="G35" s="130"/>
      <c r="H35" s="130"/>
      <c r="I35" s="130"/>
      <c r="J35" s="30"/>
      <c r="K35" s="30"/>
      <c r="L35" s="30"/>
      <c r="M35" s="30"/>
      <c r="N35" s="30"/>
      <c r="O35" s="30"/>
      <c r="P35" s="30"/>
      <c r="Q35" s="87"/>
      <c r="R35" s="130"/>
      <c r="S35" s="130"/>
      <c r="T35" s="1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121"/>
      <c r="S36" s="121"/>
      <c r="T36" s="129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130"/>
      <c r="S37" s="130"/>
      <c r="T37" s="130"/>
      <c r="U37" s="30"/>
      <c r="V37" s="30"/>
      <c r="W37" s="30"/>
      <c r="X37" s="30"/>
      <c r="Y37" s="30"/>
      <c r="Z37" s="30"/>
      <c r="AA37" s="30"/>
      <c r="AB37" s="30"/>
      <c r="AC37" s="134"/>
      <c r="AD37" s="134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121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9" customHeight="1">
      <c r="A39" s="30"/>
      <c r="B39" s="30"/>
      <c r="C39" s="30"/>
      <c r="D39" s="30"/>
      <c r="E39" s="30"/>
      <c r="F39" s="29"/>
      <c r="G39" s="29"/>
      <c r="H39" t="s" s="27">
        <v>0</v>
      </c>
      <c r="I39" t="s" s="82">
        <v>1</v>
      </c>
      <c r="J39" t="s" s="27">
        <v>2</v>
      </c>
      <c r="K39" t="s" s="153">
        <v>3</v>
      </c>
      <c r="L39" t="s" s="98">
        <v>4</v>
      </c>
      <c r="M39" t="s" s="154">
        <v>5</v>
      </c>
      <c r="N39" t="s" s="27">
        <v>6</v>
      </c>
      <c r="O39" t="s" s="82">
        <v>7</v>
      </c>
      <c r="P39" t="s" s="27">
        <v>8</v>
      </c>
      <c r="Q39" s="116"/>
      <c r="R39" s="62"/>
      <c r="S39" s="117"/>
      <c r="T39" s="29"/>
      <c r="U39" s="116"/>
      <c r="V39" s="62"/>
      <c r="W39" s="117"/>
      <c r="X39" s="29"/>
      <c r="Y39" s="29"/>
      <c r="Z39" s="29"/>
      <c r="AA39" s="29"/>
      <c r="AB39" s="29"/>
      <c r="AC39" s="29"/>
      <c r="AD39" s="29"/>
      <c r="AE39" s="30"/>
      <c r="AF39" s="30"/>
      <c r="AG39" s="29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17.5" customHeight="1">
      <c r="A40" s="30"/>
      <c r="B40" s="30"/>
      <c r="C40" s="30"/>
      <c r="D40" s="30"/>
      <c r="E40" s="30"/>
      <c r="F40" s="30"/>
      <c r="G40" s="30"/>
      <c r="H40" t="s" s="83">
        <v>2609</v>
      </c>
      <c r="I40" t="s" s="159">
        <v>2608</v>
      </c>
      <c r="J40" t="s" s="83">
        <v>2640</v>
      </c>
      <c r="K40" t="s" s="157">
        <v>12</v>
      </c>
      <c r="L40" s="79">
        <v>1892</v>
      </c>
      <c r="M40" s="123">
        <v>29</v>
      </c>
      <c r="N40" t="s" s="83">
        <v>13</v>
      </c>
      <c r="O40" t="s" s="159">
        <v>2610</v>
      </c>
      <c r="P40" t="s" s="83">
        <v>2611</v>
      </c>
      <c r="Q40" s="74"/>
      <c r="R40" s="16"/>
      <c r="S40" s="75"/>
      <c r="T40" s="121"/>
      <c r="U40" s="74"/>
      <c r="V40" s="16"/>
      <c r="W40" s="75"/>
      <c r="X40" s="30"/>
      <c r="Y40" s="30"/>
      <c r="Z40" s="30"/>
      <c r="AA40" s="121"/>
      <c r="AB40" s="121"/>
      <c r="AC40" s="30"/>
      <c r="AD40" s="30"/>
      <c r="AE40" s="30"/>
      <c r="AF40" s="30"/>
      <c r="AG40" s="121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s="30"/>
      <c r="B41" s="30"/>
      <c r="C41" s="30"/>
      <c r="D41" s="30"/>
      <c r="E41" s="30"/>
      <c r="F41" s="30"/>
      <c r="G41" s="30"/>
      <c r="H41" t="s" s="83">
        <v>406</v>
      </c>
      <c r="I41" t="s" s="159">
        <v>2612</v>
      </c>
      <c r="J41" t="s" s="83">
        <v>41</v>
      </c>
      <c r="K41" t="s" s="157">
        <v>12</v>
      </c>
      <c r="L41" s="79">
        <v>1854</v>
      </c>
      <c r="M41" s="123">
        <v>66</v>
      </c>
      <c r="N41" t="s" s="83">
        <v>13</v>
      </c>
      <c r="O41" t="s" s="159">
        <v>94</v>
      </c>
      <c r="P41" t="s" s="83">
        <v>34</v>
      </c>
      <c r="Q41" s="74"/>
      <c r="R41" s="16"/>
      <c r="S41" s="75"/>
      <c r="T41" s="121"/>
      <c r="U41" s="74"/>
      <c r="V41" s="16"/>
      <c r="W41" s="75"/>
      <c r="X41" s="30"/>
      <c r="Y41" s="30"/>
      <c r="Z41" s="30"/>
      <c r="AA41" s="121"/>
      <c r="AB41" s="121"/>
      <c r="AC41" s="30"/>
      <c r="AD41" s="30"/>
      <c r="AE41" s="30"/>
      <c r="AF41" s="30"/>
      <c r="AG41" s="121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.5" customHeight="1">
      <c r="A42" s="30"/>
      <c r="B42" s="30"/>
      <c r="C42" s="30"/>
      <c r="D42" s="30"/>
      <c r="E42" s="30"/>
      <c r="F42" s="30"/>
      <c r="G42" s="30"/>
      <c r="H42" t="s" s="83">
        <v>1072</v>
      </c>
      <c r="I42" t="s" s="159">
        <v>243</v>
      </c>
      <c r="J42" t="s" s="83">
        <v>11</v>
      </c>
      <c r="K42" t="s" s="157">
        <v>12</v>
      </c>
      <c r="L42" s="79">
        <v>1861</v>
      </c>
      <c r="M42" s="123">
        <v>60</v>
      </c>
      <c r="N42" t="s" s="83">
        <v>2614</v>
      </c>
      <c r="O42" t="s" s="159">
        <v>45</v>
      </c>
      <c r="P42" t="s" s="83">
        <v>2613</v>
      </c>
      <c r="Q42" s="74"/>
      <c r="R42" s="16"/>
      <c r="S42" s="75"/>
      <c r="T42" s="121"/>
      <c r="U42" s="74"/>
      <c r="V42" s="16"/>
      <c r="W42" s="75"/>
      <c r="X42" s="30"/>
      <c r="Y42" s="30"/>
      <c r="Z42" s="30"/>
      <c r="AA42" s="121"/>
      <c r="AB42" s="121"/>
      <c r="AC42" s="30"/>
      <c r="AD42" s="30"/>
      <c r="AE42" s="30"/>
      <c r="AF42" s="30"/>
      <c r="AG42" s="121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7.5" customHeight="1">
      <c r="A43" s="30"/>
      <c r="B43" s="30"/>
      <c r="C43" s="30"/>
      <c r="D43" s="30"/>
      <c r="E43" s="30"/>
      <c r="F43" s="30"/>
      <c r="G43" s="30"/>
      <c r="H43" t="s" s="83">
        <v>2616</v>
      </c>
      <c r="I43" t="s" s="159">
        <v>2615</v>
      </c>
      <c r="J43" t="s" s="83">
        <v>11</v>
      </c>
      <c r="K43" t="s" s="157">
        <v>12</v>
      </c>
      <c r="L43" s="79">
        <v>1900</v>
      </c>
      <c r="M43" s="123">
        <v>21</v>
      </c>
      <c r="N43" t="s" s="83">
        <v>54</v>
      </c>
      <c r="O43" t="s" s="159">
        <v>55</v>
      </c>
      <c r="P43" t="s" s="83">
        <v>2613</v>
      </c>
      <c r="Q43" s="74"/>
      <c r="R43" s="16"/>
      <c r="S43" s="75"/>
      <c r="T43" s="121"/>
      <c r="U43" s="74"/>
      <c r="V43" s="16"/>
      <c r="W43" s="75"/>
      <c r="X43" s="30"/>
      <c r="Y43" s="30"/>
      <c r="Z43" s="30"/>
      <c r="AA43" s="121"/>
      <c r="AB43" s="121"/>
      <c r="AC43" s="30"/>
      <c r="AD43" s="30"/>
      <c r="AE43" s="30"/>
      <c r="AF43" s="30"/>
      <c r="AG43" s="121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s="30"/>
      <c r="F44" s="30"/>
      <c r="G44" s="30"/>
      <c r="H44" s="30"/>
      <c r="I44" s="122"/>
      <c r="J44" s="30"/>
      <c r="K44" s="74"/>
      <c r="L44" s="16"/>
      <c r="M44" s="75"/>
      <c r="N44" s="30"/>
      <c r="O44" s="122"/>
      <c r="P44" s="30"/>
      <c r="Q44" s="74"/>
      <c r="R44" s="16"/>
      <c r="S44" s="75"/>
      <c r="T44" s="121"/>
      <c r="U44" s="74"/>
      <c r="V44" s="16"/>
      <c r="W44" s="75"/>
      <c r="X44" s="30"/>
      <c r="Y44" s="30"/>
      <c r="Z44" s="30"/>
      <c r="AA44" s="121"/>
      <c r="AB44" s="121"/>
      <c r="AC44" s="30"/>
      <c r="AD44" s="30"/>
      <c r="AE44" s="30"/>
      <c r="AF44" s="30"/>
      <c r="AG44" s="121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s="30"/>
      <c r="B45" s="30"/>
      <c r="C45" s="30"/>
      <c r="D45" s="30"/>
      <c r="E45" s="30"/>
      <c r="F45" s="30"/>
      <c r="G45" s="30"/>
      <c r="H45" t="s" s="83">
        <v>0</v>
      </c>
      <c r="I45" t="s" s="159">
        <v>1</v>
      </c>
      <c r="J45" t="s" s="83">
        <v>2</v>
      </c>
      <c r="K45" t="s" s="157">
        <v>3</v>
      </c>
      <c r="L45" t="s" s="96">
        <v>4</v>
      </c>
      <c r="M45" t="s" s="158">
        <v>5</v>
      </c>
      <c r="N45" t="s" s="83">
        <v>6</v>
      </c>
      <c r="O45" t="s" s="159">
        <v>7</v>
      </c>
      <c r="P45" t="s" s="83">
        <v>8</v>
      </c>
      <c r="Q45" s="74"/>
      <c r="R45" s="16"/>
      <c r="S45" s="75"/>
      <c r="T45" s="121"/>
      <c r="U45" s="74"/>
      <c r="V45" s="16"/>
      <c r="W45" s="75"/>
      <c r="X45" s="30"/>
      <c r="Y45" s="30"/>
      <c r="Z45" s="30"/>
      <c r="AA45" s="121"/>
      <c r="AB45" s="121"/>
      <c r="AC45" s="30"/>
      <c r="AD45" s="30"/>
      <c r="AE45" s="30"/>
      <c r="AF45" s="30"/>
      <c r="AG45" s="121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s="30"/>
      <c r="B46" s="30"/>
      <c r="C46" s="30"/>
      <c r="D46" s="30"/>
      <c r="E46" s="30"/>
      <c r="F46" s="30"/>
      <c r="G46" s="30"/>
      <c r="H46" t="s" s="83">
        <v>2617</v>
      </c>
      <c r="I46" t="s" s="159">
        <v>1498</v>
      </c>
      <c r="J46" t="s" s="83">
        <v>31</v>
      </c>
      <c r="K46" t="s" s="157">
        <v>12</v>
      </c>
      <c r="L46" s="79">
        <v>1865</v>
      </c>
      <c r="M46" s="123">
        <v>56</v>
      </c>
      <c r="N46" t="s" s="83">
        <v>13</v>
      </c>
      <c r="O46" t="s" s="159">
        <v>2618</v>
      </c>
      <c r="P46" t="s" s="83">
        <v>34</v>
      </c>
      <c r="Q46" s="74"/>
      <c r="R46" s="16"/>
      <c r="S46" s="75"/>
      <c r="T46" s="121"/>
      <c r="U46" s="74"/>
      <c r="V46" s="16"/>
      <c r="W46" s="75"/>
      <c r="X46" s="30"/>
      <c r="Y46" s="30"/>
      <c r="Z46" s="30"/>
      <c r="AA46" s="121"/>
      <c r="AB46" s="121"/>
      <c r="AC46" s="30"/>
      <c r="AD46" s="30"/>
      <c r="AE46" s="30"/>
      <c r="AF46" s="30"/>
      <c r="AG46" s="121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.5" customHeight="1">
      <c r="A47" s="30"/>
      <c r="B47" s="30"/>
      <c r="C47" s="30"/>
      <c r="D47" s="30"/>
      <c r="E47" s="30"/>
      <c r="F47" s="30"/>
      <c r="G47" s="30"/>
      <c r="H47" t="s" s="83">
        <v>2619</v>
      </c>
      <c r="I47" t="s" s="159">
        <v>1498</v>
      </c>
      <c r="J47" t="s" s="83">
        <v>78</v>
      </c>
      <c r="K47" t="s" s="157">
        <v>12</v>
      </c>
      <c r="L47" s="79">
        <v>1900</v>
      </c>
      <c r="M47" s="123">
        <v>20</v>
      </c>
      <c r="N47" t="s" s="83">
        <v>13</v>
      </c>
      <c r="O47" t="s" s="159">
        <v>34</v>
      </c>
      <c r="P47" t="s" s="83">
        <v>34</v>
      </c>
      <c r="Q47" s="74"/>
      <c r="R47" s="16"/>
      <c r="S47" s="75"/>
      <c r="T47" s="121"/>
      <c r="U47" s="74"/>
      <c r="V47" s="16"/>
      <c r="W47" s="75"/>
      <c r="X47" s="30"/>
      <c r="Y47" s="30"/>
      <c r="Z47" s="30"/>
      <c r="AA47" s="121"/>
      <c r="AB47" s="121"/>
      <c r="AC47" s="30"/>
      <c r="AD47" s="30"/>
      <c r="AE47" s="30"/>
      <c r="AF47" s="30"/>
      <c r="AG47" s="121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" customHeight="1">
      <c r="A48" s="30"/>
      <c r="B48" s="30"/>
      <c r="C48" s="30"/>
      <c r="D48" s="30"/>
      <c r="E48" s="30"/>
      <c r="F48" s="30"/>
      <c r="G48" s="30"/>
      <c r="H48" t="s" s="83">
        <v>1747</v>
      </c>
      <c r="I48" t="s" s="159">
        <v>368</v>
      </c>
      <c r="J48" t="s" s="83">
        <v>11</v>
      </c>
      <c r="K48" t="s" s="157">
        <v>12</v>
      </c>
      <c r="L48" s="79">
        <v>1886</v>
      </c>
      <c r="M48" s="123">
        <v>35</v>
      </c>
      <c r="N48" t="s" s="83">
        <v>2641</v>
      </c>
      <c r="O48" t="s" s="159">
        <v>45</v>
      </c>
      <c r="P48" t="s" s="83">
        <v>2620</v>
      </c>
      <c r="Q48" s="74"/>
      <c r="R48" s="16"/>
      <c r="S48" s="75"/>
      <c r="T48" s="30"/>
      <c r="U48" s="74"/>
      <c r="V48" s="16"/>
      <c r="W48" s="75"/>
      <c r="X48" s="112" cm="1">
        <f t="array" ref="X48">SUM(X39:X47)</f>
        <v>0</v>
      </c>
      <c r="Y48" s="112" cm="1">
        <f t="array" ref="Y48">SUM(Y39:Y47)</f>
        <v>0</v>
      </c>
      <c r="Z48" s="112" cm="1">
        <f t="array" ref="Z48">SUM(Z39:Z47)</f>
        <v>0</v>
      </c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.5" customHeight="1">
      <c r="A49" s="30"/>
      <c r="B49" s="30"/>
      <c r="C49" s="30"/>
      <c r="D49" s="30"/>
      <c r="E49" s="30"/>
      <c r="F49" s="30"/>
      <c r="G49" s="30"/>
      <c r="H49" t="s" s="83">
        <v>704</v>
      </c>
      <c r="I49" t="s" s="159">
        <v>2224</v>
      </c>
      <c r="J49" t="s" s="83">
        <v>11</v>
      </c>
      <c r="K49" t="s" s="157">
        <v>12</v>
      </c>
      <c r="L49" s="79">
        <v>1882</v>
      </c>
      <c r="M49" s="123">
        <v>39</v>
      </c>
      <c r="N49" t="s" s="83">
        <v>2642</v>
      </c>
      <c r="O49" t="s" s="159">
        <v>55</v>
      </c>
      <c r="P49" t="s" s="83">
        <v>2621</v>
      </c>
      <c r="Q49" s="74"/>
      <c r="R49" s="16"/>
      <c r="S49" s="75"/>
      <c r="T49" s="121"/>
      <c r="U49" s="74"/>
      <c r="V49" s="16"/>
      <c r="W49" s="75"/>
      <c r="X49" s="30"/>
      <c r="Y49" s="30"/>
      <c r="Z49" s="30"/>
      <c r="AA49" s="121"/>
      <c r="AB49" s="121"/>
      <c r="AC49" s="30"/>
      <c r="AD49" s="30"/>
      <c r="AE49" s="30"/>
      <c r="AF49" s="30"/>
      <c r="AG49" s="121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s="30"/>
      <c r="B50" s="30"/>
      <c r="C50" s="30"/>
      <c r="D50" s="30"/>
      <c r="E50" s="30"/>
      <c r="F50" s="30"/>
      <c r="G50" s="30"/>
      <c r="H50" s="30"/>
      <c r="I50" s="122"/>
      <c r="J50" s="30"/>
      <c r="K50" s="74"/>
      <c r="L50" s="16"/>
      <c r="M50" s="75"/>
      <c r="N50" s="30"/>
      <c r="O50" s="122"/>
      <c r="P50" s="30"/>
      <c r="Q50" s="74"/>
      <c r="R50" s="16"/>
      <c r="S50" s="75"/>
      <c r="T50" s="121"/>
      <c r="U50" s="74"/>
      <c r="V50" s="16"/>
      <c r="W50" s="75"/>
      <c r="X50" s="30"/>
      <c r="Y50" s="30"/>
      <c r="Z50" s="30"/>
      <c r="AA50" s="121"/>
      <c r="AB50" s="121"/>
      <c r="AC50" s="30"/>
      <c r="AD50" s="30"/>
      <c r="AE50" s="30"/>
      <c r="AF50" s="30"/>
      <c r="AG50" s="121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s="30"/>
      <c r="B51" s="30"/>
      <c r="C51" s="30"/>
      <c r="D51" s="30"/>
      <c r="E51" s="124"/>
      <c r="F51" s="28"/>
      <c r="G51" s="28"/>
      <c r="H51" t="s" s="148">
        <v>0</v>
      </c>
      <c r="I51" t="s" s="159">
        <v>1</v>
      </c>
      <c r="J51" t="s" s="398">
        <v>2</v>
      </c>
      <c r="K51" t="s" s="157">
        <v>3</v>
      </c>
      <c r="L51" t="s" s="96">
        <v>4</v>
      </c>
      <c r="M51" t="s" s="158">
        <v>5</v>
      </c>
      <c r="N51" t="s" s="148">
        <v>6</v>
      </c>
      <c r="O51" t="s" s="159">
        <v>7</v>
      </c>
      <c r="P51" t="s" s="148">
        <v>8</v>
      </c>
      <c r="Q51" s="74"/>
      <c r="R51" s="16"/>
      <c r="S51" s="75"/>
      <c r="T51" s="28"/>
      <c r="U51" s="74"/>
      <c r="V51" s="16"/>
      <c r="W51" s="75"/>
      <c r="X51" s="28"/>
      <c r="Y51" s="28"/>
      <c r="Z51" s="28"/>
      <c r="AA51" s="28"/>
      <c r="AB51" s="121"/>
      <c r="AC51" s="28"/>
      <c r="AD51" s="28"/>
      <c r="AE51" s="30"/>
      <c r="AF51" s="30"/>
      <c r="AG51" s="28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28" customHeight="1">
      <c r="A52" s="30"/>
      <c r="B52" s="30"/>
      <c r="C52" s="30"/>
      <c r="D52" s="30"/>
      <c r="E52" s="124"/>
      <c r="F52" s="307">
        <v>4</v>
      </c>
      <c r="G52" s="28"/>
      <c r="H52" t="s" s="148">
        <v>2623</v>
      </c>
      <c r="I52" t="s" s="160">
        <v>2622</v>
      </c>
      <c r="J52" t="s" s="431">
        <v>31</v>
      </c>
      <c r="K52" t="s" s="181">
        <v>37</v>
      </c>
      <c r="L52" s="126">
        <v>1860</v>
      </c>
      <c r="M52" s="142">
        <v>61</v>
      </c>
      <c r="N52" t="s" s="149">
        <v>2626</v>
      </c>
      <c r="O52" t="s" s="181">
        <v>2624</v>
      </c>
      <c r="P52" t="s" s="151">
        <v>2625</v>
      </c>
      <c r="Q52" s="131"/>
      <c r="R52" s="132"/>
      <c r="S52" s="133"/>
      <c r="T52" s="28"/>
      <c r="U52" s="131"/>
      <c r="V52" s="132"/>
      <c r="W52" s="133"/>
      <c r="X52" s="28"/>
      <c r="Y52" s="28"/>
      <c r="Z52" s="28"/>
      <c r="AA52" s="28"/>
      <c r="AB52" s="121"/>
      <c r="AC52" s="28"/>
      <c r="AD52" s="124"/>
      <c r="AE52" s="30"/>
      <c r="AF52" s="30"/>
      <c r="AG52" s="28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s="30"/>
      <c r="B53" s="30"/>
      <c r="C53" s="30"/>
      <c r="D53" s="30"/>
      <c r="E53" s="30"/>
      <c r="F53" s="30"/>
      <c r="G53" s="30"/>
      <c r="H53" t="s" s="83">
        <v>2627</v>
      </c>
      <c r="I53" t="s" s="83">
        <v>2622</v>
      </c>
      <c r="J53" t="s" s="83">
        <v>72</v>
      </c>
      <c r="K53" t="s" s="83">
        <v>12</v>
      </c>
      <c r="L53" s="112">
        <v>1868</v>
      </c>
      <c r="M53" s="112">
        <v>52</v>
      </c>
      <c r="N53" t="s" s="83">
        <v>13</v>
      </c>
      <c r="O53" t="s" s="83">
        <v>33</v>
      </c>
      <c r="P53" t="s" s="83">
        <v>34</v>
      </c>
      <c r="Q53" s="30"/>
      <c r="R53" s="30"/>
      <c r="S53" s="30"/>
      <c r="T53" s="30"/>
      <c r="U53" s="112" cm="1">
        <f t="array" ref="U53">SUM(U39:U52)</f>
        <v>0</v>
      </c>
      <c r="V53" s="112" cm="1">
        <f t="array" ref="V53">SUM(V39:V52)</f>
        <v>0</v>
      </c>
      <c r="W53" s="112" cm="1">
        <f t="array" ref="W53">SUM(W39:W52)</f>
        <v>0</v>
      </c>
      <c r="X53" s="112" cm="1">
        <f t="array" ref="X53">SUM(X39:X52)</f>
        <v>0</v>
      </c>
      <c r="Y53" s="112" cm="1">
        <f t="array" ref="Y53">SUM(Y39:Y52)</f>
        <v>0</v>
      </c>
      <c r="Z53" s="112" cm="1">
        <f t="array" ref="Z53">SUM(Z39:Z52)</f>
        <v>0</v>
      </c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s="30"/>
      <c r="B54" s="30"/>
      <c r="C54" s="30"/>
      <c r="D54" s="30"/>
      <c r="E54" s="30"/>
      <c r="F54" s="30"/>
      <c r="G54" s="30"/>
      <c r="H54" t="s" s="83">
        <v>2628</v>
      </c>
      <c r="I54" t="s" s="83">
        <v>91</v>
      </c>
      <c r="J54" t="s" s="83">
        <v>11</v>
      </c>
      <c r="K54" t="s" s="83">
        <v>37</v>
      </c>
      <c r="L54" s="112">
        <v>1898</v>
      </c>
      <c r="M54" s="118">
        <v>22</v>
      </c>
      <c r="N54" t="s" s="119">
        <v>80</v>
      </c>
      <c r="O54" t="s" s="119">
        <v>2503</v>
      </c>
      <c r="P54" t="s" s="119">
        <v>15</v>
      </c>
      <c r="Q54" s="30"/>
      <c r="R54" s="121"/>
      <c r="S54" s="121"/>
      <c r="T54" s="87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.5" customHeight="1">
      <c r="A55" s="30"/>
      <c r="B55" s="30"/>
      <c r="C55" s="30"/>
      <c r="D55" s="30"/>
      <c r="E55" s="30"/>
      <c r="F55" s="30"/>
      <c r="G55" s="30"/>
      <c r="H55" t="s" s="83">
        <v>2630</v>
      </c>
      <c r="I55" t="s" s="83">
        <v>2629</v>
      </c>
      <c r="J55" t="s" s="83">
        <v>41</v>
      </c>
      <c r="K55" t="s" s="83">
        <v>12</v>
      </c>
      <c r="L55" s="112">
        <v>1897</v>
      </c>
      <c r="M55" s="118">
        <v>23</v>
      </c>
      <c r="N55" t="s" s="119">
        <v>817</v>
      </c>
      <c r="O55" t="s" s="119">
        <v>2631</v>
      </c>
      <c r="P55" t="s" s="119">
        <v>2139</v>
      </c>
      <c r="Q55" s="121"/>
      <c r="R55" s="121"/>
      <c r="S55" s="121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.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121"/>
      <c r="N56" s="121"/>
      <c r="O56" s="121"/>
      <c r="P56" s="121"/>
      <c r="Q56" s="121"/>
      <c r="R56" s="121"/>
      <c r="S56" s="121"/>
      <c r="T56" s="30"/>
      <c r="U56" s="121"/>
      <c r="V56" s="121"/>
      <c r="W56" s="121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.5" customHeight="1">
      <c r="A57" s="30"/>
      <c r="B57" s="30"/>
      <c r="C57" s="30"/>
      <c r="D57" s="30"/>
      <c r="E57" s="30"/>
      <c r="F57" s="29"/>
      <c r="G57" s="29"/>
      <c r="H57" t="s" s="27">
        <v>0</v>
      </c>
      <c r="I57" t="s" s="27">
        <v>1</v>
      </c>
      <c r="J57" t="s" s="27">
        <v>2</v>
      </c>
      <c r="K57" t="s" s="27">
        <v>3</v>
      </c>
      <c r="L57" t="s" s="27">
        <v>4</v>
      </c>
      <c r="M57" t="s" s="27">
        <v>5</v>
      </c>
      <c r="N57" t="s" s="27">
        <v>6</v>
      </c>
      <c r="O57" t="s" s="27">
        <v>7</v>
      </c>
      <c r="P57" t="s" s="27">
        <v>8</v>
      </c>
      <c r="Q57" s="30"/>
      <c r="R57" s="121"/>
      <c r="S57" s="121"/>
      <c r="T57" s="30"/>
      <c r="U57" s="121"/>
      <c r="V57" s="121"/>
      <c r="W57" s="121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.5" customHeight="1">
      <c r="A58" s="30"/>
      <c r="B58" s="30"/>
      <c r="C58" s="30"/>
      <c r="D58" s="30"/>
      <c r="E58" s="30"/>
      <c r="F58" s="112">
        <v>6</v>
      </c>
      <c r="G58" s="30"/>
      <c r="H58" t="s" s="83">
        <v>2632</v>
      </c>
      <c r="I58" t="s" s="83">
        <v>309</v>
      </c>
      <c r="J58" t="s" s="83">
        <v>31</v>
      </c>
      <c r="K58" t="s" s="83">
        <v>37</v>
      </c>
      <c r="L58" s="112">
        <v>1861</v>
      </c>
      <c r="M58" s="118">
        <v>59</v>
      </c>
      <c r="N58" t="s" s="119">
        <v>13</v>
      </c>
      <c r="O58" t="s" s="119">
        <v>2633</v>
      </c>
      <c r="P58" t="s" s="119">
        <v>2634</v>
      </c>
      <c r="Q58" s="30"/>
      <c r="R58" s="121"/>
      <c r="S58" s="121"/>
      <c r="T58" s="30"/>
      <c r="U58" s="121"/>
      <c r="V58" s="121"/>
      <c r="W58" s="121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.5" customHeight="1">
      <c r="A59" s="30"/>
      <c r="B59" s="30"/>
      <c r="C59" s="30"/>
      <c r="D59" s="30"/>
      <c r="E59" s="30"/>
      <c r="F59" s="30"/>
      <c r="G59" s="30"/>
      <c r="H59" t="s" s="83">
        <v>2635</v>
      </c>
      <c r="I59" t="s" s="83">
        <v>309</v>
      </c>
      <c r="J59" t="s" s="83">
        <v>246</v>
      </c>
      <c r="K59" t="s" s="83">
        <v>12</v>
      </c>
      <c r="L59" s="112">
        <v>1857</v>
      </c>
      <c r="M59" s="118">
        <v>64</v>
      </c>
      <c r="N59" t="s" s="119">
        <v>13</v>
      </c>
      <c r="O59" t="s" s="119">
        <v>33</v>
      </c>
      <c r="P59" t="s" s="119">
        <v>34</v>
      </c>
      <c r="Q59" s="30"/>
      <c r="R59" s="121"/>
      <c r="S59" s="121"/>
      <c r="T59" s="30"/>
      <c r="U59" s="121"/>
      <c r="V59" s="121"/>
      <c r="W59" s="121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.5" customHeight="1">
      <c r="A60" s="30"/>
      <c r="B60" s="30"/>
      <c r="C60" s="30"/>
      <c r="D60" s="30"/>
      <c r="E60" s="30"/>
      <c r="F60" s="30"/>
      <c r="G60" s="30"/>
      <c r="H60" t="s" s="83">
        <v>2636</v>
      </c>
      <c r="I60" t="s" s="83">
        <v>309</v>
      </c>
      <c r="J60" t="s" s="83">
        <v>246</v>
      </c>
      <c r="K60" t="s" s="83">
        <v>12</v>
      </c>
      <c r="L60" s="112">
        <v>1865</v>
      </c>
      <c r="M60" s="118">
        <v>56</v>
      </c>
      <c r="N60" t="s" s="119">
        <v>13</v>
      </c>
      <c r="O60" t="s" s="119">
        <v>33</v>
      </c>
      <c r="P60" t="s" s="119">
        <v>34</v>
      </c>
      <c r="Q60" s="30"/>
      <c r="R60" s="121"/>
      <c r="S60" s="121"/>
      <c r="T60" s="30"/>
      <c r="U60" s="121"/>
      <c r="V60" s="121"/>
      <c r="W60" s="121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" customHeight="1">
      <c r="A61" s="30"/>
      <c r="B61" s="30"/>
      <c r="C61" s="30"/>
      <c r="D61" s="30"/>
      <c r="E61" s="30"/>
      <c r="F61" s="30"/>
      <c r="G61" s="30"/>
      <c r="H61" t="s" s="83">
        <v>9</v>
      </c>
      <c r="I61" t="s" s="83">
        <v>2217</v>
      </c>
      <c r="J61" t="s" s="83">
        <v>207</v>
      </c>
      <c r="K61" t="s" s="83">
        <v>12</v>
      </c>
      <c r="L61" s="112">
        <v>1897</v>
      </c>
      <c r="M61" s="118">
        <v>24</v>
      </c>
      <c r="N61" t="s" s="119">
        <v>54</v>
      </c>
      <c r="O61" t="s" s="119">
        <v>105</v>
      </c>
      <c r="P61" t="s" s="119">
        <v>15</v>
      </c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7.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121"/>
      <c r="N62" s="121"/>
      <c r="O62" s="121"/>
      <c r="P62" s="121"/>
      <c r="Q62" s="30"/>
      <c r="R62" s="121"/>
      <c r="S62" s="121"/>
      <c r="T62" s="129"/>
      <c r="U62" s="121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7.5" customHeight="1">
      <c r="A63" s="30"/>
      <c r="B63" s="30"/>
      <c r="C63" s="30"/>
      <c r="D63" s="30"/>
      <c r="E63" s="30"/>
      <c r="F63" s="30"/>
      <c r="G63" s="30"/>
      <c r="H63" t="s" s="83">
        <v>0</v>
      </c>
      <c r="I63" t="s" s="83">
        <v>1</v>
      </c>
      <c r="J63" t="s" s="83">
        <v>2</v>
      </c>
      <c r="K63" t="s" s="83">
        <v>3</v>
      </c>
      <c r="L63" t="s" s="83">
        <v>4</v>
      </c>
      <c r="M63" t="s" s="119">
        <v>5</v>
      </c>
      <c r="N63" t="s" s="119">
        <v>6</v>
      </c>
      <c r="O63" t="s" s="119">
        <v>7</v>
      </c>
      <c r="P63" t="s" s="119">
        <v>8</v>
      </c>
      <c r="Q63" s="30"/>
      <c r="R63" s="121"/>
      <c r="S63" s="121"/>
      <c r="T63" s="30"/>
      <c r="U63" s="121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74"/>
      <c r="BA63" s="16"/>
      <c r="BB63" s="16"/>
      <c r="BC63" s="16"/>
    </row>
    <row r="64" ht="17.5" customHeight="1">
      <c r="A64" s="30"/>
      <c r="B64" s="30"/>
      <c r="C64" s="30"/>
      <c r="D64" s="30"/>
      <c r="E64" s="30"/>
      <c r="F64" s="112">
        <v>7</v>
      </c>
      <c r="G64" s="30"/>
      <c r="H64" t="s" s="83">
        <v>611</v>
      </c>
      <c r="I64" t="s" s="83">
        <v>1802</v>
      </c>
      <c r="J64" t="s" s="83">
        <v>31</v>
      </c>
      <c r="K64" t="s" s="83">
        <v>37</v>
      </c>
      <c r="L64" s="112">
        <v>1891</v>
      </c>
      <c r="M64" s="118">
        <v>30</v>
      </c>
      <c r="N64" t="s" s="119">
        <v>1051</v>
      </c>
      <c r="O64" t="s" s="119">
        <v>2637</v>
      </c>
      <c r="P64" t="s" s="119">
        <v>8</v>
      </c>
      <c r="Q64" s="30"/>
      <c r="R64" s="121"/>
      <c r="S64" s="121"/>
      <c r="T64" s="30"/>
      <c r="U64" s="121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74"/>
      <c r="BA64" s="16"/>
      <c r="BB64" s="16"/>
      <c r="BC64" s="16"/>
    </row>
    <row r="65" ht="17.5" customHeight="1">
      <c r="A65" s="30"/>
      <c r="B65" s="30"/>
      <c r="C65" s="30"/>
      <c r="D65" s="30"/>
      <c r="E65" s="30"/>
      <c r="F65" s="30"/>
      <c r="G65" s="30"/>
      <c r="H65" t="s" s="83">
        <v>2638</v>
      </c>
      <c r="I65" t="s" s="83">
        <v>1802</v>
      </c>
      <c r="J65" t="s" s="83">
        <v>72</v>
      </c>
      <c r="K65" t="s" s="83">
        <v>12</v>
      </c>
      <c r="L65" s="112">
        <v>1891</v>
      </c>
      <c r="M65" s="118">
        <v>29</v>
      </c>
      <c r="N65" t="s" s="119">
        <v>2639</v>
      </c>
      <c r="O65" t="s" s="119">
        <v>33</v>
      </c>
      <c r="P65" t="s" s="119">
        <v>34</v>
      </c>
      <c r="Q65" s="30"/>
      <c r="R65" s="121"/>
      <c r="S65" s="121"/>
      <c r="T65" s="129"/>
      <c r="U65" s="121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74"/>
      <c r="BA65" s="16"/>
      <c r="BB65" s="16"/>
      <c r="BC65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3.xml><?xml version="1.0" encoding="utf-8"?>
<worksheet xmlns:r="http://schemas.openxmlformats.org/officeDocument/2006/relationships" xmlns="http://schemas.openxmlformats.org/spreadsheetml/2006/main">
  <dimension ref="A1:BC126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432" customWidth="1"/>
    <col min="4" max="4" width="17.8516" style="432" customWidth="1"/>
    <col min="5" max="5" width="16.8516" style="432" customWidth="1"/>
    <col min="6" max="6" width="9.85156" style="432" customWidth="1"/>
    <col min="7" max="7" width="10.8516" style="432" customWidth="1"/>
    <col min="8" max="8" width="19.5" style="432" customWidth="1"/>
    <col min="9" max="10" width="10.8516" style="432" customWidth="1"/>
    <col min="11" max="11" width="8.5" style="432" customWidth="1"/>
    <col min="12" max="12" width="7.85156" style="432" customWidth="1"/>
    <col min="13" max="13" width="10" style="432" customWidth="1"/>
    <col min="14" max="14" width="8.67188" style="432" customWidth="1"/>
    <col min="15" max="15" width="10.6719" style="432" customWidth="1"/>
    <col min="16" max="16" width="11.5" style="432" customWidth="1"/>
    <col min="17" max="17" width="11.6719" style="432" customWidth="1"/>
    <col min="18" max="18" width="12.3516" style="432" customWidth="1"/>
    <col min="19" max="19" width="10.8516" style="432" customWidth="1"/>
    <col min="20" max="20" width="15.1719" style="432" customWidth="1"/>
    <col min="21" max="23" width="10.8516" style="432" customWidth="1"/>
    <col min="24" max="24" width="31" style="432" customWidth="1"/>
    <col min="25" max="25" width="19.8516" style="432" customWidth="1"/>
    <col min="26" max="26" width="12.1719" style="432" customWidth="1"/>
    <col min="27" max="30" width="16.5" style="432" customWidth="1"/>
    <col min="31" max="31" width="14.6719" style="432" customWidth="1"/>
    <col min="32" max="32" width="10.8516" style="432" customWidth="1"/>
    <col min="33" max="33" width="11" style="432" customWidth="1"/>
    <col min="34" max="34" width="11.1719" style="432" customWidth="1"/>
    <col min="35" max="35" width="7.85156" style="432" customWidth="1"/>
    <col min="36" max="37" width="10.8516" style="432" customWidth="1"/>
    <col min="38" max="38" width="7.35156" style="432" customWidth="1"/>
    <col min="39" max="39" width="10.8516" style="432" customWidth="1"/>
    <col min="40" max="40" width="9.17188" style="432" customWidth="1"/>
    <col min="41" max="41" width="10.8516" style="432" customWidth="1"/>
    <col min="42" max="42" width="12.5" style="432" customWidth="1"/>
    <col min="43" max="43" width="13" style="432" customWidth="1"/>
    <col min="44" max="55" width="10.8516" style="432" customWidth="1"/>
    <col min="56" max="16384" width="10.8516" style="432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90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1759</v>
      </c>
      <c r="B3" s="111">
        <v>1921</v>
      </c>
      <c r="C3" s="112">
        <v>1</v>
      </c>
      <c r="D3" t="s" s="83">
        <v>2643</v>
      </c>
      <c r="E3" s="141"/>
      <c r="F3" s="29"/>
      <c r="G3" t="s" s="82">
        <v>1</v>
      </c>
      <c r="H3" t="s" s="27">
        <v>0</v>
      </c>
      <c r="I3" s="116"/>
      <c r="J3" t="s" s="98">
        <v>3</v>
      </c>
      <c r="K3" s="62"/>
      <c r="L3" s="62"/>
      <c r="M3" s="117"/>
      <c r="N3" t="s" s="204">
        <v>2</v>
      </c>
      <c r="O3" s="116"/>
      <c r="P3" t="s" s="98">
        <v>4</v>
      </c>
      <c r="Q3" s="62"/>
      <c r="R3" s="62"/>
      <c r="S3" s="62"/>
      <c r="T3" t="s" s="96">
        <v>5</v>
      </c>
      <c r="U3" s="16"/>
      <c r="V3" s="16"/>
      <c r="W3" s="117"/>
      <c r="X3" s="29"/>
      <c r="Y3" s="29"/>
      <c r="Z3" s="29"/>
      <c r="AA3" t="s" s="82">
        <v>7</v>
      </c>
      <c r="AB3" t="s" s="27">
        <v>8</v>
      </c>
      <c r="AC3" s="29"/>
      <c r="AD3" s="29"/>
      <c r="AE3" s="30"/>
      <c r="AF3" t="s" s="27">
        <v>6</v>
      </c>
      <c r="AG3" s="29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1759</v>
      </c>
      <c r="B4" s="112">
        <v>1921</v>
      </c>
      <c r="C4" s="112">
        <v>1</v>
      </c>
      <c r="D4" t="s" s="83">
        <v>2643</v>
      </c>
      <c r="E4" t="s" s="83">
        <v>2644</v>
      </c>
      <c r="F4" s="30"/>
      <c r="G4" t="s" s="159">
        <v>888</v>
      </c>
      <c r="H4" t="s" s="83">
        <v>2645</v>
      </c>
      <c r="I4" s="156">
        <v>1</v>
      </c>
      <c r="J4" t="s" s="96">
        <v>37</v>
      </c>
      <c r="K4" s="79">
        <v>1</v>
      </c>
      <c r="L4" s="16"/>
      <c r="M4" s="75"/>
      <c r="N4" s="112">
        <v>1</v>
      </c>
      <c r="O4" s="74"/>
      <c r="P4" s="16"/>
      <c r="Q4" s="16"/>
      <c r="R4" s="16"/>
      <c r="S4" s="16"/>
      <c r="T4" s="79">
        <v>35</v>
      </c>
      <c r="U4" s="16"/>
      <c r="V4" s="16"/>
      <c r="W4" s="75"/>
      <c r="X4" s="30"/>
      <c r="Y4" s="30"/>
      <c r="Z4" s="30"/>
      <c r="AA4" t="s" s="159">
        <v>2646</v>
      </c>
      <c r="AB4" t="s" s="83">
        <v>2647</v>
      </c>
      <c r="AC4" s="112">
        <v>1</v>
      </c>
      <c r="AD4" s="30"/>
      <c r="AE4" s="30"/>
      <c r="AF4" s="112">
        <v>1</v>
      </c>
      <c r="AG4" s="121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1759</v>
      </c>
      <c r="B5" s="112">
        <v>1921</v>
      </c>
      <c r="C5" s="112">
        <v>1</v>
      </c>
      <c r="D5" t="s" s="83">
        <v>2643</v>
      </c>
      <c r="E5" t="s" s="83">
        <v>2644</v>
      </c>
      <c r="F5" s="30"/>
      <c r="G5" t="s" s="159">
        <v>888</v>
      </c>
      <c r="H5" t="s" s="83">
        <v>2648</v>
      </c>
      <c r="I5" s="156">
        <v>2</v>
      </c>
      <c r="J5" s="79">
        <v>1</v>
      </c>
      <c r="K5" s="16"/>
      <c r="L5" s="16"/>
      <c r="M5" s="75"/>
      <c r="N5" t="s" s="83">
        <v>72</v>
      </c>
      <c r="O5" s="156">
        <v>1</v>
      </c>
      <c r="P5" s="16"/>
      <c r="Q5" s="16"/>
      <c r="R5" s="16"/>
      <c r="S5" s="16"/>
      <c r="T5" s="79">
        <v>33</v>
      </c>
      <c r="U5" s="16"/>
      <c r="V5" s="16"/>
      <c r="W5" s="75"/>
      <c r="X5" s="30"/>
      <c r="Y5" s="30"/>
      <c r="Z5" s="30"/>
      <c r="AA5" t="s" s="159">
        <v>34</v>
      </c>
      <c r="AB5" t="s" s="83">
        <v>34</v>
      </c>
      <c r="AC5" s="30"/>
      <c r="AD5" s="30"/>
      <c r="AE5" s="30"/>
      <c r="AF5" t="s" s="83">
        <v>790</v>
      </c>
      <c r="AG5" s="121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1759</v>
      </c>
      <c r="B6" s="112">
        <v>1921</v>
      </c>
      <c r="C6" s="112">
        <v>1</v>
      </c>
      <c r="D6" t="s" s="83">
        <v>2643</v>
      </c>
      <c r="E6" t="s" s="83">
        <v>2644</v>
      </c>
      <c r="F6" s="30"/>
      <c r="G6" t="s" s="159">
        <v>888</v>
      </c>
      <c r="H6" t="s" s="83">
        <v>2649</v>
      </c>
      <c r="I6" s="156">
        <v>3</v>
      </c>
      <c r="J6" s="16"/>
      <c r="K6" s="16"/>
      <c r="L6" s="79">
        <v>1</v>
      </c>
      <c r="M6" s="75"/>
      <c r="N6" t="s" s="83">
        <v>78</v>
      </c>
      <c r="O6" s="74"/>
      <c r="P6" s="79">
        <v>1</v>
      </c>
      <c r="Q6" s="16"/>
      <c r="R6" s="16"/>
      <c r="S6" s="16"/>
      <c r="T6" s="79">
        <v>1</v>
      </c>
      <c r="U6" s="16"/>
      <c r="V6" s="16"/>
      <c r="W6" s="75"/>
      <c r="X6" s="30"/>
      <c r="Y6" s="30"/>
      <c r="Z6" s="30"/>
      <c r="AA6" t="s" s="159">
        <v>34</v>
      </c>
      <c r="AB6" t="s" s="83">
        <v>34</v>
      </c>
      <c r="AC6" s="30"/>
      <c r="AD6" s="30"/>
      <c r="AE6" s="30"/>
      <c r="AF6" s="112">
        <v>1</v>
      </c>
      <c r="AG6" s="121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1759</v>
      </c>
      <c r="B7" s="112">
        <v>1921</v>
      </c>
      <c r="C7" s="112">
        <v>1</v>
      </c>
      <c r="D7" t="s" s="83">
        <v>2643</v>
      </c>
      <c r="E7" t="s" s="83">
        <v>2644</v>
      </c>
      <c r="F7" s="30"/>
      <c r="G7" t="s" s="159">
        <v>2650</v>
      </c>
      <c r="H7" t="s" s="83">
        <v>1060</v>
      </c>
      <c r="I7" s="156">
        <v>4</v>
      </c>
      <c r="J7" s="79">
        <v>1</v>
      </c>
      <c r="K7" s="16"/>
      <c r="L7" s="16"/>
      <c r="M7" s="75"/>
      <c r="N7" t="s" s="83">
        <v>11</v>
      </c>
      <c r="O7" s="74"/>
      <c r="P7" s="16"/>
      <c r="Q7" s="16"/>
      <c r="R7" s="16"/>
      <c r="S7" s="79">
        <v>1</v>
      </c>
      <c r="T7" s="79">
        <v>22</v>
      </c>
      <c r="U7" s="16"/>
      <c r="V7" s="16"/>
      <c r="W7" s="75"/>
      <c r="X7" s="30"/>
      <c r="Y7" s="30"/>
      <c r="Z7" s="30"/>
      <c r="AA7" t="s" s="159">
        <v>188</v>
      </c>
      <c r="AB7" t="s" s="83">
        <v>15</v>
      </c>
      <c r="AC7" s="112">
        <v>1</v>
      </c>
      <c r="AD7" s="30"/>
      <c r="AE7" s="30"/>
      <c r="AF7" t="s" s="83">
        <v>2651</v>
      </c>
      <c r="AG7" s="121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1759</v>
      </c>
      <c r="B8" s="112">
        <v>1921</v>
      </c>
      <c r="C8" s="30"/>
      <c r="D8" t="s" s="83">
        <v>2643</v>
      </c>
      <c r="E8" s="30"/>
      <c r="F8" s="30"/>
      <c r="G8" s="122"/>
      <c r="H8" s="112">
        <v>4</v>
      </c>
      <c r="I8" s="74"/>
      <c r="J8" s="16"/>
      <c r="K8" s="16"/>
      <c r="L8" s="16"/>
      <c r="M8" s="75"/>
      <c r="N8" s="30"/>
      <c r="O8" s="74"/>
      <c r="P8" s="16"/>
      <c r="Q8" s="16"/>
      <c r="R8" s="16"/>
      <c r="S8" s="16"/>
      <c r="T8" s="16"/>
      <c r="U8" s="16"/>
      <c r="V8" s="16"/>
      <c r="W8" s="75"/>
      <c r="X8" s="30"/>
      <c r="Y8" s="30"/>
      <c r="Z8" s="30"/>
      <c r="AA8" s="122"/>
      <c r="AB8" s="30"/>
      <c r="AC8" s="30"/>
      <c r="AD8" s="30"/>
      <c r="AE8" s="30"/>
      <c r="AF8" s="30"/>
      <c r="AG8" s="121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1759</v>
      </c>
      <c r="B9" s="112">
        <v>1921</v>
      </c>
      <c r="C9" s="30"/>
      <c r="D9" t="s" s="83">
        <v>2643</v>
      </c>
      <c r="E9" s="30"/>
      <c r="F9" s="30"/>
      <c r="G9" t="s" s="330">
        <v>1</v>
      </c>
      <c r="H9" t="s" s="83">
        <v>0</v>
      </c>
      <c r="I9" s="192"/>
      <c r="J9" t="s" s="2">
        <v>3</v>
      </c>
      <c r="K9" s="3"/>
      <c r="L9" s="3"/>
      <c r="M9" s="193"/>
      <c r="N9" t="s" s="83">
        <v>2</v>
      </c>
      <c r="O9" s="192"/>
      <c r="P9" s="3"/>
      <c r="Q9" s="3"/>
      <c r="R9" s="3"/>
      <c r="S9" s="3"/>
      <c r="T9" t="s" s="2">
        <v>5</v>
      </c>
      <c r="U9" s="3"/>
      <c r="V9" s="3"/>
      <c r="W9" s="193"/>
      <c r="X9" s="30"/>
      <c r="Y9" s="30"/>
      <c r="Z9" s="30"/>
      <c r="AA9" t="s" s="330">
        <v>7</v>
      </c>
      <c r="AB9" t="s" s="83">
        <v>8</v>
      </c>
      <c r="AC9" s="30"/>
      <c r="AD9" s="30"/>
      <c r="AE9" s="30"/>
      <c r="AF9" t="s" s="83">
        <v>6</v>
      </c>
      <c r="AG9" s="12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192"/>
      <c r="BA9" s="3"/>
      <c r="BB9" s="3"/>
      <c r="BC9" s="3"/>
    </row>
    <row r="10" ht="17.5" customHeight="1">
      <c r="A10" t="s" s="83">
        <v>1759</v>
      </c>
      <c r="B10" s="112">
        <v>1921</v>
      </c>
      <c r="C10" s="112">
        <v>2</v>
      </c>
      <c r="D10" t="s" s="83">
        <v>2643</v>
      </c>
      <c r="E10" t="s" s="83">
        <v>2652</v>
      </c>
      <c r="F10" s="30"/>
      <c r="G10" t="s" s="314">
        <v>2653</v>
      </c>
      <c r="H10" t="s" s="83">
        <v>2654</v>
      </c>
      <c r="I10" s="313">
        <v>5</v>
      </c>
      <c r="J10" s="6">
        <v>1</v>
      </c>
      <c r="K10" s="13"/>
      <c r="L10" s="13"/>
      <c r="M10" s="196"/>
      <c r="N10" s="112">
        <v>1</v>
      </c>
      <c r="O10" s="195"/>
      <c r="P10" s="13"/>
      <c r="Q10" s="13"/>
      <c r="R10" s="13"/>
      <c r="S10" s="13"/>
      <c r="T10" s="6">
        <v>34</v>
      </c>
      <c r="U10" s="13"/>
      <c r="V10" s="13"/>
      <c r="W10" s="196"/>
      <c r="X10" s="30"/>
      <c r="Y10" s="30"/>
      <c r="Z10" s="30"/>
      <c r="AA10" t="s" s="314">
        <v>2655</v>
      </c>
      <c r="AB10" t="s" s="83">
        <v>2656</v>
      </c>
      <c r="AC10" s="112">
        <v>1</v>
      </c>
      <c r="AD10" s="30"/>
      <c r="AE10" s="30"/>
      <c r="AF10" t="s" s="83">
        <v>2657</v>
      </c>
      <c r="AG10" s="36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195"/>
      <c r="BA10" s="13"/>
      <c r="BB10" s="13"/>
      <c r="BC10" s="10"/>
    </row>
    <row r="11" ht="17.5" customHeight="1">
      <c r="A11" t="s" s="83">
        <v>1759</v>
      </c>
      <c r="B11" s="112">
        <v>1921</v>
      </c>
      <c r="C11" s="112">
        <v>2</v>
      </c>
      <c r="D11" t="s" s="83">
        <v>2643</v>
      </c>
      <c r="E11" t="s" s="83">
        <v>2652</v>
      </c>
      <c r="F11" s="30"/>
      <c r="G11" t="s" s="317">
        <v>2172</v>
      </c>
      <c r="H11" t="s" s="83">
        <v>153</v>
      </c>
      <c r="I11" s="316">
        <v>6</v>
      </c>
      <c r="J11" t="s" s="285">
        <v>37</v>
      </c>
      <c r="K11" s="264">
        <v>1</v>
      </c>
      <c r="L11" s="14"/>
      <c r="M11" s="201"/>
      <c r="N11" t="s" s="83">
        <v>65</v>
      </c>
      <c r="O11" s="200"/>
      <c r="P11" s="14"/>
      <c r="Q11" s="14"/>
      <c r="R11" s="264">
        <v>1</v>
      </c>
      <c r="S11" s="14"/>
      <c r="T11" s="264">
        <v>68</v>
      </c>
      <c r="U11" s="14"/>
      <c r="V11" s="14"/>
      <c r="W11" s="201"/>
      <c r="X11" s="30"/>
      <c r="Y11" s="30"/>
      <c r="Z11" s="30"/>
      <c r="AA11" t="s" s="317">
        <v>707</v>
      </c>
      <c r="AB11" t="s" s="83">
        <v>2658</v>
      </c>
      <c r="AC11" s="112">
        <v>1</v>
      </c>
      <c r="AD11" s="30"/>
      <c r="AE11" s="30"/>
      <c r="AF11" t="s" s="83">
        <v>2659</v>
      </c>
      <c r="AG11" s="121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200"/>
      <c r="BA11" s="14"/>
      <c r="BB11" s="14"/>
      <c r="BC11" s="14"/>
    </row>
    <row r="12" ht="17" customHeight="1">
      <c r="A12" t="s" s="83">
        <v>1759</v>
      </c>
      <c r="B12" s="112">
        <v>1921</v>
      </c>
      <c r="C12" s="112">
        <v>2</v>
      </c>
      <c r="D12" t="s" s="83">
        <v>2643</v>
      </c>
      <c r="E12" t="s" s="83">
        <v>2652</v>
      </c>
      <c r="F12" s="30"/>
      <c r="G12" t="s" s="159">
        <v>2172</v>
      </c>
      <c r="H12" t="s" s="83">
        <v>2660</v>
      </c>
      <c r="I12" s="156">
        <v>7</v>
      </c>
      <c r="J12" s="79">
        <v>1</v>
      </c>
      <c r="K12" s="16"/>
      <c r="L12" s="16"/>
      <c r="M12" s="75"/>
      <c r="N12" t="s" s="83">
        <v>11</v>
      </c>
      <c r="O12" s="74"/>
      <c r="P12" s="16"/>
      <c r="Q12" s="16"/>
      <c r="R12" s="16"/>
      <c r="S12" s="79">
        <v>1</v>
      </c>
      <c r="T12" s="79">
        <v>22</v>
      </c>
      <c r="U12" s="16"/>
      <c r="V12" s="16"/>
      <c r="W12" s="75"/>
      <c r="X12" s="112" cm="1">
        <f t="array" ref="X12">SUM(X3:X11)</f>
        <v>0</v>
      </c>
      <c r="Y12" s="112" cm="1">
        <f t="array" ref="Y12">SUM(Y3:Y11)</f>
        <v>0</v>
      </c>
      <c r="Z12" s="112" cm="1">
        <f t="array" ref="Z12">SUM(Z3:Z11)</f>
        <v>0</v>
      </c>
      <c r="AA12" t="s" s="159">
        <v>105</v>
      </c>
      <c r="AB12" t="s" s="83">
        <v>15</v>
      </c>
      <c r="AC12" s="112">
        <v>1</v>
      </c>
      <c r="AD12" s="30"/>
      <c r="AE12" s="30"/>
      <c r="AF12" t="s" s="83">
        <v>2661</v>
      </c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1759</v>
      </c>
      <c r="B13" s="112">
        <v>1921</v>
      </c>
      <c r="C13" s="30"/>
      <c r="D13" t="s" s="83">
        <v>2643</v>
      </c>
      <c r="E13" s="30"/>
      <c r="F13" s="30"/>
      <c r="G13" s="122"/>
      <c r="H13" s="112">
        <v>3</v>
      </c>
      <c r="I13" s="74"/>
      <c r="J13" s="16"/>
      <c r="K13" s="16"/>
      <c r="L13" s="16"/>
      <c r="M13" s="75"/>
      <c r="N13" s="30"/>
      <c r="O13" s="74"/>
      <c r="P13" s="16"/>
      <c r="Q13" s="16"/>
      <c r="R13" s="16"/>
      <c r="S13" s="16"/>
      <c r="T13" s="16"/>
      <c r="U13" s="16"/>
      <c r="V13" s="16"/>
      <c r="W13" s="75"/>
      <c r="X13" s="30"/>
      <c r="Y13" s="30"/>
      <c r="Z13" s="30"/>
      <c r="AA13" s="122"/>
      <c r="AB13" s="30"/>
      <c r="AC13" s="30"/>
      <c r="AD13" s="30"/>
      <c r="AE13" s="30"/>
      <c r="AF13" s="30"/>
      <c r="AG13" s="121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1759</v>
      </c>
      <c r="B14" s="112">
        <v>1921</v>
      </c>
      <c r="C14" s="30"/>
      <c r="D14" t="s" s="83">
        <v>2643</v>
      </c>
      <c r="E14" s="30"/>
      <c r="F14" s="30"/>
      <c r="G14" t="s" s="159">
        <v>1</v>
      </c>
      <c r="H14" t="s" s="83">
        <v>0</v>
      </c>
      <c r="I14" s="74"/>
      <c r="J14" t="s" s="96">
        <v>3</v>
      </c>
      <c r="K14" s="16"/>
      <c r="L14" s="16"/>
      <c r="M14" s="75"/>
      <c r="N14" t="s" s="83">
        <v>2</v>
      </c>
      <c r="O14" s="74"/>
      <c r="P14" s="16"/>
      <c r="Q14" s="16"/>
      <c r="R14" s="16"/>
      <c r="S14" s="16"/>
      <c r="T14" t="s" s="96">
        <v>5</v>
      </c>
      <c r="U14" s="16"/>
      <c r="V14" s="16"/>
      <c r="W14" s="75"/>
      <c r="X14" s="30"/>
      <c r="Y14" s="30"/>
      <c r="Z14" s="30"/>
      <c r="AA14" t="s" s="159">
        <v>7</v>
      </c>
      <c r="AB14" t="s" s="83">
        <v>8</v>
      </c>
      <c r="AC14" s="30"/>
      <c r="AD14" s="30"/>
      <c r="AE14" s="30"/>
      <c r="AF14" t="s" s="83">
        <v>6</v>
      </c>
      <c r="AG14" s="121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1759</v>
      </c>
      <c r="B15" s="112">
        <v>1921</v>
      </c>
      <c r="C15" s="112">
        <v>3</v>
      </c>
      <c r="D15" t="s" s="83">
        <v>2643</v>
      </c>
      <c r="E15" t="s" s="433">
        <v>2662</v>
      </c>
      <c r="F15" s="28"/>
      <c r="G15" t="s" s="159">
        <v>2663</v>
      </c>
      <c r="H15" t="s" s="148">
        <v>1568</v>
      </c>
      <c r="I15" s="156">
        <v>8</v>
      </c>
      <c r="J15" t="s" s="96">
        <v>37</v>
      </c>
      <c r="K15" s="79">
        <v>1</v>
      </c>
      <c r="L15" s="16"/>
      <c r="M15" s="75"/>
      <c r="N15" s="346">
        <v>1</v>
      </c>
      <c r="O15" s="74"/>
      <c r="P15" s="16"/>
      <c r="Q15" s="16"/>
      <c r="R15" s="16"/>
      <c r="S15" s="16"/>
      <c r="T15" s="79">
        <v>77</v>
      </c>
      <c r="U15" s="16"/>
      <c r="V15" s="16"/>
      <c r="W15" s="75"/>
      <c r="X15" s="28"/>
      <c r="Y15" s="28"/>
      <c r="Z15" s="28"/>
      <c r="AA15" t="s" s="159">
        <v>2664</v>
      </c>
      <c r="AB15" t="s" s="148">
        <v>8</v>
      </c>
      <c r="AC15" s="307">
        <v>1</v>
      </c>
      <c r="AD15" s="307">
        <v>1</v>
      </c>
      <c r="AE15" s="30"/>
      <c r="AF15" s="307">
        <v>1</v>
      </c>
      <c r="AG15" s="2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28" customHeight="1">
      <c r="A16" t="s" s="83">
        <v>1759</v>
      </c>
      <c r="B16" s="112">
        <v>1921</v>
      </c>
      <c r="C16" s="112">
        <v>3</v>
      </c>
      <c r="D16" t="s" s="83">
        <v>2643</v>
      </c>
      <c r="E16" t="s" s="433">
        <v>2662</v>
      </c>
      <c r="F16" s="28"/>
      <c r="G16" t="s" s="110">
        <v>2663</v>
      </c>
      <c r="H16" t="s" s="148">
        <v>1281</v>
      </c>
      <c r="I16" s="156">
        <v>9</v>
      </c>
      <c r="J16" s="126">
        <v>1</v>
      </c>
      <c r="K16" s="16"/>
      <c r="L16" s="16"/>
      <c r="M16" s="16"/>
      <c r="N16" t="s" s="431">
        <v>72</v>
      </c>
      <c r="O16" s="79">
        <v>1</v>
      </c>
      <c r="P16" s="132"/>
      <c r="Q16" s="16"/>
      <c r="R16" s="16"/>
      <c r="S16" s="16"/>
      <c r="T16" s="126">
        <v>77</v>
      </c>
      <c r="U16" s="16"/>
      <c r="V16" s="16"/>
      <c r="W16" s="75"/>
      <c r="X16" s="28"/>
      <c r="Y16" s="28"/>
      <c r="Z16" s="28"/>
      <c r="AA16" t="s" s="160">
        <v>33</v>
      </c>
      <c r="AB16" t="s" s="151">
        <v>34</v>
      </c>
      <c r="AC16" s="28"/>
      <c r="AD16" s="124"/>
      <c r="AE16" s="30"/>
      <c r="AF16" s="307">
        <v>1</v>
      </c>
      <c r="AG16" s="28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1759</v>
      </c>
      <c r="B17" s="112">
        <v>1921</v>
      </c>
      <c r="C17" s="112">
        <v>3</v>
      </c>
      <c r="D17" t="s" s="83">
        <v>2643</v>
      </c>
      <c r="E17" t="s" s="433">
        <v>2662</v>
      </c>
      <c r="F17" s="30"/>
      <c r="G17" t="s" s="83">
        <v>2663</v>
      </c>
      <c r="H17" t="s" s="83">
        <v>1525</v>
      </c>
      <c r="I17" s="120">
        <v>10</v>
      </c>
      <c r="J17" s="112">
        <v>1</v>
      </c>
      <c r="K17" s="74"/>
      <c r="L17" s="16"/>
      <c r="M17" s="75"/>
      <c r="N17" t="s" s="83">
        <v>78</v>
      </c>
      <c r="O17" s="122"/>
      <c r="P17" s="112">
        <v>1</v>
      </c>
      <c r="Q17" s="74"/>
      <c r="R17" s="16"/>
      <c r="S17" s="75"/>
      <c r="T17" s="112">
        <v>47</v>
      </c>
      <c r="U17" s="74"/>
      <c r="V17" s="16"/>
      <c r="W17" s="75"/>
      <c r="X17" s="112" cm="1">
        <f t="array" ref="X17">SUM(X3:X16)</f>
        <v>0</v>
      </c>
      <c r="Y17" s="112" cm="1">
        <f t="array" ref="Y17">SUM(Y3:Y16)</f>
        <v>0</v>
      </c>
      <c r="Z17" s="112" cm="1">
        <f t="array" ref="Z17">SUM(Z3:Z16)</f>
        <v>0</v>
      </c>
      <c r="AA17" t="s" s="83">
        <v>34</v>
      </c>
      <c r="AB17" t="s" s="83">
        <v>34</v>
      </c>
      <c r="AC17" s="30"/>
      <c r="AD17" s="30"/>
      <c r="AE17" s="30"/>
      <c r="AF17" s="112">
        <v>1</v>
      </c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1759</v>
      </c>
      <c r="B18" s="112">
        <v>1921</v>
      </c>
      <c r="C18" s="112">
        <v>3</v>
      </c>
      <c r="D18" t="s" s="83">
        <v>2643</v>
      </c>
      <c r="E18" t="s" s="433">
        <v>2662</v>
      </c>
      <c r="F18" s="30"/>
      <c r="G18" t="s" s="83">
        <v>2665</v>
      </c>
      <c r="H18" t="s" s="83">
        <v>537</v>
      </c>
      <c r="I18" s="120">
        <v>11</v>
      </c>
      <c r="J18" s="112">
        <v>1</v>
      </c>
      <c r="K18" s="74"/>
      <c r="L18" s="16"/>
      <c r="M18" s="75"/>
      <c r="N18" t="s" s="83">
        <v>11</v>
      </c>
      <c r="O18" s="122"/>
      <c r="P18" s="30"/>
      <c r="Q18" s="74"/>
      <c r="R18" s="16"/>
      <c r="S18" s="123">
        <v>1</v>
      </c>
      <c r="T18" s="118">
        <v>49</v>
      </c>
      <c r="U18" s="74"/>
      <c r="V18" s="16"/>
      <c r="W18" s="75"/>
      <c r="X18" s="30"/>
      <c r="Y18" s="30"/>
      <c r="Z18" s="30"/>
      <c r="AA18" t="s" s="119">
        <v>188</v>
      </c>
      <c r="AB18" t="s" s="119">
        <v>15</v>
      </c>
      <c r="AC18" s="30"/>
      <c r="AD18" s="30"/>
      <c r="AE18" s="30"/>
      <c r="AF18" t="s" s="119">
        <v>2666</v>
      </c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1759</v>
      </c>
      <c r="B19" s="112">
        <v>1921</v>
      </c>
      <c r="C19" s="30"/>
      <c r="D19" t="s" s="83">
        <v>2643</v>
      </c>
      <c r="E19" s="30"/>
      <c r="F19" s="30"/>
      <c r="G19" s="30"/>
      <c r="H19" s="112">
        <v>4</v>
      </c>
      <c r="I19" s="122"/>
      <c r="J19" s="30"/>
      <c r="K19" s="74"/>
      <c r="L19" s="16"/>
      <c r="M19" s="75"/>
      <c r="N19" s="30"/>
      <c r="O19" s="122"/>
      <c r="P19" s="30"/>
      <c r="Q19" s="74"/>
      <c r="R19" s="16"/>
      <c r="S19" s="75"/>
      <c r="T19" s="121"/>
      <c r="U19" s="74"/>
      <c r="V19" s="16"/>
      <c r="W19" s="75"/>
      <c r="X19" s="30"/>
      <c r="Y19" s="30"/>
      <c r="Z19" s="30"/>
      <c r="AA19" s="121"/>
      <c r="AB19" s="121"/>
      <c r="AC19" s="30"/>
      <c r="AD19" s="30"/>
      <c r="AE19" s="30"/>
      <c r="AF19" s="121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1759</v>
      </c>
      <c r="B20" s="112">
        <v>1921</v>
      </c>
      <c r="C20" s="30"/>
      <c r="D20" t="s" s="83">
        <v>2643</v>
      </c>
      <c r="E20" s="30"/>
      <c r="F20" s="30"/>
      <c r="G20" t="s" s="83">
        <v>1</v>
      </c>
      <c r="H20" t="s" s="83">
        <v>0</v>
      </c>
      <c r="I20" s="122"/>
      <c r="J20" t="s" s="83">
        <v>3</v>
      </c>
      <c r="K20" s="74"/>
      <c r="L20" s="16"/>
      <c r="M20" s="75"/>
      <c r="N20" t="s" s="83">
        <v>2</v>
      </c>
      <c r="O20" s="122"/>
      <c r="P20" s="30"/>
      <c r="Q20" s="74"/>
      <c r="R20" s="16"/>
      <c r="S20" s="75"/>
      <c r="T20" t="s" s="119">
        <v>5</v>
      </c>
      <c r="U20" s="74"/>
      <c r="V20" s="16"/>
      <c r="W20" s="75"/>
      <c r="X20" s="30"/>
      <c r="Y20" s="30"/>
      <c r="Z20" s="30"/>
      <c r="AA20" t="s" s="119">
        <v>7</v>
      </c>
      <c r="AB20" t="s" s="119">
        <v>8</v>
      </c>
      <c r="AC20" s="30"/>
      <c r="AD20" s="30"/>
      <c r="AE20" s="30"/>
      <c r="AF20" t="s" s="119">
        <v>6</v>
      </c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1759</v>
      </c>
      <c r="B21" s="112">
        <v>1921</v>
      </c>
      <c r="C21" s="112">
        <v>4</v>
      </c>
      <c r="D21" t="s" s="83">
        <v>2643</v>
      </c>
      <c r="E21" t="s" s="83">
        <v>2667</v>
      </c>
      <c r="F21" s="29"/>
      <c r="G21" t="s" s="27">
        <v>901</v>
      </c>
      <c r="H21" t="s" s="27">
        <v>2668</v>
      </c>
      <c r="I21" s="120">
        <v>12</v>
      </c>
      <c r="J21" t="s" s="27">
        <v>37</v>
      </c>
      <c r="K21" s="156">
        <v>1</v>
      </c>
      <c r="L21" s="16"/>
      <c r="M21" s="75"/>
      <c r="N21" s="114">
        <v>1</v>
      </c>
      <c r="O21" s="122"/>
      <c r="P21" s="29"/>
      <c r="Q21" s="74"/>
      <c r="R21" s="16"/>
      <c r="S21" s="75"/>
      <c r="T21" s="114">
        <v>52</v>
      </c>
      <c r="U21" s="74"/>
      <c r="V21" s="16"/>
      <c r="W21" s="75"/>
      <c r="X21" s="30"/>
      <c r="Y21" s="30"/>
      <c r="Z21" s="30"/>
      <c r="AA21" t="s" s="27">
        <v>2669</v>
      </c>
      <c r="AB21" t="s" s="27">
        <v>8</v>
      </c>
      <c r="AC21" s="112">
        <v>1</v>
      </c>
      <c r="AD21" s="112">
        <v>1</v>
      </c>
      <c r="AE21" s="30"/>
      <c r="AF21" t="s" s="27">
        <v>2670</v>
      </c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1759</v>
      </c>
      <c r="B22" s="112">
        <v>1921</v>
      </c>
      <c r="C22" s="112">
        <v>4</v>
      </c>
      <c r="D22" t="s" s="83">
        <v>2643</v>
      </c>
      <c r="E22" t="s" s="83">
        <v>2667</v>
      </c>
      <c r="F22" s="30"/>
      <c r="G22" t="s" s="83">
        <v>901</v>
      </c>
      <c r="H22" t="s" s="83">
        <v>2671</v>
      </c>
      <c r="I22" s="120">
        <v>13</v>
      </c>
      <c r="J22" s="112">
        <v>1</v>
      </c>
      <c r="K22" s="74"/>
      <c r="L22" s="16"/>
      <c r="M22" s="75"/>
      <c r="N22" t="s" s="83">
        <v>72</v>
      </c>
      <c r="O22" s="120">
        <v>1</v>
      </c>
      <c r="P22" s="30"/>
      <c r="Q22" s="74"/>
      <c r="R22" s="16"/>
      <c r="S22" s="75"/>
      <c r="T22" s="118">
        <v>44</v>
      </c>
      <c r="U22" s="74"/>
      <c r="V22" s="16"/>
      <c r="W22" s="75"/>
      <c r="X22" s="30"/>
      <c r="Y22" s="30"/>
      <c r="Z22" s="30"/>
      <c r="AA22" t="s" s="119">
        <v>33</v>
      </c>
      <c r="AB22" t="s" s="119">
        <v>34</v>
      </c>
      <c r="AC22" s="30"/>
      <c r="AD22" s="30"/>
      <c r="AE22" s="30"/>
      <c r="AF22" t="s" s="119">
        <v>155</v>
      </c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1759</v>
      </c>
      <c r="B23" s="112">
        <v>1921</v>
      </c>
      <c r="C23" s="112">
        <v>4</v>
      </c>
      <c r="D23" t="s" s="83">
        <v>2643</v>
      </c>
      <c r="E23" t="s" s="83">
        <v>2667</v>
      </c>
      <c r="F23" s="30"/>
      <c r="G23" t="s" s="83">
        <v>901</v>
      </c>
      <c r="H23" t="s" s="83">
        <v>2672</v>
      </c>
      <c r="I23" s="120">
        <v>14</v>
      </c>
      <c r="J23" s="30"/>
      <c r="K23" s="74"/>
      <c r="L23" s="79">
        <v>1</v>
      </c>
      <c r="M23" s="75"/>
      <c r="N23" t="s" s="83">
        <v>78</v>
      </c>
      <c r="O23" s="122"/>
      <c r="P23" s="112">
        <v>1</v>
      </c>
      <c r="Q23" s="74"/>
      <c r="R23" s="16"/>
      <c r="S23" s="75"/>
      <c r="T23" s="118">
        <v>12</v>
      </c>
      <c r="U23" s="74"/>
      <c r="V23" s="16"/>
      <c r="W23" s="75"/>
      <c r="X23" s="30"/>
      <c r="Y23" s="30"/>
      <c r="Z23" s="30"/>
      <c r="AA23" t="s" s="119">
        <v>34</v>
      </c>
      <c r="AB23" t="s" s="119">
        <v>34</v>
      </c>
      <c r="AC23" s="30"/>
      <c r="AD23" s="30"/>
      <c r="AE23" s="30"/>
      <c r="AF23" t="s" s="119">
        <v>2673</v>
      </c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t="s" s="83">
        <v>1759</v>
      </c>
      <c r="B24" s="112">
        <v>1921</v>
      </c>
      <c r="C24" s="112">
        <v>4</v>
      </c>
      <c r="D24" t="s" s="83">
        <v>2643</v>
      </c>
      <c r="E24" t="s" s="83">
        <v>2667</v>
      </c>
      <c r="F24" s="30"/>
      <c r="G24" t="s" s="83">
        <v>901</v>
      </c>
      <c r="H24" t="s" s="83">
        <v>2674</v>
      </c>
      <c r="I24" s="120">
        <v>15</v>
      </c>
      <c r="J24" t="s" s="83">
        <v>37</v>
      </c>
      <c r="K24" s="74"/>
      <c r="L24" s="16"/>
      <c r="M24" s="123">
        <v>1</v>
      </c>
      <c r="N24" t="s" s="83">
        <v>36</v>
      </c>
      <c r="O24" s="122"/>
      <c r="P24" s="30"/>
      <c r="Q24" s="156">
        <v>1</v>
      </c>
      <c r="R24" s="16"/>
      <c r="S24" s="75"/>
      <c r="T24" s="118">
        <v>10</v>
      </c>
      <c r="U24" s="74"/>
      <c r="V24" s="16"/>
      <c r="W24" s="75"/>
      <c r="X24" s="30"/>
      <c r="Y24" s="30"/>
      <c r="Z24" s="30"/>
      <c r="AA24" t="s" s="119">
        <v>34</v>
      </c>
      <c r="AB24" t="s" s="119">
        <v>34</v>
      </c>
      <c r="AC24" s="30"/>
      <c r="AD24" s="30"/>
      <c r="AE24" s="30"/>
      <c r="AF24" t="s" s="119">
        <v>2673</v>
      </c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t="s" s="83">
        <v>1759</v>
      </c>
      <c r="B25" s="112">
        <v>1921</v>
      </c>
      <c r="C25" s="112">
        <v>4</v>
      </c>
      <c r="D25" t="s" s="83">
        <v>2643</v>
      </c>
      <c r="E25" t="s" s="83">
        <v>2667</v>
      </c>
      <c r="F25" s="30"/>
      <c r="G25" t="s" s="83">
        <v>901</v>
      </c>
      <c r="H25" t="s" s="83">
        <v>2675</v>
      </c>
      <c r="I25" s="120">
        <v>16</v>
      </c>
      <c r="J25" s="30"/>
      <c r="K25" s="74"/>
      <c r="L25" s="79">
        <v>1</v>
      </c>
      <c r="M25" s="75"/>
      <c r="N25" t="s" s="83">
        <v>78</v>
      </c>
      <c r="O25" s="122"/>
      <c r="P25" s="112">
        <v>1</v>
      </c>
      <c r="Q25" s="74"/>
      <c r="R25" s="16"/>
      <c r="S25" s="75"/>
      <c r="T25" s="118">
        <v>9</v>
      </c>
      <c r="U25" s="74"/>
      <c r="V25" s="16"/>
      <c r="W25" s="75"/>
      <c r="X25" s="30"/>
      <c r="Y25" s="30"/>
      <c r="Z25" s="30"/>
      <c r="AA25" t="s" s="119">
        <v>34</v>
      </c>
      <c r="AB25" t="s" s="119">
        <v>34</v>
      </c>
      <c r="AC25" s="30"/>
      <c r="AD25" s="30"/>
      <c r="AE25" s="30"/>
      <c r="AF25" s="118">
        <v>1</v>
      </c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t="s" s="83">
        <v>1759</v>
      </c>
      <c r="B26" s="112">
        <v>1921</v>
      </c>
      <c r="C26" s="112">
        <v>4</v>
      </c>
      <c r="D26" t="s" s="83">
        <v>2643</v>
      </c>
      <c r="E26" t="s" s="83">
        <v>2667</v>
      </c>
      <c r="F26" s="30"/>
      <c r="G26" t="s" s="83">
        <v>801</v>
      </c>
      <c r="H26" t="s" s="83">
        <v>2676</v>
      </c>
      <c r="I26" s="120">
        <v>17</v>
      </c>
      <c r="J26" s="112">
        <v>1</v>
      </c>
      <c r="K26" s="74"/>
      <c r="L26" s="16"/>
      <c r="M26" s="75"/>
      <c r="N26" t="s" s="83">
        <v>11</v>
      </c>
      <c r="O26" s="122"/>
      <c r="P26" s="30"/>
      <c r="Q26" s="74"/>
      <c r="R26" s="16"/>
      <c r="S26" s="123">
        <v>1</v>
      </c>
      <c r="T26" s="118">
        <v>18</v>
      </c>
      <c r="U26" s="74"/>
      <c r="V26" s="16"/>
      <c r="W26" s="75"/>
      <c r="X26" s="30"/>
      <c r="Y26" s="30"/>
      <c r="Z26" s="30"/>
      <c r="AA26" t="s" s="119">
        <v>105</v>
      </c>
      <c r="AB26" t="s" s="119">
        <v>2677</v>
      </c>
      <c r="AC26" s="112">
        <v>1</v>
      </c>
      <c r="AD26" s="30"/>
      <c r="AE26" s="30"/>
      <c r="AF26" t="s" s="119">
        <v>1013</v>
      </c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1759</v>
      </c>
      <c r="B27" s="112">
        <v>1921</v>
      </c>
      <c r="C27" s="30"/>
      <c r="D27" t="s" s="83">
        <v>2643</v>
      </c>
      <c r="E27" s="30"/>
      <c r="F27" s="30"/>
      <c r="G27" s="30"/>
      <c r="H27" s="112">
        <v>6</v>
      </c>
      <c r="I27" s="122"/>
      <c r="J27" s="30"/>
      <c r="K27" s="74"/>
      <c r="L27" s="16"/>
      <c r="M27" s="75"/>
      <c r="N27" s="30"/>
      <c r="O27" s="122"/>
      <c r="P27" s="30"/>
      <c r="Q27" s="74"/>
      <c r="R27" s="16"/>
      <c r="S27" s="75"/>
      <c r="T27" s="121"/>
      <c r="U27" s="74"/>
      <c r="V27" s="16"/>
      <c r="W27" s="75"/>
      <c r="X27" s="30"/>
      <c r="Y27" s="30"/>
      <c r="Z27" s="30"/>
      <c r="AA27" s="121"/>
      <c r="AB27" s="121"/>
      <c r="AC27" s="30"/>
      <c r="AD27" s="30"/>
      <c r="AE27" s="30"/>
      <c r="AF27" s="121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t="s" s="83">
        <v>1759</v>
      </c>
      <c r="B28" s="112">
        <v>1921</v>
      </c>
      <c r="C28" s="30"/>
      <c r="D28" t="s" s="83">
        <v>2643</v>
      </c>
      <c r="E28" s="30"/>
      <c r="F28" s="30"/>
      <c r="G28" t="s" s="83">
        <v>1</v>
      </c>
      <c r="H28" t="s" s="83">
        <v>0</v>
      </c>
      <c r="I28" s="122"/>
      <c r="J28" t="s" s="83">
        <v>3</v>
      </c>
      <c r="K28" s="74"/>
      <c r="L28" s="16"/>
      <c r="M28" s="75"/>
      <c r="N28" t="s" s="83">
        <v>2</v>
      </c>
      <c r="O28" s="122"/>
      <c r="P28" s="30"/>
      <c r="Q28" s="74"/>
      <c r="R28" s="16"/>
      <c r="S28" s="75"/>
      <c r="T28" t="s" s="119">
        <v>5</v>
      </c>
      <c r="U28" s="74"/>
      <c r="V28" s="16"/>
      <c r="W28" s="75"/>
      <c r="X28" s="30"/>
      <c r="Y28" s="30"/>
      <c r="Z28" s="30"/>
      <c r="AA28" t="s" s="119">
        <v>7</v>
      </c>
      <c r="AB28" t="s" s="119">
        <v>8</v>
      </c>
      <c r="AC28" s="30"/>
      <c r="AD28" s="30"/>
      <c r="AE28" s="30"/>
      <c r="AF28" t="s" s="119">
        <v>6</v>
      </c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1759</v>
      </c>
      <c r="B29" s="112">
        <v>1921</v>
      </c>
      <c r="C29" s="112">
        <v>5</v>
      </c>
      <c r="D29" t="s" s="83">
        <v>2643</v>
      </c>
      <c r="E29" t="s" s="83">
        <v>2678</v>
      </c>
      <c r="F29" s="30"/>
      <c r="G29" t="s" s="83">
        <v>901</v>
      </c>
      <c r="H29" t="s" s="83">
        <v>2668</v>
      </c>
      <c r="I29" s="120">
        <v>18</v>
      </c>
      <c r="J29" t="s" s="83">
        <v>37</v>
      </c>
      <c r="K29" s="156">
        <v>1</v>
      </c>
      <c r="L29" s="16"/>
      <c r="M29" s="75"/>
      <c r="N29" s="112">
        <v>1</v>
      </c>
      <c r="O29" s="122"/>
      <c r="P29" s="30"/>
      <c r="Q29" s="74"/>
      <c r="R29" s="16"/>
      <c r="S29" s="75"/>
      <c r="T29" s="118">
        <v>52</v>
      </c>
      <c r="U29" s="74"/>
      <c r="V29" s="16"/>
      <c r="W29" s="75"/>
      <c r="X29" s="30"/>
      <c r="Y29" s="30"/>
      <c r="Z29" s="30"/>
      <c r="AA29" t="s" s="119">
        <v>2669</v>
      </c>
      <c r="AB29" t="s" s="119">
        <v>8</v>
      </c>
      <c r="AC29" s="112">
        <v>1</v>
      </c>
      <c r="AD29" s="112">
        <v>1</v>
      </c>
      <c r="AE29" s="30"/>
      <c r="AF29" t="s" s="119">
        <v>2670</v>
      </c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3">
        <v>1759</v>
      </c>
      <c r="B30" s="112">
        <v>1921</v>
      </c>
      <c r="C30" s="112">
        <v>5</v>
      </c>
      <c r="D30" t="s" s="83">
        <v>2643</v>
      </c>
      <c r="E30" t="s" s="83">
        <v>2678</v>
      </c>
      <c r="F30" s="30"/>
      <c r="G30" t="s" s="83">
        <v>901</v>
      </c>
      <c r="H30" t="s" s="83">
        <v>2671</v>
      </c>
      <c r="I30" s="120">
        <v>19</v>
      </c>
      <c r="J30" s="112">
        <v>1</v>
      </c>
      <c r="K30" s="74"/>
      <c r="L30" s="16"/>
      <c r="M30" s="75"/>
      <c r="N30" t="s" s="83">
        <v>72</v>
      </c>
      <c r="O30" s="120">
        <v>1</v>
      </c>
      <c r="P30" s="30"/>
      <c r="Q30" s="74"/>
      <c r="R30" s="16"/>
      <c r="S30" s="75"/>
      <c r="T30" s="112">
        <v>44</v>
      </c>
      <c r="U30" s="74"/>
      <c r="V30" s="16"/>
      <c r="W30" s="75"/>
      <c r="X30" s="30"/>
      <c r="Y30" s="30"/>
      <c r="Z30" s="30"/>
      <c r="AA30" t="s" s="83">
        <v>33</v>
      </c>
      <c r="AB30" t="s" s="83">
        <v>34</v>
      </c>
      <c r="AC30" s="30"/>
      <c r="AD30" s="30"/>
      <c r="AE30" s="30"/>
      <c r="AF30" t="s" s="83">
        <v>155</v>
      </c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t="s" s="83">
        <v>1759</v>
      </c>
      <c r="B31" s="112">
        <v>1921</v>
      </c>
      <c r="C31" s="112">
        <v>5</v>
      </c>
      <c r="D31" t="s" s="83">
        <v>2643</v>
      </c>
      <c r="E31" t="s" s="83">
        <v>2678</v>
      </c>
      <c r="F31" s="30"/>
      <c r="G31" t="s" s="83">
        <v>901</v>
      </c>
      <c r="H31" t="s" s="83">
        <v>2672</v>
      </c>
      <c r="I31" s="120">
        <v>20</v>
      </c>
      <c r="J31" s="112">
        <v>1</v>
      </c>
      <c r="K31" s="74"/>
      <c r="L31" s="16"/>
      <c r="M31" s="75"/>
      <c r="N31" t="s" s="83">
        <v>78</v>
      </c>
      <c r="O31" s="122"/>
      <c r="P31" s="112">
        <v>1</v>
      </c>
      <c r="Q31" s="74"/>
      <c r="R31" s="16"/>
      <c r="S31" s="75"/>
      <c r="T31" s="118">
        <v>12</v>
      </c>
      <c r="U31" s="74"/>
      <c r="V31" s="16"/>
      <c r="W31" s="75"/>
      <c r="X31" s="30"/>
      <c r="Y31" s="30"/>
      <c r="Z31" s="30"/>
      <c r="AA31" t="s" s="119">
        <v>34</v>
      </c>
      <c r="AB31" t="s" s="119">
        <v>34</v>
      </c>
      <c r="AC31" s="30"/>
      <c r="AD31" s="30"/>
      <c r="AE31" s="30"/>
      <c r="AF31" t="s" s="119">
        <v>2673</v>
      </c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t="s" s="83">
        <v>1759</v>
      </c>
      <c r="B32" s="112">
        <v>1921</v>
      </c>
      <c r="C32" s="112">
        <v>5</v>
      </c>
      <c r="D32" t="s" s="83">
        <v>2643</v>
      </c>
      <c r="E32" t="s" s="83">
        <v>2678</v>
      </c>
      <c r="F32" s="30"/>
      <c r="G32" t="s" s="83">
        <v>901</v>
      </c>
      <c r="H32" t="s" s="83">
        <v>2674</v>
      </c>
      <c r="I32" s="120">
        <v>21</v>
      </c>
      <c r="J32" t="s" s="83">
        <v>37</v>
      </c>
      <c r="K32" s="156">
        <v>1</v>
      </c>
      <c r="L32" s="16"/>
      <c r="M32" s="75"/>
      <c r="N32" t="s" s="83">
        <v>36</v>
      </c>
      <c r="O32" s="122"/>
      <c r="P32" s="30"/>
      <c r="Q32" s="156">
        <v>1</v>
      </c>
      <c r="R32" s="16"/>
      <c r="S32" s="75"/>
      <c r="T32" s="118">
        <v>10</v>
      </c>
      <c r="U32" s="74"/>
      <c r="V32" s="16"/>
      <c r="W32" s="75"/>
      <c r="X32" s="30"/>
      <c r="Y32" s="30"/>
      <c r="Z32" s="30"/>
      <c r="AA32" t="s" s="119">
        <v>34</v>
      </c>
      <c r="AB32" t="s" s="119">
        <v>34</v>
      </c>
      <c r="AC32" s="30"/>
      <c r="AD32" s="30"/>
      <c r="AE32" s="30"/>
      <c r="AF32" t="s" s="119">
        <v>2673</v>
      </c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t="s" s="83">
        <v>1759</v>
      </c>
      <c r="B33" s="112">
        <v>1921</v>
      </c>
      <c r="C33" s="112">
        <v>5</v>
      </c>
      <c r="D33" t="s" s="83">
        <v>2643</v>
      </c>
      <c r="E33" t="s" s="83">
        <v>2678</v>
      </c>
      <c r="F33" s="28"/>
      <c r="G33" t="s" s="148">
        <v>901</v>
      </c>
      <c r="H33" t="s" s="148">
        <v>2675</v>
      </c>
      <c r="I33" s="120">
        <v>22</v>
      </c>
      <c r="J33" s="346">
        <v>1</v>
      </c>
      <c r="K33" s="74"/>
      <c r="L33" s="16"/>
      <c r="M33" s="75"/>
      <c r="N33" t="s" s="148">
        <v>78</v>
      </c>
      <c r="O33" s="122"/>
      <c r="P33" s="307">
        <v>1</v>
      </c>
      <c r="Q33" s="74"/>
      <c r="R33" s="16"/>
      <c r="S33" s="75"/>
      <c r="T33" s="307">
        <v>9</v>
      </c>
      <c r="U33" s="74"/>
      <c r="V33" s="16"/>
      <c r="W33" s="75"/>
      <c r="X33" s="30"/>
      <c r="Y33" s="30"/>
      <c r="Z33" s="112" cm="1">
        <f t="array" ref="Z33">SUM(Z3:Z32)</f>
        <v>0</v>
      </c>
      <c r="AA33" t="s" s="148">
        <v>34</v>
      </c>
      <c r="AB33" t="s" s="148">
        <v>34</v>
      </c>
      <c r="AC33" s="30"/>
      <c r="AD33" s="30"/>
      <c r="AE33" s="30"/>
      <c r="AF33" s="307">
        <v>1</v>
      </c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t="s" s="83">
        <v>1759</v>
      </c>
      <c r="B34" s="112">
        <v>1921</v>
      </c>
      <c r="C34" s="112">
        <v>5</v>
      </c>
      <c r="D34" t="s" s="83">
        <v>2643</v>
      </c>
      <c r="E34" t="s" s="83">
        <v>2678</v>
      </c>
      <c r="F34" s="28"/>
      <c r="G34" t="s" s="148">
        <v>801</v>
      </c>
      <c r="H34" t="s" s="148">
        <v>2676</v>
      </c>
      <c r="I34" s="156">
        <v>23</v>
      </c>
      <c r="J34" s="399">
        <v>1</v>
      </c>
      <c r="K34" s="16"/>
      <c r="L34" s="16"/>
      <c r="M34" s="75"/>
      <c r="N34" t="s" s="149">
        <v>11</v>
      </c>
      <c r="O34" s="16"/>
      <c r="P34" s="165"/>
      <c r="Q34" s="74"/>
      <c r="R34" s="16"/>
      <c r="S34" s="123">
        <v>1</v>
      </c>
      <c r="T34" s="307">
        <v>18</v>
      </c>
      <c r="U34" s="74"/>
      <c r="V34" s="16"/>
      <c r="W34" s="75"/>
      <c r="X34" s="30"/>
      <c r="Y34" s="30"/>
      <c r="Z34" s="30"/>
      <c r="AA34" t="s" s="148">
        <v>105</v>
      </c>
      <c r="AB34" t="s" s="148">
        <v>2677</v>
      </c>
      <c r="AC34" s="112">
        <v>1</v>
      </c>
      <c r="AD34" s="30"/>
      <c r="AE34" s="30"/>
      <c r="AF34" t="s" s="148">
        <v>1013</v>
      </c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" customHeight="1">
      <c r="A35" t="s" s="83">
        <v>1759</v>
      </c>
      <c r="B35" s="112">
        <v>1921</v>
      </c>
      <c r="C35" s="30"/>
      <c r="D35" t="s" s="83">
        <v>2643</v>
      </c>
      <c r="E35" s="30"/>
      <c r="F35" s="30"/>
      <c r="G35" s="130"/>
      <c r="H35" s="112">
        <v>6</v>
      </c>
      <c r="I35" s="122"/>
      <c r="J35" s="30"/>
      <c r="K35" s="74"/>
      <c r="L35" s="16"/>
      <c r="M35" s="75"/>
      <c r="N35" s="30"/>
      <c r="O35" s="122"/>
      <c r="P35" s="30"/>
      <c r="Q35" s="74"/>
      <c r="R35" s="16"/>
      <c r="S35" s="75"/>
      <c r="T35" s="30"/>
      <c r="U35" s="74"/>
      <c r="V35" s="16"/>
      <c r="W35" s="75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t="s" s="83">
        <v>1759</v>
      </c>
      <c r="B36" s="112">
        <v>1921</v>
      </c>
      <c r="C36" s="30"/>
      <c r="D36" t="s" s="83">
        <v>2643</v>
      </c>
      <c r="E36" s="30"/>
      <c r="F36" s="30"/>
      <c r="G36" t="s" s="83">
        <v>1</v>
      </c>
      <c r="H36" t="s" s="83">
        <v>0</v>
      </c>
      <c r="I36" s="122"/>
      <c r="J36" t="s" s="83">
        <v>3</v>
      </c>
      <c r="K36" s="74"/>
      <c r="L36" s="16"/>
      <c r="M36" s="75"/>
      <c r="N36" t="s" s="83">
        <v>2</v>
      </c>
      <c r="O36" s="122"/>
      <c r="P36" s="30"/>
      <c r="Q36" s="74"/>
      <c r="R36" s="16"/>
      <c r="S36" s="75"/>
      <c r="T36" t="s" s="83">
        <v>5</v>
      </c>
      <c r="U36" s="74"/>
      <c r="V36" s="16"/>
      <c r="W36" s="75"/>
      <c r="X36" s="30"/>
      <c r="Y36" s="30"/>
      <c r="Z36" s="30"/>
      <c r="AA36" t="s" s="83">
        <v>7</v>
      </c>
      <c r="AB36" t="s" s="83">
        <v>8</v>
      </c>
      <c r="AC36" s="30"/>
      <c r="AD36" s="30"/>
      <c r="AE36" s="30"/>
      <c r="AF36" t="s" s="83">
        <v>6</v>
      </c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" customHeight="1">
      <c r="A37" t="s" s="83">
        <v>1759</v>
      </c>
      <c r="B37" s="112">
        <v>1921</v>
      </c>
      <c r="C37" s="112">
        <v>6</v>
      </c>
      <c r="D37" t="s" s="83">
        <v>2643</v>
      </c>
      <c r="E37" t="s" s="83">
        <v>2679</v>
      </c>
      <c r="F37" s="30"/>
      <c r="G37" t="s" s="83">
        <v>2680</v>
      </c>
      <c r="H37" t="s" s="83">
        <v>2681</v>
      </c>
      <c r="I37" s="120">
        <v>24</v>
      </c>
      <c r="J37" t="s" s="83">
        <v>37</v>
      </c>
      <c r="K37" s="156">
        <v>1</v>
      </c>
      <c r="L37" s="16"/>
      <c r="M37" s="75"/>
      <c r="N37" s="112">
        <v>1</v>
      </c>
      <c r="O37" s="122"/>
      <c r="P37" s="30"/>
      <c r="Q37" s="74"/>
      <c r="R37" s="16"/>
      <c r="S37" s="75"/>
      <c r="T37" s="112">
        <v>42</v>
      </c>
      <c r="U37" s="74"/>
      <c r="V37" s="16"/>
      <c r="W37" s="75"/>
      <c r="X37" s="30"/>
      <c r="Y37" s="30"/>
      <c r="Z37" s="30"/>
      <c r="AA37" t="s" s="83">
        <v>707</v>
      </c>
      <c r="AB37" t="s" s="83">
        <v>2682</v>
      </c>
      <c r="AC37" s="134">
        <v>1</v>
      </c>
      <c r="AD37" s="134"/>
      <c r="AE37" s="30"/>
      <c r="AF37" t="s" s="83">
        <v>2683</v>
      </c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t="s" s="83">
        <v>1759</v>
      </c>
      <c r="B38" s="112">
        <v>1921</v>
      </c>
      <c r="C38" s="112">
        <v>6</v>
      </c>
      <c r="D38" t="s" s="83">
        <v>2643</v>
      </c>
      <c r="E38" t="s" s="83">
        <v>2679</v>
      </c>
      <c r="F38" s="30"/>
      <c r="G38" t="s" s="83">
        <v>2680</v>
      </c>
      <c r="H38" t="s" s="83">
        <v>2684</v>
      </c>
      <c r="I38" s="120">
        <v>25</v>
      </c>
      <c r="J38" s="112">
        <v>1</v>
      </c>
      <c r="K38" s="74"/>
      <c r="L38" s="16"/>
      <c r="M38" s="75"/>
      <c r="N38" t="s" s="83">
        <v>72</v>
      </c>
      <c r="O38" s="120">
        <v>1</v>
      </c>
      <c r="P38" s="30"/>
      <c r="Q38" s="74"/>
      <c r="R38" s="16"/>
      <c r="S38" s="75"/>
      <c r="T38" s="112">
        <v>42</v>
      </c>
      <c r="U38" s="74"/>
      <c r="V38" s="16"/>
      <c r="W38" s="75"/>
      <c r="X38" s="30"/>
      <c r="Y38" s="30"/>
      <c r="Z38" s="30"/>
      <c r="AA38" t="s" s="83">
        <v>34</v>
      </c>
      <c r="AB38" t="s" s="83">
        <v>33</v>
      </c>
      <c r="AC38" s="30"/>
      <c r="AD38" s="30"/>
      <c r="AE38" s="30"/>
      <c r="AF38" t="s" s="83">
        <v>2685</v>
      </c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5.35" customHeight="1">
      <c r="A39" t="s" s="83">
        <v>1759</v>
      </c>
      <c r="B39" s="112">
        <v>1921</v>
      </c>
      <c r="C39" s="30"/>
      <c r="D39" t="s" s="83">
        <v>2643</v>
      </c>
      <c r="E39" s="116"/>
      <c r="F39" s="62"/>
      <c r="G39" s="62"/>
      <c r="H39" s="97">
        <v>2</v>
      </c>
      <c r="I39" s="16"/>
      <c r="J39" s="62"/>
      <c r="K39" s="16"/>
      <c r="L39" s="16"/>
      <c r="M39" s="16"/>
      <c r="N39" s="62"/>
      <c r="O39" s="16"/>
      <c r="P39" s="62"/>
      <c r="Q39" s="16"/>
      <c r="R39" s="16"/>
      <c r="S39" s="16"/>
      <c r="T39" s="62"/>
      <c r="U39" s="16"/>
      <c r="V39" s="16"/>
      <c r="W39" s="16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  <c r="AK39" s="62"/>
      <c r="AL39" s="62"/>
      <c r="AM39" s="62"/>
      <c r="AN39" s="62"/>
      <c r="AO39" s="62"/>
      <c r="AP39" s="62"/>
      <c r="AQ39" s="62"/>
      <c r="AR39" s="62"/>
      <c r="AS39" s="62"/>
      <c r="AT39" s="62"/>
      <c r="AU39" s="62"/>
      <c r="AV39" s="62"/>
      <c r="AW39" s="62"/>
      <c r="AX39" s="62"/>
      <c r="AY39" s="62"/>
      <c r="AZ39" s="16"/>
      <c r="BA39" s="16"/>
      <c r="BB39" s="16"/>
      <c r="BC39" s="16"/>
    </row>
    <row r="40" ht="15.35" customHeight="1">
      <c r="A40" t="s" s="83">
        <v>1759</v>
      </c>
      <c r="B40" s="112">
        <v>1921</v>
      </c>
      <c r="C40" s="30"/>
      <c r="D40" t="s" s="83">
        <v>2643</v>
      </c>
      <c r="E40" s="74"/>
      <c r="F40" s="16"/>
      <c r="G40" t="s" s="96">
        <v>1</v>
      </c>
      <c r="H40" t="s" s="96">
        <v>0</v>
      </c>
      <c r="I40" s="16"/>
      <c r="J40" t="s" s="96">
        <v>3</v>
      </c>
      <c r="K40" s="16"/>
      <c r="L40" s="16"/>
      <c r="M40" s="16"/>
      <c r="N40" t="s" s="96">
        <v>2</v>
      </c>
      <c r="O40" s="16"/>
      <c r="P40" s="16"/>
      <c r="Q40" s="16"/>
      <c r="R40" s="16"/>
      <c r="S40" s="16"/>
      <c r="T40" t="s" s="96">
        <v>5</v>
      </c>
      <c r="U40" s="16"/>
      <c r="V40" s="16"/>
      <c r="W40" s="16"/>
      <c r="X40" s="16"/>
      <c r="Y40" s="16"/>
      <c r="Z40" s="16"/>
      <c r="AA40" t="s" s="96">
        <v>7</v>
      </c>
      <c r="AB40" t="s" s="96">
        <v>8</v>
      </c>
      <c r="AC40" s="16"/>
      <c r="AD40" s="16"/>
      <c r="AE40" s="16"/>
      <c r="AF40" t="s" s="96">
        <v>6</v>
      </c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5.35" customHeight="1">
      <c r="A41" t="s" s="83">
        <v>1759</v>
      </c>
      <c r="B41" s="112">
        <v>1921</v>
      </c>
      <c r="C41" s="112">
        <v>7</v>
      </c>
      <c r="D41" t="s" s="83">
        <v>2643</v>
      </c>
      <c r="E41" s="74"/>
      <c r="F41" s="79">
        <v>1</v>
      </c>
      <c r="G41" t="s" s="96">
        <v>982</v>
      </c>
      <c r="H41" t="s" s="96">
        <v>2686</v>
      </c>
      <c r="I41" s="79">
        <v>26</v>
      </c>
      <c r="J41" t="s" s="96">
        <v>37</v>
      </c>
      <c r="K41" s="79">
        <v>1</v>
      </c>
      <c r="L41" s="16"/>
      <c r="M41" s="16"/>
      <c r="N41" s="79">
        <v>1</v>
      </c>
      <c r="O41" s="16"/>
      <c r="P41" s="16"/>
      <c r="Q41" s="16"/>
      <c r="R41" s="16"/>
      <c r="S41" s="16"/>
      <c r="T41" s="79">
        <v>67</v>
      </c>
      <c r="U41" s="16"/>
      <c r="V41" s="16"/>
      <c r="W41" s="16"/>
      <c r="X41" s="16"/>
      <c r="Y41" s="16"/>
      <c r="Z41" s="16"/>
      <c r="AA41" t="s" s="96">
        <v>152</v>
      </c>
      <c r="AB41" t="s" s="96">
        <v>8</v>
      </c>
      <c r="AC41" s="79">
        <v>1</v>
      </c>
      <c r="AD41" s="79">
        <v>1</v>
      </c>
      <c r="AE41" s="16"/>
      <c r="AF41" t="s" s="96">
        <v>2687</v>
      </c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5.35" customHeight="1">
      <c r="A42" t="s" s="83">
        <v>1759</v>
      </c>
      <c r="B42" s="112">
        <v>1921</v>
      </c>
      <c r="C42" s="112">
        <v>7</v>
      </c>
      <c r="D42" t="s" s="83">
        <v>2643</v>
      </c>
      <c r="E42" s="74"/>
      <c r="F42" s="79">
        <v>1</v>
      </c>
      <c r="G42" t="s" s="96">
        <v>982</v>
      </c>
      <c r="H42" t="s" s="96">
        <v>2688</v>
      </c>
      <c r="I42" s="79">
        <v>27</v>
      </c>
      <c r="J42" s="79">
        <v>1</v>
      </c>
      <c r="K42" s="16"/>
      <c r="L42" s="16"/>
      <c r="M42" s="16"/>
      <c r="N42" t="s" s="96">
        <v>72</v>
      </c>
      <c r="O42" s="79">
        <v>1</v>
      </c>
      <c r="P42" s="16"/>
      <c r="Q42" s="16"/>
      <c r="R42" s="16"/>
      <c r="S42" s="16"/>
      <c r="T42" s="79">
        <v>60</v>
      </c>
      <c r="U42" s="16"/>
      <c r="V42" s="16"/>
      <c r="W42" s="16"/>
      <c r="X42" s="16"/>
      <c r="Y42" s="16"/>
      <c r="Z42" s="16"/>
      <c r="AA42" t="s" s="96">
        <v>72</v>
      </c>
      <c r="AB42" t="s" s="96">
        <v>34</v>
      </c>
      <c r="AC42" s="16"/>
      <c r="AD42" s="16"/>
      <c r="AE42" s="16"/>
      <c r="AF42" s="79">
        <v>1</v>
      </c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5.35" customHeight="1">
      <c r="A43" t="s" s="83">
        <v>1759</v>
      </c>
      <c r="B43" s="112">
        <v>1921</v>
      </c>
      <c r="C43" s="112">
        <v>7</v>
      </c>
      <c r="D43" t="s" s="83">
        <v>2643</v>
      </c>
      <c r="E43" s="74"/>
      <c r="F43" s="79">
        <v>1</v>
      </c>
      <c r="G43" t="s" s="96">
        <v>2689</v>
      </c>
      <c r="H43" t="s" s="96">
        <v>77</v>
      </c>
      <c r="I43" s="79">
        <v>28</v>
      </c>
      <c r="J43" s="79">
        <v>1</v>
      </c>
      <c r="K43" s="16"/>
      <c r="L43" s="16"/>
      <c r="M43" s="16"/>
      <c r="N43" t="s" s="96">
        <v>78</v>
      </c>
      <c r="O43" s="16"/>
      <c r="P43" s="79">
        <v>1</v>
      </c>
      <c r="Q43" s="16"/>
      <c r="R43" s="16"/>
      <c r="S43" s="16"/>
      <c r="T43" s="79">
        <v>35</v>
      </c>
      <c r="U43" s="16"/>
      <c r="V43" s="16"/>
      <c r="W43" s="16"/>
      <c r="X43" s="16"/>
      <c r="Y43" s="16"/>
      <c r="Z43" s="16"/>
      <c r="AA43" t="s" s="96">
        <v>34</v>
      </c>
      <c r="AB43" t="s" s="96">
        <v>34</v>
      </c>
      <c r="AC43" s="16"/>
      <c r="AD43" s="16"/>
      <c r="AE43" s="16"/>
      <c r="AF43" s="79">
        <v>1</v>
      </c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</row>
    <row r="44" ht="15.35" customHeight="1">
      <c r="A44" t="s" s="83">
        <v>1759</v>
      </c>
      <c r="B44" s="112">
        <v>1921</v>
      </c>
      <c r="C44" s="112">
        <v>7</v>
      </c>
      <c r="D44" t="s" s="83">
        <v>2643</v>
      </c>
      <c r="E44" s="74"/>
      <c r="F44" s="79">
        <v>1</v>
      </c>
      <c r="G44" t="s" s="96">
        <v>2690</v>
      </c>
      <c r="H44" t="s" s="96">
        <v>2691</v>
      </c>
      <c r="I44" s="79">
        <v>29</v>
      </c>
      <c r="J44" s="79">
        <v>1</v>
      </c>
      <c r="K44" s="16"/>
      <c r="L44" s="16"/>
      <c r="M44" s="16"/>
      <c r="N44" t="s" s="96">
        <v>11</v>
      </c>
      <c r="O44" s="16"/>
      <c r="P44" s="16"/>
      <c r="Q44" s="16"/>
      <c r="R44" s="16"/>
      <c r="S44" s="79">
        <v>1</v>
      </c>
      <c r="T44" s="79">
        <v>21</v>
      </c>
      <c r="U44" s="16"/>
      <c r="V44" s="16"/>
      <c r="W44" s="16"/>
      <c r="X44" s="16"/>
      <c r="Y44" s="16"/>
      <c r="Z44" s="16"/>
      <c r="AA44" t="s" s="96">
        <v>188</v>
      </c>
      <c r="AB44" t="s" s="96">
        <v>15</v>
      </c>
      <c r="AC44" s="79">
        <v>1</v>
      </c>
      <c r="AD44" s="16"/>
      <c r="AE44" s="16"/>
      <c r="AF44" t="s" s="96">
        <v>134</v>
      </c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</row>
    <row r="45" ht="15.35" customHeight="1">
      <c r="A45" t="s" s="83">
        <v>1759</v>
      </c>
      <c r="B45" s="112">
        <v>1921</v>
      </c>
      <c r="C45" s="112">
        <v>7</v>
      </c>
      <c r="D45" t="s" s="83">
        <v>2643</v>
      </c>
      <c r="E45" s="74"/>
      <c r="F45" s="79">
        <v>1</v>
      </c>
      <c r="G45" t="s" s="96">
        <v>2692</v>
      </c>
      <c r="H45" t="s" s="96">
        <v>2693</v>
      </c>
      <c r="I45" s="79">
        <v>30</v>
      </c>
      <c r="J45" s="79">
        <v>1</v>
      </c>
      <c r="K45" s="16"/>
      <c r="L45" s="16"/>
      <c r="M45" s="16"/>
      <c r="N45" t="s" s="96">
        <v>11</v>
      </c>
      <c r="O45" s="16"/>
      <c r="P45" s="16"/>
      <c r="Q45" s="16"/>
      <c r="R45" s="16"/>
      <c r="S45" s="79">
        <v>1</v>
      </c>
      <c r="T45" s="79">
        <v>16</v>
      </c>
      <c r="U45" s="16"/>
      <c r="V45" s="16"/>
      <c r="W45" s="16"/>
      <c r="X45" s="16"/>
      <c r="Y45" s="16"/>
      <c r="Z45" s="16"/>
      <c r="AA45" t="s" s="96">
        <v>188</v>
      </c>
      <c r="AB45" t="s" s="96">
        <v>15</v>
      </c>
      <c r="AC45" s="79">
        <v>1</v>
      </c>
      <c r="AD45" s="16"/>
      <c r="AE45" s="16"/>
      <c r="AF45" s="79">
        <v>1</v>
      </c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</row>
    <row r="46" ht="15.35" customHeight="1">
      <c r="A46" t="s" s="83">
        <v>1759</v>
      </c>
      <c r="B46" s="112">
        <v>1921</v>
      </c>
      <c r="C46" s="30"/>
      <c r="D46" t="s" s="83">
        <v>2643</v>
      </c>
      <c r="E46" s="74"/>
      <c r="F46" s="16"/>
      <c r="G46" s="16"/>
      <c r="H46" s="79">
        <v>5</v>
      </c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5.35" customHeight="1">
      <c r="A47" t="s" s="83">
        <v>1759</v>
      </c>
      <c r="B47" s="112">
        <v>1921</v>
      </c>
      <c r="C47" s="30"/>
      <c r="D47" t="s" s="83">
        <v>2643</v>
      </c>
      <c r="E47" s="74"/>
      <c r="F47" s="16"/>
      <c r="G47" t="s" s="96">
        <v>1</v>
      </c>
      <c r="H47" t="s" s="96">
        <v>0</v>
      </c>
      <c r="I47" s="16"/>
      <c r="J47" t="s" s="96">
        <v>3</v>
      </c>
      <c r="K47" s="16"/>
      <c r="L47" s="16"/>
      <c r="M47" s="16"/>
      <c r="N47" t="s" s="96">
        <v>2</v>
      </c>
      <c r="O47" s="16"/>
      <c r="P47" s="16"/>
      <c r="Q47" s="16"/>
      <c r="R47" s="16"/>
      <c r="S47" s="16"/>
      <c r="T47" t="s" s="96">
        <v>5</v>
      </c>
      <c r="U47" s="16"/>
      <c r="V47" s="16"/>
      <c r="W47" s="16"/>
      <c r="X47" s="16"/>
      <c r="Y47" s="16"/>
      <c r="Z47" s="16"/>
      <c r="AA47" t="s" s="96">
        <v>7</v>
      </c>
      <c r="AB47" t="s" s="96">
        <v>8</v>
      </c>
      <c r="AC47" s="16"/>
      <c r="AD47" s="16"/>
      <c r="AE47" s="16"/>
      <c r="AF47" t="s" s="96">
        <v>6</v>
      </c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</row>
    <row r="48" ht="15.35" customHeight="1">
      <c r="A48" t="s" s="83">
        <v>1759</v>
      </c>
      <c r="B48" s="112">
        <v>1921</v>
      </c>
      <c r="C48" s="112">
        <v>8</v>
      </c>
      <c r="D48" t="s" s="83">
        <v>2643</v>
      </c>
      <c r="E48" s="74"/>
      <c r="F48" s="79">
        <v>2</v>
      </c>
      <c r="G48" t="s" s="96">
        <v>1245</v>
      </c>
      <c r="H48" t="s" s="96">
        <v>2694</v>
      </c>
      <c r="I48" s="79">
        <v>31</v>
      </c>
      <c r="J48" s="79">
        <v>1</v>
      </c>
      <c r="K48" s="16"/>
      <c r="L48" s="16"/>
      <c r="M48" s="16"/>
      <c r="N48" s="79">
        <v>1</v>
      </c>
      <c r="O48" s="16"/>
      <c r="P48" s="16"/>
      <c r="Q48" s="16"/>
      <c r="R48" s="16"/>
      <c r="S48" s="16"/>
      <c r="T48" s="79">
        <v>35</v>
      </c>
      <c r="U48" s="16"/>
      <c r="V48" s="16"/>
      <c r="W48" s="16"/>
      <c r="X48" s="16"/>
      <c r="Y48" s="16"/>
      <c r="Z48" s="16"/>
      <c r="AA48" t="s" s="96">
        <v>33</v>
      </c>
      <c r="AB48" t="s" s="96">
        <v>34</v>
      </c>
      <c r="AC48" s="16"/>
      <c r="AD48" s="16"/>
      <c r="AE48" s="16"/>
      <c r="AF48" s="79">
        <v>1</v>
      </c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5.35" customHeight="1">
      <c r="A49" t="s" s="83">
        <v>1759</v>
      </c>
      <c r="B49" s="112">
        <v>1921</v>
      </c>
      <c r="C49" s="112">
        <v>8</v>
      </c>
      <c r="D49" t="s" s="83">
        <v>2643</v>
      </c>
      <c r="E49" s="74"/>
      <c r="F49" s="79">
        <v>2</v>
      </c>
      <c r="G49" t="s" s="96">
        <v>1245</v>
      </c>
      <c r="H49" t="s" s="96">
        <v>2695</v>
      </c>
      <c r="I49" s="79">
        <v>32</v>
      </c>
      <c r="J49" t="s" s="96">
        <v>37</v>
      </c>
      <c r="K49" s="16"/>
      <c r="L49" s="16"/>
      <c r="M49" s="79">
        <v>1</v>
      </c>
      <c r="N49" t="s" s="96">
        <v>36</v>
      </c>
      <c r="O49" s="16"/>
      <c r="P49" s="16"/>
      <c r="Q49" s="79">
        <v>1</v>
      </c>
      <c r="R49" s="16"/>
      <c r="S49" s="16"/>
      <c r="T49" s="79">
        <v>8</v>
      </c>
      <c r="U49" s="16"/>
      <c r="V49" s="16"/>
      <c r="W49" s="16"/>
      <c r="X49" s="16"/>
      <c r="Y49" s="16"/>
      <c r="Z49" s="16"/>
      <c r="AA49" t="s" s="96">
        <v>34</v>
      </c>
      <c r="AB49" t="s" s="96">
        <v>34</v>
      </c>
      <c r="AC49" s="16"/>
      <c r="AD49" s="16"/>
      <c r="AE49" s="16"/>
      <c r="AF49" s="79">
        <v>1</v>
      </c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t="s" s="83">
        <v>1759</v>
      </c>
      <c r="B50" s="112">
        <v>1921</v>
      </c>
      <c r="C50" s="112">
        <v>8</v>
      </c>
      <c r="D50" t="s" s="83">
        <v>2643</v>
      </c>
      <c r="E50" s="74"/>
      <c r="F50" s="79">
        <v>2</v>
      </c>
      <c r="G50" t="s" s="96">
        <v>2696</v>
      </c>
      <c r="H50" t="s" s="96">
        <v>192</v>
      </c>
      <c r="I50" s="79">
        <v>33</v>
      </c>
      <c r="J50" s="16"/>
      <c r="K50" s="16"/>
      <c r="L50" s="79">
        <v>1</v>
      </c>
      <c r="M50" s="16"/>
      <c r="N50" t="s" s="96">
        <v>78</v>
      </c>
      <c r="O50" s="16"/>
      <c r="P50" s="79">
        <v>1</v>
      </c>
      <c r="Q50" s="16"/>
      <c r="R50" s="16"/>
      <c r="S50" s="16"/>
      <c r="T50" s="79">
        <v>5</v>
      </c>
      <c r="U50" s="16"/>
      <c r="V50" s="16"/>
      <c r="W50" s="16"/>
      <c r="X50" s="16"/>
      <c r="Y50" s="16"/>
      <c r="Z50" s="16"/>
      <c r="AA50" t="s" s="96">
        <v>34</v>
      </c>
      <c r="AB50" t="s" s="96">
        <v>34</v>
      </c>
      <c r="AC50" s="16"/>
      <c r="AD50" s="16"/>
      <c r="AE50" s="16"/>
      <c r="AF50" s="79">
        <v>1</v>
      </c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5.35" customHeight="1">
      <c r="A51" t="s" s="83">
        <v>1759</v>
      </c>
      <c r="B51" s="112">
        <v>1921</v>
      </c>
      <c r="C51" s="112">
        <v>8</v>
      </c>
      <c r="D51" t="s" s="83">
        <v>2643</v>
      </c>
      <c r="E51" s="74"/>
      <c r="F51" s="79">
        <v>2</v>
      </c>
      <c r="G51" t="s" s="96">
        <v>1245</v>
      </c>
      <c r="H51" t="s" s="96">
        <v>406</v>
      </c>
      <c r="I51" s="79">
        <v>34</v>
      </c>
      <c r="J51" s="16"/>
      <c r="K51" s="16"/>
      <c r="L51" s="79">
        <v>1</v>
      </c>
      <c r="M51" s="16"/>
      <c r="N51" t="s" s="96">
        <v>78</v>
      </c>
      <c r="O51" s="16"/>
      <c r="P51" s="79">
        <v>1</v>
      </c>
      <c r="Q51" s="16"/>
      <c r="R51" s="16"/>
      <c r="S51" s="16"/>
      <c r="T51" s="79">
        <v>2</v>
      </c>
      <c r="U51" s="16"/>
      <c r="V51" s="16"/>
      <c r="W51" s="16"/>
      <c r="X51" s="16"/>
      <c r="Y51" s="16"/>
      <c r="Z51" s="16"/>
      <c r="AA51" t="s" s="96">
        <v>34</v>
      </c>
      <c r="AB51" t="s" s="96">
        <v>34</v>
      </c>
      <c r="AC51" s="16"/>
      <c r="AD51" s="16"/>
      <c r="AE51" s="16"/>
      <c r="AF51" s="79">
        <v>1</v>
      </c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15.35" customHeight="1">
      <c r="A52" t="s" s="83">
        <v>1759</v>
      </c>
      <c r="B52" s="112">
        <v>1921</v>
      </c>
      <c r="C52" s="112">
        <v>8</v>
      </c>
      <c r="D52" t="s" s="83">
        <v>2643</v>
      </c>
      <c r="E52" s="74"/>
      <c r="F52" s="79">
        <v>2</v>
      </c>
      <c r="G52" t="s" s="96">
        <v>2697</v>
      </c>
      <c r="H52" t="s" s="96">
        <v>406</v>
      </c>
      <c r="I52" s="79">
        <v>35</v>
      </c>
      <c r="J52" s="79">
        <v>1</v>
      </c>
      <c r="K52" s="16"/>
      <c r="L52" s="16"/>
      <c r="M52" s="16"/>
      <c r="N52" t="s" s="96">
        <v>11</v>
      </c>
      <c r="O52" s="16"/>
      <c r="P52" s="16"/>
      <c r="Q52" s="16"/>
      <c r="R52" s="16"/>
      <c r="S52" s="79">
        <v>1</v>
      </c>
      <c r="T52" s="79">
        <v>35</v>
      </c>
      <c r="U52" s="16"/>
      <c r="V52" s="16"/>
      <c r="W52" s="16"/>
      <c r="X52" s="16"/>
      <c r="Y52" s="16"/>
      <c r="Z52" s="16"/>
      <c r="AA52" t="s" s="96">
        <v>2698</v>
      </c>
      <c r="AB52" t="s" s="96">
        <v>15</v>
      </c>
      <c r="AC52" s="79">
        <v>1</v>
      </c>
      <c r="AD52" s="16"/>
      <c r="AE52" s="16"/>
      <c r="AF52" s="79">
        <v>1</v>
      </c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5.35" customHeight="1">
      <c r="A53" t="s" s="83">
        <v>1759</v>
      </c>
      <c r="B53" s="112">
        <v>1921</v>
      </c>
      <c r="C53" s="112">
        <v>8</v>
      </c>
      <c r="D53" t="s" s="83">
        <v>2643</v>
      </c>
      <c r="E53" s="74"/>
      <c r="F53" s="79">
        <v>2</v>
      </c>
      <c r="G53" t="s" s="96">
        <v>2699</v>
      </c>
      <c r="H53" t="s" s="96">
        <v>235</v>
      </c>
      <c r="I53" s="79">
        <v>36</v>
      </c>
      <c r="J53" s="79">
        <v>1</v>
      </c>
      <c r="K53" s="16"/>
      <c r="L53" s="16"/>
      <c r="M53" s="16"/>
      <c r="N53" t="s" s="96">
        <v>11</v>
      </c>
      <c r="O53" s="16"/>
      <c r="P53" s="16"/>
      <c r="Q53" s="16"/>
      <c r="R53" s="16"/>
      <c r="S53" s="79">
        <v>1</v>
      </c>
      <c r="T53" s="79">
        <v>17</v>
      </c>
      <c r="U53" s="16"/>
      <c r="V53" s="16"/>
      <c r="W53" s="16"/>
      <c r="X53" s="16"/>
      <c r="Y53" s="16"/>
      <c r="Z53" s="16"/>
      <c r="AA53" t="s" s="96">
        <v>89</v>
      </c>
      <c r="AB53" t="s" s="96">
        <v>15</v>
      </c>
      <c r="AC53" s="79">
        <v>1</v>
      </c>
      <c r="AD53" s="16"/>
      <c r="AE53" s="16"/>
      <c r="AF53" t="s" s="96">
        <v>2700</v>
      </c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15.35" customHeight="1">
      <c r="A54" t="s" s="83">
        <v>1759</v>
      </c>
      <c r="B54" s="112">
        <v>1921</v>
      </c>
      <c r="C54" s="112">
        <v>8</v>
      </c>
      <c r="D54" t="s" s="83">
        <v>2643</v>
      </c>
      <c r="E54" s="74"/>
      <c r="F54" s="79">
        <v>2</v>
      </c>
      <c r="G54" t="s" s="96">
        <v>2701</v>
      </c>
      <c r="H54" t="s" s="96">
        <v>2702</v>
      </c>
      <c r="I54" s="79">
        <v>37</v>
      </c>
      <c r="J54" s="79">
        <v>1</v>
      </c>
      <c r="K54" s="16"/>
      <c r="L54" s="16"/>
      <c r="M54" s="16"/>
      <c r="N54" t="s" s="96">
        <v>11</v>
      </c>
      <c r="O54" s="16"/>
      <c r="P54" s="16"/>
      <c r="Q54" s="16"/>
      <c r="R54" s="16"/>
      <c r="S54" s="79">
        <v>1</v>
      </c>
      <c r="T54" s="79">
        <v>21</v>
      </c>
      <c r="U54" s="16"/>
      <c r="V54" s="16"/>
      <c r="W54" s="16"/>
      <c r="X54" s="16"/>
      <c r="Y54" s="16"/>
      <c r="Z54" s="16"/>
      <c r="AA54" t="s" s="96">
        <v>45</v>
      </c>
      <c r="AB54" t="s" s="96">
        <v>15</v>
      </c>
      <c r="AC54" s="79">
        <v>1</v>
      </c>
      <c r="AD54" s="16"/>
      <c r="AE54" s="16"/>
      <c r="AF54" s="79">
        <v>1</v>
      </c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15.35" customHeight="1">
      <c r="A55" t="s" s="83">
        <v>1759</v>
      </c>
      <c r="B55" s="112">
        <v>1921</v>
      </c>
      <c r="C55" s="30"/>
      <c r="D55" t="s" s="83">
        <v>2643</v>
      </c>
      <c r="E55" s="74"/>
      <c r="F55" s="16"/>
      <c r="G55" s="16"/>
      <c r="H55" s="79">
        <v>7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</row>
    <row r="56" ht="15.35" customHeight="1">
      <c r="A56" t="s" s="83">
        <v>1759</v>
      </c>
      <c r="B56" s="112">
        <v>1921</v>
      </c>
      <c r="C56" s="30"/>
      <c r="D56" t="s" s="83">
        <v>2643</v>
      </c>
      <c r="E56" s="74"/>
      <c r="F56" s="16"/>
      <c r="G56" t="s" s="96">
        <v>1</v>
      </c>
      <c r="H56" t="s" s="96">
        <v>0</v>
      </c>
      <c r="I56" s="16"/>
      <c r="J56" t="s" s="96">
        <v>3</v>
      </c>
      <c r="K56" s="16"/>
      <c r="L56" s="16"/>
      <c r="M56" s="16"/>
      <c r="N56" t="s" s="96">
        <v>2</v>
      </c>
      <c r="O56" s="16"/>
      <c r="P56" s="16"/>
      <c r="Q56" s="16"/>
      <c r="R56" s="16"/>
      <c r="S56" s="16"/>
      <c r="T56" t="s" s="96">
        <v>5</v>
      </c>
      <c r="U56" s="16"/>
      <c r="V56" s="16"/>
      <c r="W56" s="16"/>
      <c r="X56" s="16"/>
      <c r="Y56" s="16"/>
      <c r="Z56" s="16"/>
      <c r="AA56" t="s" s="96">
        <v>7</v>
      </c>
      <c r="AB56" t="s" s="96">
        <v>8</v>
      </c>
      <c r="AC56" s="16"/>
      <c r="AD56" s="16"/>
      <c r="AE56" s="16"/>
      <c r="AF56" t="s" s="96">
        <v>6</v>
      </c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</row>
    <row r="57" ht="15.35" customHeight="1">
      <c r="A57" t="s" s="83">
        <v>1759</v>
      </c>
      <c r="B57" s="112">
        <v>1921</v>
      </c>
      <c r="C57" s="112">
        <v>9</v>
      </c>
      <c r="D57" t="s" s="83">
        <v>2643</v>
      </c>
      <c r="E57" s="74"/>
      <c r="F57" s="79">
        <v>3</v>
      </c>
      <c r="G57" t="s" s="96">
        <v>2703</v>
      </c>
      <c r="H57" t="s" s="96">
        <v>2048</v>
      </c>
      <c r="I57" s="79">
        <v>38</v>
      </c>
      <c r="J57" s="79">
        <v>1</v>
      </c>
      <c r="K57" s="16"/>
      <c r="L57" s="16"/>
      <c r="M57" s="16"/>
      <c r="N57" t="s" s="96">
        <v>72</v>
      </c>
      <c r="O57" s="79">
        <v>1</v>
      </c>
      <c r="P57" s="16"/>
      <c r="Q57" s="16"/>
      <c r="R57" s="16"/>
      <c r="S57" s="16"/>
      <c r="T57" s="79">
        <v>51</v>
      </c>
      <c r="U57" s="16"/>
      <c r="V57" s="16"/>
      <c r="W57" s="16"/>
      <c r="X57" s="16"/>
      <c r="Y57" s="16"/>
      <c r="Z57" s="16"/>
      <c r="AA57" t="s" s="96">
        <v>33</v>
      </c>
      <c r="AB57" t="s" s="96">
        <v>34</v>
      </c>
      <c r="AC57" s="16"/>
      <c r="AD57" s="16"/>
      <c r="AE57" s="16"/>
      <c r="AF57" t="s" s="96">
        <v>868</v>
      </c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</row>
    <row r="58" ht="15.35" customHeight="1">
      <c r="A58" t="s" s="83">
        <v>1759</v>
      </c>
      <c r="B58" s="112">
        <v>1921</v>
      </c>
      <c r="C58" s="112">
        <v>9</v>
      </c>
      <c r="D58" t="s" s="83">
        <v>2643</v>
      </c>
      <c r="E58" s="74"/>
      <c r="F58" s="79">
        <v>3</v>
      </c>
      <c r="G58" t="s" s="96">
        <v>2704</v>
      </c>
      <c r="H58" t="s" s="96">
        <v>2705</v>
      </c>
      <c r="I58" s="79">
        <v>39</v>
      </c>
      <c r="J58" s="79">
        <v>1</v>
      </c>
      <c r="K58" s="16"/>
      <c r="L58" s="16"/>
      <c r="M58" s="16"/>
      <c r="N58" t="s" s="96">
        <v>65</v>
      </c>
      <c r="O58" s="16"/>
      <c r="P58" s="16"/>
      <c r="Q58" s="16"/>
      <c r="R58" s="79">
        <v>1</v>
      </c>
      <c r="S58" s="16"/>
      <c r="T58" s="79">
        <v>20</v>
      </c>
      <c r="U58" s="16"/>
      <c r="V58" t="s" s="96">
        <v>34</v>
      </c>
      <c r="W58" t="s" s="96">
        <v>34</v>
      </c>
      <c r="X58" s="16"/>
      <c r="Y58" s="16"/>
      <c r="Z58" s="16"/>
      <c r="AA58" s="16"/>
      <c r="AB58" s="16"/>
      <c r="AC58" s="16"/>
      <c r="AD58" s="16"/>
      <c r="AE58" s="16"/>
      <c r="AF58" t="s" s="96">
        <v>2706</v>
      </c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</row>
    <row r="59" ht="15.35" customHeight="1">
      <c r="A59" t="s" s="83">
        <v>1759</v>
      </c>
      <c r="B59" s="112">
        <v>1921</v>
      </c>
      <c r="C59" s="112">
        <v>9</v>
      </c>
      <c r="D59" t="s" s="83">
        <v>2643</v>
      </c>
      <c r="E59" s="74"/>
      <c r="F59" s="79">
        <v>3</v>
      </c>
      <c r="G59" t="s" s="96">
        <v>2707</v>
      </c>
      <c r="H59" t="s" s="96">
        <v>2708</v>
      </c>
      <c r="I59" s="79">
        <v>40</v>
      </c>
      <c r="J59" s="79">
        <v>1</v>
      </c>
      <c r="K59" s="16"/>
      <c r="L59" s="16"/>
      <c r="M59" s="16"/>
      <c r="N59" t="s" s="96">
        <v>65</v>
      </c>
      <c r="O59" s="16"/>
      <c r="P59" s="16"/>
      <c r="Q59" s="16"/>
      <c r="R59" s="79">
        <v>1</v>
      </c>
      <c r="S59" s="16"/>
      <c r="T59" s="79">
        <v>20</v>
      </c>
      <c r="U59" s="16"/>
      <c r="V59" t="s" s="96">
        <v>34</v>
      </c>
      <c r="W59" t="s" s="96">
        <v>34</v>
      </c>
      <c r="X59" s="16"/>
      <c r="Y59" s="16"/>
      <c r="Z59" s="16"/>
      <c r="AA59" s="16"/>
      <c r="AB59" s="16"/>
      <c r="AC59" s="16"/>
      <c r="AD59" s="16"/>
      <c r="AE59" s="16"/>
      <c r="AF59" t="s" s="96">
        <v>2706</v>
      </c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</row>
    <row r="60" ht="15.35" customHeight="1">
      <c r="A60" t="s" s="83">
        <v>1759</v>
      </c>
      <c r="B60" s="112">
        <v>1921</v>
      </c>
      <c r="C60" s="112">
        <v>9</v>
      </c>
      <c r="D60" t="s" s="83">
        <v>2643</v>
      </c>
      <c r="E60" s="74"/>
      <c r="F60" s="79">
        <v>3</v>
      </c>
      <c r="G60" t="s" s="96">
        <v>2703</v>
      </c>
      <c r="H60" t="s" s="96">
        <v>2709</v>
      </c>
      <c r="I60" s="79">
        <v>41</v>
      </c>
      <c r="J60" s="79">
        <v>1</v>
      </c>
      <c r="K60" s="16"/>
      <c r="L60" s="16"/>
      <c r="M60" s="16"/>
      <c r="N60" t="s" s="96">
        <v>78</v>
      </c>
      <c r="O60" s="16"/>
      <c r="P60" s="79">
        <v>1</v>
      </c>
      <c r="Q60" s="16"/>
      <c r="R60" s="16"/>
      <c r="S60" s="16"/>
      <c r="T60" s="79">
        <v>15</v>
      </c>
      <c r="U60" s="16"/>
      <c r="V60" t="s" s="96">
        <v>34</v>
      </c>
      <c r="W60" t="s" s="96">
        <v>34</v>
      </c>
      <c r="X60" s="16"/>
      <c r="Y60" s="16"/>
      <c r="Z60" s="16"/>
      <c r="AA60" s="16"/>
      <c r="AB60" s="16"/>
      <c r="AC60" s="16"/>
      <c r="AD60" s="16"/>
      <c r="AE60" s="16"/>
      <c r="AF60" t="s" s="96">
        <v>1617</v>
      </c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5.35" customHeight="1">
      <c r="A61" t="s" s="83">
        <v>1759</v>
      </c>
      <c r="B61" s="112">
        <v>1921</v>
      </c>
      <c r="C61" s="112">
        <v>9</v>
      </c>
      <c r="D61" t="s" s="83">
        <v>2643</v>
      </c>
      <c r="E61" s="74"/>
      <c r="F61" s="79">
        <v>3</v>
      </c>
      <c r="G61" t="s" s="96">
        <v>2703</v>
      </c>
      <c r="H61" t="s" s="96">
        <v>2710</v>
      </c>
      <c r="I61" s="79">
        <v>42</v>
      </c>
      <c r="J61" s="79">
        <v>1</v>
      </c>
      <c r="K61" s="16"/>
      <c r="L61" s="16"/>
      <c r="M61" s="16"/>
      <c r="N61" t="s" s="96">
        <v>78</v>
      </c>
      <c r="O61" s="16"/>
      <c r="P61" s="79">
        <v>1</v>
      </c>
      <c r="Q61" s="16"/>
      <c r="R61" s="16"/>
      <c r="S61" s="16"/>
      <c r="T61" s="79">
        <v>13</v>
      </c>
      <c r="U61" s="16"/>
      <c r="V61" t="s" s="96">
        <v>34</v>
      </c>
      <c r="W61" t="s" s="96">
        <v>34</v>
      </c>
      <c r="X61" s="16"/>
      <c r="Y61" s="16"/>
      <c r="Z61" s="16"/>
      <c r="AA61" s="16"/>
      <c r="AB61" s="16"/>
      <c r="AC61" s="16"/>
      <c r="AD61" s="16"/>
      <c r="AE61" s="16"/>
      <c r="AF61" t="s" s="96">
        <v>2711</v>
      </c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15.35" customHeight="1">
      <c r="A62" t="s" s="83">
        <v>1759</v>
      </c>
      <c r="B62" s="112">
        <v>1921</v>
      </c>
      <c r="C62" s="112">
        <v>9</v>
      </c>
      <c r="D62" t="s" s="83">
        <v>2643</v>
      </c>
      <c r="E62" s="74"/>
      <c r="F62" s="79">
        <v>3</v>
      </c>
      <c r="G62" t="s" s="96">
        <v>2703</v>
      </c>
      <c r="H62" t="s" s="96">
        <v>530</v>
      </c>
      <c r="I62" s="79">
        <v>43</v>
      </c>
      <c r="J62" s="16"/>
      <c r="K62" s="16"/>
      <c r="L62" s="79">
        <v>1</v>
      </c>
      <c r="M62" s="16"/>
      <c r="N62" t="s" s="96">
        <v>78</v>
      </c>
      <c r="O62" s="16"/>
      <c r="P62" s="79">
        <v>1</v>
      </c>
      <c r="Q62" s="16"/>
      <c r="R62" s="16"/>
      <c r="S62" s="16"/>
      <c r="T62" s="79">
        <v>8</v>
      </c>
      <c r="U62" s="16"/>
      <c r="V62" t="s" s="96">
        <v>34</v>
      </c>
      <c r="W62" t="s" s="96">
        <v>34</v>
      </c>
      <c r="X62" s="16"/>
      <c r="Y62" s="16"/>
      <c r="Z62" s="16"/>
      <c r="AA62" s="16"/>
      <c r="AB62" s="16"/>
      <c r="AC62" s="16"/>
      <c r="AD62" s="16"/>
      <c r="AE62" s="16"/>
      <c r="AF62" s="79">
        <v>1</v>
      </c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t="s" s="83">
        <v>1759</v>
      </c>
      <c r="B63" s="112">
        <v>1921</v>
      </c>
      <c r="C63" s="112">
        <v>9</v>
      </c>
      <c r="D63" t="s" s="83">
        <v>2643</v>
      </c>
      <c r="E63" s="74"/>
      <c r="F63" s="16"/>
      <c r="G63" s="16"/>
      <c r="H63" s="79">
        <v>6</v>
      </c>
      <c r="I63" s="79">
        <v>43</v>
      </c>
      <c r="J63" s="79" cm="1">
        <f t="array" ref="J63">SUM(J3:J62)</f>
        <v>27</v>
      </c>
      <c r="K63" s="79" cm="1">
        <f t="array" ref="K63">SUM(K3:K62)</f>
        <v>8</v>
      </c>
      <c r="L63" s="79" cm="1">
        <f t="array" ref="L63">SUM(L3:L62)</f>
        <v>6</v>
      </c>
      <c r="M63" s="79" cm="1">
        <f t="array" ref="M63">SUM(M3:M62)</f>
        <v>2</v>
      </c>
      <c r="N63" s="79" cm="1">
        <f t="array" ref="N63">SUM(N3:N62)</f>
        <v>8</v>
      </c>
      <c r="O63" s="79" cm="1">
        <f t="array" ref="O63">SUM(O3:O62)</f>
        <v>7</v>
      </c>
      <c r="P63" s="79" cm="1">
        <f t="array" ref="P63">SUM(P3:P62)</f>
        <v>12</v>
      </c>
      <c r="Q63" s="79" cm="1">
        <f t="array" ref="Q63">SUM(Q3:Q62)</f>
        <v>3</v>
      </c>
      <c r="R63" s="79" cm="1">
        <f t="array" ref="R63">SUM(R3:R62)</f>
        <v>3</v>
      </c>
      <c r="S63" s="79" cm="1">
        <f t="array" ref="S63">SUM(S3:S62)</f>
        <v>10</v>
      </c>
      <c r="T63" s="79" cm="1">
        <f t="array" ref="T63">SUM(T3:T62)</f>
        <v>1288</v>
      </c>
      <c r="U63" s="79" cm="1">
        <f t="array" ref="U63">SUM(U3:U62)</f>
        <v>0</v>
      </c>
      <c r="V63" s="79" cm="1">
        <f t="array" ref="V63">SUM(V3:V62)</f>
        <v>0</v>
      </c>
      <c r="W63" s="79" cm="1">
        <f t="array" ref="W63">SUM(W3:W62)</f>
        <v>0</v>
      </c>
      <c r="X63" s="79" cm="1">
        <f t="array" ref="X63">SUM(X3:X62)</f>
        <v>0</v>
      </c>
      <c r="Y63" s="79" cm="1">
        <f t="array" ref="Y63">SUM(Y3:Y62)</f>
        <v>0</v>
      </c>
      <c r="Z63" s="79" cm="1">
        <f t="array" ref="Z63">SUM(Z3:Z62)</f>
        <v>0</v>
      </c>
      <c r="AA63" s="79" cm="1">
        <f t="array" ref="AA63">SUM(AA3:AA62)</f>
        <v>0</v>
      </c>
      <c r="AB63" s="79" cm="1">
        <f t="array" ref="AB63">SUM(AB3:AB62)</f>
        <v>0</v>
      </c>
      <c r="AC63" s="79" cm="1">
        <f t="array" ref="AC63">SUM(AC3:AC62)</f>
        <v>17</v>
      </c>
      <c r="AD63" s="79" cm="1">
        <f t="array" ref="AD63">SUM(AD3:AD62)</f>
        <v>4</v>
      </c>
      <c r="AE63" s="79" cm="1">
        <f t="array" ref="AE63">AC63-AD63</f>
        <v>13</v>
      </c>
      <c r="AF63" s="79" cm="1">
        <f t="array" ref="AF63">SUM(AF3:AF62)</f>
        <v>17</v>
      </c>
      <c r="AG63" s="79" cm="1">
        <f t="array" ref="AG63">J64-AF63</f>
        <v>26</v>
      </c>
      <c r="AH63" s="79" cm="1">
        <f t="array" ref="AH63">SUM(AH3:AH62)</f>
        <v>0</v>
      </c>
      <c r="AI63" s="79" cm="1">
        <f t="array" ref="AI63">SUM(AI3:AI62)</f>
        <v>0</v>
      </c>
      <c r="AJ63" s="79" cm="1">
        <f t="array" ref="AJ63">SUM(AJ3:AJ62)</f>
        <v>0</v>
      </c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15.35" customHeight="1">
      <c r="A64" t="s" s="83">
        <v>1759</v>
      </c>
      <c r="B64" s="112">
        <v>1921</v>
      </c>
      <c r="C64" s="112">
        <v>1</v>
      </c>
      <c r="D64" t="s" s="83">
        <v>2643</v>
      </c>
      <c r="E64" s="74"/>
      <c r="F64" s="16"/>
      <c r="G64" s="16"/>
      <c r="H64" s="16"/>
      <c r="I64" s="16"/>
      <c r="J64" s="79" cm="1">
        <f t="array" ref="J64">SUM(J63:M63)</f>
        <v>43</v>
      </c>
      <c r="K64" s="16"/>
      <c r="L64" s="16"/>
      <c r="M64" s="16"/>
      <c r="N64" s="79" cm="1">
        <f t="array" ref="N64">SUM(N63:S63)</f>
        <v>43</v>
      </c>
      <c r="O64" s="16"/>
      <c r="P64" s="16"/>
      <c r="Q64" s="16"/>
      <c r="R64" s="16"/>
      <c r="S64" s="16"/>
      <c r="T64" s="99" cm="1">
        <f t="array" ref="T64">T63/N64</f>
        <v>29.953488372093</v>
      </c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</row>
    <row r="65" ht="15.35" customHeight="1">
      <c r="A65" s="62"/>
      <c r="B65" s="62"/>
      <c r="C65" s="62"/>
      <c r="D65" s="62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</row>
    <row r="66" ht="15.35" customHeight="1">
      <c r="A66" s="16"/>
      <c r="B66" s="16"/>
      <c r="C66" s="132"/>
      <c r="D66" s="132"/>
      <c r="E66" s="16"/>
      <c r="F66" s="132"/>
      <c r="G66" s="132"/>
      <c r="H66" s="132"/>
      <c r="I66" s="16"/>
      <c r="J66" s="16"/>
      <c r="K66" s="16"/>
      <c r="L66" s="16"/>
      <c r="M66" s="16"/>
      <c r="N66" s="132"/>
      <c r="O66" s="16"/>
      <c r="P66" s="132"/>
      <c r="Q66" s="16"/>
      <c r="R66" s="16"/>
      <c r="S66" s="16"/>
      <c r="T66" s="132"/>
      <c r="U66" s="16"/>
      <c r="V66" s="16"/>
      <c r="W66" s="16"/>
      <c r="X66" s="132"/>
      <c r="Y66" s="132"/>
      <c r="Z66" s="132"/>
      <c r="AA66" s="132"/>
      <c r="AB66" s="132"/>
      <c r="AC66" s="132"/>
      <c r="AD66" s="132"/>
      <c r="AE66" s="132"/>
      <c r="AF66" s="132"/>
      <c r="AG66" s="132"/>
      <c r="AH66" s="132"/>
      <c r="AI66" s="132"/>
      <c r="AJ66" s="132"/>
      <c r="AK66" s="132"/>
      <c r="AL66" s="132"/>
      <c r="AM66" s="132"/>
      <c r="AN66" s="132"/>
      <c r="AO66" s="132"/>
      <c r="AP66" s="132"/>
      <c r="AQ66" s="132"/>
      <c r="AR66" s="132"/>
      <c r="AS66" s="132"/>
      <c r="AT66" s="132"/>
      <c r="AU66" s="132"/>
      <c r="AV66" s="132"/>
      <c r="AW66" s="132"/>
      <c r="AX66" s="132"/>
      <c r="AY66" s="132"/>
      <c r="AZ66" s="16"/>
      <c r="BA66" s="16"/>
      <c r="BB66" s="16"/>
      <c r="BC66" s="16"/>
    </row>
    <row r="67" ht="19" customHeight="1">
      <c r="A67" s="141"/>
      <c r="B67" s="141"/>
      <c r="C67" s="30"/>
      <c r="D67" s="30"/>
      <c r="E67" s="141"/>
      <c r="F67" s="29"/>
      <c r="G67" s="29"/>
      <c r="H67" s="29"/>
      <c r="I67" s="122"/>
      <c r="J67" s="417"/>
      <c r="K67" s="74"/>
      <c r="L67" s="16"/>
      <c r="M67" s="75"/>
      <c r="N67" s="29"/>
      <c r="O67" s="122"/>
      <c r="P67" s="29"/>
      <c r="Q67" s="74"/>
      <c r="R67" s="16"/>
      <c r="S67" s="75"/>
      <c r="T67" s="29"/>
      <c r="U67" s="74"/>
      <c r="V67" s="16"/>
      <c r="W67" s="75"/>
      <c r="X67" s="29"/>
      <c r="Y67" s="29"/>
      <c r="Z67" s="29"/>
      <c r="AA67" s="29"/>
      <c r="AB67" s="29"/>
      <c r="AC67" s="29"/>
      <c r="AD67" s="29"/>
      <c r="AE67" s="30"/>
      <c r="AF67" s="30"/>
      <c r="AG67" s="29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74"/>
      <c r="BA67" s="16"/>
      <c r="BB67" s="16"/>
      <c r="BC67" s="16"/>
    </row>
    <row r="68" ht="17.5" customHeight="1">
      <c r="A68" s="30"/>
      <c r="B68" s="30"/>
      <c r="C68" s="30"/>
      <c r="D68" s="30"/>
      <c r="E68" s="30"/>
      <c r="F68" s="30"/>
      <c r="G68" s="30"/>
      <c r="H68" s="30"/>
      <c r="I68" s="122"/>
      <c r="J68" s="30"/>
      <c r="K68" s="74"/>
      <c r="L68" s="16"/>
      <c r="M68" s="75"/>
      <c r="N68" s="30"/>
      <c r="O68" s="122"/>
      <c r="P68" s="30"/>
      <c r="Q68" s="74"/>
      <c r="R68" s="16"/>
      <c r="S68" s="75"/>
      <c r="T68" s="121"/>
      <c r="U68" s="74"/>
      <c r="V68" s="16"/>
      <c r="W68" s="75"/>
      <c r="X68" s="30"/>
      <c r="Y68" s="30"/>
      <c r="Z68" s="30"/>
      <c r="AA68" s="121"/>
      <c r="AB68" s="121"/>
      <c r="AC68" s="30"/>
      <c r="AD68" s="30"/>
      <c r="AE68" s="30"/>
      <c r="AF68" s="30"/>
      <c r="AG68" s="121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74"/>
      <c r="BA68" s="16"/>
      <c r="BB68" s="16"/>
      <c r="BC68" s="16"/>
    </row>
    <row r="69" ht="17.5" customHeight="1">
      <c r="A69" s="30"/>
      <c r="B69" s="30"/>
      <c r="C69" s="30"/>
      <c r="D69" s="30"/>
      <c r="E69" s="30"/>
      <c r="F69" s="30"/>
      <c r="G69" s="30"/>
      <c r="H69" s="30"/>
      <c r="I69" s="122"/>
      <c r="J69" s="30"/>
      <c r="K69" s="74"/>
      <c r="L69" s="16"/>
      <c r="M69" s="75"/>
      <c r="N69" s="30"/>
      <c r="O69" s="122"/>
      <c r="P69" s="30"/>
      <c r="Q69" s="74"/>
      <c r="R69" s="16"/>
      <c r="S69" s="75"/>
      <c r="T69" s="121"/>
      <c r="U69" s="74"/>
      <c r="V69" s="16"/>
      <c r="W69" s="75"/>
      <c r="X69" s="30"/>
      <c r="Y69" s="30"/>
      <c r="Z69" s="30"/>
      <c r="AA69" s="121"/>
      <c r="AB69" s="121"/>
      <c r="AC69" s="30"/>
      <c r="AD69" s="30"/>
      <c r="AE69" s="30"/>
      <c r="AF69" s="30"/>
      <c r="AG69" s="121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74"/>
      <c r="BA69" s="16"/>
      <c r="BB69" s="16"/>
      <c r="BC69" s="16"/>
    </row>
    <row r="70" ht="17.5" customHeight="1">
      <c r="A70" s="30"/>
      <c r="B70" s="30"/>
      <c r="C70" s="30"/>
      <c r="D70" s="30"/>
      <c r="E70" s="30"/>
      <c r="F70" s="30"/>
      <c r="G70" s="30"/>
      <c r="H70" s="30"/>
      <c r="I70" s="122"/>
      <c r="J70" s="30"/>
      <c r="K70" s="74"/>
      <c r="L70" s="16"/>
      <c r="M70" s="75"/>
      <c r="N70" s="30"/>
      <c r="O70" s="122"/>
      <c r="P70" s="30"/>
      <c r="Q70" s="74"/>
      <c r="R70" s="16"/>
      <c r="S70" s="75"/>
      <c r="T70" s="121"/>
      <c r="U70" s="74"/>
      <c r="V70" s="16"/>
      <c r="W70" s="75"/>
      <c r="X70" s="30"/>
      <c r="Y70" s="30"/>
      <c r="Z70" s="30"/>
      <c r="AA70" s="121"/>
      <c r="AB70" s="121"/>
      <c r="AC70" s="30"/>
      <c r="AD70" s="30"/>
      <c r="AE70" s="30"/>
      <c r="AF70" s="30"/>
      <c r="AG70" s="121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74"/>
      <c r="BA70" s="16"/>
      <c r="BB70" s="16"/>
      <c r="BC70" s="16"/>
    </row>
    <row r="71" ht="17.5" customHeight="1">
      <c r="A71" s="30"/>
      <c r="B71" s="30"/>
      <c r="C71" s="30"/>
      <c r="D71" s="30"/>
      <c r="E71" s="30"/>
      <c r="F71" s="30"/>
      <c r="G71" s="30"/>
      <c r="H71" s="30"/>
      <c r="I71" s="122"/>
      <c r="J71" s="30"/>
      <c r="K71" s="74"/>
      <c r="L71" s="16"/>
      <c r="M71" s="75"/>
      <c r="N71" s="30"/>
      <c r="O71" s="122"/>
      <c r="P71" s="30"/>
      <c r="Q71" s="74"/>
      <c r="R71" s="16"/>
      <c r="S71" s="75"/>
      <c r="T71" s="121"/>
      <c r="U71" s="74"/>
      <c r="V71" s="16"/>
      <c r="W71" s="75"/>
      <c r="X71" s="30"/>
      <c r="Y71" s="30"/>
      <c r="Z71" s="30"/>
      <c r="AA71" s="121"/>
      <c r="AB71" s="121"/>
      <c r="AC71" s="30"/>
      <c r="AD71" s="30"/>
      <c r="AE71" s="30"/>
      <c r="AF71" s="30"/>
      <c r="AG71" s="121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74"/>
      <c r="BA71" s="16"/>
      <c r="BB71" s="16"/>
      <c r="BC71" s="16"/>
    </row>
    <row r="72" ht="17.5" customHeight="1">
      <c r="A72" s="30"/>
      <c r="B72" s="30"/>
      <c r="C72" s="30"/>
      <c r="D72" s="30"/>
      <c r="E72" s="30"/>
      <c r="F72" s="30"/>
      <c r="G72" s="30"/>
      <c r="H72" s="30"/>
      <c r="I72" s="122"/>
      <c r="J72" s="30"/>
      <c r="K72" s="74"/>
      <c r="L72" s="16"/>
      <c r="M72" s="75"/>
      <c r="N72" s="30"/>
      <c r="O72" s="122"/>
      <c r="P72" s="30"/>
      <c r="Q72" s="74"/>
      <c r="R72" s="16"/>
      <c r="S72" s="75"/>
      <c r="T72" s="121"/>
      <c r="U72" s="74"/>
      <c r="V72" s="16"/>
      <c r="W72" s="75"/>
      <c r="X72" s="30"/>
      <c r="Y72" s="30"/>
      <c r="Z72" s="30"/>
      <c r="AA72" s="121"/>
      <c r="AB72" s="121"/>
      <c r="AC72" s="30"/>
      <c r="AD72" s="30"/>
      <c r="AE72" s="30"/>
      <c r="AF72" s="30"/>
      <c r="AG72" s="121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74"/>
      <c r="BA72" s="16"/>
      <c r="BB72" s="16"/>
      <c r="BC72" s="16"/>
    </row>
    <row r="73" ht="17.5" customHeight="1">
      <c r="A73" s="30"/>
      <c r="B73" s="30"/>
      <c r="C73" s="30"/>
      <c r="D73" s="30"/>
      <c r="E73" s="30"/>
      <c r="F73" s="30"/>
      <c r="G73" s="30"/>
      <c r="H73" s="30"/>
      <c r="I73" s="122"/>
      <c r="J73" s="30"/>
      <c r="K73" s="74"/>
      <c r="L73" s="16"/>
      <c r="M73" s="75"/>
      <c r="N73" s="30"/>
      <c r="O73" s="122"/>
      <c r="P73" s="30"/>
      <c r="Q73" s="74"/>
      <c r="R73" s="16"/>
      <c r="S73" s="75"/>
      <c r="T73" s="121"/>
      <c r="U73" s="74"/>
      <c r="V73" s="16"/>
      <c r="W73" s="75"/>
      <c r="X73" s="30"/>
      <c r="Y73" s="30"/>
      <c r="Z73" s="30"/>
      <c r="AA73" s="121"/>
      <c r="AB73" s="121"/>
      <c r="AC73" s="30"/>
      <c r="AD73" s="30"/>
      <c r="AE73" s="30"/>
      <c r="AF73" s="30"/>
      <c r="AG73" s="121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74"/>
      <c r="BA73" s="16"/>
      <c r="BB73" s="16"/>
      <c r="BC73" s="16"/>
    </row>
    <row r="74" ht="17.5" customHeight="1">
      <c r="A74" s="30"/>
      <c r="B74" s="30"/>
      <c r="C74" s="30"/>
      <c r="D74" s="30"/>
      <c r="E74" s="30"/>
      <c r="F74" s="30"/>
      <c r="G74" s="30"/>
      <c r="H74" s="30"/>
      <c r="I74" s="122"/>
      <c r="J74" s="30"/>
      <c r="K74" s="74"/>
      <c r="L74" s="16"/>
      <c r="M74" s="75"/>
      <c r="N74" s="30"/>
      <c r="O74" s="122"/>
      <c r="P74" s="30"/>
      <c r="Q74" s="74"/>
      <c r="R74" s="16"/>
      <c r="S74" s="75"/>
      <c r="T74" s="121"/>
      <c r="U74" s="74"/>
      <c r="V74" s="16"/>
      <c r="W74" s="75"/>
      <c r="X74" s="30"/>
      <c r="Y74" s="30"/>
      <c r="Z74" s="30"/>
      <c r="AA74" s="121"/>
      <c r="AB74" s="121"/>
      <c r="AC74" s="30"/>
      <c r="AD74" s="30"/>
      <c r="AE74" s="30"/>
      <c r="AF74" s="30"/>
      <c r="AG74" s="121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74"/>
      <c r="BA74" s="16"/>
      <c r="BB74" s="16"/>
      <c r="BC74" s="16"/>
    </row>
    <row r="75" ht="17.5" customHeight="1">
      <c r="A75" s="30"/>
      <c r="B75" s="30"/>
      <c r="C75" s="30"/>
      <c r="D75" s="30"/>
      <c r="E75" s="30"/>
      <c r="F75" s="30"/>
      <c r="G75" s="30"/>
      <c r="H75" s="30"/>
      <c r="I75" s="122"/>
      <c r="J75" s="30"/>
      <c r="K75" s="74"/>
      <c r="L75" s="16"/>
      <c r="M75" s="75"/>
      <c r="N75" s="30"/>
      <c r="O75" s="122"/>
      <c r="P75" s="30"/>
      <c r="Q75" s="74"/>
      <c r="R75" s="16"/>
      <c r="S75" s="75"/>
      <c r="T75" s="121"/>
      <c r="U75" s="74"/>
      <c r="V75" s="16"/>
      <c r="W75" s="75"/>
      <c r="X75" s="30"/>
      <c r="Y75" s="30"/>
      <c r="Z75" s="30"/>
      <c r="AA75" s="121"/>
      <c r="AB75" s="121"/>
      <c r="AC75" s="30"/>
      <c r="AD75" s="30"/>
      <c r="AE75" s="30"/>
      <c r="AF75" s="30"/>
      <c r="AG75" s="121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74"/>
      <c r="BA75" s="16"/>
      <c r="BB75" s="16"/>
      <c r="BC75" s="16"/>
    </row>
    <row r="76" ht="17" customHeight="1">
      <c r="A76" s="30"/>
      <c r="B76" s="30"/>
      <c r="C76" s="30"/>
      <c r="D76" s="30"/>
      <c r="E76" s="30"/>
      <c r="F76" s="30"/>
      <c r="G76" s="30"/>
      <c r="H76" s="30"/>
      <c r="I76" s="122"/>
      <c r="J76" s="30"/>
      <c r="K76" s="74"/>
      <c r="L76" s="16"/>
      <c r="M76" s="75"/>
      <c r="N76" s="30"/>
      <c r="O76" s="122"/>
      <c r="P76" s="30"/>
      <c r="Q76" s="74"/>
      <c r="R76" s="16"/>
      <c r="S76" s="75"/>
      <c r="T76" s="30"/>
      <c r="U76" s="74"/>
      <c r="V76" s="16"/>
      <c r="W76" s="75"/>
      <c r="X76" s="112" cm="1">
        <f t="array" ref="X76">SUM(X67:X75)</f>
        <v>0</v>
      </c>
      <c r="Y76" s="112" cm="1">
        <f t="array" ref="Y76">SUM(Y67:Y75)</f>
        <v>0</v>
      </c>
      <c r="Z76" s="112" cm="1">
        <f t="array" ref="Z76">SUM(Z67:Z75)</f>
        <v>0</v>
      </c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74"/>
      <c r="BA76" s="16"/>
      <c r="BB76" s="16"/>
      <c r="BC76" s="16"/>
    </row>
    <row r="77" ht="17.5" customHeight="1">
      <c r="A77" s="30"/>
      <c r="B77" s="30"/>
      <c r="C77" s="30"/>
      <c r="D77" s="30"/>
      <c r="E77" s="30"/>
      <c r="F77" s="30"/>
      <c r="G77" s="30"/>
      <c r="H77" s="30"/>
      <c r="I77" s="122"/>
      <c r="J77" s="30"/>
      <c r="K77" s="74"/>
      <c r="L77" s="16"/>
      <c r="M77" s="75"/>
      <c r="N77" s="30"/>
      <c r="O77" s="122"/>
      <c r="P77" s="30"/>
      <c r="Q77" s="74"/>
      <c r="R77" s="16"/>
      <c r="S77" s="75"/>
      <c r="T77" s="121"/>
      <c r="U77" s="74"/>
      <c r="V77" s="16"/>
      <c r="W77" s="75"/>
      <c r="X77" s="30"/>
      <c r="Y77" s="30"/>
      <c r="Z77" s="30"/>
      <c r="AA77" s="121"/>
      <c r="AB77" s="121"/>
      <c r="AC77" s="30"/>
      <c r="AD77" s="30"/>
      <c r="AE77" s="30"/>
      <c r="AF77" s="30"/>
      <c r="AG77" s="121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74"/>
      <c r="BA77" s="16"/>
      <c r="BB77" s="16"/>
      <c r="BC77" s="16"/>
    </row>
    <row r="78" ht="17.5" customHeight="1">
      <c r="A78" s="30"/>
      <c r="B78" s="30"/>
      <c r="C78" s="30"/>
      <c r="D78" s="30"/>
      <c r="E78" s="30"/>
      <c r="F78" s="30"/>
      <c r="G78" s="30"/>
      <c r="H78" s="30"/>
      <c r="I78" s="122"/>
      <c r="J78" s="30"/>
      <c r="K78" s="74"/>
      <c r="L78" s="16"/>
      <c r="M78" s="75"/>
      <c r="N78" s="30"/>
      <c r="O78" s="122"/>
      <c r="P78" s="30"/>
      <c r="Q78" s="74"/>
      <c r="R78" s="16"/>
      <c r="S78" s="75"/>
      <c r="T78" s="121"/>
      <c r="U78" s="74"/>
      <c r="V78" s="16"/>
      <c r="W78" s="75"/>
      <c r="X78" s="30"/>
      <c r="Y78" s="30"/>
      <c r="Z78" s="30"/>
      <c r="AA78" s="121"/>
      <c r="AB78" s="121"/>
      <c r="AC78" s="30"/>
      <c r="AD78" s="30"/>
      <c r="AE78" s="30"/>
      <c r="AF78" s="30"/>
      <c r="AG78" s="121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74"/>
      <c r="BA78" s="16"/>
      <c r="BB78" s="16"/>
      <c r="BC78" s="16"/>
    </row>
    <row r="79" ht="17.5" customHeight="1">
      <c r="A79" s="30"/>
      <c r="B79" s="30"/>
      <c r="C79" s="30"/>
      <c r="D79" s="30"/>
      <c r="E79" s="124"/>
      <c r="F79" s="28"/>
      <c r="G79" s="28"/>
      <c r="H79" s="28"/>
      <c r="I79" s="122"/>
      <c r="J79" s="125"/>
      <c r="K79" s="74"/>
      <c r="L79" s="16"/>
      <c r="M79" s="75"/>
      <c r="N79" s="28"/>
      <c r="O79" s="122"/>
      <c r="P79" s="28"/>
      <c r="Q79" s="74"/>
      <c r="R79" s="16"/>
      <c r="S79" s="75"/>
      <c r="T79" s="28"/>
      <c r="U79" s="74"/>
      <c r="V79" s="16"/>
      <c r="W79" s="75"/>
      <c r="X79" s="28"/>
      <c r="Y79" s="28"/>
      <c r="Z79" s="28"/>
      <c r="AA79" s="28"/>
      <c r="AB79" s="28"/>
      <c r="AC79" s="28"/>
      <c r="AD79" s="28"/>
      <c r="AE79" s="30"/>
      <c r="AF79" s="30"/>
      <c r="AG79" s="28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74"/>
      <c r="BA79" s="16"/>
      <c r="BB79" s="16"/>
      <c r="BC79" s="16"/>
    </row>
    <row r="80" ht="28" customHeight="1">
      <c r="A80" s="30"/>
      <c r="B80" s="30"/>
      <c r="C80" s="30"/>
      <c r="D80" s="30"/>
      <c r="E80" s="124"/>
      <c r="F80" s="28"/>
      <c r="G80" s="28"/>
      <c r="H80" s="28"/>
      <c r="I80" s="131"/>
      <c r="J80" s="297"/>
      <c r="K80" s="132"/>
      <c r="L80" s="132"/>
      <c r="M80" s="133"/>
      <c r="N80" s="163"/>
      <c r="O80" s="132"/>
      <c r="P80" s="165"/>
      <c r="Q80" s="131"/>
      <c r="R80" s="132"/>
      <c r="S80" s="133"/>
      <c r="T80" s="28"/>
      <c r="U80" s="131"/>
      <c r="V80" s="132"/>
      <c r="W80" s="133"/>
      <c r="X80" s="28"/>
      <c r="Y80" s="28"/>
      <c r="Z80" s="28"/>
      <c r="AA80" s="28"/>
      <c r="AB80" s="28"/>
      <c r="AC80" s="28"/>
      <c r="AD80" s="124"/>
      <c r="AE80" s="30"/>
      <c r="AF80" s="30"/>
      <c r="AG80" s="28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74"/>
      <c r="BA80" s="16"/>
      <c r="BB80" s="16"/>
      <c r="BC80" s="16"/>
    </row>
    <row r="81" ht="17.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112" cm="1">
        <f t="array" ref="U81">SUM(U67:U80)</f>
        <v>0</v>
      </c>
      <c r="V81" s="112" cm="1">
        <f t="array" ref="V81">SUM(V67:V80)</f>
        <v>0</v>
      </c>
      <c r="W81" s="112" cm="1">
        <f t="array" ref="W81">SUM(W67:W80)</f>
        <v>0</v>
      </c>
      <c r="X81" s="112" cm="1">
        <f t="array" ref="X81">SUM(X67:X80)</f>
        <v>0</v>
      </c>
      <c r="Y81" s="112" cm="1">
        <f t="array" ref="Y81">SUM(Y67:Y80)</f>
        <v>0</v>
      </c>
      <c r="Z81" s="112" cm="1">
        <f t="array" ref="Z81">SUM(Z67:Z80)</f>
        <v>0</v>
      </c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74"/>
      <c r="BA81" s="16"/>
      <c r="BB81" s="16"/>
      <c r="BC81" s="16"/>
    </row>
    <row r="82" ht="17.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121"/>
      <c r="N82" s="121"/>
      <c r="O82" s="121"/>
      <c r="P82" s="121"/>
      <c r="Q82" s="30"/>
      <c r="R82" s="121"/>
      <c r="S82" s="121"/>
      <c r="T82" s="87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74"/>
      <c r="BA82" s="16"/>
      <c r="BB82" s="16"/>
      <c r="BC82" s="16"/>
    </row>
    <row r="83" ht="17.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121"/>
      <c r="N83" s="121"/>
      <c r="O83" s="121"/>
      <c r="P83" s="121"/>
      <c r="Q83" s="121"/>
      <c r="R83" s="121"/>
      <c r="S83" s="121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74"/>
      <c r="BA83" s="16"/>
      <c r="BB83" s="16"/>
      <c r="BC83" s="16"/>
    </row>
    <row r="84" ht="17.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121"/>
      <c r="N84" s="121"/>
      <c r="O84" s="121"/>
      <c r="P84" s="121"/>
      <c r="Q84" s="121"/>
      <c r="R84" s="121"/>
      <c r="S84" s="121"/>
      <c r="T84" s="30"/>
      <c r="U84" s="121"/>
      <c r="V84" s="121"/>
      <c r="W84" s="121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74"/>
      <c r="BA84" s="16"/>
      <c r="BB84" s="16"/>
      <c r="BC84" s="16"/>
    </row>
    <row r="85" ht="17.5" customHeight="1">
      <c r="A85" s="30"/>
      <c r="B85" s="30"/>
      <c r="C85" s="30"/>
      <c r="D85" s="30"/>
      <c r="E85" s="30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30"/>
      <c r="R85" s="121"/>
      <c r="S85" s="121"/>
      <c r="T85" s="30"/>
      <c r="U85" s="121"/>
      <c r="V85" s="121"/>
      <c r="W85" s="121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74"/>
      <c r="BA85" s="16"/>
      <c r="BB85" s="16"/>
      <c r="BC85" s="16"/>
    </row>
    <row r="86" ht="17.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121"/>
      <c r="N86" s="121"/>
      <c r="O86" s="121"/>
      <c r="P86" s="121"/>
      <c r="Q86" s="30"/>
      <c r="R86" s="121"/>
      <c r="S86" s="121"/>
      <c r="T86" s="30"/>
      <c r="U86" s="121"/>
      <c r="V86" s="121"/>
      <c r="W86" s="121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74"/>
      <c r="BA86" s="16"/>
      <c r="BB86" s="16"/>
      <c r="BC86" s="16"/>
    </row>
    <row r="87" ht="17.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121"/>
      <c r="N87" s="121"/>
      <c r="O87" s="121"/>
      <c r="P87" s="121"/>
      <c r="Q87" s="30"/>
      <c r="R87" s="121"/>
      <c r="S87" s="121"/>
      <c r="T87" s="30"/>
      <c r="U87" s="121"/>
      <c r="V87" s="121"/>
      <c r="W87" s="121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74"/>
      <c r="BA87" s="16"/>
      <c r="BB87" s="16"/>
      <c r="BC87" s="16"/>
    </row>
    <row r="88" ht="17.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121"/>
      <c r="N88" s="121"/>
      <c r="O88" s="121"/>
      <c r="P88" s="121"/>
      <c r="Q88" s="30"/>
      <c r="R88" s="121"/>
      <c r="S88" s="121"/>
      <c r="T88" s="30"/>
      <c r="U88" s="121"/>
      <c r="V88" s="121"/>
      <c r="W88" s="121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74"/>
      <c r="BA88" s="16"/>
      <c r="BB88" s="16"/>
      <c r="BC88" s="16"/>
    </row>
    <row r="89" ht="17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121"/>
      <c r="N89" s="121"/>
      <c r="O89" s="121"/>
      <c r="P89" s="121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74"/>
      <c r="BA89" s="16"/>
      <c r="BB89" s="16"/>
      <c r="BC89" s="16"/>
    </row>
    <row r="90" ht="17.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121"/>
      <c r="N90" s="121"/>
      <c r="O90" s="121"/>
      <c r="P90" s="121"/>
      <c r="Q90" s="30"/>
      <c r="R90" s="121"/>
      <c r="S90" s="121"/>
      <c r="T90" s="129"/>
      <c r="U90" s="121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74"/>
      <c r="BA90" s="16"/>
      <c r="BB90" s="16"/>
      <c r="BC90" s="16"/>
    </row>
    <row r="91" ht="17.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121"/>
      <c r="N91" s="121"/>
      <c r="O91" s="121"/>
      <c r="P91" s="121"/>
      <c r="Q91" s="30"/>
      <c r="R91" s="121"/>
      <c r="S91" s="121"/>
      <c r="T91" s="30"/>
      <c r="U91" s="121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74"/>
      <c r="BA91" s="16"/>
      <c r="BB91" s="16"/>
      <c r="BC91" s="16"/>
    </row>
    <row r="92" ht="17.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121"/>
      <c r="N92" s="121"/>
      <c r="O92" s="121"/>
      <c r="P92" s="121"/>
      <c r="Q92" s="30"/>
      <c r="R92" s="121"/>
      <c r="S92" s="121"/>
      <c r="T92" s="30"/>
      <c r="U92" s="121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74"/>
      <c r="BA92" s="16"/>
      <c r="BB92" s="16"/>
      <c r="BC92" s="16"/>
    </row>
    <row r="93" ht="17.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121"/>
      <c r="N93" s="121"/>
      <c r="O93" s="121"/>
      <c r="P93" s="121"/>
      <c r="Q93" s="30"/>
      <c r="R93" s="121"/>
      <c r="S93" s="121"/>
      <c r="T93" s="129"/>
      <c r="U93" s="121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74"/>
      <c r="BA93" s="16"/>
      <c r="BB93" s="16"/>
      <c r="BC93" s="16"/>
    </row>
    <row r="94" ht="17.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121"/>
      <c r="S94" s="121"/>
      <c r="T94" s="30"/>
      <c r="U94" s="121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74"/>
      <c r="BA94" s="16"/>
      <c r="BB94" s="16"/>
      <c r="BC94" s="16"/>
    </row>
    <row r="95" ht="17.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121"/>
      <c r="N95" s="121"/>
      <c r="O95" s="121"/>
      <c r="P95" s="121"/>
      <c r="Q95" s="30"/>
      <c r="R95" s="121"/>
      <c r="S95" s="121"/>
      <c r="T95" s="30"/>
      <c r="U95" s="121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74"/>
      <c r="BA95" s="16"/>
      <c r="BB95" s="16"/>
      <c r="BC95" s="16"/>
    </row>
    <row r="96" ht="17.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121"/>
      <c r="N96" s="121"/>
      <c r="O96" s="121"/>
      <c r="P96" s="121"/>
      <c r="Q96" s="30"/>
      <c r="R96" s="121"/>
      <c r="S96" s="121"/>
      <c r="T96" s="30"/>
      <c r="U96" s="121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74"/>
      <c r="BA96" s="16"/>
      <c r="BB96" s="16"/>
      <c r="BC96" s="16"/>
    </row>
    <row r="97" ht="17" customHeight="1">
      <c r="A97" s="83"/>
      <c r="B97" s="30"/>
      <c r="C97" s="30"/>
      <c r="D97" s="30"/>
      <c r="E97" s="30"/>
      <c r="F97" s="28"/>
      <c r="G97" s="28"/>
      <c r="H97" s="28"/>
      <c r="I97" s="28"/>
      <c r="J97" s="28"/>
      <c r="K97" s="125"/>
      <c r="L97" s="28"/>
      <c r="M97" s="28"/>
      <c r="N97" s="28"/>
      <c r="O97" s="28"/>
      <c r="P97" s="28"/>
      <c r="Q97" s="30"/>
      <c r="R97" s="30"/>
      <c r="S97" s="30"/>
      <c r="T97" s="30"/>
      <c r="U97" s="112" cm="1">
        <f t="array" ref="U97">SUM(U67:U96)</f>
        <v>0</v>
      </c>
      <c r="V97" s="112" cm="1">
        <f t="array" ref="V97">SUM(V67:V96)</f>
        <v>0</v>
      </c>
      <c r="W97" s="112" cm="1">
        <f t="array" ref="W97">SUM(W67:W96)</f>
        <v>0</v>
      </c>
      <c r="X97" s="30"/>
      <c r="Y97" s="30"/>
      <c r="Z97" s="112" cm="1">
        <f t="array" ref="Z97">SUM(Z67:Z96)</f>
        <v>0</v>
      </c>
      <c r="AA97" s="112" cm="1">
        <f t="array" ref="AA97">SUM(AA67:AA96)</f>
        <v>0</v>
      </c>
      <c r="AB97" s="112" cm="1">
        <f t="array" ref="AB97">SUM(AB67:AB96)</f>
        <v>0</v>
      </c>
      <c r="AC97" s="112" cm="1">
        <f t="array" ref="AC97">SUM(AC67:AC96)</f>
        <v>0</v>
      </c>
      <c r="AD97" s="112" cm="1">
        <f t="array" ref="AD97">SUM(AD67:AD96)</f>
        <v>0</v>
      </c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74"/>
      <c r="BA97" s="16"/>
      <c r="BB97" s="16"/>
      <c r="BC97" s="16"/>
    </row>
    <row r="98" ht="17" customHeight="1">
      <c r="A98" s="30"/>
      <c r="B98" s="30"/>
      <c r="C98" s="30"/>
      <c r="D98" s="30"/>
      <c r="E98" s="30"/>
      <c r="F98" s="28"/>
      <c r="G98" s="28"/>
      <c r="H98" s="28"/>
      <c r="I98" s="28"/>
      <c r="J98" s="163"/>
      <c r="K98" s="297"/>
      <c r="L98" s="165"/>
      <c r="M98" s="28"/>
      <c r="N98" s="28"/>
      <c r="O98" s="28"/>
      <c r="P98" s="28"/>
      <c r="Q98" s="87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74"/>
      <c r="BA98" s="16"/>
      <c r="BB98" s="16"/>
      <c r="BC98" s="16"/>
    </row>
    <row r="99" ht="17" customHeight="1">
      <c r="A99" s="30"/>
      <c r="B99" s="30"/>
      <c r="C99" s="30"/>
      <c r="D99" s="30"/>
      <c r="E99" s="30"/>
      <c r="F99" s="30"/>
      <c r="G99" s="130"/>
      <c r="H99" s="130"/>
      <c r="I99" s="130"/>
      <c r="J99" s="30"/>
      <c r="K99" s="30"/>
      <c r="L99" s="30"/>
      <c r="M99" s="30"/>
      <c r="N99" s="30"/>
      <c r="O99" s="30"/>
      <c r="P99" s="30"/>
      <c r="Q99" s="87"/>
      <c r="R99" s="130"/>
      <c r="S99" s="130"/>
      <c r="T99" s="1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74"/>
      <c r="BA99" s="16"/>
      <c r="BB99" s="16"/>
      <c r="BC99" s="16"/>
    </row>
    <row r="100" ht="17.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121"/>
      <c r="S100" s="121"/>
      <c r="T100" s="129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74"/>
      <c r="BA100" s="16"/>
      <c r="BB100" s="16"/>
      <c r="BC100" s="16"/>
    </row>
    <row r="101" ht="17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130"/>
      <c r="S101" s="130"/>
      <c r="T101" s="130"/>
      <c r="U101" s="30"/>
      <c r="V101" s="30"/>
      <c r="W101" s="30"/>
      <c r="X101" s="30"/>
      <c r="Y101" s="30"/>
      <c r="Z101" s="30"/>
      <c r="AA101" s="30"/>
      <c r="AB101" s="30"/>
      <c r="AC101" s="134"/>
      <c r="AD101" s="134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74"/>
      <c r="BA101" s="16"/>
      <c r="BB101" s="16"/>
      <c r="BC101" s="16"/>
    </row>
    <row r="102" ht="17.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121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74"/>
      <c r="BA102" s="16"/>
      <c r="BB102" s="16"/>
      <c r="BC102" s="16"/>
    </row>
    <row r="103" ht="15.35" customHeight="1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62"/>
      <c r="AF103" s="62"/>
      <c r="AG103" s="62"/>
      <c r="AH103" s="62"/>
      <c r="AI103" s="62"/>
      <c r="AJ103" s="62"/>
      <c r="AK103" s="62"/>
      <c r="AL103" s="62"/>
      <c r="AM103" s="62"/>
      <c r="AN103" s="62"/>
      <c r="AO103" s="62"/>
      <c r="AP103" s="62"/>
      <c r="AQ103" s="62"/>
      <c r="AR103" s="62"/>
      <c r="AS103" s="62"/>
      <c r="AT103" s="62"/>
      <c r="AU103" s="62"/>
      <c r="AV103" s="62"/>
      <c r="AW103" s="62"/>
      <c r="AX103" s="62"/>
      <c r="AY103" s="62"/>
      <c r="AZ103" s="16"/>
      <c r="BA103" s="16"/>
      <c r="BB103" s="16"/>
      <c r="BC103" s="16"/>
    </row>
    <row r="104" ht="15.35" customHeight="1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</row>
    <row r="105" ht="15.35" customHeight="1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</row>
    <row r="106" ht="15.35" customHeight="1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</row>
    <row r="107" ht="15.35" customHeight="1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</row>
    <row r="108" ht="15.3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</row>
    <row r="109" ht="15.3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</row>
    <row r="110" ht="15.3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</row>
    <row r="111" ht="15.3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</row>
    <row r="112" ht="15.35" customHeight="1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</row>
    <row r="113" ht="15.3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</row>
    <row r="114" ht="15.3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</row>
    <row r="115" ht="15.3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</row>
    <row r="116" ht="15.3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</row>
    <row r="117" ht="15.3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</row>
    <row r="118" ht="15.3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</row>
    <row r="119" ht="15.3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</row>
    <row r="120" ht="15.3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</row>
    <row r="121" ht="15.3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</row>
    <row r="122" ht="15.3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</row>
    <row r="123" ht="15.3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</row>
    <row r="124" ht="15.3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</row>
    <row r="125" ht="15.3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</row>
    <row r="126" ht="15.3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4.xml><?xml version="1.0" encoding="utf-8"?>
<worksheet xmlns:r="http://schemas.openxmlformats.org/officeDocument/2006/relationships" xmlns="http://schemas.openxmlformats.org/spreadsheetml/2006/main">
  <dimension ref="A1:BC376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434" customWidth="1"/>
    <col min="4" max="4" width="17.8516" style="434" customWidth="1"/>
    <col min="5" max="5" width="20.1719" style="434" customWidth="1"/>
    <col min="6" max="6" width="9.85156" style="434" customWidth="1"/>
    <col min="7" max="7" width="10.8516" style="434" customWidth="1"/>
    <col min="8" max="8" width="18.5" style="434" customWidth="1"/>
    <col min="9" max="10" width="10.8516" style="434" customWidth="1"/>
    <col min="11" max="11" width="8.5" style="434" customWidth="1"/>
    <col min="12" max="12" width="7.85156" style="434" customWidth="1"/>
    <col min="13" max="13" width="10" style="434" customWidth="1"/>
    <col min="14" max="14" width="8.67188" style="434" customWidth="1"/>
    <col min="15" max="15" width="8.5" style="434" customWidth="1"/>
    <col min="16" max="16" width="11.5" style="434" customWidth="1"/>
    <col min="17" max="17" width="11.6719" style="434" customWidth="1"/>
    <col min="18" max="18" width="12.3516" style="434" customWidth="1"/>
    <col min="19" max="19" width="10.8516" style="434" customWidth="1"/>
    <col min="20" max="20" width="15.1719" style="434" customWidth="1"/>
    <col min="21" max="23" width="10.8516" style="434" customWidth="1"/>
    <col min="24" max="24" width="31" style="434" customWidth="1"/>
    <col min="25" max="25" width="19.8516" style="434" customWidth="1"/>
    <col min="26" max="26" width="12.1719" style="434" customWidth="1"/>
    <col min="27" max="30" width="16.5" style="434" customWidth="1"/>
    <col min="31" max="31" width="14.6719" style="434" customWidth="1"/>
    <col min="32" max="32" width="10.8516" style="434" customWidth="1"/>
    <col min="33" max="33" width="11" style="434" customWidth="1"/>
    <col min="34" max="34" width="11.1719" style="434" customWidth="1"/>
    <col min="35" max="35" width="7.85156" style="434" customWidth="1"/>
    <col min="36" max="37" width="10.8516" style="434" customWidth="1"/>
    <col min="38" max="38" width="7.35156" style="434" customWidth="1"/>
    <col min="39" max="39" width="10.8516" style="434" customWidth="1"/>
    <col min="40" max="40" width="9.17188" style="434" customWidth="1"/>
    <col min="41" max="41" width="10.8516" style="434" customWidth="1"/>
    <col min="42" max="42" width="12.5" style="434" customWidth="1"/>
    <col min="43" max="43" width="13" style="434" customWidth="1"/>
    <col min="44" max="55" width="10.8516" style="434" customWidth="1"/>
    <col min="56" max="16384" width="10.8516" style="434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2712</v>
      </c>
      <c r="B3" s="111">
        <v>1921</v>
      </c>
      <c r="C3" s="112">
        <v>1</v>
      </c>
      <c r="D3" t="s" s="83">
        <v>2713</v>
      </c>
      <c r="E3" s="30"/>
      <c r="F3" s="29"/>
      <c r="G3" t="s" s="82">
        <v>1</v>
      </c>
      <c r="H3" t="s" s="27">
        <v>0</v>
      </c>
      <c r="I3" s="116"/>
      <c r="J3" t="s" s="98">
        <v>3</v>
      </c>
      <c r="K3" s="62"/>
      <c r="L3" s="62"/>
      <c r="M3" s="117"/>
      <c r="N3" t="s" s="204">
        <v>2</v>
      </c>
      <c r="O3" s="116"/>
      <c r="P3" s="62"/>
      <c r="Q3" s="62"/>
      <c r="R3" s="62"/>
      <c r="S3" s="62"/>
      <c r="T3" t="s" s="96">
        <v>5</v>
      </c>
      <c r="U3" s="16"/>
      <c r="V3" s="16"/>
      <c r="W3" s="117"/>
      <c r="X3" s="29"/>
      <c r="Y3" s="29"/>
      <c r="Z3" s="29"/>
      <c r="AA3" t="s" s="82">
        <v>7</v>
      </c>
      <c r="AB3" t="s" s="27">
        <v>8</v>
      </c>
      <c r="AC3" s="29"/>
      <c r="AD3" s="29"/>
      <c r="AE3" s="30"/>
      <c r="AF3" t="s" s="27">
        <v>6</v>
      </c>
      <c r="AG3" s="29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2712</v>
      </c>
      <c r="B4" s="112">
        <v>1921</v>
      </c>
      <c r="C4" s="112">
        <v>1</v>
      </c>
      <c r="D4" t="s" s="83">
        <v>2713</v>
      </c>
      <c r="E4" s="30"/>
      <c r="F4" s="112">
        <v>9</v>
      </c>
      <c r="G4" t="s" s="159">
        <v>91</v>
      </c>
      <c r="H4" t="s" s="83">
        <v>2714</v>
      </c>
      <c r="I4" s="156">
        <v>1</v>
      </c>
      <c r="J4" t="s" s="96">
        <v>37</v>
      </c>
      <c r="K4" s="79">
        <v>1</v>
      </c>
      <c r="L4" s="16"/>
      <c r="M4" s="75"/>
      <c r="N4" s="112">
        <v>1</v>
      </c>
      <c r="O4" s="74"/>
      <c r="P4" s="16"/>
      <c r="Q4" s="16"/>
      <c r="R4" s="16"/>
      <c r="S4" s="16"/>
      <c r="T4" s="79">
        <v>73</v>
      </c>
      <c r="U4" s="16"/>
      <c r="V4" s="16"/>
      <c r="W4" s="75"/>
      <c r="X4" s="30"/>
      <c r="Y4" s="30"/>
      <c r="Z4" s="30"/>
      <c r="AA4" t="s" s="159">
        <v>92</v>
      </c>
      <c r="AB4" t="s" s="83">
        <v>8</v>
      </c>
      <c r="AC4" s="112">
        <v>1</v>
      </c>
      <c r="AD4" s="112">
        <v>1</v>
      </c>
      <c r="AE4" s="30"/>
      <c r="AF4" t="s" s="83">
        <v>790</v>
      </c>
      <c r="AG4" s="121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2712</v>
      </c>
      <c r="B5" s="112">
        <v>1921</v>
      </c>
      <c r="C5" s="112">
        <v>1</v>
      </c>
      <c r="D5" t="s" s="83">
        <v>2713</v>
      </c>
      <c r="E5" s="30"/>
      <c r="F5" s="112">
        <v>9</v>
      </c>
      <c r="G5" t="s" s="159">
        <v>91</v>
      </c>
      <c r="H5" t="s" s="83">
        <v>2715</v>
      </c>
      <c r="I5" s="156">
        <v>2</v>
      </c>
      <c r="J5" s="79">
        <v>1</v>
      </c>
      <c r="K5" s="16"/>
      <c r="L5" s="16"/>
      <c r="M5" s="75"/>
      <c r="N5" t="s" s="83">
        <v>72</v>
      </c>
      <c r="O5" s="156">
        <v>1</v>
      </c>
      <c r="P5" s="16"/>
      <c r="Q5" s="16"/>
      <c r="R5" s="16"/>
      <c r="S5" s="16"/>
      <c r="T5" s="79">
        <v>69</v>
      </c>
      <c r="U5" s="16"/>
      <c r="V5" s="16"/>
      <c r="W5" s="75"/>
      <c r="X5" s="30"/>
      <c r="Y5" s="30"/>
      <c r="Z5" s="30"/>
      <c r="AA5" t="s" s="159">
        <v>33</v>
      </c>
      <c r="AB5" t="s" s="83">
        <v>34</v>
      </c>
      <c r="AC5" s="30"/>
      <c r="AD5" s="30"/>
      <c r="AE5" s="30"/>
      <c r="AF5" t="s" s="83">
        <v>34</v>
      </c>
      <c r="AG5" s="121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2712</v>
      </c>
      <c r="B6" s="112">
        <v>1921</v>
      </c>
      <c r="C6" s="112">
        <v>1</v>
      </c>
      <c r="D6" t="s" s="83">
        <v>2713</v>
      </c>
      <c r="E6" s="30"/>
      <c r="F6" s="112">
        <v>9</v>
      </c>
      <c r="G6" t="s" s="159">
        <v>91</v>
      </c>
      <c r="H6" t="s" s="83">
        <v>2716</v>
      </c>
      <c r="I6" s="156">
        <v>3</v>
      </c>
      <c r="J6" s="79">
        <v>1</v>
      </c>
      <c r="K6" s="16"/>
      <c r="L6" s="16"/>
      <c r="M6" s="75"/>
      <c r="N6" t="s" s="83">
        <v>78</v>
      </c>
      <c r="O6" s="74"/>
      <c r="P6" s="79">
        <v>1</v>
      </c>
      <c r="Q6" s="16"/>
      <c r="R6" s="16"/>
      <c r="S6" s="16"/>
      <c r="T6" s="79">
        <v>37</v>
      </c>
      <c r="U6" s="16"/>
      <c r="V6" s="16"/>
      <c r="W6" s="75"/>
      <c r="X6" s="30"/>
      <c r="Y6" s="30"/>
      <c r="Z6" s="30"/>
      <c r="AA6" t="s" s="159">
        <v>33</v>
      </c>
      <c r="AB6" t="s" s="83">
        <v>34</v>
      </c>
      <c r="AC6" s="30"/>
      <c r="AD6" s="30"/>
      <c r="AE6" s="30"/>
      <c r="AF6" s="112">
        <v>1</v>
      </c>
      <c r="AG6" s="121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2712</v>
      </c>
      <c r="B7" s="112">
        <v>1921</v>
      </c>
      <c r="C7" s="112">
        <v>1</v>
      </c>
      <c r="D7" t="s" s="83">
        <v>2713</v>
      </c>
      <c r="E7" s="30"/>
      <c r="F7" s="112">
        <v>9</v>
      </c>
      <c r="G7" t="s" s="159">
        <v>91</v>
      </c>
      <c r="H7" t="s" s="83">
        <v>2717</v>
      </c>
      <c r="I7" s="156">
        <v>4</v>
      </c>
      <c r="J7" s="79">
        <v>1</v>
      </c>
      <c r="K7" s="16"/>
      <c r="L7" s="16"/>
      <c r="M7" s="75"/>
      <c r="N7" t="s" s="83">
        <v>78</v>
      </c>
      <c r="O7" s="74"/>
      <c r="P7" s="79">
        <v>1</v>
      </c>
      <c r="Q7" s="16"/>
      <c r="R7" s="16"/>
      <c r="S7" s="16"/>
      <c r="T7" s="79">
        <v>30</v>
      </c>
      <c r="U7" s="16"/>
      <c r="V7" s="16"/>
      <c r="W7" s="75"/>
      <c r="X7" s="30"/>
      <c r="Y7" s="30"/>
      <c r="Z7" s="30"/>
      <c r="AA7" t="s" s="159">
        <v>2718</v>
      </c>
      <c r="AB7" t="s" s="83">
        <v>603</v>
      </c>
      <c r="AC7" s="112">
        <v>1</v>
      </c>
      <c r="AD7" s="30"/>
      <c r="AE7" s="30"/>
      <c r="AF7" s="112">
        <v>1</v>
      </c>
      <c r="AG7" s="121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2712</v>
      </c>
      <c r="B8" s="112">
        <v>1921</v>
      </c>
      <c r="C8" s="112">
        <v>1</v>
      </c>
      <c r="D8" t="s" s="83">
        <v>2713</v>
      </c>
      <c r="E8" s="30"/>
      <c r="F8" s="112">
        <v>9</v>
      </c>
      <c r="G8" t="s" s="159">
        <v>2719</v>
      </c>
      <c r="H8" t="s" s="83">
        <v>1148</v>
      </c>
      <c r="I8" s="156">
        <v>5</v>
      </c>
      <c r="J8" s="79">
        <v>1</v>
      </c>
      <c r="K8" s="16"/>
      <c r="L8" s="16"/>
      <c r="M8" s="75"/>
      <c r="N8" t="s" s="83">
        <v>11</v>
      </c>
      <c r="O8" s="74"/>
      <c r="P8" s="16"/>
      <c r="Q8" s="16"/>
      <c r="R8" s="16"/>
      <c r="S8" s="79">
        <v>1</v>
      </c>
      <c r="T8" s="79">
        <v>54</v>
      </c>
      <c r="U8" s="16"/>
      <c r="V8" s="16"/>
      <c r="W8" s="75"/>
      <c r="X8" s="30"/>
      <c r="Y8" s="30"/>
      <c r="Z8" s="30"/>
      <c r="AA8" t="s" s="159">
        <v>45</v>
      </c>
      <c r="AB8" t="s" s="83">
        <v>15</v>
      </c>
      <c r="AC8" s="112">
        <v>1</v>
      </c>
      <c r="AD8" s="30"/>
      <c r="AE8" s="30"/>
      <c r="AF8" t="s" s="83">
        <v>954</v>
      </c>
      <c r="AG8" s="121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2712</v>
      </c>
      <c r="B9" s="112">
        <v>1921</v>
      </c>
      <c r="C9" s="30"/>
      <c r="D9" t="s" s="83">
        <v>2713</v>
      </c>
      <c r="E9" s="30"/>
      <c r="F9" s="30"/>
      <c r="G9" s="122"/>
      <c r="H9" s="112">
        <v>5</v>
      </c>
      <c r="I9" s="74"/>
      <c r="J9" s="16"/>
      <c r="K9" s="16"/>
      <c r="L9" s="16"/>
      <c r="M9" s="75"/>
      <c r="N9" s="30"/>
      <c r="O9" s="74"/>
      <c r="P9" s="16"/>
      <c r="Q9" s="16"/>
      <c r="R9" s="16"/>
      <c r="S9" s="16"/>
      <c r="T9" s="16"/>
      <c r="U9" s="16"/>
      <c r="V9" s="16"/>
      <c r="W9" s="75"/>
      <c r="X9" s="30"/>
      <c r="Y9" s="30"/>
      <c r="Z9" s="30"/>
      <c r="AA9" s="122"/>
      <c r="AB9" s="30"/>
      <c r="AC9" s="30"/>
      <c r="AD9" s="30"/>
      <c r="AE9" s="30"/>
      <c r="AF9" s="30"/>
      <c r="AG9" s="12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2712</v>
      </c>
      <c r="B10" s="112">
        <v>1921</v>
      </c>
      <c r="C10" s="30"/>
      <c r="D10" t="s" s="83">
        <v>2713</v>
      </c>
      <c r="E10" s="30"/>
      <c r="F10" s="30"/>
      <c r="G10" t="s" s="159">
        <v>1</v>
      </c>
      <c r="H10" t="s" s="83">
        <v>0</v>
      </c>
      <c r="I10" s="74"/>
      <c r="J10" t="s" s="96">
        <v>3</v>
      </c>
      <c r="K10" s="16"/>
      <c r="L10" s="16"/>
      <c r="M10" s="75"/>
      <c r="N10" t="s" s="83">
        <v>2</v>
      </c>
      <c r="O10" s="74"/>
      <c r="P10" s="16"/>
      <c r="Q10" s="16"/>
      <c r="R10" s="16"/>
      <c r="S10" s="16"/>
      <c r="T10" t="s" s="96">
        <v>5</v>
      </c>
      <c r="U10" s="16"/>
      <c r="V10" s="16"/>
      <c r="W10" s="75"/>
      <c r="X10" s="30"/>
      <c r="Y10" s="30"/>
      <c r="Z10" s="30"/>
      <c r="AA10" t="s" s="159">
        <v>7</v>
      </c>
      <c r="AB10" t="s" s="83">
        <v>8</v>
      </c>
      <c r="AC10" s="30"/>
      <c r="AD10" s="30"/>
      <c r="AE10" s="30"/>
      <c r="AF10" t="s" s="83">
        <v>6</v>
      </c>
      <c r="AG10" s="12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83">
        <v>2712</v>
      </c>
      <c r="B11" s="112">
        <v>1921</v>
      </c>
      <c r="C11" s="112">
        <v>2</v>
      </c>
      <c r="D11" t="s" s="83">
        <v>2713</v>
      </c>
      <c r="E11" s="30"/>
      <c r="F11" s="112">
        <v>1</v>
      </c>
      <c r="G11" t="s" s="159">
        <v>2720</v>
      </c>
      <c r="H11" t="s" s="83">
        <v>56</v>
      </c>
      <c r="I11" s="156">
        <v>6</v>
      </c>
      <c r="J11" t="s" s="96">
        <v>37</v>
      </c>
      <c r="K11" s="79">
        <v>1</v>
      </c>
      <c r="L11" s="16"/>
      <c r="M11" s="75"/>
      <c r="N11" s="112">
        <v>1</v>
      </c>
      <c r="O11" s="74"/>
      <c r="P11" s="16"/>
      <c r="Q11" s="16"/>
      <c r="R11" s="16"/>
      <c r="S11" s="16"/>
      <c r="T11" s="79">
        <v>58</v>
      </c>
      <c r="U11" s="16"/>
      <c r="V11" s="16"/>
      <c r="W11" s="75"/>
      <c r="X11" s="30"/>
      <c r="Y11" s="30"/>
      <c r="Z11" s="30"/>
      <c r="AA11" t="s" s="159">
        <v>2721</v>
      </c>
      <c r="AB11" t="s" s="83">
        <v>2722</v>
      </c>
      <c r="AC11" s="112">
        <v>1</v>
      </c>
      <c r="AD11" s="30"/>
      <c r="AE11" s="30"/>
      <c r="AF11" t="s" s="83">
        <v>2723</v>
      </c>
      <c r="AG11" s="121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" customHeight="1">
      <c r="A12" t="s" s="83">
        <v>2712</v>
      </c>
      <c r="B12" s="112">
        <v>1921</v>
      </c>
      <c r="C12" s="112">
        <v>2</v>
      </c>
      <c r="D12" t="s" s="83">
        <v>2713</v>
      </c>
      <c r="E12" s="30"/>
      <c r="F12" s="112">
        <v>1</v>
      </c>
      <c r="G12" t="s" s="159">
        <v>2720</v>
      </c>
      <c r="H12" t="s" s="83">
        <v>2724</v>
      </c>
      <c r="I12" s="156">
        <v>7</v>
      </c>
      <c r="J12" s="79">
        <v>1</v>
      </c>
      <c r="K12" s="16"/>
      <c r="L12" s="16"/>
      <c r="M12" s="75"/>
      <c r="N12" t="s" s="83">
        <v>72</v>
      </c>
      <c r="O12" s="156">
        <v>1</v>
      </c>
      <c r="P12" s="16"/>
      <c r="Q12" s="16"/>
      <c r="R12" s="16"/>
      <c r="S12" s="16"/>
      <c r="T12" s="79">
        <v>42</v>
      </c>
      <c r="U12" s="16"/>
      <c r="V12" s="16"/>
      <c r="W12" s="75"/>
      <c r="X12" s="112" cm="1">
        <f t="array" ref="X12">SUM(X3:X11)</f>
        <v>0</v>
      </c>
      <c r="Y12" s="112" cm="1">
        <f t="array" ref="Y12">SUM(Y3:Y11)</f>
        <v>0</v>
      </c>
      <c r="Z12" s="112" cm="1">
        <f t="array" ref="Z12">SUM(Z3:Z11)</f>
        <v>0</v>
      </c>
      <c r="AA12" t="s" s="159">
        <v>33</v>
      </c>
      <c r="AB12" t="s" s="83">
        <v>34</v>
      </c>
      <c r="AC12" s="30"/>
      <c r="AD12" s="30"/>
      <c r="AE12" s="30"/>
      <c r="AF12" t="s" s="83">
        <v>553</v>
      </c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2712</v>
      </c>
      <c r="B13" s="112">
        <v>1921</v>
      </c>
      <c r="C13" s="112">
        <v>2</v>
      </c>
      <c r="D13" t="s" s="83">
        <v>2713</v>
      </c>
      <c r="E13" s="30"/>
      <c r="F13" s="112">
        <v>1</v>
      </c>
      <c r="G13" t="s" s="159">
        <v>2018</v>
      </c>
      <c r="H13" t="s" s="83">
        <v>95</v>
      </c>
      <c r="I13" s="156">
        <v>8</v>
      </c>
      <c r="J13" s="79">
        <v>1</v>
      </c>
      <c r="K13" s="16"/>
      <c r="L13" s="16"/>
      <c r="M13" s="75"/>
      <c r="N13" t="s" s="83">
        <v>41</v>
      </c>
      <c r="O13" s="74"/>
      <c r="P13" s="16"/>
      <c r="Q13" s="16"/>
      <c r="R13" s="79">
        <v>1</v>
      </c>
      <c r="S13" s="16"/>
      <c r="T13" s="79">
        <v>64</v>
      </c>
      <c r="U13" s="16"/>
      <c r="V13" s="16"/>
      <c r="W13" s="75"/>
      <c r="X13" s="30"/>
      <c r="Y13" s="30"/>
      <c r="Z13" s="30"/>
      <c r="AA13" t="s" s="159">
        <v>34</v>
      </c>
      <c r="AB13" t="s" s="83">
        <v>34</v>
      </c>
      <c r="AC13" s="30"/>
      <c r="AD13" s="30"/>
      <c r="AE13" s="30"/>
      <c r="AF13" t="s" s="83">
        <v>2725</v>
      </c>
      <c r="AG13" s="121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2712</v>
      </c>
      <c r="B14" s="112">
        <v>1921</v>
      </c>
      <c r="C14" s="112">
        <v>2</v>
      </c>
      <c r="D14" t="s" s="83">
        <v>2713</v>
      </c>
      <c r="E14" s="30"/>
      <c r="F14" s="112">
        <v>1</v>
      </c>
      <c r="G14" t="s" s="159">
        <v>778</v>
      </c>
      <c r="H14" t="s" s="83">
        <v>98</v>
      </c>
      <c r="I14" s="156">
        <v>9</v>
      </c>
      <c r="J14" s="79">
        <v>1</v>
      </c>
      <c r="K14" s="16"/>
      <c r="L14" s="16"/>
      <c r="M14" s="75"/>
      <c r="N14" t="s" s="83">
        <v>11</v>
      </c>
      <c r="O14" s="74"/>
      <c r="P14" s="16"/>
      <c r="Q14" s="16"/>
      <c r="R14" s="16"/>
      <c r="S14" s="79">
        <v>1</v>
      </c>
      <c r="T14" s="79">
        <v>26</v>
      </c>
      <c r="U14" s="16"/>
      <c r="V14" s="16"/>
      <c r="W14" s="75"/>
      <c r="X14" s="30"/>
      <c r="Y14" s="30"/>
      <c r="Z14" s="30"/>
      <c r="AA14" t="s" s="159">
        <v>105</v>
      </c>
      <c r="AB14" t="s" s="83">
        <v>15</v>
      </c>
      <c r="AC14" s="112">
        <v>1</v>
      </c>
      <c r="AD14" s="30"/>
      <c r="AE14" s="30"/>
      <c r="AF14" t="s" s="83">
        <v>222</v>
      </c>
      <c r="AG14" s="121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2712</v>
      </c>
      <c r="B15" s="112">
        <v>1921</v>
      </c>
      <c r="C15" s="112">
        <v>2</v>
      </c>
      <c r="D15" t="s" s="83">
        <v>2713</v>
      </c>
      <c r="E15" s="124"/>
      <c r="F15" s="112">
        <v>1</v>
      </c>
      <c r="G15" t="s" s="159">
        <v>2726</v>
      </c>
      <c r="H15" t="s" s="148">
        <v>383</v>
      </c>
      <c r="I15" s="156">
        <v>10</v>
      </c>
      <c r="J15" s="79">
        <v>1</v>
      </c>
      <c r="K15" s="16"/>
      <c r="L15" s="16"/>
      <c r="M15" s="75"/>
      <c r="N15" t="s" s="398">
        <v>11</v>
      </c>
      <c r="O15" s="74"/>
      <c r="P15" s="16"/>
      <c r="Q15" s="16"/>
      <c r="R15" s="16"/>
      <c r="S15" s="79">
        <v>1</v>
      </c>
      <c r="T15" s="79">
        <v>39</v>
      </c>
      <c r="U15" s="16"/>
      <c r="V15" s="16"/>
      <c r="W15" s="75"/>
      <c r="X15" s="28"/>
      <c r="Y15" s="28"/>
      <c r="Z15" s="28"/>
      <c r="AA15" t="s" s="159">
        <v>105</v>
      </c>
      <c r="AB15" t="s" s="148">
        <v>15</v>
      </c>
      <c r="AC15" s="307">
        <v>1</v>
      </c>
      <c r="AD15" s="28"/>
      <c r="AE15" s="30"/>
      <c r="AF15" t="s" s="148">
        <v>118</v>
      </c>
      <c r="AG15" s="2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28" customHeight="1">
      <c r="A16" t="s" s="83">
        <v>2712</v>
      </c>
      <c r="B16" s="112">
        <v>1921</v>
      </c>
      <c r="C16" s="30"/>
      <c r="D16" t="s" s="83">
        <v>2713</v>
      </c>
      <c r="E16" s="124"/>
      <c r="F16" s="28"/>
      <c r="G16" s="141"/>
      <c r="H16" s="307">
        <v>5</v>
      </c>
      <c r="I16" s="74"/>
      <c r="J16" s="132"/>
      <c r="K16" s="16"/>
      <c r="L16" s="16"/>
      <c r="M16" s="16"/>
      <c r="N16" s="297"/>
      <c r="O16" s="16"/>
      <c r="P16" s="132"/>
      <c r="Q16" s="16"/>
      <c r="R16" s="16"/>
      <c r="S16" s="16"/>
      <c r="T16" s="132"/>
      <c r="U16" s="16"/>
      <c r="V16" s="16"/>
      <c r="W16" s="75"/>
      <c r="X16" s="28"/>
      <c r="Y16" s="28"/>
      <c r="Z16" s="28"/>
      <c r="AA16" s="131"/>
      <c r="AB16" s="165"/>
      <c r="AC16" s="28"/>
      <c r="AD16" s="124"/>
      <c r="AE16" s="30"/>
      <c r="AF16" s="28"/>
      <c r="AG16" s="28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2712</v>
      </c>
      <c r="B17" s="112">
        <v>1921</v>
      </c>
      <c r="C17" s="30"/>
      <c r="D17" t="s" s="83">
        <v>2713</v>
      </c>
      <c r="E17" s="30"/>
      <c r="F17" s="30"/>
      <c r="G17" t="s" s="83">
        <v>1</v>
      </c>
      <c r="H17" t="s" s="83">
        <v>0</v>
      </c>
      <c r="I17" s="122"/>
      <c r="J17" t="s" s="83">
        <v>3</v>
      </c>
      <c r="K17" s="74"/>
      <c r="L17" s="16"/>
      <c r="M17" s="75"/>
      <c r="N17" t="s" s="83">
        <v>2</v>
      </c>
      <c r="O17" s="122"/>
      <c r="P17" s="30"/>
      <c r="Q17" s="74"/>
      <c r="R17" s="16"/>
      <c r="S17" s="75"/>
      <c r="T17" t="s" s="83">
        <v>5</v>
      </c>
      <c r="U17" s="74"/>
      <c r="V17" s="16"/>
      <c r="W17" s="75"/>
      <c r="X17" s="112" cm="1">
        <f t="array" ref="X17">SUM(X3:X16)</f>
        <v>0</v>
      </c>
      <c r="Y17" s="112" cm="1">
        <f t="array" ref="Y17">SUM(Y3:Y16)</f>
        <v>0</v>
      </c>
      <c r="Z17" s="112" cm="1">
        <f t="array" ref="Z17">SUM(Z3:Z16)</f>
        <v>0</v>
      </c>
      <c r="AA17" t="s" s="83">
        <v>7</v>
      </c>
      <c r="AB17" t="s" s="83">
        <v>8</v>
      </c>
      <c r="AC17" s="30"/>
      <c r="AD17" s="30"/>
      <c r="AE17" s="30"/>
      <c r="AF17" t="s" s="83">
        <v>6</v>
      </c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2712</v>
      </c>
      <c r="B18" s="112">
        <v>1921</v>
      </c>
      <c r="C18" s="112">
        <v>3</v>
      </c>
      <c r="D18" t="s" s="83">
        <v>2713</v>
      </c>
      <c r="E18" s="30"/>
      <c r="F18" s="112">
        <v>3</v>
      </c>
      <c r="G18" t="s" s="83">
        <v>1066</v>
      </c>
      <c r="H18" t="s" s="83">
        <v>1207</v>
      </c>
      <c r="I18" s="120">
        <v>11</v>
      </c>
      <c r="J18" t="s" s="83">
        <v>37</v>
      </c>
      <c r="K18" s="156">
        <v>1</v>
      </c>
      <c r="L18" s="16"/>
      <c r="M18" s="75"/>
      <c r="N18" s="112">
        <v>1</v>
      </c>
      <c r="O18" s="122"/>
      <c r="P18" s="30"/>
      <c r="Q18" s="74"/>
      <c r="R18" s="16"/>
      <c r="S18" s="75"/>
      <c r="T18" s="118">
        <v>53</v>
      </c>
      <c r="U18" s="74"/>
      <c r="V18" s="16"/>
      <c r="W18" s="75"/>
      <c r="X18" s="30"/>
      <c r="Y18" s="30"/>
      <c r="Z18" s="30"/>
      <c r="AA18" t="s" s="119">
        <v>2727</v>
      </c>
      <c r="AB18" t="s" s="119">
        <v>2728</v>
      </c>
      <c r="AC18" s="112">
        <v>1</v>
      </c>
      <c r="AD18" s="30"/>
      <c r="AE18" s="30"/>
      <c r="AF18" s="118">
        <v>1</v>
      </c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2712</v>
      </c>
      <c r="B19" s="112">
        <v>1921</v>
      </c>
      <c r="C19" s="112">
        <v>3</v>
      </c>
      <c r="D19" t="s" s="83">
        <v>2713</v>
      </c>
      <c r="E19" s="30"/>
      <c r="F19" s="112">
        <v>3</v>
      </c>
      <c r="G19" t="s" s="83">
        <v>1066</v>
      </c>
      <c r="H19" t="s" s="83">
        <v>2482</v>
      </c>
      <c r="I19" s="120">
        <v>12</v>
      </c>
      <c r="J19" t="s" s="83">
        <v>37</v>
      </c>
      <c r="K19" s="156">
        <v>1</v>
      </c>
      <c r="L19" s="16"/>
      <c r="M19" s="75"/>
      <c r="N19" t="s" s="83">
        <v>36</v>
      </c>
      <c r="O19" s="122"/>
      <c r="P19" s="30"/>
      <c r="Q19" s="156">
        <v>1</v>
      </c>
      <c r="R19" s="16"/>
      <c r="S19" s="75"/>
      <c r="T19" s="118">
        <v>30</v>
      </c>
      <c r="U19" s="74"/>
      <c r="V19" s="16"/>
      <c r="W19" s="75"/>
      <c r="X19" s="30"/>
      <c r="Y19" s="30"/>
      <c r="Z19" s="30"/>
      <c r="AA19" t="s" s="119">
        <v>2729</v>
      </c>
      <c r="AB19" t="s" s="119">
        <v>2730</v>
      </c>
      <c r="AC19" s="112">
        <v>1</v>
      </c>
      <c r="AD19" s="30"/>
      <c r="AE19" s="30"/>
      <c r="AF19" s="118">
        <v>1</v>
      </c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2712</v>
      </c>
      <c r="B20" s="112">
        <v>1921</v>
      </c>
      <c r="C20" s="112">
        <v>3</v>
      </c>
      <c r="D20" t="s" s="83">
        <v>2713</v>
      </c>
      <c r="E20" s="30"/>
      <c r="F20" s="112">
        <v>3</v>
      </c>
      <c r="G20" t="s" s="83">
        <v>1066</v>
      </c>
      <c r="H20" t="s" s="83">
        <v>2731</v>
      </c>
      <c r="I20" s="120">
        <v>13</v>
      </c>
      <c r="J20" s="112">
        <v>1</v>
      </c>
      <c r="K20" s="74"/>
      <c r="L20" s="16"/>
      <c r="M20" s="75"/>
      <c r="N20" t="s" s="83">
        <v>78</v>
      </c>
      <c r="O20" s="122"/>
      <c r="P20" s="30"/>
      <c r="Q20" s="74"/>
      <c r="R20" s="79">
        <v>1</v>
      </c>
      <c r="S20" s="75"/>
      <c r="T20" s="118">
        <v>18</v>
      </c>
      <c r="U20" s="74"/>
      <c r="V20" s="16"/>
      <c r="W20" s="75"/>
      <c r="X20" s="30"/>
      <c r="Y20" s="30"/>
      <c r="Z20" s="30"/>
      <c r="AA20" t="s" s="119">
        <v>34</v>
      </c>
      <c r="AB20" t="s" s="119">
        <v>34</v>
      </c>
      <c r="AC20" s="30"/>
      <c r="AD20" s="30"/>
      <c r="AE20" s="30"/>
      <c r="AF20" s="118">
        <v>1</v>
      </c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2712</v>
      </c>
      <c r="B21" s="112">
        <v>1921</v>
      </c>
      <c r="C21" s="112">
        <v>3</v>
      </c>
      <c r="D21" t="s" s="83">
        <v>2713</v>
      </c>
      <c r="E21" s="30"/>
      <c r="F21" s="112">
        <v>3</v>
      </c>
      <c r="G21" t="s" s="27">
        <v>2732</v>
      </c>
      <c r="H21" t="s" s="27">
        <v>132</v>
      </c>
      <c r="I21" s="120">
        <v>14</v>
      </c>
      <c r="J21" s="114">
        <v>1</v>
      </c>
      <c r="K21" s="74"/>
      <c r="L21" s="16"/>
      <c r="M21" s="75"/>
      <c r="N21" t="s" s="27">
        <v>163</v>
      </c>
      <c r="O21" s="122"/>
      <c r="P21" s="29"/>
      <c r="Q21" s="74"/>
      <c r="R21" s="16"/>
      <c r="S21" s="123">
        <v>1</v>
      </c>
      <c r="T21" s="114">
        <v>40</v>
      </c>
      <c r="U21" s="74"/>
      <c r="V21" s="16"/>
      <c r="W21" s="75"/>
      <c r="X21" s="30"/>
      <c r="Y21" s="30"/>
      <c r="Z21" s="30"/>
      <c r="AA21" t="s" s="27">
        <v>163</v>
      </c>
      <c r="AB21" t="s" s="27">
        <v>15</v>
      </c>
      <c r="AC21" s="112">
        <v>1</v>
      </c>
      <c r="AD21" s="30"/>
      <c r="AE21" s="30"/>
      <c r="AF21" t="s" s="27">
        <v>1612</v>
      </c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2712</v>
      </c>
      <c r="B22" s="112">
        <v>1921</v>
      </c>
      <c r="C22" s="30"/>
      <c r="D22" t="s" s="83">
        <v>2713</v>
      </c>
      <c r="E22" s="30"/>
      <c r="F22" s="30"/>
      <c r="G22" s="30"/>
      <c r="H22" s="112">
        <v>4</v>
      </c>
      <c r="I22" s="191"/>
      <c r="J22" s="30"/>
      <c r="K22" s="192"/>
      <c r="L22" s="3"/>
      <c r="M22" s="193"/>
      <c r="N22" s="30"/>
      <c r="O22" s="191"/>
      <c r="P22" s="30"/>
      <c r="Q22" s="192"/>
      <c r="R22" s="3"/>
      <c r="S22" s="193"/>
      <c r="T22" s="121"/>
      <c r="U22" s="192"/>
      <c r="V22" s="3"/>
      <c r="W22" s="193"/>
      <c r="X22" s="30"/>
      <c r="Y22" s="30"/>
      <c r="Z22" s="30"/>
      <c r="AA22" s="121"/>
      <c r="AB22" s="121"/>
      <c r="AC22" s="30"/>
      <c r="AD22" s="30"/>
      <c r="AE22" s="30"/>
      <c r="AF22" s="121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192"/>
      <c r="BA22" s="3"/>
      <c r="BB22" s="3"/>
      <c r="BC22" s="3"/>
    </row>
    <row r="23" ht="17.5" customHeight="1">
      <c r="A23" t="s" s="83">
        <v>2712</v>
      </c>
      <c r="B23" s="112">
        <v>1921</v>
      </c>
      <c r="C23" s="112">
        <v>4</v>
      </c>
      <c r="D23" t="s" s="83">
        <v>2713</v>
      </c>
      <c r="E23" s="30"/>
      <c r="F23" s="112">
        <v>3</v>
      </c>
      <c r="G23" t="s" s="83">
        <v>2733</v>
      </c>
      <c r="H23" t="s" s="83">
        <v>1182</v>
      </c>
      <c r="I23" s="194">
        <v>15</v>
      </c>
      <c r="J23" s="112">
        <v>1</v>
      </c>
      <c r="K23" s="195"/>
      <c r="L23" s="13"/>
      <c r="M23" s="196"/>
      <c r="N23" s="112">
        <v>1</v>
      </c>
      <c r="O23" s="212"/>
      <c r="P23" s="30"/>
      <c r="Q23" s="195"/>
      <c r="R23" s="13"/>
      <c r="S23" s="196"/>
      <c r="T23" s="197">
        <v>47</v>
      </c>
      <c r="U23" s="195"/>
      <c r="V23" s="13"/>
      <c r="W23" s="196"/>
      <c r="X23" s="30"/>
      <c r="Y23" s="30"/>
      <c r="Z23" s="30"/>
      <c r="AA23" t="s" s="198">
        <v>313</v>
      </c>
      <c r="AB23" s="361"/>
      <c r="AC23" s="30"/>
      <c r="AD23" s="30"/>
      <c r="AE23" s="30"/>
      <c r="AF23" t="s" s="198">
        <v>319</v>
      </c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195"/>
      <c r="BA23" s="13"/>
      <c r="BB23" s="13"/>
      <c r="BC23" s="10"/>
    </row>
    <row r="24" ht="17" customHeight="1">
      <c r="A24" t="s" s="83">
        <v>2712</v>
      </c>
      <c r="B24" s="112">
        <v>1921</v>
      </c>
      <c r="C24" s="30"/>
      <c r="D24" t="s" s="83">
        <v>2713</v>
      </c>
      <c r="E24" s="30"/>
      <c r="F24" s="30"/>
      <c r="G24" s="30"/>
      <c r="H24" s="112">
        <v>1</v>
      </c>
      <c r="I24" s="202"/>
      <c r="J24" s="30"/>
      <c r="K24" s="200"/>
      <c r="L24" s="14"/>
      <c r="M24" s="201"/>
      <c r="N24" s="30"/>
      <c r="O24" s="202"/>
      <c r="P24" s="30"/>
      <c r="Q24" s="200"/>
      <c r="R24" s="14"/>
      <c r="S24" s="201"/>
      <c r="T24" s="121"/>
      <c r="U24" s="200"/>
      <c r="V24" s="14"/>
      <c r="W24" s="201"/>
      <c r="X24" s="30"/>
      <c r="Y24" s="30"/>
      <c r="Z24" s="30"/>
      <c r="AA24" s="121"/>
      <c r="AB24" s="121"/>
      <c r="AC24" s="30"/>
      <c r="AD24" s="30"/>
      <c r="AE24" s="30"/>
      <c r="AF24" s="121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200"/>
      <c r="BA24" s="14"/>
      <c r="BB24" s="14"/>
      <c r="BC24" s="14"/>
    </row>
    <row r="25" ht="17.5" customHeight="1">
      <c r="A25" t="s" s="83">
        <v>2712</v>
      </c>
      <c r="B25" s="112">
        <v>1921</v>
      </c>
      <c r="C25" s="30"/>
      <c r="D25" t="s" s="83">
        <v>2713</v>
      </c>
      <c r="E25" s="30"/>
      <c r="F25" s="30"/>
      <c r="G25" t="s" s="83">
        <v>1</v>
      </c>
      <c r="H25" t="s" s="83">
        <v>0</v>
      </c>
      <c r="I25" s="122"/>
      <c r="J25" t="s" s="83">
        <v>3</v>
      </c>
      <c r="K25" s="74"/>
      <c r="L25" s="16"/>
      <c r="M25" s="75"/>
      <c r="N25" t="s" s="83">
        <v>2</v>
      </c>
      <c r="O25" s="122"/>
      <c r="P25" s="30"/>
      <c r="Q25" s="74"/>
      <c r="R25" s="16"/>
      <c r="S25" s="75"/>
      <c r="T25" t="s" s="119">
        <v>5</v>
      </c>
      <c r="U25" s="74"/>
      <c r="V25" s="16"/>
      <c r="W25" s="75"/>
      <c r="X25" s="30"/>
      <c r="Y25" s="30"/>
      <c r="Z25" s="30"/>
      <c r="AA25" t="s" s="119">
        <v>7</v>
      </c>
      <c r="AB25" t="s" s="119">
        <v>8</v>
      </c>
      <c r="AC25" s="30"/>
      <c r="AD25" s="30"/>
      <c r="AE25" s="30"/>
      <c r="AF25" t="s" s="119">
        <v>6</v>
      </c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t="s" s="83">
        <v>2712</v>
      </c>
      <c r="B26" s="112">
        <v>1921</v>
      </c>
      <c r="C26" s="112">
        <v>5</v>
      </c>
      <c r="D26" t="s" s="83">
        <v>2713</v>
      </c>
      <c r="E26" s="30"/>
      <c r="F26" s="112">
        <v>5</v>
      </c>
      <c r="G26" t="s" s="83">
        <v>2734</v>
      </c>
      <c r="H26" t="s" s="83">
        <v>214</v>
      </c>
      <c r="I26" s="120">
        <v>16</v>
      </c>
      <c r="J26" t="s" s="83">
        <v>37</v>
      </c>
      <c r="K26" s="156">
        <v>1</v>
      </c>
      <c r="L26" s="16"/>
      <c r="M26" s="75"/>
      <c r="N26" s="112">
        <v>1</v>
      </c>
      <c r="O26" s="122"/>
      <c r="P26" s="30"/>
      <c r="Q26" s="74"/>
      <c r="R26" s="16"/>
      <c r="S26" s="75"/>
      <c r="T26" s="118">
        <v>78</v>
      </c>
      <c r="U26" s="74"/>
      <c r="V26" s="16"/>
      <c r="W26" s="75"/>
      <c r="X26" s="30"/>
      <c r="Y26" s="30"/>
      <c r="Z26" s="30"/>
      <c r="AA26" t="s" s="119">
        <v>2735</v>
      </c>
      <c r="AB26" t="s" s="119">
        <v>34</v>
      </c>
      <c r="AC26" s="30"/>
      <c r="AD26" s="30"/>
      <c r="AE26" s="30"/>
      <c r="AF26" s="118">
        <v>1</v>
      </c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2712</v>
      </c>
      <c r="B27" s="112">
        <v>1921</v>
      </c>
      <c r="C27" s="112">
        <v>5</v>
      </c>
      <c r="D27" t="s" s="83">
        <v>2713</v>
      </c>
      <c r="E27" s="30"/>
      <c r="F27" s="112">
        <v>5</v>
      </c>
      <c r="G27" t="s" s="83">
        <v>2734</v>
      </c>
      <c r="H27" t="s" s="83">
        <v>1852</v>
      </c>
      <c r="I27" s="120">
        <v>17</v>
      </c>
      <c r="J27" s="112">
        <v>1</v>
      </c>
      <c r="K27" s="74"/>
      <c r="L27" s="16"/>
      <c r="M27" s="75"/>
      <c r="N27" t="s" s="83">
        <v>72</v>
      </c>
      <c r="O27" s="120">
        <v>1</v>
      </c>
      <c r="P27" s="30"/>
      <c r="Q27" s="74"/>
      <c r="R27" s="16"/>
      <c r="S27" s="75"/>
      <c r="T27" s="118">
        <v>72</v>
      </c>
      <c r="U27" s="74"/>
      <c r="V27" s="16"/>
      <c r="W27" s="75"/>
      <c r="X27" s="30"/>
      <c r="Y27" s="30"/>
      <c r="Z27" s="30"/>
      <c r="AA27" t="s" s="119">
        <v>33</v>
      </c>
      <c r="AB27" t="s" s="119">
        <v>34</v>
      </c>
      <c r="AC27" s="30"/>
      <c r="AD27" s="30"/>
      <c r="AE27" s="30"/>
      <c r="AF27" s="118">
        <v>1</v>
      </c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t="s" s="83">
        <v>2712</v>
      </c>
      <c r="B28" s="112">
        <v>1921</v>
      </c>
      <c r="C28" s="112">
        <v>5</v>
      </c>
      <c r="D28" t="s" s="83">
        <v>2713</v>
      </c>
      <c r="E28" s="30"/>
      <c r="F28" s="112">
        <v>5</v>
      </c>
      <c r="G28" t="s" s="83">
        <v>2736</v>
      </c>
      <c r="H28" t="s" s="83">
        <v>2737</v>
      </c>
      <c r="I28" s="120">
        <v>18</v>
      </c>
      <c r="J28" s="112">
        <v>1</v>
      </c>
      <c r="K28" s="74"/>
      <c r="L28" s="16"/>
      <c r="M28" s="75"/>
      <c r="N28" t="s" s="83">
        <v>78</v>
      </c>
      <c r="O28" s="122"/>
      <c r="P28" s="112">
        <v>1</v>
      </c>
      <c r="Q28" s="74"/>
      <c r="R28" s="16"/>
      <c r="S28" s="75"/>
      <c r="T28" s="118">
        <v>48</v>
      </c>
      <c r="U28" s="74"/>
      <c r="V28" s="16"/>
      <c r="W28" s="75"/>
      <c r="X28" s="30"/>
      <c r="Y28" s="30"/>
      <c r="Z28" s="30"/>
      <c r="AA28" t="s" s="119">
        <v>34</v>
      </c>
      <c r="AB28" t="s" s="119">
        <v>34</v>
      </c>
      <c r="AC28" s="30"/>
      <c r="AD28" s="30"/>
      <c r="AE28" s="30"/>
      <c r="AF28" s="118">
        <v>1</v>
      </c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2712</v>
      </c>
      <c r="B29" s="112">
        <v>1921</v>
      </c>
      <c r="C29" s="112">
        <v>5</v>
      </c>
      <c r="D29" t="s" s="83">
        <v>2713</v>
      </c>
      <c r="E29" s="30"/>
      <c r="F29" s="112">
        <v>5</v>
      </c>
      <c r="G29" t="s" s="83">
        <v>2736</v>
      </c>
      <c r="H29" t="s" s="83">
        <v>2738</v>
      </c>
      <c r="I29" s="120">
        <v>19</v>
      </c>
      <c r="J29" t="s" s="83">
        <v>37</v>
      </c>
      <c r="K29" s="156">
        <v>1</v>
      </c>
      <c r="L29" s="16"/>
      <c r="M29" s="75"/>
      <c r="N29" t="s" s="83">
        <v>826</v>
      </c>
      <c r="O29" s="122"/>
      <c r="P29" s="30"/>
      <c r="Q29" s="74"/>
      <c r="R29" s="79">
        <v>1</v>
      </c>
      <c r="S29" s="75"/>
      <c r="T29" s="112">
        <v>19</v>
      </c>
      <c r="U29" s="74"/>
      <c r="V29" s="16"/>
      <c r="W29" s="75"/>
      <c r="X29" s="30"/>
      <c r="Y29" s="30"/>
      <c r="Z29" s="30"/>
      <c r="AA29" t="s" s="83">
        <v>2739</v>
      </c>
      <c r="AB29" t="s" s="83">
        <v>2740</v>
      </c>
      <c r="AC29" s="112">
        <v>1</v>
      </c>
      <c r="AD29" s="30"/>
      <c r="AE29" s="30"/>
      <c r="AF29" t="s" s="83">
        <v>2741</v>
      </c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3">
        <v>2712</v>
      </c>
      <c r="B30" s="112">
        <v>1921</v>
      </c>
      <c r="C30" s="112">
        <v>5</v>
      </c>
      <c r="D30" t="s" s="83">
        <v>2713</v>
      </c>
      <c r="E30" s="30"/>
      <c r="F30" s="112">
        <v>5</v>
      </c>
      <c r="G30" t="s" s="83">
        <v>2736</v>
      </c>
      <c r="H30" t="s" s="83">
        <v>2347</v>
      </c>
      <c r="I30" s="120">
        <v>20</v>
      </c>
      <c r="J30" s="112">
        <v>1</v>
      </c>
      <c r="K30" s="74"/>
      <c r="L30" s="16"/>
      <c r="M30" s="75"/>
      <c r="N30" t="s" s="83">
        <v>11</v>
      </c>
      <c r="O30" s="122"/>
      <c r="P30" s="30"/>
      <c r="Q30" s="74"/>
      <c r="R30" s="16"/>
      <c r="S30" s="123">
        <v>1</v>
      </c>
      <c r="T30" s="118">
        <v>43</v>
      </c>
      <c r="U30" s="74"/>
      <c r="V30" s="16"/>
      <c r="W30" s="75"/>
      <c r="X30" s="30"/>
      <c r="Y30" s="30"/>
      <c r="Z30" s="30"/>
      <c r="AA30" t="s" s="119">
        <v>11</v>
      </c>
      <c r="AB30" t="s" s="119">
        <v>15</v>
      </c>
      <c r="AC30" s="112">
        <v>1</v>
      </c>
      <c r="AD30" s="30"/>
      <c r="AE30" s="30"/>
      <c r="AF30" t="s" s="119">
        <v>2742</v>
      </c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t="s" s="83">
        <v>2712</v>
      </c>
      <c r="B31" s="112">
        <v>1921</v>
      </c>
      <c r="C31" s="112">
        <v>5</v>
      </c>
      <c r="D31" t="s" s="83">
        <v>2713</v>
      </c>
      <c r="E31" s="30"/>
      <c r="F31" s="112">
        <v>5</v>
      </c>
      <c r="G31" t="s" s="83">
        <v>1178</v>
      </c>
      <c r="H31" t="s" s="83">
        <v>2743</v>
      </c>
      <c r="I31" s="120">
        <v>21</v>
      </c>
      <c r="J31" s="112">
        <v>1</v>
      </c>
      <c r="K31" s="74"/>
      <c r="L31" s="16"/>
      <c r="M31" s="75"/>
      <c r="N31" t="s" s="83">
        <v>11</v>
      </c>
      <c r="O31" s="122"/>
      <c r="P31" s="30"/>
      <c r="Q31" s="74"/>
      <c r="R31" s="16"/>
      <c r="S31" s="123">
        <v>1</v>
      </c>
      <c r="T31" s="118">
        <v>24</v>
      </c>
      <c r="U31" s="74"/>
      <c r="V31" s="16"/>
      <c r="W31" s="75"/>
      <c r="X31" s="30"/>
      <c r="Y31" s="30"/>
      <c r="Z31" s="30"/>
      <c r="AA31" t="s" s="119">
        <v>11</v>
      </c>
      <c r="AB31" t="s" s="119">
        <v>15</v>
      </c>
      <c r="AC31" s="112">
        <v>1</v>
      </c>
      <c r="AD31" s="30"/>
      <c r="AE31" s="30"/>
      <c r="AF31" t="s" s="119">
        <v>2744</v>
      </c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" customHeight="1">
      <c r="A32" t="s" s="83">
        <v>2712</v>
      </c>
      <c r="B32" s="112">
        <v>1921</v>
      </c>
      <c r="C32" s="112">
        <v>5</v>
      </c>
      <c r="D32" t="s" s="83">
        <v>2713</v>
      </c>
      <c r="E32" s="30"/>
      <c r="F32" s="112">
        <v>5</v>
      </c>
      <c r="G32" t="s" s="148">
        <v>2745</v>
      </c>
      <c r="H32" t="s" s="148">
        <v>106</v>
      </c>
      <c r="I32" s="120">
        <v>22</v>
      </c>
      <c r="J32" s="346">
        <v>1</v>
      </c>
      <c r="K32" s="74"/>
      <c r="L32" s="16"/>
      <c r="M32" s="75"/>
      <c r="N32" t="s" s="148">
        <v>11</v>
      </c>
      <c r="O32" s="122"/>
      <c r="P32" s="28"/>
      <c r="Q32" s="74"/>
      <c r="R32" s="16"/>
      <c r="S32" s="123">
        <v>1</v>
      </c>
      <c r="T32" s="307">
        <v>17</v>
      </c>
      <c r="U32" s="74"/>
      <c r="V32" s="16"/>
      <c r="W32" s="75"/>
      <c r="X32" s="30"/>
      <c r="Y32" s="30"/>
      <c r="Z32" s="30"/>
      <c r="AA32" t="s" s="148">
        <v>11</v>
      </c>
      <c r="AB32" t="s" s="148">
        <v>15</v>
      </c>
      <c r="AC32" s="112">
        <v>1</v>
      </c>
      <c r="AD32" s="30"/>
      <c r="AE32" s="30"/>
      <c r="AF32" t="s" s="148">
        <v>118</v>
      </c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t="s" s="83">
        <v>2712</v>
      </c>
      <c r="B33" s="112">
        <v>1921</v>
      </c>
      <c r="C33" s="112">
        <v>5</v>
      </c>
      <c r="D33" t="s" s="83">
        <v>2713</v>
      </c>
      <c r="E33" s="30"/>
      <c r="F33" s="112">
        <v>5</v>
      </c>
      <c r="G33" t="s" s="148">
        <v>83</v>
      </c>
      <c r="H33" t="s" s="148">
        <v>95</v>
      </c>
      <c r="I33" s="156">
        <v>23</v>
      </c>
      <c r="J33" s="399">
        <v>1</v>
      </c>
      <c r="K33" s="16"/>
      <c r="L33" s="16"/>
      <c r="M33" s="75"/>
      <c r="N33" t="s" s="149">
        <v>11</v>
      </c>
      <c r="O33" s="16"/>
      <c r="P33" s="165"/>
      <c r="Q33" s="74"/>
      <c r="R33" s="16"/>
      <c r="S33" s="123">
        <v>1</v>
      </c>
      <c r="T33" s="307">
        <v>15</v>
      </c>
      <c r="U33" s="74"/>
      <c r="V33" s="16"/>
      <c r="W33" s="75"/>
      <c r="X33" s="30"/>
      <c r="Y33" s="30"/>
      <c r="Z33" s="30"/>
      <c r="AA33" t="s" s="148">
        <v>11</v>
      </c>
      <c r="AB33" t="s" s="148">
        <v>15</v>
      </c>
      <c r="AC33" s="112">
        <v>1</v>
      </c>
      <c r="AD33" s="30"/>
      <c r="AE33" s="30"/>
      <c r="AF33" s="307">
        <v>1</v>
      </c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t="s" s="83">
        <v>2712</v>
      </c>
      <c r="B34" s="112">
        <v>1921</v>
      </c>
      <c r="C34" s="30"/>
      <c r="D34" t="s" s="83">
        <v>2713</v>
      </c>
      <c r="E34" s="30"/>
      <c r="F34" s="30"/>
      <c r="G34" s="130"/>
      <c r="H34" s="112">
        <v>8</v>
      </c>
      <c r="I34" s="122"/>
      <c r="J34" s="30"/>
      <c r="K34" s="74"/>
      <c r="L34" s="16"/>
      <c r="M34" s="75"/>
      <c r="N34" s="30"/>
      <c r="O34" s="122"/>
      <c r="P34" s="30"/>
      <c r="Q34" s="74"/>
      <c r="R34" s="16"/>
      <c r="S34" s="75"/>
      <c r="T34" s="30"/>
      <c r="U34" s="74"/>
      <c r="V34" s="16"/>
      <c r="W34" s="75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t="s" s="83">
        <v>2712</v>
      </c>
      <c r="B35" s="112">
        <v>1921</v>
      </c>
      <c r="C35" s="30"/>
      <c r="D35" t="s" s="83">
        <v>2713</v>
      </c>
      <c r="E35" s="30"/>
      <c r="F35" s="30"/>
      <c r="G35" t="s" s="83">
        <v>1</v>
      </c>
      <c r="H35" t="s" s="83">
        <v>0</v>
      </c>
      <c r="I35" s="122"/>
      <c r="J35" t="s" s="83">
        <v>3</v>
      </c>
      <c r="K35" s="74"/>
      <c r="L35" s="16"/>
      <c r="M35" s="75"/>
      <c r="N35" t="s" s="83">
        <v>2</v>
      </c>
      <c r="O35" s="122"/>
      <c r="P35" s="30"/>
      <c r="Q35" s="74"/>
      <c r="R35" s="16"/>
      <c r="S35" s="75"/>
      <c r="T35" t="s" s="83">
        <v>5</v>
      </c>
      <c r="U35" s="74"/>
      <c r="V35" s="16"/>
      <c r="W35" s="75"/>
      <c r="X35" s="30"/>
      <c r="Y35" s="30"/>
      <c r="Z35" s="30"/>
      <c r="AA35" t="s" s="83">
        <v>7</v>
      </c>
      <c r="AB35" t="s" s="83">
        <v>8</v>
      </c>
      <c r="AC35" s="30"/>
      <c r="AD35" s="30"/>
      <c r="AE35" s="30"/>
      <c r="AF35" t="s" s="83">
        <v>6</v>
      </c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" customHeight="1">
      <c r="A36" t="s" s="83">
        <v>2712</v>
      </c>
      <c r="B36" s="112">
        <v>1921</v>
      </c>
      <c r="C36" s="112">
        <v>6</v>
      </c>
      <c r="D36" t="s" s="83">
        <v>2713</v>
      </c>
      <c r="E36" s="30"/>
      <c r="F36" s="112">
        <v>7</v>
      </c>
      <c r="G36" t="s" s="83">
        <v>334</v>
      </c>
      <c r="H36" t="s" s="83">
        <v>601</v>
      </c>
      <c r="I36" s="120">
        <v>24</v>
      </c>
      <c r="J36" t="s" s="83">
        <v>37</v>
      </c>
      <c r="K36" s="156">
        <v>1</v>
      </c>
      <c r="L36" s="16"/>
      <c r="M36" s="75"/>
      <c r="N36" s="112">
        <v>1</v>
      </c>
      <c r="O36" s="122"/>
      <c r="P36" s="30"/>
      <c r="Q36" s="74"/>
      <c r="R36" s="16"/>
      <c r="S36" s="75"/>
      <c r="T36" s="112">
        <v>70</v>
      </c>
      <c r="U36" s="74"/>
      <c r="V36" s="16"/>
      <c r="W36" s="75"/>
      <c r="X36" s="30"/>
      <c r="Y36" s="30"/>
      <c r="Z36" s="30"/>
      <c r="AA36" t="s" s="83">
        <v>92</v>
      </c>
      <c r="AB36" t="s" s="83">
        <v>603</v>
      </c>
      <c r="AC36" s="134">
        <v>1</v>
      </c>
      <c r="AD36" s="134"/>
      <c r="AE36" s="30"/>
      <c r="AF36" t="s" s="83">
        <v>745</v>
      </c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t="s" s="83">
        <v>2712</v>
      </c>
      <c r="B37" s="112">
        <v>1921</v>
      </c>
      <c r="C37" s="112">
        <v>6</v>
      </c>
      <c r="D37" t="s" s="83">
        <v>2713</v>
      </c>
      <c r="E37" s="30"/>
      <c r="F37" s="112">
        <v>7</v>
      </c>
      <c r="G37" t="s" s="83">
        <v>334</v>
      </c>
      <c r="H37" t="s" s="83">
        <v>2746</v>
      </c>
      <c r="I37" s="120">
        <v>25</v>
      </c>
      <c r="J37" s="112">
        <v>1</v>
      </c>
      <c r="K37" s="74"/>
      <c r="L37" s="16"/>
      <c r="M37" s="75"/>
      <c r="N37" t="s" s="83">
        <v>78</v>
      </c>
      <c r="O37" s="122"/>
      <c r="P37" s="112">
        <v>1</v>
      </c>
      <c r="Q37" s="74"/>
      <c r="R37" s="16"/>
      <c r="S37" s="75"/>
      <c r="T37" s="112">
        <v>45</v>
      </c>
      <c r="U37" s="74"/>
      <c r="V37" s="16"/>
      <c r="W37" s="75"/>
      <c r="X37" s="30"/>
      <c r="Y37" s="30"/>
      <c r="Z37" s="30"/>
      <c r="AA37" t="s" s="83">
        <v>33</v>
      </c>
      <c r="AB37" t="s" s="83">
        <v>34</v>
      </c>
      <c r="AC37" s="30"/>
      <c r="AD37" s="30"/>
      <c r="AE37" s="30"/>
      <c r="AF37" s="112">
        <v>1</v>
      </c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5.35" customHeight="1">
      <c r="A38" t="s" s="83">
        <v>2712</v>
      </c>
      <c r="B38" s="112">
        <v>1921</v>
      </c>
      <c r="C38" s="112">
        <v>6</v>
      </c>
      <c r="D38" t="s" s="83">
        <v>2713</v>
      </c>
      <c r="E38" s="115"/>
      <c r="F38" s="112">
        <v>7</v>
      </c>
      <c r="G38" t="s" s="153">
        <v>334</v>
      </c>
      <c r="H38" t="s" s="98">
        <v>2456</v>
      </c>
      <c r="I38" s="79">
        <v>26</v>
      </c>
      <c r="J38" s="97">
        <v>1</v>
      </c>
      <c r="K38" s="16"/>
      <c r="L38" s="16"/>
      <c r="M38" s="16"/>
      <c r="N38" t="s" s="98">
        <v>78</v>
      </c>
      <c r="O38" s="16"/>
      <c r="P38" s="97">
        <v>1</v>
      </c>
      <c r="Q38" s="16"/>
      <c r="R38" s="16"/>
      <c r="S38" s="16"/>
      <c r="T38" s="97">
        <v>35</v>
      </c>
      <c r="U38" s="16"/>
      <c r="V38" s="16"/>
      <c r="W38" s="16"/>
      <c r="X38" s="62"/>
      <c r="Y38" s="62"/>
      <c r="Z38" s="62"/>
      <c r="AA38" t="s" s="98">
        <v>2610</v>
      </c>
      <c r="AB38" t="s" s="98">
        <v>15</v>
      </c>
      <c r="AC38" s="97">
        <v>1</v>
      </c>
      <c r="AD38" s="62"/>
      <c r="AE38" s="62"/>
      <c r="AF38" s="97">
        <v>1</v>
      </c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16"/>
      <c r="BA38" s="16"/>
      <c r="BB38" s="16"/>
      <c r="BC38" s="16"/>
    </row>
    <row r="39" ht="15.35" customHeight="1">
      <c r="A39" t="s" s="83">
        <v>2712</v>
      </c>
      <c r="B39" s="112">
        <v>1921</v>
      </c>
      <c r="C39" s="112">
        <v>6</v>
      </c>
      <c r="D39" t="s" s="83">
        <v>2713</v>
      </c>
      <c r="E39" s="122"/>
      <c r="F39" s="112">
        <v>7</v>
      </c>
      <c r="G39" t="s" s="157">
        <v>334</v>
      </c>
      <c r="H39" t="s" s="96">
        <v>2747</v>
      </c>
      <c r="I39" s="79">
        <v>27</v>
      </c>
      <c r="J39" t="s" s="96">
        <v>37</v>
      </c>
      <c r="K39" s="79">
        <v>1</v>
      </c>
      <c r="L39" s="16"/>
      <c r="M39" s="16"/>
      <c r="N39" t="s" s="96">
        <v>41</v>
      </c>
      <c r="O39" s="16"/>
      <c r="P39" s="16"/>
      <c r="Q39" s="16"/>
      <c r="R39" s="79">
        <v>1</v>
      </c>
      <c r="S39" s="16"/>
      <c r="T39" s="79">
        <v>40</v>
      </c>
      <c r="U39" s="16"/>
      <c r="V39" s="16"/>
      <c r="W39" s="16"/>
      <c r="X39" s="16"/>
      <c r="Y39" s="16"/>
      <c r="Z39" s="16"/>
      <c r="AA39" t="s" s="96">
        <v>2748</v>
      </c>
      <c r="AB39" t="s" s="96">
        <v>2749</v>
      </c>
      <c r="AC39" s="79">
        <v>1</v>
      </c>
      <c r="AD39" s="16"/>
      <c r="AE39" s="16"/>
      <c r="AF39" s="79">
        <v>1</v>
      </c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</row>
    <row r="40" ht="15.35" customHeight="1">
      <c r="A40" t="s" s="83">
        <v>2712</v>
      </c>
      <c r="B40" s="112">
        <v>1921</v>
      </c>
      <c r="C40" s="112">
        <v>6</v>
      </c>
      <c r="D40" t="s" s="83">
        <v>2713</v>
      </c>
      <c r="E40" s="122"/>
      <c r="F40" s="112">
        <v>7</v>
      </c>
      <c r="G40" t="s" s="157">
        <v>334</v>
      </c>
      <c r="H40" t="s" s="96">
        <v>315</v>
      </c>
      <c r="I40" s="79">
        <v>28</v>
      </c>
      <c r="J40" s="79">
        <v>1</v>
      </c>
      <c r="K40" s="16"/>
      <c r="L40" s="16"/>
      <c r="M40" s="16"/>
      <c r="N40" t="s" s="96">
        <v>41</v>
      </c>
      <c r="O40" s="16"/>
      <c r="P40" s="16"/>
      <c r="Q40" s="16"/>
      <c r="R40" s="79">
        <v>1</v>
      </c>
      <c r="S40" s="16"/>
      <c r="T40" s="79">
        <v>37</v>
      </c>
      <c r="U40" s="16"/>
      <c r="V40" s="16"/>
      <c r="W40" s="16"/>
      <c r="X40" s="16"/>
      <c r="Y40" s="16"/>
      <c r="Z40" s="16"/>
      <c r="AA40" t="s" s="96">
        <v>34</v>
      </c>
      <c r="AB40" t="s" s="96">
        <v>34</v>
      </c>
      <c r="AC40" s="16"/>
      <c r="AD40" s="16"/>
      <c r="AE40" s="16"/>
      <c r="AF40" t="s" s="96">
        <v>34</v>
      </c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5.35" customHeight="1">
      <c r="A41" t="s" s="83">
        <v>2712</v>
      </c>
      <c r="B41" s="112">
        <v>1921</v>
      </c>
      <c r="C41" s="112">
        <v>6</v>
      </c>
      <c r="D41" t="s" s="83">
        <v>2713</v>
      </c>
      <c r="E41" s="122"/>
      <c r="F41" s="112">
        <v>7</v>
      </c>
      <c r="G41" t="s" s="157">
        <v>334</v>
      </c>
      <c r="H41" t="s" s="96">
        <v>2750</v>
      </c>
      <c r="I41" s="79">
        <v>29</v>
      </c>
      <c r="J41" s="16"/>
      <c r="K41" s="16"/>
      <c r="L41" s="16"/>
      <c r="M41" s="79">
        <v>1</v>
      </c>
      <c r="N41" t="s" s="96">
        <v>41</v>
      </c>
      <c r="O41" s="16"/>
      <c r="P41" s="16"/>
      <c r="Q41" s="16"/>
      <c r="R41" s="79">
        <v>1</v>
      </c>
      <c r="S41" s="16"/>
      <c r="T41" s="79">
        <v>9</v>
      </c>
      <c r="U41" s="16"/>
      <c r="V41" s="16"/>
      <c r="W41" s="16"/>
      <c r="X41" s="16"/>
      <c r="Y41" s="16"/>
      <c r="Z41" s="16"/>
      <c r="AA41" t="s" s="96">
        <v>34</v>
      </c>
      <c r="AB41" t="s" s="96">
        <v>34</v>
      </c>
      <c r="AC41" s="16"/>
      <c r="AD41" s="16"/>
      <c r="AE41" s="16"/>
      <c r="AF41" t="s" s="96">
        <v>2751</v>
      </c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5.35" customHeight="1">
      <c r="A42" t="s" s="83">
        <v>2712</v>
      </c>
      <c r="B42" s="112">
        <v>1921</v>
      </c>
      <c r="C42" s="112">
        <v>6</v>
      </c>
      <c r="D42" t="s" s="83">
        <v>2713</v>
      </c>
      <c r="E42" s="122"/>
      <c r="F42" s="112">
        <v>7</v>
      </c>
      <c r="G42" t="s" s="157">
        <v>334</v>
      </c>
      <c r="H42" t="s" s="96">
        <v>2752</v>
      </c>
      <c r="I42" s="79">
        <v>30</v>
      </c>
      <c r="J42" s="16"/>
      <c r="K42" s="16"/>
      <c r="L42" s="79">
        <v>1</v>
      </c>
      <c r="M42" s="16"/>
      <c r="N42" t="s" s="96">
        <v>41</v>
      </c>
      <c r="O42" s="16"/>
      <c r="P42" s="16"/>
      <c r="Q42" s="16"/>
      <c r="R42" s="79">
        <v>1</v>
      </c>
      <c r="S42" s="16"/>
      <c r="T42" s="79">
        <v>11</v>
      </c>
      <c r="U42" s="16"/>
      <c r="V42" s="16"/>
      <c r="W42" s="16"/>
      <c r="X42" s="16"/>
      <c r="Y42" s="16"/>
      <c r="Z42" s="16"/>
      <c r="AA42" t="s" s="96">
        <v>34</v>
      </c>
      <c r="AB42" t="s" s="96">
        <v>34</v>
      </c>
      <c r="AC42" s="16"/>
      <c r="AD42" s="16"/>
      <c r="AE42" s="16"/>
      <c r="AF42" t="s" s="96">
        <v>2751</v>
      </c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5.35" customHeight="1">
      <c r="A43" t="s" s="83">
        <v>2712</v>
      </c>
      <c r="B43" s="112">
        <v>1921</v>
      </c>
      <c r="C43" s="112">
        <v>6</v>
      </c>
      <c r="D43" t="s" s="83">
        <v>2713</v>
      </c>
      <c r="E43" s="122"/>
      <c r="F43" s="112">
        <v>7</v>
      </c>
      <c r="G43" t="s" s="157">
        <v>334</v>
      </c>
      <c r="H43" t="s" s="96">
        <v>2753</v>
      </c>
      <c r="I43" s="79">
        <v>31</v>
      </c>
      <c r="J43" s="16"/>
      <c r="K43" s="16"/>
      <c r="L43" s="79">
        <v>1</v>
      </c>
      <c r="M43" s="16"/>
      <c r="N43" t="s" s="96">
        <v>41</v>
      </c>
      <c r="O43" s="16"/>
      <c r="P43" s="16"/>
      <c r="Q43" s="16"/>
      <c r="R43" s="79">
        <v>1</v>
      </c>
      <c r="S43" s="16"/>
      <c r="T43" s="79">
        <v>1</v>
      </c>
      <c r="U43" s="16"/>
      <c r="V43" s="16"/>
      <c r="W43" s="16"/>
      <c r="X43" s="16"/>
      <c r="Y43" s="16"/>
      <c r="Z43" s="16"/>
      <c r="AA43" t="s" s="96">
        <v>34</v>
      </c>
      <c r="AB43" t="s" s="96">
        <v>34</v>
      </c>
      <c r="AC43" s="16"/>
      <c r="AD43" s="16"/>
      <c r="AE43" s="16"/>
      <c r="AF43" t="s" s="96">
        <v>2751</v>
      </c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</row>
    <row r="44" ht="15.35" customHeight="1">
      <c r="A44" t="s" s="83">
        <v>2712</v>
      </c>
      <c r="B44" s="112">
        <v>1921</v>
      </c>
      <c r="C44" s="112">
        <v>6</v>
      </c>
      <c r="D44" t="s" s="83">
        <v>2713</v>
      </c>
      <c r="E44" s="122"/>
      <c r="F44" s="112">
        <v>7</v>
      </c>
      <c r="G44" t="s" s="157">
        <v>2754</v>
      </c>
      <c r="H44" t="s" s="96">
        <v>2356</v>
      </c>
      <c r="I44" s="79">
        <v>32</v>
      </c>
      <c r="J44" t="s" s="96">
        <v>37</v>
      </c>
      <c r="K44" s="79">
        <v>1</v>
      </c>
      <c r="L44" s="16"/>
      <c r="M44" s="16"/>
      <c r="N44" t="s" s="96">
        <v>11</v>
      </c>
      <c r="O44" s="16"/>
      <c r="P44" s="16"/>
      <c r="Q44" s="16"/>
      <c r="R44" s="16"/>
      <c r="S44" s="79">
        <v>1</v>
      </c>
      <c r="T44" s="79">
        <v>66</v>
      </c>
      <c r="U44" s="16"/>
      <c r="V44" s="16"/>
      <c r="W44" s="16"/>
      <c r="X44" s="16"/>
      <c r="Y44" s="16"/>
      <c r="Z44" s="16"/>
      <c r="AA44" t="s" s="96">
        <v>2755</v>
      </c>
      <c r="AB44" t="s" s="96">
        <v>15</v>
      </c>
      <c r="AC44" s="79">
        <v>1</v>
      </c>
      <c r="AD44" s="16"/>
      <c r="AE44" s="16"/>
      <c r="AF44" t="s" s="96">
        <v>553</v>
      </c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</row>
    <row r="45" ht="15.35" customHeight="1">
      <c r="A45" t="s" s="83">
        <v>2712</v>
      </c>
      <c r="B45" s="112">
        <v>1921</v>
      </c>
      <c r="C45" s="112">
        <v>6</v>
      </c>
      <c r="D45" t="s" s="83">
        <v>2713</v>
      </c>
      <c r="E45" s="122"/>
      <c r="F45" s="112">
        <v>7</v>
      </c>
      <c r="G45" t="s" s="157">
        <v>2186</v>
      </c>
      <c r="H45" t="s" s="96">
        <v>17</v>
      </c>
      <c r="I45" s="79">
        <v>33</v>
      </c>
      <c r="J45" s="79">
        <v>1</v>
      </c>
      <c r="K45" s="16"/>
      <c r="L45" s="16"/>
      <c r="M45" s="16"/>
      <c r="N45" t="s" s="96">
        <v>11</v>
      </c>
      <c r="O45" s="16"/>
      <c r="P45" s="16"/>
      <c r="Q45" s="16"/>
      <c r="R45" s="16"/>
      <c r="S45" s="79">
        <v>1</v>
      </c>
      <c r="T45" s="79">
        <v>25</v>
      </c>
      <c r="U45" s="16"/>
      <c r="V45" s="16"/>
      <c r="W45" s="16"/>
      <c r="X45" s="16"/>
      <c r="Y45" s="16"/>
      <c r="Z45" s="16"/>
      <c r="AA45" t="s" s="96">
        <v>2756</v>
      </c>
      <c r="AB45" t="s" s="96">
        <v>15</v>
      </c>
      <c r="AC45" s="79">
        <v>1</v>
      </c>
      <c r="AD45" s="16"/>
      <c r="AE45" s="16"/>
      <c r="AF45" s="79">
        <v>1</v>
      </c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</row>
    <row r="46" ht="15.35" customHeight="1">
      <c r="A46" t="s" s="83">
        <v>2712</v>
      </c>
      <c r="B46" s="112">
        <v>1921</v>
      </c>
      <c r="C46" s="112">
        <v>6</v>
      </c>
      <c r="D46" t="s" s="83">
        <v>2713</v>
      </c>
      <c r="E46" s="122"/>
      <c r="F46" s="112">
        <v>7</v>
      </c>
      <c r="G46" t="s" s="157">
        <v>2757</v>
      </c>
      <c r="H46" t="s" s="96">
        <v>251</v>
      </c>
      <c r="I46" s="79">
        <v>34</v>
      </c>
      <c r="J46" s="79">
        <v>1</v>
      </c>
      <c r="K46" s="16"/>
      <c r="L46" s="16"/>
      <c r="M46" s="16"/>
      <c r="N46" t="s" s="96">
        <v>11</v>
      </c>
      <c r="O46" s="16"/>
      <c r="P46" s="16"/>
      <c r="Q46" s="16"/>
      <c r="R46" s="16"/>
      <c r="S46" s="79">
        <v>1</v>
      </c>
      <c r="T46" s="79">
        <v>33</v>
      </c>
      <c r="U46" s="16"/>
      <c r="V46" s="16"/>
      <c r="W46" s="16"/>
      <c r="X46" s="16"/>
      <c r="Y46" s="16"/>
      <c r="Z46" s="16"/>
      <c r="AA46" t="s" s="96">
        <v>45</v>
      </c>
      <c r="AB46" t="s" s="96">
        <v>15</v>
      </c>
      <c r="AC46" s="79">
        <v>1</v>
      </c>
      <c r="AD46" s="16"/>
      <c r="AE46" s="16"/>
      <c r="AF46" t="s" s="96">
        <v>118</v>
      </c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5.35" customHeight="1">
      <c r="A47" t="s" s="83">
        <v>2712</v>
      </c>
      <c r="B47" s="112">
        <v>1921</v>
      </c>
      <c r="C47" s="112">
        <v>6</v>
      </c>
      <c r="D47" t="s" s="83">
        <v>2713</v>
      </c>
      <c r="E47" s="122"/>
      <c r="F47" s="112">
        <v>7</v>
      </c>
      <c r="G47" t="s" s="157">
        <v>2758</v>
      </c>
      <c r="H47" t="s" s="96">
        <v>2759</v>
      </c>
      <c r="I47" s="79">
        <v>35</v>
      </c>
      <c r="J47" s="79">
        <v>1</v>
      </c>
      <c r="K47" s="16"/>
      <c r="L47" s="16"/>
      <c r="M47" s="16"/>
      <c r="N47" t="s" s="96">
        <v>11</v>
      </c>
      <c r="O47" s="16"/>
      <c r="P47" s="16"/>
      <c r="Q47" s="16"/>
      <c r="R47" s="16"/>
      <c r="S47" s="79">
        <v>1</v>
      </c>
      <c r="T47" s="79">
        <v>24</v>
      </c>
      <c r="U47" s="16"/>
      <c r="V47" s="16"/>
      <c r="W47" s="16"/>
      <c r="X47" s="16"/>
      <c r="Y47" s="16"/>
      <c r="Z47" s="16"/>
      <c r="AA47" t="s" s="96">
        <v>55</v>
      </c>
      <c r="AB47" t="s" s="96">
        <v>15</v>
      </c>
      <c r="AC47" s="79">
        <v>1</v>
      </c>
      <c r="AD47" s="16"/>
      <c r="AE47" s="16"/>
      <c r="AF47" t="s" s="96">
        <v>1936</v>
      </c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</row>
    <row r="48" ht="15.35" customHeight="1">
      <c r="A48" t="s" s="83">
        <v>2712</v>
      </c>
      <c r="B48" s="112">
        <v>1921</v>
      </c>
      <c r="C48" s="112">
        <v>6</v>
      </c>
      <c r="D48" t="s" s="83">
        <v>2713</v>
      </c>
      <c r="E48" s="122"/>
      <c r="F48" s="112">
        <v>7</v>
      </c>
      <c r="G48" t="s" s="157">
        <v>2758</v>
      </c>
      <c r="H48" t="s" s="96">
        <v>962</v>
      </c>
      <c r="I48" s="79">
        <v>36</v>
      </c>
      <c r="J48" s="79">
        <v>1</v>
      </c>
      <c r="K48" s="16"/>
      <c r="L48" s="16"/>
      <c r="M48" s="16"/>
      <c r="N48" t="s" s="96">
        <v>11</v>
      </c>
      <c r="O48" s="16"/>
      <c r="P48" s="16"/>
      <c r="Q48" s="16"/>
      <c r="R48" s="16"/>
      <c r="S48" s="79">
        <v>1</v>
      </c>
      <c r="T48" s="79">
        <v>18</v>
      </c>
      <c r="U48" s="16"/>
      <c r="V48" s="16"/>
      <c r="W48" s="16"/>
      <c r="X48" s="16"/>
      <c r="Y48" s="16"/>
      <c r="Z48" s="16"/>
      <c r="AA48" t="s" s="96">
        <v>51</v>
      </c>
      <c r="AB48" t="s" s="96">
        <v>15</v>
      </c>
      <c r="AC48" s="79">
        <v>1</v>
      </c>
      <c r="AD48" s="16"/>
      <c r="AE48" s="16"/>
      <c r="AF48" t="s" s="96">
        <v>134</v>
      </c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5.35" customHeight="1">
      <c r="A49" t="s" s="83">
        <v>2712</v>
      </c>
      <c r="B49" s="112">
        <v>1921</v>
      </c>
      <c r="C49" s="30"/>
      <c r="D49" t="s" s="83">
        <v>2713</v>
      </c>
      <c r="E49" s="74"/>
      <c r="F49" s="62"/>
      <c r="G49" s="16"/>
      <c r="H49" s="79">
        <v>13</v>
      </c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t="s" s="83">
        <v>2712</v>
      </c>
      <c r="B50" s="112">
        <v>1921</v>
      </c>
      <c r="C50" s="30"/>
      <c r="D50" t="s" s="83">
        <v>2713</v>
      </c>
      <c r="E50" s="74"/>
      <c r="F50" s="16"/>
      <c r="G50" t="s" s="96">
        <v>1</v>
      </c>
      <c r="H50" t="s" s="96">
        <v>0</v>
      </c>
      <c r="I50" s="16"/>
      <c r="J50" t="s" s="96">
        <v>3</v>
      </c>
      <c r="K50" s="16"/>
      <c r="L50" s="16"/>
      <c r="M50" s="16"/>
      <c r="N50" t="s" s="96">
        <v>2</v>
      </c>
      <c r="O50" s="16"/>
      <c r="P50" s="16"/>
      <c r="Q50" s="16"/>
      <c r="R50" s="16"/>
      <c r="S50" s="16"/>
      <c r="T50" t="s" s="96">
        <v>5</v>
      </c>
      <c r="U50" s="16"/>
      <c r="V50" s="16"/>
      <c r="W50" s="16"/>
      <c r="X50" s="16"/>
      <c r="Y50" s="16"/>
      <c r="Z50" s="16"/>
      <c r="AA50" t="s" s="96">
        <v>7</v>
      </c>
      <c r="AB50" t="s" s="96">
        <v>8</v>
      </c>
      <c r="AC50" s="16"/>
      <c r="AD50" s="16"/>
      <c r="AE50" s="16"/>
      <c r="AF50" t="s" s="96">
        <v>6</v>
      </c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5.35" customHeight="1">
      <c r="A51" t="s" s="83">
        <v>2712</v>
      </c>
      <c r="B51" s="112">
        <v>1921</v>
      </c>
      <c r="C51" s="112">
        <v>7</v>
      </c>
      <c r="D51" t="s" s="83">
        <v>2713</v>
      </c>
      <c r="E51" s="74"/>
      <c r="F51" s="79">
        <v>11</v>
      </c>
      <c r="G51" t="s" s="96">
        <v>1017</v>
      </c>
      <c r="H51" t="s" s="96">
        <v>2760</v>
      </c>
      <c r="I51" s="79">
        <v>37</v>
      </c>
      <c r="J51" t="s" s="96">
        <v>37</v>
      </c>
      <c r="K51" s="79">
        <v>1</v>
      </c>
      <c r="L51" s="16"/>
      <c r="M51" s="16"/>
      <c r="N51" s="79">
        <v>1</v>
      </c>
      <c r="O51" s="16"/>
      <c r="P51" s="16"/>
      <c r="Q51" s="16"/>
      <c r="R51" s="16"/>
      <c r="S51" s="16"/>
      <c r="T51" s="79">
        <v>53</v>
      </c>
      <c r="U51" s="16"/>
      <c r="V51" s="16"/>
      <c r="W51" s="16"/>
      <c r="X51" s="16"/>
      <c r="Y51" s="16"/>
      <c r="Z51" s="16"/>
      <c r="AA51" t="s" s="96">
        <v>2761</v>
      </c>
      <c r="AB51" t="s" s="96">
        <v>8</v>
      </c>
      <c r="AC51" s="79">
        <v>1</v>
      </c>
      <c r="AD51" s="79">
        <v>1</v>
      </c>
      <c r="AE51" s="16"/>
      <c r="AF51" s="79">
        <v>1</v>
      </c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15.35" customHeight="1">
      <c r="A52" t="s" s="83">
        <v>2712</v>
      </c>
      <c r="B52" s="112">
        <v>1921</v>
      </c>
      <c r="C52" s="112">
        <v>7</v>
      </c>
      <c r="D52" t="s" s="83">
        <v>2713</v>
      </c>
      <c r="E52" s="74"/>
      <c r="F52" s="79">
        <v>11</v>
      </c>
      <c r="G52" t="s" s="96">
        <v>2762</v>
      </c>
      <c r="H52" t="s" s="96">
        <v>262</v>
      </c>
      <c r="I52" s="79">
        <v>38</v>
      </c>
      <c r="J52" s="79">
        <v>1</v>
      </c>
      <c r="K52" s="16"/>
      <c r="L52" s="16"/>
      <c r="M52" s="16"/>
      <c r="N52" t="s" s="96">
        <v>163</v>
      </c>
      <c r="O52" s="16"/>
      <c r="P52" s="16"/>
      <c r="Q52" s="16"/>
      <c r="R52" s="16"/>
      <c r="S52" s="79">
        <v>1</v>
      </c>
      <c r="T52" s="79">
        <v>60</v>
      </c>
      <c r="U52" s="16"/>
      <c r="V52" s="16"/>
      <c r="W52" s="16"/>
      <c r="X52" s="16"/>
      <c r="Y52" s="16"/>
      <c r="Z52" s="16"/>
      <c r="AA52" t="s" s="96">
        <v>175</v>
      </c>
      <c r="AB52" t="s" s="96">
        <v>15</v>
      </c>
      <c r="AC52" s="79">
        <v>1</v>
      </c>
      <c r="AD52" s="16"/>
      <c r="AE52" s="16"/>
      <c r="AF52" t="s" s="96">
        <v>134</v>
      </c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5.35" customHeight="1">
      <c r="A53" t="s" s="83">
        <v>2712</v>
      </c>
      <c r="B53" s="112">
        <v>1921</v>
      </c>
      <c r="C53" s="112">
        <v>7</v>
      </c>
      <c r="D53" t="s" s="83">
        <v>2713</v>
      </c>
      <c r="E53" s="74"/>
      <c r="F53" s="79">
        <v>11</v>
      </c>
      <c r="G53" t="s" s="96">
        <v>2763</v>
      </c>
      <c r="H53" t="s" s="96">
        <v>2764</v>
      </c>
      <c r="I53" s="79">
        <v>39</v>
      </c>
      <c r="J53" s="79">
        <v>1</v>
      </c>
      <c r="K53" s="16"/>
      <c r="L53" s="16"/>
      <c r="M53" s="16"/>
      <c r="N53" t="s" s="96">
        <v>55</v>
      </c>
      <c r="O53" s="16"/>
      <c r="P53" s="16"/>
      <c r="Q53" s="16"/>
      <c r="R53" s="16"/>
      <c r="S53" s="79">
        <v>1</v>
      </c>
      <c r="T53" s="79">
        <v>32</v>
      </c>
      <c r="U53" s="16"/>
      <c r="V53" s="16"/>
      <c r="W53" s="16"/>
      <c r="X53" s="16"/>
      <c r="Y53" s="16"/>
      <c r="Z53" s="16"/>
      <c r="AA53" t="s" s="96">
        <v>89</v>
      </c>
      <c r="AB53" t="s" s="96">
        <v>15</v>
      </c>
      <c r="AC53" s="79">
        <v>1</v>
      </c>
      <c r="AD53" s="16"/>
      <c r="AE53" s="16"/>
      <c r="AF53" t="s" s="96">
        <v>2577</v>
      </c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15.35" customHeight="1">
      <c r="A54" t="s" s="83">
        <v>2712</v>
      </c>
      <c r="B54" s="112">
        <v>1921</v>
      </c>
      <c r="C54" s="30"/>
      <c r="D54" t="s" s="83">
        <v>2713</v>
      </c>
      <c r="E54" s="74"/>
      <c r="F54" s="16"/>
      <c r="G54" s="16"/>
      <c r="H54" s="79">
        <v>3</v>
      </c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15.35" customHeight="1">
      <c r="A55" t="s" s="83">
        <v>2712</v>
      </c>
      <c r="B55" s="112">
        <v>1921</v>
      </c>
      <c r="C55" s="30"/>
      <c r="D55" t="s" s="83">
        <v>2713</v>
      </c>
      <c r="E55" s="192"/>
      <c r="F55" s="3"/>
      <c r="G55" t="s" s="2">
        <v>1</v>
      </c>
      <c r="H55" t="s" s="2">
        <v>0</v>
      </c>
      <c r="I55" s="3"/>
      <c r="J55" t="s" s="2">
        <v>3</v>
      </c>
      <c r="K55" s="3"/>
      <c r="L55" s="3"/>
      <c r="M55" s="3"/>
      <c r="N55" t="s" s="2">
        <v>2</v>
      </c>
      <c r="O55" s="3"/>
      <c r="P55" s="3"/>
      <c r="Q55" s="3"/>
      <c r="R55" s="3"/>
      <c r="S55" s="3"/>
      <c r="T55" t="s" s="2">
        <v>5</v>
      </c>
      <c r="U55" s="3"/>
      <c r="V55" s="3"/>
      <c r="W55" s="3"/>
      <c r="X55" s="3"/>
      <c r="Y55" s="3"/>
      <c r="Z55" s="3"/>
      <c r="AA55" t="s" s="2">
        <v>7</v>
      </c>
      <c r="AB55" t="s" s="2">
        <v>8</v>
      </c>
      <c r="AC55" s="3"/>
      <c r="AD55" s="3"/>
      <c r="AE55" s="3"/>
      <c r="AF55" t="s" s="2">
        <v>6</v>
      </c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</row>
    <row r="56" ht="15.35" customHeight="1">
      <c r="A56" t="s" s="83">
        <v>2712</v>
      </c>
      <c r="B56" s="112">
        <v>1921</v>
      </c>
      <c r="C56" s="112">
        <v>8</v>
      </c>
      <c r="D56" t="s" s="83">
        <v>2713</v>
      </c>
      <c r="E56" s="195"/>
      <c r="F56" s="6">
        <v>13</v>
      </c>
      <c r="G56" t="s" s="5">
        <v>2765</v>
      </c>
      <c r="H56" t="s" s="5">
        <v>71</v>
      </c>
      <c r="I56" s="6">
        <v>40</v>
      </c>
      <c r="J56" s="6">
        <v>1</v>
      </c>
      <c r="K56" s="13"/>
      <c r="L56" s="13"/>
      <c r="M56" s="13"/>
      <c r="N56" s="6">
        <v>1</v>
      </c>
      <c r="O56" s="13"/>
      <c r="P56" s="13"/>
      <c r="Q56" s="13"/>
      <c r="R56" s="13"/>
      <c r="S56" s="13"/>
      <c r="T56" s="6">
        <v>59</v>
      </c>
      <c r="U56" s="13"/>
      <c r="V56" s="13"/>
      <c r="W56" s="13"/>
      <c r="X56" s="13"/>
      <c r="Y56" s="13"/>
      <c r="Z56" s="13"/>
      <c r="AA56" t="s" s="5">
        <v>33</v>
      </c>
      <c r="AB56" t="s" s="5">
        <v>34</v>
      </c>
      <c r="AC56" s="13"/>
      <c r="AD56" s="13"/>
      <c r="AE56" s="13"/>
      <c r="AF56" t="s" s="5">
        <v>2766</v>
      </c>
      <c r="AG56" s="13"/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A56" s="13"/>
      <c r="BB56" s="13"/>
      <c r="BC56" s="10"/>
    </row>
    <row r="57" ht="15.35" customHeight="1">
      <c r="A57" t="s" s="83">
        <v>2712</v>
      </c>
      <c r="B57" s="112">
        <v>1921</v>
      </c>
      <c r="C57" s="112">
        <v>8</v>
      </c>
      <c r="D57" t="s" s="83">
        <v>2713</v>
      </c>
      <c r="E57" s="200"/>
      <c r="F57" s="264">
        <v>13</v>
      </c>
      <c r="G57" t="s" s="285">
        <v>2767</v>
      </c>
      <c r="H57" t="s" s="285">
        <v>2768</v>
      </c>
      <c r="I57" s="264">
        <v>41</v>
      </c>
      <c r="J57" s="264">
        <v>1</v>
      </c>
      <c r="K57" s="14"/>
      <c r="L57" s="14"/>
      <c r="M57" s="14"/>
      <c r="N57" t="s" s="285">
        <v>41</v>
      </c>
      <c r="O57" s="14"/>
      <c r="P57" s="14"/>
      <c r="Q57" s="14"/>
      <c r="R57" s="264">
        <v>1</v>
      </c>
      <c r="S57" s="14"/>
      <c r="T57" s="264">
        <v>29</v>
      </c>
      <c r="U57" s="14"/>
      <c r="V57" s="14"/>
      <c r="W57" s="14"/>
      <c r="X57" s="14"/>
      <c r="Y57" s="14"/>
      <c r="Z57" s="14"/>
      <c r="AA57" t="s" s="285">
        <v>34</v>
      </c>
      <c r="AB57" t="s" s="285">
        <v>34</v>
      </c>
      <c r="AC57" s="14"/>
      <c r="AD57" s="14"/>
      <c r="AE57" s="14"/>
      <c r="AF57" t="s" s="285">
        <v>34</v>
      </c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</row>
    <row r="58" ht="15.35" customHeight="1">
      <c r="A58" t="s" s="83">
        <v>2712</v>
      </c>
      <c r="B58" s="112">
        <v>1921</v>
      </c>
      <c r="C58" s="112">
        <v>8</v>
      </c>
      <c r="D58" t="s" s="83">
        <v>2713</v>
      </c>
      <c r="E58" s="74"/>
      <c r="F58" s="79">
        <v>13</v>
      </c>
      <c r="G58" t="s" s="96">
        <v>2769</v>
      </c>
      <c r="H58" t="s" s="96">
        <v>166</v>
      </c>
      <c r="I58" s="79">
        <v>42</v>
      </c>
      <c r="J58" s="79">
        <v>1</v>
      </c>
      <c r="K58" s="16"/>
      <c r="L58" s="16"/>
      <c r="M58" s="16"/>
      <c r="N58" t="s" s="96">
        <v>186</v>
      </c>
      <c r="O58" s="16"/>
      <c r="P58" s="16"/>
      <c r="Q58" s="16"/>
      <c r="R58" s="16"/>
      <c r="S58" s="79">
        <v>1</v>
      </c>
      <c r="T58" s="79">
        <v>27</v>
      </c>
      <c r="U58" s="16"/>
      <c r="V58" s="16"/>
      <c r="W58" s="16"/>
      <c r="X58" s="16"/>
      <c r="Y58" s="16"/>
      <c r="Z58" s="16"/>
      <c r="AA58" t="s" s="96">
        <v>188</v>
      </c>
      <c r="AB58" t="s" s="96">
        <v>15</v>
      </c>
      <c r="AC58" s="79">
        <v>1</v>
      </c>
      <c r="AD58" s="16"/>
      <c r="AE58" s="16"/>
      <c r="AF58" s="79">
        <v>1</v>
      </c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</row>
    <row r="59" ht="15.35" customHeight="1">
      <c r="A59" t="s" s="83">
        <v>2712</v>
      </c>
      <c r="B59" s="112">
        <v>1921</v>
      </c>
      <c r="C59" s="112">
        <v>8</v>
      </c>
      <c r="D59" t="s" s="83">
        <v>2713</v>
      </c>
      <c r="E59" s="74"/>
      <c r="F59" s="79">
        <v>13</v>
      </c>
      <c r="G59" t="s" s="96">
        <v>980</v>
      </c>
      <c r="H59" t="s" s="96">
        <v>2770</v>
      </c>
      <c r="I59" s="79">
        <v>43</v>
      </c>
      <c r="J59" s="79">
        <v>1</v>
      </c>
      <c r="K59" s="16"/>
      <c r="L59" s="16"/>
      <c r="M59" s="16"/>
      <c r="N59" t="s" s="96">
        <v>186</v>
      </c>
      <c r="O59" s="16"/>
      <c r="P59" s="16"/>
      <c r="Q59" s="16"/>
      <c r="R59" s="16"/>
      <c r="S59" s="79">
        <v>1</v>
      </c>
      <c r="T59" s="79">
        <v>23</v>
      </c>
      <c r="U59" s="16"/>
      <c r="V59" s="16"/>
      <c r="W59" s="16"/>
      <c r="X59" s="16"/>
      <c r="Y59" s="16"/>
      <c r="Z59" s="16"/>
      <c r="AA59" t="s" s="96">
        <v>188</v>
      </c>
      <c r="AB59" t="s" s="96">
        <v>15</v>
      </c>
      <c r="AC59" s="79">
        <v>1</v>
      </c>
      <c r="AD59" s="16"/>
      <c r="AE59" s="16"/>
      <c r="AF59" t="s" s="96">
        <v>2771</v>
      </c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</row>
    <row r="60" ht="15.35" customHeight="1">
      <c r="A60" t="s" s="83">
        <v>2712</v>
      </c>
      <c r="B60" s="112">
        <v>1921</v>
      </c>
      <c r="C60" s="112">
        <v>8</v>
      </c>
      <c r="D60" t="s" s="83">
        <v>2713</v>
      </c>
      <c r="E60" s="74"/>
      <c r="F60" s="79">
        <v>13</v>
      </c>
      <c r="G60" t="s" s="96">
        <v>1196</v>
      </c>
      <c r="H60" t="s" s="96">
        <v>2772</v>
      </c>
      <c r="I60" s="79">
        <v>44</v>
      </c>
      <c r="J60" s="79">
        <v>1</v>
      </c>
      <c r="K60" s="16"/>
      <c r="L60" s="16"/>
      <c r="M60" s="16"/>
      <c r="N60" t="s" s="96">
        <v>207</v>
      </c>
      <c r="O60" s="16"/>
      <c r="P60" s="16"/>
      <c r="Q60" s="16"/>
      <c r="R60" s="79">
        <v>1</v>
      </c>
      <c r="S60" s="16"/>
      <c r="T60" s="79">
        <v>28</v>
      </c>
      <c r="U60" s="16"/>
      <c r="V60" s="16"/>
      <c r="W60" s="16"/>
      <c r="X60" s="16"/>
      <c r="Y60" s="16"/>
      <c r="Z60" s="16"/>
      <c r="AA60" t="s" s="96">
        <v>207</v>
      </c>
      <c r="AB60" t="s" s="96">
        <v>15</v>
      </c>
      <c r="AC60" s="79">
        <v>1</v>
      </c>
      <c r="AD60" s="16"/>
      <c r="AE60" s="16"/>
      <c r="AF60" t="s" s="96">
        <v>2773</v>
      </c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5.35" customHeight="1">
      <c r="A61" t="s" s="83">
        <v>2712</v>
      </c>
      <c r="B61" s="112">
        <v>1921</v>
      </c>
      <c r="C61" s="112">
        <v>8</v>
      </c>
      <c r="D61" t="s" s="83">
        <v>2713</v>
      </c>
      <c r="E61" s="74"/>
      <c r="F61" s="79">
        <v>13</v>
      </c>
      <c r="G61" t="s" s="96">
        <v>888</v>
      </c>
      <c r="H61" t="s" s="96">
        <v>48</v>
      </c>
      <c r="I61" s="79">
        <v>45</v>
      </c>
      <c r="J61" s="79">
        <v>1</v>
      </c>
      <c r="K61" s="16"/>
      <c r="L61" s="16"/>
      <c r="M61" s="16"/>
      <c r="N61" t="s" s="96">
        <v>186</v>
      </c>
      <c r="O61" s="16"/>
      <c r="P61" s="16"/>
      <c r="Q61" s="16"/>
      <c r="R61" s="16"/>
      <c r="S61" s="79">
        <v>1</v>
      </c>
      <c r="T61" s="79">
        <v>20</v>
      </c>
      <c r="U61" s="16"/>
      <c r="V61" s="16"/>
      <c r="W61" s="16"/>
      <c r="X61" s="16"/>
      <c r="Y61" s="16"/>
      <c r="Z61" s="16"/>
      <c r="AA61" t="s" s="96">
        <v>188</v>
      </c>
      <c r="AB61" t="s" s="96">
        <v>15</v>
      </c>
      <c r="AC61" s="79">
        <v>1</v>
      </c>
      <c r="AD61" s="16"/>
      <c r="AE61" s="16"/>
      <c r="AF61" t="s" s="96">
        <v>134</v>
      </c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15.35" customHeight="1">
      <c r="A62" t="s" s="83">
        <v>2712</v>
      </c>
      <c r="B62" s="112">
        <v>1921</v>
      </c>
      <c r="C62" s="30"/>
      <c r="D62" t="s" s="83">
        <v>2713</v>
      </c>
      <c r="E62" s="74"/>
      <c r="F62" s="16"/>
      <c r="G62" s="16"/>
      <c r="H62" s="79">
        <v>6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t="s" s="83">
        <v>2712</v>
      </c>
      <c r="B63" s="112">
        <v>1921</v>
      </c>
      <c r="C63" s="30"/>
      <c r="D63" t="s" s="83">
        <v>2713</v>
      </c>
      <c r="E63" s="192"/>
      <c r="F63" s="3"/>
      <c r="G63" t="s" s="2">
        <v>1</v>
      </c>
      <c r="H63" t="s" s="2">
        <v>0</v>
      </c>
      <c r="I63" s="3"/>
      <c r="J63" t="s" s="2">
        <v>3</v>
      </c>
      <c r="K63" s="3"/>
      <c r="L63" s="3"/>
      <c r="M63" s="3"/>
      <c r="N63" t="s" s="2">
        <v>2</v>
      </c>
      <c r="O63" s="3"/>
      <c r="P63" s="3"/>
      <c r="Q63" s="3"/>
      <c r="R63" s="3"/>
      <c r="S63" s="3"/>
      <c r="T63" t="s" s="2">
        <v>5</v>
      </c>
      <c r="U63" s="3"/>
      <c r="V63" s="3"/>
      <c r="W63" s="3"/>
      <c r="X63" s="3"/>
      <c r="Y63" s="3"/>
      <c r="Z63" s="3"/>
      <c r="AA63" t="s" s="2">
        <v>7</v>
      </c>
      <c r="AB63" t="s" s="2">
        <v>8</v>
      </c>
      <c r="AC63" s="3"/>
      <c r="AD63" s="3"/>
      <c r="AE63" s="3"/>
      <c r="AF63" t="s" s="2">
        <v>6</v>
      </c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</row>
    <row r="64" ht="15.35" customHeight="1">
      <c r="A64" t="s" s="83">
        <v>2712</v>
      </c>
      <c r="B64" s="112">
        <v>1921</v>
      </c>
      <c r="C64" s="112">
        <v>9</v>
      </c>
      <c r="D64" t="s" s="83">
        <v>2713</v>
      </c>
      <c r="E64" s="195"/>
      <c r="F64" s="6">
        <v>15</v>
      </c>
      <c r="G64" t="s" s="5">
        <v>128</v>
      </c>
      <c r="H64" t="s" s="5">
        <v>1281</v>
      </c>
      <c r="I64" s="6">
        <v>46</v>
      </c>
      <c r="J64" s="6">
        <v>1</v>
      </c>
      <c r="K64" s="13"/>
      <c r="L64" s="13"/>
      <c r="M64" s="13"/>
      <c r="N64" t="s" s="5">
        <v>11</v>
      </c>
      <c r="O64" s="13"/>
      <c r="P64" s="13"/>
      <c r="Q64" s="13"/>
      <c r="R64" s="13"/>
      <c r="S64" s="6">
        <v>1</v>
      </c>
      <c r="T64" s="6">
        <v>36</v>
      </c>
      <c r="U64" s="13"/>
      <c r="V64" s="13"/>
      <c r="W64" s="13"/>
      <c r="X64" s="13"/>
      <c r="Y64" s="13"/>
      <c r="Z64" s="13"/>
      <c r="AA64" t="s" s="5">
        <v>55</v>
      </c>
      <c r="AB64" t="s" s="5">
        <v>15</v>
      </c>
      <c r="AC64" s="6">
        <v>1</v>
      </c>
      <c r="AD64" s="13"/>
      <c r="AE64" s="13"/>
      <c r="AF64" s="6">
        <v>1</v>
      </c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0"/>
    </row>
    <row r="65" ht="15.35" customHeight="1">
      <c r="A65" t="s" s="83">
        <v>2712</v>
      </c>
      <c r="B65" s="112">
        <v>1921</v>
      </c>
      <c r="C65" s="112">
        <v>9</v>
      </c>
      <c r="D65" t="s" s="83">
        <v>2713</v>
      </c>
      <c r="E65" s="200"/>
      <c r="F65" s="264">
        <v>15</v>
      </c>
      <c r="G65" t="s" s="285">
        <v>2774</v>
      </c>
      <c r="H65" t="s" s="285">
        <v>366</v>
      </c>
      <c r="I65" s="264">
        <v>47</v>
      </c>
      <c r="J65" s="264">
        <v>1</v>
      </c>
      <c r="K65" s="14"/>
      <c r="L65" s="14"/>
      <c r="M65" s="14"/>
      <c r="N65" t="s" s="285">
        <v>11</v>
      </c>
      <c r="O65" s="14"/>
      <c r="P65" s="14"/>
      <c r="Q65" s="14"/>
      <c r="R65" s="14"/>
      <c r="S65" s="264">
        <v>1</v>
      </c>
      <c r="T65" s="264">
        <v>58</v>
      </c>
      <c r="U65" s="14"/>
      <c r="V65" s="14"/>
      <c r="W65" s="14"/>
      <c r="X65" s="14"/>
      <c r="Y65" s="14"/>
      <c r="Z65" s="14"/>
      <c r="AA65" t="s" s="285">
        <v>2775</v>
      </c>
      <c r="AB65" t="s" s="285">
        <v>15</v>
      </c>
      <c r="AC65" s="264">
        <v>1</v>
      </c>
      <c r="AD65" s="14"/>
      <c r="AE65" s="14"/>
      <c r="AF65" s="264">
        <v>1</v>
      </c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</row>
    <row r="66" ht="15.35" customHeight="1">
      <c r="A66" t="s" s="83">
        <v>2712</v>
      </c>
      <c r="B66" s="112">
        <v>1921</v>
      </c>
      <c r="C66" s="30"/>
      <c r="D66" t="s" s="83">
        <v>2713</v>
      </c>
      <c r="E66" s="74"/>
      <c r="F66" s="16"/>
      <c r="G66" s="16"/>
      <c r="H66" s="79">
        <v>2</v>
      </c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15.35" customHeight="1">
      <c r="A67" t="s" s="83">
        <v>2712</v>
      </c>
      <c r="B67" s="112">
        <v>1921</v>
      </c>
      <c r="C67" s="30"/>
      <c r="D67" t="s" s="83">
        <v>2713</v>
      </c>
      <c r="E67" s="74"/>
      <c r="F67" s="16"/>
      <c r="G67" t="s" s="96">
        <v>1</v>
      </c>
      <c r="H67" t="s" s="96">
        <v>0</v>
      </c>
      <c r="I67" s="16"/>
      <c r="J67" t="s" s="96">
        <v>3</v>
      </c>
      <c r="K67" s="16"/>
      <c r="L67" s="16"/>
      <c r="M67" s="16"/>
      <c r="N67" t="s" s="96">
        <v>2</v>
      </c>
      <c r="O67" s="16"/>
      <c r="P67" s="16"/>
      <c r="Q67" s="16"/>
      <c r="R67" s="16"/>
      <c r="S67" s="16"/>
      <c r="T67" t="s" s="96">
        <v>5</v>
      </c>
      <c r="U67" s="16"/>
      <c r="V67" s="16"/>
      <c r="W67" s="16"/>
      <c r="X67" s="16"/>
      <c r="Y67" s="16"/>
      <c r="Z67" s="16"/>
      <c r="AA67" t="s" s="96">
        <v>7</v>
      </c>
      <c r="AB67" t="s" s="96">
        <v>8</v>
      </c>
      <c r="AC67" s="16"/>
      <c r="AD67" s="16"/>
      <c r="AE67" s="16"/>
      <c r="AF67" t="s" s="96">
        <v>6</v>
      </c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15.35" customHeight="1">
      <c r="A68" t="s" s="83">
        <v>2712</v>
      </c>
      <c r="B68" s="112">
        <v>1921</v>
      </c>
      <c r="C68" s="112">
        <v>10</v>
      </c>
      <c r="D68" t="s" s="83">
        <v>2713</v>
      </c>
      <c r="E68" s="74"/>
      <c r="F68" s="79">
        <v>17</v>
      </c>
      <c r="G68" t="s" s="96">
        <v>443</v>
      </c>
      <c r="H68" t="s" s="96">
        <v>2776</v>
      </c>
      <c r="I68" s="79">
        <v>48</v>
      </c>
      <c r="J68" t="s" s="96">
        <v>37</v>
      </c>
      <c r="K68" s="79">
        <v>1</v>
      </c>
      <c r="L68" s="16"/>
      <c r="M68" s="16"/>
      <c r="N68" s="79">
        <v>1</v>
      </c>
      <c r="O68" s="16"/>
      <c r="P68" s="16"/>
      <c r="Q68" s="16"/>
      <c r="R68" s="16"/>
      <c r="S68" s="16"/>
      <c r="T68" s="79">
        <v>51</v>
      </c>
      <c r="U68" s="16"/>
      <c r="V68" s="16"/>
      <c r="W68" s="16"/>
      <c r="X68" s="16"/>
      <c r="Y68" s="16"/>
      <c r="Z68" s="16"/>
      <c r="AA68" t="s" s="96">
        <v>2777</v>
      </c>
      <c r="AB68" t="s" s="96">
        <v>2778</v>
      </c>
      <c r="AC68" s="79">
        <v>1</v>
      </c>
      <c r="AD68" s="16"/>
      <c r="AE68" s="16"/>
      <c r="AF68" t="s" s="96">
        <v>2779</v>
      </c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15.35" customHeight="1">
      <c r="A69" t="s" s="83">
        <v>2712</v>
      </c>
      <c r="B69" s="112">
        <v>1921</v>
      </c>
      <c r="C69" s="112">
        <v>10</v>
      </c>
      <c r="D69" t="s" s="83">
        <v>2713</v>
      </c>
      <c r="E69" s="74"/>
      <c r="F69" s="79">
        <v>17</v>
      </c>
      <c r="G69" t="s" s="96">
        <v>443</v>
      </c>
      <c r="H69" t="s" s="96">
        <v>2780</v>
      </c>
      <c r="I69" s="79">
        <v>49</v>
      </c>
      <c r="J69" s="79">
        <v>1</v>
      </c>
      <c r="K69" s="16"/>
      <c r="L69" s="16"/>
      <c r="M69" s="16"/>
      <c r="N69" t="s" s="96">
        <v>72</v>
      </c>
      <c r="O69" s="79">
        <v>1</v>
      </c>
      <c r="P69" s="16"/>
      <c r="Q69" s="16"/>
      <c r="R69" s="16"/>
      <c r="S69" s="16"/>
      <c r="T69" s="79">
        <v>47</v>
      </c>
      <c r="U69" s="16"/>
      <c r="V69" s="16"/>
      <c r="W69" s="16"/>
      <c r="X69" s="16"/>
      <c r="Y69" s="16"/>
      <c r="Z69" s="16"/>
      <c r="AA69" t="s" s="96">
        <v>33</v>
      </c>
      <c r="AB69" t="s" s="96">
        <v>34</v>
      </c>
      <c r="AC69" s="16"/>
      <c r="AD69" s="16"/>
      <c r="AE69" s="16"/>
      <c r="AF69" t="s" s="96">
        <v>2159</v>
      </c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15.35" customHeight="1">
      <c r="A70" t="s" s="83">
        <v>2712</v>
      </c>
      <c r="B70" s="112">
        <v>1921</v>
      </c>
      <c r="C70" s="112">
        <v>10</v>
      </c>
      <c r="D70" t="s" s="83">
        <v>2713</v>
      </c>
      <c r="E70" s="74"/>
      <c r="F70" s="79">
        <v>17</v>
      </c>
      <c r="G70" t="s" s="96">
        <v>443</v>
      </c>
      <c r="H70" t="s" s="96">
        <v>2781</v>
      </c>
      <c r="I70" s="79">
        <v>50</v>
      </c>
      <c r="J70" s="79">
        <v>1</v>
      </c>
      <c r="K70" s="16"/>
      <c r="L70" s="16"/>
      <c r="M70" s="16"/>
      <c r="N70" t="s" s="96">
        <v>78</v>
      </c>
      <c r="O70" s="16"/>
      <c r="P70" s="79">
        <v>1</v>
      </c>
      <c r="Q70" s="16"/>
      <c r="R70" s="16"/>
      <c r="S70" s="16"/>
      <c r="T70" s="79">
        <v>22</v>
      </c>
      <c r="U70" s="16"/>
      <c r="V70" s="16"/>
      <c r="W70" s="16"/>
      <c r="X70" s="16"/>
      <c r="Y70" s="16"/>
      <c r="Z70" s="16"/>
      <c r="AA70" t="s" s="96">
        <v>33</v>
      </c>
      <c r="AB70" t="s" s="96">
        <v>34</v>
      </c>
      <c r="AC70" s="16"/>
      <c r="AD70" s="16"/>
      <c r="AE70" s="16"/>
      <c r="AF70" s="79">
        <v>1</v>
      </c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15.35" customHeight="1">
      <c r="A71" t="s" s="83">
        <v>2712</v>
      </c>
      <c r="B71" s="112">
        <v>1921</v>
      </c>
      <c r="C71" s="112">
        <v>10</v>
      </c>
      <c r="D71" t="s" s="83">
        <v>2713</v>
      </c>
      <c r="E71" s="74"/>
      <c r="F71" s="79">
        <v>17</v>
      </c>
      <c r="G71" t="s" s="96">
        <v>2782</v>
      </c>
      <c r="H71" t="s" s="96">
        <v>2783</v>
      </c>
      <c r="I71" s="79">
        <v>51</v>
      </c>
      <c r="J71" s="79">
        <v>1</v>
      </c>
      <c r="K71" s="16"/>
      <c r="L71" s="16"/>
      <c r="M71" s="16"/>
      <c r="N71" t="s" s="96">
        <v>41</v>
      </c>
      <c r="O71" s="16"/>
      <c r="P71" s="16"/>
      <c r="Q71" s="16"/>
      <c r="R71" s="79">
        <v>1</v>
      </c>
      <c r="S71" s="16"/>
      <c r="T71" s="79">
        <v>24</v>
      </c>
      <c r="U71" s="16"/>
      <c r="V71" s="16"/>
      <c r="W71" s="16"/>
      <c r="X71" s="16"/>
      <c r="Y71" s="16"/>
      <c r="Z71" s="16"/>
      <c r="AA71" t="s" s="96">
        <v>94</v>
      </c>
      <c r="AB71" t="s" s="96">
        <v>34</v>
      </c>
      <c r="AC71" s="16"/>
      <c r="AD71" s="16"/>
      <c r="AE71" s="16"/>
      <c r="AF71" t="s" s="96">
        <v>2784</v>
      </c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15.35" customHeight="1">
      <c r="A72" t="s" s="83">
        <v>2712</v>
      </c>
      <c r="B72" s="112">
        <v>1921</v>
      </c>
      <c r="C72" s="112">
        <v>10</v>
      </c>
      <c r="D72" t="s" s="83">
        <v>2713</v>
      </c>
      <c r="E72" s="74"/>
      <c r="F72" s="79">
        <v>17</v>
      </c>
      <c r="G72" t="s" s="96">
        <v>888</v>
      </c>
      <c r="H72" t="s" s="96">
        <v>406</v>
      </c>
      <c r="I72" s="79">
        <v>52</v>
      </c>
      <c r="J72" s="79">
        <v>1</v>
      </c>
      <c r="K72" s="16"/>
      <c r="L72" s="16"/>
      <c r="M72" s="16"/>
      <c r="N72" t="s" s="96">
        <v>11</v>
      </c>
      <c r="O72" s="16"/>
      <c r="P72" s="16"/>
      <c r="Q72" s="16"/>
      <c r="R72" s="16"/>
      <c r="S72" s="79">
        <v>1</v>
      </c>
      <c r="T72" s="79">
        <v>38</v>
      </c>
      <c r="U72" s="16"/>
      <c r="V72" s="16"/>
      <c r="W72" s="16"/>
      <c r="X72" s="16"/>
      <c r="Y72" s="16"/>
      <c r="Z72" s="16"/>
      <c r="AA72" t="s" s="96">
        <v>45</v>
      </c>
      <c r="AB72" t="s" s="96">
        <v>15</v>
      </c>
      <c r="AC72" s="79">
        <v>1</v>
      </c>
      <c r="AD72" s="16"/>
      <c r="AE72" s="16"/>
      <c r="AF72" t="s" s="96">
        <v>512</v>
      </c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</row>
    <row r="73" ht="15.35" customHeight="1">
      <c r="A73" t="s" s="83">
        <v>2712</v>
      </c>
      <c r="B73" s="112">
        <v>1921</v>
      </c>
      <c r="C73" s="112">
        <v>10</v>
      </c>
      <c r="D73" t="s" s="83">
        <v>2713</v>
      </c>
      <c r="E73" s="74"/>
      <c r="F73" s="79">
        <v>17</v>
      </c>
      <c r="G73" t="s" s="96">
        <v>2785</v>
      </c>
      <c r="H73" t="s" s="96">
        <v>1750</v>
      </c>
      <c r="I73" s="79">
        <v>53</v>
      </c>
      <c r="J73" s="79">
        <v>1</v>
      </c>
      <c r="K73" s="16"/>
      <c r="L73" s="16"/>
      <c r="M73" s="16"/>
      <c r="N73" t="s" s="96">
        <v>11</v>
      </c>
      <c r="O73" s="16"/>
      <c r="P73" s="16"/>
      <c r="Q73" s="16"/>
      <c r="R73" s="16"/>
      <c r="S73" s="79">
        <v>1</v>
      </c>
      <c r="T73" s="79">
        <v>25</v>
      </c>
      <c r="U73" s="16"/>
      <c r="V73" s="16"/>
      <c r="W73" s="16"/>
      <c r="X73" s="16"/>
      <c r="Y73" s="16"/>
      <c r="Z73" s="16"/>
      <c r="AA73" t="s" s="96">
        <v>126</v>
      </c>
      <c r="AB73" t="s" s="96">
        <v>15</v>
      </c>
      <c r="AC73" s="79">
        <v>1</v>
      </c>
      <c r="AD73" s="16"/>
      <c r="AE73" s="16"/>
      <c r="AF73" t="s" s="96">
        <v>2786</v>
      </c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</row>
    <row r="74" ht="15.35" customHeight="1">
      <c r="A74" t="s" s="83">
        <v>2712</v>
      </c>
      <c r="B74" s="112">
        <v>1921</v>
      </c>
      <c r="C74" s="112">
        <v>10</v>
      </c>
      <c r="D74" t="s" s="83">
        <v>2713</v>
      </c>
      <c r="E74" s="74"/>
      <c r="F74" s="79">
        <v>17</v>
      </c>
      <c r="G74" t="s" s="96">
        <v>83</v>
      </c>
      <c r="H74" t="s" s="96">
        <v>86</v>
      </c>
      <c r="I74" s="79">
        <v>54</v>
      </c>
      <c r="J74" s="79">
        <v>1</v>
      </c>
      <c r="K74" s="16"/>
      <c r="L74" s="16"/>
      <c r="M74" s="16"/>
      <c r="N74" t="s" s="96">
        <v>11</v>
      </c>
      <c r="O74" s="16"/>
      <c r="P74" s="16"/>
      <c r="Q74" s="16"/>
      <c r="R74" s="16"/>
      <c r="S74" s="79">
        <v>1</v>
      </c>
      <c r="T74" s="79">
        <v>18</v>
      </c>
      <c r="U74" s="16"/>
      <c r="V74" s="16"/>
      <c r="W74" s="16"/>
      <c r="X74" s="16"/>
      <c r="Y74" s="16"/>
      <c r="Z74" s="16"/>
      <c r="AA74" t="s" s="96">
        <v>55</v>
      </c>
      <c r="AB74" t="s" s="96">
        <v>15</v>
      </c>
      <c r="AC74" s="79">
        <v>1</v>
      </c>
      <c r="AD74" s="16"/>
      <c r="AE74" s="16"/>
      <c r="AF74" t="s" s="96">
        <v>2787</v>
      </c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</row>
    <row r="75" ht="15.35" customHeight="1">
      <c r="A75" t="s" s="83">
        <v>2712</v>
      </c>
      <c r="B75" s="112">
        <v>1921</v>
      </c>
      <c r="C75" s="30"/>
      <c r="D75" t="s" s="83">
        <v>2713</v>
      </c>
      <c r="E75" s="74"/>
      <c r="F75" s="16"/>
      <c r="G75" s="16"/>
      <c r="H75" s="79">
        <v>7</v>
      </c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</row>
    <row r="76" ht="15.35" customHeight="1">
      <c r="A76" t="s" s="83">
        <v>2712</v>
      </c>
      <c r="B76" s="112">
        <v>1921</v>
      </c>
      <c r="C76" s="30"/>
      <c r="D76" t="s" s="83">
        <v>2713</v>
      </c>
      <c r="E76" s="74"/>
      <c r="F76" s="16"/>
      <c r="G76" t="s" s="96">
        <v>1</v>
      </c>
      <c r="H76" t="s" s="96">
        <v>0</v>
      </c>
      <c r="I76" s="16"/>
      <c r="J76" t="s" s="96">
        <v>3</v>
      </c>
      <c r="K76" s="16"/>
      <c r="L76" s="16"/>
      <c r="M76" s="16"/>
      <c r="N76" t="s" s="96">
        <v>2</v>
      </c>
      <c r="O76" s="16"/>
      <c r="P76" s="16"/>
      <c r="Q76" s="16"/>
      <c r="R76" s="16"/>
      <c r="S76" s="16"/>
      <c r="T76" t="s" s="96">
        <v>5</v>
      </c>
      <c r="U76" s="16"/>
      <c r="V76" s="16"/>
      <c r="W76" s="16"/>
      <c r="X76" s="16"/>
      <c r="Y76" s="16"/>
      <c r="Z76" s="16"/>
      <c r="AA76" t="s" s="96">
        <v>7</v>
      </c>
      <c r="AB76" t="s" s="96">
        <v>8</v>
      </c>
      <c r="AC76" s="16"/>
      <c r="AD76" s="16"/>
      <c r="AE76" s="16"/>
      <c r="AF76" t="s" s="96">
        <v>6</v>
      </c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</row>
    <row r="77" ht="15.35" customHeight="1">
      <c r="A77" t="s" s="83">
        <v>2712</v>
      </c>
      <c r="B77" s="112">
        <v>1921</v>
      </c>
      <c r="C77" s="112">
        <v>11</v>
      </c>
      <c r="D77" t="s" s="83">
        <v>2713</v>
      </c>
      <c r="E77" s="74"/>
      <c r="F77" s="79">
        <v>19</v>
      </c>
      <c r="G77" t="s" s="96">
        <v>2788</v>
      </c>
      <c r="H77" t="s" s="96">
        <v>2789</v>
      </c>
      <c r="I77" s="79">
        <v>55</v>
      </c>
      <c r="J77" s="79">
        <v>1</v>
      </c>
      <c r="K77" s="16"/>
      <c r="L77" s="16"/>
      <c r="M77" s="16"/>
      <c r="N77" t="s" s="96">
        <v>72</v>
      </c>
      <c r="O77" s="79">
        <v>1</v>
      </c>
      <c r="P77" s="16"/>
      <c r="Q77" s="16"/>
      <c r="R77" s="16"/>
      <c r="S77" s="16"/>
      <c r="T77" s="79">
        <v>34</v>
      </c>
      <c r="U77" s="16"/>
      <c r="V77" s="16"/>
      <c r="W77" s="16"/>
      <c r="X77" s="16"/>
      <c r="Y77" s="16"/>
      <c r="Z77" s="16"/>
      <c r="AA77" t="s" s="96">
        <v>34</v>
      </c>
      <c r="AB77" t="s" s="96">
        <v>34</v>
      </c>
      <c r="AC77" s="16"/>
      <c r="AD77" s="16"/>
      <c r="AE77" s="16"/>
      <c r="AF77" s="79">
        <v>1</v>
      </c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</row>
    <row r="78" ht="15.35" customHeight="1">
      <c r="A78" t="s" s="83">
        <v>2712</v>
      </c>
      <c r="B78" s="112">
        <v>1921</v>
      </c>
      <c r="C78" s="112">
        <v>11</v>
      </c>
      <c r="D78" t="s" s="83">
        <v>2713</v>
      </c>
      <c r="E78" s="74"/>
      <c r="F78" s="79">
        <v>19</v>
      </c>
      <c r="G78" t="s" s="96">
        <v>2790</v>
      </c>
      <c r="H78" t="s" s="96">
        <v>2089</v>
      </c>
      <c r="I78" s="79">
        <v>56</v>
      </c>
      <c r="J78" t="s" s="96">
        <v>37</v>
      </c>
      <c r="K78" s="79">
        <v>1</v>
      </c>
      <c r="L78" s="16"/>
      <c r="M78" s="16"/>
      <c r="N78" t="s" s="96">
        <v>11</v>
      </c>
      <c r="O78" s="16"/>
      <c r="P78" s="16"/>
      <c r="Q78" s="16"/>
      <c r="R78" s="16"/>
      <c r="S78" s="79">
        <v>1</v>
      </c>
      <c r="T78" s="79">
        <v>23</v>
      </c>
      <c r="U78" s="16"/>
      <c r="V78" s="16"/>
      <c r="W78" s="16"/>
      <c r="X78" s="16"/>
      <c r="Y78" s="16"/>
      <c r="Z78" s="16"/>
      <c r="AA78" t="s" s="96">
        <v>2791</v>
      </c>
      <c r="AB78" t="s" s="96">
        <v>2792</v>
      </c>
      <c r="AC78" s="79">
        <v>1</v>
      </c>
      <c r="AD78" s="16"/>
      <c r="AE78" s="16"/>
      <c r="AF78" t="s" s="96">
        <v>1171</v>
      </c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</row>
    <row r="79" ht="15.35" customHeight="1">
      <c r="A79" t="s" s="83">
        <v>2712</v>
      </c>
      <c r="B79" s="112">
        <v>1921</v>
      </c>
      <c r="C79" s="112">
        <v>11</v>
      </c>
      <c r="D79" t="s" s="83">
        <v>2713</v>
      </c>
      <c r="E79" s="74"/>
      <c r="F79" s="79">
        <v>19</v>
      </c>
      <c r="G79" t="s" s="96">
        <v>2793</v>
      </c>
      <c r="H79" t="s" s="96">
        <v>2794</v>
      </c>
      <c r="I79" s="79">
        <v>57</v>
      </c>
      <c r="J79" s="79">
        <v>1</v>
      </c>
      <c r="K79" s="16"/>
      <c r="L79" s="16"/>
      <c r="M79" s="16"/>
      <c r="N79" t="s" s="96">
        <v>11</v>
      </c>
      <c r="O79" s="16"/>
      <c r="P79" s="16"/>
      <c r="Q79" s="16"/>
      <c r="R79" s="16"/>
      <c r="S79" s="79">
        <v>1</v>
      </c>
      <c r="T79" s="79">
        <v>19</v>
      </c>
      <c r="U79" s="16"/>
      <c r="V79" s="16"/>
      <c r="W79" s="16"/>
      <c r="X79" s="16"/>
      <c r="Y79" s="16"/>
      <c r="Z79" s="16"/>
      <c r="AA79" t="s" s="96">
        <v>45</v>
      </c>
      <c r="AB79" t="s" s="96">
        <v>34</v>
      </c>
      <c r="AC79" s="16"/>
      <c r="AD79" s="16"/>
      <c r="AE79" s="16"/>
      <c r="AF79" t="s" s="96">
        <v>121</v>
      </c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</row>
    <row r="80" ht="15.35" customHeight="1">
      <c r="A80" t="s" s="83">
        <v>2712</v>
      </c>
      <c r="B80" s="112">
        <v>1921</v>
      </c>
      <c r="C80" s="112">
        <v>11</v>
      </c>
      <c r="D80" t="s" s="83">
        <v>2713</v>
      </c>
      <c r="E80" s="74"/>
      <c r="F80" s="79">
        <v>19</v>
      </c>
      <c r="G80" t="s" s="96">
        <v>2795</v>
      </c>
      <c r="H80" t="s" s="96">
        <v>1565</v>
      </c>
      <c r="I80" s="79">
        <v>58</v>
      </c>
      <c r="J80" s="79">
        <v>1</v>
      </c>
      <c r="K80" s="16"/>
      <c r="L80" s="16"/>
      <c r="M80" s="16"/>
      <c r="N80" t="s" s="96">
        <v>11</v>
      </c>
      <c r="O80" s="16"/>
      <c r="P80" s="16"/>
      <c r="Q80" s="16"/>
      <c r="R80" s="16"/>
      <c r="S80" s="79">
        <v>1</v>
      </c>
      <c r="T80" s="79">
        <v>18</v>
      </c>
      <c r="U80" s="16"/>
      <c r="V80" s="16"/>
      <c r="W80" s="16"/>
      <c r="X80" s="16"/>
      <c r="Y80" s="16"/>
      <c r="Z80" s="16"/>
      <c r="AA80" t="s" s="96">
        <v>55</v>
      </c>
      <c r="AB80" t="s" s="96">
        <v>34</v>
      </c>
      <c r="AC80" s="16"/>
      <c r="AD80" s="16"/>
      <c r="AE80" s="16"/>
      <c r="AF80" s="79">
        <v>1</v>
      </c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</row>
    <row r="81" ht="15.35" customHeight="1">
      <c r="A81" t="s" s="83">
        <v>2712</v>
      </c>
      <c r="B81" s="112">
        <v>1921</v>
      </c>
      <c r="C81" s="30"/>
      <c r="D81" t="s" s="83">
        <v>2713</v>
      </c>
      <c r="E81" s="74"/>
      <c r="F81" s="16"/>
      <c r="G81" s="16"/>
      <c r="H81" s="79">
        <v>4</v>
      </c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</row>
    <row r="82" ht="15.35" customHeight="1">
      <c r="A82" t="s" s="83">
        <v>2712</v>
      </c>
      <c r="B82" s="112">
        <v>1921</v>
      </c>
      <c r="C82" s="30"/>
      <c r="D82" t="s" s="83">
        <v>2713</v>
      </c>
      <c r="E82" s="74"/>
      <c r="F82" s="16"/>
      <c r="G82" t="s" s="96">
        <v>1</v>
      </c>
      <c r="H82" t="s" s="96">
        <v>0</v>
      </c>
      <c r="I82" s="16"/>
      <c r="J82" t="s" s="96">
        <v>3</v>
      </c>
      <c r="K82" s="16"/>
      <c r="L82" s="16"/>
      <c r="M82" s="16"/>
      <c r="N82" t="s" s="96">
        <v>2</v>
      </c>
      <c r="O82" s="16"/>
      <c r="P82" s="16"/>
      <c r="Q82" s="16"/>
      <c r="R82" s="16"/>
      <c r="S82" s="16"/>
      <c r="T82" t="s" s="96">
        <v>5</v>
      </c>
      <c r="U82" s="16"/>
      <c r="V82" s="16"/>
      <c r="W82" s="16"/>
      <c r="X82" s="16"/>
      <c r="Y82" s="16"/>
      <c r="Z82" s="16"/>
      <c r="AA82" t="s" s="96">
        <v>7</v>
      </c>
      <c r="AB82" t="s" s="96">
        <v>8</v>
      </c>
      <c r="AC82" s="16"/>
      <c r="AD82" s="16"/>
      <c r="AE82" s="16"/>
      <c r="AF82" t="s" s="96">
        <v>6</v>
      </c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</row>
    <row r="83" ht="15.35" customHeight="1">
      <c r="A83" t="s" s="83">
        <v>2712</v>
      </c>
      <c r="B83" s="112">
        <v>1921</v>
      </c>
      <c r="C83" s="112">
        <v>12</v>
      </c>
      <c r="D83" t="s" s="83">
        <v>2713</v>
      </c>
      <c r="E83" s="74"/>
      <c r="F83" s="79">
        <v>21</v>
      </c>
      <c r="G83" t="s" s="96">
        <v>1937</v>
      </c>
      <c r="H83" t="s" s="96">
        <v>2796</v>
      </c>
      <c r="I83" s="79">
        <v>59</v>
      </c>
      <c r="J83" t="s" s="96">
        <v>37</v>
      </c>
      <c r="K83" s="79">
        <v>1</v>
      </c>
      <c r="L83" s="16"/>
      <c r="M83" s="16"/>
      <c r="N83" s="79">
        <v>1</v>
      </c>
      <c r="O83" s="16"/>
      <c r="P83" s="16"/>
      <c r="Q83" s="16"/>
      <c r="R83" s="16"/>
      <c r="S83" s="16"/>
      <c r="T83" s="79">
        <v>27</v>
      </c>
      <c r="U83" s="16"/>
      <c r="V83" s="16"/>
      <c r="W83" s="16"/>
      <c r="X83" s="16"/>
      <c r="Y83" s="16"/>
      <c r="Z83" s="16"/>
      <c r="AA83" t="s" s="96">
        <v>2797</v>
      </c>
      <c r="AB83" t="s" s="96">
        <v>34</v>
      </c>
      <c r="AC83" s="79">
        <v>1</v>
      </c>
      <c r="AD83" s="16"/>
      <c r="AE83" s="16"/>
      <c r="AF83" s="79">
        <v>1</v>
      </c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</row>
    <row r="84" ht="15.35" customHeight="1">
      <c r="A84" t="s" s="83">
        <v>2712</v>
      </c>
      <c r="B84" s="112">
        <v>1921</v>
      </c>
      <c r="C84" s="112">
        <v>12</v>
      </c>
      <c r="D84" t="s" s="83">
        <v>2713</v>
      </c>
      <c r="E84" s="74"/>
      <c r="F84" s="79">
        <v>21</v>
      </c>
      <c r="G84" t="s" s="96">
        <v>1937</v>
      </c>
      <c r="H84" t="s" s="96">
        <v>2798</v>
      </c>
      <c r="I84" s="79">
        <v>60</v>
      </c>
      <c r="J84" s="79">
        <v>1</v>
      </c>
      <c r="K84" s="16"/>
      <c r="L84" s="16"/>
      <c r="M84" s="16"/>
      <c r="N84" t="s" s="96">
        <v>72</v>
      </c>
      <c r="O84" s="79">
        <v>1</v>
      </c>
      <c r="P84" s="16"/>
      <c r="Q84" s="16"/>
      <c r="R84" s="16"/>
      <c r="S84" s="16"/>
      <c r="T84" s="79">
        <v>28</v>
      </c>
      <c r="U84" s="16"/>
      <c r="V84" s="16"/>
      <c r="W84" s="16"/>
      <c r="X84" s="16"/>
      <c r="Y84" s="16"/>
      <c r="Z84" s="16"/>
      <c r="AA84" t="s" s="96">
        <v>34</v>
      </c>
      <c r="AB84" t="s" s="96">
        <v>34</v>
      </c>
      <c r="AC84" s="16"/>
      <c r="AD84" s="16"/>
      <c r="AE84" s="16"/>
      <c r="AF84" s="79">
        <v>1</v>
      </c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</row>
    <row r="85" ht="15.35" customHeight="1">
      <c r="A85" t="s" s="83">
        <v>2712</v>
      </c>
      <c r="B85" s="112">
        <v>1921</v>
      </c>
      <c r="C85" s="112">
        <v>12</v>
      </c>
      <c r="D85" t="s" s="83">
        <v>2713</v>
      </c>
      <c r="E85" s="74"/>
      <c r="F85" s="79">
        <v>21</v>
      </c>
      <c r="G85" t="s" s="96">
        <v>2799</v>
      </c>
      <c r="H85" t="s" s="96">
        <v>2800</v>
      </c>
      <c r="I85" s="79">
        <v>61</v>
      </c>
      <c r="J85" s="79">
        <v>1</v>
      </c>
      <c r="K85" s="16"/>
      <c r="L85" s="16"/>
      <c r="M85" s="16"/>
      <c r="N85" t="s" s="96">
        <v>11</v>
      </c>
      <c r="O85" s="16"/>
      <c r="P85" s="16"/>
      <c r="Q85" s="16"/>
      <c r="R85" s="16"/>
      <c r="S85" s="79">
        <v>1</v>
      </c>
      <c r="T85" s="79">
        <v>24</v>
      </c>
      <c r="U85" s="16"/>
      <c r="V85" s="16"/>
      <c r="W85" s="16"/>
      <c r="X85" s="16"/>
      <c r="Y85" s="16"/>
      <c r="Z85" s="16"/>
      <c r="AA85" t="s" s="96">
        <v>188</v>
      </c>
      <c r="AB85" t="s" s="96">
        <v>15</v>
      </c>
      <c r="AC85" s="79">
        <v>1</v>
      </c>
      <c r="AD85" s="16"/>
      <c r="AE85" s="16"/>
      <c r="AF85" t="s" s="96">
        <v>118</v>
      </c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</row>
    <row r="86" ht="15.35" customHeight="1">
      <c r="A86" t="s" s="83">
        <v>2712</v>
      </c>
      <c r="B86" s="112">
        <v>1921</v>
      </c>
      <c r="C86" s="112">
        <v>12</v>
      </c>
      <c r="D86" t="s" s="83">
        <v>2713</v>
      </c>
      <c r="E86" s="74"/>
      <c r="F86" s="79">
        <v>21</v>
      </c>
      <c r="G86" t="s" s="96">
        <v>2801</v>
      </c>
      <c r="H86" t="s" s="96">
        <v>2802</v>
      </c>
      <c r="I86" s="79">
        <v>62</v>
      </c>
      <c r="J86" s="79">
        <v>1</v>
      </c>
      <c r="K86" s="16"/>
      <c r="L86" s="16"/>
      <c r="M86" s="16"/>
      <c r="N86" t="s" s="96">
        <v>11</v>
      </c>
      <c r="O86" s="16"/>
      <c r="P86" s="16"/>
      <c r="Q86" s="16"/>
      <c r="R86" s="16"/>
      <c r="S86" s="79">
        <v>1</v>
      </c>
      <c r="T86" s="79">
        <v>20</v>
      </c>
      <c r="U86" s="16"/>
      <c r="V86" s="16"/>
      <c r="W86" s="16"/>
      <c r="X86" s="16"/>
      <c r="Y86" s="16"/>
      <c r="Z86" s="16"/>
      <c r="AA86" t="s" s="96">
        <v>188</v>
      </c>
      <c r="AB86" t="s" s="96">
        <v>15</v>
      </c>
      <c r="AC86" s="79">
        <v>1</v>
      </c>
      <c r="AD86" s="16"/>
      <c r="AE86" s="16"/>
      <c r="AF86" t="s" s="96">
        <v>2803</v>
      </c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5.35" customHeight="1">
      <c r="A87" t="s" s="83">
        <v>2712</v>
      </c>
      <c r="B87" s="112">
        <v>1921</v>
      </c>
      <c r="C87" s="30"/>
      <c r="D87" t="s" s="83">
        <v>2713</v>
      </c>
      <c r="E87" s="74"/>
      <c r="F87" s="16"/>
      <c r="G87" s="16"/>
      <c r="H87" s="79">
        <v>4</v>
      </c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</row>
    <row r="88" ht="15.35" customHeight="1">
      <c r="A88" t="s" s="83">
        <v>2712</v>
      </c>
      <c r="B88" s="112">
        <v>1921</v>
      </c>
      <c r="C88" s="30"/>
      <c r="D88" t="s" s="83">
        <v>2713</v>
      </c>
      <c r="E88" s="74"/>
      <c r="F88" s="16"/>
      <c r="G88" t="s" s="96">
        <v>1</v>
      </c>
      <c r="H88" t="s" s="96">
        <v>0</v>
      </c>
      <c r="I88" s="16"/>
      <c r="J88" t="s" s="96">
        <v>3</v>
      </c>
      <c r="K88" s="16"/>
      <c r="L88" s="16"/>
      <c r="M88" s="16"/>
      <c r="N88" t="s" s="96">
        <v>2</v>
      </c>
      <c r="O88" s="16"/>
      <c r="P88" s="16"/>
      <c r="Q88" s="16"/>
      <c r="R88" s="16"/>
      <c r="S88" s="16"/>
      <c r="T88" t="s" s="96">
        <v>5</v>
      </c>
      <c r="U88" s="16"/>
      <c r="V88" s="16"/>
      <c r="W88" s="16"/>
      <c r="X88" s="16"/>
      <c r="Y88" s="16"/>
      <c r="Z88" s="16"/>
      <c r="AA88" t="s" s="96">
        <v>7</v>
      </c>
      <c r="AB88" t="s" s="96">
        <v>8</v>
      </c>
      <c r="AC88" s="16"/>
      <c r="AD88" s="16"/>
      <c r="AE88" s="16"/>
      <c r="AF88" t="s" s="96">
        <v>6</v>
      </c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15.35" customHeight="1">
      <c r="A89" t="s" s="83">
        <v>2712</v>
      </c>
      <c r="B89" s="112">
        <v>1921</v>
      </c>
      <c r="C89" s="112">
        <v>13</v>
      </c>
      <c r="D89" t="s" s="83">
        <v>2713</v>
      </c>
      <c r="E89" s="74"/>
      <c r="F89" s="79">
        <v>23</v>
      </c>
      <c r="G89" t="s" s="96">
        <v>2804</v>
      </c>
      <c r="H89" t="s" s="96">
        <v>214</v>
      </c>
      <c r="I89" s="79">
        <v>63</v>
      </c>
      <c r="J89" t="s" s="96">
        <v>37</v>
      </c>
      <c r="K89" s="79">
        <v>1</v>
      </c>
      <c r="L89" s="16"/>
      <c r="M89" s="16"/>
      <c r="N89" s="79">
        <v>1</v>
      </c>
      <c r="O89" s="16"/>
      <c r="P89" s="16"/>
      <c r="Q89" s="16"/>
      <c r="R89" s="16"/>
      <c r="S89" s="16"/>
      <c r="T89" s="79">
        <v>79</v>
      </c>
      <c r="U89" s="16"/>
      <c r="V89" s="16"/>
      <c r="W89" s="16"/>
      <c r="X89" s="16"/>
      <c r="Y89" s="16"/>
      <c r="Z89" s="16"/>
      <c r="AA89" t="s" s="96">
        <v>2805</v>
      </c>
      <c r="AB89" t="s" s="96">
        <v>34</v>
      </c>
      <c r="AC89" s="79">
        <v>1</v>
      </c>
      <c r="AD89" s="16"/>
      <c r="AE89" s="16"/>
      <c r="AF89" s="79">
        <v>1</v>
      </c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15.35" customHeight="1">
      <c r="A90" t="s" s="83">
        <v>2712</v>
      </c>
      <c r="B90" s="112">
        <v>1921</v>
      </c>
      <c r="C90" s="112">
        <v>13</v>
      </c>
      <c r="D90" t="s" s="83">
        <v>2713</v>
      </c>
      <c r="E90" s="74"/>
      <c r="F90" s="79">
        <v>23</v>
      </c>
      <c r="G90" t="s" s="96">
        <v>2806</v>
      </c>
      <c r="H90" t="s" s="96">
        <v>2807</v>
      </c>
      <c r="I90" s="79">
        <v>64</v>
      </c>
      <c r="J90" s="79">
        <v>1</v>
      </c>
      <c r="K90" s="16"/>
      <c r="L90" s="16"/>
      <c r="M90" s="16"/>
      <c r="N90" t="s" s="96">
        <v>2808</v>
      </c>
      <c r="O90" s="16"/>
      <c r="P90" s="16"/>
      <c r="Q90" s="16"/>
      <c r="R90" s="79">
        <v>1</v>
      </c>
      <c r="S90" s="16"/>
      <c r="T90" s="79">
        <v>40</v>
      </c>
      <c r="U90" s="16"/>
      <c r="V90" s="16"/>
      <c r="W90" s="16"/>
      <c r="X90" s="16"/>
      <c r="Y90" s="16"/>
      <c r="Z90" s="16"/>
      <c r="AA90" t="s" s="96">
        <v>1774</v>
      </c>
      <c r="AB90" t="s" s="96">
        <v>34</v>
      </c>
      <c r="AC90" s="16"/>
      <c r="AD90" s="16"/>
      <c r="AE90" s="16"/>
      <c r="AF90" t="s" s="96">
        <v>2809</v>
      </c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</row>
    <row r="91" ht="15.35" customHeight="1">
      <c r="A91" t="s" s="83">
        <v>2712</v>
      </c>
      <c r="B91" s="112">
        <v>1921</v>
      </c>
      <c r="C91" s="112">
        <v>13</v>
      </c>
      <c r="D91" t="s" s="83">
        <v>2713</v>
      </c>
      <c r="E91" s="74"/>
      <c r="F91" s="79">
        <v>23</v>
      </c>
      <c r="G91" t="s" s="96">
        <v>321</v>
      </c>
      <c r="H91" t="s" s="96">
        <v>704</v>
      </c>
      <c r="I91" s="79">
        <v>65</v>
      </c>
      <c r="J91" s="79">
        <v>1</v>
      </c>
      <c r="K91" s="16"/>
      <c r="L91" s="16"/>
      <c r="M91" s="16"/>
      <c r="N91" t="s" s="96">
        <v>11</v>
      </c>
      <c r="O91" s="16"/>
      <c r="P91" s="16"/>
      <c r="Q91" s="16"/>
      <c r="R91" s="16"/>
      <c r="S91" s="79">
        <v>1</v>
      </c>
      <c r="T91" s="79">
        <v>52</v>
      </c>
      <c r="U91" s="16"/>
      <c r="V91" s="16"/>
      <c r="W91" s="16"/>
      <c r="X91" s="16"/>
      <c r="Y91" s="16"/>
      <c r="Z91" s="16"/>
      <c r="AA91" t="s" s="96">
        <v>45</v>
      </c>
      <c r="AB91" t="s" s="96">
        <v>15</v>
      </c>
      <c r="AC91" s="79">
        <v>1</v>
      </c>
      <c r="AD91" s="16"/>
      <c r="AE91" s="16"/>
      <c r="AF91" t="s" s="96">
        <v>954</v>
      </c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5.35" customHeight="1">
      <c r="A92" t="s" s="83">
        <v>2712</v>
      </c>
      <c r="B92" s="112">
        <v>1921</v>
      </c>
      <c r="C92" s="112">
        <v>13</v>
      </c>
      <c r="D92" t="s" s="83">
        <v>2713</v>
      </c>
      <c r="E92" s="74"/>
      <c r="F92" s="79">
        <v>23</v>
      </c>
      <c r="G92" t="s" s="96">
        <v>2810</v>
      </c>
      <c r="H92" t="s" s="96">
        <v>106</v>
      </c>
      <c r="I92" s="79">
        <v>66</v>
      </c>
      <c r="J92" s="79">
        <v>1</v>
      </c>
      <c r="K92" s="16"/>
      <c r="L92" s="16"/>
      <c r="M92" s="16"/>
      <c r="N92" t="s" s="96">
        <v>11</v>
      </c>
      <c r="O92" s="16"/>
      <c r="P92" s="16"/>
      <c r="Q92" s="16"/>
      <c r="R92" s="16"/>
      <c r="S92" s="79">
        <v>1</v>
      </c>
      <c r="T92" s="79">
        <v>25</v>
      </c>
      <c r="U92" s="16"/>
      <c r="V92" s="16"/>
      <c r="W92" s="16"/>
      <c r="X92" s="16"/>
      <c r="Y92" s="16"/>
      <c r="Z92" s="16"/>
      <c r="AA92" t="s" s="96">
        <v>85</v>
      </c>
      <c r="AB92" t="s" s="96">
        <v>15</v>
      </c>
      <c r="AC92" s="79">
        <v>1</v>
      </c>
      <c r="AD92" s="16"/>
      <c r="AE92" s="16"/>
      <c r="AF92" t="s" s="96">
        <v>2811</v>
      </c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15.35" customHeight="1">
      <c r="A93" t="s" s="83">
        <v>2712</v>
      </c>
      <c r="B93" s="112">
        <v>1921</v>
      </c>
      <c r="C93" s="30"/>
      <c r="D93" t="s" s="83">
        <v>2713</v>
      </c>
      <c r="E93" s="74"/>
      <c r="F93" s="16"/>
      <c r="G93" s="16"/>
      <c r="H93" s="79">
        <v>4</v>
      </c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</row>
    <row r="94" ht="15.35" customHeight="1">
      <c r="A94" t="s" s="83">
        <v>2712</v>
      </c>
      <c r="B94" s="112">
        <v>1921</v>
      </c>
      <c r="C94" s="30"/>
      <c r="D94" t="s" s="83">
        <v>2713</v>
      </c>
      <c r="E94" s="74"/>
      <c r="F94" s="16"/>
      <c r="G94" t="s" s="96">
        <v>1</v>
      </c>
      <c r="H94" t="s" s="96">
        <v>0</v>
      </c>
      <c r="I94" s="16"/>
      <c r="J94" t="s" s="96">
        <v>3</v>
      </c>
      <c r="K94" s="16"/>
      <c r="L94" s="16"/>
      <c r="M94" s="16"/>
      <c r="N94" t="s" s="96">
        <v>2</v>
      </c>
      <c r="O94" s="16"/>
      <c r="P94" s="16"/>
      <c r="Q94" s="16"/>
      <c r="R94" s="16"/>
      <c r="S94" s="16"/>
      <c r="T94" t="s" s="96">
        <v>5</v>
      </c>
      <c r="U94" s="16"/>
      <c r="V94" s="16"/>
      <c r="W94" s="16"/>
      <c r="X94" s="16"/>
      <c r="Y94" s="16"/>
      <c r="Z94" s="16"/>
      <c r="AA94" t="s" s="96">
        <v>7</v>
      </c>
      <c r="AB94" t="s" s="96">
        <v>8</v>
      </c>
      <c r="AC94" s="16"/>
      <c r="AD94" s="16"/>
      <c r="AE94" s="16"/>
      <c r="AF94" t="s" s="96">
        <v>6</v>
      </c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</row>
    <row r="95" ht="15.35" customHeight="1">
      <c r="A95" t="s" s="83">
        <v>2712</v>
      </c>
      <c r="B95" s="112">
        <v>1921</v>
      </c>
      <c r="C95" s="112">
        <v>14</v>
      </c>
      <c r="D95" t="s" s="83">
        <v>2713</v>
      </c>
      <c r="E95" s="74"/>
      <c r="F95" s="79">
        <v>27</v>
      </c>
      <c r="G95" t="s" s="96">
        <v>190</v>
      </c>
      <c r="H95" t="s" s="96">
        <v>193</v>
      </c>
      <c r="I95" s="79">
        <v>67</v>
      </c>
      <c r="J95" t="s" s="96">
        <v>37</v>
      </c>
      <c r="K95" s="79">
        <v>1</v>
      </c>
      <c r="L95" s="16"/>
      <c r="M95" s="16"/>
      <c r="N95" s="79">
        <v>1</v>
      </c>
      <c r="O95" s="16"/>
      <c r="P95" s="16"/>
      <c r="Q95" s="16"/>
      <c r="R95" s="16"/>
      <c r="S95" s="16"/>
      <c r="T95" s="79">
        <v>81</v>
      </c>
      <c r="U95" s="16"/>
      <c r="V95" s="16"/>
      <c r="W95" s="16"/>
      <c r="X95" s="16"/>
      <c r="Y95" s="16"/>
      <c r="Z95" s="16"/>
      <c r="AA95" t="s" s="96">
        <v>2812</v>
      </c>
      <c r="AB95" t="s" s="96">
        <v>8</v>
      </c>
      <c r="AC95" s="79">
        <v>1</v>
      </c>
      <c r="AD95" s="79">
        <v>1</v>
      </c>
      <c r="AE95" s="16"/>
      <c r="AF95" s="79">
        <v>1</v>
      </c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</row>
    <row r="96" ht="15.35" customHeight="1">
      <c r="A96" t="s" s="83">
        <v>2712</v>
      </c>
      <c r="B96" s="112">
        <v>1921</v>
      </c>
      <c r="C96" s="112">
        <v>14</v>
      </c>
      <c r="D96" t="s" s="83">
        <v>2713</v>
      </c>
      <c r="E96" s="74"/>
      <c r="F96" s="79">
        <v>27</v>
      </c>
      <c r="G96" t="s" s="96">
        <v>190</v>
      </c>
      <c r="H96" t="s" s="96">
        <v>95</v>
      </c>
      <c r="I96" s="79">
        <v>68</v>
      </c>
      <c r="J96" s="79">
        <v>1</v>
      </c>
      <c r="K96" s="16"/>
      <c r="L96" s="16"/>
      <c r="M96" s="16"/>
      <c r="N96" t="s" s="96">
        <v>72</v>
      </c>
      <c r="O96" s="79">
        <v>1</v>
      </c>
      <c r="P96" s="16"/>
      <c r="Q96" s="16"/>
      <c r="R96" s="16"/>
      <c r="S96" s="16"/>
      <c r="T96" s="79">
        <v>75</v>
      </c>
      <c r="U96" s="16"/>
      <c r="V96" s="16"/>
      <c r="W96" s="16"/>
      <c r="X96" s="16"/>
      <c r="Y96" s="16"/>
      <c r="Z96" s="16"/>
      <c r="AA96" t="s" s="96">
        <v>33</v>
      </c>
      <c r="AB96" t="s" s="96">
        <v>34</v>
      </c>
      <c r="AC96" s="16"/>
      <c r="AD96" s="16"/>
      <c r="AE96" s="16"/>
      <c r="AF96" s="79">
        <v>1</v>
      </c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</row>
    <row r="97" ht="15.35" customHeight="1">
      <c r="A97" t="s" s="83">
        <v>2712</v>
      </c>
      <c r="B97" s="112">
        <v>1921</v>
      </c>
      <c r="C97" s="112">
        <v>14</v>
      </c>
      <c r="D97" t="s" s="83">
        <v>2713</v>
      </c>
      <c r="E97" s="74"/>
      <c r="F97" s="79">
        <v>27</v>
      </c>
      <c r="G97" t="s" s="96">
        <v>2813</v>
      </c>
      <c r="H97" t="s" s="96">
        <v>123</v>
      </c>
      <c r="I97" s="79">
        <v>69</v>
      </c>
      <c r="J97" s="79">
        <v>1</v>
      </c>
      <c r="K97" s="16"/>
      <c r="L97" s="16"/>
      <c r="M97" s="16"/>
      <c r="N97" t="s" s="96">
        <v>1575</v>
      </c>
      <c r="O97" s="16"/>
      <c r="P97" s="16"/>
      <c r="Q97" s="16"/>
      <c r="R97" s="79">
        <v>1</v>
      </c>
      <c r="S97" s="16"/>
      <c r="T97" s="79">
        <v>51</v>
      </c>
      <c r="U97" s="16"/>
      <c r="V97" s="16"/>
      <c r="W97" s="16"/>
      <c r="X97" s="16"/>
      <c r="Y97" s="16"/>
      <c r="Z97" s="16"/>
      <c r="AA97" t="s" s="96">
        <v>33</v>
      </c>
      <c r="AB97" t="s" s="96">
        <v>15</v>
      </c>
      <c r="AC97" s="79">
        <v>1</v>
      </c>
      <c r="AD97" s="16"/>
      <c r="AE97" s="16"/>
      <c r="AF97" t="s" s="96">
        <v>791</v>
      </c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</row>
    <row r="98" ht="15.35" customHeight="1">
      <c r="A98" t="s" s="83">
        <v>2712</v>
      </c>
      <c r="B98" s="112">
        <v>1921</v>
      </c>
      <c r="C98" s="112">
        <v>14</v>
      </c>
      <c r="D98" t="s" s="83">
        <v>2713</v>
      </c>
      <c r="E98" s="74"/>
      <c r="F98" s="79">
        <v>27</v>
      </c>
      <c r="G98" t="s" s="96">
        <v>2814</v>
      </c>
      <c r="H98" t="s" s="96">
        <v>109</v>
      </c>
      <c r="I98" s="79">
        <v>70</v>
      </c>
      <c r="J98" s="79">
        <v>1</v>
      </c>
      <c r="K98" s="16"/>
      <c r="L98" s="16"/>
      <c r="M98" s="16"/>
      <c r="N98" t="s" s="96">
        <v>45</v>
      </c>
      <c r="O98" s="16"/>
      <c r="P98" s="16"/>
      <c r="Q98" s="16"/>
      <c r="R98" s="16"/>
      <c r="S98" s="79">
        <v>1</v>
      </c>
      <c r="T98" s="79">
        <v>51</v>
      </c>
      <c r="U98" s="16"/>
      <c r="V98" s="16"/>
      <c r="W98" s="16"/>
      <c r="X98" s="16"/>
      <c r="Y98" s="16"/>
      <c r="Z98" s="16"/>
      <c r="AA98" t="s" s="96">
        <v>45</v>
      </c>
      <c r="AB98" t="s" s="96">
        <v>15</v>
      </c>
      <c r="AC98" s="79">
        <v>1</v>
      </c>
      <c r="AD98" s="16"/>
      <c r="AE98" s="16"/>
      <c r="AF98" t="s" s="96">
        <v>28</v>
      </c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</row>
    <row r="99" ht="15.35" customHeight="1">
      <c r="A99" t="s" s="83">
        <v>2712</v>
      </c>
      <c r="B99" s="112">
        <v>1921</v>
      </c>
      <c r="C99" s="112">
        <v>14</v>
      </c>
      <c r="D99" t="s" s="83">
        <v>2713</v>
      </c>
      <c r="E99" s="74"/>
      <c r="F99" s="79">
        <v>27</v>
      </c>
      <c r="G99" t="s" s="96">
        <v>2815</v>
      </c>
      <c r="H99" t="s" s="96">
        <v>95</v>
      </c>
      <c r="I99" s="79">
        <v>71</v>
      </c>
      <c r="J99" s="79">
        <v>1</v>
      </c>
      <c r="K99" s="16"/>
      <c r="L99" s="16"/>
      <c r="M99" s="16"/>
      <c r="N99" t="s" s="96">
        <v>2816</v>
      </c>
      <c r="O99" s="16"/>
      <c r="P99" s="16"/>
      <c r="Q99" s="16"/>
      <c r="R99" s="16"/>
      <c r="S99" s="79">
        <v>1</v>
      </c>
      <c r="T99" s="79">
        <v>45</v>
      </c>
      <c r="U99" s="16"/>
      <c r="V99" s="16"/>
      <c r="W99" s="16"/>
      <c r="X99" s="16"/>
      <c r="Y99" s="16"/>
      <c r="Z99" s="16"/>
      <c r="AA99" t="s" s="96">
        <v>2817</v>
      </c>
      <c r="AB99" t="s" s="96">
        <v>15</v>
      </c>
      <c r="AC99" s="79">
        <v>1</v>
      </c>
      <c r="AD99" s="16"/>
      <c r="AE99" s="16"/>
      <c r="AF99" s="79">
        <v>1</v>
      </c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</row>
    <row r="100" ht="15.35" customHeight="1">
      <c r="A100" t="s" s="83">
        <v>2712</v>
      </c>
      <c r="B100" s="112">
        <v>1921</v>
      </c>
      <c r="C100" s="112">
        <v>14</v>
      </c>
      <c r="D100" t="s" s="83">
        <v>2713</v>
      </c>
      <c r="E100" s="74"/>
      <c r="F100" s="79">
        <v>27</v>
      </c>
      <c r="G100" t="s" s="96">
        <v>2818</v>
      </c>
      <c r="H100" t="s" s="96">
        <v>95</v>
      </c>
      <c r="I100" s="79">
        <v>72</v>
      </c>
      <c r="J100" s="79">
        <v>1</v>
      </c>
      <c r="K100" s="16"/>
      <c r="L100" s="16"/>
      <c r="M100" s="16"/>
      <c r="N100" t="s" s="96">
        <v>2819</v>
      </c>
      <c r="O100" s="16"/>
      <c r="P100" s="16"/>
      <c r="Q100" s="16"/>
      <c r="R100" s="16"/>
      <c r="S100" s="79">
        <v>1</v>
      </c>
      <c r="T100" s="79">
        <v>30</v>
      </c>
      <c r="U100" s="16"/>
      <c r="V100" s="16"/>
      <c r="W100" s="16"/>
      <c r="X100" s="16"/>
      <c r="Y100" s="16"/>
      <c r="Z100" s="16"/>
      <c r="AA100" t="s" s="96">
        <v>2820</v>
      </c>
      <c r="AB100" t="s" s="96">
        <v>15</v>
      </c>
      <c r="AC100" s="79">
        <v>1</v>
      </c>
      <c r="AD100" s="16"/>
      <c r="AE100" s="16"/>
      <c r="AF100" t="s" s="96">
        <v>2821</v>
      </c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</row>
    <row r="101" ht="15.35" customHeight="1">
      <c r="A101" t="s" s="83">
        <v>2712</v>
      </c>
      <c r="B101" s="112">
        <v>1921</v>
      </c>
      <c r="C101" s="30"/>
      <c r="D101" t="s" s="83">
        <v>2713</v>
      </c>
      <c r="E101" s="74"/>
      <c r="F101" s="16"/>
      <c r="G101" s="16"/>
      <c r="H101" s="79">
        <v>6</v>
      </c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</row>
    <row r="102" ht="15.35" customHeight="1">
      <c r="A102" t="s" s="83">
        <v>2712</v>
      </c>
      <c r="B102" s="112">
        <v>1921</v>
      </c>
      <c r="C102" s="30"/>
      <c r="D102" t="s" s="83">
        <v>2713</v>
      </c>
      <c r="E102" s="74"/>
      <c r="F102" s="16"/>
      <c r="G102" t="s" s="96">
        <v>1</v>
      </c>
      <c r="H102" t="s" s="96">
        <v>0</v>
      </c>
      <c r="I102" s="16"/>
      <c r="J102" t="s" s="96">
        <v>3</v>
      </c>
      <c r="K102" s="16"/>
      <c r="L102" s="16"/>
      <c r="M102" s="16"/>
      <c r="N102" t="s" s="96">
        <v>2</v>
      </c>
      <c r="O102" s="16"/>
      <c r="P102" s="16"/>
      <c r="Q102" s="16"/>
      <c r="R102" s="16"/>
      <c r="S102" s="16"/>
      <c r="T102" t="s" s="96">
        <v>5</v>
      </c>
      <c r="U102" s="16"/>
      <c r="V102" s="16"/>
      <c r="W102" s="16"/>
      <c r="X102" s="16"/>
      <c r="Y102" s="16"/>
      <c r="Z102" s="16"/>
      <c r="AA102" t="s" s="96">
        <v>7</v>
      </c>
      <c r="AB102" t="s" s="96">
        <v>8</v>
      </c>
      <c r="AC102" s="16"/>
      <c r="AD102" s="16"/>
      <c r="AE102" s="16"/>
      <c r="AF102" t="s" s="96">
        <v>6</v>
      </c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</row>
    <row r="103" ht="15.35" customHeight="1">
      <c r="A103" t="s" s="83">
        <v>2712</v>
      </c>
      <c r="B103" s="112">
        <v>1921</v>
      </c>
      <c r="C103" s="112">
        <v>15</v>
      </c>
      <c r="D103" t="s" s="83">
        <v>2713</v>
      </c>
      <c r="E103" s="74"/>
      <c r="F103" s="79">
        <v>29</v>
      </c>
      <c r="G103" t="s" s="96">
        <v>2822</v>
      </c>
      <c r="H103" t="s" s="96">
        <v>2482</v>
      </c>
      <c r="I103" s="79">
        <v>73</v>
      </c>
      <c r="J103" t="s" s="96">
        <v>37</v>
      </c>
      <c r="K103" s="79">
        <v>1</v>
      </c>
      <c r="L103" s="16"/>
      <c r="M103" s="16"/>
      <c r="N103" s="79">
        <v>1</v>
      </c>
      <c r="O103" s="16"/>
      <c r="P103" s="16"/>
      <c r="Q103" s="16"/>
      <c r="R103" s="16"/>
      <c r="S103" s="16"/>
      <c r="T103" s="79">
        <v>69</v>
      </c>
      <c r="U103" s="16"/>
      <c r="V103" s="16"/>
      <c r="W103" s="16"/>
      <c r="X103" s="16"/>
      <c r="Y103" s="16"/>
      <c r="Z103" s="16"/>
      <c r="AA103" t="s" s="96">
        <v>2823</v>
      </c>
      <c r="AB103" t="s" s="96">
        <v>8</v>
      </c>
      <c r="AC103" s="79">
        <v>1</v>
      </c>
      <c r="AD103" s="79">
        <v>1</v>
      </c>
      <c r="AE103" s="16"/>
      <c r="AF103" s="79">
        <v>1</v>
      </c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</row>
    <row r="104" ht="15.35" customHeight="1">
      <c r="A104" t="s" s="83">
        <v>2712</v>
      </c>
      <c r="B104" s="112">
        <v>1921</v>
      </c>
      <c r="C104" s="112">
        <v>15</v>
      </c>
      <c r="D104" t="s" s="83">
        <v>2713</v>
      </c>
      <c r="E104" s="74"/>
      <c r="F104" s="79">
        <v>29</v>
      </c>
      <c r="G104" t="s" s="96">
        <v>2822</v>
      </c>
      <c r="H104" t="s" s="96">
        <v>2824</v>
      </c>
      <c r="I104" s="79">
        <v>74</v>
      </c>
      <c r="J104" s="79">
        <v>1</v>
      </c>
      <c r="K104" s="16"/>
      <c r="L104" s="16"/>
      <c r="M104" s="16"/>
      <c r="N104" t="s" s="96">
        <v>72</v>
      </c>
      <c r="O104" s="79">
        <v>1</v>
      </c>
      <c r="P104" s="16"/>
      <c r="Q104" s="16"/>
      <c r="R104" s="16"/>
      <c r="S104" s="16"/>
      <c r="T104" s="79">
        <v>66</v>
      </c>
      <c r="U104" s="16"/>
      <c r="V104" s="16"/>
      <c r="W104" s="16"/>
      <c r="X104" s="16"/>
      <c r="Y104" s="16"/>
      <c r="Z104" s="16"/>
      <c r="AA104" t="s" s="96">
        <v>2825</v>
      </c>
      <c r="AB104" t="s" s="96">
        <v>34</v>
      </c>
      <c r="AC104" s="16"/>
      <c r="AD104" s="16"/>
      <c r="AE104" s="16"/>
      <c r="AF104" t="s" s="96">
        <v>2826</v>
      </c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</row>
    <row r="105" ht="15.35" customHeight="1">
      <c r="A105" t="s" s="83">
        <v>2712</v>
      </c>
      <c r="B105" s="112">
        <v>1921</v>
      </c>
      <c r="C105" s="112">
        <v>15</v>
      </c>
      <c r="D105" t="s" s="83">
        <v>2713</v>
      </c>
      <c r="E105" s="74"/>
      <c r="F105" s="79">
        <v>29</v>
      </c>
      <c r="G105" t="s" s="96">
        <v>2822</v>
      </c>
      <c r="H105" t="s" s="96">
        <v>2827</v>
      </c>
      <c r="I105" s="79">
        <v>75</v>
      </c>
      <c r="J105" s="79">
        <v>1</v>
      </c>
      <c r="K105" s="16"/>
      <c r="L105" s="16"/>
      <c r="M105" s="16"/>
      <c r="N105" t="s" s="96">
        <v>78</v>
      </c>
      <c r="O105" s="16"/>
      <c r="P105" s="79">
        <v>1</v>
      </c>
      <c r="Q105" s="16"/>
      <c r="R105" s="16"/>
      <c r="S105" s="16"/>
      <c r="T105" s="79">
        <v>38</v>
      </c>
      <c r="U105" s="16"/>
      <c r="V105" s="16"/>
      <c r="W105" s="16"/>
      <c r="X105" s="16"/>
      <c r="Y105" s="16"/>
      <c r="Z105" s="16"/>
      <c r="AA105" t="s" s="96">
        <v>909</v>
      </c>
      <c r="AB105" t="s" s="96">
        <v>34</v>
      </c>
      <c r="AC105" s="16"/>
      <c r="AD105" s="16"/>
      <c r="AE105" s="16"/>
      <c r="AF105" t="s" s="96">
        <v>2828</v>
      </c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</row>
    <row r="106" ht="15.35" customHeight="1">
      <c r="A106" t="s" s="83">
        <v>2712</v>
      </c>
      <c r="B106" s="112">
        <v>1921</v>
      </c>
      <c r="C106" s="112">
        <v>15</v>
      </c>
      <c r="D106" t="s" s="83">
        <v>2713</v>
      </c>
      <c r="E106" s="74"/>
      <c r="F106" s="79">
        <v>29</v>
      </c>
      <c r="G106" t="s" s="96">
        <v>386</v>
      </c>
      <c r="H106" t="s" s="96">
        <v>2829</v>
      </c>
      <c r="I106" s="79">
        <v>76</v>
      </c>
      <c r="J106" s="79">
        <v>1</v>
      </c>
      <c r="K106" s="16"/>
      <c r="L106" s="16"/>
      <c r="M106" s="16"/>
      <c r="N106" t="s" s="96">
        <v>1070</v>
      </c>
      <c r="O106" s="16"/>
      <c r="P106" s="16"/>
      <c r="Q106" s="16"/>
      <c r="R106" s="16"/>
      <c r="S106" s="79">
        <v>1</v>
      </c>
      <c r="T106" s="79">
        <v>37</v>
      </c>
      <c r="U106" s="16"/>
      <c r="V106" s="16"/>
      <c r="W106" s="16"/>
      <c r="X106" s="16"/>
      <c r="Y106" s="16"/>
      <c r="Z106" s="16"/>
      <c r="AA106" t="s" s="96">
        <v>816</v>
      </c>
      <c r="AB106" t="s" s="96">
        <v>34</v>
      </c>
      <c r="AC106" s="16"/>
      <c r="AD106" s="16"/>
      <c r="AE106" s="16"/>
      <c r="AF106" t="s" s="96">
        <v>34</v>
      </c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</row>
    <row r="107" ht="15.35" customHeight="1">
      <c r="A107" t="s" s="83">
        <v>2712</v>
      </c>
      <c r="B107" s="112">
        <v>1921</v>
      </c>
      <c r="C107" s="112">
        <v>15</v>
      </c>
      <c r="D107" t="s" s="83">
        <v>2713</v>
      </c>
      <c r="E107" s="74"/>
      <c r="F107" s="79">
        <v>29</v>
      </c>
      <c r="G107" t="s" s="96">
        <v>2830</v>
      </c>
      <c r="H107" t="s" s="96">
        <v>251</v>
      </c>
      <c r="I107" s="79">
        <v>77</v>
      </c>
      <c r="J107" s="79">
        <v>1</v>
      </c>
      <c r="K107" s="16"/>
      <c r="L107" s="16"/>
      <c r="M107" s="16"/>
      <c r="N107" t="s" s="96">
        <v>11</v>
      </c>
      <c r="O107" s="16"/>
      <c r="P107" s="16"/>
      <c r="Q107" s="16"/>
      <c r="R107" s="16"/>
      <c r="S107" s="79">
        <v>1</v>
      </c>
      <c r="T107" s="79">
        <v>24</v>
      </c>
      <c r="U107" s="16"/>
      <c r="V107" s="16"/>
      <c r="W107" s="16"/>
      <c r="X107" s="16"/>
      <c r="Y107" s="16"/>
      <c r="Z107" s="16"/>
      <c r="AA107" t="s" s="96">
        <v>45</v>
      </c>
      <c r="AB107" t="s" s="96">
        <v>15</v>
      </c>
      <c r="AC107" s="79">
        <v>1</v>
      </c>
      <c r="AD107" s="16"/>
      <c r="AE107" s="16"/>
      <c r="AF107" s="79">
        <v>1</v>
      </c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</row>
    <row r="108" ht="15.35" customHeight="1">
      <c r="A108" t="s" s="83">
        <v>2712</v>
      </c>
      <c r="B108" s="112">
        <v>1921</v>
      </c>
      <c r="C108" s="112">
        <v>15</v>
      </c>
      <c r="D108" t="s" s="83">
        <v>2713</v>
      </c>
      <c r="E108" s="74"/>
      <c r="F108" s="79">
        <v>29</v>
      </c>
      <c r="G108" t="s" s="96">
        <v>2831</v>
      </c>
      <c r="H108" t="s" s="96">
        <v>410</v>
      </c>
      <c r="I108" s="79">
        <v>78</v>
      </c>
      <c r="J108" s="79">
        <v>1</v>
      </c>
      <c r="K108" s="16"/>
      <c r="L108" s="16"/>
      <c r="M108" s="16"/>
      <c r="N108" t="s" s="96">
        <v>11</v>
      </c>
      <c r="O108" s="16"/>
      <c r="P108" s="16"/>
      <c r="Q108" s="16"/>
      <c r="R108" s="16"/>
      <c r="S108" s="79">
        <v>1</v>
      </c>
      <c r="T108" s="79">
        <v>21</v>
      </c>
      <c r="U108" s="16"/>
      <c r="V108" s="16"/>
      <c r="W108" s="16"/>
      <c r="X108" s="16"/>
      <c r="Y108" s="16"/>
      <c r="Z108" s="16"/>
      <c r="AA108" t="s" s="96">
        <v>55</v>
      </c>
      <c r="AB108" t="s" s="96">
        <v>15</v>
      </c>
      <c r="AC108" s="79">
        <v>1</v>
      </c>
      <c r="AD108" s="16"/>
      <c r="AE108" s="16"/>
      <c r="AF108" s="79">
        <v>1</v>
      </c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</row>
    <row r="109" ht="15.35" customHeight="1">
      <c r="A109" t="s" s="83">
        <v>2712</v>
      </c>
      <c r="B109" s="112">
        <v>1921</v>
      </c>
      <c r="C109" s="30"/>
      <c r="D109" t="s" s="83">
        <v>2713</v>
      </c>
      <c r="E109" s="74"/>
      <c r="F109" s="16"/>
      <c r="G109" s="16"/>
      <c r="H109" s="79">
        <v>6</v>
      </c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</row>
    <row r="110" ht="15.35" customHeight="1">
      <c r="A110" t="s" s="83">
        <v>2712</v>
      </c>
      <c r="B110" s="112">
        <v>1921</v>
      </c>
      <c r="C110" s="30"/>
      <c r="D110" t="s" s="83">
        <v>2713</v>
      </c>
      <c r="E110" s="74"/>
      <c r="F110" s="16"/>
      <c r="G110" t="s" s="96">
        <v>1</v>
      </c>
      <c r="H110" t="s" s="96">
        <v>0</v>
      </c>
      <c r="I110" s="16"/>
      <c r="J110" t="s" s="96">
        <v>3</v>
      </c>
      <c r="K110" s="16"/>
      <c r="L110" s="16"/>
      <c r="M110" s="16"/>
      <c r="N110" t="s" s="96">
        <v>2</v>
      </c>
      <c r="O110" s="16"/>
      <c r="P110" s="16"/>
      <c r="Q110" s="16"/>
      <c r="R110" s="16"/>
      <c r="S110" s="16"/>
      <c r="T110" t="s" s="96">
        <v>5</v>
      </c>
      <c r="U110" s="16"/>
      <c r="V110" s="16"/>
      <c r="W110" s="16"/>
      <c r="X110" s="16"/>
      <c r="Y110" s="16"/>
      <c r="Z110" s="16"/>
      <c r="AA110" t="s" s="96">
        <v>7</v>
      </c>
      <c r="AB110" t="s" s="96">
        <v>8</v>
      </c>
      <c r="AC110" s="16"/>
      <c r="AD110" s="16"/>
      <c r="AE110" s="16"/>
      <c r="AF110" t="s" s="96">
        <v>6</v>
      </c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</row>
    <row r="111" ht="15.35" customHeight="1">
      <c r="A111" t="s" s="83">
        <v>2712</v>
      </c>
      <c r="B111" s="112">
        <v>1921</v>
      </c>
      <c r="C111" s="112">
        <v>16</v>
      </c>
      <c r="D111" t="s" s="83">
        <v>2713</v>
      </c>
      <c r="E111" s="74"/>
      <c r="F111" s="79">
        <v>31</v>
      </c>
      <c r="G111" t="s" s="96">
        <v>2832</v>
      </c>
      <c r="H111" t="s" s="96">
        <v>2833</v>
      </c>
      <c r="I111" s="79">
        <v>79</v>
      </c>
      <c r="J111" t="s" s="96">
        <v>37</v>
      </c>
      <c r="K111" s="79">
        <v>1</v>
      </c>
      <c r="L111" s="16"/>
      <c r="M111" s="16"/>
      <c r="N111" s="79">
        <v>1</v>
      </c>
      <c r="O111" s="16"/>
      <c r="P111" s="16"/>
      <c r="Q111" s="16"/>
      <c r="R111" s="16"/>
      <c r="S111" s="16"/>
      <c r="T111" s="79">
        <v>41</v>
      </c>
      <c r="U111" s="16"/>
      <c r="V111" s="16"/>
      <c r="W111" s="16"/>
      <c r="X111" s="16"/>
      <c r="Y111" s="16"/>
      <c r="Z111" s="16"/>
      <c r="AA111" t="s" s="96">
        <v>872</v>
      </c>
      <c r="AB111" t="s" s="96">
        <v>2834</v>
      </c>
      <c r="AC111" s="79">
        <v>1</v>
      </c>
      <c r="AD111" s="16"/>
      <c r="AE111" s="16"/>
      <c r="AF111" t="s" s="96">
        <v>2835</v>
      </c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</row>
    <row r="112" ht="15.35" customHeight="1">
      <c r="A112" t="s" s="83">
        <v>2712</v>
      </c>
      <c r="B112" s="112">
        <v>1921</v>
      </c>
      <c r="C112" s="112">
        <v>16</v>
      </c>
      <c r="D112" t="s" s="83">
        <v>2713</v>
      </c>
      <c r="E112" s="74"/>
      <c r="F112" s="79">
        <v>31</v>
      </c>
      <c r="G112" t="s" s="96">
        <v>2832</v>
      </c>
      <c r="H112" t="s" s="96">
        <v>2836</v>
      </c>
      <c r="I112" s="79">
        <v>80</v>
      </c>
      <c r="J112" s="79">
        <v>1</v>
      </c>
      <c r="K112" s="16"/>
      <c r="L112" s="16"/>
      <c r="M112" s="16"/>
      <c r="N112" t="s" s="96">
        <v>72</v>
      </c>
      <c r="O112" s="79">
        <v>1</v>
      </c>
      <c r="P112" s="16"/>
      <c r="Q112" s="16"/>
      <c r="R112" s="16"/>
      <c r="S112" s="16"/>
      <c r="T112" s="79">
        <v>39</v>
      </c>
      <c r="U112" s="16"/>
      <c r="V112" s="16"/>
      <c r="W112" s="16"/>
      <c r="X112" s="16"/>
      <c r="Y112" s="16"/>
      <c r="Z112" s="16"/>
      <c r="AA112" t="s" s="96">
        <v>33</v>
      </c>
      <c r="AB112" t="s" s="96">
        <v>34</v>
      </c>
      <c r="AC112" s="16"/>
      <c r="AD112" s="16"/>
      <c r="AE112" s="16"/>
      <c r="AF112" t="s" s="96">
        <v>1273</v>
      </c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</row>
    <row r="113" ht="15.35" customHeight="1">
      <c r="A113" t="s" s="83">
        <v>2712</v>
      </c>
      <c r="B113" s="112">
        <v>1921</v>
      </c>
      <c r="C113" s="112">
        <v>16</v>
      </c>
      <c r="D113" t="s" s="83">
        <v>2713</v>
      </c>
      <c r="E113" s="74"/>
      <c r="F113" s="79">
        <v>31</v>
      </c>
      <c r="G113" t="s" s="96">
        <v>2832</v>
      </c>
      <c r="H113" t="s" s="96">
        <v>2837</v>
      </c>
      <c r="I113" s="79">
        <v>81</v>
      </c>
      <c r="J113" s="79">
        <v>1</v>
      </c>
      <c r="K113" s="16"/>
      <c r="L113" s="16"/>
      <c r="M113" s="16"/>
      <c r="N113" t="s" s="96">
        <v>78</v>
      </c>
      <c r="O113" s="16"/>
      <c r="P113" s="79">
        <v>1</v>
      </c>
      <c r="Q113" s="16"/>
      <c r="R113" s="16"/>
      <c r="S113" s="16"/>
      <c r="T113" s="79">
        <v>13</v>
      </c>
      <c r="U113" s="16"/>
      <c r="V113" s="16"/>
      <c r="W113" s="16"/>
      <c r="X113" s="16"/>
      <c r="Y113" s="16"/>
      <c r="Z113" s="16"/>
      <c r="AA113" t="s" s="96">
        <v>34</v>
      </c>
      <c r="AB113" t="s" s="96">
        <v>34</v>
      </c>
      <c r="AC113" s="16"/>
      <c r="AD113" s="16"/>
      <c r="AE113" s="16"/>
      <c r="AF113" t="s" s="96">
        <v>2366</v>
      </c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</row>
    <row r="114" ht="15.35" customHeight="1">
      <c r="A114" t="s" s="83">
        <v>2712</v>
      </c>
      <c r="B114" s="112">
        <v>1921</v>
      </c>
      <c r="C114" s="112">
        <v>16</v>
      </c>
      <c r="D114" t="s" s="83">
        <v>2713</v>
      </c>
      <c r="E114" s="74"/>
      <c r="F114" s="79">
        <v>31</v>
      </c>
      <c r="G114" t="s" s="96">
        <v>2832</v>
      </c>
      <c r="H114" t="s" s="96">
        <v>2838</v>
      </c>
      <c r="I114" s="79">
        <v>82</v>
      </c>
      <c r="J114" s="16"/>
      <c r="K114" s="16"/>
      <c r="L114" s="79">
        <v>1</v>
      </c>
      <c r="M114" s="16"/>
      <c r="N114" t="s" s="96">
        <v>78</v>
      </c>
      <c r="O114" s="16"/>
      <c r="P114" s="79">
        <v>1</v>
      </c>
      <c r="Q114" s="16"/>
      <c r="R114" s="16"/>
      <c r="S114" s="16"/>
      <c r="T114" s="79">
        <v>9</v>
      </c>
      <c r="U114" s="16"/>
      <c r="V114" s="16"/>
      <c r="W114" s="16"/>
      <c r="X114" s="16"/>
      <c r="Y114" s="16"/>
      <c r="Z114" s="16"/>
      <c r="AA114" t="s" s="96">
        <v>34</v>
      </c>
      <c r="AB114" t="s" s="96">
        <v>34</v>
      </c>
      <c r="AC114" s="16"/>
      <c r="AD114" s="16"/>
      <c r="AE114" s="16"/>
      <c r="AF114" t="s" s="96">
        <v>142</v>
      </c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</row>
    <row r="115" ht="15.35" customHeight="1">
      <c r="A115" t="s" s="83">
        <v>2712</v>
      </c>
      <c r="B115" s="112">
        <v>1921</v>
      </c>
      <c r="C115" s="112">
        <v>16</v>
      </c>
      <c r="D115" t="s" s="83">
        <v>2713</v>
      </c>
      <c r="E115" s="74"/>
      <c r="F115" s="79">
        <v>31</v>
      </c>
      <c r="G115" t="s" s="96">
        <v>2832</v>
      </c>
      <c r="H115" t="s" s="96">
        <v>2839</v>
      </c>
      <c r="I115" s="79">
        <v>83</v>
      </c>
      <c r="J115" s="16"/>
      <c r="K115" s="16"/>
      <c r="L115" s="79">
        <v>1</v>
      </c>
      <c r="M115" s="16"/>
      <c r="N115" t="s" s="96">
        <v>78</v>
      </c>
      <c r="O115" s="16"/>
      <c r="P115" s="79">
        <v>1</v>
      </c>
      <c r="Q115" s="16"/>
      <c r="R115" s="16"/>
      <c r="S115" s="16"/>
      <c r="T115" s="79">
        <v>4</v>
      </c>
      <c r="U115" s="16"/>
      <c r="V115" s="16"/>
      <c r="W115" s="16"/>
      <c r="X115" s="16"/>
      <c r="Y115" s="16"/>
      <c r="Z115" s="16"/>
      <c r="AA115" t="s" s="96">
        <v>34</v>
      </c>
      <c r="AB115" t="s" s="96">
        <v>34</v>
      </c>
      <c r="AC115" s="16"/>
      <c r="AD115" s="16"/>
      <c r="AE115" s="16"/>
      <c r="AF115" t="s" s="96">
        <v>2840</v>
      </c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</row>
    <row r="116" ht="15.35" customHeight="1">
      <c r="A116" t="s" s="83">
        <v>2712</v>
      </c>
      <c r="B116" s="112">
        <v>1921</v>
      </c>
      <c r="C116" s="112">
        <v>16</v>
      </c>
      <c r="D116" t="s" s="83">
        <v>2713</v>
      </c>
      <c r="E116" s="74"/>
      <c r="F116" s="79">
        <v>31</v>
      </c>
      <c r="G116" t="s" s="96">
        <v>773</v>
      </c>
      <c r="H116" t="s" s="96">
        <v>2841</v>
      </c>
      <c r="I116" s="79">
        <v>84</v>
      </c>
      <c r="J116" s="79">
        <v>1</v>
      </c>
      <c r="K116" s="16"/>
      <c r="L116" s="16"/>
      <c r="M116" s="16"/>
      <c r="N116" t="s" s="96">
        <v>750</v>
      </c>
      <c r="O116" s="16"/>
      <c r="P116" s="16"/>
      <c r="Q116" s="16"/>
      <c r="R116" s="79">
        <v>1</v>
      </c>
      <c r="S116" s="16"/>
      <c r="T116" s="79">
        <v>47</v>
      </c>
      <c r="U116" s="16"/>
      <c r="V116" s="16"/>
      <c r="W116" s="16"/>
      <c r="X116" s="16"/>
      <c r="Y116" s="16"/>
      <c r="Z116" s="16"/>
      <c r="AA116" t="s" s="96">
        <v>33</v>
      </c>
      <c r="AB116" t="s" s="96">
        <v>15</v>
      </c>
      <c r="AC116" s="16"/>
      <c r="AD116" s="16"/>
      <c r="AE116" s="16"/>
      <c r="AF116" t="s" s="96">
        <v>1273</v>
      </c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</row>
    <row r="117" ht="15.35" customHeight="1">
      <c r="A117" t="s" s="83">
        <v>2712</v>
      </c>
      <c r="B117" s="112">
        <v>1921</v>
      </c>
      <c r="C117" s="112">
        <v>16</v>
      </c>
      <c r="D117" t="s" s="83">
        <v>2713</v>
      </c>
      <c r="E117" s="74"/>
      <c r="F117" s="79">
        <v>31</v>
      </c>
      <c r="G117" t="s" s="96">
        <v>2842</v>
      </c>
      <c r="H117" t="s" s="96">
        <v>545</v>
      </c>
      <c r="I117" s="79">
        <v>85</v>
      </c>
      <c r="J117" s="79">
        <v>1</v>
      </c>
      <c r="K117" s="16"/>
      <c r="L117" s="16"/>
      <c r="M117" s="16"/>
      <c r="N117" t="s" s="96">
        <v>65</v>
      </c>
      <c r="O117" s="16"/>
      <c r="P117" s="16"/>
      <c r="Q117" s="16"/>
      <c r="R117" s="79">
        <v>1</v>
      </c>
      <c r="S117" s="16"/>
      <c r="T117" s="79">
        <v>48</v>
      </c>
      <c r="U117" s="16"/>
      <c r="V117" s="16"/>
      <c r="W117" s="16"/>
      <c r="X117" s="16"/>
      <c r="Y117" s="16"/>
      <c r="Z117" s="16"/>
      <c r="AA117" t="s" s="96">
        <v>2843</v>
      </c>
      <c r="AB117" t="s" s="96">
        <v>2844</v>
      </c>
      <c r="AC117" s="79">
        <v>1</v>
      </c>
      <c r="AD117" s="16"/>
      <c r="AE117" s="16"/>
      <c r="AF117" t="s" s="96">
        <v>2845</v>
      </c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</row>
    <row r="118" ht="15.35" customHeight="1">
      <c r="A118" t="s" s="83">
        <v>2712</v>
      </c>
      <c r="B118" s="112">
        <v>1921</v>
      </c>
      <c r="C118" s="30"/>
      <c r="D118" t="s" s="83">
        <v>2713</v>
      </c>
      <c r="E118" s="74"/>
      <c r="F118" s="16"/>
      <c r="G118" s="16"/>
      <c r="H118" s="79">
        <v>7</v>
      </c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</row>
    <row r="119" ht="15.35" customHeight="1">
      <c r="A119" t="s" s="83">
        <v>2712</v>
      </c>
      <c r="B119" s="112">
        <v>1921</v>
      </c>
      <c r="C119" s="30"/>
      <c r="D119" t="s" s="83">
        <v>2713</v>
      </c>
      <c r="E119" s="74"/>
      <c r="F119" s="16"/>
      <c r="G119" t="s" s="96">
        <v>1</v>
      </c>
      <c r="H119" t="s" s="96">
        <v>0</v>
      </c>
      <c r="I119" s="16"/>
      <c r="J119" t="s" s="96">
        <v>3</v>
      </c>
      <c r="K119" s="16"/>
      <c r="L119" s="16"/>
      <c r="M119" s="16"/>
      <c r="N119" t="s" s="96">
        <v>2</v>
      </c>
      <c r="O119" s="16"/>
      <c r="P119" s="16"/>
      <c r="Q119" s="16"/>
      <c r="R119" s="16"/>
      <c r="S119" s="16"/>
      <c r="T119" t="s" s="96">
        <v>5</v>
      </c>
      <c r="U119" s="16"/>
      <c r="V119" s="16"/>
      <c r="W119" s="16"/>
      <c r="X119" s="16"/>
      <c r="Y119" s="16"/>
      <c r="Z119" s="16"/>
      <c r="AA119" t="s" s="96">
        <v>7</v>
      </c>
      <c r="AB119" t="s" s="96">
        <v>8</v>
      </c>
      <c r="AC119" s="16"/>
      <c r="AD119" s="16"/>
      <c r="AE119" s="16"/>
      <c r="AF119" t="s" s="96">
        <v>6</v>
      </c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</row>
    <row r="120" ht="15.35" customHeight="1">
      <c r="A120" t="s" s="83">
        <v>2712</v>
      </c>
      <c r="B120" s="112">
        <v>1921</v>
      </c>
      <c r="C120" s="112">
        <v>17</v>
      </c>
      <c r="D120" t="s" s="83">
        <v>2713</v>
      </c>
      <c r="E120" s="74"/>
      <c r="F120" s="79">
        <v>31</v>
      </c>
      <c r="G120" t="s" s="96">
        <v>2249</v>
      </c>
      <c r="H120" t="s" s="96">
        <v>2846</v>
      </c>
      <c r="I120" s="79">
        <v>86</v>
      </c>
      <c r="J120" t="s" s="96">
        <v>37</v>
      </c>
      <c r="K120" s="79">
        <v>1</v>
      </c>
      <c r="L120" s="16"/>
      <c r="M120" s="16"/>
      <c r="N120" s="79">
        <v>1</v>
      </c>
      <c r="O120" s="16"/>
      <c r="P120" s="16"/>
      <c r="Q120" s="16"/>
      <c r="R120" s="16"/>
      <c r="S120" s="16"/>
      <c r="T120" s="79">
        <v>38</v>
      </c>
      <c r="U120" s="16"/>
      <c r="V120" s="16"/>
      <c r="W120" s="16"/>
      <c r="X120" s="16"/>
      <c r="Y120" s="16"/>
      <c r="Z120" s="16"/>
      <c r="AA120" t="s" s="96">
        <v>2847</v>
      </c>
      <c r="AB120" t="s" s="96">
        <v>2848</v>
      </c>
      <c r="AC120" s="79">
        <v>1</v>
      </c>
      <c r="AD120" s="16"/>
      <c r="AE120" s="16"/>
      <c r="AF120" t="s" s="96">
        <v>1198</v>
      </c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</row>
    <row r="121" ht="15.35" customHeight="1">
      <c r="A121" t="s" s="83">
        <v>2712</v>
      </c>
      <c r="B121" s="112">
        <v>1921</v>
      </c>
      <c r="C121" s="112">
        <v>17</v>
      </c>
      <c r="D121" t="s" s="83">
        <v>2713</v>
      </c>
      <c r="E121" s="74"/>
      <c r="F121" s="79">
        <v>31</v>
      </c>
      <c r="G121" t="s" s="96">
        <v>2249</v>
      </c>
      <c r="H121" t="s" s="96">
        <v>1856</v>
      </c>
      <c r="I121" s="79">
        <v>87</v>
      </c>
      <c r="J121" s="79">
        <v>1</v>
      </c>
      <c r="K121" s="16"/>
      <c r="L121" s="16"/>
      <c r="M121" s="16"/>
      <c r="N121" t="s" s="96">
        <v>72</v>
      </c>
      <c r="O121" s="79">
        <v>1</v>
      </c>
      <c r="P121" s="16"/>
      <c r="Q121" s="16"/>
      <c r="R121" s="16"/>
      <c r="S121" s="16"/>
      <c r="T121" s="79">
        <v>45</v>
      </c>
      <c r="U121" s="16"/>
      <c r="V121" s="16"/>
      <c r="W121" s="16"/>
      <c r="X121" s="16"/>
      <c r="Y121" s="16"/>
      <c r="Z121" s="16"/>
      <c r="AA121" t="s" s="96">
        <v>33</v>
      </c>
      <c r="AB121" t="s" s="96">
        <v>34</v>
      </c>
      <c r="AC121" s="16"/>
      <c r="AD121" s="16"/>
      <c r="AE121" s="16"/>
      <c r="AF121" t="s" s="96">
        <v>2849</v>
      </c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</row>
    <row r="122" ht="15.35" customHeight="1">
      <c r="A122" t="s" s="83">
        <v>2712</v>
      </c>
      <c r="B122" s="112">
        <v>1921</v>
      </c>
      <c r="C122" s="30"/>
      <c r="D122" t="s" s="83">
        <v>2713</v>
      </c>
      <c r="E122" s="74"/>
      <c r="F122" s="16"/>
      <c r="G122" s="16"/>
      <c r="H122" s="79">
        <v>2</v>
      </c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</row>
    <row r="123" ht="15.35" customHeight="1">
      <c r="A123" t="s" s="83">
        <v>2712</v>
      </c>
      <c r="B123" s="112">
        <v>1921</v>
      </c>
      <c r="C123" s="30"/>
      <c r="D123" t="s" s="83">
        <v>2713</v>
      </c>
      <c r="E123" s="74"/>
      <c r="F123" s="16"/>
      <c r="G123" t="s" s="96">
        <v>1</v>
      </c>
      <c r="H123" t="s" s="96">
        <v>0</v>
      </c>
      <c r="I123" s="16"/>
      <c r="J123" t="s" s="96">
        <v>3</v>
      </c>
      <c r="K123" s="16"/>
      <c r="L123" s="16"/>
      <c r="M123" s="16"/>
      <c r="N123" t="s" s="96">
        <v>2</v>
      </c>
      <c r="O123" s="16"/>
      <c r="P123" s="16"/>
      <c r="Q123" s="16"/>
      <c r="R123" s="16"/>
      <c r="S123" s="16"/>
      <c r="T123" t="s" s="96">
        <v>5</v>
      </c>
      <c r="U123" s="16"/>
      <c r="V123" s="16"/>
      <c r="W123" s="16"/>
      <c r="X123" s="16"/>
      <c r="Y123" s="16"/>
      <c r="Z123" s="16"/>
      <c r="AA123" t="s" s="96">
        <v>7</v>
      </c>
      <c r="AB123" t="s" s="96">
        <v>8</v>
      </c>
      <c r="AC123" s="16"/>
      <c r="AD123" s="16"/>
      <c r="AE123" s="16"/>
      <c r="AF123" t="s" s="96">
        <v>6</v>
      </c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</row>
    <row r="124" ht="15.35" customHeight="1">
      <c r="A124" t="s" s="83">
        <v>2712</v>
      </c>
      <c r="B124" s="112">
        <v>1921</v>
      </c>
      <c r="C124" s="112">
        <v>18</v>
      </c>
      <c r="D124" t="s" s="83">
        <v>2713</v>
      </c>
      <c r="E124" s="74"/>
      <c r="F124" s="79">
        <v>35</v>
      </c>
      <c r="G124" t="s" s="96">
        <v>2850</v>
      </c>
      <c r="H124" t="s" s="96">
        <v>2851</v>
      </c>
      <c r="I124" s="79">
        <v>88</v>
      </c>
      <c r="J124" t="s" s="96">
        <v>37</v>
      </c>
      <c r="K124" s="79">
        <v>1</v>
      </c>
      <c r="L124" s="16"/>
      <c r="M124" s="16"/>
      <c r="N124" s="79">
        <v>1</v>
      </c>
      <c r="O124" s="16"/>
      <c r="P124" s="16"/>
      <c r="Q124" s="16"/>
      <c r="R124" s="16"/>
      <c r="S124" s="16"/>
      <c r="T124" s="79">
        <v>55</v>
      </c>
      <c r="U124" s="16"/>
      <c r="V124" s="16"/>
      <c r="W124" s="16"/>
      <c r="X124" s="16"/>
      <c r="Y124" s="16"/>
      <c r="Z124" s="16"/>
      <c r="AA124" t="s" s="96">
        <v>793</v>
      </c>
      <c r="AB124" t="s" s="96">
        <v>8</v>
      </c>
      <c r="AC124" s="79">
        <v>1</v>
      </c>
      <c r="AD124" s="79">
        <v>1</v>
      </c>
      <c r="AE124" s="16"/>
      <c r="AF124" s="79">
        <v>1</v>
      </c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</row>
    <row r="125" ht="15.35" customHeight="1">
      <c r="A125" t="s" s="83">
        <v>2712</v>
      </c>
      <c r="B125" s="112">
        <v>1921</v>
      </c>
      <c r="C125" s="112">
        <v>18</v>
      </c>
      <c r="D125" t="s" s="83">
        <v>2713</v>
      </c>
      <c r="E125" s="74"/>
      <c r="F125" s="79">
        <v>35</v>
      </c>
      <c r="G125" t="s" s="96">
        <v>2850</v>
      </c>
      <c r="H125" t="s" s="96">
        <v>2852</v>
      </c>
      <c r="I125" s="79">
        <v>89</v>
      </c>
      <c r="J125" s="79">
        <v>1</v>
      </c>
      <c r="K125" s="16"/>
      <c r="L125" s="16"/>
      <c r="M125" s="16"/>
      <c r="N125" t="s" s="96">
        <v>72</v>
      </c>
      <c r="O125" s="79">
        <v>1</v>
      </c>
      <c r="P125" s="16"/>
      <c r="Q125" s="16"/>
      <c r="R125" s="16"/>
      <c r="S125" s="16"/>
      <c r="T125" s="79">
        <v>54</v>
      </c>
      <c r="U125" s="16"/>
      <c r="V125" s="16"/>
      <c r="W125" s="16"/>
      <c r="X125" s="16"/>
      <c r="Y125" s="16"/>
      <c r="Z125" s="16"/>
      <c r="AA125" t="s" s="96">
        <v>1061</v>
      </c>
      <c r="AB125" t="s" s="96">
        <v>34</v>
      </c>
      <c r="AC125" s="16"/>
      <c r="AD125" s="16"/>
      <c r="AE125" s="16"/>
      <c r="AF125" s="79">
        <v>1</v>
      </c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</row>
    <row r="126" ht="15.35" customHeight="1">
      <c r="A126" t="s" s="83">
        <v>2712</v>
      </c>
      <c r="B126" s="112">
        <v>1921</v>
      </c>
      <c r="C126" s="112">
        <v>18</v>
      </c>
      <c r="D126" t="s" s="83">
        <v>2713</v>
      </c>
      <c r="E126" s="74"/>
      <c r="F126" s="79">
        <v>35</v>
      </c>
      <c r="G126" t="s" s="96">
        <v>579</v>
      </c>
      <c r="H126" t="s" s="96">
        <v>545</v>
      </c>
      <c r="I126" s="79">
        <v>90</v>
      </c>
      <c r="J126" s="79">
        <v>1</v>
      </c>
      <c r="K126" s="16"/>
      <c r="L126" s="16"/>
      <c r="M126" s="16"/>
      <c r="N126" t="s" s="96">
        <v>11</v>
      </c>
      <c r="O126" s="16"/>
      <c r="P126" s="16"/>
      <c r="Q126" s="16"/>
      <c r="R126" s="16"/>
      <c r="S126" s="79">
        <v>1</v>
      </c>
      <c r="T126" s="79">
        <v>49</v>
      </c>
      <c r="U126" s="16"/>
      <c r="V126" s="16"/>
      <c r="W126" s="16"/>
      <c r="X126" s="16"/>
      <c r="Y126" s="16"/>
      <c r="Z126" s="16"/>
      <c r="AA126" t="s" s="96">
        <v>45</v>
      </c>
      <c r="AB126" t="s" s="96">
        <v>15</v>
      </c>
      <c r="AC126" s="79">
        <v>1</v>
      </c>
      <c r="AD126" s="16"/>
      <c r="AE126" s="16"/>
      <c r="AF126" s="79">
        <v>1</v>
      </c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</row>
    <row r="127" ht="15.35" customHeight="1">
      <c r="A127" t="s" s="83">
        <v>2712</v>
      </c>
      <c r="B127" s="112">
        <v>1921</v>
      </c>
      <c r="C127" s="112">
        <v>18</v>
      </c>
      <c r="D127" t="s" s="83">
        <v>2713</v>
      </c>
      <c r="E127" s="74"/>
      <c r="F127" s="79">
        <v>35</v>
      </c>
      <c r="G127" t="s" s="96">
        <v>1417</v>
      </c>
      <c r="H127" t="s" s="96">
        <v>471</v>
      </c>
      <c r="I127" s="79">
        <v>91</v>
      </c>
      <c r="J127" s="79">
        <v>1</v>
      </c>
      <c r="K127" s="16"/>
      <c r="L127" s="16"/>
      <c r="M127" s="16"/>
      <c r="N127" t="s" s="96">
        <v>11</v>
      </c>
      <c r="O127" s="16"/>
      <c r="P127" s="16"/>
      <c r="Q127" s="16"/>
      <c r="R127" s="16"/>
      <c r="S127" s="79">
        <v>1</v>
      </c>
      <c r="T127" s="79">
        <v>27</v>
      </c>
      <c r="U127" s="16"/>
      <c r="V127" s="16"/>
      <c r="W127" s="16"/>
      <c r="X127" s="16"/>
      <c r="Y127" s="16"/>
      <c r="Z127" s="16"/>
      <c r="AA127" t="s" s="96">
        <v>51</v>
      </c>
      <c r="AB127" t="s" s="96">
        <v>15</v>
      </c>
      <c r="AC127" s="79">
        <v>1</v>
      </c>
      <c r="AD127" s="16"/>
      <c r="AE127" s="16"/>
      <c r="AF127" s="79">
        <v>1</v>
      </c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</row>
    <row r="128" ht="15.35" customHeight="1">
      <c r="A128" t="s" s="83">
        <v>2712</v>
      </c>
      <c r="B128" s="112">
        <v>1921</v>
      </c>
      <c r="C128" s="112">
        <v>18</v>
      </c>
      <c r="D128" t="s" s="83">
        <v>2713</v>
      </c>
      <c r="E128" s="74"/>
      <c r="F128" s="79">
        <v>35</v>
      </c>
      <c r="G128" t="s" s="96">
        <v>1234</v>
      </c>
      <c r="H128" t="s" s="96">
        <v>2853</v>
      </c>
      <c r="I128" s="79">
        <v>92</v>
      </c>
      <c r="J128" s="79">
        <v>1</v>
      </c>
      <c r="K128" s="16"/>
      <c r="L128" s="16"/>
      <c r="M128" s="16"/>
      <c r="N128" t="s" s="96">
        <v>11</v>
      </c>
      <c r="O128" s="16"/>
      <c r="P128" s="16"/>
      <c r="Q128" s="16"/>
      <c r="R128" s="16"/>
      <c r="S128" s="79">
        <v>1</v>
      </c>
      <c r="T128" s="79">
        <v>26</v>
      </c>
      <c r="U128" s="16"/>
      <c r="V128" s="16"/>
      <c r="W128" s="16"/>
      <c r="X128" s="16"/>
      <c r="Y128" s="16"/>
      <c r="Z128" s="16"/>
      <c r="AA128" t="s" s="96">
        <v>55</v>
      </c>
      <c r="AB128" t="s" s="96">
        <v>15</v>
      </c>
      <c r="AC128" s="79">
        <v>1</v>
      </c>
      <c r="AD128" s="16"/>
      <c r="AE128" s="16"/>
      <c r="AF128" t="s" s="96">
        <v>1015</v>
      </c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</row>
    <row r="129" ht="15.35" customHeight="1">
      <c r="A129" t="s" s="83">
        <v>2712</v>
      </c>
      <c r="B129" s="112">
        <v>1921</v>
      </c>
      <c r="C129" s="30"/>
      <c r="D129" t="s" s="83">
        <v>2713</v>
      </c>
      <c r="E129" s="74"/>
      <c r="F129" s="16"/>
      <c r="G129" s="16"/>
      <c r="H129" s="79">
        <v>5</v>
      </c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</row>
    <row r="130" ht="15.35" customHeight="1">
      <c r="A130" t="s" s="83">
        <v>2712</v>
      </c>
      <c r="B130" s="112">
        <v>1921</v>
      </c>
      <c r="C130" s="30"/>
      <c r="D130" t="s" s="83">
        <v>2713</v>
      </c>
      <c r="E130" s="192"/>
      <c r="F130" s="3"/>
      <c r="G130" t="s" s="2">
        <v>1</v>
      </c>
      <c r="H130" t="s" s="2">
        <v>0</v>
      </c>
      <c r="I130" s="3"/>
      <c r="J130" t="s" s="2">
        <v>3</v>
      </c>
      <c r="K130" s="3"/>
      <c r="L130" s="3"/>
      <c r="M130" s="3"/>
      <c r="N130" t="s" s="2">
        <v>2</v>
      </c>
      <c r="O130" s="3"/>
      <c r="P130" s="3"/>
      <c r="Q130" s="3"/>
      <c r="R130" s="3"/>
      <c r="S130" s="3"/>
      <c r="T130" t="s" s="2">
        <v>5</v>
      </c>
      <c r="U130" s="3"/>
      <c r="V130" s="3"/>
      <c r="W130" s="3"/>
      <c r="X130" s="3"/>
      <c r="Y130" s="3"/>
      <c r="Z130" s="3"/>
      <c r="AA130" t="s" s="2">
        <v>7</v>
      </c>
      <c r="AB130" t="s" s="2">
        <v>8</v>
      </c>
      <c r="AC130" s="3"/>
      <c r="AD130" s="3"/>
      <c r="AE130" s="3"/>
      <c r="AF130" t="s" s="2">
        <v>6</v>
      </c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</row>
    <row r="131" ht="15.35" customHeight="1">
      <c r="A131" t="s" s="83">
        <v>2712</v>
      </c>
      <c r="B131" s="112">
        <v>1921</v>
      </c>
      <c r="C131" s="112">
        <v>19</v>
      </c>
      <c r="D131" t="s" s="83">
        <v>2713</v>
      </c>
      <c r="E131" s="195"/>
      <c r="F131" s="6">
        <v>37</v>
      </c>
      <c r="G131" t="s" s="5">
        <v>980</v>
      </c>
      <c r="H131" t="s" s="5">
        <v>2854</v>
      </c>
      <c r="I131" s="6">
        <v>93</v>
      </c>
      <c r="J131" s="6">
        <v>1</v>
      </c>
      <c r="K131" s="13"/>
      <c r="L131" s="13"/>
      <c r="M131" s="13"/>
      <c r="N131" s="6">
        <v>1</v>
      </c>
      <c r="O131" s="13"/>
      <c r="P131" s="13"/>
      <c r="Q131" s="13"/>
      <c r="R131" s="13"/>
      <c r="S131" s="13"/>
      <c r="T131" s="6">
        <v>51</v>
      </c>
      <c r="U131" s="13"/>
      <c r="V131" s="13"/>
      <c r="W131" s="13"/>
      <c r="X131" s="13"/>
      <c r="Y131" s="13"/>
      <c r="Z131" s="13"/>
      <c r="AA131" t="s" s="5">
        <v>33</v>
      </c>
      <c r="AB131" t="s" s="5">
        <v>34</v>
      </c>
      <c r="AC131" s="13"/>
      <c r="AD131" s="13"/>
      <c r="AE131" s="13"/>
      <c r="AF131" s="6">
        <v>1</v>
      </c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  <c r="AU131" s="13"/>
      <c r="AV131" s="13"/>
      <c r="AW131" s="13"/>
      <c r="AX131" s="13"/>
      <c r="AY131" s="13"/>
      <c r="AZ131" s="13"/>
      <c r="BA131" s="13"/>
      <c r="BB131" s="13"/>
      <c r="BC131" s="10"/>
    </row>
    <row r="132" ht="15.35" customHeight="1">
      <c r="A132" t="s" s="83">
        <v>2712</v>
      </c>
      <c r="B132" s="112">
        <v>1921</v>
      </c>
      <c r="C132" s="112">
        <v>19</v>
      </c>
      <c r="D132" t="s" s="83">
        <v>2713</v>
      </c>
      <c r="E132" s="321"/>
      <c r="F132" s="6">
        <v>37</v>
      </c>
      <c r="G132" t="s" s="322">
        <v>2855</v>
      </c>
      <c r="H132" t="s" s="285">
        <v>1306</v>
      </c>
      <c r="I132" s="264">
        <v>94</v>
      </c>
      <c r="J132" s="264">
        <v>1</v>
      </c>
      <c r="K132" s="14"/>
      <c r="L132" s="14"/>
      <c r="M132" s="14"/>
      <c r="N132" t="s" s="285">
        <v>11</v>
      </c>
      <c r="O132" s="14"/>
      <c r="P132" s="14"/>
      <c r="Q132" s="14"/>
      <c r="R132" s="14"/>
      <c r="S132" s="264">
        <v>1</v>
      </c>
      <c r="T132" s="264">
        <v>39</v>
      </c>
      <c r="U132" s="14"/>
      <c r="V132" s="14"/>
      <c r="W132" s="14"/>
      <c r="X132" s="14"/>
      <c r="Y132" s="14"/>
      <c r="Z132" s="14"/>
      <c r="AA132" t="s" s="285">
        <v>45</v>
      </c>
      <c r="AB132" t="s" s="285">
        <v>15</v>
      </c>
      <c r="AC132" s="264">
        <v>1</v>
      </c>
      <c r="AD132" s="14"/>
      <c r="AE132" s="14"/>
      <c r="AF132" t="s" s="285">
        <v>183</v>
      </c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</row>
    <row r="133" ht="15.35" customHeight="1">
      <c r="A133" t="s" s="83">
        <v>2712</v>
      </c>
      <c r="B133" s="112">
        <v>1921</v>
      </c>
      <c r="C133" s="112">
        <v>19</v>
      </c>
      <c r="D133" t="s" s="83">
        <v>2713</v>
      </c>
      <c r="E133" s="323"/>
      <c r="F133" s="6">
        <v>37</v>
      </c>
      <c r="G133" t="s" s="324">
        <v>2856</v>
      </c>
      <c r="H133" t="s" s="96">
        <v>235</v>
      </c>
      <c r="I133" s="79">
        <v>95</v>
      </c>
      <c r="J133" s="79">
        <v>1</v>
      </c>
      <c r="K133" s="16"/>
      <c r="L133" s="16"/>
      <c r="M133" s="16"/>
      <c r="N133" t="s" s="96">
        <v>11</v>
      </c>
      <c r="O133" s="16"/>
      <c r="P133" s="16"/>
      <c r="Q133" s="16"/>
      <c r="R133" s="16"/>
      <c r="S133" s="79">
        <v>1</v>
      </c>
      <c r="T133" s="79">
        <v>22</v>
      </c>
      <c r="U133" s="16"/>
      <c r="V133" s="16"/>
      <c r="W133" s="16"/>
      <c r="X133" s="16"/>
      <c r="Y133" s="16"/>
      <c r="Z133" s="16"/>
      <c r="AA133" t="s" s="96">
        <v>55</v>
      </c>
      <c r="AB133" t="s" s="96">
        <v>15</v>
      </c>
      <c r="AC133" s="79">
        <v>1</v>
      </c>
      <c r="AD133" s="16"/>
      <c r="AE133" s="16"/>
      <c r="AF133" t="s" s="96">
        <v>118</v>
      </c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</row>
    <row r="134" ht="15.35" customHeight="1">
      <c r="A134" t="s" s="83">
        <v>2712</v>
      </c>
      <c r="B134" s="112">
        <v>1921</v>
      </c>
      <c r="C134" s="30"/>
      <c r="D134" t="s" s="83">
        <v>2713</v>
      </c>
      <c r="E134" s="74"/>
      <c r="F134" s="14"/>
      <c r="G134" s="16"/>
      <c r="H134" s="79">
        <v>3</v>
      </c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</row>
    <row r="135" ht="15.35" customHeight="1">
      <c r="A135" t="s" s="83">
        <v>2712</v>
      </c>
      <c r="B135" s="112">
        <v>1921</v>
      </c>
      <c r="C135" s="30"/>
      <c r="D135" t="s" s="83">
        <v>2713</v>
      </c>
      <c r="E135" s="74"/>
      <c r="F135" s="16"/>
      <c r="G135" t="s" s="96">
        <v>1</v>
      </c>
      <c r="H135" t="s" s="96">
        <v>0</v>
      </c>
      <c r="I135" s="16"/>
      <c r="J135" t="s" s="96">
        <v>3</v>
      </c>
      <c r="K135" s="16"/>
      <c r="L135" s="16"/>
      <c r="M135" s="16"/>
      <c r="N135" t="s" s="96">
        <v>2</v>
      </c>
      <c r="O135" s="16"/>
      <c r="P135" s="16"/>
      <c r="Q135" s="16"/>
      <c r="R135" s="16"/>
      <c r="S135" s="16"/>
      <c r="T135" t="s" s="96">
        <v>5</v>
      </c>
      <c r="U135" s="16"/>
      <c r="V135" s="16"/>
      <c r="W135" s="16"/>
      <c r="X135" s="16"/>
      <c r="Y135" s="16"/>
      <c r="Z135" s="16"/>
      <c r="AA135" t="s" s="96">
        <v>7</v>
      </c>
      <c r="AB135" t="s" s="96">
        <v>8</v>
      </c>
      <c r="AC135" s="16"/>
      <c r="AD135" s="16"/>
      <c r="AE135" s="16"/>
      <c r="AF135" t="s" s="96">
        <v>6</v>
      </c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</row>
    <row r="136" ht="15.35" customHeight="1">
      <c r="A136" t="s" s="83">
        <v>2712</v>
      </c>
      <c r="B136" s="112">
        <v>1921</v>
      </c>
      <c r="C136" s="112">
        <v>20</v>
      </c>
      <c r="D136" t="s" s="83">
        <v>2713</v>
      </c>
      <c r="E136" s="74"/>
      <c r="F136" s="79">
        <v>39</v>
      </c>
      <c r="G136" t="s" s="96">
        <v>888</v>
      </c>
      <c r="H136" t="s" s="96">
        <v>533</v>
      </c>
      <c r="I136" s="79">
        <v>96</v>
      </c>
      <c r="J136" t="s" s="96">
        <v>37</v>
      </c>
      <c r="K136" s="16"/>
      <c r="L136" s="16"/>
      <c r="M136" s="79">
        <v>1</v>
      </c>
      <c r="N136" t="s" s="96">
        <v>36</v>
      </c>
      <c r="O136" s="16"/>
      <c r="P136" s="16"/>
      <c r="Q136" s="79">
        <v>1</v>
      </c>
      <c r="R136" s="16"/>
      <c r="S136" s="16"/>
      <c r="T136" s="79">
        <v>9</v>
      </c>
      <c r="U136" s="16"/>
      <c r="V136" s="16"/>
      <c r="W136" s="16"/>
      <c r="X136" s="16"/>
      <c r="Y136" s="16"/>
      <c r="Z136" s="16"/>
      <c r="AA136" t="s" s="96">
        <v>34</v>
      </c>
      <c r="AB136" t="s" s="96">
        <v>34</v>
      </c>
      <c r="AC136" s="16"/>
      <c r="AD136" s="16"/>
      <c r="AE136" s="16"/>
      <c r="AF136" s="79">
        <v>1</v>
      </c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</row>
    <row r="137" ht="15.35" customHeight="1">
      <c r="A137" t="s" s="83">
        <v>2712</v>
      </c>
      <c r="B137" s="112">
        <v>1921</v>
      </c>
      <c r="C137" s="112">
        <v>20</v>
      </c>
      <c r="D137" t="s" s="83">
        <v>2713</v>
      </c>
      <c r="E137" s="74"/>
      <c r="F137" s="79">
        <v>39</v>
      </c>
      <c r="G137" t="s" s="96">
        <v>888</v>
      </c>
      <c r="H137" t="s" s="96">
        <v>2857</v>
      </c>
      <c r="I137" s="79">
        <v>97</v>
      </c>
      <c r="J137" t="s" s="96">
        <v>37</v>
      </c>
      <c r="K137" s="16"/>
      <c r="L137" s="16"/>
      <c r="M137" s="79">
        <v>1</v>
      </c>
      <c r="N137" t="s" s="96">
        <v>36</v>
      </c>
      <c r="O137" s="16"/>
      <c r="P137" s="16"/>
      <c r="Q137" s="79">
        <v>1</v>
      </c>
      <c r="R137" s="16"/>
      <c r="S137" s="16"/>
      <c r="T137" s="79">
        <v>2</v>
      </c>
      <c r="U137" s="16"/>
      <c r="V137" s="16"/>
      <c r="W137" s="16"/>
      <c r="X137" s="16"/>
      <c r="Y137" s="16"/>
      <c r="Z137" s="16"/>
      <c r="AA137" t="s" s="96">
        <v>34</v>
      </c>
      <c r="AB137" t="s" s="96">
        <v>34</v>
      </c>
      <c r="AC137" s="16"/>
      <c r="AD137" s="16"/>
      <c r="AE137" s="16"/>
      <c r="AF137" s="79">
        <v>1</v>
      </c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</row>
    <row r="138" ht="15.35" customHeight="1">
      <c r="A138" t="s" s="83">
        <v>2712</v>
      </c>
      <c r="B138" s="112">
        <v>1921</v>
      </c>
      <c r="C138" s="112">
        <v>20</v>
      </c>
      <c r="D138" t="s" s="83">
        <v>2713</v>
      </c>
      <c r="E138" s="74"/>
      <c r="F138" s="79">
        <v>39</v>
      </c>
      <c r="G138" t="s" s="96">
        <v>2858</v>
      </c>
      <c r="H138" t="s" s="96">
        <v>582</v>
      </c>
      <c r="I138" s="79">
        <v>98</v>
      </c>
      <c r="J138" s="79">
        <v>1</v>
      </c>
      <c r="K138" s="16"/>
      <c r="L138" s="16"/>
      <c r="M138" s="16"/>
      <c r="N138" t="s" s="96">
        <v>11</v>
      </c>
      <c r="O138" s="16"/>
      <c r="P138" s="16"/>
      <c r="Q138" s="16"/>
      <c r="R138" s="16"/>
      <c r="S138" s="79">
        <v>1</v>
      </c>
      <c r="T138" s="79">
        <v>20</v>
      </c>
      <c r="U138" s="16"/>
      <c r="V138" s="16"/>
      <c r="W138" s="16"/>
      <c r="X138" s="16"/>
      <c r="Y138" s="16"/>
      <c r="Z138" s="16"/>
      <c r="AA138" t="s" s="96">
        <v>699</v>
      </c>
      <c r="AB138" t="s" s="96">
        <v>15</v>
      </c>
      <c r="AC138" s="79">
        <v>1</v>
      </c>
      <c r="AD138" s="16"/>
      <c r="AE138" s="16"/>
      <c r="AF138" t="s" s="96">
        <v>118</v>
      </c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</row>
    <row r="139" ht="15.35" customHeight="1">
      <c r="A139" t="s" s="83">
        <v>2712</v>
      </c>
      <c r="B139" s="112">
        <v>1921</v>
      </c>
      <c r="C139" s="112">
        <v>20</v>
      </c>
      <c r="D139" t="s" s="83">
        <v>2713</v>
      </c>
      <c r="E139" s="74"/>
      <c r="F139" s="79">
        <v>39</v>
      </c>
      <c r="G139" t="s" s="96">
        <v>2859</v>
      </c>
      <c r="H139" t="s" s="96">
        <v>2860</v>
      </c>
      <c r="I139" s="79">
        <v>99</v>
      </c>
      <c r="J139" s="79">
        <v>1</v>
      </c>
      <c r="K139" s="16"/>
      <c r="L139" s="16"/>
      <c r="M139" s="16"/>
      <c r="N139" t="s" s="96">
        <v>11</v>
      </c>
      <c r="O139" s="16"/>
      <c r="P139" s="16"/>
      <c r="Q139" s="16"/>
      <c r="R139" s="16"/>
      <c r="S139" s="79">
        <v>1</v>
      </c>
      <c r="T139" s="79">
        <v>35</v>
      </c>
      <c r="U139" s="16"/>
      <c r="V139" s="16"/>
      <c r="W139" s="16"/>
      <c r="X139" s="16"/>
      <c r="Y139" s="16"/>
      <c r="Z139" s="16"/>
      <c r="AA139" t="s" s="96">
        <v>45</v>
      </c>
      <c r="AB139" t="s" s="96">
        <v>15</v>
      </c>
      <c r="AC139" s="79">
        <v>1</v>
      </c>
      <c r="AD139" s="16"/>
      <c r="AE139" s="16"/>
      <c r="AF139" t="s" s="96">
        <v>118</v>
      </c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</row>
    <row r="140" ht="15.35" customHeight="1">
      <c r="A140" s="30"/>
      <c r="B140" s="30"/>
      <c r="C140" s="30"/>
      <c r="D140" s="30"/>
      <c r="E140" s="74"/>
      <c r="F140" s="16"/>
      <c r="G140" s="16"/>
      <c r="H140" s="79">
        <v>4</v>
      </c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</row>
    <row r="141" ht="15.35" customHeight="1">
      <c r="A141" t="s" s="83">
        <v>2712</v>
      </c>
      <c r="B141" s="112">
        <v>1921</v>
      </c>
      <c r="C141" s="30"/>
      <c r="D141" t="s" s="83">
        <v>2713</v>
      </c>
      <c r="E141" s="74"/>
      <c r="F141" s="16"/>
      <c r="G141" t="s" s="96">
        <v>1</v>
      </c>
      <c r="H141" t="s" s="96">
        <v>0</v>
      </c>
      <c r="I141" s="16"/>
      <c r="J141" t="s" s="96">
        <v>3</v>
      </c>
      <c r="K141" s="16"/>
      <c r="L141" s="16"/>
      <c r="M141" s="16"/>
      <c r="N141" t="s" s="96">
        <v>2</v>
      </c>
      <c r="O141" s="16"/>
      <c r="P141" t="s" s="96">
        <v>4</v>
      </c>
      <c r="Q141" s="16"/>
      <c r="R141" s="16"/>
      <c r="S141" s="16"/>
      <c r="T141" t="s" s="96">
        <v>5</v>
      </c>
      <c r="U141" s="16"/>
      <c r="V141" s="16"/>
      <c r="W141" s="16"/>
      <c r="X141" s="16"/>
      <c r="Y141" s="16"/>
      <c r="Z141" s="16"/>
      <c r="AA141" t="s" s="96">
        <v>7</v>
      </c>
      <c r="AB141" t="s" s="96">
        <v>8</v>
      </c>
      <c r="AC141" s="16"/>
      <c r="AD141" s="16"/>
      <c r="AE141" s="16"/>
      <c r="AF141" t="s" s="96">
        <v>6</v>
      </c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</row>
    <row r="142" ht="15.35" customHeight="1">
      <c r="A142" t="s" s="83">
        <v>2712</v>
      </c>
      <c r="B142" s="112">
        <v>1921</v>
      </c>
      <c r="C142" s="112">
        <v>21</v>
      </c>
      <c r="D142" t="s" s="83">
        <v>2713</v>
      </c>
      <c r="E142" s="74"/>
      <c r="F142" s="16"/>
      <c r="G142" t="s" s="96">
        <v>592</v>
      </c>
      <c r="H142" t="s" s="96">
        <v>727</v>
      </c>
      <c r="I142" s="79">
        <v>100</v>
      </c>
      <c r="J142" t="s" s="96">
        <v>37</v>
      </c>
      <c r="K142" s="79">
        <v>1</v>
      </c>
      <c r="L142" s="16"/>
      <c r="M142" s="16"/>
      <c r="N142" s="79">
        <v>1</v>
      </c>
      <c r="O142" s="16"/>
      <c r="P142" s="16"/>
      <c r="Q142" s="16"/>
      <c r="R142" s="16"/>
      <c r="S142" s="16"/>
      <c r="T142" s="79">
        <v>54</v>
      </c>
      <c r="U142" s="16"/>
      <c r="V142" s="16"/>
      <c r="W142" s="16"/>
      <c r="X142" s="16"/>
      <c r="Y142" s="16"/>
      <c r="Z142" s="16"/>
      <c r="AA142" t="s" s="96">
        <v>194</v>
      </c>
      <c r="AB142" t="s" s="96">
        <v>8</v>
      </c>
      <c r="AC142" s="79">
        <v>1</v>
      </c>
      <c r="AD142" s="79">
        <v>1</v>
      </c>
      <c r="AE142" s="16"/>
      <c r="AF142" s="79">
        <v>1</v>
      </c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</row>
    <row r="143" ht="15.35" customHeight="1">
      <c r="A143" t="s" s="83">
        <v>2712</v>
      </c>
      <c r="B143" s="112">
        <v>1921</v>
      </c>
      <c r="C143" s="112">
        <v>21</v>
      </c>
      <c r="D143" t="s" s="83">
        <v>2713</v>
      </c>
      <c r="E143" s="74"/>
      <c r="F143" s="16"/>
      <c r="G143" t="s" s="96">
        <v>592</v>
      </c>
      <c r="H143" t="s" s="96">
        <v>728</v>
      </c>
      <c r="I143" s="79">
        <v>101</v>
      </c>
      <c r="J143" s="79">
        <v>1</v>
      </c>
      <c r="K143" s="16"/>
      <c r="L143" s="16"/>
      <c r="M143" s="16"/>
      <c r="N143" t="s" s="96">
        <v>72</v>
      </c>
      <c r="O143" s="79">
        <v>1</v>
      </c>
      <c r="P143" s="16"/>
      <c r="Q143" s="16"/>
      <c r="R143" s="16"/>
      <c r="S143" s="16"/>
      <c r="T143" s="79">
        <v>52</v>
      </c>
      <c r="U143" s="16"/>
      <c r="V143" s="16"/>
      <c r="W143" s="16"/>
      <c r="X143" s="16"/>
      <c r="Y143" s="16"/>
      <c r="Z143" s="16"/>
      <c r="AA143" t="s" s="96">
        <v>34</v>
      </c>
      <c r="AB143" t="s" s="96">
        <v>34</v>
      </c>
      <c r="AC143" s="16"/>
      <c r="AD143" s="16"/>
      <c r="AE143" s="16"/>
      <c r="AF143" t="s" s="96">
        <v>729</v>
      </c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</row>
    <row r="144" ht="15.35" customHeight="1">
      <c r="A144" t="s" s="83">
        <v>2712</v>
      </c>
      <c r="B144" s="112">
        <v>1921</v>
      </c>
      <c r="C144" s="112">
        <v>21</v>
      </c>
      <c r="D144" t="s" s="83">
        <v>2713</v>
      </c>
      <c r="E144" s="74"/>
      <c r="F144" s="16"/>
      <c r="G144" t="s" s="96">
        <v>730</v>
      </c>
      <c r="H144" t="s" s="96">
        <v>731</v>
      </c>
      <c r="I144" s="79">
        <v>102</v>
      </c>
      <c r="J144" s="79">
        <v>1</v>
      </c>
      <c r="K144" s="16"/>
      <c r="L144" s="16"/>
      <c r="M144" s="16"/>
      <c r="N144" t="s" s="96">
        <v>11</v>
      </c>
      <c r="O144" s="16"/>
      <c r="P144" s="16"/>
      <c r="Q144" s="16"/>
      <c r="R144" s="16"/>
      <c r="S144" s="79">
        <v>1</v>
      </c>
      <c r="T144" s="79">
        <v>28</v>
      </c>
      <c r="U144" s="16"/>
      <c r="V144" s="16"/>
      <c r="W144" s="16"/>
      <c r="X144" s="16"/>
      <c r="Y144" s="16"/>
      <c r="Z144" s="16"/>
      <c r="AA144" t="s" s="96">
        <v>188</v>
      </c>
      <c r="AB144" t="s" s="96">
        <v>15</v>
      </c>
      <c r="AC144" s="79">
        <v>1</v>
      </c>
      <c r="AD144" s="16"/>
      <c r="AE144" s="16"/>
      <c r="AF144" t="s" s="96">
        <v>732</v>
      </c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</row>
    <row r="145" ht="15.35" customHeight="1">
      <c r="A145" t="s" s="83">
        <v>2712</v>
      </c>
      <c r="B145" s="112">
        <v>1921</v>
      </c>
      <c r="C145" s="112">
        <v>21</v>
      </c>
      <c r="D145" t="s" s="83">
        <v>2713</v>
      </c>
      <c r="E145" s="74"/>
      <c r="F145" s="16"/>
      <c r="G145" t="s" s="96">
        <v>733</v>
      </c>
      <c r="H145" t="s" s="96">
        <v>734</v>
      </c>
      <c r="I145" s="79">
        <v>103</v>
      </c>
      <c r="J145" s="79">
        <v>1</v>
      </c>
      <c r="K145" s="16"/>
      <c r="L145" s="16"/>
      <c r="M145" s="16"/>
      <c r="N145" t="s" s="96">
        <v>11</v>
      </c>
      <c r="O145" s="16"/>
      <c r="P145" s="16"/>
      <c r="Q145" s="16"/>
      <c r="R145" s="16"/>
      <c r="S145" s="79">
        <v>1</v>
      </c>
      <c r="T145" s="79">
        <v>28</v>
      </c>
      <c r="U145" s="16"/>
      <c r="V145" s="16"/>
      <c r="W145" s="16"/>
      <c r="X145" s="16"/>
      <c r="Y145" s="16"/>
      <c r="Z145" s="16"/>
      <c r="AA145" t="s" s="96">
        <v>188</v>
      </c>
      <c r="AB145" t="s" s="96">
        <v>15</v>
      </c>
      <c r="AC145" s="79">
        <v>1</v>
      </c>
      <c r="AD145" s="16"/>
      <c r="AE145" s="16"/>
      <c r="AF145" s="79">
        <v>1</v>
      </c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</row>
    <row r="146" ht="15.35" customHeight="1">
      <c r="A146" t="s" s="83">
        <v>2712</v>
      </c>
      <c r="B146" s="112">
        <v>1921</v>
      </c>
      <c r="C146" s="112">
        <v>21</v>
      </c>
      <c r="D146" t="s" s="83">
        <v>2713</v>
      </c>
      <c r="E146" s="74"/>
      <c r="F146" s="16"/>
      <c r="G146" t="s" s="96">
        <v>735</v>
      </c>
      <c r="H146" t="s" s="96">
        <v>736</v>
      </c>
      <c r="I146" s="79">
        <v>104</v>
      </c>
      <c r="J146" s="79">
        <v>1</v>
      </c>
      <c r="K146" s="16"/>
      <c r="L146" s="16"/>
      <c r="M146" s="16"/>
      <c r="N146" t="s" s="96">
        <v>11</v>
      </c>
      <c r="O146" s="16"/>
      <c r="P146" s="16"/>
      <c r="Q146" s="16"/>
      <c r="R146" s="16"/>
      <c r="S146" s="79">
        <v>1</v>
      </c>
      <c r="T146" s="79">
        <v>45</v>
      </c>
      <c r="U146" s="16"/>
      <c r="V146" s="16"/>
      <c r="W146" s="16"/>
      <c r="X146" s="16"/>
      <c r="Y146" s="16"/>
      <c r="Z146" s="16"/>
      <c r="AA146" t="s" s="96">
        <v>188</v>
      </c>
      <c r="AB146" t="s" s="96">
        <v>15</v>
      </c>
      <c r="AC146" s="79">
        <v>1</v>
      </c>
      <c r="AD146" s="16"/>
      <c r="AE146" s="16"/>
      <c r="AF146" t="s" s="96">
        <v>737</v>
      </c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</row>
    <row r="147" ht="15.35" customHeight="1">
      <c r="A147" t="s" s="83">
        <v>2712</v>
      </c>
      <c r="B147" s="112">
        <v>1921</v>
      </c>
      <c r="C147" s="112">
        <v>21</v>
      </c>
      <c r="D147" t="s" s="83">
        <v>2713</v>
      </c>
      <c r="E147" s="74"/>
      <c r="F147" s="16"/>
      <c r="G147" t="s" s="96">
        <v>738</v>
      </c>
      <c r="H147" t="s" s="96">
        <v>437</v>
      </c>
      <c r="I147" s="79">
        <v>105</v>
      </c>
      <c r="J147" s="79">
        <v>1</v>
      </c>
      <c r="K147" s="16"/>
      <c r="L147" s="16"/>
      <c r="M147" s="16"/>
      <c r="N147" t="s" s="96">
        <v>11</v>
      </c>
      <c r="O147" s="16"/>
      <c r="P147" s="16"/>
      <c r="Q147" s="16"/>
      <c r="R147" s="16"/>
      <c r="S147" s="79">
        <v>1</v>
      </c>
      <c r="T147" s="79">
        <v>25</v>
      </c>
      <c r="U147" s="16"/>
      <c r="V147" s="16"/>
      <c r="W147" s="16"/>
      <c r="X147" s="16"/>
      <c r="Y147" s="16"/>
      <c r="Z147" s="16"/>
      <c r="AA147" t="s" s="96">
        <v>188</v>
      </c>
      <c r="AB147" t="s" s="96">
        <v>15</v>
      </c>
      <c r="AC147" s="79">
        <v>1</v>
      </c>
      <c r="AD147" s="16"/>
      <c r="AE147" s="16"/>
      <c r="AF147" t="s" s="96">
        <v>739</v>
      </c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</row>
    <row r="148" ht="15.35" customHeight="1">
      <c r="A148" t="s" s="83">
        <v>2712</v>
      </c>
      <c r="B148" s="112">
        <v>1921</v>
      </c>
      <c r="C148" s="112">
        <v>21</v>
      </c>
      <c r="D148" t="s" s="83">
        <v>2713</v>
      </c>
      <c r="E148" s="74"/>
      <c r="F148" s="16"/>
      <c r="G148" t="s" s="96">
        <v>740</v>
      </c>
      <c r="H148" t="s" s="96">
        <v>102</v>
      </c>
      <c r="I148" s="79">
        <v>106</v>
      </c>
      <c r="J148" s="79">
        <v>1</v>
      </c>
      <c r="K148" s="16"/>
      <c r="L148" s="16"/>
      <c r="M148" s="16"/>
      <c r="N148" t="s" s="96">
        <v>11</v>
      </c>
      <c r="O148" s="16"/>
      <c r="P148" s="16"/>
      <c r="Q148" s="16"/>
      <c r="R148" s="16"/>
      <c r="S148" s="79">
        <v>1</v>
      </c>
      <c r="T148" s="79">
        <v>16</v>
      </c>
      <c r="U148" s="16"/>
      <c r="V148" s="16"/>
      <c r="W148" s="16"/>
      <c r="X148" s="16"/>
      <c r="Y148" s="16"/>
      <c r="Z148" s="16"/>
      <c r="AA148" t="s" s="96">
        <v>188</v>
      </c>
      <c r="AB148" t="s" s="96">
        <v>15</v>
      </c>
      <c r="AC148" s="79">
        <v>1</v>
      </c>
      <c r="AD148" s="16"/>
      <c r="AE148" s="16"/>
      <c r="AF148" t="s" s="96">
        <v>22</v>
      </c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</row>
    <row r="149" ht="15.35" customHeight="1">
      <c r="A149" t="s" s="83">
        <v>2712</v>
      </c>
      <c r="B149" s="112">
        <v>1921</v>
      </c>
      <c r="C149" s="30"/>
      <c r="D149" t="s" s="83">
        <v>2713</v>
      </c>
      <c r="E149" s="74"/>
      <c r="F149" s="16"/>
      <c r="G149" s="16"/>
      <c r="H149" s="79">
        <v>7</v>
      </c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</row>
    <row r="150" ht="15.35" customHeight="1">
      <c r="A150" t="s" s="83">
        <v>2712</v>
      </c>
      <c r="B150" s="112">
        <v>1921</v>
      </c>
      <c r="C150" s="30"/>
      <c r="D150" t="s" s="83">
        <v>2713</v>
      </c>
      <c r="E150" s="74"/>
      <c r="F150" s="16"/>
      <c r="G150" t="s" s="96">
        <v>1</v>
      </c>
      <c r="H150" t="s" s="96">
        <v>0</v>
      </c>
      <c r="I150" s="16"/>
      <c r="J150" t="s" s="96">
        <v>3</v>
      </c>
      <c r="K150" s="16"/>
      <c r="L150" s="16"/>
      <c r="M150" s="16"/>
      <c r="N150" t="s" s="96">
        <v>2</v>
      </c>
      <c r="O150" s="16"/>
      <c r="P150" s="16"/>
      <c r="Q150" s="16"/>
      <c r="R150" s="16"/>
      <c r="S150" s="16"/>
      <c r="T150" t="s" s="96">
        <v>5</v>
      </c>
      <c r="U150" s="16"/>
      <c r="V150" s="16"/>
      <c r="W150" s="16"/>
      <c r="X150" s="16"/>
      <c r="Y150" s="16"/>
      <c r="Z150" s="16"/>
      <c r="AA150" t="s" s="96">
        <v>7</v>
      </c>
      <c r="AB150" t="s" s="96">
        <v>8</v>
      </c>
      <c r="AC150" s="16"/>
      <c r="AD150" s="16"/>
      <c r="AE150" s="16"/>
      <c r="AF150" t="s" s="96">
        <v>6</v>
      </c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</row>
    <row r="151" ht="15.35" customHeight="1">
      <c r="A151" t="s" s="83">
        <v>2712</v>
      </c>
      <c r="B151" s="112">
        <v>1921</v>
      </c>
      <c r="C151" s="112">
        <v>22</v>
      </c>
      <c r="D151" t="s" s="83">
        <v>2713</v>
      </c>
      <c r="E151" s="74"/>
      <c r="F151" s="16"/>
      <c r="G151" t="s" s="96">
        <v>741</v>
      </c>
      <c r="H151" t="s" s="96">
        <v>742</v>
      </c>
      <c r="I151" s="79">
        <v>107</v>
      </c>
      <c r="J151" t="s" s="96">
        <v>37</v>
      </c>
      <c r="K151" s="79">
        <v>1</v>
      </c>
      <c r="L151" s="16"/>
      <c r="M151" s="16"/>
      <c r="N151" s="79">
        <v>1</v>
      </c>
      <c r="O151" s="16"/>
      <c r="P151" s="16"/>
      <c r="Q151" s="16"/>
      <c r="R151" s="16"/>
      <c r="S151" s="16"/>
      <c r="T151" s="79">
        <v>52</v>
      </c>
      <c r="U151" s="16"/>
      <c r="V151" s="16"/>
      <c r="W151" s="16"/>
      <c r="X151" s="16"/>
      <c r="Y151" s="16"/>
      <c r="Z151" s="16"/>
      <c r="AA151" t="s" s="96">
        <v>743</v>
      </c>
      <c r="AB151" t="s" s="96">
        <v>744</v>
      </c>
      <c r="AC151" s="79">
        <v>1</v>
      </c>
      <c r="AD151" s="16"/>
      <c r="AE151" s="16"/>
      <c r="AF151" t="s" s="96">
        <v>745</v>
      </c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</row>
    <row r="152" ht="15.35" customHeight="1">
      <c r="A152" t="s" s="83">
        <v>2712</v>
      </c>
      <c r="B152" s="112">
        <v>1921</v>
      </c>
      <c r="C152" s="112">
        <v>22</v>
      </c>
      <c r="D152" t="s" s="83">
        <v>2713</v>
      </c>
      <c r="E152" s="74"/>
      <c r="F152" s="16"/>
      <c r="G152" t="s" s="96">
        <v>741</v>
      </c>
      <c r="H152" t="s" s="96">
        <v>746</v>
      </c>
      <c r="I152" s="79">
        <v>108</v>
      </c>
      <c r="J152" s="79">
        <v>1</v>
      </c>
      <c r="K152" s="16"/>
      <c r="L152" s="16"/>
      <c r="M152" s="16"/>
      <c r="N152" t="s" s="96">
        <v>72</v>
      </c>
      <c r="O152" s="79">
        <v>1</v>
      </c>
      <c r="P152" s="16"/>
      <c r="Q152" s="16"/>
      <c r="R152" s="16"/>
      <c r="S152" s="16"/>
      <c r="T152" s="79">
        <v>48</v>
      </c>
      <c r="U152" s="16"/>
      <c r="V152" s="16"/>
      <c r="W152" s="16"/>
      <c r="X152" s="16"/>
      <c r="Y152" s="16"/>
      <c r="Z152" s="16"/>
      <c r="AA152" t="s" s="96">
        <v>33</v>
      </c>
      <c r="AB152" t="s" s="96">
        <v>34</v>
      </c>
      <c r="AC152" s="16"/>
      <c r="AD152" s="16"/>
      <c r="AE152" s="16"/>
      <c r="AF152" t="s" s="96">
        <v>747</v>
      </c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</row>
    <row r="153" ht="15.35" customHeight="1">
      <c r="A153" t="s" s="83">
        <v>2712</v>
      </c>
      <c r="B153" s="112">
        <v>1921</v>
      </c>
      <c r="C153" s="112">
        <v>22</v>
      </c>
      <c r="D153" t="s" s="83">
        <v>2713</v>
      </c>
      <c r="E153" s="74"/>
      <c r="F153" s="16"/>
      <c r="G153" t="s" s="96">
        <v>748</v>
      </c>
      <c r="H153" t="s" s="96">
        <v>749</v>
      </c>
      <c r="I153" s="79">
        <v>109</v>
      </c>
      <c r="J153" s="79">
        <v>1</v>
      </c>
      <c r="K153" s="16"/>
      <c r="L153" s="16"/>
      <c r="M153" s="16"/>
      <c r="N153" t="s" s="96">
        <v>750</v>
      </c>
      <c r="O153" s="16"/>
      <c r="P153" s="16"/>
      <c r="Q153" s="16"/>
      <c r="R153" s="79">
        <v>1</v>
      </c>
      <c r="S153" s="16"/>
      <c r="T153" s="79">
        <v>41</v>
      </c>
      <c r="U153" s="16"/>
      <c r="V153" s="16"/>
      <c r="W153" s="16"/>
      <c r="X153" s="16"/>
      <c r="Y153" s="16"/>
      <c r="Z153" s="16"/>
      <c r="AA153" t="s" s="96">
        <v>751</v>
      </c>
      <c r="AB153" t="s" s="96">
        <v>752</v>
      </c>
      <c r="AC153" s="79">
        <v>1</v>
      </c>
      <c r="AD153" s="16"/>
      <c r="AE153" s="16"/>
      <c r="AF153" t="s" s="96">
        <v>747</v>
      </c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</row>
    <row r="154" ht="15.35" customHeight="1">
      <c r="A154" t="s" s="83">
        <v>2712</v>
      </c>
      <c r="B154" s="112">
        <v>1921</v>
      </c>
      <c r="C154" s="112">
        <v>22</v>
      </c>
      <c r="D154" t="s" s="83">
        <v>2713</v>
      </c>
      <c r="E154" s="74"/>
      <c r="F154" s="16"/>
      <c r="G154" t="s" s="96">
        <v>748</v>
      </c>
      <c r="H154" t="s" s="96">
        <v>753</v>
      </c>
      <c r="I154" s="79">
        <v>110</v>
      </c>
      <c r="J154" t="s" s="96">
        <v>37</v>
      </c>
      <c r="K154" s="79">
        <v>1</v>
      </c>
      <c r="L154" s="16"/>
      <c r="M154" s="16"/>
      <c r="N154" t="s" s="96">
        <v>755</v>
      </c>
      <c r="O154" s="16"/>
      <c r="P154" s="16"/>
      <c r="Q154" s="16"/>
      <c r="R154" s="79">
        <v>1</v>
      </c>
      <c r="S154" s="16"/>
      <c r="T154" s="79">
        <v>16</v>
      </c>
      <c r="U154" s="16"/>
      <c r="V154" s="16"/>
      <c r="W154" s="16"/>
      <c r="X154" s="16"/>
      <c r="Y154" s="16"/>
      <c r="Z154" s="16"/>
      <c r="AA154" t="s" s="96">
        <v>34</v>
      </c>
      <c r="AB154" t="s" s="96">
        <v>34</v>
      </c>
      <c r="AC154" s="16"/>
      <c r="AD154" s="16"/>
      <c r="AE154" s="16"/>
      <c r="AF154" t="s" s="96">
        <v>754</v>
      </c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</row>
    <row r="155" ht="15.35" customHeight="1">
      <c r="A155" t="s" s="83">
        <v>2712</v>
      </c>
      <c r="B155" s="112">
        <v>1921</v>
      </c>
      <c r="C155" s="112">
        <v>22</v>
      </c>
      <c r="D155" t="s" s="83">
        <v>2713</v>
      </c>
      <c r="E155" s="74"/>
      <c r="F155" s="16"/>
      <c r="G155" t="s" s="96">
        <v>756</v>
      </c>
      <c r="H155" t="s" s="96">
        <v>757</v>
      </c>
      <c r="I155" s="79">
        <v>111</v>
      </c>
      <c r="J155" s="79">
        <v>1</v>
      </c>
      <c r="K155" s="16"/>
      <c r="L155" s="16"/>
      <c r="M155" s="16"/>
      <c r="N155" t="s" s="96">
        <v>11</v>
      </c>
      <c r="O155" s="16"/>
      <c r="P155" s="16"/>
      <c r="Q155" s="16"/>
      <c r="R155" s="16"/>
      <c r="S155" s="79">
        <v>1</v>
      </c>
      <c r="T155" s="79">
        <v>24</v>
      </c>
      <c r="U155" s="16"/>
      <c r="V155" s="16"/>
      <c r="W155" s="16"/>
      <c r="X155" s="16"/>
      <c r="Y155" s="16"/>
      <c r="Z155" s="16"/>
      <c r="AA155" t="s" s="96">
        <v>45</v>
      </c>
      <c r="AB155" t="s" s="96">
        <v>758</v>
      </c>
      <c r="AC155" s="79">
        <v>1</v>
      </c>
      <c r="AD155" s="16"/>
      <c r="AE155" s="16"/>
      <c r="AF155" t="s" s="96">
        <v>759</v>
      </c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</row>
    <row r="156" ht="15.35" customHeight="1">
      <c r="A156" t="s" s="83">
        <v>2712</v>
      </c>
      <c r="B156" s="112">
        <v>1921</v>
      </c>
      <c r="C156" s="112">
        <v>22</v>
      </c>
      <c r="D156" t="s" s="83">
        <v>2713</v>
      </c>
      <c r="E156" s="74"/>
      <c r="F156" s="16"/>
      <c r="G156" t="s" s="96">
        <v>760</v>
      </c>
      <c r="H156" t="s" s="96">
        <v>86</v>
      </c>
      <c r="I156" s="79">
        <v>112</v>
      </c>
      <c r="J156" s="79">
        <v>1</v>
      </c>
      <c r="K156" s="16"/>
      <c r="L156" s="16"/>
      <c r="M156" s="16"/>
      <c r="N156" t="s" s="96">
        <v>11</v>
      </c>
      <c r="O156" s="16"/>
      <c r="P156" s="16"/>
      <c r="Q156" s="16"/>
      <c r="R156" s="16"/>
      <c r="S156" s="79">
        <v>1</v>
      </c>
      <c r="T156" s="79">
        <v>15</v>
      </c>
      <c r="U156" s="16"/>
      <c r="V156" s="16"/>
      <c r="W156" s="16"/>
      <c r="X156" s="16"/>
      <c r="Y156" s="16"/>
      <c r="Z156" s="16"/>
      <c r="AA156" t="s" s="96">
        <v>761</v>
      </c>
      <c r="AB156" t="s" s="96">
        <v>762</v>
      </c>
      <c r="AC156" s="79">
        <v>1</v>
      </c>
      <c r="AD156" s="16"/>
      <c r="AE156" s="16"/>
      <c r="AF156" t="s" s="96">
        <v>763</v>
      </c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</row>
    <row r="157" ht="15.35" customHeight="1">
      <c r="A157" t="s" s="83">
        <v>2712</v>
      </c>
      <c r="B157" s="112">
        <v>1921</v>
      </c>
      <c r="C157" s="112">
        <v>22</v>
      </c>
      <c r="D157" t="s" s="83">
        <v>2713</v>
      </c>
      <c r="E157" s="74"/>
      <c r="F157" s="16"/>
      <c r="G157" t="s" s="96">
        <v>600</v>
      </c>
      <c r="H157" t="s" s="96">
        <v>764</v>
      </c>
      <c r="I157" s="79">
        <v>113</v>
      </c>
      <c r="J157" s="79">
        <v>1</v>
      </c>
      <c r="K157" s="16"/>
      <c r="L157" s="16"/>
      <c r="M157" s="16"/>
      <c r="N157" t="s" s="96">
        <v>11</v>
      </c>
      <c r="O157" s="16"/>
      <c r="P157" s="16"/>
      <c r="Q157" s="16"/>
      <c r="R157" s="16"/>
      <c r="S157" s="79">
        <v>1</v>
      </c>
      <c r="T157" s="79">
        <v>16</v>
      </c>
      <c r="U157" s="16"/>
      <c r="V157" s="16"/>
      <c r="W157" s="16"/>
      <c r="X157" s="16"/>
      <c r="Y157" s="16"/>
      <c r="Z157" s="16"/>
      <c r="AA157" t="s" s="96">
        <v>55</v>
      </c>
      <c r="AB157" t="s" s="96">
        <v>765</v>
      </c>
      <c r="AC157" s="79">
        <v>1</v>
      </c>
      <c r="AD157" s="16"/>
      <c r="AE157" s="16"/>
      <c r="AF157" t="s" s="96">
        <v>766</v>
      </c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</row>
    <row r="158" ht="15.35" customHeight="1">
      <c r="A158" t="s" s="83">
        <v>2712</v>
      </c>
      <c r="B158" s="112">
        <v>1921</v>
      </c>
      <c r="C158" s="30"/>
      <c r="D158" t="s" s="83">
        <v>2713</v>
      </c>
      <c r="E158" s="74"/>
      <c r="F158" s="16"/>
      <c r="G158" s="16"/>
      <c r="H158" s="79">
        <v>7</v>
      </c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</row>
    <row r="159" ht="15.35" customHeight="1">
      <c r="A159" t="s" s="83">
        <v>2712</v>
      </c>
      <c r="B159" s="112">
        <v>1921</v>
      </c>
      <c r="C159" s="30"/>
      <c r="D159" t="s" s="83">
        <v>2713</v>
      </c>
      <c r="E159" s="74"/>
      <c r="F159" s="16"/>
      <c r="G159" t="s" s="96">
        <v>1</v>
      </c>
      <c r="H159" t="s" s="96">
        <v>0</v>
      </c>
      <c r="I159" s="16"/>
      <c r="J159" t="s" s="96">
        <v>3</v>
      </c>
      <c r="K159" s="16"/>
      <c r="L159" s="16"/>
      <c r="M159" s="16"/>
      <c r="N159" t="s" s="96">
        <v>2</v>
      </c>
      <c r="O159" s="16"/>
      <c r="P159" s="16"/>
      <c r="Q159" s="16"/>
      <c r="R159" s="16"/>
      <c r="S159" s="16"/>
      <c r="T159" t="s" s="96">
        <v>5</v>
      </c>
      <c r="U159" s="16"/>
      <c r="V159" s="16"/>
      <c r="W159" s="16"/>
      <c r="X159" s="16"/>
      <c r="Y159" s="16"/>
      <c r="Z159" s="16"/>
      <c r="AA159" t="s" s="96">
        <v>7</v>
      </c>
      <c r="AB159" t="s" s="96">
        <v>8</v>
      </c>
      <c r="AC159" s="16"/>
      <c r="AD159" s="16"/>
      <c r="AE159" s="16"/>
      <c r="AF159" t="s" s="96">
        <v>6</v>
      </c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</row>
    <row r="160" ht="15.35" customHeight="1">
      <c r="A160" t="s" s="83">
        <v>2712</v>
      </c>
      <c r="B160" s="112">
        <v>1921</v>
      </c>
      <c r="C160" s="112">
        <v>23</v>
      </c>
      <c r="D160" t="s" s="83">
        <v>2713</v>
      </c>
      <c r="E160" s="74"/>
      <c r="F160" s="16"/>
      <c r="G160" t="s" s="96">
        <v>515</v>
      </c>
      <c r="H160" t="s" s="96">
        <v>2861</v>
      </c>
      <c r="I160" s="79">
        <v>114</v>
      </c>
      <c r="J160" t="s" s="96">
        <v>37</v>
      </c>
      <c r="K160" s="79">
        <v>1</v>
      </c>
      <c r="L160" s="16"/>
      <c r="M160" s="16"/>
      <c r="N160" s="79">
        <v>1</v>
      </c>
      <c r="O160" s="16"/>
      <c r="P160" s="16"/>
      <c r="Q160" s="16"/>
      <c r="R160" s="16"/>
      <c r="S160" s="16"/>
      <c r="T160" s="79">
        <v>51</v>
      </c>
      <c r="U160" s="16"/>
      <c r="V160" s="16"/>
      <c r="W160" s="16"/>
      <c r="X160" s="16"/>
      <c r="Y160" s="16"/>
      <c r="Z160" s="16"/>
      <c r="AA160" t="s" s="96">
        <v>2120</v>
      </c>
      <c r="AB160" t="s" s="96">
        <v>603</v>
      </c>
      <c r="AC160" s="79">
        <v>1</v>
      </c>
      <c r="AD160" s="16"/>
      <c r="AE160" s="16"/>
      <c r="AF160" s="79">
        <v>1</v>
      </c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</row>
    <row r="161" ht="15.35" customHeight="1">
      <c r="A161" t="s" s="83">
        <v>2712</v>
      </c>
      <c r="B161" s="112">
        <v>1921</v>
      </c>
      <c r="C161" s="112">
        <v>23</v>
      </c>
      <c r="D161" t="s" s="83">
        <v>2713</v>
      </c>
      <c r="E161" s="74"/>
      <c r="F161" s="16"/>
      <c r="G161" t="s" s="96">
        <v>515</v>
      </c>
      <c r="H161" t="s" s="96">
        <v>251</v>
      </c>
      <c r="I161" s="79">
        <v>115</v>
      </c>
      <c r="J161" s="79">
        <v>1</v>
      </c>
      <c r="K161" s="16"/>
      <c r="L161" s="16"/>
      <c r="M161" s="16"/>
      <c r="N161" t="s" s="96">
        <v>72</v>
      </c>
      <c r="O161" s="79">
        <v>1</v>
      </c>
      <c r="P161" s="16"/>
      <c r="Q161" s="16"/>
      <c r="R161" s="16"/>
      <c r="S161" s="16"/>
      <c r="T161" s="79">
        <v>60</v>
      </c>
      <c r="U161" s="16"/>
      <c r="V161" s="16"/>
      <c r="W161" s="16"/>
      <c r="X161" s="16"/>
      <c r="Y161" s="16"/>
      <c r="Z161" s="16"/>
      <c r="AA161" t="s" s="96">
        <v>34</v>
      </c>
      <c r="AB161" t="s" s="96">
        <v>34</v>
      </c>
      <c r="AC161" s="16"/>
      <c r="AD161" s="16"/>
      <c r="AE161" s="16"/>
      <c r="AF161" s="79">
        <v>1</v>
      </c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</row>
    <row r="162" ht="15.35" customHeight="1">
      <c r="A162" t="s" s="83">
        <v>2712</v>
      </c>
      <c r="B162" s="112">
        <v>1921</v>
      </c>
      <c r="C162" s="112">
        <v>23</v>
      </c>
      <c r="D162" t="s" s="83">
        <v>2713</v>
      </c>
      <c r="E162" s="74"/>
      <c r="F162" s="16"/>
      <c r="G162" t="s" s="96">
        <v>2862</v>
      </c>
      <c r="H162" t="s" s="96">
        <v>2863</v>
      </c>
      <c r="I162" s="79">
        <v>116</v>
      </c>
      <c r="J162" s="79">
        <v>1</v>
      </c>
      <c r="K162" s="16"/>
      <c r="L162" s="16"/>
      <c r="M162" s="16"/>
      <c r="N162" t="s" s="96">
        <v>41</v>
      </c>
      <c r="O162" s="16"/>
      <c r="P162" s="16"/>
      <c r="Q162" s="16"/>
      <c r="R162" s="79">
        <v>1</v>
      </c>
      <c r="S162" s="16"/>
      <c r="T162" s="79">
        <v>79</v>
      </c>
      <c r="U162" s="16"/>
      <c r="V162" s="16"/>
      <c r="W162" s="16"/>
      <c r="X162" s="16"/>
      <c r="Y162" s="16"/>
      <c r="Z162" s="16"/>
      <c r="AA162" t="s" s="96">
        <v>34</v>
      </c>
      <c r="AB162" t="s" s="96">
        <v>34</v>
      </c>
      <c r="AC162" s="16"/>
      <c r="AD162" s="16"/>
      <c r="AE162" s="16"/>
      <c r="AF162" t="s" s="96">
        <v>2864</v>
      </c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</row>
    <row r="163" ht="15.35" customHeight="1">
      <c r="A163" t="s" s="83">
        <v>2712</v>
      </c>
      <c r="B163" s="112">
        <v>1921</v>
      </c>
      <c r="C163" s="112">
        <v>23</v>
      </c>
      <c r="D163" t="s" s="83">
        <v>2713</v>
      </c>
      <c r="E163" s="74"/>
      <c r="F163" s="16"/>
      <c r="G163" t="s" s="96">
        <v>2865</v>
      </c>
      <c r="H163" t="s" s="96">
        <v>1055</v>
      </c>
      <c r="I163" s="79">
        <v>117</v>
      </c>
      <c r="J163" s="79">
        <v>1</v>
      </c>
      <c r="K163" s="16"/>
      <c r="L163" s="16"/>
      <c r="M163" s="16"/>
      <c r="N163" t="s" s="96">
        <v>11</v>
      </c>
      <c r="O163" s="16"/>
      <c r="P163" s="16"/>
      <c r="Q163" s="16"/>
      <c r="R163" s="16"/>
      <c r="S163" s="79">
        <v>1</v>
      </c>
      <c r="T163" s="79">
        <v>58</v>
      </c>
      <c r="U163" s="16"/>
      <c r="V163" s="16"/>
      <c r="W163" s="16"/>
      <c r="X163" s="16"/>
      <c r="Y163" s="16"/>
      <c r="Z163" s="16"/>
      <c r="AA163" t="s" s="96">
        <v>45</v>
      </c>
      <c r="AB163" t="s" s="96">
        <v>15</v>
      </c>
      <c r="AC163" s="79">
        <v>1</v>
      </c>
      <c r="AD163" s="16"/>
      <c r="AE163" s="16"/>
      <c r="AF163" t="s" s="96">
        <v>134</v>
      </c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</row>
    <row r="164" ht="15.35" customHeight="1">
      <c r="A164" t="s" s="83">
        <v>2712</v>
      </c>
      <c r="B164" s="112">
        <v>1921</v>
      </c>
      <c r="C164" s="112">
        <v>23</v>
      </c>
      <c r="D164" t="s" s="83">
        <v>2713</v>
      </c>
      <c r="E164" s="74"/>
      <c r="F164" s="16"/>
      <c r="G164" t="s" s="96">
        <v>2697</v>
      </c>
      <c r="H164" t="s" s="96">
        <v>2866</v>
      </c>
      <c r="I164" s="79">
        <v>118</v>
      </c>
      <c r="J164" s="79">
        <v>1</v>
      </c>
      <c r="K164" s="16"/>
      <c r="L164" s="16"/>
      <c r="M164" s="16"/>
      <c r="N164" t="s" s="96">
        <v>11</v>
      </c>
      <c r="O164" s="16"/>
      <c r="P164" s="16"/>
      <c r="Q164" s="16"/>
      <c r="R164" s="16"/>
      <c r="S164" s="79">
        <v>1</v>
      </c>
      <c r="T164" s="79">
        <v>32</v>
      </c>
      <c r="U164" s="16"/>
      <c r="V164" s="16"/>
      <c r="W164" s="16"/>
      <c r="X164" s="16"/>
      <c r="Y164" s="16"/>
      <c r="Z164" s="16"/>
      <c r="AA164" t="s" s="96">
        <v>126</v>
      </c>
      <c r="AB164" t="s" s="96">
        <v>15</v>
      </c>
      <c r="AC164" s="79">
        <v>1</v>
      </c>
      <c r="AD164" s="16"/>
      <c r="AE164" s="16"/>
      <c r="AF164" s="79">
        <v>1</v>
      </c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</row>
    <row r="165" ht="15.35" customHeight="1">
      <c r="A165" t="s" s="83">
        <v>2712</v>
      </c>
      <c r="B165" s="112">
        <v>1921</v>
      </c>
      <c r="C165" s="112">
        <v>23</v>
      </c>
      <c r="D165" t="s" s="83">
        <v>2713</v>
      </c>
      <c r="E165" s="74"/>
      <c r="F165" s="16"/>
      <c r="G165" t="s" s="96">
        <v>2867</v>
      </c>
      <c r="H165" t="s" s="96">
        <v>2868</v>
      </c>
      <c r="I165" s="79">
        <v>119</v>
      </c>
      <c r="J165" s="79">
        <v>1</v>
      </c>
      <c r="K165" s="16"/>
      <c r="L165" s="16"/>
      <c r="M165" s="16"/>
      <c r="N165" t="s" s="96">
        <v>11</v>
      </c>
      <c r="O165" s="16"/>
      <c r="P165" s="16"/>
      <c r="Q165" s="16"/>
      <c r="R165" s="16"/>
      <c r="S165" s="79">
        <v>1</v>
      </c>
      <c r="T165" s="79">
        <v>20</v>
      </c>
      <c r="U165" s="16"/>
      <c r="V165" s="16"/>
      <c r="W165" s="16"/>
      <c r="X165" s="16"/>
      <c r="Y165" s="16"/>
      <c r="Z165" s="16"/>
      <c r="AA165" t="s" s="96">
        <v>55</v>
      </c>
      <c r="AB165" t="s" s="96">
        <v>15</v>
      </c>
      <c r="AC165" s="79">
        <v>1</v>
      </c>
      <c r="AD165" s="16"/>
      <c r="AE165" s="16"/>
      <c r="AF165" t="s" s="96">
        <v>1936</v>
      </c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</row>
    <row r="166" ht="15.35" customHeight="1">
      <c r="A166" t="s" s="83">
        <v>2712</v>
      </c>
      <c r="B166" s="112">
        <v>1921</v>
      </c>
      <c r="C166" s="30"/>
      <c r="D166" t="s" s="83">
        <v>2713</v>
      </c>
      <c r="E166" s="74"/>
      <c r="F166" s="16"/>
      <c r="G166" s="16"/>
      <c r="H166" s="79">
        <v>6</v>
      </c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</row>
    <row r="167" ht="15.35" customHeight="1">
      <c r="A167" t="s" s="83">
        <v>2712</v>
      </c>
      <c r="B167" s="112">
        <v>1921</v>
      </c>
      <c r="C167" s="30"/>
      <c r="D167" t="s" s="83">
        <v>2713</v>
      </c>
      <c r="E167" s="74"/>
      <c r="F167" s="16"/>
      <c r="G167" t="s" s="96">
        <v>1</v>
      </c>
      <c r="H167" t="s" s="96">
        <v>0</v>
      </c>
      <c r="I167" s="16"/>
      <c r="J167" t="s" s="96">
        <v>3</v>
      </c>
      <c r="K167" s="16"/>
      <c r="L167" s="16"/>
      <c r="M167" s="16"/>
      <c r="N167" t="s" s="96">
        <v>2</v>
      </c>
      <c r="O167" s="16"/>
      <c r="P167" s="16"/>
      <c r="Q167" s="16"/>
      <c r="R167" s="16"/>
      <c r="S167" s="16"/>
      <c r="T167" t="s" s="96">
        <v>5</v>
      </c>
      <c r="U167" s="16"/>
      <c r="V167" s="16"/>
      <c r="W167" s="16"/>
      <c r="X167" s="16"/>
      <c r="Y167" s="16"/>
      <c r="Z167" s="16"/>
      <c r="AA167" t="s" s="96">
        <v>7</v>
      </c>
      <c r="AB167" t="s" s="96">
        <v>8</v>
      </c>
      <c r="AC167" s="16"/>
      <c r="AD167" s="16"/>
      <c r="AE167" s="16"/>
      <c r="AF167" t="s" s="96">
        <v>6</v>
      </c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</row>
    <row r="168" ht="15.35" customHeight="1">
      <c r="A168" t="s" s="83">
        <v>2712</v>
      </c>
      <c r="B168" s="112">
        <v>1921</v>
      </c>
      <c r="C168" s="112">
        <v>24</v>
      </c>
      <c r="D168" t="s" s="83">
        <v>2713</v>
      </c>
      <c r="E168" s="74"/>
      <c r="F168" s="16"/>
      <c r="G168" t="s" s="96">
        <v>1802</v>
      </c>
      <c r="H168" t="s" s="96">
        <v>2853</v>
      </c>
      <c r="I168" s="79">
        <v>120</v>
      </c>
      <c r="J168" s="79">
        <v>1</v>
      </c>
      <c r="K168" s="16"/>
      <c r="L168" s="16"/>
      <c r="M168" s="16"/>
      <c r="N168" t="s" s="96">
        <v>11</v>
      </c>
      <c r="O168" s="16"/>
      <c r="P168" s="16"/>
      <c r="Q168" s="16"/>
      <c r="R168" s="16"/>
      <c r="S168" s="79">
        <v>1</v>
      </c>
      <c r="T168" s="79">
        <v>53</v>
      </c>
      <c r="U168" s="16"/>
      <c r="V168" s="16"/>
      <c r="W168" s="16"/>
      <c r="X168" s="16"/>
      <c r="Y168" s="16"/>
      <c r="Z168" s="16"/>
      <c r="AA168" t="s" s="96">
        <v>45</v>
      </c>
      <c r="AB168" t="s" s="96">
        <v>15</v>
      </c>
      <c r="AC168" s="79">
        <v>1</v>
      </c>
      <c r="AD168" s="16"/>
      <c r="AE168" s="16"/>
      <c r="AF168" t="s" s="96">
        <v>2869</v>
      </c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</row>
    <row r="169" ht="15.35" customHeight="1">
      <c r="A169" t="s" s="83">
        <v>2712</v>
      </c>
      <c r="B169" s="112">
        <v>1921</v>
      </c>
      <c r="C169" s="112">
        <v>24</v>
      </c>
      <c r="D169" t="s" s="83">
        <v>2713</v>
      </c>
      <c r="E169" s="74"/>
      <c r="F169" s="16"/>
      <c r="G169" t="s" s="96">
        <v>2870</v>
      </c>
      <c r="H169" t="s" s="96">
        <v>231</v>
      </c>
      <c r="I169" s="79">
        <v>121</v>
      </c>
      <c r="J169" s="79">
        <v>1</v>
      </c>
      <c r="K169" s="16"/>
      <c r="L169" s="16"/>
      <c r="M169" s="16"/>
      <c r="N169" t="s" s="96">
        <v>11</v>
      </c>
      <c r="O169" s="16"/>
      <c r="P169" s="16"/>
      <c r="Q169" s="16"/>
      <c r="R169" s="16"/>
      <c r="S169" s="79">
        <v>1</v>
      </c>
      <c r="T169" s="79">
        <v>29</v>
      </c>
      <c r="U169" s="16"/>
      <c r="V169" s="16"/>
      <c r="W169" s="16"/>
      <c r="X169" s="16"/>
      <c r="Y169" s="16"/>
      <c r="Z169" s="16"/>
      <c r="AA169" t="s" s="96">
        <v>105</v>
      </c>
      <c r="AB169" t="s" s="96">
        <v>15</v>
      </c>
      <c r="AC169" s="79">
        <v>1</v>
      </c>
      <c r="AD169" s="16"/>
      <c r="AE169" s="16"/>
      <c r="AF169" s="79">
        <v>1</v>
      </c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</row>
    <row r="170" ht="15.35" customHeight="1">
      <c r="A170" t="s" s="83">
        <v>2712</v>
      </c>
      <c r="B170" s="112">
        <v>1921</v>
      </c>
      <c r="C170" s="112">
        <v>24</v>
      </c>
      <c r="D170" t="s" s="83">
        <v>2713</v>
      </c>
      <c r="E170" s="74"/>
      <c r="F170" s="16"/>
      <c r="G170" t="s" s="96">
        <v>2871</v>
      </c>
      <c r="H170" t="s" s="96">
        <v>2872</v>
      </c>
      <c r="I170" s="79">
        <v>122</v>
      </c>
      <c r="J170" s="79">
        <v>1</v>
      </c>
      <c r="K170" s="16"/>
      <c r="L170" s="16"/>
      <c r="M170" s="16"/>
      <c r="N170" t="s" s="96">
        <v>11</v>
      </c>
      <c r="O170" s="16"/>
      <c r="P170" s="16"/>
      <c r="Q170" s="16"/>
      <c r="R170" s="16"/>
      <c r="S170" s="79">
        <v>1</v>
      </c>
      <c r="T170" s="79">
        <v>18</v>
      </c>
      <c r="U170" s="16"/>
      <c r="V170" s="16"/>
      <c r="W170" s="16"/>
      <c r="X170" s="16"/>
      <c r="Y170" s="16"/>
      <c r="Z170" s="16"/>
      <c r="AA170" t="s" s="96">
        <v>105</v>
      </c>
      <c r="AB170" t="s" s="96">
        <v>15</v>
      </c>
      <c r="AC170" s="79">
        <v>1</v>
      </c>
      <c r="AD170" s="16"/>
      <c r="AE170" s="16"/>
      <c r="AF170" t="s" s="96">
        <v>2873</v>
      </c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</row>
    <row r="171" ht="15.35" customHeight="1">
      <c r="A171" t="s" s="83">
        <v>2712</v>
      </c>
      <c r="B171" s="112">
        <v>1921</v>
      </c>
      <c r="C171" s="112">
        <v>24</v>
      </c>
      <c r="D171" t="s" s="83">
        <v>2713</v>
      </c>
      <c r="E171" s="74"/>
      <c r="F171" s="16"/>
      <c r="G171" s="16"/>
      <c r="H171" s="79">
        <v>3</v>
      </c>
      <c r="I171" s="79">
        <v>122</v>
      </c>
      <c r="J171" s="79" cm="1">
        <f t="array" ref="J171">SUM(J3:J170)</f>
        <v>92</v>
      </c>
      <c r="K171" s="79" cm="1">
        <f t="array" ref="K171">SUM(K3:K170)</f>
        <v>23</v>
      </c>
      <c r="L171" s="79" cm="1">
        <f t="array" ref="L171">SUM(L3:L170)</f>
        <v>4</v>
      </c>
      <c r="M171" s="79" cm="1">
        <f t="array" ref="M171">SUM(M3:M170)</f>
        <v>3</v>
      </c>
      <c r="N171" s="79" cm="1">
        <f t="array" ref="N171">SUM(N3:N170)</f>
        <v>20</v>
      </c>
      <c r="O171" s="79" cm="1">
        <f t="array" ref="O171">SUM(O3:O170)</f>
        <v>14</v>
      </c>
      <c r="P171" s="79" cm="1">
        <f t="array" ref="P171">SUM(P3:P170)</f>
        <v>10</v>
      </c>
      <c r="Q171" s="79" cm="1">
        <f t="array" ref="Q171">SUM(Q3:Q170)</f>
        <v>3</v>
      </c>
      <c r="R171" s="79" cm="1">
        <f t="array" ref="R171">SUM(R3:R170)</f>
        <v>18</v>
      </c>
      <c r="S171" s="79" cm="1">
        <f t="array" ref="S171">SUM(S3:S170)</f>
        <v>57</v>
      </c>
      <c r="T171" s="79" cm="1">
        <f t="array" ref="T171">SUM(T3:T170)</f>
        <v>4570</v>
      </c>
      <c r="U171" s="79" cm="1">
        <f t="array" ref="U171">SUM(U3:U170)</f>
        <v>0</v>
      </c>
      <c r="V171" s="79" cm="1">
        <f t="array" ref="V171">SUM(V3:V170)</f>
        <v>0</v>
      </c>
      <c r="W171" s="79" cm="1">
        <f t="array" ref="W171">SUM(W3:W170)</f>
        <v>0</v>
      </c>
      <c r="X171" s="79" cm="1">
        <f t="array" ref="X171">SUM(X3:X170)</f>
        <v>0</v>
      </c>
      <c r="Y171" s="79" cm="1">
        <f t="array" ref="Y171">SUM(Y3:Y170)</f>
        <v>0</v>
      </c>
      <c r="Z171" s="79" cm="1">
        <f t="array" ref="Z171">SUM(Z3:Z170)</f>
        <v>0</v>
      </c>
      <c r="AA171" s="79" cm="1">
        <f t="array" ref="AA171">SUM(AA3:AA170)</f>
        <v>0</v>
      </c>
      <c r="AB171" s="79" cm="1">
        <f t="array" ref="AB171">SUM(AB3:AB170)</f>
        <v>0</v>
      </c>
      <c r="AC171" s="79" cm="1">
        <f t="array" ref="AC171">SUM(AC3:AC170)</f>
        <v>79</v>
      </c>
      <c r="AD171" s="79" cm="1">
        <f t="array" ref="AD171">SUM(AD3:AD170)</f>
        <v>6</v>
      </c>
      <c r="AE171" s="79" cm="1">
        <f t="array" ref="AE171">AC171-AD171</f>
        <v>73</v>
      </c>
      <c r="AF171" s="79" cm="1">
        <f t="array" ref="AF171">SUM(AF3:AF170)</f>
        <v>42</v>
      </c>
      <c r="AG171" s="79" cm="1">
        <f t="array" ref="AG171">N172-AF171</f>
        <v>80</v>
      </c>
      <c r="AH171" s="79" cm="1">
        <f t="array" ref="AH171">SUM(AH3:AH170)</f>
        <v>0</v>
      </c>
      <c r="AI171" s="79" cm="1">
        <f t="array" ref="AI171">SUM(AI3:AI170)</f>
        <v>0</v>
      </c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</row>
    <row r="172" ht="15.35" customHeight="1">
      <c r="A172" t="s" s="83">
        <v>2712</v>
      </c>
      <c r="B172" s="112">
        <v>1921</v>
      </c>
      <c r="C172" s="30"/>
      <c r="D172" t="s" s="83">
        <v>2713</v>
      </c>
      <c r="E172" s="74"/>
      <c r="F172" s="16"/>
      <c r="G172" s="16"/>
      <c r="H172" s="16"/>
      <c r="I172" s="16"/>
      <c r="J172" s="79" cm="1">
        <f t="array" ref="J172">SUM(J171:M171)</f>
        <v>122</v>
      </c>
      <c r="K172" s="16"/>
      <c r="L172" s="16"/>
      <c r="M172" s="16"/>
      <c r="N172" s="79" cm="1">
        <f t="array" ref="N172">SUM(N171:S171)</f>
        <v>122</v>
      </c>
      <c r="O172" s="16"/>
      <c r="P172" s="16"/>
      <c r="Q172" s="16"/>
      <c r="R172" s="16"/>
      <c r="S172" s="16"/>
      <c r="T172" s="99" cm="1">
        <f t="array" ref="T172">T171/N172</f>
        <v>37.4590163934426</v>
      </c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</row>
    <row r="173" ht="15.35" customHeight="1">
      <c r="A173" t="s" s="83">
        <v>2712</v>
      </c>
      <c r="B173" s="112">
        <v>1921</v>
      </c>
      <c r="C173" s="30"/>
      <c r="D173" s="30"/>
      <c r="E173" s="74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</row>
    <row r="174" ht="15.35" customHeight="1">
      <c r="A174" t="s" s="83">
        <v>2712</v>
      </c>
      <c r="B174" s="30"/>
      <c r="C174" s="30"/>
      <c r="D174" s="30"/>
      <c r="E174" s="74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</row>
    <row r="175" ht="15.35" customHeight="1">
      <c r="A175" t="s" s="83">
        <v>2712</v>
      </c>
      <c r="B175" s="30"/>
      <c r="C175" s="30"/>
      <c r="D175" s="30"/>
      <c r="E175" s="74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</row>
    <row r="176" ht="15.35" customHeight="1">
      <c r="A176" t="s" s="83">
        <v>2712</v>
      </c>
      <c r="B176" s="30"/>
      <c r="C176" s="30"/>
      <c r="D176" s="30"/>
      <c r="E176" s="74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</row>
    <row r="177" ht="15.35" customHeight="1">
      <c r="A177" s="30"/>
      <c r="B177" s="30"/>
      <c r="C177" s="30"/>
      <c r="D177" s="30"/>
      <c r="E177" s="74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</row>
    <row r="178" ht="15.35" customHeight="1">
      <c r="A178" s="30"/>
      <c r="B178" s="30"/>
      <c r="C178" s="30"/>
      <c r="D178" s="30"/>
      <c r="E178" s="74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</row>
    <row r="179" ht="15.35" customHeight="1">
      <c r="A179" s="30"/>
      <c r="B179" s="30"/>
      <c r="C179" s="30"/>
      <c r="D179" s="30"/>
      <c r="E179" s="74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</row>
    <row r="180" ht="15.35" customHeight="1">
      <c r="A180" s="30"/>
      <c r="B180" s="30"/>
      <c r="C180" s="30"/>
      <c r="D180" s="30"/>
      <c r="E180" s="74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</row>
    <row r="181" ht="15.35" customHeight="1">
      <c r="A181" s="30"/>
      <c r="B181" s="30"/>
      <c r="C181" s="30"/>
      <c r="D181" s="30"/>
      <c r="E181" s="74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</row>
    <row r="182" ht="15.35" customHeight="1">
      <c r="A182" s="30"/>
      <c r="B182" s="30"/>
      <c r="C182" s="30"/>
      <c r="D182" s="30"/>
      <c r="E182" s="74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6"/>
    </row>
    <row r="183" ht="15.35" customHeight="1">
      <c r="A183" s="30"/>
      <c r="B183" s="30"/>
      <c r="C183" s="30"/>
      <c r="D183" s="30"/>
      <c r="E183" s="74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</row>
    <row r="184" ht="15.35" customHeight="1">
      <c r="A184" s="30"/>
      <c r="B184" s="30"/>
      <c r="C184" s="30"/>
      <c r="D184" s="30"/>
      <c r="E184" s="74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6"/>
    </row>
    <row r="185" ht="15.35" customHeight="1">
      <c r="A185" s="30"/>
      <c r="B185" s="30"/>
      <c r="C185" s="30"/>
      <c r="D185" s="30"/>
      <c r="E185" s="74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6"/>
    </row>
    <row r="186" ht="15.35" customHeight="1">
      <c r="A186" s="30"/>
      <c r="B186" s="30"/>
      <c r="C186" s="30"/>
      <c r="D186" s="30"/>
      <c r="E186" s="74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6"/>
    </row>
    <row r="187" ht="15.35" customHeight="1">
      <c r="A187" s="30"/>
      <c r="B187" s="30"/>
      <c r="C187" s="30"/>
      <c r="D187" s="30"/>
      <c r="E187" s="74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  <c r="AZ187" s="16"/>
      <c r="BA187" s="16"/>
      <c r="BB187" s="16"/>
      <c r="BC187" s="16"/>
    </row>
    <row r="188" ht="15.35" customHeight="1">
      <c r="A188" s="30"/>
      <c r="B188" s="30"/>
      <c r="C188" s="30"/>
      <c r="D188" s="30"/>
      <c r="E188" s="74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  <c r="AZ188" s="16"/>
      <c r="BA188" s="16"/>
      <c r="BB188" s="16"/>
      <c r="BC188" s="16"/>
    </row>
    <row r="189" ht="15.35" customHeight="1">
      <c r="A189" s="30"/>
      <c r="B189" s="30"/>
      <c r="C189" s="30"/>
      <c r="D189" s="30"/>
      <c r="E189" s="74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  <c r="AZ189" s="16"/>
      <c r="BA189" s="16"/>
      <c r="BB189" s="16"/>
      <c r="BC189" s="16"/>
    </row>
    <row r="190" ht="15.35" customHeight="1">
      <c r="A190" s="30"/>
      <c r="B190" s="30"/>
      <c r="C190" s="30"/>
      <c r="D190" s="30"/>
      <c r="E190" s="74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  <c r="AZ190" s="16"/>
      <c r="BA190" s="16"/>
      <c r="BB190" s="16"/>
      <c r="BC190" s="16"/>
    </row>
    <row r="191" ht="15.35" customHeight="1">
      <c r="A191" s="30"/>
      <c r="B191" s="30"/>
      <c r="C191" s="30"/>
      <c r="D191" s="30"/>
      <c r="E191" s="74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  <c r="AZ191" s="16"/>
      <c r="BA191" s="16"/>
      <c r="BB191" s="16"/>
      <c r="BC191" s="16"/>
    </row>
    <row r="192" ht="15.35" customHeight="1">
      <c r="A192" s="30"/>
      <c r="B192" s="30"/>
      <c r="C192" s="30"/>
      <c r="D192" s="30"/>
      <c r="E192" s="74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  <c r="AZ192" s="16"/>
      <c r="BA192" s="16"/>
      <c r="BB192" s="16"/>
      <c r="BC192" s="16"/>
    </row>
    <row r="193" ht="15.35" customHeight="1">
      <c r="A193" s="30"/>
      <c r="B193" s="30"/>
      <c r="C193" s="30"/>
      <c r="D193" s="30"/>
      <c r="E193" s="74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  <c r="AZ193" s="16"/>
      <c r="BA193" s="16"/>
      <c r="BB193" s="16"/>
      <c r="BC193" s="16"/>
    </row>
    <row r="194" ht="15.35" customHeight="1">
      <c r="A194" s="30"/>
      <c r="B194" s="30"/>
      <c r="C194" s="30"/>
      <c r="D194" s="30"/>
      <c r="E194" s="74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  <c r="AZ194" s="16"/>
      <c r="BA194" s="16"/>
      <c r="BB194" s="16"/>
      <c r="BC194" s="16"/>
    </row>
    <row r="195" ht="15.35" customHeight="1">
      <c r="A195" s="30"/>
      <c r="B195" s="30"/>
      <c r="C195" s="30"/>
      <c r="D195" s="30"/>
      <c r="E195" s="74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  <c r="AZ195" s="16"/>
      <c r="BA195" s="16"/>
      <c r="BB195" s="16"/>
      <c r="BC195" s="16"/>
    </row>
    <row r="196" ht="15.35" customHeight="1">
      <c r="A196" s="30"/>
      <c r="B196" s="30"/>
      <c r="C196" s="30"/>
      <c r="D196" s="30"/>
      <c r="E196" s="74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  <c r="AZ196" s="16"/>
      <c r="BA196" s="16"/>
      <c r="BB196" s="16"/>
      <c r="BC196" s="16"/>
    </row>
    <row r="197" ht="15.35" customHeight="1">
      <c r="A197" s="30"/>
      <c r="B197" s="30"/>
      <c r="C197" s="30"/>
      <c r="D197" s="30"/>
      <c r="E197" s="74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  <c r="AZ197" s="16"/>
      <c r="BA197" s="16"/>
      <c r="BB197" s="16"/>
      <c r="BC197" s="16"/>
    </row>
    <row r="198" ht="15.35" customHeight="1">
      <c r="A198" s="30"/>
      <c r="B198" s="30"/>
      <c r="C198" s="30"/>
      <c r="D198" s="30"/>
      <c r="E198" s="74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  <c r="AZ198" s="16"/>
      <c r="BA198" s="16"/>
      <c r="BB198" s="16"/>
      <c r="BC198" s="16"/>
    </row>
    <row r="199" ht="15.35" customHeight="1">
      <c r="A199" s="30"/>
      <c r="B199" s="30"/>
      <c r="C199" s="30"/>
      <c r="D199" s="30"/>
      <c r="E199" s="74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  <c r="AZ199" s="16"/>
      <c r="BA199" s="16"/>
      <c r="BB199" s="16"/>
      <c r="BC199" s="16"/>
    </row>
    <row r="200" ht="15.35" customHeight="1">
      <c r="A200" s="30"/>
      <c r="B200" s="30"/>
      <c r="C200" s="30"/>
      <c r="D200" s="30"/>
      <c r="E200" s="74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  <c r="AZ200" s="16"/>
      <c r="BA200" s="16"/>
      <c r="BB200" s="16"/>
      <c r="BC200" s="16"/>
    </row>
    <row r="201" ht="15.35" customHeight="1">
      <c r="A201" s="30"/>
      <c r="B201" s="30"/>
      <c r="C201" s="30"/>
      <c r="D201" s="30"/>
      <c r="E201" s="74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  <c r="AZ201" s="16"/>
      <c r="BA201" s="16"/>
      <c r="BB201" s="16"/>
      <c r="BC201" s="16"/>
    </row>
    <row r="202" ht="15.35" customHeight="1">
      <c r="A202" s="30"/>
      <c r="B202" s="30"/>
      <c r="C202" s="30"/>
      <c r="D202" s="30"/>
      <c r="E202" s="74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  <c r="AZ202" s="16"/>
      <c r="BA202" s="16"/>
      <c r="BB202" s="16"/>
      <c r="BC202" s="16"/>
    </row>
    <row r="203" ht="15.35" customHeight="1">
      <c r="A203" s="30"/>
      <c r="B203" s="30"/>
      <c r="C203" s="30"/>
      <c r="D203" s="30"/>
      <c r="E203" s="74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  <c r="AZ203" s="16"/>
      <c r="BA203" s="16"/>
      <c r="BB203" s="16"/>
      <c r="BC203" s="16"/>
    </row>
    <row r="204" ht="15.35" customHeight="1">
      <c r="A204" t="s" s="83">
        <v>2712</v>
      </c>
      <c r="B204" s="112">
        <v>1921</v>
      </c>
      <c r="C204" s="112">
        <v>20</v>
      </c>
      <c r="D204" t="s" s="83">
        <v>2713</v>
      </c>
      <c r="E204" s="74"/>
      <c r="F204" s="16"/>
      <c r="G204" s="16"/>
      <c r="H204" s="79">
        <v>4</v>
      </c>
      <c r="I204" s="79">
        <v>99</v>
      </c>
      <c r="J204" s="79" cm="1">
        <f t="array" ref="J204">SUM(J3:J139)</f>
        <v>73</v>
      </c>
      <c r="K204" s="79" cm="1">
        <f t="array" ref="K204">SUM(K3:K139)</f>
        <v>19</v>
      </c>
      <c r="L204" s="79" cm="1">
        <f t="array" ref="L204">SUM(L3:L139)</f>
        <v>4</v>
      </c>
      <c r="M204" s="79" cm="1">
        <f t="array" ref="M204">SUM(M3:M139)</f>
        <v>3</v>
      </c>
      <c r="N204" s="79" cm="1">
        <f t="array" ref="N204">SUM(N3:N139)</f>
        <v>17</v>
      </c>
      <c r="O204" s="79" cm="1">
        <f t="array" ref="O204">SUM(O3:O139)</f>
        <v>11</v>
      </c>
      <c r="P204" s="79" cm="1">
        <f t="array" ref="P204">SUM(P3:P139)</f>
        <v>10</v>
      </c>
      <c r="Q204" s="79" cm="1">
        <f t="array" ref="Q204">SUM(Q3:Q139)</f>
        <v>3</v>
      </c>
      <c r="R204" s="79" cm="1">
        <f t="array" ref="R204">SUM(R3:R139)</f>
        <v>15</v>
      </c>
      <c r="S204" s="79" cm="1">
        <f t="array" ref="S204">SUM(S3:S139)</f>
        <v>43</v>
      </c>
      <c r="T204" s="79" cm="1">
        <f t="array" ref="T204">SUM(T3:T139)</f>
        <v>3710</v>
      </c>
      <c r="U204" s="79" cm="1">
        <f t="array" ref="U204">SUM(U3:U139)</f>
        <v>0</v>
      </c>
      <c r="V204" s="79" cm="1">
        <f t="array" ref="V204">SUM(V3:V139)</f>
        <v>0</v>
      </c>
      <c r="W204" s="79" cm="1">
        <f t="array" ref="W204">SUM(W3:W139)</f>
        <v>0</v>
      </c>
      <c r="X204" s="79" cm="1">
        <f t="array" ref="X204">SUM(X3:X139)</f>
        <v>0</v>
      </c>
      <c r="Y204" s="79" cm="1">
        <f t="array" ref="Y204">SUM(Y3:Y139)</f>
        <v>0</v>
      </c>
      <c r="Z204" s="79" cm="1">
        <f t="array" ref="Z204">SUM(Z3:Z139)</f>
        <v>0</v>
      </c>
      <c r="AA204" s="79" cm="1">
        <f t="array" ref="AA204">SUM(AA3:AA139)</f>
        <v>0</v>
      </c>
      <c r="AB204" s="79" cm="1">
        <f t="array" ref="AB204">SUM(AB3:AB139)</f>
        <v>0</v>
      </c>
      <c r="AC204" s="79" cm="1">
        <f t="array" ref="AC204">SUM(AC3:AC139)</f>
        <v>61</v>
      </c>
      <c r="AD204" s="79" cm="1">
        <f t="array" ref="AD204">SUM(AD3:AD139)</f>
        <v>5</v>
      </c>
      <c r="AE204" s="79" cm="1">
        <f t="array" ref="AE204">AC204-AD204</f>
        <v>56</v>
      </c>
      <c r="AF204" s="79" cm="1">
        <f t="array" ref="AF204">SUM(AF3:AF139)</f>
        <v>36</v>
      </c>
      <c r="AG204" s="79" cm="1">
        <f t="array" ref="AG204">N205-AF204</f>
        <v>63</v>
      </c>
      <c r="AH204" s="79" cm="1">
        <f t="array" ref="AH204">SUM(AH3:AH139)</f>
        <v>0</v>
      </c>
      <c r="AI204" s="79" cm="1">
        <f t="array" ref="AI204">SUM(AI3:AI139)</f>
        <v>0</v>
      </c>
      <c r="AJ204" s="79" cm="1">
        <f t="array" ref="AJ204">SUM(AJ3:AJ139)</f>
        <v>0</v>
      </c>
      <c r="AK204" s="79" cm="1">
        <f t="array" ref="AK204">SUM(AK3:AK139)</f>
        <v>0</v>
      </c>
      <c r="AL204" s="79" cm="1">
        <f t="array" ref="AL204">SUM(AL3:AL139)</f>
        <v>0</v>
      </c>
      <c r="AM204" s="79" cm="1">
        <f t="array" ref="AM204">SUM(AM3:AM139)</f>
        <v>0</v>
      </c>
      <c r="AN204" s="79" cm="1">
        <f t="array" ref="AN204">SUM(AN3:AN139)</f>
        <v>0</v>
      </c>
      <c r="AO204" s="79" cm="1">
        <f t="array" ref="AO204">SUM(AO3:AO139)</f>
        <v>0</v>
      </c>
      <c r="AP204" s="79" cm="1">
        <f t="array" ref="AP204">SUM(AP3:AP139)</f>
        <v>0</v>
      </c>
      <c r="AQ204" s="79" cm="1">
        <f t="array" ref="AQ204">SUM(AQ3:AQ139)</f>
        <v>0</v>
      </c>
      <c r="AR204" s="79" cm="1">
        <f t="array" ref="AR204">SUM(AR3:AR139)</f>
        <v>0</v>
      </c>
      <c r="AS204" s="79" cm="1">
        <f t="array" ref="AS204">SUM(AS3:AS139)</f>
        <v>0</v>
      </c>
      <c r="AT204" s="16"/>
      <c r="AU204" s="16"/>
      <c r="AV204" s="16"/>
      <c r="AW204" s="16"/>
      <c r="AX204" s="16"/>
      <c r="AY204" s="16"/>
      <c r="AZ204" s="16"/>
      <c r="BA204" s="16"/>
      <c r="BB204" s="16"/>
      <c r="BC204" s="16"/>
    </row>
    <row r="205" ht="15.35" customHeight="1">
      <c r="A205" t="s" s="83">
        <v>2712</v>
      </c>
      <c r="B205" s="112">
        <v>1921</v>
      </c>
      <c r="C205" s="30"/>
      <c r="D205" t="s" s="83">
        <v>2713</v>
      </c>
      <c r="E205" s="74"/>
      <c r="F205" s="16"/>
      <c r="G205" s="16"/>
      <c r="H205" s="16"/>
      <c r="I205" s="16"/>
      <c r="J205" s="79" cm="1">
        <f t="array" ref="J205">SUM(J204:M204)</f>
        <v>99</v>
      </c>
      <c r="K205" s="16"/>
      <c r="L205" s="16"/>
      <c r="M205" s="16"/>
      <c r="N205" s="79" cm="1">
        <f t="array" ref="N205">SUM(N204:S204)</f>
        <v>99</v>
      </c>
      <c r="O205" s="16"/>
      <c r="P205" s="16"/>
      <c r="Q205" s="16"/>
      <c r="R205" s="16"/>
      <c r="S205" s="16"/>
      <c r="T205" s="99" cm="1">
        <f t="array" ref="T205">T204/N205</f>
        <v>37.4747474747475</v>
      </c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  <c r="AZ205" s="16"/>
      <c r="BA205" s="16"/>
      <c r="BB205" s="16"/>
      <c r="BC205" s="16"/>
    </row>
    <row r="206" ht="15.35" customHeight="1">
      <c r="A206" s="62"/>
      <c r="B206" s="62"/>
      <c r="C206" s="180"/>
      <c r="D206" s="180"/>
      <c r="E206" s="132"/>
      <c r="F206" s="132"/>
      <c r="G206" s="132"/>
      <c r="H206" s="132"/>
      <c r="I206" s="16"/>
      <c r="J206" s="16"/>
      <c r="K206" s="16"/>
      <c r="L206" s="16"/>
      <c r="M206" s="16"/>
      <c r="N206" s="132"/>
      <c r="O206" s="16"/>
      <c r="P206" s="132"/>
      <c r="Q206" s="16"/>
      <c r="R206" s="16"/>
      <c r="S206" s="16"/>
      <c r="T206" s="132"/>
      <c r="U206" s="16"/>
      <c r="V206" s="16"/>
      <c r="W206" s="16"/>
      <c r="X206" s="132"/>
      <c r="Y206" s="132"/>
      <c r="Z206" s="132"/>
      <c r="AA206" s="132"/>
      <c r="AB206" s="132"/>
      <c r="AC206" s="132"/>
      <c r="AD206" s="132"/>
      <c r="AE206" s="132"/>
      <c r="AF206" s="132"/>
      <c r="AG206" s="132"/>
      <c r="AH206" s="132"/>
      <c r="AI206" s="132"/>
      <c r="AJ206" s="132"/>
      <c r="AK206" s="132"/>
      <c r="AL206" s="132"/>
      <c r="AM206" s="132"/>
      <c r="AN206" s="132"/>
      <c r="AO206" s="132"/>
      <c r="AP206" s="132"/>
      <c r="AQ206" s="132"/>
      <c r="AR206" s="132"/>
      <c r="AS206" s="132"/>
      <c r="AT206" s="132"/>
      <c r="AU206" s="132"/>
      <c r="AV206" s="132"/>
      <c r="AW206" s="132"/>
      <c r="AX206" s="132"/>
      <c r="AY206" s="132"/>
      <c r="AZ206" s="16"/>
      <c r="BA206" s="16"/>
      <c r="BB206" s="16"/>
      <c r="BC206" s="16"/>
    </row>
    <row r="207" ht="19" customHeight="1">
      <c r="A207" s="141"/>
      <c r="B207" s="141"/>
      <c r="C207" s="30"/>
      <c r="D207" s="30"/>
      <c r="E207" s="30"/>
      <c r="F207" s="29"/>
      <c r="G207" s="29"/>
      <c r="H207" t="s" s="27">
        <v>0</v>
      </c>
      <c r="I207" t="s" s="159">
        <v>1</v>
      </c>
      <c r="J207" t="s" s="204">
        <v>2</v>
      </c>
      <c r="K207" t="s" s="157">
        <v>3</v>
      </c>
      <c r="L207" t="s" s="96">
        <v>4</v>
      </c>
      <c r="M207" t="s" s="158">
        <v>5</v>
      </c>
      <c r="N207" t="s" s="27">
        <v>6</v>
      </c>
      <c r="O207" t="s" s="159">
        <v>7</v>
      </c>
      <c r="P207" t="s" s="27">
        <v>8</v>
      </c>
      <c r="Q207" s="74"/>
      <c r="R207" s="16"/>
      <c r="S207" s="75"/>
      <c r="T207" s="29"/>
      <c r="U207" s="74"/>
      <c r="V207" s="16"/>
      <c r="W207" s="75"/>
      <c r="X207" s="29"/>
      <c r="Y207" s="29"/>
      <c r="Z207" s="29"/>
      <c r="AA207" s="29"/>
      <c r="AB207" s="29"/>
      <c r="AC207" s="29"/>
      <c r="AD207" s="29"/>
      <c r="AE207" s="30"/>
      <c r="AF207" s="30"/>
      <c r="AG207" s="29"/>
      <c r="AH207" s="30"/>
      <c r="AI207" s="30"/>
      <c r="AJ207" s="30"/>
      <c r="AK207" s="30"/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74"/>
      <c r="BA207" s="16"/>
      <c r="BB207" s="16"/>
      <c r="BC207" s="16"/>
    </row>
    <row r="208" ht="17.5" customHeight="1">
      <c r="A208" s="30"/>
      <c r="B208" s="30"/>
      <c r="C208" s="30"/>
      <c r="D208" s="30"/>
      <c r="E208" s="30"/>
      <c r="F208" s="112">
        <v>9</v>
      </c>
      <c r="G208" s="30"/>
      <c r="H208" t="s" s="83">
        <v>2714</v>
      </c>
      <c r="I208" t="s" s="159">
        <v>91</v>
      </c>
      <c r="J208" t="s" s="83">
        <v>31</v>
      </c>
      <c r="K208" t="s" s="157">
        <v>37</v>
      </c>
      <c r="L208" s="79">
        <v>1848</v>
      </c>
      <c r="M208" s="123">
        <v>73</v>
      </c>
      <c r="N208" t="s" s="83">
        <v>790</v>
      </c>
      <c r="O208" t="s" s="159">
        <v>92</v>
      </c>
      <c r="P208" t="s" s="83">
        <v>8</v>
      </c>
      <c r="Q208" s="74"/>
      <c r="R208" s="16"/>
      <c r="S208" s="75"/>
      <c r="T208" s="121"/>
      <c r="U208" s="74"/>
      <c r="V208" s="16"/>
      <c r="W208" s="75"/>
      <c r="X208" s="30"/>
      <c r="Y208" s="30"/>
      <c r="Z208" s="30"/>
      <c r="AA208" s="121"/>
      <c r="AB208" s="121"/>
      <c r="AC208" s="30"/>
      <c r="AD208" s="30"/>
      <c r="AE208" s="30"/>
      <c r="AF208" s="30"/>
      <c r="AG208" s="121"/>
      <c r="AH208" s="30"/>
      <c r="AI208" s="30"/>
      <c r="AJ208" s="30"/>
      <c r="AK208" s="30"/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74"/>
      <c r="BA208" s="16"/>
      <c r="BB208" s="16"/>
      <c r="BC208" s="16"/>
    </row>
    <row r="209" ht="17.5" customHeight="1">
      <c r="A209" s="30"/>
      <c r="B209" s="30"/>
      <c r="C209" s="30"/>
      <c r="D209" s="30"/>
      <c r="E209" s="30"/>
      <c r="F209" s="30"/>
      <c r="G209" s="30"/>
      <c r="H209" t="s" s="83">
        <v>2715</v>
      </c>
      <c r="I209" t="s" s="159">
        <v>91</v>
      </c>
      <c r="J209" t="s" s="83">
        <v>72</v>
      </c>
      <c r="K209" t="s" s="157">
        <v>12</v>
      </c>
      <c r="L209" s="79">
        <v>1852</v>
      </c>
      <c r="M209" s="123">
        <v>69</v>
      </c>
      <c r="N209" t="s" s="83">
        <v>34</v>
      </c>
      <c r="O209" t="s" s="159">
        <v>33</v>
      </c>
      <c r="P209" t="s" s="83">
        <v>34</v>
      </c>
      <c r="Q209" s="74"/>
      <c r="R209" s="16"/>
      <c r="S209" s="75"/>
      <c r="T209" s="121"/>
      <c r="U209" s="74"/>
      <c r="V209" s="16"/>
      <c r="W209" s="75"/>
      <c r="X209" s="30"/>
      <c r="Y209" s="30"/>
      <c r="Z209" s="30"/>
      <c r="AA209" s="121"/>
      <c r="AB209" s="121"/>
      <c r="AC209" s="30"/>
      <c r="AD209" s="30"/>
      <c r="AE209" s="30"/>
      <c r="AF209" s="30"/>
      <c r="AG209" s="121"/>
      <c r="AH209" s="30"/>
      <c r="AI209" s="30"/>
      <c r="AJ209" s="30"/>
      <c r="AK209" s="30"/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74"/>
      <c r="BA209" s="16"/>
      <c r="BB209" s="16"/>
      <c r="BC209" s="16"/>
    </row>
    <row r="210" ht="17.5" customHeight="1">
      <c r="A210" s="30"/>
      <c r="B210" s="30"/>
      <c r="C210" s="30"/>
      <c r="D210" s="30"/>
      <c r="E210" s="30"/>
      <c r="F210" s="30"/>
      <c r="G210" s="30"/>
      <c r="H210" t="s" s="83">
        <v>2716</v>
      </c>
      <c r="I210" t="s" s="159">
        <v>91</v>
      </c>
      <c r="J210" t="s" s="83">
        <v>78</v>
      </c>
      <c r="K210" t="s" s="157">
        <v>12</v>
      </c>
      <c r="L210" s="79">
        <v>1884</v>
      </c>
      <c r="M210" s="123">
        <v>37</v>
      </c>
      <c r="N210" t="s" s="83">
        <v>54</v>
      </c>
      <c r="O210" t="s" s="159">
        <v>33</v>
      </c>
      <c r="P210" t="s" s="83">
        <v>34</v>
      </c>
      <c r="Q210" s="74"/>
      <c r="R210" s="16"/>
      <c r="S210" s="75"/>
      <c r="T210" s="121"/>
      <c r="U210" s="74"/>
      <c r="V210" s="16"/>
      <c r="W210" s="75"/>
      <c r="X210" s="30"/>
      <c r="Y210" s="30"/>
      <c r="Z210" s="30"/>
      <c r="AA210" s="121"/>
      <c r="AB210" s="121"/>
      <c r="AC210" s="30"/>
      <c r="AD210" s="30"/>
      <c r="AE210" s="30"/>
      <c r="AF210" s="30"/>
      <c r="AG210" s="121"/>
      <c r="AH210" s="30"/>
      <c r="AI210" s="30"/>
      <c r="AJ210" s="30"/>
      <c r="AK210" s="30"/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74"/>
      <c r="BA210" s="16"/>
      <c r="BB210" s="16"/>
      <c r="BC210" s="16"/>
    </row>
    <row r="211" ht="17.5" customHeight="1">
      <c r="A211" s="30"/>
      <c r="B211" s="30"/>
      <c r="C211" s="30"/>
      <c r="D211" s="30"/>
      <c r="E211" s="30"/>
      <c r="F211" s="30"/>
      <c r="G211" s="30"/>
      <c r="H211" t="s" s="83">
        <v>2717</v>
      </c>
      <c r="I211" t="s" s="159">
        <v>91</v>
      </c>
      <c r="J211" t="s" s="83">
        <v>78</v>
      </c>
      <c r="K211" t="s" s="157">
        <v>12</v>
      </c>
      <c r="L211" s="79">
        <v>1890</v>
      </c>
      <c r="M211" s="123">
        <v>30</v>
      </c>
      <c r="N211" t="s" s="83">
        <v>54</v>
      </c>
      <c r="O211" t="s" s="159">
        <v>2718</v>
      </c>
      <c r="P211" t="s" s="83">
        <v>603</v>
      </c>
      <c r="Q211" s="74"/>
      <c r="R211" s="16"/>
      <c r="S211" s="75"/>
      <c r="T211" s="121"/>
      <c r="U211" s="74"/>
      <c r="V211" s="16"/>
      <c r="W211" s="75"/>
      <c r="X211" s="30"/>
      <c r="Y211" s="30"/>
      <c r="Z211" s="30"/>
      <c r="AA211" s="121"/>
      <c r="AB211" s="121"/>
      <c r="AC211" s="30"/>
      <c r="AD211" s="30"/>
      <c r="AE211" s="30"/>
      <c r="AF211" s="30"/>
      <c r="AG211" s="121"/>
      <c r="AH211" s="30"/>
      <c r="AI211" s="30"/>
      <c r="AJ211" s="30"/>
      <c r="AK211" s="30"/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74"/>
      <c r="BA211" s="16"/>
      <c r="BB211" s="16"/>
      <c r="BC211" s="16"/>
    </row>
    <row r="212" ht="17.5" customHeight="1">
      <c r="A212" s="30"/>
      <c r="B212" s="30"/>
      <c r="C212" s="30"/>
      <c r="D212" s="30"/>
      <c r="E212" s="30"/>
      <c r="F212" s="30"/>
      <c r="G212" s="30"/>
      <c r="H212" t="s" s="83">
        <v>1148</v>
      </c>
      <c r="I212" t="s" s="159">
        <v>2719</v>
      </c>
      <c r="J212" t="s" s="83">
        <v>11</v>
      </c>
      <c r="K212" t="s" s="157">
        <v>12</v>
      </c>
      <c r="L212" s="79">
        <v>1866</v>
      </c>
      <c r="M212" s="123">
        <v>54</v>
      </c>
      <c r="N212" t="s" s="83">
        <v>954</v>
      </c>
      <c r="O212" t="s" s="159">
        <v>45</v>
      </c>
      <c r="P212" t="s" s="83">
        <v>15</v>
      </c>
      <c r="Q212" s="74"/>
      <c r="R212" s="16"/>
      <c r="S212" s="75"/>
      <c r="T212" s="121"/>
      <c r="U212" s="74"/>
      <c r="V212" s="16"/>
      <c r="W212" s="75"/>
      <c r="X212" s="30"/>
      <c r="Y212" s="30"/>
      <c r="Z212" s="30"/>
      <c r="AA212" s="121"/>
      <c r="AB212" s="121"/>
      <c r="AC212" s="30"/>
      <c r="AD212" s="30"/>
      <c r="AE212" s="30"/>
      <c r="AF212" s="30"/>
      <c r="AG212" s="121"/>
      <c r="AH212" s="30"/>
      <c r="AI212" s="30"/>
      <c r="AJ212" s="30"/>
      <c r="AK212" s="30"/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74"/>
      <c r="BA212" s="16"/>
      <c r="BB212" s="16"/>
      <c r="BC212" s="16"/>
    </row>
    <row r="213" ht="17.5" customHeight="1">
      <c r="A213" s="30"/>
      <c r="B213" s="30"/>
      <c r="C213" s="30"/>
      <c r="D213" s="30"/>
      <c r="E213" s="30"/>
      <c r="F213" s="30"/>
      <c r="G213" s="30"/>
      <c r="H213" s="30"/>
      <c r="I213" s="122"/>
      <c r="J213" s="30"/>
      <c r="K213" s="74"/>
      <c r="L213" s="16"/>
      <c r="M213" s="75"/>
      <c r="N213" s="30"/>
      <c r="O213" s="122"/>
      <c r="P213" s="30"/>
      <c r="Q213" s="74"/>
      <c r="R213" s="16"/>
      <c r="S213" s="75"/>
      <c r="T213" s="121"/>
      <c r="U213" s="74"/>
      <c r="V213" s="16"/>
      <c r="W213" s="75"/>
      <c r="X213" s="30"/>
      <c r="Y213" s="30"/>
      <c r="Z213" s="30"/>
      <c r="AA213" s="121"/>
      <c r="AB213" s="121"/>
      <c r="AC213" s="30"/>
      <c r="AD213" s="30"/>
      <c r="AE213" s="30"/>
      <c r="AF213" s="30"/>
      <c r="AG213" s="121"/>
      <c r="AH213" s="30"/>
      <c r="AI213" s="30"/>
      <c r="AJ213" s="30"/>
      <c r="AK213" s="30"/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74"/>
      <c r="BA213" s="16"/>
      <c r="BB213" s="16"/>
      <c r="BC213" s="16"/>
    </row>
    <row r="214" ht="17.5" customHeight="1">
      <c r="A214" s="30"/>
      <c r="B214" s="30"/>
      <c r="C214" s="30"/>
      <c r="D214" s="30"/>
      <c r="E214" s="30"/>
      <c r="F214" s="30"/>
      <c r="G214" s="30"/>
      <c r="H214" t="s" s="83">
        <v>0</v>
      </c>
      <c r="I214" t="s" s="159">
        <v>1</v>
      </c>
      <c r="J214" t="s" s="83">
        <v>2</v>
      </c>
      <c r="K214" t="s" s="157">
        <v>3</v>
      </c>
      <c r="L214" t="s" s="96">
        <v>4</v>
      </c>
      <c r="M214" t="s" s="158">
        <v>5</v>
      </c>
      <c r="N214" t="s" s="83">
        <v>6</v>
      </c>
      <c r="O214" t="s" s="159">
        <v>7</v>
      </c>
      <c r="P214" t="s" s="83">
        <v>8</v>
      </c>
      <c r="Q214" s="74"/>
      <c r="R214" s="16"/>
      <c r="S214" s="75"/>
      <c r="T214" s="121"/>
      <c r="U214" s="74"/>
      <c r="V214" s="16"/>
      <c r="W214" s="75"/>
      <c r="X214" s="30"/>
      <c r="Y214" s="30"/>
      <c r="Z214" s="30"/>
      <c r="AA214" s="121"/>
      <c r="AB214" s="121"/>
      <c r="AC214" s="30"/>
      <c r="AD214" s="30"/>
      <c r="AE214" s="30"/>
      <c r="AF214" s="30"/>
      <c r="AG214" s="121"/>
      <c r="AH214" s="30"/>
      <c r="AI214" s="30"/>
      <c r="AJ214" s="30"/>
      <c r="AK214" s="30"/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74"/>
      <c r="BA214" s="16"/>
      <c r="BB214" s="16"/>
      <c r="BC214" s="16"/>
    </row>
    <row r="215" ht="17.5" customHeight="1">
      <c r="A215" s="30"/>
      <c r="B215" s="30"/>
      <c r="C215" s="30"/>
      <c r="D215" s="30"/>
      <c r="E215" s="30"/>
      <c r="F215" s="112">
        <v>1</v>
      </c>
      <c r="G215" s="30"/>
      <c r="H215" t="s" s="83">
        <v>56</v>
      </c>
      <c r="I215" t="s" s="159">
        <v>2720</v>
      </c>
      <c r="J215" t="s" s="83">
        <v>31</v>
      </c>
      <c r="K215" t="s" s="157">
        <v>37</v>
      </c>
      <c r="L215" s="79">
        <v>1863</v>
      </c>
      <c r="M215" s="123">
        <v>58</v>
      </c>
      <c r="N215" t="s" s="83">
        <v>2723</v>
      </c>
      <c r="O215" t="s" s="159">
        <v>2721</v>
      </c>
      <c r="P215" t="s" s="83">
        <v>2722</v>
      </c>
      <c r="Q215" s="74"/>
      <c r="R215" s="16"/>
      <c r="S215" s="75"/>
      <c r="T215" s="121"/>
      <c r="U215" s="74"/>
      <c r="V215" s="16"/>
      <c r="W215" s="75"/>
      <c r="X215" s="30"/>
      <c r="Y215" s="30"/>
      <c r="Z215" s="30"/>
      <c r="AA215" s="121"/>
      <c r="AB215" s="121"/>
      <c r="AC215" s="30"/>
      <c r="AD215" s="30"/>
      <c r="AE215" s="30"/>
      <c r="AF215" s="30"/>
      <c r="AG215" s="121"/>
      <c r="AH215" s="30"/>
      <c r="AI215" s="30"/>
      <c r="AJ215" s="30"/>
      <c r="AK215" s="30"/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74"/>
      <c r="BA215" s="16"/>
      <c r="BB215" s="16"/>
      <c r="BC215" s="16"/>
    </row>
    <row r="216" ht="17" customHeight="1">
      <c r="A216" s="30"/>
      <c r="B216" s="30"/>
      <c r="C216" s="30"/>
      <c r="D216" s="30"/>
      <c r="E216" s="30"/>
      <c r="F216" s="30"/>
      <c r="G216" s="30"/>
      <c r="H216" t="s" s="83">
        <v>2724</v>
      </c>
      <c r="I216" t="s" s="159">
        <v>2720</v>
      </c>
      <c r="J216" t="s" s="83">
        <v>72</v>
      </c>
      <c r="K216" t="s" s="157">
        <v>12</v>
      </c>
      <c r="L216" s="79">
        <v>1879</v>
      </c>
      <c r="M216" s="123">
        <v>42</v>
      </c>
      <c r="N216" t="s" s="83">
        <v>553</v>
      </c>
      <c r="O216" t="s" s="159">
        <v>33</v>
      </c>
      <c r="P216" t="s" s="83">
        <v>34</v>
      </c>
      <c r="Q216" s="74"/>
      <c r="R216" s="16"/>
      <c r="S216" s="75"/>
      <c r="T216" s="30"/>
      <c r="U216" s="74"/>
      <c r="V216" s="16"/>
      <c r="W216" s="75"/>
      <c r="X216" s="112" cm="1">
        <f t="array" ref="X216">SUM(X207:X215)</f>
        <v>0</v>
      </c>
      <c r="Y216" s="112" cm="1">
        <f t="array" ref="Y216">SUM(Y207:Y215)</f>
        <v>0</v>
      </c>
      <c r="Z216" s="112" cm="1">
        <f t="array" ref="Z216">SUM(Z207:Z215)</f>
        <v>0</v>
      </c>
      <c r="AA216" s="30"/>
      <c r="AB216" s="30"/>
      <c r="AC216" s="30"/>
      <c r="AD216" s="30"/>
      <c r="AE216" s="30"/>
      <c r="AF216" s="30"/>
      <c r="AG216" s="30"/>
      <c r="AH216" s="30"/>
      <c r="AI216" s="30"/>
      <c r="AJ216" s="30"/>
      <c r="AK216" s="30"/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74"/>
      <c r="BA216" s="16"/>
      <c r="BB216" s="16"/>
      <c r="BC216" s="16"/>
    </row>
    <row r="217" ht="17.5" customHeight="1">
      <c r="A217" s="30"/>
      <c r="B217" s="30"/>
      <c r="C217" s="30"/>
      <c r="D217" s="30"/>
      <c r="E217" s="30"/>
      <c r="F217" s="30"/>
      <c r="G217" s="30"/>
      <c r="H217" t="s" s="83">
        <v>95</v>
      </c>
      <c r="I217" t="s" s="159">
        <v>2018</v>
      </c>
      <c r="J217" t="s" s="83">
        <v>41</v>
      </c>
      <c r="K217" t="s" s="157">
        <v>12</v>
      </c>
      <c r="L217" s="79">
        <v>1857</v>
      </c>
      <c r="M217" s="123">
        <v>64</v>
      </c>
      <c r="N217" t="s" s="83">
        <v>2725</v>
      </c>
      <c r="O217" t="s" s="159">
        <v>34</v>
      </c>
      <c r="P217" t="s" s="83">
        <v>34</v>
      </c>
      <c r="Q217" s="74"/>
      <c r="R217" s="16"/>
      <c r="S217" s="75"/>
      <c r="T217" s="121"/>
      <c r="U217" s="74"/>
      <c r="V217" s="16"/>
      <c r="W217" s="75"/>
      <c r="X217" s="30"/>
      <c r="Y217" s="30"/>
      <c r="Z217" s="30"/>
      <c r="AA217" s="121"/>
      <c r="AB217" s="121"/>
      <c r="AC217" s="30"/>
      <c r="AD217" s="30"/>
      <c r="AE217" s="30"/>
      <c r="AF217" s="30"/>
      <c r="AG217" s="121"/>
      <c r="AH217" s="30"/>
      <c r="AI217" s="30"/>
      <c r="AJ217" s="30"/>
      <c r="AK217" s="30"/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74"/>
      <c r="BA217" s="16"/>
      <c r="BB217" s="16"/>
      <c r="BC217" s="16"/>
    </row>
    <row r="218" ht="17.5" customHeight="1">
      <c r="A218" s="30"/>
      <c r="B218" s="30"/>
      <c r="C218" s="30"/>
      <c r="D218" s="30"/>
      <c r="E218" s="30"/>
      <c r="F218" s="30"/>
      <c r="G218" s="30"/>
      <c r="H218" t="s" s="83">
        <v>98</v>
      </c>
      <c r="I218" t="s" s="159">
        <v>778</v>
      </c>
      <c r="J218" t="s" s="83">
        <v>11</v>
      </c>
      <c r="K218" t="s" s="157">
        <v>12</v>
      </c>
      <c r="L218" s="79">
        <v>1895</v>
      </c>
      <c r="M218" s="123">
        <v>26</v>
      </c>
      <c r="N218" t="s" s="83">
        <v>222</v>
      </c>
      <c r="O218" t="s" s="159">
        <v>105</v>
      </c>
      <c r="P218" t="s" s="83">
        <v>15</v>
      </c>
      <c r="Q218" s="74"/>
      <c r="R218" s="16"/>
      <c r="S218" s="75"/>
      <c r="T218" s="121"/>
      <c r="U218" s="74"/>
      <c r="V218" s="16"/>
      <c r="W218" s="75"/>
      <c r="X218" s="30"/>
      <c r="Y218" s="30"/>
      <c r="Z218" s="30"/>
      <c r="AA218" s="121"/>
      <c r="AB218" s="121"/>
      <c r="AC218" s="30"/>
      <c r="AD218" s="30"/>
      <c r="AE218" s="30"/>
      <c r="AF218" s="30"/>
      <c r="AG218" s="121"/>
      <c r="AH218" s="30"/>
      <c r="AI218" s="30"/>
      <c r="AJ218" s="30"/>
      <c r="AK218" s="30"/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74"/>
      <c r="BA218" s="16"/>
      <c r="BB218" s="16"/>
      <c r="BC218" s="16"/>
    </row>
    <row r="219" ht="17.5" customHeight="1">
      <c r="A219" s="30"/>
      <c r="B219" s="30"/>
      <c r="C219" s="30"/>
      <c r="D219" s="30"/>
      <c r="E219" s="124"/>
      <c r="F219" s="28"/>
      <c r="G219" s="28"/>
      <c r="H219" t="s" s="148">
        <v>383</v>
      </c>
      <c r="I219" t="s" s="159">
        <v>2726</v>
      </c>
      <c r="J219" t="s" s="398">
        <v>11</v>
      </c>
      <c r="K219" t="s" s="157">
        <v>12</v>
      </c>
      <c r="L219" s="79">
        <v>1881</v>
      </c>
      <c r="M219" s="123">
        <v>39</v>
      </c>
      <c r="N219" t="s" s="148">
        <v>118</v>
      </c>
      <c r="O219" t="s" s="159">
        <v>105</v>
      </c>
      <c r="P219" t="s" s="148">
        <v>15</v>
      </c>
      <c r="Q219" s="74"/>
      <c r="R219" s="16"/>
      <c r="S219" s="75"/>
      <c r="T219" s="28"/>
      <c r="U219" s="74"/>
      <c r="V219" s="16"/>
      <c r="W219" s="75"/>
      <c r="X219" s="28"/>
      <c r="Y219" s="28"/>
      <c r="Z219" s="28"/>
      <c r="AA219" s="28"/>
      <c r="AB219" s="28"/>
      <c r="AC219" s="28"/>
      <c r="AD219" s="28"/>
      <c r="AE219" s="30"/>
      <c r="AF219" s="30"/>
      <c r="AG219" s="28"/>
      <c r="AH219" s="30"/>
      <c r="AI219" s="30"/>
      <c r="AJ219" s="30"/>
      <c r="AK219" s="30"/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74"/>
      <c r="BA219" s="16"/>
      <c r="BB219" s="16"/>
      <c r="BC219" s="16"/>
    </row>
    <row r="220" ht="28" customHeight="1">
      <c r="A220" s="30"/>
      <c r="B220" s="30"/>
      <c r="C220" s="30"/>
      <c r="D220" s="30"/>
      <c r="E220" s="124"/>
      <c r="F220" s="28"/>
      <c r="G220" s="28"/>
      <c r="H220" s="28"/>
      <c r="I220" s="131"/>
      <c r="J220" s="297"/>
      <c r="K220" s="132"/>
      <c r="L220" s="132"/>
      <c r="M220" s="133"/>
      <c r="N220" s="163"/>
      <c r="O220" s="132"/>
      <c r="P220" s="165"/>
      <c r="Q220" s="131"/>
      <c r="R220" s="132"/>
      <c r="S220" s="133"/>
      <c r="T220" s="28"/>
      <c r="U220" s="131"/>
      <c r="V220" s="132"/>
      <c r="W220" s="133"/>
      <c r="X220" s="28"/>
      <c r="Y220" s="28"/>
      <c r="Z220" s="28"/>
      <c r="AA220" s="28"/>
      <c r="AB220" s="28"/>
      <c r="AC220" s="28"/>
      <c r="AD220" s="124"/>
      <c r="AE220" s="30"/>
      <c r="AF220" s="30"/>
      <c r="AG220" s="28"/>
      <c r="AH220" s="30"/>
      <c r="AI220" s="30"/>
      <c r="AJ220" s="30"/>
      <c r="AK220" s="30"/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74"/>
      <c r="BA220" s="16"/>
      <c r="BB220" s="16"/>
      <c r="BC220" s="16"/>
    </row>
    <row r="221" ht="17.5" customHeight="1">
      <c r="A221" s="30"/>
      <c r="B221" s="30"/>
      <c r="C221" s="30"/>
      <c r="D221" s="30"/>
      <c r="E221" s="30"/>
      <c r="F221" s="30"/>
      <c r="G221" s="30"/>
      <c r="H221" t="s" s="83">
        <v>0</v>
      </c>
      <c r="I221" t="s" s="83">
        <v>1</v>
      </c>
      <c r="J221" t="s" s="83">
        <v>2</v>
      </c>
      <c r="K221" t="s" s="83">
        <v>3</v>
      </c>
      <c r="L221" t="s" s="83">
        <v>4</v>
      </c>
      <c r="M221" t="s" s="83">
        <v>5</v>
      </c>
      <c r="N221" t="s" s="83">
        <v>6</v>
      </c>
      <c r="O221" t="s" s="83">
        <v>7</v>
      </c>
      <c r="P221" t="s" s="83">
        <v>8</v>
      </c>
      <c r="Q221" s="30"/>
      <c r="R221" s="30"/>
      <c r="S221" s="30"/>
      <c r="T221" s="30"/>
      <c r="U221" s="112" cm="1">
        <f t="array" ref="U221">SUM(U207:U220)</f>
        <v>0</v>
      </c>
      <c r="V221" s="112" cm="1">
        <f t="array" ref="V221">SUM(V207:V220)</f>
        <v>0</v>
      </c>
      <c r="W221" s="112" cm="1">
        <f t="array" ref="W221">SUM(W207:W220)</f>
        <v>0</v>
      </c>
      <c r="X221" s="112" cm="1">
        <f t="array" ref="X221">SUM(X207:X220)</f>
        <v>0</v>
      </c>
      <c r="Y221" s="112" cm="1">
        <f t="array" ref="Y221">SUM(Y207:Y220)</f>
        <v>0</v>
      </c>
      <c r="Z221" s="112" cm="1">
        <f t="array" ref="Z221">SUM(Z207:Z220)</f>
        <v>0</v>
      </c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  <c r="AK221" s="30"/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30"/>
      <c r="AZ221" s="74"/>
      <c r="BA221" s="16"/>
      <c r="BB221" s="16"/>
      <c r="BC221" s="16"/>
    </row>
    <row r="222" ht="17.5" customHeight="1">
      <c r="A222" s="30"/>
      <c r="B222" s="30"/>
      <c r="C222" s="30"/>
      <c r="D222" s="30"/>
      <c r="E222" s="30"/>
      <c r="F222" s="112">
        <v>3</v>
      </c>
      <c r="G222" s="30"/>
      <c r="H222" t="s" s="83">
        <v>1207</v>
      </c>
      <c r="I222" t="s" s="83">
        <v>1066</v>
      </c>
      <c r="J222" t="s" s="83">
        <v>31</v>
      </c>
      <c r="K222" t="s" s="83">
        <v>37</v>
      </c>
      <c r="L222" s="112">
        <v>1868</v>
      </c>
      <c r="M222" s="118">
        <v>53</v>
      </c>
      <c r="N222" t="s" s="119">
        <v>536</v>
      </c>
      <c r="O222" t="s" s="119">
        <v>2727</v>
      </c>
      <c r="P222" t="s" s="119">
        <v>2728</v>
      </c>
      <c r="Q222" s="30"/>
      <c r="R222" s="121"/>
      <c r="S222" s="121"/>
      <c r="T222" s="87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  <c r="AK222" s="30"/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30"/>
      <c r="AZ222" s="74"/>
      <c r="BA222" s="16"/>
      <c r="BB222" s="16"/>
      <c r="BC222" s="16"/>
    </row>
    <row r="223" ht="17.5" customHeight="1">
      <c r="A223" s="30"/>
      <c r="B223" s="30"/>
      <c r="C223" s="30"/>
      <c r="D223" s="30"/>
      <c r="E223" s="30"/>
      <c r="F223" s="30"/>
      <c r="G223" s="30"/>
      <c r="H223" t="s" s="83">
        <v>2482</v>
      </c>
      <c r="I223" t="s" s="83">
        <v>1066</v>
      </c>
      <c r="J223" t="s" s="83">
        <v>36</v>
      </c>
      <c r="K223" t="s" s="83">
        <v>37</v>
      </c>
      <c r="L223" s="112">
        <v>1891</v>
      </c>
      <c r="M223" s="118">
        <v>30</v>
      </c>
      <c r="N223" t="s" s="119">
        <v>599</v>
      </c>
      <c r="O223" t="s" s="119">
        <v>2729</v>
      </c>
      <c r="P223" t="s" s="119">
        <v>2730</v>
      </c>
      <c r="Q223" s="121"/>
      <c r="R223" s="121"/>
      <c r="S223" s="121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  <c r="AK223" s="30"/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74"/>
      <c r="BA223" s="16"/>
      <c r="BB223" s="16"/>
      <c r="BC223" s="16"/>
    </row>
    <row r="224" ht="17.5" customHeight="1">
      <c r="A224" s="30"/>
      <c r="B224" s="30"/>
      <c r="C224" s="30"/>
      <c r="D224" s="30"/>
      <c r="E224" s="30"/>
      <c r="F224" s="30"/>
      <c r="G224" s="30"/>
      <c r="H224" t="s" s="83">
        <v>2731</v>
      </c>
      <c r="I224" t="s" s="83">
        <v>1066</v>
      </c>
      <c r="J224" t="s" s="83">
        <v>78</v>
      </c>
      <c r="K224" t="s" s="83">
        <v>12</v>
      </c>
      <c r="L224" s="112">
        <v>1903</v>
      </c>
      <c r="M224" s="118">
        <v>18</v>
      </c>
      <c r="N224" t="s" s="119">
        <v>1709</v>
      </c>
      <c r="O224" t="s" s="119">
        <v>34</v>
      </c>
      <c r="P224" t="s" s="119">
        <v>34</v>
      </c>
      <c r="Q224" s="121"/>
      <c r="R224" s="121"/>
      <c r="S224" s="121"/>
      <c r="T224" s="30"/>
      <c r="U224" s="121"/>
      <c r="V224" s="121"/>
      <c r="W224" s="121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  <c r="AK224" s="30"/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30"/>
      <c r="AZ224" s="74"/>
      <c r="BA224" s="16"/>
      <c r="BB224" s="16"/>
      <c r="BC224" s="16"/>
    </row>
    <row r="225" ht="17.5" customHeight="1">
      <c r="A225" s="30"/>
      <c r="B225" s="30"/>
      <c r="C225" s="30"/>
      <c r="D225" s="30"/>
      <c r="E225" s="30"/>
      <c r="F225" s="29"/>
      <c r="G225" s="29"/>
      <c r="H225" t="s" s="27">
        <v>132</v>
      </c>
      <c r="I225" t="s" s="27">
        <v>2732</v>
      </c>
      <c r="J225" t="s" s="27">
        <v>163</v>
      </c>
      <c r="K225" t="s" s="27">
        <v>12</v>
      </c>
      <c r="L225" s="114">
        <v>1881</v>
      </c>
      <c r="M225" s="114">
        <v>40</v>
      </c>
      <c r="N225" t="s" s="27">
        <v>1612</v>
      </c>
      <c r="O225" t="s" s="27">
        <v>163</v>
      </c>
      <c r="P225" t="s" s="27">
        <v>15</v>
      </c>
      <c r="Q225" s="30"/>
      <c r="R225" s="121"/>
      <c r="S225" s="121"/>
      <c r="T225" s="30"/>
      <c r="U225" s="121"/>
      <c r="V225" s="121"/>
      <c r="W225" s="121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  <c r="AK225" s="30"/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30"/>
      <c r="AZ225" s="74"/>
      <c r="BA225" s="16"/>
      <c r="BB225" s="16"/>
      <c r="BC225" s="16"/>
    </row>
    <row r="226" ht="17.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  <c r="K226" s="30"/>
      <c r="L226" s="30"/>
      <c r="M226" s="121"/>
      <c r="N226" s="121"/>
      <c r="O226" s="121"/>
      <c r="P226" s="121"/>
      <c r="Q226" s="30"/>
      <c r="R226" s="121"/>
      <c r="S226" s="121"/>
      <c r="T226" s="30"/>
      <c r="U226" s="121"/>
      <c r="V226" s="121"/>
      <c r="W226" s="121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  <c r="AK226" s="30"/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30"/>
      <c r="AZ226" s="74"/>
      <c r="BA226" s="16"/>
      <c r="BB226" s="16"/>
      <c r="BC226" s="16"/>
    </row>
    <row r="227" ht="17.5" customHeight="1">
      <c r="A227" s="30"/>
      <c r="B227" s="30"/>
      <c r="C227" s="30"/>
      <c r="D227" s="30"/>
      <c r="E227" s="30"/>
      <c r="F227" s="112">
        <v>3</v>
      </c>
      <c r="G227" s="30"/>
      <c r="H227" t="s" s="83">
        <v>1182</v>
      </c>
      <c r="I227" t="s" s="83">
        <v>2733</v>
      </c>
      <c r="J227" t="s" s="83">
        <v>31</v>
      </c>
      <c r="K227" s="30"/>
      <c r="L227" s="30"/>
      <c r="M227" s="118">
        <v>47</v>
      </c>
      <c r="N227" t="s" s="119">
        <v>319</v>
      </c>
      <c r="O227" t="s" s="119">
        <v>313</v>
      </c>
      <c r="P227" s="121"/>
      <c r="Q227" s="30"/>
      <c r="R227" s="121"/>
      <c r="S227" s="121"/>
      <c r="T227" s="30"/>
      <c r="U227" s="121"/>
      <c r="V227" s="121"/>
      <c r="W227" s="121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  <c r="AK227" s="30"/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30"/>
      <c r="AZ227" s="74"/>
      <c r="BA227" s="16"/>
      <c r="BB227" s="16"/>
      <c r="BC227" s="16"/>
    </row>
    <row r="228" ht="17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  <c r="K228" s="30"/>
      <c r="L228" s="30"/>
      <c r="M228" s="121"/>
      <c r="N228" s="121"/>
      <c r="O228" s="121"/>
      <c r="P228" s="121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  <c r="AK228" s="30"/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30"/>
      <c r="AZ228" s="74"/>
      <c r="BA228" s="16"/>
      <c r="BB228" s="16"/>
      <c r="BC228" s="16"/>
    </row>
    <row r="229" ht="17.5" customHeight="1">
      <c r="A229" s="30"/>
      <c r="B229" s="30"/>
      <c r="C229" s="30"/>
      <c r="D229" s="30"/>
      <c r="E229" s="30"/>
      <c r="F229" s="30"/>
      <c r="G229" s="30"/>
      <c r="H229" t="s" s="83">
        <v>0</v>
      </c>
      <c r="I229" t="s" s="83">
        <v>1</v>
      </c>
      <c r="J229" t="s" s="83">
        <v>2</v>
      </c>
      <c r="K229" t="s" s="83">
        <v>3</v>
      </c>
      <c r="L229" t="s" s="83">
        <v>4</v>
      </c>
      <c r="M229" t="s" s="119">
        <v>5</v>
      </c>
      <c r="N229" t="s" s="119">
        <v>6</v>
      </c>
      <c r="O229" t="s" s="119">
        <v>7</v>
      </c>
      <c r="P229" t="s" s="119">
        <v>8</v>
      </c>
      <c r="Q229" s="30"/>
      <c r="R229" s="121"/>
      <c r="S229" s="121"/>
      <c r="T229" s="129"/>
      <c r="U229" s="121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  <c r="AK229" s="30"/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30"/>
      <c r="AZ229" s="74"/>
      <c r="BA229" s="16"/>
      <c r="BB229" s="16"/>
      <c r="BC229" s="16"/>
    </row>
    <row r="230" ht="17.5" customHeight="1">
      <c r="A230" s="30"/>
      <c r="B230" s="30"/>
      <c r="C230" s="30"/>
      <c r="D230" s="30"/>
      <c r="E230" s="30"/>
      <c r="F230" s="112">
        <v>5</v>
      </c>
      <c r="G230" s="30"/>
      <c r="H230" t="s" s="83">
        <v>214</v>
      </c>
      <c r="I230" t="s" s="83">
        <v>2734</v>
      </c>
      <c r="J230" t="s" s="83">
        <v>31</v>
      </c>
      <c r="K230" t="s" s="83">
        <v>37</v>
      </c>
      <c r="L230" s="112">
        <v>1843</v>
      </c>
      <c r="M230" s="118">
        <v>78</v>
      </c>
      <c r="N230" t="s" s="119">
        <v>13</v>
      </c>
      <c r="O230" t="s" s="119">
        <v>2735</v>
      </c>
      <c r="P230" t="s" s="119">
        <v>34</v>
      </c>
      <c r="Q230" s="30"/>
      <c r="R230" s="121"/>
      <c r="S230" s="121"/>
      <c r="T230" s="30"/>
      <c r="U230" s="121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  <c r="AK230" s="30"/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30"/>
      <c r="AZ230" s="74"/>
      <c r="BA230" s="16"/>
      <c r="BB230" s="16"/>
      <c r="BC230" s="16"/>
    </row>
    <row r="231" ht="17.5" customHeight="1">
      <c r="A231" s="30"/>
      <c r="B231" s="30"/>
      <c r="C231" s="30"/>
      <c r="D231" s="30"/>
      <c r="E231" s="30"/>
      <c r="F231" s="30"/>
      <c r="G231" s="30"/>
      <c r="H231" t="s" s="83">
        <v>1852</v>
      </c>
      <c r="I231" t="s" s="83">
        <v>2734</v>
      </c>
      <c r="J231" t="s" s="83">
        <v>72</v>
      </c>
      <c r="K231" t="s" s="83">
        <v>12</v>
      </c>
      <c r="L231" s="112">
        <v>1848</v>
      </c>
      <c r="M231" s="118">
        <v>72</v>
      </c>
      <c r="N231" t="s" s="119">
        <v>528</v>
      </c>
      <c r="O231" t="s" s="119">
        <v>33</v>
      </c>
      <c r="P231" t="s" s="119">
        <v>34</v>
      </c>
      <c r="Q231" s="30"/>
      <c r="R231" s="121"/>
      <c r="S231" s="121"/>
      <c r="T231" s="30"/>
      <c r="U231" s="121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  <c r="AK231" s="30"/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30"/>
      <c r="AZ231" s="74"/>
      <c r="BA231" s="16"/>
      <c r="BB231" s="16"/>
      <c r="BC231" s="16"/>
    </row>
    <row r="232" ht="17.5" customHeight="1">
      <c r="A232" s="30"/>
      <c r="B232" s="30"/>
      <c r="C232" s="30"/>
      <c r="D232" s="30"/>
      <c r="E232" s="30"/>
      <c r="F232" s="30"/>
      <c r="G232" s="30"/>
      <c r="H232" t="s" s="83">
        <v>2737</v>
      </c>
      <c r="I232" t="s" s="83">
        <v>2736</v>
      </c>
      <c r="J232" t="s" s="83">
        <v>78</v>
      </c>
      <c r="K232" t="s" s="83">
        <v>12</v>
      </c>
      <c r="L232" s="112">
        <v>1873</v>
      </c>
      <c r="M232" s="118">
        <v>48</v>
      </c>
      <c r="N232" t="s" s="119">
        <v>13</v>
      </c>
      <c r="O232" t="s" s="119">
        <v>34</v>
      </c>
      <c r="P232" t="s" s="119">
        <v>34</v>
      </c>
      <c r="Q232" s="30"/>
      <c r="R232" s="121"/>
      <c r="S232" s="121"/>
      <c r="T232" s="129"/>
      <c r="U232" s="121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  <c r="AK232" s="30"/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30"/>
      <c r="AZ232" s="74"/>
      <c r="BA232" s="16"/>
      <c r="BB232" s="16"/>
      <c r="BC232" s="16"/>
    </row>
    <row r="233" ht="17.5" customHeight="1">
      <c r="A233" s="30"/>
      <c r="B233" s="30"/>
      <c r="C233" s="30"/>
      <c r="D233" s="30"/>
      <c r="E233" s="30"/>
      <c r="F233" s="30"/>
      <c r="G233" s="30"/>
      <c r="H233" t="s" s="83">
        <v>2738</v>
      </c>
      <c r="I233" t="s" s="83">
        <v>2736</v>
      </c>
      <c r="J233" t="s" s="83">
        <v>826</v>
      </c>
      <c r="K233" t="s" s="83">
        <v>37</v>
      </c>
      <c r="L233" s="112">
        <v>1902</v>
      </c>
      <c r="M233" s="112">
        <v>19</v>
      </c>
      <c r="N233" t="s" s="83">
        <v>2741</v>
      </c>
      <c r="O233" t="s" s="83">
        <v>2739</v>
      </c>
      <c r="P233" t="s" s="83">
        <v>2740</v>
      </c>
      <c r="Q233" s="30"/>
      <c r="R233" s="121"/>
      <c r="S233" s="121"/>
      <c r="T233" s="30"/>
      <c r="U233" s="121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  <c r="AK233" s="30"/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30"/>
      <c r="AZ233" s="74"/>
      <c r="BA233" s="16"/>
      <c r="BB233" s="16"/>
      <c r="BC233" s="16"/>
    </row>
    <row r="234" ht="17.5" customHeight="1">
      <c r="A234" s="30"/>
      <c r="B234" s="30"/>
      <c r="C234" s="30"/>
      <c r="D234" s="30"/>
      <c r="E234" s="30"/>
      <c r="F234" s="30"/>
      <c r="G234" s="30"/>
      <c r="H234" t="s" s="83">
        <v>2347</v>
      </c>
      <c r="I234" t="s" s="83">
        <v>2736</v>
      </c>
      <c r="J234" t="s" s="83">
        <v>11</v>
      </c>
      <c r="K234" t="s" s="83">
        <v>12</v>
      </c>
      <c r="L234" s="112">
        <v>1878</v>
      </c>
      <c r="M234" s="118">
        <v>43</v>
      </c>
      <c r="N234" t="s" s="119">
        <v>2742</v>
      </c>
      <c r="O234" t="s" s="119">
        <v>11</v>
      </c>
      <c r="P234" t="s" s="119">
        <v>15</v>
      </c>
      <c r="Q234" s="30"/>
      <c r="R234" s="121"/>
      <c r="S234" s="121"/>
      <c r="T234" s="30"/>
      <c r="U234" s="121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  <c r="AK234" s="30"/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30"/>
      <c r="AZ234" s="74"/>
      <c r="BA234" s="16"/>
      <c r="BB234" s="16"/>
      <c r="BC234" s="16"/>
    </row>
    <row r="235" ht="17.5" customHeight="1">
      <c r="A235" s="30"/>
      <c r="B235" s="30"/>
      <c r="C235" s="30"/>
      <c r="D235" s="30"/>
      <c r="E235" s="30"/>
      <c r="F235" s="30"/>
      <c r="G235" s="30"/>
      <c r="H235" t="s" s="83">
        <v>2743</v>
      </c>
      <c r="I235" t="s" s="83">
        <v>1178</v>
      </c>
      <c r="J235" t="s" s="83">
        <v>11</v>
      </c>
      <c r="K235" t="s" s="83">
        <v>12</v>
      </c>
      <c r="L235" s="112">
        <v>1897</v>
      </c>
      <c r="M235" s="118">
        <v>24</v>
      </c>
      <c r="N235" t="s" s="119">
        <v>2744</v>
      </c>
      <c r="O235" t="s" s="119">
        <v>11</v>
      </c>
      <c r="P235" t="s" s="119">
        <v>15</v>
      </c>
      <c r="Q235" s="30"/>
      <c r="R235" s="121"/>
      <c r="S235" s="121"/>
      <c r="T235" s="30"/>
      <c r="U235" s="121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  <c r="AK235" s="30"/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30"/>
      <c r="AZ235" s="74"/>
      <c r="BA235" s="16"/>
      <c r="BB235" s="16"/>
      <c r="BC235" s="16"/>
    </row>
    <row r="236" ht="17" customHeight="1">
      <c r="A236" s="83"/>
      <c r="B236" s="30"/>
      <c r="C236" s="30"/>
      <c r="D236" s="30"/>
      <c r="E236" s="30"/>
      <c r="F236" s="28"/>
      <c r="G236" s="28"/>
      <c r="H236" t="s" s="148">
        <v>106</v>
      </c>
      <c r="I236" t="s" s="148">
        <v>2745</v>
      </c>
      <c r="J236" t="s" s="148">
        <v>11</v>
      </c>
      <c r="K236" t="s" s="398">
        <v>12</v>
      </c>
      <c r="L236" s="307">
        <v>1903</v>
      </c>
      <c r="M236" s="307">
        <v>17</v>
      </c>
      <c r="N236" t="s" s="148">
        <v>118</v>
      </c>
      <c r="O236" t="s" s="148">
        <v>11</v>
      </c>
      <c r="P236" t="s" s="148">
        <v>15</v>
      </c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  <c r="AK236" s="30"/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30"/>
      <c r="AZ236" s="74"/>
      <c r="BA236" s="16"/>
      <c r="BB236" s="16"/>
      <c r="BC236" s="16"/>
    </row>
    <row r="237" ht="17" customHeight="1">
      <c r="A237" s="30"/>
      <c r="B237" s="30"/>
      <c r="C237" s="30"/>
      <c r="D237" s="30"/>
      <c r="E237" s="30"/>
      <c r="F237" s="28"/>
      <c r="G237" s="28"/>
      <c r="H237" t="s" s="148">
        <v>95</v>
      </c>
      <c r="I237" t="s" s="148">
        <v>83</v>
      </c>
      <c r="J237" t="s" s="149">
        <v>11</v>
      </c>
      <c r="K237" t="s" s="431">
        <v>12</v>
      </c>
      <c r="L237" s="435">
        <v>1906</v>
      </c>
      <c r="M237" s="307">
        <v>15</v>
      </c>
      <c r="N237" t="s" s="148">
        <v>13</v>
      </c>
      <c r="O237" t="s" s="148">
        <v>11</v>
      </c>
      <c r="P237" t="s" s="148">
        <v>15</v>
      </c>
      <c r="Q237" s="87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  <c r="AK237" s="30"/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30"/>
      <c r="AZ237" s="74"/>
      <c r="BA237" s="16"/>
      <c r="BB237" s="16"/>
      <c r="BC237" s="16"/>
    </row>
    <row r="238" ht="17" customHeight="1">
      <c r="A238" s="30"/>
      <c r="B238" s="30"/>
      <c r="C238" s="30"/>
      <c r="D238" s="30"/>
      <c r="E238" s="30"/>
      <c r="F238" s="30"/>
      <c r="G238" s="130"/>
      <c r="H238" s="130"/>
      <c r="I238" s="130"/>
      <c r="J238" s="30"/>
      <c r="K238" s="30"/>
      <c r="L238" s="30"/>
      <c r="M238" s="30"/>
      <c r="N238" s="30"/>
      <c r="O238" s="30"/>
      <c r="P238" s="30"/>
      <c r="Q238" s="87"/>
      <c r="R238" s="130"/>
      <c r="S238" s="130"/>
      <c r="T238" s="1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  <c r="AK238" s="30"/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30"/>
      <c r="AZ238" s="74"/>
      <c r="BA238" s="16"/>
      <c r="BB238" s="16"/>
      <c r="BC238" s="16"/>
    </row>
    <row r="239" ht="17.5" customHeight="1">
      <c r="A239" s="30"/>
      <c r="B239" s="30"/>
      <c r="C239" s="30"/>
      <c r="D239" s="30"/>
      <c r="E239" s="30"/>
      <c r="F239" s="30"/>
      <c r="G239" s="30"/>
      <c r="H239" t="s" s="83">
        <v>0</v>
      </c>
      <c r="I239" t="s" s="83">
        <v>1</v>
      </c>
      <c r="J239" t="s" s="83">
        <v>2</v>
      </c>
      <c r="K239" t="s" s="83">
        <v>3</v>
      </c>
      <c r="L239" t="s" s="83">
        <v>4</v>
      </c>
      <c r="M239" t="s" s="83">
        <v>5</v>
      </c>
      <c r="N239" t="s" s="83">
        <v>6</v>
      </c>
      <c r="O239" t="s" s="83">
        <v>7</v>
      </c>
      <c r="P239" t="s" s="83">
        <v>8</v>
      </c>
      <c r="Q239" s="30"/>
      <c r="R239" s="121"/>
      <c r="S239" s="121"/>
      <c r="T239" s="129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  <c r="AK239" s="30"/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30"/>
      <c r="AZ239" s="74"/>
      <c r="BA239" s="16"/>
      <c r="BB239" s="16"/>
      <c r="BC239" s="16"/>
    </row>
    <row r="240" ht="17" customHeight="1">
      <c r="A240" s="30"/>
      <c r="B240" s="30"/>
      <c r="C240" s="30"/>
      <c r="D240" s="30"/>
      <c r="E240" s="30"/>
      <c r="F240" s="112">
        <v>7</v>
      </c>
      <c r="G240" s="30"/>
      <c r="H240" t="s" s="83">
        <v>601</v>
      </c>
      <c r="I240" t="s" s="83">
        <v>334</v>
      </c>
      <c r="J240" t="s" s="83">
        <v>31</v>
      </c>
      <c r="K240" t="s" s="83">
        <v>37</v>
      </c>
      <c r="L240" s="112">
        <v>1850</v>
      </c>
      <c r="M240" s="112">
        <v>70</v>
      </c>
      <c r="N240" t="s" s="83">
        <v>745</v>
      </c>
      <c r="O240" t="s" s="83">
        <v>92</v>
      </c>
      <c r="P240" t="s" s="83">
        <v>603</v>
      </c>
      <c r="Q240" s="30"/>
      <c r="R240" s="130"/>
      <c r="S240" s="130"/>
      <c r="T240" s="130"/>
      <c r="U240" s="30"/>
      <c r="V240" s="30"/>
      <c r="W240" s="30"/>
      <c r="X240" s="30"/>
      <c r="Y240" s="30"/>
      <c r="Z240" s="30"/>
      <c r="AA240" s="30"/>
      <c r="AB240" s="30"/>
      <c r="AC240" s="134"/>
      <c r="AD240" s="134"/>
      <c r="AE240" s="30"/>
      <c r="AF240" s="30"/>
      <c r="AG240" s="30"/>
      <c r="AH240" s="30"/>
      <c r="AI240" s="30"/>
      <c r="AJ240" s="3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30"/>
      <c r="AZ240" s="74"/>
      <c r="BA240" s="16"/>
      <c r="BB240" s="16"/>
      <c r="BC240" s="16"/>
    </row>
    <row r="241" ht="17.5" customHeight="1">
      <c r="A241" s="30"/>
      <c r="B241" s="30"/>
      <c r="C241" s="30"/>
      <c r="D241" s="30"/>
      <c r="E241" s="30"/>
      <c r="F241" s="30"/>
      <c r="G241" s="30"/>
      <c r="H241" t="s" s="83">
        <v>2746</v>
      </c>
      <c r="I241" t="s" s="83">
        <v>334</v>
      </c>
      <c r="J241" t="s" s="83">
        <v>78</v>
      </c>
      <c r="K241" t="s" s="83">
        <v>12</v>
      </c>
      <c r="L241" s="112">
        <v>1875</v>
      </c>
      <c r="M241" s="112">
        <v>45</v>
      </c>
      <c r="N241" t="s" s="83">
        <v>13</v>
      </c>
      <c r="O241" t="s" s="83">
        <v>33</v>
      </c>
      <c r="P241" t="s" s="83">
        <v>34</v>
      </c>
      <c r="Q241" s="30"/>
      <c r="R241" s="121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  <c r="AK241" s="30"/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30"/>
      <c r="AZ241" s="74"/>
      <c r="BA241" s="16"/>
      <c r="BB241" s="16"/>
      <c r="BC241" s="16"/>
    </row>
    <row r="242" ht="15.35" customHeight="1">
      <c r="A242" s="62"/>
      <c r="B242" s="62"/>
      <c r="C242" s="62"/>
      <c r="D242" s="62"/>
      <c r="E242" s="62"/>
      <c r="F242" s="62"/>
      <c r="G242" s="62"/>
      <c r="H242" t="s" s="98">
        <v>2456</v>
      </c>
      <c r="I242" t="s" s="98">
        <v>334</v>
      </c>
      <c r="J242" t="s" s="98">
        <v>78</v>
      </c>
      <c r="K242" t="s" s="98">
        <v>12</v>
      </c>
      <c r="L242" s="97">
        <v>1885</v>
      </c>
      <c r="M242" s="97">
        <v>35</v>
      </c>
      <c r="N242" t="s" s="98">
        <v>13</v>
      </c>
      <c r="O242" t="s" s="98">
        <v>2610</v>
      </c>
      <c r="P242" t="s" s="98">
        <v>15</v>
      </c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16"/>
      <c r="BA242" s="16"/>
      <c r="BB242" s="16"/>
      <c r="BC242" s="16"/>
    </row>
    <row r="243" ht="15.35" customHeight="1">
      <c r="A243" s="16"/>
      <c r="B243" s="16"/>
      <c r="C243" s="16"/>
      <c r="D243" s="16"/>
      <c r="E243" s="16"/>
      <c r="F243" s="16"/>
      <c r="G243" s="16"/>
      <c r="H243" t="s" s="96">
        <v>2747</v>
      </c>
      <c r="I243" t="s" s="96">
        <v>334</v>
      </c>
      <c r="J243" t="s" s="96">
        <v>41</v>
      </c>
      <c r="K243" t="s" s="96">
        <v>37</v>
      </c>
      <c r="L243" s="79">
        <v>1881</v>
      </c>
      <c r="M243" s="79">
        <v>40</v>
      </c>
      <c r="N243" t="s" s="96">
        <v>13</v>
      </c>
      <c r="O243" t="s" s="96">
        <v>2748</v>
      </c>
      <c r="P243" t="s" s="96">
        <v>2749</v>
      </c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  <c r="AZ243" s="16"/>
      <c r="BA243" s="16"/>
      <c r="BB243" s="16"/>
      <c r="BC243" s="16"/>
    </row>
    <row r="244" ht="15.35" customHeight="1">
      <c r="A244" s="16"/>
      <c r="B244" s="16"/>
      <c r="C244" s="16"/>
      <c r="D244" s="16"/>
      <c r="E244" s="16"/>
      <c r="F244" s="16"/>
      <c r="G244" s="16"/>
      <c r="H244" t="s" s="96">
        <v>315</v>
      </c>
      <c r="I244" t="s" s="96">
        <v>334</v>
      </c>
      <c r="J244" t="s" s="96">
        <v>41</v>
      </c>
      <c r="K244" t="s" s="96">
        <v>12</v>
      </c>
      <c r="L244" s="79">
        <v>1883</v>
      </c>
      <c r="M244" s="79">
        <v>37</v>
      </c>
      <c r="N244" t="s" s="96">
        <v>34</v>
      </c>
      <c r="O244" t="s" s="96">
        <v>34</v>
      </c>
      <c r="P244" t="s" s="96">
        <v>34</v>
      </c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  <c r="AZ244" s="16"/>
      <c r="BA244" s="16"/>
      <c r="BB244" s="16"/>
      <c r="BC244" s="16"/>
    </row>
    <row r="245" ht="15.35" customHeight="1">
      <c r="A245" s="16"/>
      <c r="B245" s="16"/>
      <c r="C245" s="16"/>
      <c r="D245" s="16"/>
      <c r="E245" s="16"/>
      <c r="F245" s="16"/>
      <c r="G245" s="16"/>
      <c r="H245" t="s" s="96">
        <v>2750</v>
      </c>
      <c r="I245" t="s" s="96">
        <v>334</v>
      </c>
      <c r="J245" t="s" s="96">
        <v>41</v>
      </c>
      <c r="K245" t="s" s="96">
        <v>37</v>
      </c>
      <c r="L245" s="79">
        <v>1912</v>
      </c>
      <c r="M245" s="79">
        <v>9</v>
      </c>
      <c r="N245" t="s" s="96">
        <v>2751</v>
      </c>
      <c r="O245" t="s" s="96">
        <v>34</v>
      </c>
      <c r="P245" t="s" s="96">
        <v>34</v>
      </c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  <c r="AZ245" s="16"/>
      <c r="BA245" s="16"/>
      <c r="BB245" s="16"/>
      <c r="BC245" s="16"/>
    </row>
    <row r="246" ht="15.35" customHeight="1">
      <c r="A246" s="16"/>
      <c r="B246" s="16"/>
      <c r="C246" s="16"/>
      <c r="D246" s="16"/>
      <c r="E246" s="16"/>
      <c r="F246" s="16"/>
      <c r="G246" s="16"/>
      <c r="H246" t="s" s="96">
        <v>2752</v>
      </c>
      <c r="I246" t="s" s="96">
        <v>334</v>
      </c>
      <c r="J246" t="s" s="96">
        <v>41</v>
      </c>
      <c r="K246" t="s" s="96">
        <v>12</v>
      </c>
      <c r="L246" s="79">
        <v>1910</v>
      </c>
      <c r="M246" s="79">
        <v>11</v>
      </c>
      <c r="N246" t="s" s="96">
        <v>2751</v>
      </c>
      <c r="O246" t="s" s="96">
        <v>34</v>
      </c>
      <c r="P246" t="s" s="96">
        <v>34</v>
      </c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  <c r="AZ246" s="16"/>
      <c r="BA246" s="16"/>
      <c r="BB246" s="16"/>
      <c r="BC246" s="16"/>
    </row>
    <row r="247" ht="15.35" customHeight="1">
      <c r="A247" s="16"/>
      <c r="B247" s="16"/>
      <c r="C247" s="16"/>
      <c r="D247" s="16"/>
      <c r="E247" s="16"/>
      <c r="F247" s="16"/>
      <c r="G247" s="16"/>
      <c r="H247" t="s" s="96">
        <v>2753</v>
      </c>
      <c r="I247" t="s" s="96">
        <v>334</v>
      </c>
      <c r="J247" t="s" s="96">
        <v>41</v>
      </c>
      <c r="K247" t="s" s="96">
        <v>37</v>
      </c>
      <c r="L247" s="79">
        <v>1920</v>
      </c>
      <c r="M247" s="79">
        <v>1</v>
      </c>
      <c r="N247" t="s" s="96">
        <v>2751</v>
      </c>
      <c r="O247" t="s" s="96">
        <v>34</v>
      </c>
      <c r="P247" t="s" s="96">
        <v>34</v>
      </c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  <c r="AZ247" s="16"/>
      <c r="BA247" s="16"/>
      <c r="BB247" s="16"/>
      <c r="BC247" s="16"/>
    </row>
    <row r="248" ht="15.35" customHeight="1">
      <c r="A248" s="16"/>
      <c r="B248" s="16"/>
      <c r="C248" s="16"/>
      <c r="D248" s="16"/>
      <c r="E248" s="16"/>
      <c r="F248" s="16"/>
      <c r="G248" s="16"/>
      <c r="H248" t="s" s="96">
        <v>2356</v>
      </c>
      <c r="I248" t="s" s="96">
        <v>2754</v>
      </c>
      <c r="J248" t="s" s="96">
        <v>11</v>
      </c>
      <c r="K248" t="s" s="96">
        <v>37</v>
      </c>
      <c r="L248" s="79">
        <v>1855</v>
      </c>
      <c r="M248" s="79">
        <v>66</v>
      </c>
      <c r="N248" t="s" s="96">
        <v>553</v>
      </c>
      <c r="O248" t="s" s="96">
        <v>2755</v>
      </c>
      <c r="P248" t="s" s="96">
        <v>15</v>
      </c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  <c r="AZ248" s="16"/>
      <c r="BA248" s="16"/>
      <c r="BB248" s="16"/>
      <c r="BC248" s="16"/>
    </row>
    <row r="249" ht="15.35" customHeight="1">
      <c r="A249" s="16"/>
      <c r="B249" s="16"/>
      <c r="C249" s="16"/>
      <c r="D249" s="16"/>
      <c r="E249" s="16"/>
      <c r="F249" s="16"/>
      <c r="G249" s="16"/>
      <c r="H249" t="s" s="96">
        <v>17</v>
      </c>
      <c r="I249" t="s" s="96">
        <v>2186</v>
      </c>
      <c r="J249" t="s" s="96">
        <v>11</v>
      </c>
      <c r="K249" t="s" s="96">
        <v>12</v>
      </c>
      <c r="L249" s="79">
        <v>1896</v>
      </c>
      <c r="M249" s="79">
        <v>25</v>
      </c>
      <c r="N249" t="s" s="96">
        <v>13</v>
      </c>
      <c r="O249" t="s" s="96">
        <v>2756</v>
      </c>
      <c r="P249" t="s" s="96">
        <v>15</v>
      </c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  <c r="AZ249" s="16"/>
      <c r="BA249" s="16"/>
      <c r="BB249" s="16"/>
      <c r="BC249" s="16"/>
    </row>
    <row r="250" ht="15.35" customHeight="1">
      <c r="A250" s="16"/>
      <c r="B250" s="16"/>
      <c r="C250" s="16"/>
      <c r="D250" s="16"/>
      <c r="E250" s="16"/>
      <c r="F250" s="16"/>
      <c r="G250" s="16"/>
      <c r="H250" t="s" s="96">
        <v>251</v>
      </c>
      <c r="I250" t="s" s="96">
        <v>2757</v>
      </c>
      <c r="J250" t="s" s="96">
        <v>11</v>
      </c>
      <c r="K250" t="s" s="96">
        <v>12</v>
      </c>
      <c r="L250" s="79">
        <v>1887</v>
      </c>
      <c r="M250" s="79">
        <v>33</v>
      </c>
      <c r="N250" t="s" s="96">
        <v>118</v>
      </c>
      <c r="O250" t="s" s="96">
        <v>45</v>
      </c>
      <c r="P250" t="s" s="96">
        <v>15</v>
      </c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  <c r="AZ250" s="16"/>
      <c r="BA250" s="16"/>
      <c r="BB250" s="16"/>
      <c r="BC250" s="16"/>
    </row>
    <row r="251" ht="15.35" customHeight="1">
      <c r="A251" s="16"/>
      <c r="B251" s="16"/>
      <c r="C251" s="16"/>
      <c r="D251" s="16"/>
      <c r="E251" s="16"/>
      <c r="F251" s="16"/>
      <c r="G251" s="16"/>
      <c r="H251" t="s" s="96">
        <v>2759</v>
      </c>
      <c r="I251" t="s" s="96">
        <v>2758</v>
      </c>
      <c r="J251" t="s" s="96">
        <v>11</v>
      </c>
      <c r="K251" t="s" s="96">
        <v>12</v>
      </c>
      <c r="L251" s="79">
        <v>1896</v>
      </c>
      <c r="M251" s="79">
        <v>24</v>
      </c>
      <c r="N251" t="s" s="96">
        <v>1936</v>
      </c>
      <c r="O251" t="s" s="96">
        <v>55</v>
      </c>
      <c r="P251" t="s" s="96">
        <v>15</v>
      </c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  <c r="AZ251" s="16"/>
      <c r="BA251" s="16"/>
      <c r="BB251" s="16"/>
      <c r="BC251" s="16"/>
    </row>
    <row r="252" ht="15.35" customHeight="1">
      <c r="A252" s="16"/>
      <c r="B252" s="16"/>
      <c r="C252" s="16"/>
      <c r="D252" s="16"/>
      <c r="E252" s="16"/>
      <c r="F252" s="16"/>
      <c r="G252" s="16"/>
      <c r="H252" t="s" s="96">
        <v>962</v>
      </c>
      <c r="I252" t="s" s="96">
        <v>2758</v>
      </c>
      <c r="J252" t="s" s="96">
        <v>11</v>
      </c>
      <c r="K252" t="s" s="96">
        <v>12</v>
      </c>
      <c r="L252" s="79">
        <v>1903</v>
      </c>
      <c r="M252" s="79">
        <v>18</v>
      </c>
      <c r="N252" t="s" s="96">
        <v>134</v>
      </c>
      <c r="O252" t="s" s="96">
        <v>51</v>
      </c>
      <c r="P252" t="s" s="96">
        <v>15</v>
      </c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  <c r="AZ252" s="16"/>
      <c r="BA252" s="16"/>
      <c r="BB252" s="16"/>
      <c r="BC252" s="16"/>
    </row>
    <row r="253" ht="15.3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  <c r="AZ253" s="16"/>
      <c r="BA253" s="16"/>
      <c r="BB253" s="16"/>
      <c r="BC253" s="16"/>
    </row>
    <row r="254" ht="15.35" customHeight="1">
      <c r="A254" s="16"/>
      <c r="B254" s="16"/>
      <c r="C254" s="16"/>
      <c r="D254" s="16"/>
      <c r="E254" s="16"/>
      <c r="F254" s="16"/>
      <c r="G254" s="16"/>
      <c r="H254" t="s" s="96">
        <v>0</v>
      </c>
      <c r="I254" t="s" s="96">
        <v>1</v>
      </c>
      <c r="J254" t="s" s="96">
        <v>2</v>
      </c>
      <c r="K254" t="s" s="96">
        <v>3</v>
      </c>
      <c r="L254" t="s" s="96">
        <v>4</v>
      </c>
      <c r="M254" t="s" s="96">
        <v>5</v>
      </c>
      <c r="N254" t="s" s="96">
        <v>6</v>
      </c>
      <c r="O254" t="s" s="96">
        <v>7</v>
      </c>
      <c r="P254" t="s" s="96">
        <v>8</v>
      </c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  <c r="AZ254" s="16"/>
      <c r="BA254" s="16"/>
      <c r="BB254" s="16"/>
      <c r="BC254" s="16"/>
    </row>
    <row r="255" ht="15.35" customHeight="1">
      <c r="A255" s="16"/>
      <c r="B255" s="16"/>
      <c r="C255" s="16"/>
      <c r="D255" s="16"/>
      <c r="E255" s="16"/>
      <c r="F255" s="79">
        <v>11</v>
      </c>
      <c r="G255" s="16"/>
      <c r="H255" t="s" s="96">
        <v>2760</v>
      </c>
      <c r="I255" t="s" s="96">
        <v>1017</v>
      </c>
      <c r="J255" t="s" s="96">
        <v>31</v>
      </c>
      <c r="K255" t="s" s="96">
        <v>37</v>
      </c>
      <c r="L255" s="79">
        <v>1867</v>
      </c>
      <c r="M255" s="79">
        <v>53</v>
      </c>
      <c r="N255" t="s" s="96">
        <v>54</v>
      </c>
      <c r="O255" t="s" s="96">
        <v>2761</v>
      </c>
      <c r="P255" t="s" s="96">
        <v>8</v>
      </c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  <c r="AZ255" s="16"/>
      <c r="BA255" s="16"/>
      <c r="BB255" s="16"/>
      <c r="BC255" s="16"/>
    </row>
    <row r="256" ht="15.35" customHeight="1">
      <c r="A256" s="16"/>
      <c r="B256" s="16"/>
      <c r="C256" s="16"/>
      <c r="D256" s="16"/>
      <c r="E256" s="16"/>
      <c r="F256" s="16"/>
      <c r="G256" s="16"/>
      <c r="H256" t="s" s="96">
        <v>262</v>
      </c>
      <c r="I256" t="s" s="96">
        <v>2762</v>
      </c>
      <c r="J256" t="s" s="96">
        <v>163</v>
      </c>
      <c r="K256" t="s" s="96">
        <v>12</v>
      </c>
      <c r="L256" s="79">
        <v>1861</v>
      </c>
      <c r="M256" s="79">
        <v>60</v>
      </c>
      <c r="N256" t="s" s="96">
        <v>134</v>
      </c>
      <c r="O256" t="s" s="96">
        <v>175</v>
      </c>
      <c r="P256" t="s" s="96">
        <v>15</v>
      </c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  <c r="AZ256" s="16"/>
      <c r="BA256" s="16"/>
      <c r="BB256" s="16"/>
      <c r="BC256" s="16"/>
    </row>
    <row r="257" ht="15.35" customHeight="1">
      <c r="A257" s="16"/>
      <c r="B257" s="16"/>
      <c r="C257" s="16"/>
      <c r="D257" s="16"/>
      <c r="E257" s="16"/>
      <c r="F257" s="16"/>
      <c r="G257" s="16"/>
      <c r="H257" t="s" s="96">
        <v>2764</v>
      </c>
      <c r="I257" t="s" s="96">
        <v>2763</v>
      </c>
      <c r="J257" t="s" s="96">
        <v>55</v>
      </c>
      <c r="K257" t="s" s="96">
        <v>12</v>
      </c>
      <c r="L257" s="79">
        <v>1889</v>
      </c>
      <c r="M257" s="79">
        <v>32</v>
      </c>
      <c r="N257" t="s" s="96">
        <v>2577</v>
      </c>
      <c r="O257" t="s" s="96">
        <v>89</v>
      </c>
      <c r="P257" t="s" s="96">
        <v>15</v>
      </c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  <c r="AZ257" s="16"/>
      <c r="BA257" s="16"/>
      <c r="BB257" s="16"/>
      <c r="BC257" s="16"/>
    </row>
    <row r="258" ht="15.3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  <c r="AZ258" s="16"/>
      <c r="BA258" s="16"/>
      <c r="BB258" s="16"/>
      <c r="BC258" s="16"/>
    </row>
    <row r="259" ht="15.35" customHeight="1">
      <c r="A259" s="16"/>
      <c r="B259" s="16"/>
      <c r="C259" s="16"/>
      <c r="D259" s="16"/>
      <c r="E259" s="16"/>
      <c r="F259" s="16"/>
      <c r="G259" s="16"/>
      <c r="H259" t="s" s="96">
        <v>0</v>
      </c>
      <c r="I259" t="s" s="96">
        <v>1</v>
      </c>
      <c r="J259" t="s" s="96">
        <v>2</v>
      </c>
      <c r="K259" t="s" s="96">
        <v>3</v>
      </c>
      <c r="L259" t="s" s="96">
        <v>4</v>
      </c>
      <c r="M259" t="s" s="96">
        <v>5</v>
      </c>
      <c r="N259" t="s" s="96">
        <v>6</v>
      </c>
      <c r="O259" t="s" s="96">
        <v>7</v>
      </c>
      <c r="P259" t="s" s="96">
        <v>8</v>
      </c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  <c r="AZ259" s="16"/>
      <c r="BA259" s="16"/>
      <c r="BB259" s="16"/>
      <c r="BC259" s="16"/>
    </row>
    <row r="260" ht="15.35" customHeight="1">
      <c r="A260" s="16"/>
      <c r="B260" s="16"/>
      <c r="C260" s="16"/>
      <c r="D260" s="16"/>
      <c r="E260" s="16"/>
      <c r="F260" s="79">
        <v>13</v>
      </c>
      <c r="G260" s="16"/>
      <c r="H260" t="s" s="96">
        <v>71</v>
      </c>
      <c r="I260" t="s" s="96">
        <v>2765</v>
      </c>
      <c r="J260" t="s" s="96">
        <v>31</v>
      </c>
      <c r="K260" t="s" s="96">
        <v>12</v>
      </c>
      <c r="L260" s="79">
        <v>1862</v>
      </c>
      <c r="M260" s="79">
        <v>59</v>
      </c>
      <c r="N260" t="s" s="96">
        <v>2766</v>
      </c>
      <c r="O260" t="s" s="96">
        <v>33</v>
      </c>
      <c r="P260" t="s" s="96">
        <v>34</v>
      </c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  <c r="AZ260" s="16"/>
      <c r="BA260" s="16"/>
      <c r="BB260" s="16"/>
      <c r="BC260" s="16"/>
    </row>
    <row r="261" ht="15.35" customHeight="1">
      <c r="A261" s="16"/>
      <c r="B261" s="16"/>
      <c r="C261" s="16"/>
      <c r="D261" s="16"/>
      <c r="E261" s="16"/>
      <c r="F261" s="16"/>
      <c r="G261" s="16"/>
      <c r="H261" t="s" s="96">
        <v>2768</v>
      </c>
      <c r="I261" t="s" s="96">
        <v>2767</v>
      </c>
      <c r="J261" t="s" s="96">
        <v>41</v>
      </c>
      <c r="K261" t="s" s="96">
        <v>12</v>
      </c>
      <c r="L261" s="79">
        <v>1892</v>
      </c>
      <c r="M261" s="79">
        <v>29</v>
      </c>
      <c r="N261" t="s" s="96">
        <v>34</v>
      </c>
      <c r="O261" t="s" s="96">
        <v>34</v>
      </c>
      <c r="P261" t="s" s="96">
        <v>34</v>
      </c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  <c r="AZ261" s="16"/>
      <c r="BA261" s="16"/>
      <c r="BB261" s="16"/>
      <c r="BC261" s="16"/>
    </row>
    <row r="262" ht="15.35" customHeight="1">
      <c r="A262" s="16"/>
      <c r="B262" s="16"/>
      <c r="C262" s="16"/>
      <c r="D262" s="16"/>
      <c r="E262" s="16"/>
      <c r="F262" s="16"/>
      <c r="G262" s="16"/>
      <c r="H262" t="s" s="96">
        <v>166</v>
      </c>
      <c r="I262" t="s" s="96">
        <v>2769</v>
      </c>
      <c r="J262" t="s" s="96">
        <v>186</v>
      </c>
      <c r="K262" t="s" s="96">
        <v>12</v>
      </c>
      <c r="L262" s="79">
        <v>1893</v>
      </c>
      <c r="M262" s="79">
        <v>27</v>
      </c>
      <c r="N262" t="s" s="96">
        <v>54</v>
      </c>
      <c r="O262" t="s" s="96">
        <v>188</v>
      </c>
      <c r="P262" t="s" s="96">
        <v>15</v>
      </c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  <c r="AZ262" s="16"/>
      <c r="BA262" s="16"/>
      <c r="BB262" s="16"/>
      <c r="BC262" s="16"/>
    </row>
    <row r="263" ht="15.35" customHeight="1">
      <c r="A263" s="16"/>
      <c r="B263" s="16"/>
      <c r="C263" s="16"/>
      <c r="D263" s="16"/>
      <c r="E263" s="16"/>
      <c r="F263" s="16"/>
      <c r="G263" s="16"/>
      <c r="H263" t="s" s="96">
        <v>2770</v>
      </c>
      <c r="I263" t="s" s="96">
        <v>980</v>
      </c>
      <c r="J263" t="s" s="96">
        <v>186</v>
      </c>
      <c r="K263" t="s" s="96">
        <v>12</v>
      </c>
      <c r="L263" s="79">
        <v>1897</v>
      </c>
      <c r="M263" s="79">
        <v>23</v>
      </c>
      <c r="N263" t="s" s="96">
        <v>2771</v>
      </c>
      <c r="O263" t="s" s="96">
        <v>188</v>
      </c>
      <c r="P263" t="s" s="96">
        <v>15</v>
      </c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  <c r="AZ263" s="16"/>
      <c r="BA263" s="16"/>
      <c r="BB263" s="16"/>
      <c r="BC263" s="16"/>
    </row>
    <row r="264" ht="15.35" customHeight="1">
      <c r="A264" s="16"/>
      <c r="B264" s="16"/>
      <c r="C264" s="16"/>
      <c r="D264" s="16"/>
      <c r="E264" s="16"/>
      <c r="F264" s="16"/>
      <c r="G264" s="16"/>
      <c r="H264" t="s" s="96">
        <v>2772</v>
      </c>
      <c r="I264" t="s" s="96">
        <v>1196</v>
      </c>
      <c r="J264" t="s" s="96">
        <v>207</v>
      </c>
      <c r="K264" t="s" s="96">
        <v>12</v>
      </c>
      <c r="L264" s="79">
        <v>1893</v>
      </c>
      <c r="M264" s="79">
        <v>28</v>
      </c>
      <c r="N264" t="s" s="96">
        <v>2773</v>
      </c>
      <c r="O264" t="s" s="96">
        <v>207</v>
      </c>
      <c r="P264" t="s" s="96">
        <v>15</v>
      </c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  <c r="AZ264" s="16"/>
      <c r="BA264" s="16"/>
      <c r="BB264" s="16"/>
      <c r="BC264" s="16"/>
    </row>
    <row r="265" ht="15.35" customHeight="1">
      <c r="A265" s="16"/>
      <c r="B265" s="16"/>
      <c r="C265" s="16"/>
      <c r="D265" s="16"/>
      <c r="E265" s="16"/>
      <c r="F265" s="16"/>
      <c r="G265" s="16"/>
      <c r="H265" t="s" s="96">
        <v>48</v>
      </c>
      <c r="I265" t="s" s="96">
        <v>888</v>
      </c>
      <c r="J265" t="s" s="96">
        <v>186</v>
      </c>
      <c r="K265" t="s" s="96">
        <v>12</v>
      </c>
      <c r="L265" s="79">
        <v>1900</v>
      </c>
      <c r="M265" s="79">
        <v>20</v>
      </c>
      <c r="N265" t="s" s="96">
        <v>134</v>
      </c>
      <c r="O265" t="s" s="96">
        <v>188</v>
      </c>
      <c r="P265" t="s" s="96">
        <v>15</v>
      </c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  <c r="AZ265" s="16"/>
      <c r="BA265" s="16"/>
      <c r="BB265" s="16"/>
      <c r="BC265" s="16"/>
    </row>
    <row r="266" ht="15.3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  <c r="AZ266" s="16"/>
      <c r="BA266" s="16"/>
      <c r="BB266" s="16"/>
      <c r="BC266" s="16"/>
    </row>
    <row r="267" ht="15.35" customHeight="1">
      <c r="A267" s="16"/>
      <c r="B267" s="16"/>
      <c r="C267" s="16"/>
      <c r="D267" s="16"/>
      <c r="E267" s="16"/>
      <c r="F267" s="16"/>
      <c r="G267" s="16"/>
      <c r="H267" t="s" s="96">
        <v>0</v>
      </c>
      <c r="I267" t="s" s="96">
        <v>1</v>
      </c>
      <c r="J267" t="s" s="96">
        <v>2</v>
      </c>
      <c r="K267" t="s" s="96">
        <v>3</v>
      </c>
      <c r="L267" t="s" s="96">
        <v>4</v>
      </c>
      <c r="M267" t="s" s="96">
        <v>5</v>
      </c>
      <c r="N267" t="s" s="96">
        <v>6</v>
      </c>
      <c r="O267" t="s" s="96">
        <v>7</v>
      </c>
      <c r="P267" t="s" s="96">
        <v>8</v>
      </c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  <c r="AZ267" s="16"/>
      <c r="BA267" s="16"/>
      <c r="BB267" s="16"/>
      <c r="BC267" s="16"/>
    </row>
    <row r="268" ht="15.35" customHeight="1">
      <c r="A268" s="16"/>
      <c r="B268" s="16"/>
      <c r="C268" s="16"/>
      <c r="D268" s="16"/>
      <c r="E268" s="16"/>
      <c r="F268" s="79">
        <v>15</v>
      </c>
      <c r="G268" s="16"/>
      <c r="H268" t="s" s="96">
        <v>1281</v>
      </c>
      <c r="I268" t="s" s="96">
        <v>128</v>
      </c>
      <c r="J268" t="s" s="96">
        <v>11</v>
      </c>
      <c r="K268" t="s" s="96">
        <v>12</v>
      </c>
      <c r="L268" s="79">
        <v>1885</v>
      </c>
      <c r="M268" s="79">
        <v>36</v>
      </c>
      <c r="N268" t="s" s="96">
        <v>2874</v>
      </c>
      <c r="O268" t="s" s="96">
        <v>55</v>
      </c>
      <c r="P268" t="s" s="96">
        <v>15</v>
      </c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  <c r="AZ268" s="16"/>
      <c r="BA268" s="16"/>
      <c r="BB268" s="16"/>
      <c r="BC268" s="16"/>
    </row>
    <row r="269" ht="15.35" customHeight="1">
      <c r="A269" s="16"/>
      <c r="B269" s="16"/>
      <c r="C269" s="16"/>
      <c r="D269" s="16"/>
      <c r="E269" s="16"/>
      <c r="F269" s="16"/>
      <c r="G269" s="16"/>
      <c r="H269" t="s" s="96">
        <v>366</v>
      </c>
      <c r="I269" t="s" s="96">
        <v>2774</v>
      </c>
      <c r="J269" t="s" s="96">
        <v>11</v>
      </c>
      <c r="K269" t="s" s="96">
        <v>12</v>
      </c>
      <c r="L269" s="79">
        <v>1862</v>
      </c>
      <c r="M269" s="79">
        <v>58</v>
      </c>
      <c r="N269" t="s" s="96">
        <v>2875</v>
      </c>
      <c r="O269" t="s" s="96">
        <v>2775</v>
      </c>
      <c r="P269" t="s" s="96">
        <v>15</v>
      </c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  <c r="AZ269" s="16"/>
      <c r="BA269" s="16"/>
      <c r="BB269" s="16"/>
      <c r="BC269" s="16"/>
    </row>
    <row r="270" ht="15.3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  <c r="AZ270" s="16"/>
      <c r="BA270" s="16"/>
      <c r="BB270" s="16"/>
      <c r="BC270" s="16"/>
    </row>
    <row r="271" ht="15.35" customHeight="1">
      <c r="A271" s="16"/>
      <c r="B271" s="16"/>
      <c r="C271" s="16"/>
      <c r="D271" s="16"/>
      <c r="E271" s="16"/>
      <c r="F271" s="16"/>
      <c r="G271" s="16"/>
      <c r="H271" t="s" s="96">
        <v>0</v>
      </c>
      <c r="I271" t="s" s="96">
        <v>1</v>
      </c>
      <c r="J271" t="s" s="96">
        <v>2</v>
      </c>
      <c r="K271" t="s" s="96">
        <v>3</v>
      </c>
      <c r="L271" t="s" s="96">
        <v>4</v>
      </c>
      <c r="M271" t="s" s="96">
        <v>5</v>
      </c>
      <c r="N271" t="s" s="96">
        <v>6</v>
      </c>
      <c r="O271" t="s" s="96">
        <v>7</v>
      </c>
      <c r="P271" t="s" s="96">
        <v>8</v>
      </c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  <c r="AZ271" s="16"/>
      <c r="BA271" s="16"/>
      <c r="BB271" s="16"/>
      <c r="BC271" s="16"/>
    </row>
    <row r="272" ht="15.35" customHeight="1">
      <c r="A272" s="16"/>
      <c r="B272" s="16"/>
      <c r="C272" s="16"/>
      <c r="D272" s="16"/>
      <c r="E272" s="16"/>
      <c r="F272" s="79">
        <v>17</v>
      </c>
      <c r="G272" s="16"/>
      <c r="H272" t="s" s="96">
        <v>2776</v>
      </c>
      <c r="I272" t="s" s="96">
        <v>443</v>
      </c>
      <c r="J272" t="s" s="96">
        <v>31</v>
      </c>
      <c r="K272" t="s" s="96">
        <v>37</v>
      </c>
      <c r="L272" s="79">
        <v>1869</v>
      </c>
      <c r="M272" s="79">
        <v>51</v>
      </c>
      <c r="N272" t="s" s="96">
        <v>2779</v>
      </c>
      <c r="O272" t="s" s="96">
        <v>2777</v>
      </c>
      <c r="P272" t="s" s="96">
        <v>2778</v>
      </c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  <c r="AZ272" s="16"/>
      <c r="BA272" s="16"/>
      <c r="BB272" s="16"/>
      <c r="BC272" s="16"/>
    </row>
    <row r="273" ht="15.35" customHeight="1">
      <c r="A273" s="16"/>
      <c r="B273" s="16"/>
      <c r="C273" s="16"/>
      <c r="D273" s="16"/>
      <c r="E273" s="16"/>
      <c r="F273" s="16"/>
      <c r="G273" s="16"/>
      <c r="H273" t="s" s="96">
        <v>2780</v>
      </c>
      <c r="I273" t="s" s="96">
        <v>443</v>
      </c>
      <c r="J273" t="s" s="96">
        <v>72</v>
      </c>
      <c r="K273" t="s" s="96">
        <v>12</v>
      </c>
      <c r="L273" s="79">
        <v>1874</v>
      </c>
      <c r="M273" s="79">
        <v>47</v>
      </c>
      <c r="N273" t="s" s="96">
        <v>2159</v>
      </c>
      <c r="O273" t="s" s="96">
        <v>33</v>
      </c>
      <c r="P273" t="s" s="96">
        <v>34</v>
      </c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  <c r="AZ273" s="16"/>
      <c r="BA273" s="16"/>
      <c r="BB273" s="16"/>
      <c r="BC273" s="16"/>
    </row>
    <row r="274" ht="15.35" customHeight="1">
      <c r="A274" s="16"/>
      <c r="B274" s="16"/>
      <c r="C274" s="16"/>
      <c r="D274" s="16"/>
      <c r="E274" s="16"/>
      <c r="F274" s="16"/>
      <c r="G274" s="16"/>
      <c r="H274" t="s" s="96">
        <v>2781</v>
      </c>
      <c r="I274" t="s" s="96">
        <v>443</v>
      </c>
      <c r="J274" t="s" s="96">
        <v>78</v>
      </c>
      <c r="K274" t="s" s="96">
        <v>12</v>
      </c>
      <c r="L274" s="79">
        <v>1898</v>
      </c>
      <c r="M274" s="79">
        <v>22</v>
      </c>
      <c r="N274" t="s" s="96">
        <v>13</v>
      </c>
      <c r="O274" t="s" s="96">
        <v>33</v>
      </c>
      <c r="P274" t="s" s="96">
        <v>34</v>
      </c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  <c r="AZ274" s="16"/>
      <c r="BA274" s="16"/>
      <c r="BB274" s="16"/>
      <c r="BC274" s="16"/>
    </row>
    <row r="275" ht="15.35" customHeight="1">
      <c r="A275" s="16"/>
      <c r="B275" s="16"/>
      <c r="C275" s="16"/>
      <c r="D275" s="16"/>
      <c r="E275" s="16"/>
      <c r="F275" s="16"/>
      <c r="G275" s="16"/>
      <c r="H275" t="s" s="96">
        <v>2783</v>
      </c>
      <c r="I275" t="s" s="96">
        <v>2782</v>
      </c>
      <c r="J275" t="s" s="96">
        <v>41</v>
      </c>
      <c r="K275" t="s" s="96">
        <v>12</v>
      </c>
      <c r="L275" s="79">
        <v>1897</v>
      </c>
      <c r="M275" s="79">
        <v>24</v>
      </c>
      <c r="N275" t="s" s="96">
        <v>2784</v>
      </c>
      <c r="O275" t="s" s="96">
        <v>94</v>
      </c>
      <c r="P275" t="s" s="96">
        <v>34</v>
      </c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  <c r="AZ275" s="16"/>
      <c r="BA275" s="16"/>
      <c r="BB275" s="16"/>
      <c r="BC275" s="16"/>
    </row>
    <row r="276" ht="15.35" customHeight="1">
      <c r="A276" s="16"/>
      <c r="B276" s="16"/>
      <c r="C276" s="16"/>
      <c r="D276" s="16"/>
      <c r="E276" s="16"/>
      <c r="F276" s="16"/>
      <c r="G276" s="16"/>
      <c r="H276" t="s" s="96">
        <v>406</v>
      </c>
      <c r="I276" t="s" s="96">
        <v>888</v>
      </c>
      <c r="J276" t="s" s="96">
        <v>11</v>
      </c>
      <c r="K276" t="s" s="96">
        <v>12</v>
      </c>
      <c r="L276" s="79">
        <v>1883</v>
      </c>
      <c r="M276" s="79">
        <v>38</v>
      </c>
      <c r="N276" t="s" s="96">
        <v>512</v>
      </c>
      <c r="O276" t="s" s="96">
        <v>45</v>
      </c>
      <c r="P276" t="s" s="96">
        <v>15</v>
      </c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  <c r="AZ276" s="16"/>
      <c r="BA276" s="16"/>
      <c r="BB276" s="16"/>
      <c r="BC276" s="16"/>
    </row>
    <row r="277" ht="15.35" customHeight="1">
      <c r="A277" s="16"/>
      <c r="B277" s="16"/>
      <c r="C277" s="16"/>
      <c r="D277" s="16"/>
      <c r="E277" s="16"/>
      <c r="F277" s="16"/>
      <c r="G277" s="16"/>
      <c r="H277" t="s" s="96">
        <v>1750</v>
      </c>
      <c r="I277" t="s" s="96">
        <v>2785</v>
      </c>
      <c r="J277" t="s" s="96">
        <v>11</v>
      </c>
      <c r="K277" t="s" s="96">
        <v>12</v>
      </c>
      <c r="L277" s="79">
        <v>1896</v>
      </c>
      <c r="M277" s="79">
        <v>25</v>
      </c>
      <c r="N277" t="s" s="96">
        <v>2786</v>
      </c>
      <c r="O277" t="s" s="96">
        <v>126</v>
      </c>
      <c r="P277" t="s" s="96">
        <v>15</v>
      </c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  <c r="AZ277" s="16"/>
      <c r="BA277" s="16"/>
      <c r="BB277" s="16"/>
      <c r="BC277" s="16"/>
    </row>
    <row r="278" ht="15.35" customHeight="1">
      <c r="A278" s="16"/>
      <c r="B278" s="16"/>
      <c r="C278" s="16"/>
      <c r="D278" s="16"/>
      <c r="E278" s="16"/>
      <c r="F278" s="16"/>
      <c r="G278" s="16"/>
      <c r="H278" t="s" s="96">
        <v>86</v>
      </c>
      <c r="I278" t="s" s="96">
        <v>83</v>
      </c>
      <c r="J278" t="s" s="96">
        <v>11</v>
      </c>
      <c r="K278" t="s" s="96">
        <v>12</v>
      </c>
      <c r="L278" s="79">
        <v>1902</v>
      </c>
      <c r="M278" s="79">
        <v>18</v>
      </c>
      <c r="N278" t="s" s="96">
        <v>2787</v>
      </c>
      <c r="O278" t="s" s="96">
        <v>55</v>
      </c>
      <c r="P278" t="s" s="96">
        <v>15</v>
      </c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  <c r="AZ278" s="16"/>
      <c r="BA278" s="16"/>
      <c r="BB278" s="16"/>
      <c r="BC278" s="16"/>
    </row>
    <row r="279" ht="15.3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  <c r="AZ279" s="16"/>
      <c r="BA279" s="16"/>
      <c r="BB279" s="16"/>
      <c r="BC279" s="16"/>
    </row>
    <row r="280" ht="15.35" customHeight="1">
      <c r="A280" s="16"/>
      <c r="B280" s="16"/>
      <c r="C280" s="16"/>
      <c r="D280" s="16"/>
      <c r="E280" s="16"/>
      <c r="F280" s="16"/>
      <c r="G280" s="16"/>
      <c r="H280" t="s" s="96">
        <v>0</v>
      </c>
      <c r="I280" t="s" s="96">
        <v>1</v>
      </c>
      <c r="J280" t="s" s="96">
        <v>2</v>
      </c>
      <c r="K280" t="s" s="96">
        <v>3</v>
      </c>
      <c r="L280" t="s" s="96">
        <v>4</v>
      </c>
      <c r="M280" t="s" s="96">
        <v>5</v>
      </c>
      <c r="N280" t="s" s="96">
        <v>6</v>
      </c>
      <c r="O280" t="s" s="96">
        <v>7</v>
      </c>
      <c r="P280" t="s" s="96">
        <v>8</v>
      </c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  <c r="AZ280" s="16"/>
      <c r="BA280" s="16"/>
      <c r="BB280" s="16"/>
      <c r="BC280" s="16"/>
    </row>
    <row r="281" ht="15.35" customHeight="1">
      <c r="A281" s="16"/>
      <c r="B281" s="16"/>
      <c r="C281" s="16"/>
      <c r="D281" s="16"/>
      <c r="E281" s="16"/>
      <c r="F281" s="79">
        <v>19</v>
      </c>
      <c r="G281" s="16"/>
      <c r="H281" t="s" s="96">
        <v>2789</v>
      </c>
      <c r="I281" t="s" s="96">
        <v>2788</v>
      </c>
      <c r="J281" t="s" s="96">
        <v>72</v>
      </c>
      <c r="K281" t="s" s="96">
        <v>12</v>
      </c>
      <c r="L281" s="79">
        <v>1887</v>
      </c>
      <c r="M281" s="79">
        <v>34</v>
      </c>
      <c r="N281" t="s" s="96">
        <v>13</v>
      </c>
      <c r="O281" t="s" s="96">
        <v>34</v>
      </c>
      <c r="P281" t="s" s="96">
        <v>34</v>
      </c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  <c r="AZ281" s="16"/>
      <c r="BA281" s="16"/>
      <c r="BB281" s="16"/>
      <c r="BC281" s="16"/>
    </row>
    <row r="282" ht="15.35" customHeight="1">
      <c r="A282" s="16"/>
      <c r="B282" s="16"/>
      <c r="C282" s="16"/>
      <c r="D282" s="16"/>
      <c r="E282" s="16"/>
      <c r="F282" s="16"/>
      <c r="G282" s="16"/>
      <c r="H282" t="s" s="96">
        <v>2089</v>
      </c>
      <c r="I282" t="s" s="96">
        <v>2790</v>
      </c>
      <c r="J282" t="s" s="96">
        <v>11</v>
      </c>
      <c r="K282" t="s" s="96">
        <v>37</v>
      </c>
      <c r="L282" s="79">
        <v>1897</v>
      </c>
      <c r="M282" s="79">
        <v>23</v>
      </c>
      <c r="N282" t="s" s="96">
        <v>1171</v>
      </c>
      <c r="O282" t="s" s="96">
        <v>2791</v>
      </c>
      <c r="P282" t="s" s="96">
        <v>2792</v>
      </c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  <c r="AZ282" s="16"/>
      <c r="BA282" s="16"/>
      <c r="BB282" s="16"/>
      <c r="BC282" s="16"/>
    </row>
    <row r="283" ht="15.35" customHeight="1">
      <c r="A283" s="16"/>
      <c r="B283" s="16"/>
      <c r="C283" s="16"/>
      <c r="D283" s="16"/>
      <c r="E283" s="16"/>
      <c r="F283" s="16"/>
      <c r="G283" s="16"/>
      <c r="H283" t="s" s="96">
        <v>2794</v>
      </c>
      <c r="I283" t="s" s="96">
        <v>2793</v>
      </c>
      <c r="J283" t="s" s="96">
        <v>11</v>
      </c>
      <c r="K283" t="s" s="96">
        <v>12</v>
      </c>
      <c r="L283" s="79">
        <v>1901</v>
      </c>
      <c r="M283" s="79">
        <v>19</v>
      </c>
      <c r="N283" t="s" s="96">
        <v>121</v>
      </c>
      <c r="O283" t="s" s="96">
        <v>45</v>
      </c>
      <c r="P283" t="s" s="96">
        <v>34</v>
      </c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  <c r="AZ283" s="16"/>
      <c r="BA283" s="16"/>
      <c r="BB283" s="16"/>
      <c r="BC283" s="16"/>
    </row>
    <row r="284" ht="15.35" customHeight="1">
      <c r="A284" s="16"/>
      <c r="B284" s="16"/>
      <c r="C284" s="16"/>
      <c r="D284" s="16"/>
      <c r="E284" s="16"/>
      <c r="F284" s="16"/>
      <c r="G284" s="16"/>
      <c r="H284" t="s" s="96">
        <v>1565</v>
      </c>
      <c r="I284" t="s" s="96">
        <v>2795</v>
      </c>
      <c r="J284" t="s" s="96">
        <v>11</v>
      </c>
      <c r="K284" t="s" s="96">
        <v>12</v>
      </c>
      <c r="L284" s="79">
        <v>1903</v>
      </c>
      <c r="M284" s="79">
        <v>18</v>
      </c>
      <c r="N284" t="s" s="96">
        <v>54</v>
      </c>
      <c r="O284" t="s" s="96">
        <v>55</v>
      </c>
      <c r="P284" t="s" s="96">
        <v>34</v>
      </c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  <c r="AZ284" s="16"/>
      <c r="BA284" s="16"/>
      <c r="BB284" s="16"/>
      <c r="BC284" s="16"/>
    </row>
    <row r="285" ht="15.3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  <c r="AZ285" s="16"/>
      <c r="BA285" s="16"/>
      <c r="BB285" s="16"/>
      <c r="BC285" s="16"/>
    </row>
    <row r="286" ht="15.35" customHeight="1">
      <c r="A286" s="16"/>
      <c r="B286" s="16"/>
      <c r="C286" s="16"/>
      <c r="D286" s="16"/>
      <c r="E286" s="16"/>
      <c r="F286" s="16"/>
      <c r="G286" s="16"/>
      <c r="H286" t="s" s="96">
        <v>0</v>
      </c>
      <c r="I286" t="s" s="96">
        <v>1</v>
      </c>
      <c r="J286" t="s" s="96">
        <v>2</v>
      </c>
      <c r="K286" t="s" s="96">
        <v>3</v>
      </c>
      <c r="L286" t="s" s="96">
        <v>4</v>
      </c>
      <c r="M286" t="s" s="96">
        <v>5</v>
      </c>
      <c r="N286" t="s" s="96">
        <v>6</v>
      </c>
      <c r="O286" t="s" s="96">
        <v>7</v>
      </c>
      <c r="P286" t="s" s="96">
        <v>8</v>
      </c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  <c r="AZ286" s="16"/>
      <c r="BA286" s="16"/>
      <c r="BB286" s="16"/>
      <c r="BC286" s="16"/>
    </row>
    <row r="287" ht="15.35" customHeight="1">
      <c r="A287" s="16"/>
      <c r="B287" s="16"/>
      <c r="C287" s="16"/>
      <c r="D287" s="16"/>
      <c r="E287" s="16"/>
      <c r="F287" s="79">
        <v>21</v>
      </c>
      <c r="G287" s="16"/>
      <c r="H287" t="s" s="96">
        <v>2796</v>
      </c>
      <c r="I287" t="s" s="96">
        <v>1937</v>
      </c>
      <c r="J287" t="s" s="96">
        <v>31</v>
      </c>
      <c r="K287" t="s" s="96">
        <v>37</v>
      </c>
      <c r="L287" s="79">
        <v>1893</v>
      </c>
      <c r="M287" s="79">
        <v>27</v>
      </c>
      <c r="N287" t="s" s="96">
        <v>13</v>
      </c>
      <c r="O287" t="s" s="96">
        <v>2797</v>
      </c>
      <c r="P287" t="s" s="96">
        <v>34</v>
      </c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  <c r="AZ287" s="16"/>
      <c r="BA287" s="16"/>
      <c r="BB287" s="16"/>
      <c r="BC287" s="16"/>
    </row>
    <row r="288" ht="15.35" customHeight="1">
      <c r="A288" s="16"/>
      <c r="B288" s="16"/>
      <c r="C288" s="16"/>
      <c r="D288" s="16"/>
      <c r="E288" s="16"/>
      <c r="F288" s="16"/>
      <c r="G288" s="16"/>
      <c r="H288" t="s" s="96">
        <v>2798</v>
      </c>
      <c r="I288" t="s" s="96">
        <v>1937</v>
      </c>
      <c r="J288" t="s" s="96">
        <v>72</v>
      </c>
      <c r="K288" t="s" s="96">
        <v>12</v>
      </c>
      <c r="L288" s="79">
        <v>1893</v>
      </c>
      <c r="M288" s="79">
        <v>28</v>
      </c>
      <c r="N288" t="s" s="96">
        <v>13</v>
      </c>
      <c r="O288" t="s" s="96">
        <v>34</v>
      </c>
      <c r="P288" t="s" s="96">
        <v>34</v>
      </c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  <c r="AZ288" s="16"/>
      <c r="BA288" s="16"/>
      <c r="BB288" s="16"/>
      <c r="BC288" s="16"/>
    </row>
    <row r="289" ht="15.35" customHeight="1">
      <c r="A289" s="16"/>
      <c r="B289" s="16"/>
      <c r="C289" s="16"/>
      <c r="D289" s="16"/>
      <c r="E289" s="16"/>
      <c r="F289" s="16"/>
      <c r="G289" s="16"/>
      <c r="H289" t="s" s="96">
        <v>2800</v>
      </c>
      <c r="I289" t="s" s="96">
        <v>2799</v>
      </c>
      <c r="J289" t="s" s="96">
        <v>11</v>
      </c>
      <c r="K289" t="s" s="96">
        <v>12</v>
      </c>
      <c r="L289" s="79">
        <v>1896</v>
      </c>
      <c r="M289" s="79">
        <v>24</v>
      </c>
      <c r="N289" t="s" s="96">
        <v>118</v>
      </c>
      <c r="O289" t="s" s="96">
        <v>188</v>
      </c>
      <c r="P289" t="s" s="96">
        <v>15</v>
      </c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  <c r="AZ289" s="16"/>
      <c r="BA289" s="16"/>
      <c r="BB289" s="16"/>
      <c r="BC289" s="16"/>
    </row>
    <row r="290" ht="15.35" customHeight="1">
      <c r="A290" s="16"/>
      <c r="B290" s="16"/>
      <c r="C290" s="16"/>
      <c r="D290" s="16"/>
      <c r="E290" s="16"/>
      <c r="F290" s="16"/>
      <c r="G290" s="16"/>
      <c r="H290" t="s" s="96">
        <v>2802</v>
      </c>
      <c r="I290" t="s" s="96">
        <v>2801</v>
      </c>
      <c r="J290" t="s" s="96">
        <v>11</v>
      </c>
      <c r="K290" t="s" s="96">
        <v>12</v>
      </c>
      <c r="L290" s="79">
        <v>1900</v>
      </c>
      <c r="M290" s="79">
        <v>20</v>
      </c>
      <c r="N290" t="s" s="96">
        <v>2803</v>
      </c>
      <c r="O290" t="s" s="96">
        <v>188</v>
      </c>
      <c r="P290" t="s" s="96">
        <v>15</v>
      </c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  <c r="AZ290" s="16"/>
      <c r="BA290" s="16"/>
      <c r="BB290" s="16"/>
      <c r="BC290" s="16"/>
    </row>
    <row r="291" ht="15.3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  <c r="AZ291" s="16"/>
      <c r="BA291" s="16"/>
      <c r="BB291" s="16"/>
      <c r="BC291" s="16"/>
    </row>
    <row r="292" ht="15.35" customHeight="1">
      <c r="A292" s="16"/>
      <c r="B292" s="16"/>
      <c r="C292" s="16"/>
      <c r="D292" s="16"/>
      <c r="E292" s="16"/>
      <c r="F292" s="16"/>
      <c r="G292" s="16"/>
      <c r="H292" t="s" s="96">
        <v>0</v>
      </c>
      <c r="I292" t="s" s="96">
        <v>1</v>
      </c>
      <c r="J292" t="s" s="96">
        <v>2</v>
      </c>
      <c r="K292" t="s" s="96">
        <v>3</v>
      </c>
      <c r="L292" t="s" s="96">
        <v>4</v>
      </c>
      <c r="M292" t="s" s="96">
        <v>5</v>
      </c>
      <c r="N292" t="s" s="96">
        <v>6</v>
      </c>
      <c r="O292" t="s" s="96">
        <v>7</v>
      </c>
      <c r="P292" t="s" s="96">
        <v>8</v>
      </c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  <c r="AZ292" s="16"/>
      <c r="BA292" s="16"/>
      <c r="BB292" s="16"/>
      <c r="BC292" s="16"/>
    </row>
    <row r="293" ht="15.35" customHeight="1">
      <c r="A293" s="16"/>
      <c r="B293" s="16"/>
      <c r="C293" s="16"/>
      <c r="D293" s="16"/>
      <c r="E293" s="16"/>
      <c r="F293" s="79">
        <v>23</v>
      </c>
      <c r="G293" s="16"/>
      <c r="H293" t="s" s="96">
        <v>214</v>
      </c>
      <c r="I293" t="s" s="96">
        <v>2804</v>
      </c>
      <c r="J293" t="s" s="96">
        <v>31</v>
      </c>
      <c r="K293" t="s" s="96">
        <v>37</v>
      </c>
      <c r="L293" s="79">
        <v>1842</v>
      </c>
      <c r="M293" s="79">
        <v>79</v>
      </c>
      <c r="N293" t="s" s="96">
        <v>13</v>
      </c>
      <c r="O293" t="s" s="96">
        <v>2805</v>
      </c>
      <c r="P293" t="s" s="96">
        <v>34</v>
      </c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  <c r="AZ293" s="16"/>
      <c r="BA293" s="16"/>
      <c r="BB293" s="16"/>
      <c r="BC293" s="16"/>
    </row>
    <row r="294" ht="15.35" customHeight="1">
      <c r="A294" s="16"/>
      <c r="B294" s="16"/>
      <c r="C294" s="16"/>
      <c r="D294" s="16"/>
      <c r="E294" s="16"/>
      <c r="F294" s="16"/>
      <c r="G294" s="16"/>
      <c r="H294" t="s" s="96">
        <v>2807</v>
      </c>
      <c r="I294" t="s" s="96">
        <v>2806</v>
      </c>
      <c r="J294" t="s" s="96">
        <v>2808</v>
      </c>
      <c r="K294" t="s" s="96">
        <v>12</v>
      </c>
      <c r="L294" s="79">
        <v>1880</v>
      </c>
      <c r="M294" s="79">
        <v>40</v>
      </c>
      <c r="N294" t="s" s="96">
        <v>2809</v>
      </c>
      <c r="O294" t="s" s="96">
        <v>1774</v>
      </c>
      <c r="P294" t="s" s="96">
        <v>34</v>
      </c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  <c r="AZ294" s="16"/>
      <c r="BA294" s="16"/>
      <c r="BB294" s="16"/>
      <c r="BC294" s="16"/>
    </row>
    <row r="295" ht="15.35" customHeight="1">
      <c r="A295" s="16"/>
      <c r="B295" s="16"/>
      <c r="C295" s="16"/>
      <c r="D295" s="16"/>
      <c r="E295" s="16"/>
      <c r="F295" s="16"/>
      <c r="G295" s="16"/>
      <c r="H295" t="s" s="96">
        <v>704</v>
      </c>
      <c r="I295" t="s" s="96">
        <v>321</v>
      </c>
      <c r="J295" t="s" s="96">
        <v>11</v>
      </c>
      <c r="K295" t="s" s="96">
        <v>12</v>
      </c>
      <c r="L295" s="79">
        <v>1869</v>
      </c>
      <c r="M295" s="79">
        <v>52</v>
      </c>
      <c r="N295" t="s" s="96">
        <v>954</v>
      </c>
      <c r="O295" t="s" s="96">
        <v>45</v>
      </c>
      <c r="P295" t="s" s="96">
        <v>15</v>
      </c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  <c r="AZ295" s="16"/>
      <c r="BA295" s="16"/>
      <c r="BB295" s="16"/>
      <c r="BC295" s="16"/>
    </row>
    <row r="296" ht="15.35" customHeight="1">
      <c r="A296" s="16"/>
      <c r="B296" s="16"/>
      <c r="C296" s="16"/>
      <c r="D296" s="16"/>
      <c r="E296" s="16"/>
      <c r="F296" s="16"/>
      <c r="G296" s="16"/>
      <c r="H296" t="s" s="96">
        <v>106</v>
      </c>
      <c r="I296" t="s" s="96">
        <v>2810</v>
      </c>
      <c r="J296" t="s" s="96">
        <v>11</v>
      </c>
      <c r="K296" t="s" s="96">
        <v>12</v>
      </c>
      <c r="L296" s="79">
        <v>1896</v>
      </c>
      <c r="M296" s="79">
        <v>25</v>
      </c>
      <c r="N296" t="s" s="96">
        <v>2811</v>
      </c>
      <c r="O296" t="s" s="96">
        <v>85</v>
      </c>
      <c r="P296" t="s" s="96">
        <v>15</v>
      </c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  <c r="AZ296" s="16"/>
      <c r="BA296" s="16"/>
      <c r="BB296" s="16"/>
      <c r="BC296" s="16"/>
    </row>
    <row r="297" ht="15.3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  <c r="AZ297" s="16"/>
      <c r="BA297" s="16"/>
      <c r="BB297" s="16"/>
      <c r="BC297" s="16"/>
    </row>
    <row r="298" ht="15.35" customHeight="1">
      <c r="A298" s="16"/>
      <c r="B298" s="16"/>
      <c r="C298" s="16"/>
      <c r="D298" s="16"/>
      <c r="E298" s="16"/>
      <c r="F298" s="16"/>
      <c r="G298" s="16"/>
      <c r="H298" t="s" s="96">
        <v>0</v>
      </c>
      <c r="I298" t="s" s="96">
        <v>1</v>
      </c>
      <c r="J298" t="s" s="96">
        <v>2</v>
      </c>
      <c r="K298" t="s" s="96">
        <v>3</v>
      </c>
      <c r="L298" t="s" s="96">
        <v>4</v>
      </c>
      <c r="M298" t="s" s="96">
        <v>5</v>
      </c>
      <c r="N298" t="s" s="96">
        <v>6</v>
      </c>
      <c r="O298" t="s" s="96">
        <v>7</v>
      </c>
      <c r="P298" t="s" s="96">
        <v>8</v>
      </c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  <c r="AZ298" s="16"/>
      <c r="BA298" s="16"/>
      <c r="BB298" s="16"/>
      <c r="BC298" s="16"/>
    </row>
    <row r="299" ht="15.35" customHeight="1">
      <c r="A299" s="16"/>
      <c r="B299" s="16"/>
      <c r="C299" s="16"/>
      <c r="D299" s="16"/>
      <c r="E299" s="16"/>
      <c r="F299" s="79">
        <v>27</v>
      </c>
      <c r="G299" s="16"/>
      <c r="H299" t="s" s="96">
        <v>193</v>
      </c>
      <c r="I299" t="s" s="96">
        <v>190</v>
      </c>
      <c r="J299" t="s" s="96">
        <v>31</v>
      </c>
      <c r="K299" t="s" s="96">
        <v>37</v>
      </c>
      <c r="L299" s="79">
        <v>1840</v>
      </c>
      <c r="M299" s="79">
        <v>81</v>
      </c>
      <c r="N299" t="s" s="96">
        <v>54</v>
      </c>
      <c r="O299" t="s" s="96">
        <v>2812</v>
      </c>
      <c r="P299" t="s" s="96">
        <v>8</v>
      </c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  <c r="AZ299" s="16"/>
      <c r="BA299" s="16"/>
      <c r="BB299" s="16"/>
      <c r="BC299" s="16"/>
    </row>
    <row r="300" ht="15.35" customHeight="1">
      <c r="A300" s="16"/>
      <c r="B300" s="16"/>
      <c r="C300" s="16"/>
      <c r="D300" s="16"/>
      <c r="E300" s="16"/>
      <c r="F300" s="16"/>
      <c r="G300" s="16"/>
      <c r="H300" t="s" s="96">
        <v>95</v>
      </c>
      <c r="I300" t="s" s="96">
        <v>190</v>
      </c>
      <c r="J300" t="s" s="96">
        <v>72</v>
      </c>
      <c r="K300" t="s" s="96">
        <v>12</v>
      </c>
      <c r="L300" s="79">
        <v>1845</v>
      </c>
      <c r="M300" s="79">
        <v>75</v>
      </c>
      <c r="N300" t="s" s="96">
        <v>54</v>
      </c>
      <c r="O300" t="s" s="96">
        <v>33</v>
      </c>
      <c r="P300" t="s" s="96">
        <v>34</v>
      </c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  <c r="AZ300" s="16"/>
      <c r="BA300" s="16"/>
      <c r="BB300" s="16"/>
      <c r="BC300" s="16"/>
    </row>
    <row r="301" ht="15.35" customHeight="1">
      <c r="A301" s="16"/>
      <c r="B301" s="16"/>
      <c r="C301" s="16"/>
      <c r="D301" s="16"/>
      <c r="E301" s="16"/>
      <c r="F301" s="16"/>
      <c r="G301" s="16"/>
      <c r="H301" t="s" s="96">
        <v>123</v>
      </c>
      <c r="I301" t="s" s="96">
        <v>2813</v>
      </c>
      <c r="J301" t="s" s="96">
        <v>1575</v>
      </c>
      <c r="K301" t="s" s="96">
        <v>12</v>
      </c>
      <c r="L301" s="79">
        <v>1870</v>
      </c>
      <c r="M301" s="79">
        <v>51</v>
      </c>
      <c r="N301" t="s" s="96">
        <v>791</v>
      </c>
      <c r="O301" t="s" s="96">
        <v>33</v>
      </c>
      <c r="P301" t="s" s="96">
        <v>15</v>
      </c>
      <c r="Q301" s="16"/>
      <c r="R301" s="16"/>
      <c r="S301" s="16"/>
      <c r="T301" s="16"/>
      <c r="U301" s="16"/>
      <c r="V301" s="16"/>
      <c r="W301" s="16"/>
      <c r="X301" s="16"/>
      <c r="Y301" s="16"/>
      <c r="Z301" s="16"/>
      <c r="AA301" s="16"/>
      <c r="AB301" s="16"/>
      <c r="AC301" s="16"/>
      <c r="AD301" s="16"/>
      <c r="AE301" s="16"/>
      <c r="AF301" s="16"/>
      <c r="AG301" s="16"/>
      <c r="AH301" s="16"/>
      <c r="AI301" s="16"/>
      <c r="AJ301" s="16"/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  <c r="AZ301" s="16"/>
      <c r="BA301" s="16"/>
      <c r="BB301" s="16"/>
      <c r="BC301" s="16"/>
    </row>
    <row r="302" ht="15.35" customHeight="1">
      <c r="A302" s="16"/>
      <c r="B302" s="16"/>
      <c r="C302" s="16"/>
      <c r="D302" s="16"/>
      <c r="E302" s="16"/>
      <c r="F302" s="16"/>
      <c r="G302" s="16"/>
      <c r="H302" t="s" s="96">
        <v>109</v>
      </c>
      <c r="I302" t="s" s="96">
        <v>2814</v>
      </c>
      <c r="J302" t="s" s="96">
        <v>45</v>
      </c>
      <c r="K302" t="s" s="96">
        <v>12</v>
      </c>
      <c r="L302" s="79">
        <v>1870</v>
      </c>
      <c r="M302" s="79">
        <v>51</v>
      </c>
      <c r="N302" t="s" s="96">
        <v>28</v>
      </c>
      <c r="O302" t="s" s="96">
        <v>45</v>
      </c>
      <c r="P302" t="s" s="96">
        <v>15</v>
      </c>
      <c r="Q302" s="16"/>
      <c r="R302" s="16"/>
      <c r="S302" s="16"/>
      <c r="T302" s="16"/>
      <c r="U302" s="16"/>
      <c r="V302" s="16"/>
      <c r="W302" s="16"/>
      <c r="X302" s="16"/>
      <c r="Y302" s="16"/>
      <c r="Z302" s="16"/>
      <c r="AA302" s="16"/>
      <c r="AB302" s="16"/>
      <c r="AC302" s="16"/>
      <c r="AD302" s="16"/>
      <c r="AE302" s="16"/>
      <c r="AF302" s="16"/>
      <c r="AG302" s="16"/>
      <c r="AH302" s="16"/>
      <c r="AI302" s="16"/>
      <c r="AJ302" s="16"/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  <c r="AZ302" s="16"/>
      <c r="BA302" s="16"/>
      <c r="BB302" s="16"/>
      <c r="BC302" s="16"/>
    </row>
    <row r="303" ht="15.35" customHeight="1">
      <c r="A303" s="16"/>
      <c r="B303" s="16"/>
      <c r="C303" s="16"/>
      <c r="D303" s="16"/>
      <c r="E303" s="16"/>
      <c r="F303" s="16"/>
      <c r="G303" s="16"/>
      <c r="H303" t="s" s="96">
        <v>95</v>
      </c>
      <c r="I303" t="s" s="96">
        <v>2815</v>
      </c>
      <c r="J303" t="s" s="96">
        <v>2816</v>
      </c>
      <c r="K303" t="s" s="96">
        <v>12</v>
      </c>
      <c r="L303" s="79">
        <v>1876</v>
      </c>
      <c r="M303" s="79">
        <v>45</v>
      </c>
      <c r="N303" t="s" s="96">
        <v>2876</v>
      </c>
      <c r="O303" t="s" s="96">
        <v>2817</v>
      </c>
      <c r="P303" t="s" s="96">
        <v>15</v>
      </c>
      <c r="Q303" s="16"/>
      <c r="R303" s="16"/>
      <c r="S303" s="16"/>
      <c r="T303" s="16"/>
      <c r="U303" s="16"/>
      <c r="V303" s="16"/>
      <c r="W303" s="16"/>
      <c r="X303" s="16"/>
      <c r="Y303" s="16"/>
      <c r="Z303" s="16"/>
      <c r="AA303" s="16"/>
      <c r="AB303" s="16"/>
      <c r="AC303" s="16"/>
      <c r="AD303" s="16"/>
      <c r="AE303" s="16"/>
      <c r="AF303" s="16"/>
      <c r="AG303" s="16"/>
      <c r="AH303" s="16"/>
      <c r="AI303" s="16"/>
      <c r="AJ303" s="16"/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  <c r="AZ303" s="16"/>
      <c r="BA303" s="16"/>
      <c r="BB303" s="16"/>
      <c r="BC303" s="16"/>
    </row>
    <row r="304" ht="15.35" customHeight="1">
      <c r="A304" s="16"/>
      <c r="B304" s="16"/>
      <c r="C304" s="16"/>
      <c r="D304" s="16"/>
      <c r="E304" s="16"/>
      <c r="F304" s="16"/>
      <c r="G304" s="16"/>
      <c r="H304" t="s" s="96">
        <v>95</v>
      </c>
      <c r="I304" t="s" s="96">
        <v>2818</v>
      </c>
      <c r="J304" t="s" s="96">
        <v>2819</v>
      </c>
      <c r="K304" t="s" s="96">
        <v>12</v>
      </c>
      <c r="L304" s="79">
        <v>1891</v>
      </c>
      <c r="M304" s="79">
        <v>30</v>
      </c>
      <c r="N304" t="s" s="96">
        <v>2821</v>
      </c>
      <c r="O304" t="s" s="96">
        <v>2820</v>
      </c>
      <c r="P304" t="s" s="96">
        <v>15</v>
      </c>
      <c r="Q304" s="16"/>
      <c r="R304" s="16"/>
      <c r="S304" s="16"/>
      <c r="T304" s="16"/>
      <c r="U304" s="16"/>
      <c r="V304" s="16"/>
      <c r="W304" s="16"/>
      <c r="X304" s="16"/>
      <c r="Y304" s="16"/>
      <c r="Z304" s="16"/>
      <c r="AA304" s="16"/>
      <c r="AB304" s="16"/>
      <c r="AC304" s="16"/>
      <c r="AD304" s="16"/>
      <c r="AE304" s="16"/>
      <c r="AF304" s="16"/>
      <c r="AG304" s="16"/>
      <c r="AH304" s="16"/>
      <c r="AI304" s="16"/>
      <c r="AJ304" s="16"/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  <c r="AZ304" s="16"/>
      <c r="BA304" s="16"/>
      <c r="BB304" s="16"/>
      <c r="BC304" s="16"/>
    </row>
    <row r="305" ht="15.3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  <c r="AA305" s="16"/>
      <c r="AB305" s="16"/>
      <c r="AC305" s="16"/>
      <c r="AD305" s="16"/>
      <c r="AE305" s="16"/>
      <c r="AF305" s="16"/>
      <c r="AG305" s="16"/>
      <c r="AH305" s="16"/>
      <c r="AI305" s="16"/>
      <c r="AJ305" s="16"/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  <c r="AZ305" s="16"/>
      <c r="BA305" s="16"/>
      <c r="BB305" s="16"/>
      <c r="BC305" s="16"/>
    </row>
    <row r="306" ht="15.35" customHeight="1">
      <c r="A306" s="16"/>
      <c r="B306" s="16"/>
      <c r="C306" s="16"/>
      <c r="D306" s="16"/>
      <c r="E306" s="16"/>
      <c r="F306" s="16"/>
      <c r="G306" s="16"/>
      <c r="H306" t="s" s="96">
        <v>0</v>
      </c>
      <c r="I306" t="s" s="96">
        <v>1</v>
      </c>
      <c r="J306" t="s" s="96">
        <v>2</v>
      </c>
      <c r="K306" t="s" s="96">
        <v>3</v>
      </c>
      <c r="L306" t="s" s="96">
        <v>4</v>
      </c>
      <c r="M306" t="s" s="96">
        <v>5</v>
      </c>
      <c r="N306" t="s" s="96">
        <v>6</v>
      </c>
      <c r="O306" t="s" s="96">
        <v>7</v>
      </c>
      <c r="P306" t="s" s="96">
        <v>8</v>
      </c>
      <c r="Q306" s="16"/>
      <c r="R306" s="16"/>
      <c r="S306" s="16"/>
      <c r="T306" s="16"/>
      <c r="U306" s="16"/>
      <c r="V306" s="16"/>
      <c r="W306" s="16"/>
      <c r="X306" s="16"/>
      <c r="Y306" s="16"/>
      <c r="Z306" s="16"/>
      <c r="AA306" s="16"/>
      <c r="AB306" s="16"/>
      <c r="AC306" s="16"/>
      <c r="AD306" s="16"/>
      <c r="AE306" s="16"/>
      <c r="AF306" s="16"/>
      <c r="AG306" s="16"/>
      <c r="AH306" s="16"/>
      <c r="AI306" s="16"/>
      <c r="AJ306" s="16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  <c r="AZ306" s="16"/>
      <c r="BA306" s="16"/>
      <c r="BB306" s="16"/>
      <c r="BC306" s="16"/>
    </row>
    <row r="307" ht="15.35" customHeight="1">
      <c r="A307" s="16"/>
      <c r="B307" s="16"/>
      <c r="C307" s="16"/>
      <c r="D307" s="16"/>
      <c r="E307" s="16"/>
      <c r="F307" s="79">
        <v>29</v>
      </c>
      <c r="G307" s="16"/>
      <c r="H307" t="s" s="96">
        <v>2482</v>
      </c>
      <c r="I307" t="s" s="96">
        <v>2822</v>
      </c>
      <c r="J307" t="s" s="96">
        <v>31</v>
      </c>
      <c r="K307" t="s" s="96">
        <v>37</v>
      </c>
      <c r="L307" s="79">
        <v>1852</v>
      </c>
      <c r="M307" s="79">
        <v>69</v>
      </c>
      <c r="N307" t="s" s="96">
        <v>54</v>
      </c>
      <c r="O307" t="s" s="96">
        <v>2823</v>
      </c>
      <c r="P307" t="s" s="96">
        <v>8</v>
      </c>
      <c r="Q307" s="16"/>
      <c r="R307" s="16"/>
      <c r="S307" s="16"/>
      <c r="T307" s="16"/>
      <c r="U307" s="16"/>
      <c r="V307" s="16"/>
      <c r="W307" s="16"/>
      <c r="X307" s="16"/>
      <c r="Y307" s="16"/>
      <c r="Z307" s="16"/>
      <c r="AA307" s="16"/>
      <c r="AB307" s="16"/>
      <c r="AC307" s="16"/>
      <c r="AD307" s="16"/>
      <c r="AE307" s="16"/>
      <c r="AF307" s="16"/>
      <c r="AG307" s="16"/>
      <c r="AH307" s="16"/>
      <c r="AI307" s="16"/>
      <c r="AJ307" s="16"/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  <c r="AZ307" s="16"/>
      <c r="BA307" s="16"/>
      <c r="BB307" s="16"/>
      <c r="BC307" s="16"/>
    </row>
    <row r="308" ht="15.35" customHeight="1">
      <c r="A308" s="16"/>
      <c r="B308" s="16"/>
      <c r="C308" s="16"/>
      <c r="D308" s="16"/>
      <c r="E308" s="16"/>
      <c r="F308" s="16"/>
      <c r="G308" s="16"/>
      <c r="H308" t="s" s="96">
        <v>2824</v>
      </c>
      <c r="I308" t="s" s="96">
        <v>2822</v>
      </c>
      <c r="J308" t="s" s="96">
        <v>72</v>
      </c>
      <c r="K308" t="s" s="96">
        <v>12</v>
      </c>
      <c r="L308" s="79">
        <v>1855</v>
      </c>
      <c r="M308" s="79">
        <v>66</v>
      </c>
      <c r="N308" t="s" s="96">
        <v>2826</v>
      </c>
      <c r="O308" t="s" s="96">
        <v>2825</v>
      </c>
      <c r="P308" t="s" s="96">
        <v>34</v>
      </c>
      <c r="Q308" s="16"/>
      <c r="R308" s="16"/>
      <c r="S308" s="16"/>
      <c r="T308" s="16"/>
      <c r="U308" s="16"/>
      <c r="V308" s="16"/>
      <c r="W308" s="16"/>
      <c r="X308" s="16"/>
      <c r="Y308" s="16"/>
      <c r="Z308" s="16"/>
      <c r="AA308" s="16"/>
      <c r="AB308" s="16"/>
      <c r="AC308" s="16"/>
      <c r="AD308" s="16"/>
      <c r="AE308" s="16"/>
      <c r="AF308" s="16"/>
      <c r="AG308" s="16"/>
      <c r="AH308" s="16"/>
      <c r="AI308" s="16"/>
      <c r="AJ308" s="16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  <c r="AZ308" s="16"/>
      <c r="BA308" s="16"/>
      <c r="BB308" s="16"/>
      <c r="BC308" s="16"/>
    </row>
    <row r="309" ht="15.35" customHeight="1">
      <c r="A309" s="16"/>
      <c r="B309" s="16"/>
      <c r="C309" s="16"/>
      <c r="D309" s="16"/>
      <c r="E309" s="16"/>
      <c r="F309" s="16"/>
      <c r="G309" s="16"/>
      <c r="H309" t="s" s="96">
        <v>2827</v>
      </c>
      <c r="I309" t="s" s="96">
        <v>2822</v>
      </c>
      <c r="J309" t="s" s="96">
        <v>78</v>
      </c>
      <c r="K309" t="s" s="96">
        <v>12</v>
      </c>
      <c r="L309" s="79">
        <v>1882</v>
      </c>
      <c r="M309" s="79">
        <v>38</v>
      </c>
      <c r="N309" t="s" s="96">
        <v>2828</v>
      </c>
      <c r="O309" t="s" s="96">
        <v>909</v>
      </c>
      <c r="P309" t="s" s="96">
        <v>34</v>
      </c>
      <c r="Q309" s="16"/>
      <c r="R309" s="16"/>
      <c r="S309" s="16"/>
      <c r="T309" s="16"/>
      <c r="U309" s="16"/>
      <c r="V309" s="16"/>
      <c r="W309" s="16"/>
      <c r="X309" s="16"/>
      <c r="Y309" s="16"/>
      <c r="Z309" s="16"/>
      <c r="AA309" s="16"/>
      <c r="AB309" s="16"/>
      <c r="AC309" s="16"/>
      <c r="AD309" s="16"/>
      <c r="AE309" s="16"/>
      <c r="AF309" s="16"/>
      <c r="AG309" s="16"/>
      <c r="AH309" s="16"/>
      <c r="AI309" s="16"/>
      <c r="AJ309" s="16"/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  <c r="AZ309" s="16"/>
      <c r="BA309" s="16"/>
      <c r="BB309" s="16"/>
      <c r="BC309" s="16"/>
    </row>
    <row r="310" ht="15.35" customHeight="1">
      <c r="A310" s="16"/>
      <c r="B310" s="16"/>
      <c r="C310" s="16"/>
      <c r="D310" s="16"/>
      <c r="E310" s="16"/>
      <c r="F310" s="16"/>
      <c r="G310" s="16"/>
      <c r="H310" t="s" s="96">
        <v>2829</v>
      </c>
      <c r="I310" t="s" s="96">
        <v>386</v>
      </c>
      <c r="J310" t="s" s="96">
        <v>1070</v>
      </c>
      <c r="K310" t="s" s="96">
        <v>12</v>
      </c>
      <c r="L310" s="79">
        <v>1883</v>
      </c>
      <c r="M310" s="79">
        <v>37</v>
      </c>
      <c r="N310" t="s" s="96">
        <v>34</v>
      </c>
      <c r="O310" t="s" s="96">
        <v>816</v>
      </c>
      <c r="P310" t="s" s="96">
        <v>34</v>
      </c>
      <c r="Q310" s="16"/>
      <c r="R310" s="16"/>
      <c r="S310" s="16"/>
      <c r="T310" s="16"/>
      <c r="U310" s="16"/>
      <c r="V310" s="16"/>
      <c r="W310" s="16"/>
      <c r="X310" s="16"/>
      <c r="Y310" s="16"/>
      <c r="Z310" s="16"/>
      <c r="AA310" s="16"/>
      <c r="AB310" s="16"/>
      <c r="AC310" s="16"/>
      <c r="AD310" s="16"/>
      <c r="AE310" s="16"/>
      <c r="AF310" s="16"/>
      <c r="AG310" s="16"/>
      <c r="AH310" s="16"/>
      <c r="AI310" s="16"/>
      <c r="AJ310" s="16"/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  <c r="AZ310" s="16"/>
      <c r="BA310" s="16"/>
      <c r="BB310" s="16"/>
      <c r="BC310" s="16"/>
    </row>
    <row r="311" ht="15.35" customHeight="1">
      <c r="A311" s="16"/>
      <c r="B311" s="16"/>
      <c r="C311" s="16"/>
      <c r="D311" s="16"/>
      <c r="E311" s="16"/>
      <c r="F311" s="16"/>
      <c r="G311" s="16"/>
      <c r="H311" t="s" s="96">
        <v>251</v>
      </c>
      <c r="I311" t="s" s="96">
        <v>2830</v>
      </c>
      <c r="J311" t="s" s="96">
        <v>11</v>
      </c>
      <c r="K311" t="s" s="96">
        <v>12</v>
      </c>
      <c r="L311" s="79">
        <v>1897</v>
      </c>
      <c r="M311" s="79">
        <v>24</v>
      </c>
      <c r="N311" t="s" s="96">
        <v>1171</v>
      </c>
      <c r="O311" t="s" s="96">
        <v>45</v>
      </c>
      <c r="P311" t="s" s="96">
        <v>15</v>
      </c>
      <c r="Q311" s="16"/>
      <c r="R311" s="16"/>
      <c r="S311" s="16"/>
      <c r="T311" s="16"/>
      <c r="U311" s="16"/>
      <c r="V311" s="16"/>
      <c r="W311" s="16"/>
      <c r="X311" s="16"/>
      <c r="Y311" s="16"/>
      <c r="Z311" s="16"/>
      <c r="AA311" s="16"/>
      <c r="AB311" s="16"/>
      <c r="AC311" s="16"/>
      <c r="AD311" s="16"/>
      <c r="AE311" s="16"/>
      <c r="AF311" s="16"/>
      <c r="AG311" s="16"/>
      <c r="AH311" s="16"/>
      <c r="AI311" s="16"/>
      <c r="AJ311" s="16"/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  <c r="AZ311" s="16"/>
      <c r="BA311" s="16"/>
      <c r="BB311" s="16"/>
      <c r="BC311" s="16"/>
    </row>
    <row r="312" ht="15.35" customHeight="1">
      <c r="A312" s="16"/>
      <c r="B312" s="16"/>
      <c r="C312" s="16"/>
      <c r="D312" s="16"/>
      <c r="E312" s="16"/>
      <c r="F312" s="16"/>
      <c r="G312" s="16"/>
      <c r="H312" t="s" s="96">
        <v>410</v>
      </c>
      <c r="I312" t="s" s="96">
        <v>2831</v>
      </c>
      <c r="J312" t="s" s="96">
        <v>11</v>
      </c>
      <c r="K312" t="s" s="96">
        <v>12</v>
      </c>
      <c r="L312" s="79">
        <v>1900</v>
      </c>
      <c r="M312" s="79">
        <v>21</v>
      </c>
      <c r="N312" t="s" s="96">
        <v>54</v>
      </c>
      <c r="O312" t="s" s="96">
        <v>55</v>
      </c>
      <c r="P312" t="s" s="96">
        <v>15</v>
      </c>
      <c r="Q312" s="16"/>
      <c r="R312" s="16"/>
      <c r="S312" s="16"/>
      <c r="T312" s="16"/>
      <c r="U312" s="16"/>
      <c r="V312" s="16"/>
      <c r="W312" s="16"/>
      <c r="X312" s="16"/>
      <c r="Y312" s="16"/>
      <c r="Z312" s="16"/>
      <c r="AA312" s="16"/>
      <c r="AB312" s="16"/>
      <c r="AC312" s="16"/>
      <c r="AD312" s="16"/>
      <c r="AE312" s="16"/>
      <c r="AF312" s="16"/>
      <c r="AG312" s="16"/>
      <c r="AH312" s="16"/>
      <c r="AI312" s="16"/>
      <c r="AJ312" s="16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  <c r="AZ312" s="16"/>
      <c r="BA312" s="16"/>
      <c r="BB312" s="16"/>
      <c r="BC312" s="16"/>
    </row>
    <row r="313" ht="15.3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  <c r="AA313" s="16"/>
      <c r="AB313" s="16"/>
      <c r="AC313" s="16"/>
      <c r="AD313" s="16"/>
      <c r="AE313" s="16"/>
      <c r="AF313" s="16"/>
      <c r="AG313" s="16"/>
      <c r="AH313" s="16"/>
      <c r="AI313" s="16"/>
      <c r="AJ313" s="16"/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  <c r="AZ313" s="16"/>
      <c r="BA313" s="16"/>
      <c r="BB313" s="16"/>
      <c r="BC313" s="16"/>
    </row>
    <row r="314" ht="15.35" customHeight="1">
      <c r="A314" s="16"/>
      <c r="B314" s="16"/>
      <c r="C314" s="16"/>
      <c r="D314" s="16"/>
      <c r="E314" s="16"/>
      <c r="F314" s="16"/>
      <c r="G314" s="16"/>
      <c r="H314" t="s" s="96">
        <v>0</v>
      </c>
      <c r="I314" t="s" s="96">
        <v>1</v>
      </c>
      <c r="J314" t="s" s="96">
        <v>2</v>
      </c>
      <c r="K314" t="s" s="96">
        <v>3</v>
      </c>
      <c r="L314" t="s" s="96">
        <v>4</v>
      </c>
      <c r="M314" t="s" s="96">
        <v>5</v>
      </c>
      <c r="N314" t="s" s="96">
        <v>6</v>
      </c>
      <c r="O314" t="s" s="96">
        <v>7</v>
      </c>
      <c r="P314" t="s" s="96">
        <v>8</v>
      </c>
      <c r="Q314" s="16"/>
      <c r="R314" s="16"/>
      <c r="S314" s="16"/>
      <c r="T314" s="16"/>
      <c r="U314" s="16"/>
      <c r="V314" s="16"/>
      <c r="W314" s="16"/>
      <c r="X314" s="16"/>
      <c r="Y314" s="16"/>
      <c r="Z314" s="16"/>
      <c r="AA314" s="16"/>
      <c r="AB314" s="16"/>
      <c r="AC314" s="16"/>
      <c r="AD314" s="16"/>
      <c r="AE314" s="16"/>
      <c r="AF314" s="16"/>
      <c r="AG314" s="16"/>
      <c r="AH314" s="16"/>
      <c r="AI314" s="16"/>
      <c r="AJ314" s="16"/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  <c r="AZ314" s="16"/>
      <c r="BA314" s="16"/>
      <c r="BB314" s="16"/>
      <c r="BC314" s="16"/>
    </row>
    <row r="315" ht="15.35" customHeight="1">
      <c r="A315" s="16"/>
      <c r="B315" s="16"/>
      <c r="C315" s="16"/>
      <c r="D315" s="16"/>
      <c r="E315" s="16"/>
      <c r="F315" s="79">
        <v>31</v>
      </c>
      <c r="G315" s="16"/>
      <c r="H315" t="s" s="96">
        <v>2833</v>
      </c>
      <c r="I315" t="s" s="96">
        <v>2832</v>
      </c>
      <c r="J315" t="s" s="96">
        <v>31</v>
      </c>
      <c r="K315" t="s" s="96">
        <v>37</v>
      </c>
      <c r="L315" s="79">
        <v>1879</v>
      </c>
      <c r="M315" s="79">
        <v>41</v>
      </c>
      <c r="N315" t="s" s="96">
        <v>2835</v>
      </c>
      <c r="O315" t="s" s="96">
        <v>872</v>
      </c>
      <c r="P315" t="s" s="96">
        <v>2834</v>
      </c>
      <c r="Q315" s="16"/>
      <c r="R315" s="16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I315" s="16"/>
      <c r="AJ315" s="16"/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  <c r="AZ315" s="16"/>
      <c r="BA315" s="16"/>
      <c r="BB315" s="16"/>
      <c r="BC315" s="16"/>
    </row>
    <row r="316" ht="15.35" customHeight="1">
      <c r="A316" s="16"/>
      <c r="B316" s="16"/>
      <c r="C316" s="16"/>
      <c r="D316" s="16"/>
      <c r="E316" s="16"/>
      <c r="F316" s="16"/>
      <c r="G316" s="16"/>
      <c r="H316" t="s" s="96">
        <v>2836</v>
      </c>
      <c r="I316" t="s" s="96">
        <v>2832</v>
      </c>
      <c r="J316" t="s" s="96">
        <v>72</v>
      </c>
      <c r="K316" t="s" s="96">
        <v>12</v>
      </c>
      <c r="L316" s="79">
        <v>1882</v>
      </c>
      <c r="M316" s="79">
        <v>39</v>
      </c>
      <c r="N316" t="s" s="96">
        <v>1273</v>
      </c>
      <c r="O316" t="s" s="96">
        <v>33</v>
      </c>
      <c r="P316" t="s" s="96">
        <v>34</v>
      </c>
      <c r="Q316" s="16"/>
      <c r="R316" s="16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I316" s="16"/>
      <c r="AJ316" s="16"/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  <c r="AZ316" s="16"/>
      <c r="BA316" s="16"/>
      <c r="BB316" s="16"/>
      <c r="BC316" s="16"/>
    </row>
    <row r="317" ht="15.35" customHeight="1">
      <c r="A317" s="16"/>
      <c r="B317" s="16"/>
      <c r="C317" s="16"/>
      <c r="D317" s="16"/>
      <c r="E317" s="16"/>
      <c r="F317" s="16"/>
      <c r="G317" s="16"/>
      <c r="H317" t="s" s="96">
        <v>2837</v>
      </c>
      <c r="I317" t="s" s="96">
        <v>2832</v>
      </c>
      <c r="J317" t="s" s="96">
        <v>78</v>
      </c>
      <c r="K317" t="s" s="96">
        <v>12</v>
      </c>
      <c r="L317" s="79">
        <v>1907</v>
      </c>
      <c r="M317" s="79">
        <v>13</v>
      </c>
      <c r="N317" t="s" s="96">
        <v>2366</v>
      </c>
      <c r="O317" t="s" s="96">
        <v>34</v>
      </c>
      <c r="P317" t="s" s="96">
        <v>34</v>
      </c>
      <c r="Q317" s="16"/>
      <c r="R317" s="16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I317" s="16"/>
      <c r="AJ317" s="16"/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  <c r="AZ317" s="16"/>
      <c r="BA317" s="16"/>
      <c r="BB317" s="16"/>
      <c r="BC317" s="16"/>
    </row>
    <row r="318" ht="15.35" customHeight="1">
      <c r="A318" s="16"/>
      <c r="B318" s="16"/>
      <c r="C318" s="16"/>
      <c r="D318" s="16"/>
      <c r="E318" s="16"/>
      <c r="F318" s="16"/>
      <c r="G318" s="16"/>
      <c r="H318" t="s" s="96">
        <v>2838</v>
      </c>
      <c r="I318" t="s" s="96">
        <v>2832</v>
      </c>
      <c r="J318" t="s" s="96">
        <v>78</v>
      </c>
      <c r="K318" t="s" s="96">
        <v>12</v>
      </c>
      <c r="L318" s="79">
        <v>1912</v>
      </c>
      <c r="M318" s="79">
        <v>9</v>
      </c>
      <c r="N318" t="s" s="96">
        <v>142</v>
      </c>
      <c r="O318" t="s" s="96">
        <v>34</v>
      </c>
      <c r="P318" t="s" s="96">
        <v>34</v>
      </c>
      <c r="Q318" s="16"/>
      <c r="R318" s="16"/>
      <c r="S318" s="16"/>
      <c r="T318" s="16"/>
      <c r="U318" s="16"/>
      <c r="V318" s="16"/>
      <c r="W318" s="16"/>
      <c r="X318" s="16"/>
      <c r="Y318" s="16"/>
      <c r="Z318" s="16"/>
      <c r="AA318" s="16"/>
      <c r="AB318" s="16"/>
      <c r="AC318" s="16"/>
      <c r="AD318" s="16"/>
      <c r="AE318" s="16"/>
      <c r="AF318" s="16"/>
      <c r="AG318" s="16"/>
      <c r="AH318" s="16"/>
      <c r="AI318" s="16"/>
      <c r="AJ318" s="16"/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  <c r="AZ318" s="16"/>
      <c r="BA318" s="16"/>
      <c r="BB318" s="16"/>
      <c r="BC318" s="16"/>
    </row>
    <row r="319" ht="15.35" customHeight="1">
      <c r="A319" s="16"/>
      <c r="B319" s="16"/>
      <c r="C319" s="16"/>
      <c r="D319" s="16"/>
      <c r="E319" s="16"/>
      <c r="F319" s="16"/>
      <c r="G319" s="16"/>
      <c r="H319" t="s" s="96">
        <v>2839</v>
      </c>
      <c r="I319" t="s" s="96">
        <v>2832</v>
      </c>
      <c r="J319" t="s" s="96">
        <v>78</v>
      </c>
      <c r="K319" t="s" s="96">
        <v>12</v>
      </c>
      <c r="L319" s="79">
        <v>1917</v>
      </c>
      <c r="M319" s="79">
        <v>4</v>
      </c>
      <c r="N319" t="s" s="96">
        <v>2840</v>
      </c>
      <c r="O319" t="s" s="96">
        <v>34</v>
      </c>
      <c r="P319" t="s" s="96">
        <v>34</v>
      </c>
      <c r="Q319" s="16"/>
      <c r="R319" s="16"/>
      <c r="S319" s="16"/>
      <c r="T319" s="16"/>
      <c r="U319" s="16"/>
      <c r="V319" s="16"/>
      <c r="W319" s="16"/>
      <c r="X319" s="16"/>
      <c r="Y319" s="16"/>
      <c r="Z319" s="16"/>
      <c r="AA319" s="16"/>
      <c r="AB319" s="16"/>
      <c r="AC319" s="16"/>
      <c r="AD319" s="16"/>
      <c r="AE319" s="16"/>
      <c r="AF319" s="16"/>
      <c r="AG319" s="16"/>
      <c r="AH319" s="16"/>
      <c r="AI319" s="16"/>
      <c r="AJ319" s="16"/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  <c r="AZ319" s="16"/>
      <c r="BA319" s="16"/>
      <c r="BB319" s="16"/>
      <c r="BC319" s="16"/>
    </row>
    <row r="320" ht="15.35" customHeight="1">
      <c r="A320" s="16"/>
      <c r="B320" s="16"/>
      <c r="C320" s="16"/>
      <c r="D320" s="16"/>
      <c r="E320" s="16"/>
      <c r="F320" s="16"/>
      <c r="G320" s="16"/>
      <c r="H320" t="s" s="96">
        <v>2841</v>
      </c>
      <c r="I320" t="s" s="96">
        <v>773</v>
      </c>
      <c r="J320" t="s" s="96">
        <v>750</v>
      </c>
      <c r="K320" t="s" s="96">
        <v>12</v>
      </c>
      <c r="L320" s="79">
        <v>1873</v>
      </c>
      <c r="M320" s="79">
        <v>47</v>
      </c>
      <c r="N320" t="s" s="96">
        <v>1273</v>
      </c>
      <c r="O320" t="s" s="96">
        <v>33</v>
      </c>
      <c r="P320" t="s" s="96">
        <v>15</v>
      </c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  <c r="AZ320" s="16"/>
      <c r="BA320" s="16"/>
      <c r="BB320" s="16"/>
      <c r="BC320" s="16"/>
    </row>
    <row r="321" ht="15.35" customHeight="1">
      <c r="A321" s="16"/>
      <c r="B321" s="16"/>
      <c r="C321" s="16"/>
      <c r="D321" s="16"/>
      <c r="E321" s="16"/>
      <c r="F321" s="16"/>
      <c r="G321" s="16"/>
      <c r="H321" t="s" s="96">
        <v>545</v>
      </c>
      <c r="I321" t="s" s="96">
        <v>2842</v>
      </c>
      <c r="J321" t="s" s="96">
        <v>65</v>
      </c>
      <c r="K321" t="s" s="96">
        <v>12</v>
      </c>
      <c r="L321" s="79">
        <v>1873</v>
      </c>
      <c r="M321" s="79">
        <v>48</v>
      </c>
      <c r="N321" t="s" s="96">
        <v>2845</v>
      </c>
      <c r="O321" t="s" s="96">
        <v>2843</v>
      </c>
      <c r="P321" t="s" s="96">
        <v>2844</v>
      </c>
      <c r="Q321" s="16"/>
      <c r="R321" s="16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I321" s="16"/>
      <c r="AJ321" s="16"/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  <c r="AZ321" s="16"/>
      <c r="BA321" s="16"/>
      <c r="BB321" s="16"/>
      <c r="BC321" s="16"/>
    </row>
    <row r="322" ht="15.3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I322" s="16"/>
      <c r="AJ322" s="16"/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  <c r="AZ322" s="16"/>
      <c r="BA322" s="16"/>
      <c r="BB322" s="16"/>
      <c r="BC322" s="16"/>
    </row>
    <row r="323" ht="15.35" customHeight="1">
      <c r="A323" s="16"/>
      <c r="B323" s="16"/>
      <c r="C323" s="16"/>
      <c r="D323" s="16"/>
      <c r="E323" s="16"/>
      <c r="F323" s="16"/>
      <c r="G323" s="16"/>
      <c r="H323" t="s" s="96">
        <v>0</v>
      </c>
      <c r="I323" t="s" s="96">
        <v>1</v>
      </c>
      <c r="J323" t="s" s="96">
        <v>2</v>
      </c>
      <c r="K323" t="s" s="96">
        <v>3</v>
      </c>
      <c r="L323" t="s" s="96">
        <v>4</v>
      </c>
      <c r="M323" t="s" s="96">
        <v>5</v>
      </c>
      <c r="N323" t="s" s="96">
        <v>6</v>
      </c>
      <c r="O323" t="s" s="96">
        <v>7</v>
      </c>
      <c r="P323" t="s" s="96">
        <v>8</v>
      </c>
      <c r="Q323" s="16"/>
      <c r="R323" s="16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I323" s="16"/>
      <c r="AJ323" s="16"/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  <c r="AZ323" s="16"/>
      <c r="BA323" s="16"/>
      <c r="BB323" s="16"/>
      <c r="BC323" s="16"/>
    </row>
    <row r="324" ht="15.35" customHeight="1">
      <c r="A324" s="16"/>
      <c r="B324" s="16"/>
      <c r="C324" s="16"/>
      <c r="D324" s="16"/>
      <c r="E324" s="16"/>
      <c r="F324" s="79">
        <v>31</v>
      </c>
      <c r="G324" s="16"/>
      <c r="H324" t="s" s="96">
        <v>2846</v>
      </c>
      <c r="I324" t="s" s="96">
        <v>2249</v>
      </c>
      <c r="J324" t="s" s="96">
        <v>31</v>
      </c>
      <c r="K324" t="s" s="96">
        <v>37</v>
      </c>
      <c r="L324" s="79">
        <v>1882</v>
      </c>
      <c r="M324" s="79">
        <v>38</v>
      </c>
      <c r="N324" t="s" s="96">
        <v>1198</v>
      </c>
      <c r="O324" t="s" s="96">
        <v>2847</v>
      </c>
      <c r="P324" t="s" s="96">
        <v>2848</v>
      </c>
      <c r="Q324" s="16"/>
      <c r="R324" s="16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I324" s="16"/>
      <c r="AJ324" s="16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  <c r="AZ324" s="16"/>
      <c r="BA324" s="16"/>
      <c r="BB324" s="16"/>
      <c r="BC324" s="16"/>
    </row>
    <row r="325" ht="15.35" customHeight="1">
      <c r="A325" s="16"/>
      <c r="B325" s="16"/>
      <c r="C325" s="16"/>
      <c r="D325" s="16"/>
      <c r="E325" s="16"/>
      <c r="F325" s="16"/>
      <c r="G325" s="16"/>
      <c r="H325" t="s" s="96">
        <v>1856</v>
      </c>
      <c r="I325" t="s" s="96">
        <v>2249</v>
      </c>
      <c r="J325" t="s" s="96">
        <v>72</v>
      </c>
      <c r="K325" t="s" s="96">
        <v>12</v>
      </c>
      <c r="L325" s="79">
        <v>1875</v>
      </c>
      <c r="M325" s="79">
        <v>45</v>
      </c>
      <c r="N325" t="s" s="96">
        <v>2849</v>
      </c>
      <c r="O325" t="s" s="96">
        <v>33</v>
      </c>
      <c r="P325" t="s" s="96">
        <v>34</v>
      </c>
      <c r="Q325" s="16"/>
      <c r="R325" s="16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I325" s="16"/>
      <c r="AJ325" s="16"/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  <c r="AZ325" s="16"/>
      <c r="BA325" s="16"/>
      <c r="BB325" s="16"/>
      <c r="BC325" s="16"/>
    </row>
    <row r="326" ht="15.3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I326" s="16"/>
      <c r="AJ326" s="16"/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  <c r="AZ326" s="16"/>
      <c r="BA326" s="16"/>
      <c r="BB326" s="16"/>
      <c r="BC326" s="16"/>
    </row>
    <row r="327" ht="15.35" customHeight="1">
      <c r="A327" s="16"/>
      <c r="B327" s="16"/>
      <c r="C327" s="16"/>
      <c r="D327" s="16"/>
      <c r="E327" s="16"/>
      <c r="F327" s="16"/>
      <c r="G327" s="16"/>
      <c r="H327" t="s" s="96">
        <v>0</v>
      </c>
      <c r="I327" t="s" s="96">
        <v>1</v>
      </c>
      <c r="J327" t="s" s="96">
        <v>2</v>
      </c>
      <c r="K327" t="s" s="96">
        <v>3</v>
      </c>
      <c r="L327" t="s" s="96">
        <v>4</v>
      </c>
      <c r="M327" t="s" s="96">
        <v>5</v>
      </c>
      <c r="N327" t="s" s="96">
        <v>6</v>
      </c>
      <c r="O327" t="s" s="96">
        <v>7</v>
      </c>
      <c r="P327" t="s" s="96">
        <v>8</v>
      </c>
      <c r="Q327" s="16"/>
      <c r="R327" s="16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I327" s="16"/>
      <c r="AJ327" s="16"/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  <c r="AZ327" s="16"/>
      <c r="BA327" s="16"/>
      <c r="BB327" s="16"/>
      <c r="BC327" s="16"/>
    </row>
    <row r="328" ht="15.35" customHeight="1">
      <c r="A328" s="16"/>
      <c r="B328" s="16"/>
      <c r="C328" s="16"/>
      <c r="D328" s="16"/>
      <c r="E328" s="16"/>
      <c r="F328" s="79">
        <v>35</v>
      </c>
      <c r="G328" s="16"/>
      <c r="H328" t="s" s="96">
        <v>2851</v>
      </c>
      <c r="I328" t="s" s="96">
        <v>2850</v>
      </c>
      <c r="J328" t="s" s="96">
        <v>31</v>
      </c>
      <c r="K328" t="s" s="96">
        <v>37</v>
      </c>
      <c r="L328" s="79">
        <v>1866</v>
      </c>
      <c r="M328" s="79">
        <v>55</v>
      </c>
      <c r="N328" t="s" s="96">
        <v>13</v>
      </c>
      <c r="O328" t="s" s="96">
        <v>793</v>
      </c>
      <c r="P328" t="s" s="96">
        <v>8</v>
      </c>
      <c r="Q328" s="16"/>
      <c r="R328" s="16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I328" s="16"/>
      <c r="AJ328" s="16"/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  <c r="AZ328" s="16"/>
      <c r="BA328" s="16"/>
      <c r="BB328" s="16"/>
      <c r="BC328" s="16"/>
    </row>
    <row r="329" ht="15.35" customHeight="1">
      <c r="A329" s="16"/>
      <c r="B329" s="16"/>
      <c r="C329" s="16"/>
      <c r="D329" s="16"/>
      <c r="E329" s="16"/>
      <c r="F329" s="16"/>
      <c r="G329" s="16"/>
      <c r="H329" t="s" s="96">
        <v>2852</v>
      </c>
      <c r="I329" t="s" s="96">
        <v>2850</v>
      </c>
      <c r="J329" t="s" s="96">
        <v>72</v>
      </c>
      <c r="K329" t="s" s="96">
        <v>12</v>
      </c>
      <c r="L329" s="79">
        <v>1867</v>
      </c>
      <c r="M329" s="79">
        <v>54</v>
      </c>
      <c r="N329" t="s" s="96">
        <v>13</v>
      </c>
      <c r="O329" t="s" s="96">
        <v>1061</v>
      </c>
      <c r="P329" t="s" s="96">
        <v>34</v>
      </c>
      <c r="Q329" s="16"/>
      <c r="R329" s="16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I329" s="16"/>
      <c r="AJ329" s="16"/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  <c r="AZ329" s="16"/>
      <c r="BA329" s="16"/>
      <c r="BB329" s="16"/>
      <c r="BC329" s="16"/>
    </row>
    <row r="330" ht="15.35" customHeight="1">
      <c r="A330" s="16"/>
      <c r="B330" s="16"/>
      <c r="C330" s="16"/>
      <c r="D330" s="16"/>
      <c r="E330" s="16"/>
      <c r="F330" s="16"/>
      <c r="G330" s="16"/>
      <c r="H330" t="s" s="96">
        <v>545</v>
      </c>
      <c r="I330" t="s" s="96">
        <v>579</v>
      </c>
      <c r="J330" t="s" s="96">
        <v>11</v>
      </c>
      <c r="K330" t="s" s="96">
        <v>12</v>
      </c>
      <c r="L330" s="79">
        <v>1872</v>
      </c>
      <c r="M330" s="79">
        <v>49</v>
      </c>
      <c r="N330" t="s" s="96">
        <v>25</v>
      </c>
      <c r="O330" t="s" s="96">
        <v>45</v>
      </c>
      <c r="P330" t="s" s="96">
        <v>15</v>
      </c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  <c r="AZ330" s="16"/>
      <c r="BA330" s="16"/>
      <c r="BB330" s="16"/>
      <c r="BC330" s="16"/>
    </row>
    <row r="331" ht="15.35" customHeight="1">
      <c r="A331" s="16"/>
      <c r="B331" s="16"/>
      <c r="C331" s="16"/>
      <c r="D331" s="16"/>
      <c r="E331" s="16"/>
      <c r="F331" s="16"/>
      <c r="G331" s="16"/>
      <c r="H331" t="s" s="96">
        <v>471</v>
      </c>
      <c r="I331" t="s" s="96">
        <v>1417</v>
      </c>
      <c r="J331" t="s" s="96">
        <v>11</v>
      </c>
      <c r="K331" t="s" s="96">
        <v>12</v>
      </c>
      <c r="L331" s="79">
        <v>1894</v>
      </c>
      <c r="M331" s="79">
        <v>27</v>
      </c>
      <c r="N331" t="s" s="96">
        <v>54</v>
      </c>
      <c r="O331" t="s" s="96">
        <v>51</v>
      </c>
      <c r="P331" t="s" s="96">
        <v>15</v>
      </c>
      <c r="Q331" s="16"/>
      <c r="R331" s="16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I331" s="16"/>
      <c r="AJ331" s="16"/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  <c r="AZ331" s="16"/>
      <c r="BA331" s="16"/>
      <c r="BB331" s="16"/>
      <c r="BC331" s="16"/>
    </row>
    <row r="332" ht="15.35" customHeight="1">
      <c r="A332" s="16"/>
      <c r="B332" s="16"/>
      <c r="C332" s="16"/>
      <c r="D332" s="16"/>
      <c r="E332" s="16"/>
      <c r="F332" s="16"/>
      <c r="G332" s="16"/>
      <c r="H332" t="s" s="96">
        <v>2853</v>
      </c>
      <c r="I332" t="s" s="96">
        <v>1234</v>
      </c>
      <c r="J332" t="s" s="96">
        <v>11</v>
      </c>
      <c r="K332" t="s" s="96">
        <v>12</v>
      </c>
      <c r="L332" s="79">
        <v>1894</v>
      </c>
      <c r="M332" s="79">
        <v>26</v>
      </c>
      <c r="N332" t="s" s="96">
        <v>1015</v>
      </c>
      <c r="O332" t="s" s="96">
        <v>55</v>
      </c>
      <c r="P332" t="s" s="96">
        <v>15</v>
      </c>
      <c r="Q332" s="16"/>
      <c r="R332" s="16"/>
      <c r="S332" s="16"/>
      <c r="T332" s="16"/>
      <c r="U332" s="16"/>
      <c r="V332" s="16"/>
      <c r="W332" s="16"/>
      <c r="X332" s="16"/>
      <c r="Y332" s="16"/>
      <c r="Z332" s="16"/>
      <c r="AA332" s="16"/>
      <c r="AB332" s="16"/>
      <c r="AC332" s="16"/>
      <c r="AD332" s="16"/>
      <c r="AE332" s="16"/>
      <c r="AF332" s="16"/>
      <c r="AG332" s="16"/>
      <c r="AH332" s="16"/>
      <c r="AI332" s="16"/>
      <c r="AJ332" s="16"/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  <c r="AZ332" s="16"/>
      <c r="BA332" s="16"/>
      <c r="BB332" s="16"/>
      <c r="BC332" s="16"/>
    </row>
    <row r="333" ht="15.3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I333" s="16"/>
      <c r="AJ333" s="16"/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  <c r="AZ333" s="16"/>
      <c r="BA333" s="16"/>
      <c r="BB333" s="16"/>
      <c r="BC333" s="16"/>
    </row>
    <row r="334" ht="15.3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I334" s="16"/>
      <c r="AJ334" s="16"/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  <c r="AZ334" s="16"/>
      <c r="BA334" s="16"/>
      <c r="BB334" s="16"/>
      <c r="BC334" s="16"/>
    </row>
    <row r="335" ht="15.35" customHeight="1">
      <c r="A335" s="16"/>
      <c r="B335" s="16"/>
      <c r="C335" s="16"/>
      <c r="D335" s="16"/>
      <c r="E335" s="16"/>
      <c r="F335" s="16"/>
      <c r="G335" s="16"/>
      <c r="H335" t="s" s="96">
        <v>0</v>
      </c>
      <c r="I335" t="s" s="96">
        <v>1</v>
      </c>
      <c r="J335" t="s" s="96">
        <v>2</v>
      </c>
      <c r="K335" t="s" s="96">
        <v>3</v>
      </c>
      <c r="L335" t="s" s="96">
        <v>4</v>
      </c>
      <c r="M335" t="s" s="96">
        <v>5</v>
      </c>
      <c r="N335" t="s" s="96">
        <v>6</v>
      </c>
      <c r="O335" t="s" s="96">
        <v>7</v>
      </c>
      <c r="P335" t="s" s="96">
        <v>8</v>
      </c>
      <c r="Q335" s="16"/>
      <c r="R335" s="16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I335" s="16"/>
      <c r="AJ335" s="16"/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  <c r="AZ335" s="16"/>
      <c r="BA335" s="16"/>
      <c r="BB335" s="16"/>
      <c r="BC335" s="16"/>
    </row>
    <row r="336" ht="15.35" customHeight="1">
      <c r="A336" s="16"/>
      <c r="B336" s="16"/>
      <c r="C336" s="16"/>
      <c r="D336" s="16"/>
      <c r="E336" s="16"/>
      <c r="F336" s="79">
        <v>37</v>
      </c>
      <c r="G336" s="16"/>
      <c r="H336" t="s" s="96">
        <v>2854</v>
      </c>
      <c r="I336" t="s" s="96">
        <v>980</v>
      </c>
      <c r="J336" t="s" s="96">
        <v>31</v>
      </c>
      <c r="K336" t="s" s="96">
        <v>12</v>
      </c>
      <c r="L336" s="79">
        <v>1870</v>
      </c>
      <c r="M336" s="79">
        <v>51</v>
      </c>
      <c r="N336" t="s" s="96">
        <v>13</v>
      </c>
      <c r="O336" t="s" s="96">
        <v>33</v>
      </c>
      <c r="P336" t="s" s="96">
        <v>34</v>
      </c>
      <c r="Q336" s="16"/>
      <c r="R336" s="16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I336" s="16"/>
      <c r="AJ336" s="16"/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  <c r="AZ336" s="16"/>
      <c r="BA336" s="16"/>
      <c r="BB336" s="16"/>
      <c r="BC336" s="16"/>
    </row>
    <row r="337" ht="15.35" customHeight="1">
      <c r="A337" s="16"/>
      <c r="B337" s="16"/>
      <c r="C337" s="16"/>
      <c r="D337" s="16"/>
      <c r="E337" s="16"/>
      <c r="F337" s="16"/>
      <c r="G337" s="16"/>
      <c r="H337" t="s" s="96">
        <v>1306</v>
      </c>
      <c r="I337" t="s" s="96">
        <v>2855</v>
      </c>
      <c r="J337" t="s" s="96">
        <v>11</v>
      </c>
      <c r="K337" t="s" s="96">
        <v>12</v>
      </c>
      <c r="L337" s="79">
        <v>1882</v>
      </c>
      <c r="M337" s="79">
        <v>39</v>
      </c>
      <c r="N337" t="s" s="96">
        <v>183</v>
      </c>
      <c r="O337" t="s" s="96">
        <v>45</v>
      </c>
      <c r="P337" t="s" s="96">
        <v>15</v>
      </c>
      <c r="Q337" s="16"/>
      <c r="R337" s="16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I337" s="16"/>
      <c r="AJ337" s="16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  <c r="AZ337" s="16"/>
      <c r="BA337" s="16"/>
      <c r="BB337" s="16"/>
      <c r="BC337" s="16"/>
    </row>
    <row r="338" ht="15.35" customHeight="1">
      <c r="A338" s="16"/>
      <c r="B338" s="16"/>
      <c r="C338" s="16"/>
      <c r="D338" s="16"/>
      <c r="E338" s="16"/>
      <c r="F338" s="16"/>
      <c r="G338" s="16"/>
      <c r="H338" t="s" s="96">
        <v>235</v>
      </c>
      <c r="I338" t="s" s="96">
        <v>2856</v>
      </c>
      <c r="J338" t="s" s="96">
        <v>11</v>
      </c>
      <c r="K338" t="s" s="96">
        <v>12</v>
      </c>
      <c r="L338" s="79">
        <v>1899</v>
      </c>
      <c r="M338" s="79">
        <v>22</v>
      </c>
      <c r="N338" t="s" s="96">
        <v>118</v>
      </c>
      <c r="O338" t="s" s="96">
        <v>55</v>
      </c>
      <c r="P338" t="s" s="96">
        <v>15</v>
      </c>
      <c r="Q338" s="16"/>
      <c r="R338" s="16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I338" s="16"/>
      <c r="AJ338" s="16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  <c r="AZ338" s="16"/>
      <c r="BA338" s="16"/>
      <c r="BB338" s="16"/>
      <c r="BC338" s="16"/>
    </row>
    <row r="339" ht="15.3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I339" s="16"/>
      <c r="AJ339" s="16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  <c r="AZ339" s="16"/>
      <c r="BA339" s="16"/>
      <c r="BB339" s="16"/>
      <c r="BC339" s="16"/>
    </row>
    <row r="340" ht="15.35" customHeight="1">
      <c r="A340" s="16"/>
      <c r="B340" s="16"/>
      <c r="C340" s="16"/>
      <c r="D340" s="16"/>
      <c r="E340" s="16"/>
      <c r="F340" s="16"/>
      <c r="G340" s="16"/>
      <c r="H340" t="s" s="96">
        <v>0</v>
      </c>
      <c r="I340" t="s" s="96">
        <v>1</v>
      </c>
      <c r="J340" t="s" s="96">
        <v>2</v>
      </c>
      <c r="K340" t="s" s="96">
        <v>3</v>
      </c>
      <c r="L340" t="s" s="96">
        <v>4</v>
      </c>
      <c r="M340" t="s" s="96">
        <v>5</v>
      </c>
      <c r="N340" t="s" s="96">
        <v>6</v>
      </c>
      <c r="O340" t="s" s="96">
        <v>7</v>
      </c>
      <c r="P340" t="s" s="96">
        <v>8</v>
      </c>
      <c r="Q340" s="16"/>
      <c r="R340" s="16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I340" s="16"/>
      <c r="AJ340" s="16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  <c r="AZ340" s="16"/>
      <c r="BA340" s="16"/>
      <c r="BB340" s="16"/>
      <c r="BC340" s="16"/>
    </row>
    <row r="341" ht="15.35" customHeight="1">
      <c r="A341" s="16"/>
      <c r="B341" s="16"/>
      <c r="C341" s="16"/>
      <c r="D341" s="16"/>
      <c r="E341" s="16"/>
      <c r="F341" s="79">
        <v>39</v>
      </c>
      <c r="G341" s="16"/>
      <c r="H341" t="s" s="96">
        <v>533</v>
      </c>
      <c r="I341" t="s" s="96">
        <v>888</v>
      </c>
      <c r="J341" t="s" s="96">
        <v>36</v>
      </c>
      <c r="K341" t="s" s="96">
        <v>37</v>
      </c>
      <c r="L341" s="79">
        <v>1911</v>
      </c>
      <c r="M341" s="79">
        <v>9</v>
      </c>
      <c r="N341" t="s" s="96">
        <v>54</v>
      </c>
      <c r="O341" t="s" s="96">
        <v>34</v>
      </c>
      <c r="P341" t="s" s="96">
        <v>34</v>
      </c>
      <c r="Q341" s="16"/>
      <c r="R341" s="16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I341" s="16"/>
      <c r="AJ341" s="16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  <c r="AZ341" s="16"/>
      <c r="BA341" s="16"/>
      <c r="BB341" s="16"/>
      <c r="BC341" s="16"/>
    </row>
    <row r="342" ht="15.35" customHeight="1">
      <c r="A342" s="16"/>
      <c r="B342" s="16"/>
      <c r="C342" s="16"/>
      <c r="D342" s="16"/>
      <c r="E342" s="16"/>
      <c r="F342" s="16"/>
      <c r="G342" s="16"/>
      <c r="H342" t="s" s="96">
        <v>2857</v>
      </c>
      <c r="I342" t="s" s="96">
        <v>888</v>
      </c>
      <c r="J342" t="s" s="96">
        <v>36</v>
      </c>
      <c r="K342" t="s" s="96">
        <v>37</v>
      </c>
      <c r="L342" s="79">
        <v>1918</v>
      </c>
      <c r="M342" s="79">
        <v>2</v>
      </c>
      <c r="N342" t="s" s="96">
        <v>54</v>
      </c>
      <c r="O342" t="s" s="96">
        <v>34</v>
      </c>
      <c r="P342" t="s" s="96">
        <v>34</v>
      </c>
      <c r="Q342" s="16"/>
      <c r="R342" s="16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I342" s="16"/>
      <c r="AJ342" s="16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  <c r="AZ342" s="16"/>
      <c r="BA342" s="16"/>
      <c r="BB342" s="16"/>
      <c r="BC342" s="16"/>
    </row>
    <row r="343" ht="15.35" customHeight="1">
      <c r="A343" s="16"/>
      <c r="B343" s="16"/>
      <c r="C343" s="16"/>
      <c r="D343" s="16"/>
      <c r="E343" s="16"/>
      <c r="F343" s="16"/>
      <c r="G343" s="16"/>
      <c r="H343" t="s" s="96">
        <v>582</v>
      </c>
      <c r="I343" t="s" s="96">
        <v>2858</v>
      </c>
      <c r="J343" t="s" s="96">
        <v>11</v>
      </c>
      <c r="K343" t="s" s="96">
        <v>12</v>
      </c>
      <c r="L343" s="79">
        <v>1900</v>
      </c>
      <c r="M343" s="79">
        <v>20</v>
      </c>
      <c r="N343" t="s" s="96">
        <v>118</v>
      </c>
      <c r="O343" t="s" s="96">
        <v>699</v>
      </c>
      <c r="P343" t="s" s="96">
        <v>15</v>
      </c>
      <c r="Q343" s="16"/>
      <c r="R343" s="16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I343" s="16"/>
      <c r="AJ343" s="16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  <c r="AZ343" s="16"/>
      <c r="BA343" s="16"/>
      <c r="BB343" s="16"/>
      <c r="BC343" s="16"/>
    </row>
    <row r="344" ht="15.35" customHeight="1">
      <c r="A344" s="16"/>
      <c r="B344" s="16"/>
      <c r="C344" s="16"/>
      <c r="D344" s="16"/>
      <c r="E344" s="16"/>
      <c r="F344" s="16"/>
      <c r="G344" s="16"/>
      <c r="H344" t="s" s="96">
        <v>2860</v>
      </c>
      <c r="I344" t="s" s="96">
        <v>2859</v>
      </c>
      <c r="J344" t="s" s="96">
        <v>11</v>
      </c>
      <c r="K344" t="s" s="96">
        <v>12</v>
      </c>
      <c r="L344" s="79">
        <v>1886</v>
      </c>
      <c r="M344" s="79">
        <v>35</v>
      </c>
      <c r="N344" t="s" s="96">
        <v>118</v>
      </c>
      <c r="O344" t="s" s="96">
        <v>45</v>
      </c>
      <c r="P344" t="s" s="96">
        <v>15</v>
      </c>
      <c r="Q344" s="16"/>
      <c r="R344" s="16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I344" s="16"/>
      <c r="AJ344" s="16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  <c r="AZ344" s="16"/>
      <c r="BA344" s="16"/>
      <c r="BB344" s="16"/>
      <c r="BC344" s="16"/>
    </row>
    <row r="345" ht="15.3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I345" s="16"/>
      <c r="AJ345" s="16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  <c r="AZ345" s="16"/>
      <c r="BA345" s="16"/>
      <c r="BB345" s="16"/>
      <c r="BC345" s="16"/>
    </row>
    <row r="346" ht="15.3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I346" s="16"/>
      <c r="AJ346" s="16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  <c r="AZ346" s="16"/>
      <c r="BA346" s="16"/>
      <c r="BB346" s="16"/>
      <c r="BC346" s="16"/>
    </row>
    <row r="347" ht="15.35" customHeight="1">
      <c r="A347" s="16"/>
      <c r="B347" s="16"/>
      <c r="C347" s="16"/>
      <c r="D347" s="16"/>
      <c r="E347" s="16"/>
      <c r="F347" s="16"/>
      <c r="G347" s="16"/>
      <c r="H347" t="s" s="96">
        <v>0</v>
      </c>
      <c r="I347" t="s" s="96">
        <v>1</v>
      </c>
      <c r="J347" t="s" s="96">
        <v>2</v>
      </c>
      <c r="K347" t="s" s="96">
        <v>3</v>
      </c>
      <c r="L347" t="s" s="96">
        <v>4</v>
      </c>
      <c r="M347" t="s" s="96">
        <v>5</v>
      </c>
      <c r="N347" t="s" s="96">
        <v>6</v>
      </c>
      <c r="O347" t="s" s="96">
        <v>7</v>
      </c>
      <c r="P347" t="s" s="96">
        <v>8</v>
      </c>
      <c r="Q347" s="16"/>
      <c r="R347" s="16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I347" s="16"/>
      <c r="AJ347" s="16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  <c r="AZ347" s="16"/>
      <c r="BA347" s="16"/>
      <c r="BB347" s="16"/>
      <c r="BC347" s="16"/>
    </row>
    <row r="348" ht="15.35" customHeight="1">
      <c r="A348" s="16"/>
      <c r="B348" s="16"/>
      <c r="C348" s="16"/>
      <c r="D348" s="16"/>
      <c r="E348" s="16"/>
      <c r="F348" s="16"/>
      <c r="G348" s="16"/>
      <c r="H348" t="s" s="96">
        <v>727</v>
      </c>
      <c r="I348" t="s" s="96">
        <v>592</v>
      </c>
      <c r="J348" t="s" s="96">
        <v>31</v>
      </c>
      <c r="K348" t="s" s="96">
        <v>37</v>
      </c>
      <c r="L348" s="79">
        <v>1866</v>
      </c>
      <c r="M348" s="79">
        <v>54</v>
      </c>
      <c r="N348" t="s" s="96">
        <v>13</v>
      </c>
      <c r="O348" t="s" s="96">
        <v>194</v>
      </c>
      <c r="P348" t="s" s="96">
        <v>8</v>
      </c>
      <c r="Q348" s="16"/>
      <c r="R348" s="16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I348" s="16"/>
      <c r="AJ348" s="16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  <c r="AZ348" s="16"/>
      <c r="BA348" s="16"/>
      <c r="BB348" s="16"/>
      <c r="BC348" s="16"/>
    </row>
    <row r="349" ht="15.35" customHeight="1">
      <c r="A349" s="16"/>
      <c r="B349" s="16"/>
      <c r="C349" s="16"/>
      <c r="D349" s="16"/>
      <c r="E349" s="16"/>
      <c r="F349" s="16"/>
      <c r="G349" s="16"/>
      <c r="H349" t="s" s="96">
        <v>728</v>
      </c>
      <c r="I349" t="s" s="96">
        <v>592</v>
      </c>
      <c r="J349" t="s" s="96">
        <v>72</v>
      </c>
      <c r="K349" t="s" s="96">
        <v>12</v>
      </c>
      <c r="L349" s="79">
        <v>1868</v>
      </c>
      <c r="M349" s="79">
        <v>52</v>
      </c>
      <c r="N349" t="s" s="96">
        <v>729</v>
      </c>
      <c r="O349" t="s" s="96">
        <v>34</v>
      </c>
      <c r="P349" t="s" s="96">
        <v>34</v>
      </c>
      <c r="Q349" s="16"/>
      <c r="R349" s="16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I349" s="16"/>
      <c r="AJ349" s="16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  <c r="AZ349" s="16"/>
      <c r="BA349" s="16"/>
      <c r="BB349" s="16"/>
      <c r="BC349" s="16"/>
    </row>
    <row r="350" ht="15.35" customHeight="1">
      <c r="A350" s="16"/>
      <c r="B350" s="16"/>
      <c r="C350" s="16"/>
      <c r="D350" s="16"/>
      <c r="E350" s="16"/>
      <c r="F350" s="16"/>
      <c r="G350" s="16"/>
      <c r="H350" t="s" s="96">
        <v>731</v>
      </c>
      <c r="I350" t="s" s="96">
        <v>730</v>
      </c>
      <c r="J350" t="s" s="96">
        <v>11</v>
      </c>
      <c r="K350" t="s" s="96">
        <v>12</v>
      </c>
      <c r="L350" s="79">
        <v>1892</v>
      </c>
      <c r="M350" s="79">
        <v>28</v>
      </c>
      <c r="N350" t="s" s="96">
        <v>732</v>
      </c>
      <c r="O350" t="s" s="96">
        <v>188</v>
      </c>
      <c r="P350" t="s" s="96">
        <v>15</v>
      </c>
      <c r="Q350" s="16"/>
      <c r="R350" s="16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I350" s="16"/>
      <c r="AJ350" s="16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  <c r="AZ350" s="16"/>
      <c r="BA350" s="16"/>
      <c r="BB350" s="16"/>
      <c r="BC350" s="16"/>
    </row>
    <row r="351" ht="15.35" customHeight="1">
      <c r="A351" s="16"/>
      <c r="B351" s="16"/>
      <c r="C351" s="16"/>
      <c r="D351" s="16"/>
      <c r="E351" s="16"/>
      <c r="F351" s="16"/>
      <c r="G351" s="16"/>
      <c r="H351" t="s" s="96">
        <v>734</v>
      </c>
      <c r="I351" t="s" s="96">
        <v>733</v>
      </c>
      <c r="J351" t="s" s="96">
        <v>11</v>
      </c>
      <c r="K351" t="s" s="96">
        <v>12</v>
      </c>
      <c r="L351" s="79">
        <v>1893</v>
      </c>
      <c r="M351" s="79">
        <v>28</v>
      </c>
      <c r="N351" t="s" s="96">
        <v>13</v>
      </c>
      <c r="O351" t="s" s="96">
        <v>188</v>
      </c>
      <c r="P351" t="s" s="96">
        <v>15</v>
      </c>
      <c r="Q351" s="16"/>
      <c r="R351" s="16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I351" s="16"/>
      <c r="AJ351" s="16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  <c r="AZ351" s="16"/>
      <c r="BA351" s="16"/>
      <c r="BB351" s="16"/>
      <c r="BC351" s="16"/>
    </row>
    <row r="352" ht="15.35" customHeight="1">
      <c r="A352" s="16"/>
      <c r="B352" s="16"/>
      <c r="C352" s="16"/>
      <c r="D352" s="16"/>
      <c r="E352" s="16"/>
      <c r="F352" s="16"/>
      <c r="G352" s="16"/>
      <c r="H352" t="s" s="96">
        <v>736</v>
      </c>
      <c r="I352" t="s" s="96">
        <v>735</v>
      </c>
      <c r="J352" t="s" s="96">
        <v>11</v>
      </c>
      <c r="K352" t="s" s="96">
        <v>12</v>
      </c>
      <c r="L352" s="79">
        <v>1875</v>
      </c>
      <c r="M352" s="79">
        <v>45</v>
      </c>
      <c r="N352" t="s" s="96">
        <v>737</v>
      </c>
      <c r="O352" t="s" s="96">
        <v>188</v>
      </c>
      <c r="P352" t="s" s="96">
        <v>15</v>
      </c>
      <c r="Q352" s="16"/>
      <c r="R352" s="16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I352" s="16"/>
      <c r="AJ352" s="16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  <c r="AZ352" s="16"/>
      <c r="BA352" s="16"/>
      <c r="BB352" s="16"/>
      <c r="BC352" s="16"/>
    </row>
    <row r="353" ht="15.35" customHeight="1">
      <c r="A353" s="16"/>
      <c r="B353" s="16"/>
      <c r="C353" s="16"/>
      <c r="D353" s="16"/>
      <c r="E353" s="16"/>
      <c r="F353" s="16"/>
      <c r="G353" s="16"/>
      <c r="H353" t="s" s="96">
        <v>437</v>
      </c>
      <c r="I353" t="s" s="96">
        <v>738</v>
      </c>
      <c r="J353" t="s" s="96">
        <v>11</v>
      </c>
      <c r="K353" t="s" s="96">
        <v>12</v>
      </c>
      <c r="L353" s="79">
        <v>1896</v>
      </c>
      <c r="M353" s="79">
        <v>25</v>
      </c>
      <c r="N353" t="s" s="96">
        <v>739</v>
      </c>
      <c r="O353" t="s" s="96">
        <v>188</v>
      </c>
      <c r="P353" t="s" s="96">
        <v>15</v>
      </c>
      <c r="Q353" s="16"/>
      <c r="R353" s="16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I353" s="16"/>
      <c r="AJ353" s="16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  <c r="AZ353" s="16"/>
      <c r="BA353" s="16"/>
      <c r="BB353" s="16"/>
      <c r="BC353" s="16"/>
    </row>
    <row r="354" ht="15.35" customHeight="1">
      <c r="A354" s="16"/>
      <c r="B354" s="16"/>
      <c r="C354" s="16"/>
      <c r="D354" s="16"/>
      <c r="E354" s="16"/>
      <c r="F354" s="16"/>
      <c r="G354" s="16"/>
      <c r="H354" t="s" s="96">
        <v>102</v>
      </c>
      <c r="I354" t="s" s="96">
        <v>740</v>
      </c>
      <c r="J354" t="s" s="96">
        <v>11</v>
      </c>
      <c r="K354" t="s" s="96">
        <v>12</v>
      </c>
      <c r="L354" s="79">
        <v>1904</v>
      </c>
      <c r="M354" s="79">
        <v>16</v>
      </c>
      <c r="N354" t="s" s="96">
        <v>22</v>
      </c>
      <c r="O354" t="s" s="96">
        <v>188</v>
      </c>
      <c r="P354" t="s" s="96">
        <v>15</v>
      </c>
      <c r="Q354" s="16"/>
      <c r="R354" s="16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I354" s="16"/>
      <c r="AJ354" s="16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  <c r="AZ354" s="16"/>
      <c r="BA354" s="16"/>
      <c r="BB354" s="16"/>
      <c r="BC354" s="16"/>
    </row>
    <row r="355" ht="15.3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I355" s="16"/>
      <c r="AJ355" s="16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  <c r="AZ355" s="16"/>
      <c r="BA355" s="16"/>
      <c r="BB355" s="16"/>
      <c r="BC355" s="16"/>
    </row>
    <row r="356" ht="15.35" customHeight="1">
      <c r="A356" s="16"/>
      <c r="B356" s="16"/>
      <c r="C356" s="16"/>
      <c r="D356" s="16"/>
      <c r="E356" s="16"/>
      <c r="F356" s="16"/>
      <c r="G356" s="16"/>
      <c r="H356" t="s" s="96">
        <v>0</v>
      </c>
      <c r="I356" t="s" s="96">
        <v>1</v>
      </c>
      <c r="J356" t="s" s="96">
        <v>2</v>
      </c>
      <c r="K356" t="s" s="96">
        <v>3</v>
      </c>
      <c r="L356" t="s" s="96">
        <v>4</v>
      </c>
      <c r="M356" t="s" s="96">
        <v>5</v>
      </c>
      <c r="N356" t="s" s="96">
        <v>6</v>
      </c>
      <c r="O356" t="s" s="96">
        <v>7</v>
      </c>
      <c r="P356" t="s" s="96">
        <v>8</v>
      </c>
      <c r="Q356" s="16"/>
      <c r="R356" s="16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I356" s="16"/>
      <c r="AJ356" s="16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  <c r="AZ356" s="16"/>
      <c r="BA356" s="16"/>
      <c r="BB356" s="16"/>
      <c r="BC356" s="16"/>
    </row>
    <row r="357" ht="15.35" customHeight="1">
      <c r="A357" s="16"/>
      <c r="B357" s="16"/>
      <c r="C357" s="16"/>
      <c r="D357" s="16"/>
      <c r="E357" s="16"/>
      <c r="F357" s="16"/>
      <c r="G357" s="16"/>
      <c r="H357" t="s" s="96">
        <v>742</v>
      </c>
      <c r="I357" t="s" s="96">
        <v>741</v>
      </c>
      <c r="J357" t="s" s="96">
        <v>31</v>
      </c>
      <c r="K357" t="s" s="96">
        <v>37</v>
      </c>
      <c r="L357" s="79">
        <v>1869</v>
      </c>
      <c r="M357" s="79">
        <v>52</v>
      </c>
      <c r="N357" t="s" s="96">
        <v>745</v>
      </c>
      <c r="O357" t="s" s="96">
        <v>743</v>
      </c>
      <c r="P357" t="s" s="96">
        <v>744</v>
      </c>
      <c r="Q357" s="16"/>
      <c r="R357" s="16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I357" s="16"/>
      <c r="AJ357" s="16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  <c r="AZ357" s="16"/>
      <c r="BA357" s="16"/>
      <c r="BB357" s="16"/>
      <c r="BC357" s="16"/>
    </row>
    <row r="358" ht="15.35" customHeight="1">
      <c r="A358" s="16"/>
      <c r="B358" s="16"/>
      <c r="C358" s="16"/>
      <c r="D358" s="16"/>
      <c r="E358" s="16"/>
      <c r="F358" s="16"/>
      <c r="G358" s="16"/>
      <c r="H358" t="s" s="96">
        <v>746</v>
      </c>
      <c r="I358" t="s" s="96">
        <v>741</v>
      </c>
      <c r="J358" t="s" s="96">
        <v>72</v>
      </c>
      <c r="K358" t="s" s="96">
        <v>12</v>
      </c>
      <c r="L358" s="79">
        <v>1872</v>
      </c>
      <c r="M358" s="79">
        <v>48</v>
      </c>
      <c r="N358" t="s" s="96">
        <v>747</v>
      </c>
      <c r="O358" t="s" s="96">
        <v>33</v>
      </c>
      <c r="P358" t="s" s="96">
        <v>34</v>
      </c>
      <c r="Q358" s="16"/>
      <c r="R358" s="16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I358" s="16"/>
      <c r="AJ358" s="16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  <c r="AZ358" s="16"/>
      <c r="BA358" s="16"/>
      <c r="BB358" s="16"/>
      <c r="BC358" s="16"/>
    </row>
    <row r="359" ht="15.35" customHeight="1">
      <c r="A359" s="16"/>
      <c r="B359" s="16"/>
      <c r="C359" s="16"/>
      <c r="D359" s="16"/>
      <c r="E359" s="16"/>
      <c r="F359" s="16"/>
      <c r="G359" s="16"/>
      <c r="H359" t="s" s="96">
        <v>749</v>
      </c>
      <c r="I359" t="s" s="96">
        <v>748</v>
      </c>
      <c r="J359" t="s" s="96">
        <v>750</v>
      </c>
      <c r="K359" t="s" s="96">
        <v>12</v>
      </c>
      <c r="L359" s="79">
        <v>1879</v>
      </c>
      <c r="M359" s="79">
        <v>41</v>
      </c>
      <c r="N359" t="s" s="96">
        <v>747</v>
      </c>
      <c r="O359" t="s" s="96">
        <v>751</v>
      </c>
      <c r="P359" t="s" s="96">
        <v>752</v>
      </c>
      <c r="Q359" s="16"/>
      <c r="R359" s="16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I359" s="16"/>
      <c r="AJ359" s="16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  <c r="AZ359" s="16"/>
      <c r="BA359" s="16"/>
      <c r="BB359" s="16"/>
      <c r="BC359" s="16"/>
    </row>
    <row r="360" ht="15.35" customHeight="1">
      <c r="A360" s="16"/>
      <c r="B360" s="16"/>
      <c r="C360" s="16"/>
      <c r="D360" s="16"/>
      <c r="E360" s="16"/>
      <c r="F360" s="16"/>
      <c r="G360" s="16"/>
      <c r="H360" t="s" s="96">
        <v>753</v>
      </c>
      <c r="I360" t="s" s="96">
        <v>748</v>
      </c>
      <c r="J360" t="s" s="96">
        <v>755</v>
      </c>
      <c r="K360" t="s" s="96">
        <v>37</v>
      </c>
      <c r="L360" s="79">
        <v>1905</v>
      </c>
      <c r="M360" s="79">
        <v>16</v>
      </c>
      <c r="N360" t="s" s="96">
        <v>754</v>
      </c>
      <c r="O360" t="s" s="96">
        <v>34</v>
      </c>
      <c r="P360" t="s" s="96">
        <v>34</v>
      </c>
      <c r="Q360" s="16"/>
      <c r="R360" s="16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I360" s="16"/>
      <c r="AJ360" s="16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  <c r="AZ360" s="16"/>
      <c r="BA360" s="16"/>
      <c r="BB360" s="16"/>
      <c r="BC360" s="16"/>
    </row>
    <row r="361" ht="15.35" customHeight="1">
      <c r="A361" s="16"/>
      <c r="B361" s="16"/>
      <c r="C361" s="16"/>
      <c r="D361" s="16"/>
      <c r="E361" s="16"/>
      <c r="F361" s="16"/>
      <c r="G361" s="16"/>
      <c r="H361" t="s" s="96">
        <v>757</v>
      </c>
      <c r="I361" t="s" s="96">
        <v>756</v>
      </c>
      <c r="J361" t="s" s="96">
        <v>11</v>
      </c>
      <c r="K361" t="s" s="96">
        <v>12</v>
      </c>
      <c r="L361" s="79">
        <v>1896</v>
      </c>
      <c r="M361" s="79">
        <v>24</v>
      </c>
      <c r="N361" t="s" s="96">
        <v>759</v>
      </c>
      <c r="O361" t="s" s="96">
        <v>45</v>
      </c>
      <c r="P361" t="s" s="96">
        <v>758</v>
      </c>
      <c r="Q361" s="16"/>
      <c r="R361" s="16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I361" s="16"/>
      <c r="AJ361" s="16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  <c r="AZ361" s="16"/>
      <c r="BA361" s="16"/>
      <c r="BB361" s="16"/>
      <c r="BC361" s="16"/>
    </row>
    <row r="362" ht="15.35" customHeight="1">
      <c r="A362" s="16"/>
      <c r="B362" s="16"/>
      <c r="C362" s="16"/>
      <c r="D362" s="16"/>
      <c r="E362" s="16"/>
      <c r="F362" s="16"/>
      <c r="G362" s="16"/>
      <c r="H362" t="s" s="96">
        <v>86</v>
      </c>
      <c r="I362" t="s" s="96">
        <v>760</v>
      </c>
      <c r="J362" t="s" s="96">
        <v>11</v>
      </c>
      <c r="K362" t="s" s="96">
        <v>12</v>
      </c>
      <c r="L362" s="79">
        <v>1906</v>
      </c>
      <c r="M362" s="79">
        <v>15</v>
      </c>
      <c r="N362" t="s" s="96">
        <v>763</v>
      </c>
      <c r="O362" t="s" s="96">
        <v>761</v>
      </c>
      <c r="P362" t="s" s="96">
        <v>762</v>
      </c>
      <c r="Q362" s="16"/>
      <c r="R362" s="16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I362" s="16"/>
      <c r="AJ362" s="16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  <c r="AZ362" s="16"/>
      <c r="BA362" s="16"/>
      <c r="BB362" s="16"/>
      <c r="BC362" s="16"/>
    </row>
    <row r="363" ht="15.35" customHeight="1">
      <c r="A363" s="16"/>
      <c r="B363" s="16"/>
      <c r="C363" s="16"/>
      <c r="D363" s="16"/>
      <c r="E363" s="16"/>
      <c r="F363" s="16"/>
      <c r="G363" s="16"/>
      <c r="H363" t="s" s="96">
        <v>764</v>
      </c>
      <c r="I363" t="s" s="96">
        <v>600</v>
      </c>
      <c r="J363" t="s" s="96">
        <v>11</v>
      </c>
      <c r="K363" t="s" s="96">
        <v>12</v>
      </c>
      <c r="L363" s="79">
        <v>1905</v>
      </c>
      <c r="M363" s="79">
        <v>16</v>
      </c>
      <c r="N363" t="s" s="96">
        <v>766</v>
      </c>
      <c r="O363" t="s" s="96">
        <v>55</v>
      </c>
      <c r="P363" t="s" s="96">
        <v>765</v>
      </c>
      <c r="Q363" s="16"/>
      <c r="R363" s="16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I363" s="16"/>
      <c r="AJ363" s="16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  <c r="AZ363" s="16"/>
      <c r="BA363" s="16"/>
      <c r="BB363" s="16"/>
      <c r="BC363" s="16"/>
    </row>
    <row r="364" ht="15.3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I364" s="16"/>
      <c r="AJ364" s="16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  <c r="AZ364" s="16"/>
      <c r="BA364" s="16"/>
      <c r="BB364" s="16"/>
      <c r="BC364" s="16"/>
    </row>
    <row r="365" ht="15.35" customHeight="1">
      <c r="A365" s="16"/>
      <c r="B365" s="16"/>
      <c r="C365" s="16"/>
      <c r="D365" s="16"/>
      <c r="E365" s="16"/>
      <c r="F365" s="16"/>
      <c r="G365" s="16"/>
      <c r="H365" t="s" s="96">
        <v>0</v>
      </c>
      <c r="I365" t="s" s="96">
        <v>1</v>
      </c>
      <c r="J365" t="s" s="96">
        <v>2</v>
      </c>
      <c r="K365" t="s" s="96">
        <v>3</v>
      </c>
      <c r="L365" t="s" s="96">
        <v>4</v>
      </c>
      <c r="M365" t="s" s="96">
        <v>5</v>
      </c>
      <c r="N365" t="s" s="96">
        <v>6</v>
      </c>
      <c r="O365" t="s" s="96">
        <v>7</v>
      </c>
      <c r="P365" t="s" s="96">
        <v>8</v>
      </c>
      <c r="Q365" s="16"/>
      <c r="R365" s="16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I365" s="16"/>
      <c r="AJ365" s="16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  <c r="AZ365" s="16"/>
      <c r="BA365" s="16"/>
      <c r="BB365" s="16"/>
      <c r="BC365" s="16"/>
    </row>
    <row r="366" ht="15.35" customHeight="1">
      <c r="A366" s="16"/>
      <c r="B366" s="16"/>
      <c r="C366" s="16"/>
      <c r="D366" s="16"/>
      <c r="E366" s="16"/>
      <c r="F366" s="16"/>
      <c r="G366" s="16"/>
      <c r="H366" t="s" s="96">
        <v>2861</v>
      </c>
      <c r="I366" t="s" s="96">
        <v>515</v>
      </c>
      <c r="J366" t="s" s="96">
        <v>31</v>
      </c>
      <c r="K366" t="s" s="96">
        <v>37</v>
      </c>
      <c r="L366" s="79">
        <v>1870</v>
      </c>
      <c r="M366" s="79">
        <v>51</v>
      </c>
      <c r="N366" t="s" s="96">
        <v>13</v>
      </c>
      <c r="O366" t="s" s="96">
        <v>2120</v>
      </c>
      <c r="P366" t="s" s="96">
        <v>603</v>
      </c>
      <c r="Q366" s="16"/>
      <c r="R366" s="16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I366" s="16"/>
      <c r="AJ366" s="16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  <c r="AZ366" s="16"/>
      <c r="BA366" s="16"/>
      <c r="BB366" s="16"/>
      <c r="BC366" s="16"/>
    </row>
    <row r="367" ht="15.35" customHeight="1">
      <c r="A367" s="16"/>
      <c r="B367" s="16"/>
      <c r="C367" s="16"/>
      <c r="D367" s="16"/>
      <c r="E367" s="16"/>
      <c r="F367" s="16"/>
      <c r="G367" s="16"/>
      <c r="H367" t="s" s="96">
        <v>251</v>
      </c>
      <c r="I367" t="s" s="96">
        <v>515</v>
      </c>
      <c r="J367" t="s" s="96">
        <v>72</v>
      </c>
      <c r="K367" t="s" s="96">
        <v>12</v>
      </c>
      <c r="L367" s="79">
        <v>1861</v>
      </c>
      <c r="M367" s="79">
        <v>60</v>
      </c>
      <c r="N367" t="s" s="96">
        <v>13</v>
      </c>
      <c r="O367" t="s" s="96">
        <v>34</v>
      </c>
      <c r="P367" t="s" s="96">
        <v>34</v>
      </c>
      <c r="Q367" s="16"/>
      <c r="R367" s="16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I367" s="16"/>
      <c r="AJ367" s="16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  <c r="AZ367" s="16"/>
      <c r="BA367" s="16"/>
      <c r="BB367" s="16"/>
      <c r="BC367" s="16"/>
    </row>
    <row r="368" ht="15.35" customHeight="1">
      <c r="A368" s="16"/>
      <c r="B368" s="16"/>
      <c r="C368" s="16"/>
      <c r="D368" s="16"/>
      <c r="E368" s="16"/>
      <c r="F368" s="16"/>
      <c r="G368" s="16"/>
      <c r="H368" t="s" s="96">
        <v>2863</v>
      </c>
      <c r="I368" t="s" s="96">
        <v>2862</v>
      </c>
      <c r="J368" t="s" s="96">
        <v>41</v>
      </c>
      <c r="K368" t="s" s="96">
        <v>12</v>
      </c>
      <c r="L368" s="79">
        <v>1841</v>
      </c>
      <c r="M368" s="79">
        <v>79</v>
      </c>
      <c r="N368" t="s" s="96">
        <v>2864</v>
      </c>
      <c r="O368" t="s" s="96">
        <v>34</v>
      </c>
      <c r="P368" t="s" s="96">
        <v>34</v>
      </c>
      <c r="Q368" s="16"/>
      <c r="R368" s="16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I368" s="16"/>
      <c r="AJ368" s="16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  <c r="AZ368" s="16"/>
      <c r="BA368" s="16"/>
      <c r="BB368" s="16"/>
      <c r="BC368" s="16"/>
    </row>
    <row r="369" ht="15.35" customHeight="1">
      <c r="A369" s="16"/>
      <c r="B369" s="16"/>
      <c r="C369" s="16"/>
      <c r="D369" s="16"/>
      <c r="E369" s="16"/>
      <c r="F369" s="16"/>
      <c r="G369" s="16"/>
      <c r="H369" t="s" s="96">
        <v>1055</v>
      </c>
      <c r="I369" t="s" s="96">
        <v>2865</v>
      </c>
      <c r="J369" t="s" s="96">
        <v>11</v>
      </c>
      <c r="K369" t="s" s="96">
        <v>12</v>
      </c>
      <c r="L369" s="79">
        <v>1862</v>
      </c>
      <c r="M369" s="79">
        <v>58</v>
      </c>
      <c r="N369" t="s" s="96">
        <v>134</v>
      </c>
      <c r="O369" t="s" s="96">
        <v>45</v>
      </c>
      <c r="P369" t="s" s="96">
        <v>15</v>
      </c>
      <c r="Q369" s="16"/>
      <c r="R369" s="16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I369" s="16"/>
      <c r="AJ369" s="16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  <c r="AZ369" s="16"/>
      <c r="BA369" s="16"/>
      <c r="BB369" s="16"/>
      <c r="BC369" s="16"/>
    </row>
    <row r="370" ht="15.35" customHeight="1">
      <c r="A370" s="16"/>
      <c r="B370" s="16"/>
      <c r="C370" s="16"/>
      <c r="D370" s="16"/>
      <c r="E370" s="16"/>
      <c r="F370" s="16"/>
      <c r="G370" s="16"/>
      <c r="H370" t="s" s="96">
        <v>2866</v>
      </c>
      <c r="I370" t="s" s="96">
        <v>2697</v>
      </c>
      <c r="J370" t="s" s="96">
        <v>11</v>
      </c>
      <c r="K370" t="s" s="96">
        <v>12</v>
      </c>
      <c r="L370" s="79">
        <v>1889</v>
      </c>
      <c r="M370" s="79">
        <v>32</v>
      </c>
      <c r="N370" t="s" s="96">
        <v>489</v>
      </c>
      <c r="O370" t="s" s="96">
        <v>126</v>
      </c>
      <c r="P370" t="s" s="96">
        <v>15</v>
      </c>
      <c r="Q370" s="16"/>
      <c r="R370" s="16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/>
      <c r="AD370" s="16"/>
      <c r="AE370" s="16"/>
      <c r="AF370" s="16"/>
      <c r="AG370" s="16"/>
      <c r="AH370" s="16"/>
      <c r="AI370" s="16"/>
      <c r="AJ370" s="16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  <c r="AZ370" s="16"/>
      <c r="BA370" s="16"/>
      <c r="BB370" s="16"/>
      <c r="BC370" s="16"/>
    </row>
    <row r="371" ht="15.35" customHeight="1">
      <c r="A371" s="16"/>
      <c r="B371" s="16"/>
      <c r="C371" s="16"/>
      <c r="D371" s="16"/>
      <c r="E371" s="16"/>
      <c r="F371" s="16"/>
      <c r="G371" s="16"/>
      <c r="H371" t="s" s="96">
        <v>2868</v>
      </c>
      <c r="I371" t="s" s="96">
        <v>2867</v>
      </c>
      <c r="J371" t="s" s="96">
        <v>11</v>
      </c>
      <c r="K371" t="s" s="96">
        <v>12</v>
      </c>
      <c r="L371" s="79">
        <v>1901</v>
      </c>
      <c r="M371" s="79">
        <v>20</v>
      </c>
      <c r="N371" t="s" s="96">
        <v>1936</v>
      </c>
      <c r="O371" t="s" s="96">
        <v>55</v>
      </c>
      <c r="P371" t="s" s="96">
        <v>15</v>
      </c>
      <c r="Q371" s="16"/>
      <c r="R371" s="16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/>
      <c r="AD371" s="16"/>
      <c r="AE371" s="16"/>
      <c r="AF371" s="16"/>
      <c r="AG371" s="16"/>
      <c r="AH371" s="16"/>
      <c r="AI371" s="16"/>
      <c r="AJ371" s="16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  <c r="AZ371" s="16"/>
      <c r="BA371" s="16"/>
      <c r="BB371" s="16"/>
      <c r="BC371" s="16"/>
    </row>
    <row r="372" ht="15.3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D372" s="16"/>
      <c r="AE372" s="16"/>
      <c r="AF372" s="16"/>
      <c r="AG372" s="16"/>
      <c r="AH372" s="16"/>
      <c r="AI372" s="16"/>
      <c r="AJ372" s="16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  <c r="AZ372" s="16"/>
      <c r="BA372" s="16"/>
      <c r="BB372" s="16"/>
      <c r="BC372" s="16"/>
    </row>
    <row r="373" ht="15.35" customHeight="1">
      <c r="A373" s="16"/>
      <c r="B373" s="16"/>
      <c r="C373" s="16"/>
      <c r="D373" s="16"/>
      <c r="E373" s="16"/>
      <c r="F373" s="16"/>
      <c r="G373" s="16"/>
      <c r="H373" t="s" s="96">
        <v>0</v>
      </c>
      <c r="I373" t="s" s="96">
        <v>1</v>
      </c>
      <c r="J373" t="s" s="96">
        <v>2</v>
      </c>
      <c r="K373" t="s" s="96">
        <v>3</v>
      </c>
      <c r="L373" t="s" s="96">
        <v>4</v>
      </c>
      <c r="M373" t="s" s="96">
        <v>5</v>
      </c>
      <c r="N373" t="s" s="96">
        <v>6</v>
      </c>
      <c r="O373" t="s" s="96">
        <v>7</v>
      </c>
      <c r="P373" t="s" s="96">
        <v>8</v>
      </c>
      <c r="Q373" s="16"/>
      <c r="R373" s="16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D373" s="16"/>
      <c r="AE373" s="16"/>
      <c r="AF373" s="16"/>
      <c r="AG373" s="16"/>
      <c r="AH373" s="16"/>
      <c r="AI373" s="16"/>
      <c r="AJ373" s="16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  <c r="AZ373" s="16"/>
      <c r="BA373" s="16"/>
      <c r="BB373" s="16"/>
      <c r="BC373" s="16"/>
    </row>
    <row r="374" ht="15.35" customHeight="1">
      <c r="A374" s="16"/>
      <c r="B374" s="16"/>
      <c r="C374" s="16"/>
      <c r="D374" s="16"/>
      <c r="E374" s="16"/>
      <c r="F374" s="16"/>
      <c r="G374" s="16"/>
      <c r="H374" t="s" s="96">
        <v>2853</v>
      </c>
      <c r="I374" t="s" s="96">
        <v>1802</v>
      </c>
      <c r="J374" t="s" s="96">
        <v>11</v>
      </c>
      <c r="K374" t="s" s="96">
        <v>12</v>
      </c>
      <c r="L374" s="79">
        <v>1867</v>
      </c>
      <c r="M374" s="79">
        <v>53</v>
      </c>
      <c r="N374" t="s" s="96">
        <v>2869</v>
      </c>
      <c r="O374" t="s" s="96">
        <v>45</v>
      </c>
      <c r="P374" t="s" s="96">
        <v>15</v>
      </c>
      <c r="Q374" t="s" s="96">
        <v>2877</v>
      </c>
      <c r="R374" s="16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D374" s="16"/>
      <c r="AE374" s="16"/>
      <c r="AF374" s="16"/>
      <c r="AG374" s="16"/>
      <c r="AH374" s="16"/>
      <c r="AI374" s="16"/>
      <c r="AJ374" s="16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  <c r="AZ374" s="16"/>
      <c r="BA374" s="16"/>
      <c r="BB374" s="16"/>
      <c r="BC374" s="16"/>
    </row>
    <row r="375" ht="15.35" customHeight="1">
      <c r="A375" s="16"/>
      <c r="B375" s="16"/>
      <c r="C375" s="16"/>
      <c r="D375" s="16"/>
      <c r="E375" s="16"/>
      <c r="F375" s="16"/>
      <c r="G375" s="16"/>
      <c r="H375" t="s" s="96">
        <v>231</v>
      </c>
      <c r="I375" t="s" s="96">
        <v>2870</v>
      </c>
      <c r="J375" t="s" s="96">
        <v>11</v>
      </c>
      <c r="K375" t="s" s="96">
        <v>12</v>
      </c>
      <c r="L375" s="79">
        <v>1891</v>
      </c>
      <c r="M375" s="79">
        <v>29</v>
      </c>
      <c r="N375" t="s" s="96">
        <v>2878</v>
      </c>
      <c r="O375" t="s" s="96">
        <v>105</v>
      </c>
      <c r="P375" t="s" s="96">
        <v>15</v>
      </c>
      <c r="Q375" s="16"/>
      <c r="R375" s="16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D375" s="16"/>
      <c r="AE375" s="16"/>
      <c r="AF375" s="16"/>
      <c r="AG375" s="16"/>
      <c r="AH375" s="16"/>
      <c r="AI375" s="16"/>
      <c r="AJ375" s="16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  <c r="AZ375" s="16"/>
      <c r="BA375" s="16"/>
      <c r="BB375" s="16"/>
      <c r="BC375" s="16"/>
    </row>
    <row r="376" ht="15.35" customHeight="1">
      <c r="A376" s="16"/>
      <c r="B376" s="16"/>
      <c r="C376" s="16"/>
      <c r="D376" s="16"/>
      <c r="E376" s="16"/>
      <c r="F376" s="16"/>
      <c r="G376" s="16"/>
      <c r="H376" t="s" s="96">
        <v>2872</v>
      </c>
      <c r="I376" t="s" s="96">
        <v>2871</v>
      </c>
      <c r="J376" t="s" s="96">
        <v>11</v>
      </c>
      <c r="K376" t="s" s="96">
        <v>12</v>
      </c>
      <c r="L376" s="79">
        <v>1902</v>
      </c>
      <c r="M376" s="79">
        <v>18</v>
      </c>
      <c r="N376" t="s" s="96">
        <v>2873</v>
      </c>
      <c r="O376" t="s" s="96">
        <v>105</v>
      </c>
      <c r="P376" t="s" s="96">
        <v>15</v>
      </c>
      <c r="Q376" s="16"/>
      <c r="R376" s="16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D376" s="16"/>
      <c r="AE376" s="16"/>
      <c r="AF376" s="16"/>
      <c r="AG376" s="16"/>
      <c r="AH376" s="16"/>
      <c r="AI376" s="16"/>
      <c r="AJ376" s="16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  <c r="AZ376" s="16"/>
      <c r="BA376" s="16"/>
      <c r="BB376" s="16"/>
      <c r="BC376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5.xml><?xml version="1.0" encoding="utf-8"?>
<worksheet xmlns:r="http://schemas.openxmlformats.org/officeDocument/2006/relationships" xmlns="http://schemas.openxmlformats.org/spreadsheetml/2006/main">
  <dimension ref="A1:BC38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436" customWidth="1"/>
    <col min="4" max="4" width="17.8516" style="436" customWidth="1"/>
    <col min="5" max="5" width="27.8516" style="436" customWidth="1"/>
    <col min="6" max="6" width="9.85156" style="436" customWidth="1"/>
    <col min="7" max="7" width="10.8516" style="436" customWidth="1"/>
    <col min="8" max="8" width="19.3516" style="436" customWidth="1"/>
    <col min="9" max="10" width="10.8516" style="436" customWidth="1"/>
    <col min="11" max="11" width="8.5" style="436" customWidth="1"/>
    <col min="12" max="12" width="7.85156" style="436" customWidth="1"/>
    <col min="13" max="13" width="10" style="436" customWidth="1"/>
    <col min="14" max="14" width="8.67188" style="436" customWidth="1"/>
    <col min="15" max="15" width="18.5" style="436" customWidth="1"/>
    <col min="16" max="16" width="11.5" style="436" customWidth="1"/>
    <col min="17" max="17" width="11.6719" style="436" customWidth="1"/>
    <col min="18" max="18" width="12.3516" style="436" customWidth="1"/>
    <col min="19" max="19" width="10.8516" style="436" customWidth="1"/>
    <col min="20" max="20" width="15.1719" style="436" customWidth="1"/>
    <col min="21" max="23" width="10.8516" style="436" customWidth="1"/>
    <col min="24" max="24" width="31" style="436" customWidth="1"/>
    <col min="25" max="25" width="19.8516" style="436" customWidth="1"/>
    <col min="26" max="26" width="12.1719" style="436" customWidth="1"/>
    <col min="27" max="30" width="16.5" style="436" customWidth="1"/>
    <col min="31" max="31" width="14.6719" style="436" customWidth="1"/>
    <col min="32" max="32" width="10.8516" style="436" customWidth="1"/>
    <col min="33" max="33" width="11" style="436" customWidth="1"/>
    <col min="34" max="34" width="11.1719" style="436" customWidth="1"/>
    <col min="35" max="35" width="7.85156" style="436" customWidth="1"/>
    <col min="36" max="37" width="10.8516" style="436" customWidth="1"/>
    <col min="38" max="38" width="7.35156" style="436" customWidth="1"/>
    <col min="39" max="39" width="10.8516" style="436" customWidth="1"/>
    <col min="40" max="40" width="9.17188" style="436" customWidth="1"/>
    <col min="41" max="41" width="10.8516" style="436" customWidth="1"/>
    <col min="42" max="42" width="12.5" style="436" customWidth="1"/>
    <col min="43" max="43" width="13" style="436" customWidth="1"/>
    <col min="44" max="55" width="10.8516" style="436" customWidth="1"/>
    <col min="56" max="16384" width="10.8516" style="436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90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2879</v>
      </c>
      <c r="B3" s="111">
        <v>1921</v>
      </c>
      <c r="C3" s="30"/>
      <c r="D3" t="s" s="83">
        <v>2880</v>
      </c>
      <c r="E3" s="74"/>
      <c r="F3" s="62"/>
      <c r="G3" t="s" s="98">
        <v>1</v>
      </c>
      <c r="H3" t="s" s="98">
        <v>0</v>
      </c>
      <c r="I3" s="62"/>
      <c r="J3" t="s" s="98">
        <v>3</v>
      </c>
      <c r="K3" s="62"/>
      <c r="L3" s="62"/>
      <c r="M3" s="62"/>
      <c r="N3" t="s" s="96">
        <v>2</v>
      </c>
      <c r="O3" s="62"/>
      <c r="P3" s="62"/>
      <c r="Q3" s="62"/>
      <c r="R3" s="62"/>
      <c r="S3" s="62"/>
      <c r="T3" t="s" s="96">
        <v>5</v>
      </c>
      <c r="U3" t="s" s="96">
        <v>6</v>
      </c>
      <c r="V3" t="s" s="96">
        <v>7</v>
      </c>
      <c r="W3" t="s" s="154">
        <v>8</v>
      </c>
      <c r="X3" s="29"/>
      <c r="Y3" s="29"/>
      <c r="Z3" s="29"/>
      <c r="AA3" s="29"/>
      <c r="AB3" s="29"/>
      <c r="AC3" s="29"/>
      <c r="AD3" s="29"/>
      <c r="AE3" s="30"/>
      <c r="AF3" s="115"/>
      <c r="AG3" s="29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2879</v>
      </c>
      <c r="B4" s="112">
        <v>1921</v>
      </c>
      <c r="C4" s="112">
        <v>1</v>
      </c>
      <c r="D4" t="s" s="83">
        <v>2880</v>
      </c>
      <c r="E4" t="s" s="157">
        <v>2881</v>
      </c>
      <c r="F4" s="16"/>
      <c r="G4" t="s" s="96">
        <v>2882</v>
      </c>
      <c r="H4" t="s" s="96">
        <v>2883</v>
      </c>
      <c r="I4" s="79">
        <v>1</v>
      </c>
      <c r="J4" t="s" s="96">
        <v>37</v>
      </c>
      <c r="K4" s="79">
        <v>1</v>
      </c>
      <c r="L4" s="16"/>
      <c r="M4" s="16"/>
      <c r="N4" s="79">
        <v>1</v>
      </c>
      <c r="O4" s="16"/>
      <c r="P4" s="16"/>
      <c r="Q4" s="16"/>
      <c r="R4" s="16"/>
      <c r="S4" s="16"/>
      <c r="T4" s="79">
        <v>47</v>
      </c>
      <c r="U4" s="16"/>
      <c r="V4" s="16"/>
      <c r="W4" s="16"/>
      <c r="X4" s="117"/>
      <c r="Y4" s="30"/>
      <c r="Z4" s="116"/>
      <c r="AA4" t="s" s="98">
        <v>2884</v>
      </c>
      <c r="AB4" t="s" s="154">
        <v>2885</v>
      </c>
      <c r="AC4" s="112">
        <v>1</v>
      </c>
      <c r="AD4" s="30"/>
      <c r="AE4" s="30"/>
      <c r="AF4" t="s" s="159">
        <v>2886</v>
      </c>
      <c r="AG4" s="118">
        <v>1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2879</v>
      </c>
      <c r="B5" s="112">
        <v>1921</v>
      </c>
      <c r="C5" s="112">
        <v>1</v>
      </c>
      <c r="D5" t="s" s="83">
        <v>2880</v>
      </c>
      <c r="E5" t="s" s="157">
        <v>2881</v>
      </c>
      <c r="F5" s="16"/>
      <c r="G5" t="s" s="96">
        <v>2882</v>
      </c>
      <c r="H5" t="s" s="96">
        <v>2887</v>
      </c>
      <c r="I5" s="79">
        <v>2</v>
      </c>
      <c r="J5" s="79">
        <v>1</v>
      </c>
      <c r="K5" s="16"/>
      <c r="L5" s="16"/>
      <c r="M5" s="16"/>
      <c r="N5" t="s" s="96">
        <v>72</v>
      </c>
      <c r="O5" s="79">
        <v>1</v>
      </c>
      <c r="P5" s="16"/>
      <c r="Q5" s="16"/>
      <c r="R5" s="16"/>
      <c r="S5" s="16"/>
      <c r="T5" s="79">
        <v>42</v>
      </c>
      <c r="U5" s="16"/>
      <c r="V5" s="16"/>
      <c r="W5" s="16"/>
      <c r="X5" s="75"/>
      <c r="Y5" s="30"/>
      <c r="Z5" s="74"/>
      <c r="AA5" t="s" s="96">
        <v>33</v>
      </c>
      <c r="AB5" t="s" s="158">
        <v>34</v>
      </c>
      <c r="AC5" s="30"/>
      <c r="AD5" s="30"/>
      <c r="AE5" s="30"/>
      <c r="AF5" t="s" s="159">
        <v>208</v>
      </c>
      <c r="AG5" s="118">
        <v>1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2879</v>
      </c>
      <c r="B6" s="112">
        <v>1921</v>
      </c>
      <c r="C6" s="112">
        <v>1</v>
      </c>
      <c r="D6" t="s" s="83">
        <v>2880</v>
      </c>
      <c r="E6" t="s" s="157">
        <v>2881</v>
      </c>
      <c r="F6" s="16"/>
      <c r="G6" t="s" s="96">
        <v>2882</v>
      </c>
      <c r="H6" t="s" s="96">
        <v>2888</v>
      </c>
      <c r="I6" s="79">
        <v>3</v>
      </c>
      <c r="J6" s="16"/>
      <c r="K6" s="16"/>
      <c r="L6" s="79">
        <v>1</v>
      </c>
      <c r="M6" s="16"/>
      <c r="N6" t="s" s="96">
        <v>78</v>
      </c>
      <c r="O6" s="16"/>
      <c r="P6" s="79">
        <v>1</v>
      </c>
      <c r="Q6" s="16"/>
      <c r="R6" s="16"/>
      <c r="S6" s="16"/>
      <c r="T6" s="79">
        <v>6</v>
      </c>
      <c r="U6" s="16"/>
      <c r="V6" s="16"/>
      <c r="W6" s="16"/>
      <c r="X6" s="75"/>
      <c r="Y6" s="30"/>
      <c r="Z6" s="74"/>
      <c r="AA6" t="s" s="96">
        <v>34</v>
      </c>
      <c r="AB6" t="s" s="158">
        <v>34</v>
      </c>
      <c r="AC6" s="30"/>
      <c r="AD6" s="30"/>
      <c r="AE6" s="30"/>
      <c r="AF6" t="s" s="159">
        <v>507</v>
      </c>
      <c r="AG6" s="121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2879</v>
      </c>
      <c r="B7" s="112">
        <v>1921</v>
      </c>
      <c r="C7" s="112">
        <v>1</v>
      </c>
      <c r="D7" t="s" s="83">
        <v>2880</v>
      </c>
      <c r="E7" t="s" s="157">
        <v>2881</v>
      </c>
      <c r="F7" s="16"/>
      <c r="G7" t="s" s="96">
        <v>120</v>
      </c>
      <c r="H7" t="s" s="96">
        <v>2889</v>
      </c>
      <c r="I7" s="79">
        <v>4</v>
      </c>
      <c r="J7" s="79">
        <v>1</v>
      </c>
      <c r="K7" s="16"/>
      <c r="L7" s="16"/>
      <c r="M7" s="16"/>
      <c r="N7" t="s" s="96">
        <v>11</v>
      </c>
      <c r="O7" s="16"/>
      <c r="P7" s="16"/>
      <c r="Q7" s="16"/>
      <c r="R7" s="16"/>
      <c r="S7" s="79">
        <v>1</v>
      </c>
      <c r="T7" s="79">
        <v>25</v>
      </c>
      <c r="U7" s="16"/>
      <c r="V7" s="16"/>
      <c r="W7" s="16"/>
      <c r="X7" s="75"/>
      <c r="Y7" s="30"/>
      <c r="Z7" s="74"/>
      <c r="AA7" t="s" s="96">
        <v>105</v>
      </c>
      <c r="AB7" t="s" s="158">
        <v>15</v>
      </c>
      <c r="AC7" s="112">
        <v>1</v>
      </c>
      <c r="AD7" s="30"/>
      <c r="AE7" s="30"/>
      <c r="AF7" t="s" s="159">
        <v>13</v>
      </c>
      <c r="AG7" s="121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2879</v>
      </c>
      <c r="B8" s="112">
        <v>1921</v>
      </c>
      <c r="C8" s="30"/>
      <c r="D8" t="s" s="83">
        <v>2880</v>
      </c>
      <c r="E8" s="74"/>
      <c r="F8" s="16"/>
      <c r="G8" s="16"/>
      <c r="H8" s="79">
        <v>4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75"/>
      <c r="Y8" s="30"/>
      <c r="Z8" s="74"/>
      <c r="AA8" s="16"/>
      <c r="AB8" s="75"/>
      <c r="AC8" s="30"/>
      <c r="AD8" s="30"/>
      <c r="AE8" s="30"/>
      <c r="AF8" s="122"/>
      <c r="AG8" s="121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2879</v>
      </c>
      <c r="B9" s="112">
        <v>1921</v>
      </c>
      <c r="C9" s="30"/>
      <c r="D9" t="s" s="83">
        <v>2880</v>
      </c>
      <c r="E9" s="74"/>
      <c r="F9" s="16"/>
      <c r="G9" t="s" s="96">
        <v>1</v>
      </c>
      <c r="H9" t="s" s="96">
        <v>0</v>
      </c>
      <c r="I9" s="16"/>
      <c r="J9" t="s" s="96">
        <v>3</v>
      </c>
      <c r="K9" s="16"/>
      <c r="L9" s="16"/>
      <c r="M9" s="16"/>
      <c r="N9" t="s" s="96">
        <v>2</v>
      </c>
      <c r="O9" s="16"/>
      <c r="P9" s="16"/>
      <c r="Q9" s="16"/>
      <c r="R9" s="16"/>
      <c r="S9" s="16"/>
      <c r="T9" t="s" s="96">
        <v>5</v>
      </c>
      <c r="U9" s="16"/>
      <c r="V9" s="16"/>
      <c r="W9" s="16"/>
      <c r="X9" s="75"/>
      <c r="Y9" s="30"/>
      <c r="Z9" s="74"/>
      <c r="AA9" t="s" s="96">
        <v>7</v>
      </c>
      <c r="AB9" t="s" s="158">
        <v>8</v>
      </c>
      <c r="AC9" s="30"/>
      <c r="AD9" s="30"/>
      <c r="AE9" s="30"/>
      <c r="AF9" t="s" s="159">
        <v>6</v>
      </c>
      <c r="AG9" s="12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2879</v>
      </c>
      <c r="B10" s="112">
        <v>1921</v>
      </c>
      <c r="C10" s="112">
        <v>2</v>
      </c>
      <c r="D10" t="s" s="83">
        <v>2880</v>
      </c>
      <c r="E10" t="s" s="157">
        <v>2890</v>
      </c>
      <c r="F10" s="16"/>
      <c r="G10" t="s" s="96">
        <v>2891</v>
      </c>
      <c r="H10" t="s" s="96">
        <v>153</v>
      </c>
      <c r="I10" s="79">
        <v>5</v>
      </c>
      <c r="J10" t="s" s="96">
        <v>37</v>
      </c>
      <c r="K10" s="79">
        <v>1</v>
      </c>
      <c r="L10" s="16"/>
      <c r="M10" s="16"/>
      <c r="N10" s="79">
        <v>1</v>
      </c>
      <c r="O10" s="16"/>
      <c r="P10" s="16"/>
      <c r="Q10" s="16"/>
      <c r="R10" s="16"/>
      <c r="S10" s="16"/>
      <c r="T10" s="79">
        <v>66</v>
      </c>
      <c r="U10" s="16"/>
      <c r="V10" s="16"/>
      <c r="W10" s="16"/>
      <c r="X10" s="75"/>
      <c r="Y10" s="30"/>
      <c r="Z10" s="74"/>
      <c r="AA10" t="s" s="96">
        <v>2892</v>
      </c>
      <c r="AB10" t="s" s="158">
        <v>2893</v>
      </c>
      <c r="AC10" s="112">
        <v>1</v>
      </c>
      <c r="AD10" s="30"/>
      <c r="AE10" s="30"/>
      <c r="AF10" t="s" s="159">
        <v>2894</v>
      </c>
      <c r="AG10" s="12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83">
        <v>2879</v>
      </c>
      <c r="B11" s="112">
        <v>1921</v>
      </c>
      <c r="C11" s="112">
        <v>2</v>
      </c>
      <c r="D11" t="s" s="83">
        <v>2880</v>
      </c>
      <c r="E11" t="s" s="160">
        <v>2890</v>
      </c>
      <c r="F11" s="132"/>
      <c r="G11" t="s" s="181">
        <v>2895</v>
      </c>
      <c r="H11" t="s" s="181">
        <v>406</v>
      </c>
      <c r="I11" s="79">
        <v>6</v>
      </c>
      <c r="J11" s="126">
        <v>1</v>
      </c>
      <c r="K11" s="132"/>
      <c r="L11" s="132"/>
      <c r="M11" s="132"/>
      <c r="N11" t="s" s="181">
        <v>11</v>
      </c>
      <c r="O11" s="132"/>
      <c r="P11" s="132"/>
      <c r="Q11" s="132"/>
      <c r="R11" s="132"/>
      <c r="S11" s="126">
        <v>1</v>
      </c>
      <c r="T11" s="126">
        <v>54</v>
      </c>
      <c r="U11" s="132"/>
      <c r="V11" s="132"/>
      <c r="W11" s="132"/>
      <c r="X11" s="133"/>
      <c r="Y11" s="30"/>
      <c r="Z11" s="131"/>
      <c r="AA11" t="s" s="181">
        <v>175</v>
      </c>
      <c r="AB11" t="s" s="161">
        <v>15</v>
      </c>
      <c r="AC11" s="112">
        <v>1</v>
      </c>
      <c r="AD11" s="30"/>
      <c r="AE11" s="30"/>
      <c r="AF11" t="s" s="110">
        <v>134</v>
      </c>
      <c r="AG11" s="118">
        <v>1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" customHeight="1">
      <c r="A12" t="s" s="83">
        <v>2879</v>
      </c>
      <c r="B12" s="112">
        <v>1921</v>
      </c>
      <c r="C12" s="112">
        <v>2</v>
      </c>
      <c r="D12" t="s" s="83">
        <v>2880</v>
      </c>
      <c r="E12" s="30"/>
      <c r="F12" s="30"/>
      <c r="G12" s="30"/>
      <c r="H12" s="112">
        <v>3</v>
      </c>
      <c r="I12" s="120">
        <v>6</v>
      </c>
      <c r="J12" s="112" cm="1">
        <f t="array" ref="J12">SUM(J3:J11)</f>
        <v>3</v>
      </c>
      <c r="K12" s="112" cm="1">
        <f t="array" ref="K12">SUM(K3:K11)</f>
        <v>2</v>
      </c>
      <c r="L12" s="112" cm="1">
        <f t="array" ref="L12">SUM(L3:L11)</f>
        <v>1</v>
      </c>
      <c r="M12" s="112" cm="1">
        <f t="array" ref="M12">SUM(M3:M11)</f>
        <v>0</v>
      </c>
      <c r="N12" s="112" cm="1">
        <f t="array" ref="N12">SUM(N3:N11)</f>
        <v>2</v>
      </c>
      <c r="O12" s="112" cm="1">
        <f t="array" ref="O12">SUM(O3:O11)</f>
        <v>1</v>
      </c>
      <c r="P12" s="112" cm="1">
        <f t="array" ref="P12">SUM(P3:P11)</f>
        <v>1</v>
      </c>
      <c r="Q12" s="112" cm="1">
        <f t="array" ref="Q12">SUM(Q3:Q11)</f>
        <v>0</v>
      </c>
      <c r="R12" s="112" cm="1">
        <f t="array" ref="R12">SUM(R3:R11)</f>
        <v>0</v>
      </c>
      <c r="S12" s="112" cm="1">
        <f t="array" ref="S12">SUM(S3:S11)</f>
        <v>2</v>
      </c>
      <c r="T12" s="112" cm="1">
        <f t="array" ref="T12">SUM(T3:T11)</f>
        <v>240</v>
      </c>
      <c r="U12" s="112" cm="1">
        <f t="array" ref="U12">SUM(U3:U11)</f>
        <v>0</v>
      </c>
      <c r="V12" s="112" cm="1">
        <f t="array" ref="V12">SUM(V3:V11)</f>
        <v>0</v>
      </c>
      <c r="W12" s="112" cm="1">
        <f t="array" ref="W12">SUM(W3:W11)</f>
        <v>0</v>
      </c>
      <c r="X12" s="112" cm="1">
        <f t="array" ref="X12">SUM(X3:X11)</f>
        <v>0</v>
      </c>
      <c r="Y12" s="112" cm="1">
        <f t="array" ref="Y12">SUM(Y3:Y11)</f>
        <v>0</v>
      </c>
      <c r="Z12" s="112" cm="1">
        <f t="array" ref="Z12">SUM(Z3:Z11)</f>
        <v>0</v>
      </c>
      <c r="AA12" s="112" cm="1">
        <f t="array" ref="AA12">SUM(AA3:AA11)</f>
        <v>0</v>
      </c>
      <c r="AB12" s="112" cm="1">
        <f t="array" ref="AB12">SUM(AB3:AB11)</f>
        <v>0</v>
      </c>
      <c r="AC12" s="112" cm="1">
        <f t="array" ref="AC12">SUM(AC3:AC11)</f>
        <v>4</v>
      </c>
      <c r="AD12" s="112" cm="1">
        <f t="array" ref="AD12">SUM(AD3:AD11)</f>
        <v>0</v>
      </c>
      <c r="AE12" s="112" cm="1">
        <f t="array" ref="AE12">AC12-AD12</f>
        <v>4</v>
      </c>
      <c r="AF12" s="112" cm="1">
        <f t="array" ref="AF12">I12-AG12</f>
        <v>3</v>
      </c>
      <c r="AG12" s="112" cm="1">
        <f t="array" ref="AG12">SUM(AG3:AG11)</f>
        <v>3</v>
      </c>
      <c r="AH12" s="112" cm="1">
        <f t="array" ref="AH12">AG12+AF12</f>
        <v>6</v>
      </c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2879</v>
      </c>
      <c r="B13" s="112">
        <v>1921</v>
      </c>
      <c r="C13" s="30"/>
      <c r="D13" t="s" s="83">
        <v>2880</v>
      </c>
      <c r="E13" s="30"/>
      <c r="F13" s="30"/>
      <c r="G13" s="30"/>
      <c r="H13" s="30"/>
      <c r="I13" s="122"/>
      <c r="J13" s="30"/>
      <c r="K13" s="116"/>
      <c r="L13" s="62"/>
      <c r="M13" s="117"/>
      <c r="N13" s="30"/>
      <c r="O13" s="115"/>
      <c r="P13" s="30"/>
      <c r="Q13" s="116"/>
      <c r="R13" s="62"/>
      <c r="S13" s="117"/>
      <c r="T13" s="118" cm="1">
        <f t="array" ref="T13">T12/I12</f>
        <v>40</v>
      </c>
      <c r="U13" s="116"/>
      <c r="V13" s="62"/>
      <c r="W13" s="117"/>
      <c r="X13" s="30"/>
      <c r="Y13" s="30"/>
      <c r="Z13" s="30"/>
      <c r="AA13" s="121"/>
      <c r="AB13" s="121"/>
      <c r="AC13" s="30"/>
      <c r="AD13" s="30"/>
      <c r="AE13" s="30"/>
      <c r="AF13" s="30"/>
      <c r="AG13" s="121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2879</v>
      </c>
      <c r="B14" s="112">
        <v>1921</v>
      </c>
      <c r="C14" s="30"/>
      <c r="D14" t="s" s="83">
        <v>2880</v>
      </c>
      <c r="E14" s="30"/>
      <c r="F14" s="30"/>
      <c r="G14" s="30"/>
      <c r="H14" s="30"/>
      <c r="I14" s="122"/>
      <c r="J14" s="30"/>
      <c r="K14" s="74"/>
      <c r="L14" s="16"/>
      <c r="M14" s="75"/>
      <c r="N14" s="30"/>
      <c r="O14" s="122"/>
      <c r="P14" s="30"/>
      <c r="Q14" s="74"/>
      <c r="R14" s="16"/>
      <c r="S14" s="75"/>
      <c r="T14" s="121"/>
      <c r="U14" s="74"/>
      <c r="V14" s="16"/>
      <c r="W14" s="75"/>
      <c r="X14" s="30"/>
      <c r="Y14" s="30"/>
      <c r="Z14" s="30"/>
      <c r="AA14" s="121"/>
      <c r="AB14" s="121"/>
      <c r="AC14" s="30"/>
      <c r="AD14" s="30"/>
      <c r="AE14" s="30"/>
      <c r="AF14" s="30"/>
      <c r="AG14" s="121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2879</v>
      </c>
      <c r="B15" s="112">
        <v>1921</v>
      </c>
      <c r="C15" s="30"/>
      <c r="D15" t="s" s="83">
        <v>2880</v>
      </c>
      <c r="E15" s="124"/>
      <c r="F15" s="28"/>
      <c r="G15" s="28"/>
      <c r="H15" s="28"/>
      <c r="I15" s="122"/>
      <c r="J15" s="125"/>
      <c r="K15" s="74"/>
      <c r="L15" s="16"/>
      <c r="M15" s="75"/>
      <c r="N15" s="28"/>
      <c r="O15" s="122"/>
      <c r="P15" s="28"/>
      <c r="Q15" s="74"/>
      <c r="R15" s="16"/>
      <c r="S15" s="75"/>
      <c r="T15" s="28"/>
      <c r="U15" s="74"/>
      <c r="V15" s="16"/>
      <c r="W15" s="75"/>
      <c r="X15" s="28"/>
      <c r="Y15" s="28"/>
      <c r="Z15" s="28"/>
      <c r="AA15" s="28"/>
      <c r="AB15" s="28"/>
      <c r="AC15" s="28"/>
      <c r="AD15" s="28"/>
      <c r="AE15" s="30"/>
      <c r="AF15" s="30"/>
      <c r="AG15" s="2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9" customHeight="1">
      <c r="A16" s="30"/>
      <c r="B16" s="30"/>
      <c r="C16" s="30"/>
      <c r="D16" s="30"/>
      <c r="E16" s="116"/>
      <c r="F16" s="62"/>
      <c r="G16" s="62"/>
      <c r="H16" s="62"/>
      <c r="I16" s="16"/>
      <c r="J16" s="16"/>
      <c r="K16" s="16"/>
      <c r="L16" s="16"/>
      <c r="M16" s="16"/>
      <c r="N16" s="62"/>
      <c r="O16" s="16"/>
      <c r="P16" s="62"/>
      <c r="Q16" s="16"/>
      <c r="R16" s="16"/>
      <c r="S16" s="75"/>
      <c r="T16" s="29"/>
      <c r="U16" s="74"/>
      <c r="V16" s="16"/>
      <c r="W16" s="75"/>
      <c r="X16" s="29"/>
      <c r="Y16" s="29"/>
      <c r="Z16" s="29"/>
      <c r="AA16" s="29"/>
      <c r="AB16" s="29"/>
      <c r="AC16" s="29"/>
      <c r="AD16" s="29"/>
      <c r="AE16" s="30"/>
      <c r="AF16" s="30"/>
      <c r="AG16" s="29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s="30"/>
      <c r="B17" s="30"/>
      <c r="C17" s="30"/>
      <c r="D17" s="30"/>
      <c r="E17" s="74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75"/>
      <c r="T17" s="121"/>
      <c r="U17" s="74"/>
      <c r="V17" s="16"/>
      <c r="W17" s="75"/>
      <c r="X17" s="30"/>
      <c r="Y17" s="30"/>
      <c r="Z17" s="30"/>
      <c r="AA17" s="121"/>
      <c r="AB17" s="121"/>
      <c r="AC17" s="30"/>
      <c r="AD17" s="30"/>
      <c r="AE17" s="30"/>
      <c r="AF17" s="30"/>
      <c r="AG17" s="121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s="30"/>
      <c r="B18" s="30"/>
      <c r="C18" s="30"/>
      <c r="D18" s="30"/>
      <c r="E18" s="74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75"/>
      <c r="T18" s="121"/>
      <c r="U18" s="74"/>
      <c r="V18" s="16"/>
      <c r="W18" s="75"/>
      <c r="X18" s="30"/>
      <c r="Y18" s="30"/>
      <c r="Z18" s="30"/>
      <c r="AA18" s="121"/>
      <c r="AB18" s="121"/>
      <c r="AC18" s="30"/>
      <c r="AD18" s="30"/>
      <c r="AE18" s="30"/>
      <c r="AF18" s="30"/>
      <c r="AG18" s="121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s="30"/>
      <c r="B19" s="30"/>
      <c r="C19" s="30"/>
      <c r="D19" s="30"/>
      <c r="E19" s="74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75"/>
      <c r="T19" s="121"/>
      <c r="U19" s="74"/>
      <c r="V19" s="16"/>
      <c r="W19" s="75"/>
      <c r="X19" s="30"/>
      <c r="Y19" s="30"/>
      <c r="Z19" s="30"/>
      <c r="AA19" s="121"/>
      <c r="AB19" s="121"/>
      <c r="AC19" s="30"/>
      <c r="AD19" s="30"/>
      <c r="AE19" s="30"/>
      <c r="AF19" s="30"/>
      <c r="AG19" s="121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s="30"/>
      <c r="B20" s="30"/>
      <c r="C20" s="30"/>
      <c r="D20" s="30"/>
      <c r="E20" s="74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75"/>
      <c r="T20" s="121"/>
      <c r="U20" s="74"/>
      <c r="V20" s="16"/>
      <c r="W20" s="75"/>
      <c r="X20" s="30"/>
      <c r="Y20" s="30"/>
      <c r="Z20" s="30"/>
      <c r="AA20" s="121"/>
      <c r="AB20" s="121"/>
      <c r="AC20" s="30"/>
      <c r="AD20" s="30"/>
      <c r="AE20" s="30"/>
      <c r="AF20" s="30"/>
      <c r="AG20" s="121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s="30"/>
      <c r="B21" s="30"/>
      <c r="C21" s="30"/>
      <c r="D21" s="30"/>
      <c r="E21" s="74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75"/>
      <c r="T21" s="121"/>
      <c r="U21" s="74"/>
      <c r="V21" s="16"/>
      <c r="W21" s="75"/>
      <c r="X21" s="30"/>
      <c r="Y21" s="30"/>
      <c r="Z21" s="30"/>
      <c r="AA21" s="121"/>
      <c r="AB21" s="121"/>
      <c r="AC21" s="30"/>
      <c r="AD21" s="30"/>
      <c r="AE21" s="30"/>
      <c r="AF21" s="30"/>
      <c r="AG21" s="121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s="30"/>
      <c r="B22" s="30"/>
      <c r="C22" s="30"/>
      <c r="D22" s="30"/>
      <c r="E22" s="74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75"/>
      <c r="T22" s="121"/>
      <c r="U22" s="74"/>
      <c r="V22" s="16"/>
      <c r="W22" s="75"/>
      <c r="X22" s="30"/>
      <c r="Y22" s="30"/>
      <c r="Z22" s="30"/>
      <c r="AA22" s="121"/>
      <c r="AB22" s="121"/>
      <c r="AC22" s="30"/>
      <c r="AD22" s="30"/>
      <c r="AE22" s="30"/>
      <c r="AF22" s="30"/>
      <c r="AG22" s="121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s="30"/>
      <c r="B23" s="30"/>
      <c r="C23" s="30"/>
      <c r="D23" s="30"/>
      <c r="E23" s="74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75"/>
      <c r="T23" s="121"/>
      <c r="U23" s="74"/>
      <c r="V23" s="16"/>
      <c r="W23" s="75"/>
      <c r="X23" s="30"/>
      <c r="Y23" s="30"/>
      <c r="Z23" s="30"/>
      <c r="AA23" s="121"/>
      <c r="AB23" s="121"/>
      <c r="AC23" s="30"/>
      <c r="AD23" s="30"/>
      <c r="AE23" s="30"/>
      <c r="AF23" s="30"/>
      <c r="AG23" s="121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s="30"/>
      <c r="B24" s="30"/>
      <c r="C24" s="30"/>
      <c r="D24" s="30"/>
      <c r="E24" s="131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3"/>
      <c r="T24" s="121"/>
      <c r="U24" s="131"/>
      <c r="V24" s="132"/>
      <c r="W24" s="133"/>
      <c r="X24" s="30"/>
      <c r="Y24" s="30"/>
      <c r="Z24" s="30"/>
      <c r="AA24" s="121"/>
      <c r="AB24" s="121"/>
      <c r="AC24" s="30"/>
      <c r="AD24" s="30"/>
      <c r="AE24" s="30"/>
      <c r="AF24" s="30"/>
      <c r="AG24" s="121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121"/>
      <c r="N25" s="121"/>
      <c r="O25" s="121"/>
      <c r="P25" s="121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121"/>
      <c r="N26" s="121"/>
      <c r="O26" s="121"/>
      <c r="P26" s="121"/>
      <c r="Q26" s="30"/>
      <c r="R26" s="121"/>
      <c r="S26" s="121"/>
      <c r="T26" s="129"/>
      <c r="U26" s="121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121"/>
      <c r="N27" s="121"/>
      <c r="O27" s="121"/>
      <c r="P27" s="121"/>
      <c r="Q27" s="30"/>
      <c r="R27" s="121"/>
      <c r="S27" s="121"/>
      <c r="T27" s="30"/>
      <c r="U27" s="121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121"/>
      <c r="N28" s="121"/>
      <c r="O28" s="121"/>
      <c r="P28" s="121"/>
      <c r="Q28" s="30"/>
      <c r="R28" s="121"/>
      <c r="S28" s="121"/>
      <c r="T28" s="30"/>
      <c r="U28" s="121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121"/>
      <c r="N29" s="121"/>
      <c r="O29" s="121"/>
      <c r="P29" s="121"/>
      <c r="Q29" s="30"/>
      <c r="R29" s="121"/>
      <c r="S29" s="121"/>
      <c r="T29" s="129"/>
      <c r="U29" s="121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121"/>
      <c r="S30" s="121"/>
      <c r="T30" s="30"/>
      <c r="U30" s="121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30"/>
      <c r="R31" s="121"/>
      <c r="S31" s="121"/>
      <c r="T31" s="30"/>
      <c r="U31" s="121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30"/>
      <c r="R32" s="121"/>
      <c r="S32" s="121"/>
      <c r="T32" s="30"/>
      <c r="U32" s="121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s="83"/>
      <c r="B33" s="30"/>
      <c r="C33" s="30"/>
      <c r="D33" s="30"/>
      <c r="E33" s="30"/>
      <c r="F33" s="28"/>
      <c r="G33" s="28"/>
      <c r="H33" s="28"/>
      <c r="I33" s="28"/>
      <c r="J33" s="28"/>
      <c r="K33" s="125"/>
      <c r="L33" s="28"/>
      <c r="M33" s="28"/>
      <c r="N33" s="28"/>
      <c r="O33" s="28"/>
      <c r="P33" s="28"/>
      <c r="Q33" s="30"/>
      <c r="R33" s="30"/>
      <c r="S33" s="30"/>
      <c r="T33" s="30"/>
      <c r="U33" s="112" cm="1">
        <f t="array" ref="U33">SUM(U3:U32)</f>
        <v>0</v>
      </c>
      <c r="V33" s="112" cm="1">
        <f t="array" ref="V33">SUM(V3:V32)</f>
        <v>0</v>
      </c>
      <c r="W33" s="112" cm="1">
        <f t="array" ref="W33">SUM(W3:W32)</f>
        <v>0</v>
      </c>
      <c r="X33" s="30"/>
      <c r="Y33" s="30"/>
      <c r="Z33" s="112" cm="1">
        <f t="array" ref="Z33">SUM(Z3:Z32)</f>
        <v>0</v>
      </c>
      <c r="AA33" s="112" cm="1">
        <f t="array" ref="AA33">SUM(AA3:AA32)</f>
        <v>0</v>
      </c>
      <c r="AB33" s="112" cm="1">
        <f t="array" ref="AB33">SUM(AB3:AB32)</f>
        <v>0</v>
      </c>
      <c r="AC33" s="112" cm="1">
        <f t="array" ref="AC33">SUM(AC3:AC32)</f>
        <v>8</v>
      </c>
      <c r="AD33" s="112" cm="1">
        <f t="array" ref="AD33">SUM(AD3:AD32)</f>
        <v>0</v>
      </c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s="30"/>
      <c r="B34" s="30"/>
      <c r="C34" s="30"/>
      <c r="D34" s="30"/>
      <c r="E34" s="30"/>
      <c r="F34" s="28"/>
      <c r="G34" s="28"/>
      <c r="H34" s="28"/>
      <c r="I34" s="28"/>
      <c r="J34" s="163"/>
      <c r="K34" s="297"/>
      <c r="L34" s="165"/>
      <c r="M34" s="28"/>
      <c r="N34" s="28"/>
      <c r="O34" s="28"/>
      <c r="P34" s="28"/>
      <c r="Q34" s="87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" customHeight="1">
      <c r="A35" s="30"/>
      <c r="B35" s="30"/>
      <c r="C35" s="30"/>
      <c r="D35" s="30"/>
      <c r="E35" s="30"/>
      <c r="F35" s="30"/>
      <c r="G35" s="130"/>
      <c r="H35" s="130"/>
      <c r="I35" s="130"/>
      <c r="J35" s="30"/>
      <c r="K35" s="30"/>
      <c r="L35" s="30"/>
      <c r="M35" s="30"/>
      <c r="N35" s="30"/>
      <c r="O35" s="30"/>
      <c r="P35" s="30"/>
      <c r="Q35" s="87"/>
      <c r="R35" s="130"/>
      <c r="S35" s="130"/>
      <c r="T35" s="1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121"/>
      <c r="S36" s="121"/>
      <c r="T36" s="129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130"/>
      <c r="S37" s="130"/>
      <c r="T37" s="130"/>
      <c r="U37" s="30"/>
      <c r="V37" s="30"/>
      <c r="W37" s="30"/>
      <c r="X37" s="30"/>
      <c r="Y37" s="30"/>
      <c r="Z37" s="30"/>
      <c r="AA37" s="30"/>
      <c r="AB37" s="30"/>
      <c r="AC37" s="134"/>
      <c r="AD37" s="134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121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6.xml><?xml version="1.0" encoding="utf-8"?>
<worksheet xmlns:r="http://schemas.openxmlformats.org/officeDocument/2006/relationships" xmlns="http://schemas.openxmlformats.org/spreadsheetml/2006/main">
  <dimension ref="A1:BC175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437" customWidth="1"/>
    <col min="4" max="4" width="15.3516" style="437" customWidth="1"/>
    <col min="5" max="5" width="17" style="437" customWidth="1"/>
    <col min="6" max="6" width="9.85156" style="437" customWidth="1"/>
    <col min="7" max="7" width="10.8516" style="437" customWidth="1"/>
    <col min="8" max="8" width="21" style="437" customWidth="1"/>
    <col min="9" max="10" width="10.8516" style="437" customWidth="1"/>
    <col min="11" max="11" width="8.5" style="437" customWidth="1"/>
    <col min="12" max="12" width="7.85156" style="437" customWidth="1"/>
    <col min="13" max="13" width="10" style="437" customWidth="1"/>
    <col min="14" max="14" width="14.5" style="437" customWidth="1"/>
    <col min="15" max="15" width="10.3516" style="437" customWidth="1"/>
    <col min="16" max="16" width="11.5" style="437" customWidth="1"/>
    <col min="17" max="17" width="11.6719" style="437" customWidth="1"/>
    <col min="18" max="18" width="12.3516" style="437" customWidth="1"/>
    <col min="19" max="19" width="10.8516" style="437" customWidth="1"/>
    <col min="20" max="20" width="7.67188" style="437" customWidth="1"/>
    <col min="21" max="23" width="10.8516" style="437" customWidth="1"/>
    <col min="24" max="24" width="31" style="437" customWidth="1"/>
    <col min="25" max="25" width="19.8516" style="437" customWidth="1"/>
    <col min="26" max="26" width="12.1719" style="437" customWidth="1"/>
    <col min="27" max="30" width="16.5" style="437" customWidth="1"/>
    <col min="31" max="31" width="14.6719" style="437" customWidth="1"/>
    <col min="32" max="32" width="10.8516" style="437" customWidth="1"/>
    <col min="33" max="33" width="11" style="437" customWidth="1"/>
    <col min="34" max="34" width="11.1719" style="437" customWidth="1"/>
    <col min="35" max="35" width="7.85156" style="437" customWidth="1"/>
    <col min="36" max="37" width="10.8516" style="437" customWidth="1"/>
    <col min="38" max="38" width="7.35156" style="437" customWidth="1"/>
    <col min="39" max="39" width="10.8516" style="437" customWidth="1"/>
    <col min="40" max="40" width="9.17188" style="437" customWidth="1"/>
    <col min="41" max="41" width="10.8516" style="437" customWidth="1"/>
    <col min="42" max="42" width="12.5" style="437" customWidth="1"/>
    <col min="43" max="43" width="13" style="437" customWidth="1"/>
    <col min="44" max="55" width="10.8516" style="437" customWidth="1"/>
    <col min="56" max="16384" width="10.8516" style="437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93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2896</v>
      </c>
      <c r="B3" s="111">
        <v>1921</v>
      </c>
      <c r="C3" s="112">
        <v>1</v>
      </c>
      <c r="D3" t="s" s="83">
        <v>2897</v>
      </c>
      <c r="E3" s="30"/>
      <c r="F3" s="29"/>
      <c r="G3" t="s" s="82">
        <v>1</v>
      </c>
      <c r="H3" t="s" s="27">
        <v>0</v>
      </c>
      <c r="I3" s="116"/>
      <c r="J3" t="s" s="98">
        <v>3</v>
      </c>
      <c r="K3" s="62"/>
      <c r="L3" s="62"/>
      <c r="M3" s="117"/>
      <c r="N3" t="s" s="204">
        <v>2</v>
      </c>
      <c r="O3" s="116"/>
      <c r="P3" s="62"/>
      <c r="Q3" s="62"/>
      <c r="R3" s="62"/>
      <c r="S3" s="62"/>
      <c r="T3" t="s" s="96">
        <v>5</v>
      </c>
      <c r="U3" s="16"/>
      <c r="V3" s="16"/>
      <c r="W3" s="62"/>
      <c r="X3" s="62"/>
      <c r="Y3" s="62"/>
      <c r="Z3" s="62"/>
      <c r="AA3" t="s" s="154">
        <v>7</v>
      </c>
      <c r="AB3" t="s" s="27">
        <v>8</v>
      </c>
      <c r="AC3" s="115"/>
      <c r="AD3" s="29"/>
      <c r="AE3" s="30"/>
      <c r="AF3" t="s" s="27">
        <v>6</v>
      </c>
      <c r="AG3" s="29"/>
      <c r="AH3" s="30"/>
      <c r="AI3" t="s" s="308">
        <v>2898</v>
      </c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" customHeight="1">
      <c r="A4" t="s" s="83">
        <v>2896</v>
      </c>
      <c r="B4" s="112">
        <v>1921</v>
      </c>
      <c r="C4" s="112">
        <v>1</v>
      </c>
      <c r="D4" t="s" s="83">
        <v>2897</v>
      </c>
      <c r="E4" s="30"/>
      <c r="F4" s="112">
        <v>3</v>
      </c>
      <c r="G4" t="s" s="159">
        <v>309</v>
      </c>
      <c r="H4" t="s" s="83">
        <v>64</v>
      </c>
      <c r="I4" s="156">
        <v>1</v>
      </c>
      <c r="J4" t="s" s="96">
        <v>37</v>
      </c>
      <c r="K4" s="79">
        <v>1</v>
      </c>
      <c r="L4" s="16"/>
      <c r="M4" s="75"/>
      <c r="N4" s="112">
        <v>1</v>
      </c>
      <c r="O4" s="74"/>
      <c r="P4" s="16"/>
      <c r="Q4" s="16"/>
      <c r="R4" s="16"/>
      <c r="S4" s="16"/>
      <c r="T4" s="79">
        <v>50</v>
      </c>
      <c r="U4" s="16"/>
      <c r="V4" s="16"/>
      <c r="W4" s="16"/>
      <c r="X4" s="16"/>
      <c r="Y4" s="16"/>
      <c r="Z4" s="16"/>
      <c r="AA4" t="s" s="158">
        <v>2899</v>
      </c>
      <c r="AB4" t="s" s="83">
        <v>8</v>
      </c>
      <c r="AC4" s="120">
        <v>1</v>
      </c>
      <c r="AD4" s="112">
        <v>1</v>
      </c>
      <c r="AE4" s="30"/>
      <c r="AF4" s="112">
        <v>1</v>
      </c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2896</v>
      </c>
      <c r="B5" s="112">
        <v>1921</v>
      </c>
      <c r="C5" s="112">
        <v>1</v>
      </c>
      <c r="D5" t="s" s="83">
        <v>2897</v>
      </c>
      <c r="E5" s="30"/>
      <c r="F5" s="30"/>
      <c r="G5" t="s" s="159">
        <v>309</v>
      </c>
      <c r="H5" t="s" s="83">
        <v>102</v>
      </c>
      <c r="I5" s="156">
        <v>2</v>
      </c>
      <c r="J5" s="79">
        <v>1</v>
      </c>
      <c r="K5" s="16"/>
      <c r="L5" s="16"/>
      <c r="M5" s="75"/>
      <c r="N5" t="s" s="83">
        <v>72</v>
      </c>
      <c r="O5" s="156">
        <v>1</v>
      </c>
      <c r="P5" s="16"/>
      <c r="Q5" s="16"/>
      <c r="R5" s="16"/>
      <c r="S5" s="16"/>
      <c r="T5" s="79">
        <v>32</v>
      </c>
      <c r="U5" s="16"/>
      <c r="V5" s="16"/>
      <c r="W5" s="16"/>
      <c r="X5" s="16"/>
      <c r="Y5" s="16"/>
      <c r="Z5" s="16"/>
      <c r="AA5" t="s" s="158">
        <v>33</v>
      </c>
      <c r="AB5" t="s" s="83">
        <v>34</v>
      </c>
      <c r="AC5" s="122"/>
      <c r="AD5" s="30"/>
      <c r="AE5" s="30"/>
      <c r="AF5" t="s" s="83">
        <v>791</v>
      </c>
      <c r="AG5" s="121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2896</v>
      </c>
      <c r="B6" s="112">
        <v>1921</v>
      </c>
      <c r="C6" s="112">
        <v>1</v>
      </c>
      <c r="D6" t="s" s="83">
        <v>2897</v>
      </c>
      <c r="E6" s="30"/>
      <c r="F6" s="30"/>
      <c r="G6" t="s" s="159">
        <v>309</v>
      </c>
      <c r="H6" t="s" s="83">
        <v>315</v>
      </c>
      <c r="I6" s="156">
        <v>3</v>
      </c>
      <c r="J6" s="79">
        <v>1</v>
      </c>
      <c r="K6" s="16"/>
      <c r="L6" s="16"/>
      <c r="M6" s="75"/>
      <c r="N6" t="s" s="83">
        <v>78</v>
      </c>
      <c r="O6" s="74"/>
      <c r="P6" s="79">
        <v>1</v>
      </c>
      <c r="Q6" s="16"/>
      <c r="R6" s="16"/>
      <c r="S6" s="16"/>
      <c r="T6" t="s" s="96">
        <v>34</v>
      </c>
      <c r="U6" s="16"/>
      <c r="V6" s="16"/>
      <c r="W6" s="16"/>
      <c r="X6" s="16"/>
      <c r="Y6" s="16"/>
      <c r="Z6" s="16"/>
      <c r="AA6" t="s" s="158">
        <v>34</v>
      </c>
      <c r="AB6" t="s" s="83">
        <v>34</v>
      </c>
      <c r="AC6" s="122"/>
      <c r="AD6" s="30"/>
      <c r="AE6" s="30"/>
      <c r="AF6" s="112">
        <v>1</v>
      </c>
      <c r="AG6" s="121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2896</v>
      </c>
      <c r="B7" s="112">
        <v>1921</v>
      </c>
      <c r="C7" s="112">
        <v>1</v>
      </c>
      <c r="D7" t="s" s="83">
        <v>2897</v>
      </c>
      <c r="E7" s="124"/>
      <c r="F7" s="28"/>
      <c r="G7" t="s" s="159">
        <v>317</v>
      </c>
      <c r="H7" t="s" s="148">
        <v>48</v>
      </c>
      <c r="I7" s="156">
        <v>4</v>
      </c>
      <c r="J7" s="79">
        <v>1</v>
      </c>
      <c r="K7" s="16"/>
      <c r="L7" s="16"/>
      <c r="M7" s="75"/>
      <c r="N7" t="s" s="398">
        <v>2900</v>
      </c>
      <c r="O7" s="74"/>
      <c r="P7" s="16"/>
      <c r="Q7" s="16"/>
      <c r="R7" s="16"/>
      <c r="S7" s="79">
        <v>1</v>
      </c>
      <c r="T7" s="79">
        <v>39</v>
      </c>
      <c r="U7" s="16"/>
      <c r="V7" s="16"/>
      <c r="W7" s="16"/>
      <c r="X7" s="16"/>
      <c r="Y7" s="16"/>
      <c r="Z7" s="16"/>
      <c r="AA7" t="s" s="158">
        <v>2901</v>
      </c>
      <c r="AB7" t="s" s="148">
        <v>15</v>
      </c>
      <c r="AC7" s="120">
        <v>1</v>
      </c>
      <c r="AD7" s="28"/>
      <c r="AE7" s="30"/>
      <c r="AF7" t="s" s="148">
        <v>2902</v>
      </c>
      <c r="AG7" s="28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28" customHeight="1">
      <c r="A8" t="s" s="83">
        <v>2896</v>
      </c>
      <c r="B8" s="112">
        <v>1921</v>
      </c>
      <c r="C8" s="112">
        <v>1</v>
      </c>
      <c r="D8" t="s" s="83">
        <v>2897</v>
      </c>
      <c r="E8" s="124"/>
      <c r="F8" s="28"/>
      <c r="G8" t="s" s="110">
        <v>320</v>
      </c>
      <c r="H8" t="s" s="148">
        <v>109</v>
      </c>
      <c r="I8" s="156">
        <v>5</v>
      </c>
      <c r="J8" s="126">
        <v>1</v>
      </c>
      <c r="K8" s="16"/>
      <c r="L8" s="16"/>
      <c r="M8" s="16"/>
      <c r="N8" t="s" s="431">
        <v>11</v>
      </c>
      <c r="O8" s="16"/>
      <c r="P8" s="132"/>
      <c r="Q8" s="16"/>
      <c r="R8" s="16"/>
      <c r="S8" s="79">
        <v>1</v>
      </c>
      <c r="T8" s="126">
        <v>42</v>
      </c>
      <c r="U8" s="16"/>
      <c r="V8" s="16"/>
      <c r="W8" s="16"/>
      <c r="X8" s="16"/>
      <c r="Y8" s="132"/>
      <c r="Z8" s="132"/>
      <c r="AA8" t="s" s="181">
        <v>45</v>
      </c>
      <c r="AB8" t="s" s="151">
        <v>15</v>
      </c>
      <c r="AC8" s="111">
        <v>1</v>
      </c>
      <c r="AD8" s="124"/>
      <c r="AE8" s="30"/>
      <c r="AF8" s="307">
        <v>1</v>
      </c>
      <c r="AG8" s="28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2896</v>
      </c>
      <c r="B9" s="112">
        <v>1921</v>
      </c>
      <c r="C9" s="112">
        <v>1</v>
      </c>
      <c r="D9" t="s" s="83">
        <v>2897</v>
      </c>
      <c r="E9" s="30"/>
      <c r="F9" s="30"/>
      <c r="G9" t="s" s="83">
        <v>321</v>
      </c>
      <c r="H9" t="s" s="83">
        <v>259</v>
      </c>
      <c r="I9" s="120">
        <v>6</v>
      </c>
      <c r="J9" s="112">
        <v>1</v>
      </c>
      <c r="K9" s="74"/>
      <c r="L9" s="16"/>
      <c r="M9" s="75"/>
      <c r="N9" t="s" s="83">
        <v>11</v>
      </c>
      <c r="O9" s="122"/>
      <c r="P9" s="30"/>
      <c r="Q9" s="74"/>
      <c r="R9" s="16"/>
      <c r="S9" s="123">
        <v>1</v>
      </c>
      <c r="T9" s="112">
        <v>33</v>
      </c>
      <c r="U9" s="74"/>
      <c r="V9" s="16"/>
      <c r="W9" s="16"/>
      <c r="X9" s="75"/>
      <c r="Y9" s="30"/>
      <c r="Z9" s="30"/>
      <c r="AA9" t="s" s="83">
        <v>101</v>
      </c>
      <c r="AB9" t="s" s="83">
        <v>15</v>
      </c>
      <c r="AC9" s="112">
        <v>1</v>
      </c>
      <c r="AD9" s="30"/>
      <c r="AE9" s="30"/>
      <c r="AF9" t="s" s="83">
        <v>2903</v>
      </c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2896</v>
      </c>
      <c r="B10" s="112">
        <v>1921</v>
      </c>
      <c r="C10" s="30"/>
      <c r="D10" t="s" s="83">
        <v>2897</v>
      </c>
      <c r="E10" s="30"/>
      <c r="F10" s="30"/>
      <c r="G10" s="30"/>
      <c r="H10" s="112">
        <v>6</v>
      </c>
      <c r="I10" s="122"/>
      <c r="J10" s="30"/>
      <c r="K10" s="74"/>
      <c r="L10" s="16"/>
      <c r="M10" s="75"/>
      <c r="N10" s="30"/>
      <c r="O10" s="122"/>
      <c r="P10" s="30"/>
      <c r="Q10" s="74"/>
      <c r="R10" s="16"/>
      <c r="S10" s="75"/>
      <c r="T10" s="121"/>
      <c r="U10" s="74"/>
      <c r="V10" s="16"/>
      <c r="W10" s="16"/>
      <c r="X10" s="75"/>
      <c r="Y10" s="121"/>
      <c r="Z10" s="121"/>
      <c r="AA10" s="121"/>
      <c r="AB10" s="121"/>
      <c r="AC10" s="30"/>
      <c r="AD10" s="30"/>
      <c r="AE10" s="30"/>
      <c r="AF10" s="121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t="s" s="83">
        <v>2896</v>
      </c>
      <c r="B11" s="112">
        <v>1921</v>
      </c>
      <c r="C11" s="30"/>
      <c r="D11" t="s" s="83">
        <v>2897</v>
      </c>
      <c r="E11" s="30"/>
      <c r="F11" s="30"/>
      <c r="G11" t="s" s="83">
        <v>1</v>
      </c>
      <c r="H11" t="s" s="83">
        <v>0</v>
      </c>
      <c r="I11" s="122"/>
      <c r="J11" t="s" s="83">
        <v>3</v>
      </c>
      <c r="K11" s="74"/>
      <c r="L11" s="16"/>
      <c r="M11" s="75"/>
      <c r="N11" t="s" s="83">
        <v>2</v>
      </c>
      <c r="O11" s="122"/>
      <c r="P11" s="30"/>
      <c r="Q11" s="74"/>
      <c r="R11" s="16"/>
      <c r="S11" s="75"/>
      <c r="T11" t="s" s="119">
        <v>5</v>
      </c>
      <c r="U11" s="74"/>
      <c r="V11" s="16"/>
      <c r="W11" s="16"/>
      <c r="X11" s="75"/>
      <c r="Y11" s="121"/>
      <c r="Z11" s="121"/>
      <c r="AA11" t="s" s="119">
        <v>7</v>
      </c>
      <c r="AB11" t="s" s="119">
        <v>8</v>
      </c>
      <c r="AC11" s="121"/>
      <c r="AD11" s="30"/>
      <c r="AE11" s="30"/>
      <c r="AF11" t="s" s="119">
        <v>6</v>
      </c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.5" customHeight="1">
      <c r="A12" t="s" s="83">
        <v>2896</v>
      </c>
      <c r="B12" s="112">
        <v>1921</v>
      </c>
      <c r="C12" s="112">
        <v>2</v>
      </c>
      <c r="D12" t="s" s="83">
        <v>2897</v>
      </c>
      <c r="E12" s="30"/>
      <c r="F12" s="112">
        <v>1</v>
      </c>
      <c r="G12" t="s" s="83">
        <v>502</v>
      </c>
      <c r="H12" t="s" s="83">
        <v>2904</v>
      </c>
      <c r="I12" s="120">
        <v>7</v>
      </c>
      <c r="J12" t="s" s="83">
        <v>37</v>
      </c>
      <c r="K12" s="156">
        <v>1</v>
      </c>
      <c r="L12" s="16"/>
      <c r="M12" s="75"/>
      <c r="N12" s="112">
        <v>1</v>
      </c>
      <c r="O12" s="122"/>
      <c r="P12" s="30"/>
      <c r="Q12" s="74"/>
      <c r="R12" s="16"/>
      <c r="S12" s="75"/>
      <c r="T12" s="118">
        <v>49</v>
      </c>
      <c r="U12" s="74"/>
      <c r="V12" s="16"/>
      <c r="W12" s="16"/>
      <c r="X12" s="75"/>
      <c r="Y12" s="121"/>
      <c r="Z12" s="121"/>
      <c r="AA12" t="s" s="119">
        <v>2905</v>
      </c>
      <c r="AB12" t="s" s="119">
        <v>8</v>
      </c>
      <c r="AC12" s="118">
        <v>1</v>
      </c>
      <c r="AD12" s="112">
        <v>1</v>
      </c>
      <c r="AE12" s="30"/>
      <c r="AF12" s="118">
        <v>1</v>
      </c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2896</v>
      </c>
      <c r="B13" s="112">
        <v>1921</v>
      </c>
      <c r="C13" s="112">
        <v>2</v>
      </c>
      <c r="D13" t="s" s="83">
        <v>2897</v>
      </c>
      <c r="E13" s="30"/>
      <c r="F13" s="29"/>
      <c r="G13" t="s" s="27">
        <v>2906</v>
      </c>
      <c r="H13" t="s" s="27">
        <v>593</v>
      </c>
      <c r="I13" s="120">
        <v>8</v>
      </c>
      <c r="J13" s="114">
        <v>1</v>
      </c>
      <c r="K13" s="74"/>
      <c r="L13" s="16"/>
      <c r="M13" s="75"/>
      <c r="N13" t="s" s="27">
        <v>11</v>
      </c>
      <c r="O13" s="122"/>
      <c r="P13" s="29"/>
      <c r="Q13" s="74"/>
      <c r="R13" s="16"/>
      <c r="S13" s="123">
        <v>1</v>
      </c>
      <c r="T13" s="114">
        <v>26</v>
      </c>
      <c r="U13" s="74"/>
      <c r="V13" s="16"/>
      <c r="W13" s="16"/>
      <c r="X13" s="75"/>
      <c r="Y13" s="121"/>
      <c r="Z13" s="121"/>
      <c r="AA13" t="s" s="27">
        <v>2503</v>
      </c>
      <c r="AB13" t="s" s="27">
        <v>15</v>
      </c>
      <c r="AC13" s="112">
        <v>1</v>
      </c>
      <c r="AD13" s="30"/>
      <c r="AE13" s="30"/>
      <c r="AF13" t="s" s="27">
        <v>2907</v>
      </c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2896</v>
      </c>
      <c r="B14" s="112">
        <v>1921</v>
      </c>
      <c r="C14" s="30"/>
      <c r="D14" t="s" s="83">
        <v>2897</v>
      </c>
      <c r="E14" s="30"/>
      <c r="F14" s="30"/>
      <c r="G14" s="30"/>
      <c r="H14" s="112">
        <v>2</v>
      </c>
      <c r="I14" s="122"/>
      <c r="J14" s="30"/>
      <c r="K14" s="74"/>
      <c r="L14" s="16"/>
      <c r="M14" s="75"/>
      <c r="N14" s="30"/>
      <c r="O14" s="122"/>
      <c r="P14" s="30"/>
      <c r="Q14" s="74"/>
      <c r="R14" s="16"/>
      <c r="S14" s="75"/>
      <c r="T14" s="121"/>
      <c r="U14" s="74"/>
      <c r="V14" s="16"/>
      <c r="W14" s="16"/>
      <c r="X14" s="75"/>
      <c r="Y14" s="121"/>
      <c r="Z14" s="121"/>
      <c r="AA14" s="121"/>
      <c r="AB14" s="121"/>
      <c r="AC14" s="30"/>
      <c r="AD14" s="30"/>
      <c r="AE14" s="30"/>
      <c r="AF14" s="121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t="s" s="83">
        <v>2896</v>
      </c>
      <c r="B15" s="112">
        <v>1921</v>
      </c>
      <c r="C15" s="30"/>
      <c r="D15" t="s" s="83">
        <v>2897</v>
      </c>
      <c r="E15" s="30"/>
      <c r="F15" s="30"/>
      <c r="G15" t="s" s="83">
        <v>1</v>
      </c>
      <c r="H15" t="s" s="83">
        <v>0</v>
      </c>
      <c r="I15" s="122"/>
      <c r="J15" t="s" s="83">
        <v>3</v>
      </c>
      <c r="K15" s="74"/>
      <c r="L15" s="16"/>
      <c r="M15" s="75"/>
      <c r="N15" t="s" s="83">
        <v>2</v>
      </c>
      <c r="O15" s="122"/>
      <c r="P15" s="30"/>
      <c r="Q15" s="74"/>
      <c r="R15" s="16"/>
      <c r="S15" s="75"/>
      <c r="T15" t="s" s="119">
        <v>5</v>
      </c>
      <c r="U15" s="74"/>
      <c r="V15" s="16"/>
      <c r="W15" s="16"/>
      <c r="X15" s="75"/>
      <c r="Y15" s="121"/>
      <c r="Z15" s="121"/>
      <c r="AA15" t="s" s="119">
        <v>7</v>
      </c>
      <c r="AB15" t="s" s="119">
        <v>8</v>
      </c>
      <c r="AC15" s="30"/>
      <c r="AD15" s="30"/>
      <c r="AE15" s="30"/>
      <c r="AF15" t="s" s="119">
        <v>6</v>
      </c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83">
        <v>2896</v>
      </c>
      <c r="B16" s="112">
        <v>1921</v>
      </c>
      <c r="C16" s="112">
        <v>3</v>
      </c>
      <c r="D16" t="s" s="83">
        <v>2897</v>
      </c>
      <c r="E16" s="30"/>
      <c r="F16" s="112">
        <v>5</v>
      </c>
      <c r="G16" t="s" s="83">
        <v>91</v>
      </c>
      <c r="H16" t="s" s="83">
        <v>325</v>
      </c>
      <c r="I16" s="120">
        <v>9</v>
      </c>
      <c r="J16" t="s" s="83">
        <v>37</v>
      </c>
      <c r="K16" s="156">
        <v>1</v>
      </c>
      <c r="L16" s="16"/>
      <c r="M16" s="75"/>
      <c r="N16" s="112">
        <v>1</v>
      </c>
      <c r="O16" s="122"/>
      <c r="P16" s="30"/>
      <c r="Q16" s="74"/>
      <c r="R16" s="16"/>
      <c r="S16" s="75"/>
      <c r="T16" s="118">
        <v>64</v>
      </c>
      <c r="U16" s="74"/>
      <c r="V16" s="16"/>
      <c r="W16" s="16"/>
      <c r="X16" s="75"/>
      <c r="Y16" s="121"/>
      <c r="Z16" s="121"/>
      <c r="AA16" t="s" s="119">
        <v>326</v>
      </c>
      <c r="AB16" t="s" s="119">
        <v>8</v>
      </c>
      <c r="AC16" s="112">
        <v>1</v>
      </c>
      <c r="AD16" s="112">
        <v>1</v>
      </c>
      <c r="AE16" s="30"/>
      <c r="AF16" s="118">
        <v>1</v>
      </c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" customHeight="1">
      <c r="A17" t="s" s="83">
        <v>2896</v>
      </c>
      <c r="B17" s="112">
        <v>1921</v>
      </c>
      <c r="C17" s="112">
        <v>3</v>
      </c>
      <c r="D17" t="s" s="83">
        <v>2897</v>
      </c>
      <c r="E17" s="30"/>
      <c r="F17" s="30"/>
      <c r="G17" t="s" s="83">
        <v>91</v>
      </c>
      <c r="H17" t="s" s="83">
        <v>328</v>
      </c>
      <c r="I17" s="120">
        <v>10</v>
      </c>
      <c r="J17" s="112">
        <v>1</v>
      </c>
      <c r="K17" s="74"/>
      <c r="L17" s="16"/>
      <c r="M17" s="75"/>
      <c r="N17" t="s" s="83">
        <v>41</v>
      </c>
      <c r="O17" s="122"/>
      <c r="P17" s="30"/>
      <c r="Q17" s="74"/>
      <c r="R17" s="79">
        <v>1</v>
      </c>
      <c r="S17" s="75"/>
      <c r="T17" s="118">
        <v>51</v>
      </c>
      <c r="U17" s="74"/>
      <c r="V17" s="16"/>
      <c r="W17" s="16"/>
      <c r="X17" s="75"/>
      <c r="Y17" s="30"/>
      <c r="Z17" s="30"/>
      <c r="AA17" t="s" s="119">
        <v>94</v>
      </c>
      <c r="AB17" t="s" s="119">
        <v>34</v>
      </c>
      <c r="AC17" s="30"/>
      <c r="AD17" s="30"/>
      <c r="AE17" s="30"/>
      <c r="AF17" s="118">
        <v>1</v>
      </c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2896</v>
      </c>
      <c r="B18" s="112">
        <v>1921</v>
      </c>
      <c r="C18" s="112">
        <v>3</v>
      </c>
      <c r="D18" t="s" s="83">
        <v>2897</v>
      </c>
      <c r="E18" s="30"/>
      <c r="F18" s="30"/>
      <c r="G18" t="s" s="83">
        <v>330</v>
      </c>
      <c r="H18" t="s" s="83">
        <v>331</v>
      </c>
      <c r="I18" s="120">
        <v>11</v>
      </c>
      <c r="J18" s="112">
        <v>1</v>
      </c>
      <c r="K18" s="74"/>
      <c r="L18" s="16"/>
      <c r="M18" s="75"/>
      <c r="N18" t="s" s="83">
        <v>11</v>
      </c>
      <c r="O18" s="122"/>
      <c r="P18" s="30"/>
      <c r="Q18" s="74"/>
      <c r="R18" s="16"/>
      <c r="S18" s="123">
        <v>1</v>
      </c>
      <c r="T18" s="118">
        <v>21</v>
      </c>
      <c r="U18" s="74"/>
      <c r="V18" s="16"/>
      <c r="W18" s="16"/>
      <c r="X18" s="75"/>
      <c r="Y18" s="121"/>
      <c r="Z18" s="121"/>
      <c r="AA18" t="s" s="119">
        <v>188</v>
      </c>
      <c r="AB18" t="s" s="119">
        <v>15</v>
      </c>
      <c r="AC18" s="112">
        <v>1</v>
      </c>
      <c r="AD18" s="30"/>
      <c r="AE18" s="30"/>
      <c r="AF18" t="s" s="119">
        <v>2261</v>
      </c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2896</v>
      </c>
      <c r="B19" s="112">
        <v>1921</v>
      </c>
      <c r="C19" s="30"/>
      <c r="D19" t="s" s="83">
        <v>2897</v>
      </c>
      <c r="E19" s="30"/>
      <c r="F19" s="30"/>
      <c r="G19" s="30"/>
      <c r="H19" s="112">
        <v>3</v>
      </c>
      <c r="I19" s="122"/>
      <c r="J19" s="30"/>
      <c r="K19" s="74"/>
      <c r="L19" s="16"/>
      <c r="M19" s="75"/>
      <c r="N19" s="30"/>
      <c r="O19" s="122"/>
      <c r="P19" s="30"/>
      <c r="Q19" s="74"/>
      <c r="R19" s="16"/>
      <c r="S19" s="75"/>
      <c r="T19" s="121"/>
      <c r="U19" s="74"/>
      <c r="V19" s="16"/>
      <c r="W19" s="16"/>
      <c r="X19" s="75"/>
      <c r="Y19" s="121"/>
      <c r="Z19" s="121"/>
      <c r="AA19" s="121"/>
      <c r="AB19" s="121"/>
      <c r="AC19" s="30"/>
      <c r="AD19" s="30"/>
      <c r="AE19" s="30"/>
      <c r="AF19" s="121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t="s" s="83">
        <v>2896</v>
      </c>
      <c r="B20" s="112">
        <v>1921</v>
      </c>
      <c r="C20" s="30"/>
      <c r="D20" t="s" s="83">
        <v>2897</v>
      </c>
      <c r="E20" s="30"/>
      <c r="F20" s="30"/>
      <c r="G20" t="s" s="83">
        <v>1</v>
      </c>
      <c r="H20" t="s" s="83">
        <v>0</v>
      </c>
      <c r="I20" s="122"/>
      <c r="J20" t="s" s="83">
        <v>3</v>
      </c>
      <c r="K20" s="74"/>
      <c r="L20" s="16"/>
      <c r="M20" s="75"/>
      <c r="N20" t="s" s="83">
        <v>2</v>
      </c>
      <c r="O20" s="122"/>
      <c r="P20" s="30"/>
      <c r="Q20" s="74"/>
      <c r="R20" s="16"/>
      <c r="S20" s="75"/>
      <c r="T20" t="s" s="119">
        <v>5</v>
      </c>
      <c r="U20" s="74"/>
      <c r="V20" s="16"/>
      <c r="W20" s="16"/>
      <c r="X20" s="75"/>
      <c r="Y20" s="121"/>
      <c r="Z20" s="121"/>
      <c r="AA20" t="s" s="119">
        <v>7</v>
      </c>
      <c r="AB20" t="s" s="119">
        <v>8</v>
      </c>
      <c r="AC20" s="30"/>
      <c r="AD20" s="30"/>
      <c r="AE20" s="30"/>
      <c r="AF20" t="s" s="119">
        <v>6</v>
      </c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t="s" s="83">
        <v>2896</v>
      </c>
      <c r="B21" s="112">
        <v>1921</v>
      </c>
      <c r="C21" s="112">
        <v>4</v>
      </c>
      <c r="D21" t="s" s="83">
        <v>2897</v>
      </c>
      <c r="E21" s="30"/>
      <c r="F21" s="112">
        <v>7</v>
      </c>
      <c r="G21" t="s" s="83">
        <v>334</v>
      </c>
      <c r="H21" t="s" s="83">
        <v>335</v>
      </c>
      <c r="I21" s="120">
        <v>12</v>
      </c>
      <c r="J21" t="s" s="83">
        <v>37</v>
      </c>
      <c r="K21" s="156">
        <v>1</v>
      </c>
      <c r="L21" s="16"/>
      <c r="M21" s="75"/>
      <c r="N21" s="112">
        <v>1</v>
      </c>
      <c r="O21" s="122"/>
      <c r="P21" s="30"/>
      <c r="Q21" s="74"/>
      <c r="R21" s="16"/>
      <c r="S21" s="75"/>
      <c r="T21" s="118">
        <v>43</v>
      </c>
      <c r="U21" s="74"/>
      <c r="V21" s="16"/>
      <c r="W21" s="16"/>
      <c r="X21" s="75"/>
      <c r="Y21" s="121"/>
      <c r="Z21" s="121"/>
      <c r="AA21" t="s" s="119">
        <v>92</v>
      </c>
      <c r="AB21" t="s" s="119">
        <v>603</v>
      </c>
      <c r="AC21" s="112">
        <v>1</v>
      </c>
      <c r="AD21" s="30"/>
      <c r="AE21" s="30"/>
      <c r="AF21" s="118">
        <v>1</v>
      </c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t="s" s="83">
        <v>2896</v>
      </c>
      <c r="B22" s="112">
        <v>1921</v>
      </c>
      <c r="C22" s="112">
        <v>4</v>
      </c>
      <c r="D22" t="s" s="83">
        <v>2897</v>
      </c>
      <c r="E22" s="30"/>
      <c r="F22" s="30"/>
      <c r="G22" t="s" s="83">
        <v>334</v>
      </c>
      <c r="H22" t="s" s="83">
        <v>338</v>
      </c>
      <c r="I22" s="120">
        <v>13</v>
      </c>
      <c r="J22" s="112">
        <v>1</v>
      </c>
      <c r="K22" s="74"/>
      <c r="L22" s="16"/>
      <c r="M22" s="75"/>
      <c r="N22" t="s" s="83">
        <v>72</v>
      </c>
      <c r="O22" s="120">
        <v>1</v>
      </c>
      <c r="P22" s="30"/>
      <c r="Q22" s="74"/>
      <c r="R22" s="16"/>
      <c r="S22" s="75"/>
      <c r="T22" s="112">
        <v>42</v>
      </c>
      <c r="U22" s="74"/>
      <c r="V22" s="16"/>
      <c r="W22" s="16"/>
      <c r="X22" s="75"/>
      <c r="Y22" s="121"/>
      <c r="Z22" s="121"/>
      <c r="AA22" t="s" s="83">
        <v>34</v>
      </c>
      <c r="AB22" t="s" s="83">
        <v>34</v>
      </c>
      <c r="AC22" s="30"/>
      <c r="AD22" s="30"/>
      <c r="AE22" s="30"/>
      <c r="AF22" s="112">
        <v>1</v>
      </c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2896</v>
      </c>
      <c r="B23" s="112">
        <v>1921</v>
      </c>
      <c r="C23" s="112">
        <v>4</v>
      </c>
      <c r="D23" t="s" s="83">
        <v>2897</v>
      </c>
      <c r="E23" s="30"/>
      <c r="F23" s="30"/>
      <c r="G23" t="s" s="83">
        <v>334</v>
      </c>
      <c r="H23" t="s" s="83">
        <v>339</v>
      </c>
      <c r="I23" s="120">
        <v>14</v>
      </c>
      <c r="J23" s="30"/>
      <c r="K23" s="74"/>
      <c r="L23" s="79">
        <v>1</v>
      </c>
      <c r="M23" s="75"/>
      <c r="N23" t="s" s="83">
        <v>78</v>
      </c>
      <c r="O23" s="122"/>
      <c r="P23" s="112">
        <v>1</v>
      </c>
      <c r="Q23" s="74"/>
      <c r="R23" s="16"/>
      <c r="S23" s="75"/>
      <c r="T23" s="118">
        <v>13</v>
      </c>
      <c r="U23" s="74"/>
      <c r="V23" s="16"/>
      <c r="W23" s="16"/>
      <c r="X23" s="75"/>
      <c r="Y23" s="121"/>
      <c r="Z23" s="121"/>
      <c r="AA23" t="s" s="119">
        <v>34</v>
      </c>
      <c r="AB23" t="s" s="119">
        <v>34</v>
      </c>
      <c r="AC23" s="30"/>
      <c r="AD23" s="30"/>
      <c r="AE23" s="30"/>
      <c r="AF23" s="118">
        <v>1</v>
      </c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t="s" s="83">
        <v>2896</v>
      </c>
      <c r="B24" s="112">
        <v>1921</v>
      </c>
      <c r="C24" s="112">
        <v>4</v>
      </c>
      <c r="D24" t="s" s="83">
        <v>2897</v>
      </c>
      <c r="E24" s="30"/>
      <c r="F24" s="30"/>
      <c r="G24" t="s" s="83">
        <v>334</v>
      </c>
      <c r="H24" t="s" s="83">
        <v>340</v>
      </c>
      <c r="I24" s="120">
        <v>15</v>
      </c>
      <c r="J24" s="30"/>
      <c r="K24" s="74"/>
      <c r="L24" s="79">
        <v>1</v>
      </c>
      <c r="M24" s="75"/>
      <c r="N24" t="s" s="83">
        <v>78</v>
      </c>
      <c r="O24" s="122"/>
      <c r="P24" s="112">
        <v>1</v>
      </c>
      <c r="Q24" s="74"/>
      <c r="R24" s="16"/>
      <c r="S24" s="75"/>
      <c r="T24" s="118">
        <v>8</v>
      </c>
      <c r="U24" s="74"/>
      <c r="V24" s="16"/>
      <c r="W24" s="16"/>
      <c r="X24" s="75"/>
      <c r="Y24" s="121"/>
      <c r="Z24" s="121"/>
      <c r="AA24" t="s" s="119">
        <v>34</v>
      </c>
      <c r="AB24" t="s" s="119">
        <v>34</v>
      </c>
      <c r="AC24" s="30"/>
      <c r="AD24" s="30"/>
      <c r="AE24" s="30"/>
      <c r="AF24" s="118">
        <v>1</v>
      </c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t="s" s="83">
        <v>2896</v>
      </c>
      <c r="B25" s="112">
        <v>1921</v>
      </c>
      <c r="C25" s="112">
        <v>4</v>
      </c>
      <c r="D25" t="s" s="83">
        <v>2897</v>
      </c>
      <c r="E25" s="30"/>
      <c r="F25" s="28"/>
      <c r="G25" t="s" s="148">
        <v>341</v>
      </c>
      <c r="H25" t="s" s="148">
        <v>109</v>
      </c>
      <c r="I25" s="120">
        <v>16</v>
      </c>
      <c r="J25" s="346">
        <v>1</v>
      </c>
      <c r="K25" s="74"/>
      <c r="L25" s="16"/>
      <c r="M25" s="75"/>
      <c r="N25" t="s" s="148">
        <v>11</v>
      </c>
      <c r="O25" s="122"/>
      <c r="P25" s="28"/>
      <c r="Q25" s="74"/>
      <c r="R25" s="16"/>
      <c r="S25" s="123">
        <v>1</v>
      </c>
      <c r="T25" s="307">
        <v>28</v>
      </c>
      <c r="U25" s="74"/>
      <c r="V25" s="16"/>
      <c r="W25" s="16"/>
      <c r="X25" s="75"/>
      <c r="Y25" s="30"/>
      <c r="Z25" s="30"/>
      <c r="AA25" t="s" s="148">
        <v>55</v>
      </c>
      <c r="AB25" t="s" s="148">
        <v>15</v>
      </c>
      <c r="AC25" s="112">
        <v>1</v>
      </c>
      <c r="AD25" s="112" cm="1">
        <f t="array" ref="AD25">SUM(AD3:AD24)</f>
        <v>3</v>
      </c>
      <c r="AE25" s="30"/>
      <c r="AF25" t="s" s="148">
        <v>2908</v>
      </c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" customHeight="1">
      <c r="A26" t="s" s="83">
        <v>2896</v>
      </c>
      <c r="B26" s="112">
        <v>1921</v>
      </c>
      <c r="C26" s="112">
        <v>4</v>
      </c>
      <c r="D26" t="s" s="83">
        <v>2897</v>
      </c>
      <c r="E26" s="30"/>
      <c r="F26" s="28"/>
      <c r="G26" t="s" s="148">
        <v>342</v>
      </c>
      <c r="H26" t="s" s="148">
        <v>343</v>
      </c>
      <c r="I26" s="156">
        <v>17</v>
      </c>
      <c r="J26" s="399">
        <v>1</v>
      </c>
      <c r="K26" s="16"/>
      <c r="L26" s="16"/>
      <c r="M26" s="75"/>
      <c r="N26" t="s" s="149">
        <v>11</v>
      </c>
      <c r="O26" s="16"/>
      <c r="P26" s="165"/>
      <c r="Q26" s="74"/>
      <c r="R26" s="16"/>
      <c r="S26" s="123">
        <v>1</v>
      </c>
      <c r="T26" t="s" s="148">
        <v>34</v>
      </c>
      <c r="U26" s="74"/>
      <c r="V26" s="16"/>
      <c r="W26" s="16"/>
      <c r="X26" s="75"/>
      <c r="Y26" s="30"/>
      <c r="Z26" s="30"/>
      <c r="AA26" t="s" s="148">
        <v>45</v>
      </c>
      <c r="AB26" t="s" s="148">
        <v>34</v>
      </c>
      <c r="AC26" s="87"/>
      <c r="AD26" s="30"/>
      <c r="AE26" s="30"/>
      <c r="AF26" s="307">
        <v>1</v>
      </c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2896</v>
      </c>
      <c r="B27" s="112">
        <v>1921</v>
      </c>
      <c r="C27" s="30"/>
      <c r="D27" t="s" s="83">
        <v>2897</v>
      </c>
      <c r="E27" s="30"/>
      <c r="F27" s="30"/>
      <c r="G27" s="30"/>
      <c r="H27" s="30"/>
      <c r="I27" s="122"/>
      <c r="J27" s="30"/>
      <c r="K27" s="74"/>
      <c r="L27" s="16"/>
      <c r="M27" s="75"/>
      <c r="N27" s="30"/>
      <c r="O27" s="122"/>
      <c r="P27" s="30"/>
      <c r="Q27" s="74"/>
      <c r="R27" s="16"/>
      <c r="S27" s="75"/>
      <c r="T27" s="30"/>
      <c r="U27" s="74"/>
      <c r="V27" s="16"/>
      <c r="W27" s="16"/>
      <c r="X27" s="75"/>
      <c r="Y27" s="121"/>
      <c r="Z27" s="121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" customHeight="1">
      <c r="A28" t="s" s="83">
        <v>2896</v>
      </c>
      <c r="B28" s="112">
        <v>1921</v>
      </c>
      <c r="C28" s="30"/>
      <c r="D28" t="s" s="83">
        <v>2897</v>
      </c>
      <c r="E28" s="30"/>
      <c r="F28" s="30"/>
      <c r="G28" t="s" s="83">
        <v>1</v>
      </c>
      <c r="H28" t="s" s="83">
        <v>0</v>
      </c>
      <c r="I28" s="122"/>
      <c r="J28" t="s" s="83">
        <v>3</v>
      </c>
      <c r="K28" s="74"/>
      <c r="L28" s="16"/>
      <c r="M28" s="75"/>
      <c r="N28" t="s" s="83">
        <v>2</v>
      </c>
      <c r="O28" s="122"/>
      <c r="P28" s="30"/>
      <c r="Q28" s="74"/>
      <c r="R28" s="16"/>
      <c r="S28" s="75"/>
      <c r="T28" t="s" s="83">
        <v>5</v>
      </c>
      <c r="U28" s="74"/>
      <c r="V28" s="16"/>
      <c r="W28" s="16"/>
      <c r="X28" s="75"/>
      <c r="Y28" s="130"/>
      <c r="Z28" s="130"/>
      <c r="AA28" t="s" s="83">
        <v>7</v>
      </c>
      <c r="AB28" t="s" s="83">
        <v>8</v>
      </c>
      <c r="AC28" s="30"/>
      <c r="AD28" s="134"/>
      <c r="AE28" s="30"/>
      <c r="AF28" t="s" s="83">
        <v>6</v>
      </c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2896</v>
      </c>
      <c r="B29" s="112">
        <v>1921</v>
      </c>
      <c r="C29" s="112">
        <v>5</v>
      </c>
      <c r="D29" t="s" s="83">
        <v>2897</v>
      </c>
      <c r="E29" s="30"/>
      <c r="F29" s="112">
        <v>9</v>
      </c>
      <c r="G29" t="s" s="83">
        <v>345</v>
      </c>
      <c r="H29" t="s" s="83">
        <v>346</v>
      </c>
      <c r="I29" s="120">
        <v>18</v>
      </c>
      <c r="J29" t="s" s="83">
        <v>37</v>
      </c>
      <c r="K29" s="156">
        <v>1</v>
      </c>
      <c r="L29" s="16"/>
      <c r="M29" s="75"/>
      <c r="N29" s="112">
        <v>1</v>
      </c>
      <c r="O29" s="122"/>
      <c r="P29" s="30"/>
      <c r="Q29" s="74"/>
      <c r="R29" s="16"/>
      <c r="S29" s="75"/>
      <c r="T29" s="112">
        <v>38</v>
      </c>
      <c r="U29" s="74"/>
      <c r="V29" s="16"/>
      <c r="W29" s="16"/>
      <c r="X29" s="75"/>
      <c r="Y29" s="121"/>
      <c r="Z29" s="30"/>
      <c r="AA29" t="s" s="83">
        <v>347</v>
      </c>
      <c r="AB29" t="s" s="83">
        <v>2909</v>
      </c>
      <c r="AC29" s="112">
        <v>1</v>
      </c>
      <c r="AD29" s="30"/>
      <c r="AE29" s="30"/>
      <c r="AF29" s="112">
        <v>1</v>
      </c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5.35" customHeight="1">
      <c r="A30" t="s" s="83">
        <v>2896</v>
      </c>
      <c r="B30" s="112">
        <v>1921</v>
      </c>
      <c r="C30" s="112">
        <v>5</v>
      </c>
      <c r="D30" t="s" s="83">
        <v>2897</v>
      </c>
      <c r="E30" s="116"/>
      <c r="F30" s="62"/>
      <c r="G30" t="s" s="98">
        <v>345</v>
      </c>
      <c r="H30" t="s" s="98">
        <v>349</v>
      </c>
      <c r="I30" s="79">
        <v>19</v>
      </c>
      <c r="J30" s="97">
        <v>1</v>
      </c>
      <c r="K30" s="16"/>
      <c r="L30" s="16"/>
      <c r="M30" s="16"/>
      <c r="N30" t="s" s="98">
        <v>72</v>
      </c>
      <c r="O30" s="79">
        <v>1</v>
      </c>
      <c r="P30" s="62"/>
      <c r="Q30" s="16"/>
      <c r="R30" s="16"/>
      <c r="S30" s="16"/>
      <c r="T30" s="97">
        <v>38</v>
      </c>
      <c r="U30" s="16"/>
      <c r="V30" s="16"/>
      <c r="W30" s="16"/>
      <c r="X30" s="16"/>
      <c r="Y30" s="62"/>
      <c r="Z30" s="62"/>
      <c r="AA30" t="s" s="98">
        <v>34</v>
      </c>
      <c r="AB30" t="s" s="98">
        <v>34</v>
      </c>
      <c r="AC30" s="62"/>
      <c r="AD30" s="62"/>
      <c r="AE30" s="62"/>
      <c r="AF30" s="97">
        <v>1</v>
      </c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/>
      <c r="AU30" s="62"/>
      <c r="AV30" s="62"/>
      <c r="AW30" s="62"/>
      <c r="AX30" s="62"/>
      <c r="AY30" s="62"/>
      <c r="AZ30" s="16"/>
      <c r="BA30" s="16"/>
      <c r="BB30" s="16"/>
      <c r="BC30" s="16"/>
    </row>
    <row r="31" ht="15.35" customHeight="1">
      <c r="A31" t="s" s="83">
        <v>2896</v>
      </c>
      <c r="B31" s="112">
        <v>1921</v>
      </c>
      <c r="C31" s="112">
        <v>5</v>
      </c>
      <c r="D31" t="s" s="83">
        <v>2897</v>
      </c>
      <c r="E31" s="74"/>
      <c r="F31" s="16"/>
      <c r="G31" t="s" s="96">
        <v>345</v>
      </c>
      <c r="H31" t="s" s="96">
        <v>350</v>
      </c>
      <c r="I31" s="79">
        <v>20</v>
      </c>
      <c r="J31" t="s" s="96">
        <v>12</v>
      </c>
      <c r="K31" s="16"/>
      <c r="L31" s="79">
        <v>1</v>
      </c>
      <c r="M31" s="16"/>
      <c r="N31" t="s" s="96">
        <v>78</v>
      </c>
      <c r="O31" s="16"/>
      <c r="P31" s="79">
        <v>1</v>
      </c>
      <c r="Q31" s="16"/>
      <c r="R31" s="16"/>
      <c r="S31" s="16"/>
      <c r="T31" s="79">
        <v>4</v>
      </c>
      <c r="U31" s="16"/>
      <c r="V31" s="16"/>
      <c r="W31" s="16"/>
      <c r="X31" s="16"/>
      <c r="Y31" s="16"/>
      <c r="Z31" s="16"/>
      <c r="AA31" t="s" s="96">
        <v>34</v>
      </c>
      <c r="AB31" t="s" s="96">
        <v>34</v>
      </c>
      <c r="AC31" s="16"/>
      <c r="AD31" s="16"/>
      <c r="AE31" s="16"/>
      <c r="AF31" s="79">
        <v>1</v>
      </c>
      <c r="AG31" s="16"/>
      <c r="AH31" s="16"/>
      <c r="AI31" s="16"/>
      <c r="AJ31" s="16"/>
      <c r="AK31" s="16"/>
      <c r="AL31" s="16"/>
      <c r="AM31" s="16"/>
      <c r="AN31" s="16"/>
      <c r="AO31" s="16"/>
      <c r="AP31" s="16"/>
      <c r="AQ31" s="16"/>
      <c r="AR31" s="16"/>
      <c r="AS31" s="16"/>
      <c r="AT31" s="16"/>
      <c r="AU31" s="16"/>
      <c r="AV31" s="16"/>
      <c r="AW31" s="16"/>
      <c r="AX31" s="16"/>
      <c r="AY31" s="16"/>
      <c r="AZ31" s="16"/>
      <c r="BA31" s="16"/>
      <c r="BB31" s="16"/>
      <c r="BC31" s="16"/>
    </row>
    <row r="32" ht="15.35" customHeight="1">
      <c r="A32" t="s" s="83">
        <v>2896</v>
      </c>
      <c r="B32" s="112">
        <v>1921</v>
      </c>
      <c r="C32" s="112">
        <v>5</v>
      </c>
      <c r="D32" t="s" s="83">
        <v>2897</v>
      </c>
      <c r="E32" s="74"/>
      <c r="F32" s="16"/>
      <c r="G32" t="s" s="96">
        <v>351</v>
      </c>
      <c r="H32" t="s" s="96">
        <v>352</v>
      </c>
      <c r="I32" s="79">
        <v>21</v>
      </c>
      <c r="J32" s="79">
        <v>1</v>
      </c>
      <c r="K32" s="16"/>
      <c r="L32" s="16"/>
      <c r="M32" s="16"/>
      <c r="N32" t="s" s="96">
        <v>11</v>
      </c>
      <c r="O32" s="16"/>
      <c r="P32" s="16"/>
      <c r="Q32" s="16"/>
      <c r="R32" s="16"/>
      <c r="S32" s="79">
        <v>1</v>
      </c>
      <c r="T32" s="79">
        <v>20</v>
      </c>
      <c r="U32" s="16"/>
      <c r="V32" s="16"/>
      <c r="W32" s="16"/>
      <c r="X32" s="16"/>
      <c r="Y32" s="16"/>
      <c r="Z32" s="16"/>
      <c r="AA32" t="s" s="96">
        <v>55</v>
      </c>
      <c r="AB32" t="s" s="96">
        <v>15</v>
      </c>
      <c r="AC32" s="79">
        <v>1</v>
      </c>
      <c r="AD32" s="16"/>
      <c r="AE32" s="16"/>
      <c r="AF32" t="s" s="96">
        <v>791</v>
      </c>
      <c r="AG32" s="16"/>
      <c r="AH32" s="16"/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</row>
    <row r="33" ht="15.35" customHeight="1">
      <c r="A33" t="s" s="83">
        <v>2896</v>
      </c>
      <c r="B33" s="112">
        <v>1921</v>
      </c>
      <c r="C33" s="112">
        <v>5</v>
      </c>
      <c r="D33" t="s" s="83">
        <v>2897</v>
      </c>
      <c r="E33" s="74"/>
      <c r="F33" s="16"/>
      <c r="G33" t="s" s="96">
        <v>34</v>
      </c>
      <c r="H33" t="s" s="96">
        <v>355</v>
      </c>
      <c r="I33" s="79">
        <v>22</v>
      </c>
      <c r="J33" s="79">
        <v>1</v>
      </c>
      <c r="K33" s="16"/>
      <c r="L33" s="16"/>
      <c r="M33" s="16"/>
      <c r="N33" t="s" s="96">
        <v>11</v>
      </c>
      <c r="O33" s="16"/>
      <c r="P33" s="16"/>
      <c r="Q33" s="16"/>
      <c r="R33" s="16"/>
      <c r="S33" s="79">
        <v>1</v>
      </c>
      <c r="T33" s="79">
        <v>27</v>
      </c>
      <c r="U33" s="16"/>
      <c r="V33" s="16"/>
      <c r="W33" s="16"/>
      <c r="X33" s="16"/>
      <c r="Y33" s="16"/>
      <c r="Z33" s="16"/>
      <c r="AA33" t="s" s="96">
        <v>45</v>
      </c>
      <c r="AB33" t="s" s="96">
        <v>15</v>
      </c>
      <c r="AC33" s="79">
        <v>1</v>
      </c>
      <c r="AD33" s="16"/>
      <c r="AE33" s="16"/>
      <c r="AF33" t="s" s="96">
        <v>239</v>
      </c>
      <c r="AG33" s="16"/>
      <c r="AH33" s="16"/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</row>
    <row r="34" ht="15.35" customHeight="1">
      <c r="A34" t="s" s="83">
        <v>2896</v>
      </c>
      <c r="B34" s="112">
        <v>1921</v>
      </c>
      <c r="C34" s="30"/>
      <c r="D34" t="s" s="83">
        <v>2897</v>
      </c>
      <c r="E34" s="74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</row>
    <row r="35" ht="15.35" customHeight="1">
      <c r="A35" t="s" s="83">
        <v>2896</v>
      </c>
      <c r="B35" s="112">
        <v>1921</v>
      </c>
      <c r="C35" s="30"/>
      <c r="D35" t="s" s="83">
        <v>2897</v>
      </c>
      <c r="E35" s="74"/>
      <c r="F35" s="16"/>
      <c r="G35" t="s" s="96">
        <v>1</v>
      </c>
      <c r="H35" t="s" s="96">
        <v>0</v>
      </c>
      <c r="I35" s="16"/>
      <c r="J35" t="s" s="96">
        <v>3</v>
      </c>
      <c r="K35" s="16"/>
      <c r="L35" s="16"/>
      <c r="M35" s="16"/>
      <c r="N35" t="s" s="96">
        <v>2</v>
      </c>
      <c r="O35" s="16"/>
      <c r="P35" s="16"/>
      <c r="Q35" s="16"/>
      <c r="R35" s="16"/>
      <c r="S35" s="16"/>
      <c r="T35" t="s" s="96">
        <v>5</v>
      </c>
      <c r="U35" s="16"/>
      <c r="V35" s="16"/>
      <c r="W35" s="16"/>
      <c r="X35" s="16"/>
      <c r="Y35" s="16"/>
      <c r="Z35" s="16"/>
      <c r="AA35" t="s" s="96">
        <v>7</v>
      </c>
      <c r="AB35" t="s" s="96">
        <v>8</v>
      </c>
      <c r="AC35" s="16"/>
      <c r="AD35" s="16"/>
      <c r="AE35" s="16"/>
      <c r="AF35" t="s" s="96">
        <v>6</v>
      </c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</row>
    <row r="36" ht="15.35" customHeight="1">
      <c r="A36" t="s" s="83">
        <v>2896</v>
      </c>
      <c r="B36" s="112">
        <v>1921</v>
      </c>
      <c r="C36" s="112">
        <v>6</v>
      </c>
      <c r="D36" t="s" s="83">
        <v>2897</v>
      </c>
      <c r="E36" s="74"/>
      <c r="F36" s="79">
        <v>11</v>
      </c>
      <c r="G36" t="s" s="96">
        <v>385</v>
      </c>
      <c r="H36" t="s" s="96">
        <v>48</v>
      </c>
      <c r="I36" s="79">
        <v>23</v>
      </c>
      <c r="J36" s="79">
        <v>1</v>
      </c>
      <c r="K36" s="16"/>
      <c r="L36" s="16"/>
      <c r="M36" s="16"/>
      <c r="N36" t="s" s="96">
        <v>45</v>
      </c>
      <c r="O36" s="16"/>
      <c r="P36" s="16"/>
      <c r="Q36" s="16"/>
      <c r="R36" s="16"/>
      <c r="S36" s="79">
        <v>1</v>
      </c>
      <c r="T36" s="79">
        <v>20</v>
      </c>
      <c r="U36" s="16"/>
      <c r="V36" s="16"/>
      <c r="W36" s="16"/>
      <c r="X36" s="16"/>
      <c r="Y36" s="16"/>
      <c r="Z36" s="16"/>
      <c r="AA36" t="s" s="96">
        <v>45</v>
      </c>
      <c r="AB36" t="s" s="96">
        <v>2910</v>
      </c>
      <c r="AC36" s="79">
        <v>1</v>
      </c>
      <c r="AD36" s="16"/>
      <c r="AE36" s="16"/>
      <c r="AF36" t="s" s="96">
        <v>34</v>
      </c>
      <c r="AG36" s="16"/>
      <c r="AH36" s="16"/>
      <c r="AI36" s="16"/>
      <c r="AJ36" s="16"/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</row>
    <row r="37" ht="15.35" customHeight="1">
      <c r="A37" t="s" s="83">
        <v>2896</v>
      </c>
      <c r="B37" s="112">
        <v>1921</v>
      </c>
      <c r="C37" s="112">
        <v>6</v>
      </c>
      <c r="D37" t="s" s="83">
        <v>2897</v>
      </c>
      <c r="E37" s="74"/>
      <c r="F37" s="16"/>
      <c r="G37" t="s" s="96">
        <v>386</v>
      </c>
      <c r="H37" t="s" s="96">
        <v>387</v>
      </c>
      <c r="I37" s="79">
        <v>24</v>
      </c>
      <c r="J37" t="s" s="96">
        <v>12</v>
      </c>
      <c r="K37" s="16"/>
      <c r="L37" s="79">
        <v>1</v>
      </c>
      <c r="M37" s="16"/>
      <c r="N37" t="s" s="96">
        <v>78</v>
      </c>
      <c r="O37" s="16"/>
      <c r="P37" s="79">
        <v>1</v>
      </c>
      <c r="Q37" s="16"/>
      <c r="R37" s="16"/>
      <c r="S37" s="16"/>
      <c r="T37" s="79">
        <v>5</v>
      </c>
      <c r="U37" s="16"/>
      <c r="V37" s="16"/>
      <c r="W37" s="16"/>
      <c r="X37" s="16"/>
      <c r="Y37" s="16"/>
      <c r="Z37" s="16"/>
      <c r="AA37" t="s" s="96">
        <v>34</v>
      </c>
      <c r="AB37" t="s" s="96">
        <v>34</v>
      </c>
      <c r="AC37" s="16"/>
      <c r="AD37" s="16"/>
      <c r="AE37" s="16"/>
      <c r="AF37" t="s" s="96">
        <v>34</v>
      </c>
      <c r="AG37" s="16"/>
      <c r="AH37" s="16"/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</row>
    <row r="38" ht="15.35" customHeight="1">
      <c r="A38" t="s" s="83">
        <v>2896</v>
      </c>
      <c r="B38" s="112">
        <v>1921</v>
      </c>
      <c r="C38" s="30"/>
      <c r="D38" t="s" s="83">
        <v>2897</v>
      </c>
      <c r="E38" s="74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</row>
    <row r="39" ht="15.35" customHeight="1">
      <c r="A39" t="s" s="83">
        <v>2896</v>
      </c>
      <c r="B39" s="112">
        <v>1921</v>
      </c>
      <c r="C39" s="30"/>
      <c r="D39" t="s" s="83">
        <v>2897</v>
      </c>
      <c r="E39" s="74"/>
      <c r="F39" s="16"/>
      <c r="G39" t="s" s="96">
        <v>1</v>
      </c>
      <c r="H39" t="s" s="96">
        <v>0</v>
      </c>
      <c r="I39" s="16"/>
      <c r="J39" t="s" s="96">
        <v>3</v>
      </c>
      <c r="K39" s="16"/>
      <c r="L39" s="16"/>
      <c r="M39" s="16"/>
      <c r="N39" t="s" s="96">
        <v>2</v>
      </c>
      <c r="O39" s="16"/>
      <c r="P39" s="16"/>
      <c r="Q39" s="16"/>
      <c r="R39" s="16"/>
      <c r="S39" s="16"/>
      <c r="T39" t="s" s="96">
        <v>5</v>
      </c>
      <c r="U39" s="16"/>
      <c r="V39" s="16"/>
      <c r="W39" s="16"/>
      <c r="X39" s="16"/>
      <c r="Y39" s="16"/>
      <c r="Z39" s="16"/>
      <c r="AA39" t="s" s="96">
        <v>7</v>
      </c>
      <c r="AB39" t="s" s="96">
        <v>8</v>
      </c>
      <c r="AC39" s="16"/>
      <c r="AD39" s="16"/>
      <c r="AE39" s="16"/>
      <c r="AF39" t="s" s="96">
        <v>6</v>
      </c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</row>
    <row r="40" ht="15.35" customHeight="1">
      <c r="A40" t="s" s="83">
        <v>2896</v>
      </c>
      <c r="B40" s="112">
        <v>1921</v>
      </c>
      <c r="C40" s="112">
        <v>7</v>
      </c>
      <c r="D40" t="s" s="83">
        <v>2897</v>
      </c>
      <c r="E40" s="74"/>
      <c r="F40" s="79">
        <v>13</v>
      </c>
      <c r="G40" t="s" s="96">
        <v>113</v>
      </c>
      <c r="H40" t="s" s="96">
        <v>358</v>
      </c>
      <c r="I40" s="79">
        <v>25</v>
      </c>
      <c r="J40" t="s" s="96">
        <v>37</v>
      </c>
      <c r="K40" s="79">
        <v>1</v>
      </c>
      <c r="L40" s="16"/>
      <c r="M40" s="16"/>
      <c r="N40" s="79">
        <v>1</v>
      </c>
      <c r="O40" s="16"/>
      <c r="P40" s="16"/>
      <c r="Q40" s="16"/>
      <c r="R40" s="16"/>
      <c r="S40" s="16"/>
      <c r="T40" s="79">
        <v>34</v>
      </c>
      <c r="U40" s="16"/>
      <c r="V40" s="16"/>
      <c r="W40" s="16"/>
      <c r="X40" s="16"/>
      <c r="Y40" s="16"/>
      <c r="Z40" s="16"/>
      <c r="AA40" t="s" s="96">
        <v>114</v>
      </c>
      <c r="AB40" t="s" s="96">
        <v>8</v>
      </c>
      <c r="AC40" s="79">
        <v>1</v>
      </c>
      <c r="AD40" s="79">
        <v>1</v>
      </c>
      <c r="AE40" s="16"/>
      <c r="AF40" s="79">
        <v>1</v>
      </c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5.35" customHeight="1">
      <c r="A41" t="s" s="83">
        <v>2896</v>
      </c>
      <c r="B41" s="112">
        <v>1921</v>
      </c>
      <c r="C41" s="112">
        <v>7</v>
      </c>
      <c r="D41" t="s" s="83">
        <v>2897</v>
      </c>
      <c r="E41" s="74"/>
      <c r="F41" s="16"/>
      <c r="G41" t="s" s="96">
        <v>113</v>
      </c>
      <c r="H41" t="s" s="96">
        <v>360</v>
      </c>
      <c r="I41" s="79">
        <v>26</v>
      </c>
      <c r="J41" s="79">
        <v>1</v>
      </c>
      <c r="K41" s="16"/>
      <c r="L41" s="16"/>
      <c r="M41" s="16"/>
      <c r="N41" t="s" s="96">
        <v>72</v>
      </c>
      <c r="O41" s="79">
        <v>1</v>
      </c>
      <c r="P41" s="16"/>
      <c r="Q41" s="16"/>
      <c r="R41" s="16"/>
      <c r="S41" s="16"/>
      <c r="T41" s="79">
        <v>36</v>
      </c>
      <c r="U41" s="16"/>
      <c r="V41" s="16"/>
      <c r="W41" s="16"/>
      <c r="X41" s="16"/>
      <c r="Y41" s="16"/>
      <c r="Z41" s="16"/>
      <c r="AA41" t="s" s="96">
        <v>1061</v>
      </c>
      <c r="AB41" t="s" s="96">
        <v>34</v>
      </c>
      <c r="AC41" s="16"/>
      <c r="AD41" s="16"/>
      <c r="AE41" s="16"/>
      <c r="AF41" s="79">
        <v>1</v>
      </c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5.35" customHeight="1">
      <c r="A42" t="s" s="83">
        <v>2896</v>
      </c>
      <c r="B42" s="112">
        <v>1921</v>
      </c>
      <c r="C42" s="112">
        <v>7</v>
      </c>
      <c r="D42" t="s" s="83">
        <v>2897</v>
      </c>
      <c r="E42" s="74"/>
      <c r="F42" s="16"/>
      <c r="G42" t="s" s="96">
        <v>361</v>
      </c>
      <c r="H42" t="s" s="96">
        <v>362</v>
      </c>
      <c r="I42" s="79">
        <v>27</v>
      </c>
      <c r="J42" s="79">
        <v>1</v>
      </c>
      <c r="K42" s="16"/>
      <c r="L42" s="16"/>
      <c r="M42" s="16"/>
      <c r="N42" t="s" s="96">
        <v>11</v>
      </c>
      <c r="O42" s="16"/>
      <c r="P42" s="16"/>
      <c r="Q42" s="16"/>
      <c r="R42" s="16"/>
      <c r="S42" s="79">
        <v>1</v>
      </c>
      <c r="T42" s="79">
        <v>23</v>
      </c>
      <c r="U42" s="16"/>
      <c r="V42" s="16"/>
      <c r="W42" s="16"/>
      <c r="X42" s="16"/>
      <c r="Y42" s="16"/>
      <c r="Z42" s="16"/>
      <c r="AA42" t="s" s="96">
        <v>45</v>
      </c>
      <c r="AB42" t="s" s="96">
        <v>15</v>
      </c>
      <c r="AC42" s="79">
        <v>1</v>
      </c>
      <c r="AD42" s="16"/>
      <c r="AE42" s="16"/>
      <c r="AF42" t="s" s="96">
        <v>785</v>
      </c>
      <c r="AG42" s="16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</row>
    <row r="43" ht="15.35" customHeight="1">
      <c r="A43" t="s" s="83">
        <v>2896</v>
      </c>
      <c r="B43" s="112">
        <v>1921</v>
      </c>
      <c r="C43" s="112">
        <v>7</v>
      </c>
      <c r="D43" t="s" s="83">
        <v>2897</v>
      </c>
      <c r="E43" s="74"/>
      <c r="F43" s="16"/>
      <c r="G43" t="s" s="96">
        <v>365</v>
      </c>
      <c r="H43" t="s" s="96">
        <v>366</v>
      </c>
      <c r="I43" s="79">
        <v>28</v>
      </c>
      <c r="J43" s="79">
        <v>1</v>
      </c>
      <c r="K43" s="16"/>
      <c r="L43" s="16"/>
      <c r="M43" s="16"/>
      <c r="N43" t="s" s="96">
        <v>11</v>
      </c>
      <c r="O43" s="16"/>
      <c r="P43" s="16"/>
      <c r="Q43" s="16"/>
      <c r="R43" s="16"/>
      <c r="S43" s="79">
        <v>1</v>
      </c>
      <c r="T43" s="79">
        <v>31</v>
      </c>
      <c r="U43" s="16"/>
      <c r="V43" s="16"/>
      <c r="W43" s="16"/>
      <c r="X43" s="16"/>
      <c r="Y43" s="16"/>
      <c r="Z43" s="16"/>
      <c r="AA43" t="s" s="96">
        <v>89</v>
      </c>
      <c r="AB43" t="s" s="96">
        <v>15</v>
      </c>
      <c r="AC43" s="79">
        <v>1</v>
      </c>
      <c r="AD43" s="16"/>
      <c r="AE43" s="16"/>
      <c r="AF43" t="s" s="96">
        <v>785</v>
      </c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</row>
    <row r="44" ht="15.35" customHeight="1">
      <c r="A44" t="s" s="83">
        <v>2896</v>
      </c>
      <c r="B44" s="112">
        <v>1921</v>
      </c>
      <c r="C44" s="30"/>
      <c r="D44" t="s" s="83">
        <v>2897</v>
      </c>
      <c r="E44" s="74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</row>
    <row r="45" ht="15.35" customHeight="1">
      <c r="A45" t="s" s="83">
        <v>2896</v>
      </c>
      <c r="B45" s="112">
        <v>1921</v>
      </c>
      <c r="C45" s="30"/>
      <c r="D45" t="s" s="83">
        <v>2897</v>
      </c>
      <c r="E45" s="192"/>
      <c r="F45" s="3"/>
      <c r="G45" t="s" s="2">
        <v>1</v>
      </c>
      <c r="H45" t="s" s="2">
        <v>0</v>
      </c>
      <c r="I45" s="3"/>
      <c r="J45" t="s" s="2">
        <v>3</v>
      </c>
      <c r="K45" s="3"/>
      <c r="L45" s="3"/>
      <c r="M45" s="3"/>
      <c r="N45" t="s" s="2">
        <v>2</v>
      </c>
      <c r="O45" s="3"/>
      <c r="P45" s="3"/>
      <c r="Q45" s="3"/>
      <c r="R45" s="3"/>
      <c r="S45" s="3"/>
      <c r="T45" t="s" s="2">
        <v>5</v>
      </c>
      <c r="U45" s="3"/>
      <c r="V45" s="3"/>
      <c r="W45" s="3"/>
      <c r="X45" s="3"/>
      <c r="Y45" s="3"/>
      <c r="Z45" s="3"/>
      <c r="AA45" t="s" s="2">
        <v>7</v>
      </c>
      <c r="AB45" t="s" s="2">
        <v>8</v>
      </c>
      <c r="AC45" s="3"/>
      <c r="AD45" s="3"/>
      <c r="AE45" s="3"/>
      <c r="AF45" t="s" s="2">
        <v>6</v>
      </c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</row>
    <row r="46" ht="15.35" customHeight="1">
      <c r="A46" t="s" s="83">
        <v>2896</v>
      </c>
      <c r="B46" s="112">
        <v>1921</v>
      </c>
      <c r="C46" s="112">
        <v>8</v>
      </c>
      <c r="D46" t="s" s="83">
        <v>2897</v>
      </c>
      <c r="E46" s="195"/>
      <c r="F46" s="6">
        <v>15</v>
      </c>
      <c r="G46" t="s" s="5">
        <v>368</v>
      </c>
      <c r="H46" t="s" s="5">
        <v>369</v>
      </c>
      <c r="I46" s="6">
        <v>29</v>
      </c>
      <c r="J46" s="6">
        <v>1</v>
      </c>
      <c r="K46" s="13"/>
      <c r="L46" s="13"/>
      <c r="M46" s="13"/>
      <c r="N46" s="6">
        <v>1</v>
      </c>
      <c r="O46" s="13"/>
      <c r="P46" s="13"/>
      <c r="Q46" s="13"/>
      <c r="R46" s="13"/>
      <c r="S46" s="13"/>
      <c r="T46" s="6">
        <v>84</v>
      </c>
      <c r="U46" s="13"/>
      <c r="V46" s="13"/>
      <c r="W46" s="13"/>
      <c r="X46" s="13"/>
      <c r="Y46" s="13"/>
      <c r="Z46" s="13"/>
      <c r="AA46" t="s" s="5">
        <v>2911</v>
      </c>
      <c r="AB46" t="s" s="5">
        <v>34</v>
      </c>
      <c r="AC46" s="13"/>
      <c r="AD46" s="13"/>
      <c r="AE46" s="13"/>
      <c r="AF46" t="s" s="5">
        <v>840</v>
      </c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0"/>
    </row>
    <row r="47" ht="15.35" customHeight="1">
      <c r="A47" t="s" s="83">
        <v>2896</v>
      </c>
      <c r="B47" s="112">
        <v>1921</v>
      </c>
      <c r="C47" s="112">
        <v>8</v>
      </c>
      <c r="D47" t="s" s="83">
        <v>2897</v>
      </c>
      <c r="E47" s="200"/>
      <c r="F47" s="14"/>
      <c r="G47" t="s" s="285">
        <v>371</v>
      </c>
      <c r="H47" t="s" s="285">
        <v>372</v>
      </c>
      <c r="I47" s="438">
        <v>30</v>
      </c>
      <c r="J47" s="439">
        <v>1</v>
      </c>
      <c r="K47" s="21"/>
      <c r="L47" s="14"/>
      <c r="M47" s="14"/>
      <c r="N47" t="s" s="285">
        <v>246</v>
      </c>
      <c r="O47" s="14"/>
      <c r="P47" s="14"/>
      <c r="Q47" s="14"/>
      <c r="R47" s="264">
        <v>1</v>
      </c>
      <c r="S47" s="14"/>
      <c r="T47" s="264">
        <v>78</v>
      </c>
      <c r="U47" s="14"/>
      <c r="V47" s="14"/>
      <c r="W47" s="14"/>
      <c r="X47" s="14"/>
      <c r="Y47" s="14"/>
      <c r="Z47" s="14"/>
      <c r="AA47" t="s" s="285">
        <v>2911</v>
      </c>
      <c r="AB47" t="s" s="285">
        <v>34</v>
      </c>
      <c r="AC47" s="14"/>
      <c r="AD47" s="14"/>
      <c r="AE47" s="14"/>
      <c r="AF47" t="s" s="285">
        <v>493</v>
      </c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</row>
    <row r="48" ht="15.35" customHeight="1">
      <c r="A48" t="s" s="83">
        <v>2896</v>
      </c>
      <c r="B48" s="112">
        <v>1921</v>
      </c>
      <c r="C48" s="112">
        <v>8</v>
      </c>
      <c r="D48" t="s" s="83">
        <v>2897</v>
      </c>
      <c r="E48" s="74"/>
      <c r="F48" s="16"/>
      <c r="G48" t="s" s="96">
        <v>375</v>
      </c>
      <c r="H48" t="s" s="96">
        <v>376</v>
      </c>
      <c r="I48" s="440">
        <v>31</v>
      </c>
      <c r="J48" s="439">
        <v>1</v>
      </c>
      <c r="K48" s="78"/>
      <c r="L48" s="16"/>
      <c r="M48" s="16"/>
      <c r="N48" t="s" s="96">
        <v>1161</v>
      </c>
      <c r="O48" s="16"/>
      <c r="P48" s="16"/>
      <c r="Q48" s="16"/>
      <c r="R48" s="79">
        <v>1</v>
      </c>
      <c r="S48" s="16"/>
      <c r="T48" s="79">
        <v>60</v>
      </c>
      <c r="U48" s="16"/>
      <c r="V48" s="16"/>
      <c r="W48" s="16"/>
      <c r="X48" s="16"/>
      <c r="Y48" s="16"/>
      <c r="Z48" s="16"/>
      <c r="AA48" t="s" s="96">
        <v>2911</v>
      </c>
      <c r="AB48" t="s" s="96">
        <v>34</v>
      </c>
      <c r="AC48" s="16"/>
      <c r="AD48" s="16"/>
      <c r="AE48" s="16"/>
      <c r="AF48" t="s" s="96">
        <v>790</v>
      </c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5.35" customHeight="1">
      <c r="A49" t="s" s="83">
        <v>2896</v>
      </c>
      <c r="B49" s="112">
        <v>1921</v>
      </c>
      <c r="C49" s="112">
        <v>8</v>
      </c>
      <c r="D49" t="s" s="83">
        <v>2897</v>
      </c>
      <c r="E49" s="74"/>
      <c r="F49" s="16"/>
      <c r="G49" t="s" s="96">
        <v>375</v>
      </c>
      <c r="H49" t="s" s="96">
        <v>379</v>
      </c>
      <c r="I49" s="440">
        <v>32</v>
      </c>
      <c r="J49" s="439">
        <v>1</v>
      </c>
      <c r="K49" s="78"/>
      <c r="L49" s="16"/>
      <c r="M49" s="16"/>
      <c r="N49" t="s" s="96">
        <v>1161</v>
      </c>
      <c r="O49" s="16"/>
      <c r="P49" s="16"/>
      <c r="Q49" s="16"/>
      <c r="R49" s="79">
        <v>1</v>
      </c>
      <c r="S49" s="16"/>
      <c r="T49" s="79">
        <v>58</v>
      </c>
      <c r="U49" s="16"/>
      <c r="V49" s="16"/>
      <c r="W49" s="16"/>
      <c r="X49" s="16"/>
      <c r="Y49" s="16"/>
      <c r="Z49" s="16"/>
      <c r="AA49" t="s" s="96">
        <v>34</v>
      </c>
      <c r="AB49" t="s" s="96">
        <v>34</v>
      </c>
      <c r="AC49" s="16"/>
      <c r="AD49" s="16"/>
      <c r="AE49" s="16"/>
      <c r="AF49" t="s" s="96">
        <v>790</v>
      </c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t="s" s="83">
        <v>2896</v>
      </c>
      <c r="B50" s="112">
        <v>1921</v>
      </c>
      <c r="C50" s="112">
        <v>8</v>
      </c>
      <c r="D50" t="s" s="83">
        <v>2897</v>
      </c>
      <c r="E50" s="74"/>
      <c r="F50" s="16"/>
      <c r="G50" t="s" s="96">
        <v>380</v>
      </c>
      <c r="H50" t="s" s="96">
        <v>331</v>
      </c>
      <c r="I50" s="440">
        <v>33</v>
      </c>
      <c r="J50" s="439">
        <v>1</v>
      </c>
      <c r="K50" s="78"/>
      <c r="L50" s="16"/>
      <c r="M50" s="16"/>
      <c r="N50" t="s" s="96">
        <v>11</v>
      </c>
      <c r="O50" s="16"/>
      <c r="P50" s="16"/>
      <c r="Q50" s="16"/>
      <c r="R50" s="16"/>
      <c r="S50" s="79">
        <v>1</v>
      </c>
      <c r="T50" s="79">
        <v>42</v>
      </c>
      <c r="U50" s="16"/>
      <c r="V50" s="16"/>
      <c r="W50" s="16"/>
      <c r="X50" s="16"/>
      <c r="Y50" s="16"/>
      <c r="Z50" s="16"/>
      <c r="AA50" t="s" s="96">
        <v>14</v>
      </c>
      <c r="AB50" t="s" s="96">
        <v>15</v>
      </c>
      <c r="AC50" s="79">
        <v>1</v>
      </c>
      <c r="AD50" s="16"/>
      <c r="AE50" s="16"/>
      <c r="AF50" s="79">
        <v>1</v>
      </c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5.35" customHeight="1">
      <c r="A51" t="s" s="83">
        <v>2896</v>
      </c>
      <c r="B51" s="112">
        <v>1921</v>
      </c>
      <c r="C51" s="112">
        <v>8</v>
      </c>
      <c r="D51" t="s" s="83">
        <v>2897</v>
      </c>
      <c r="E51" s="74"/>
      <c r="F51" s="16"/>
      <c r="G51" t="s" s="96">
        <v>382</v>
      </c>
      <c r="H51" t="s" s="96">
        <v>383</v>
      </c>
      <c r="I51" s="440">
        <v>34</v>
      </c>
      <c r="J51" s="439">
        <v>1</v>
      </c>
      <c r="K51" s="78"/>
      <c r="L51" s="16"/>
      <c r="M51" s="16"/>
      <c r="N51" t="s" s="96">
        <v>11</v>
      </c>
      <c r="O51" s="16"/>
      <c r="P51" s="16"/>
      <c r="Q51" s="16"/>
      <c r="R51" s="16"/>
      <c r="S51" s="79">
        <v>1</v>
      </c>
      <c r="T51" s="79">
        <v>24</v>
      </c>
      <c r="U51" s="16"/>
      <c r="V51" s="16"/>
      <c r="W51" s="16"/>
      <c r="X51" s="16"/>
      <c r="Y51" s="16"/>
      <c r="Z51" s="16"/>
      <c r="AA51" t="s" s="96">
        <v>14</v>
      </c>
      <c r="AB51" t="s" s="96">
        <v>15</v>
      </c>
      <c r="AC51" s="79">
        <v>1</v>
      </c>
      <c r="AD51" s="16"/>
      <c r="AE51" s="16"/>
      <c r="AF51" t="s" s="96">
        <v>34</v>
      </c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15.35" customHeight="1">
      <c r="A52" t="s" s="83">
        <v>2896</v>
      </c>
      <c r="B52" s="112">
        <v>1921</v>
      </c>
      <c r="C52" s="30"/>
      <c r="D52" t="s" s="83">
        <v>2897</v>
      </c>
      <c r="E52" s="74"/>
      <c r="F52" s="16"/>
      <c r="G52" s="16"/>
      <c r="H52" s="16"/>
      <c r="I52" s="16"/>
      <c r="J52" s="14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5.35" customHeight="1">
      <c r="A53" t="s" s="83">
        <v>2896</v>
      </c>
      <c r="B53" s="112">
        <v>1921</v>
      </c>
      <c r="C53" s="30"/>
      <c r="D53" t="s" s="83">
        <v>2897</v>
      </c>
      <c r="E53" s="74"/>
      <c r="F53" s="16"/>
      <c r="G53" t="s" s="96">
        <v>1</v>
      </c>
      <c r="H53" t="s" s="96">
        <v>0</v>
      </c>
      <c r="I53" s="16"/>
      <c r="J53" t="s" s="96">
        <v>3</v>
      </c>
      <c r="K53" s="16"/>
      <c r="L53" s="16"/>
      <c r="M53" s="16"/>
      <c r="N53" t="s" s="96">
        <v>2</v>
      </c>
      <c r="O53" s="16"/>
      <c r="P53" s="16"/>
      <c r="Q53" s="16"/>
      <c r="R53" s="16"/>
      <c r="S53" s="16"/>
      <c r="T53" t="s" s="96">
        <v>5</v>
      </c>
      <c r="U53" s="16"/>
      <c r="V53" s="16"/>
      <c r="W53" s="16"/>
      <c r="X53" s="16"/>
      <c r="Y53" s="16"/>
      <c r="Z53" s="16"/>
      <c r="AA53" t="s" s="96">
        <v>7</v>
      </c>
      <c r="AB53" t="s" s="96">
        <v>8</v>
      </c>
      <c r="AC53" s="16"/>
      <c r="AD53" s="16"/>
      <c r="AE53" s="16"/>
      <c r="AF53" t="s" s="96">
        <v>6</v>
      </c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15.35" customHeight="1">
      <c r="A54" t="s" s="83">
        <v>2896</v>
      </c>
      <c r="B54" s="112">
        <v>1921</v>
      </c>
      <c r="C54" s="112">
        <v>9</v>
      </c>
      <c r="D54" t="s" s="83">
        <v>2897</v>
      </c>
      <c r="E54" s="74"/>
      <c r="F54" s="79">
        <v>19</v>
      </c>
      <c r="G54" t="s" s="96">
        <v>388</v>
      </c>
      <c r="H54" t="s" s="96">
        <v>389</v>
      </c>
      <c r="I54" s="79">
        <v>35</v>
      </c>
      <c r="J54" t="s" s="96">
        <v>37</v>
      </c>
      <c r="K54" s="79">
        <v>1</v>
      </c>
      <c r="L54" s="16"/>
      <c r="M54" s="16"/>
      <c r="N54" s="79">
        <v>1</v>
      </c>
      <c r="O54" s="16"/>
      <c r="P54" s="16"/>
      <c r="Q54" s="16"/>
      <c r="R54" s="16"/>
      <c r="S54" s="16"/>
      <c r="T54" s="79">
        <v>72</v>
      </c>
      <c r="U54" s="16"/>
      <c r="V54" s="16"/>
      <c r="W54" s="16"/>
      <c r="X54" s="16"/>
      <c r="Y54" s="16"/>
      <c r="Z54" s="16"/>
      <c r="AA54" t="s" s="96">
        <v>769</v>
      </c>
      <c r="AB54" t="s" s="96">
        <v>8</v>
      </c>
      <c r="AC54" s="79">
        <v>1</v>
      </c>
      <c r="AD54" s="79">
        <v>1</v>
      </c>
      <c r="AE54" s="16"/>
      <c r="AF54" t="s" s="96">
        <v>1068</v>
      </c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15.35" customHeight="1">
      <c r="A55" t="s" s="83">
        <v>2896</v>
      </c>
      <c r="B55" s="112">
        <v>1921</v>
      </c>
      <c r="C55" s="112">
        <v>9</v>
      </c>
      <c r="D55" t="s" s="83">
        <v>2897</v>
      </c>
      <c r="E55" s="74"/>
      <c r="F55" s="16"/>
      <c r="G55" t="s" s="96">
        <v>388</v>
      </c>
      <c r="H55" t="s" s="96">
        <v>392</v>
      </c>
      <c r="I55" s="79">
        <v>36</v>
      </c>
      <c r="J55" t="s" s="96">
        <v>37</v>
      </c>
      <c r="K55" s="79">
        <v>1</v>
      </c>
      <c r="L55" s="16"/>
      <c r="M55" s="16"/>
      <c r="N55" t="s" s="96">
        <v>36</v>
      </c>
      <c r="O55" s="16"/>
      <c r="P55" s="16"/>
      <c r="Q55" s="79">
        <v>1</v>
      </c>
      <c r="R55" s="16"/>
      <c r="S55" s="16"/>
      <c r="T55" s="79">
        <v>31</v>
      </c>
      <c r="U55" s="16"/>
      <c r="V55" s="16"/>
      <c r="W55" s="16"/>
      <c r="X55" s="16"/>
      <c r="Y55" s="16"/>
      <c r="Z55" s="16"/>
      <c r="AA55" t="s" s="96">
        <v>2912</v>
      </c>
      <c r="AB55" t="s" s="96">
        <v>2913</v>
      </c>
      <c r="AC55" s="79">
        <v>1</v>
      </c>
      <c r="AD55" s="16"/>
      <c r="AE55" s="16"/>
      <c r="AF55" s="79">
        <v>1</v>
      </c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</row>
    <row r="56" ht="15.35" customHeight="1">
      <c r="A56" t="s" s="83">
        <v>2896</v>
      </c>
      <c r="B56" s="112">
        <v>1921</v>
      </c>
      <c r="C56" s="112">
        <v>9</v>
      </c>
      <c r="D56" t="s" s="83">
        <v>2897</v>
      </c>
      <c r="E56" s="74"/>
      <c r="F56" s="16"/>
      <c r="G56" t="s" s="96">
        <v>394</v>
      </c>
      <c r="H56" t="s" s="96">
        <v>395</v>
      </c>
      <c r="I56" s="79">
        <v>37</v>
      </c>
      <c r="J56" t="s" s="96">
        <v>37</v>
      </c>
      <c r="K56" s="79">
        <v>1</v>
      </c>
      <c r="L56" s="16"/>
      <c r="M56" s="16"/>
      <c r="N56" t="s" s="96">
        <v>41</v>
      </c>
      <c r="O56" s="16"/>
      <c r="P56" s="16"/>
      <c r="Q56" s="16"/>
      <c r="R56" s="79">
        <v>1</v>
      </c>
      <c r="S56" s="16"/>
      <c r="T56" s="79">
        <v>59</v>
      </c>
      <c r="U56" s="16"/>
      <c r="V56" s="16"/>
      <c r="W56" s="16"/>
      <c r="X56" s="16"/>
      <c r="Y56" s="16"/>
      <c r="Z56" s="16"/>
      <c r="AA56" t="s" s="96">
        <v>2914</v>
      </c>
      <c r="AB56" t="s" s="96">
        <v>2915</v>
      </c>
      <c r="AC56" s="79">
        <v>1</v>
      </c>
      <c r="AD56" s="16"/>
      <c r="AE56" s="16"/>
      <c r="AF56" t="s" s="96">
        <v>729</v>
      </c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</row>
    <row r="57" ht="15.35" customHeight="1">
      <c r="A57" t="s" s="83">
        <v>2896</v>
      </c>
      <c r="B57" s="112">
        <v>1921</v>
      </c>
      <c r="C57" s="112">
        <v>9</v>
      </c>
      <c r="D57" t="s" s="83">
        <v>2897</v>
      </c>
      <c r="E57" s="74"/>
      <c r="F57" s="16"/>
      <c r="G57" t="s" s="96">
        <v>394</v>
      </c>
      <c r="H57" t="s" s="96">
        <v>400</v>
      </c>
      <c r="I57" s="79">
        <v>38</v>
      </c>
      <c r="J57" s="79">
        <v>1</v>
      </c>
      <c r="K57" s="16"/>
      <c r="L57" s="16"/>
      <c r="M57" s="16"/>
      <c r="N57" t="s" s="96">
        <v>41</v>
      </c>
      <c r="O57" s="16"/>
      <c r="P57" s="16"/>
      <c r="Q57" s="16"/>
      <c r="R57" s="79">
        <v>1</v>
      </c>
      <c r="S57" s="16"/>
      <c r="T57" s="79">
        <v>46</v>
      </c>
      <c r="U57" s="16"/>
      <c r="V57" s="16"/>
      <c r="W57" s="16"/>
      <c r="X57" s="16"/>
      <c r="Y57" s="16"/>
      <c r="Z57" s="16"/>
      <c r="AA57" t="s" s="96">
        <v>33</v>
      </c>
      <c r="AB57" t="s" s="96">
        <v>34</v>
      </c>
      <c r="AC57" s="16"/>
      <c r="AD57" s="16"/>
      <c r="AE57" s="16"/>
      <c r="AF57" t="s" s="96">
        <v>555</v>
      </c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</row>
    <row r="58" ht="15.35" customHeight="1">
      <c r="A58" t="s" s="83">
        <v>2896</v>
      </c>
      <c r="B58" s="112">
        <v>1921</v>
      </c>
      <c r="C58" s="112">
        <v>9</v>
      </c>
      <c r="D58" t="s" s="83">
        <v>2897</v>
      </c>
      <c r="E58" s="74"/>
      <c r="F58" s="16"/>
      <c r="G58" t="s" s="96">
        <v>394</v>
      </c>
      <c r="H58" t="s" s="96">
        <v>403</v>
      </c>
      <c r="I58" s="79">
        <v>39</v>
      </c>
      <c r="J58" s="79">
        <v>1</v>
      </c>
      <c r="K58" s="16"/>
      <c r="L58" s="16"/>
      <c r="M58" s="16"/>
      <c r="N58" t="s" s="96">
        <v>41</v>
      </c>
      <c r="O58" s="16"/>
      <c r="P58" s="16"/>
      <c r="Q58" s="16"/>
      <c r="R58" s="79">
        <v>1</v>
      </c>
      <c r="S58" s="16"/>
      <c r="T58" s="79">
        <v>10</v>
      </c>
      <c r="U58" s="16"/>
      <c r="V58" s="16"/>
      <c r="W58" s="16"/>
      <c r="X58" s="16"/>
      <c r="Y58" s="16"/>
      <c r="Z58" s="16"/>
      <c r="AA58" t="s" s="96">
        <v>34</v>
      </c>
      <c r="AB58" t="s" s="96">
        <v>34</v>
      </c>
      <c r="AC58" s="16"/>
      <c r="AD58" s="16"/>
      <c r="AE58" s="16"/>
      <c r="AF58" t="s" s="96">
        <v>2651</v>
      </c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</row>
    <row r="59" ht="15.35" customHeight="1">
      <c r="A59" t="s" s="83">
        <v>2896</v>
      </c>
      <c r="B59" s="112">
        <v>1921</v>
      </c>
      <c r="C59" s="112">
        <v>9</v>
      </c>
      <c r="D59" t="s" s="83">
        <v>2897</v>
      </c>
      <c r="E59" s="74"/>
      <c r="F59" s="16"/>
      <c r="G59" t="s" s="96">
        <v>405</v>
      </c>
      <c r="H59" t="s" s="96">
        <v>406</v>
      </c>
      <c r="I59" s="79">
        <v>40</v>
      </c>
      <c r="J59" s="79">
        <v>1</v>
      </c>
      <c r="K59" s="16"/>
      <c r="L59" s="16"/>
      <c r="M59" s="16"/>
      <c r="N59" t="s" s="96">
        <v>11</v>
      </c>
      <c r="O59" s="16"/>
      <c r="P59" s="16"/>
      <c r="Q59" s="16"/>
      <c r="R59" s="16"/>
      <c r="S59" s="79">
        <v>1</v>
      </c>
      <c r="T59" s="79">
        <v>28</v>
      </c>
      <c r="U59" s="16"/>
      <c r="V59" s="16"/>
      <c r="W59" s="16"/>
      <c r="X59" s="16"/>
      <c r="Y59" s="16"/>
      <c r="Z59" s="16"/>
      <c r="AA59" t="s" s="96">
        <v>751</v>
      </c>
      <c r="AB59" t="s" s="96">
        <v>15</v>
      </c>
      <c r="AC59" s="79">
        <v>1</v>
      </c>
      <c r="AD59" s="16"/>
      <c r="AE59" s="16"/>
      <c r="AF59" t="s" s="96">
        <v>2916</v>
      </c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</row>
    <row r="60" ht="15.35" customHeight="1">
      <c r="A60" t="s" s="83">
        <v>2896</v>
      </c>
      <c r="B60" s="112">
        <v>1921</v>
      </c>
      <c r="C60" s="112">
        <v>9</v>
      </c>
      <c r="D60" t="s" s="83">
        <v>2897</v>
      </c>
      <c r="E60" s="74"/>
      <c r="F60" s="16"/>
      <c r="G60" t="s" s="96">
        <v>409</v>
      </c>
      <c r="H60" t="s" s="96">
        <v>410</v>
      </c>
      <c r="I60" s="79">
        <v>41</v>
      </c>
      <c r="J60" s="79">
        <v>1</v>
      </c>
      <c r="K60" s="16"/>
      <c r="L60" s="16"/>
      <c r="M60" s="16"/>
      <c r="N60" t="s" s="96">
        <v>11</v>
      </c>
      <c r="O60" s="16"/>
      <c r="P60" s="16"/>
      <c r="Q60" s="16"/>
      <c r="R60" s="16"/>
      <c r="S60" s="79">
        <v>1</v>
      </c>
      <c r="T60" s="79">
        <v>27</v>
      </c>
      <c r="U60" s="16"/>
      <c r="V60" s="16"/>
      <c r="W60" s="16"/>
      <c r="X60" s="16"/>
      <c r="Y60" s="16"/>
      <c r="Z60" s="16"/>
      <c r="AA60" t="s" s="96">
        <v>55</v>
      </c>
      <c r="AB60" t="s" s="96">
        <v>15</v>
      </c>
      <c r="AC60" s="79">
        <v>1</v>
      </c>
      <c r="AD60" s="16"/>
      <c r="AE60" s="16"/>
      <c r="AF60" t="s" s="96">
        <v>2741</v>
      </c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5.35" customHeight="1">
      <c r="A61" t="s" s="83">
        <v>2896</v>
      </c>
      <c r="B61" s="112">
        <v>1921</v>
      </c>
      <c r="C61" s="112">
        <v>9</v>
      </c>
      <c r="D61" t="s" s="83">
        <v>2897</v>
      </c>
      <c r="E61" s="74"/>
      <c r="F61" s="16"/>
      <c r="G61" t="s" s="96">
        <v>412</v>
      </c>
      <c r="H61" t="s" s="96">
        <v>48</v>
      </c>
      <c r="I61" s="79">
        <v>42</v>
      </c>
      <c r="J61" s="79">
        <v>1</v>
      </c>
      <c r="K61" s="16"/>
      <c r="L61" s="16"/>
      <c r="M61" s="16"/>
      <c r="N61" t="s" s="96">
        <v>11</v>
      </c>
      <c r="O61" s="16"/>
      <c r="P61" s="16"/>
      <c r="Q61" s="16"/>
      <c r="R61" s="16"/>
      <c r="S61" s="79">
        <v>1</v>
      </c>
      <c r="T61" s="79">
        <v>21</v>
      </c>
      <c r="U61" s="16"/>
      <c r="V61" s="16"/>
      <c r="W61" s="16"/>
      <c r="X61" s="16"/>
      <c r="Y61" s="16"/>
      <c r="Z61" s="16"/>
      <c r="AA61" t="s" s="96">
        <v>51</v>
      </c>
      <c r="AB61" t="s" s="96">
        <v>15</v>
      </c>
      <c r="AC61" s="79">
        <v>1</v>
      </c>
      <c r="AD61" s="16"/>
      <c r="AE61" s="16"/>
      <c r="AF61" s="79">
        <v>1</v>
      </c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15.35" customHeight="1">
      <c r="A62" t="s" s="83">
        <v>2896</v>
      </c>
      <c r="B62" s="112">
        <v>1921</v>
      </c>
      <c r="C62" s="30"/>
      <c r="D62" t="s" s="83">
        <v>2897</v>
      </c>
      <c r="E62" s="74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t="s" s="83">
        <v>2896</v>
      </c>
      <c r="B63" s="112">
        <v>1921</v>
      </c>
      <c r="C63" s="30"/>
      <c r="D63" t="s" s="83">
        <v>2897</v>
      </c>
      <c r="E63" s="74"/>
      <c r="F63" s="16"/>
      <c r="G63" t="s" s="96">
        <v>1</v>
      </c>
      <c r="H63" t="s" s="96">
        <v>0</v>
      </c>
      <c r="I63" s="16"/>
      <c r="J63" t="s" s="96">
        <v>3</v>
      </c>
      <c r="K63" s="16"/>
      <c r="L63" s="16"/>
      <c r="M63" s="16"/>
      <c r="N63" t="s" s="96">
        <v>2</v>
      </c>
      <c r="O63" s="16"/>
      <c r="P63" s="16"/>
      <c r="Q63" s="16"/>
      <c r="R63" s="16"/>
      <c r="S63" s="16"/>
      <c r="T63" t="s" s="96">
        <v>5</v>
      </c>
      <c r="U63" s="16"/>
      <c r="V63" s="16"/>
      <c r="W63" s="16"/>
      <c r="X63" s="16"/>
      <c r="Y63" s="16"/>
      <c r="Z63" s="16"/>
      <c r="AA63" t="s" s="96">
        <v>7</v>
      </c>
      <c r="AB63" t="s" s="96">
        <v>8</v>
      </c>
      <c r="AC63" s="16"/>
      <c r="AD63" s="16"/>
      <c r="AE63" s="16"/>
      <c r="AF63" t="s" s="96">
        <v>6</v>
      </c>
      <c r="AG63" s="16"/>
      <c r="AH63" s="16"/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</row>
    <row r="64" ht="15.35" customHeight="1">
      <c r="A64" t="s" s="83">
        <v>2896</v>
      </c>
      <c r="B64" s="112">
        <v>1921</v>
      </c>
      <c r="C64" s="112">
        <v>10</v>
      </c>
      <c r="D64" t="s" s="83">
        <v>2897</v>
      </c>
      <c r="E64" s="74"/>
      <c r="F64" s="79">
        <v>19</v>
      </c>
      <c r="G64" t="s" s="96">
        <v>309</v>
      </c>
      <c r="H64" t="s" s="96">
        <v>427</v>
      </c>
      <c r="I64" s="79">
        <v>43</v>
      </c>
      <c r="J64" t="s" s="96">
        <v>37</v>
      </c>
      <c r="K64" s="79">
        <v>1</v>
      </c>
      <c r="L64" s="16"/>
      <c r="M64" s="16"/>
      <c r="N64" s="79">
        <v>1</v>
      </c>
      <c r="O64" s="16"/>
      <c r="P64" s="16"/>
      <c r="Q64" s="16"/>
      <c r="R64" s="16"/>
      <c r="S64" s="16"/>
      <c r="T64" s="79">
        <v>36</v>
      </c>
      <c r="U64" s="16"/>
      <c r="V64" s="16"/>
      <c r="W64" s="16"/>
      <c r="X64" s="16"/>
      <c r="Y64" s="16"/>
      <c r="Z64" s="16"/>
      <c r="AA64" t="s" s="96">
        <v>2917</v>
      </c>
      <c r="AB64" t="s" s="96">
        <v>8</v>
      </c>
      <c r="AC64" s="79">
        <v>1</v>
      </c>
      <c r="AD64" s="79">
        <v>1</v>
      </c>
      <c r="AE64" s="16"/>
      <c r="AF64" s="79">
        <v>1</v>
      </c>
      <c r="AG64" s="16"/>
      <c r="AH64" s="16"/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</row>
    <row r="65" ht="15.35" customHeight="1">
      <c r="A65" t="s" s="83">
        <v>2896</v>
      </c>
      <c r="B65" s="112">
        <v>1921</v>
      </c>
      <c r="C65" s="112">
        <v>10</v>
      </c>
      <c r="D65" t="s" s="83">
        <v>2897</v>
      </c>
      <c r="E65" s="74"/>
      <c r="F65" s="16"/>
      <c r="G65" t="s" s="96">
        <v>309</v>
      </c>
      <c r="H65" t="s" s="96">
        <v>429</v>
      </c>
      <c r="I65" s="79">
        <v>44</v>
      </c>
      <c r="J65" s="79">
        <v>1</v>
      </c>
      <c r="K65" s="16"/>
      <c r="L65" s="16"/>
      <c r="M65" s="16"/>
      <c r="N65" t="s" s="96">
        <v>72</v>
      </c>
      <c r="O65" s="79">
        <v>1</v>
      </c>
      <c r="P65" s="16"/>
      <c r="Q65" s="16"/>
      <c r="R65" s="16"/>
      <c r="S65" s="16"/>
      <c r="T65" s="79">
        <v>30</v>
      </c>
      <c r="U65" s="16"/>
      <c r="V65" s="16"/>
      <c r="W65" s="16"/>
      <c r="X65" s="16"/>
      <c r="Y65" s="16"/>
      <c r="Z65" s="16"/>
      <c r="AA65" t="s" s="96">
        <v>33</v>
      </c>
      <c r="AB65" t="s" s="96">
        <v>34</v>
      </c>
      <c r="AC65" s="16"/>
      <c r="AD65" s="16"/>
      <c r="AE65" s="16"/>
      <c r="AF65" s="79">
        <v>1</v>
      </c>
      <c r="AG65" s="16"/>
      <c r="AH65" s="16"/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</row>
    <row r="66" ht="15.35" customHeight="1">
      <c r="A66" t="s" s="83">
        <v>2896</v>
      </c>
      <c r="B66" s="112">
        <v>1921</v>
      </c>
      <c r="C66" s="112">
        <v>10</v>
      </c>
      <c r="D66" t="s" s="83">
        <v>2897</v>
      </c>
      <c r="E66" s="74"/>
      <c r="F66" s="16"/>
      <c r="G66" t="s" s="96">
        <v>309</v>
      </c>
      <c r="H66" t="s" s="96">
        <v>430</v>
      </c>
      <c r="I66" s="79">
        <v>45</v>
      </c>
      <c r="J66" t="s" s="96">
        <v>37</v>
      </c>
      <c r="K66" s="16"/>
      <c r="L66" s="16"/>
      <c r="M66" s="79">
        <v>1</v>
      </c>
      <c r="N66" t="s" s="96">
        <v>36</v>
      </c>
      <c r="O66" s="16"/>
      <c r="P66" s="16"/>
      <c r="Q66" s="79">
        <v>1</v>
      </c>
      <c r="R66" s="16"/>
      <c r="S66" s="16"/>
      <c r="T66" s="79">
        <v>6</v>
      </c>
      <c r="U66" s="16"/>
      <c r="V66" s="16"/>
      <c r="W66" s="16"/>
      <c r="X66" s="16"/>
      <c r="Y66" s="16"/>
      <c r="Z66" s="16"/>
      <c r="AA66" t="s" s="96">
        <v>34</v>
      </c>
      <c r="AB66" t="s" s="96">
        <v>34</v>
      </c>
      <c r="AC66" s="16"/>
      <c r="AD66" s="16"/>
      <c r="AE66" s="16"/>
      <c r="AF66" s="79">
        <v>1</v>
      </c>
      <c r="AG66" s="16"/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15.35" customHeight="1">
      <c r="A67" t="s" s="83">
        <v>2896</v>
      </c>
      <c r="B67" s="112">
        <v>1921</v>
      </c>
      <c r="C67" s="112">
        <v>10</v>
      </c>
      <c r="D67" t="s" s="83">
        <v>2897</v>
      </c>
      <c r="E67" s="74"/>
      <c r="F67" s="16"/>
      <c r="G67" t="s" s="96">
        <v>309</v>
      </c>
      <c r="H67" t="s" s="96">
        <v>431</v>
      </c>
      <c r="I67" s="79">
        <v>46</v>
      </c>
      <c r="J67" t="s" s="96">
        <v>12</v>
      </c>
      <c r="K67" s="16"/>
      <c r="L67" s="79">
        <v>1</v>
      </c>
      <c r="M67" s="16"/>
      <c r="N67" t="s" s="96">
        <v>78</v>
      </c>
      <c r="O67" s="16"/>
      <c r="P67" s="79">
        <v>1</v>
      </c>
      <c r="Q67" s="16"/>
      <c r="R67" s="16"/>
      <c r="S67" s="16"/>
      <c r="T67" s="79">
        <v>4</v>
      </c>
      <c r="U67" s="16"/>
      <c r="V67" s="16"/>
      <c r="W67" s="16"/>
      <c r="X67" s="16"/>
      <c r="Y67" s="16"/>
      <c r="Z67" s="16"/>
      <c r="AA67" t="s" s="96">
        <v>34</v>
      </c>
      <c r="AB67" t="s" s="96">
        <v>34</v>
      </c>
      <c r="AC67" s="16"/>
      <c r="AD67" s="16"/>
      <c r="AE67" s="16"/>
      <c r="AF67" s="79">
        <v>1</v>
      </c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15.35" customHeight="1">
      <c r="A68" t="s" s="83">
        <v>2896</v>
      </c>
      <c r="B68" s="112">
        <v>1921</v>
      </c>
      <c r="C68" s="112">
        <v>10</v>
      </c>
      <c r="D68" t="s" s="83">
        <v>2897</v>
      </c>
      <c r="E68" s="74"/>
      <c r="F68" s="16"/>
      <c r="G68" t="s" s="96">
        <v>309</v>
      </c>
      <c r="H68" t="s" s="96">
        <v>432</v>
      </c>
      <c r="I68" s="79">
        <v>47</v>
      </c>
      <c r="J68" t="s" s="96">
        <v>12</v>
      </c>
      <c r="K68" s="16"/>
      <c r="L68" s="79">
        <v>1</v>
      </c>
      <c r="M68" s="16"/>
      <c r="N68" t="s" s="96">
        <v>78</v>
      </c>
      <c r="O68" s="16"/>
      <c r="P68" s="79">
        <v>1</v>
      </c>
      <c r="Q68" s="16"/>
      <c r="R68" s="16"/>
      <c r="S68" s="16"/>
      <c r="T68" s="79">
        <v>1</v>
      </c>
      <c r="U68" s="16"/>
      <c r="V68" s="16"/>
      <c r="W68" s="16"/>
      <c r="X68" s="16"/>
      <c r="Y68" s="16"/>
      <c r="Z68" s="16"/>
      <c r="AA68" t="s" s="96">
        <v>34</v>
      </c>
      <c r="AB68" t="s" s="96">
        <v>34</v>
      </c>
      <c r="AC68" s="16"/>
      <c r="AD68" s="16"/>
      <c r="AE68" s="16"/>
      <c r="AF68" s="79">
        <v>1</v>
      </c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15.35" customHeight="1">
      <c r="A69" t="s" s="83">
        <v>2896</v>
      </c>
      <c r="B69" s="112">
        <v>1921</v>
      </c>
      <c r="C69" s="112">
        <v>10</v>
      </c>
      <c r="D69" t="s" s="83">
        <v>2897</v>
      </c>
      <c r="E69" s="74"/>
      <c r="F69" s="16"/>
      <c r="G69" t="s" s="96">
        <v>433</v>
      </c>
      <c r="H69" t="s" s="96">
        <v>434</v>
      </c>
      <c r="I69" s="79">
        <v>48</v>
      </c>
      <c r="J69" s="79">
        <v>1</v>
      </c>
      <c r="K69" s="16"/>
      <c r="L69" s="16"/>
      <c r="M69" s="16"/>
      <c r="N69" t="s" s="96">
        <v>11</v>
      </c>
      <c r="O69" s="16"/>
      <c r="P69" s="16"/>
      <c r="Q69" s="16"/>
      <c r="R69" s="16"/>
      <c r="S69" s="79">
        <v>1</v>
      </c>
      <c r="T69" s="79">
        <v>29</v>
      </c>
      <c r="U69" s="16"/>
      <c r="V69" s="16"/>
      <c r="W69" s="16"/>
      <c r="X69" s="16"/>
      <c r="Y69" s="16"/>
      <c r="Z69" s="16"/>
      <c r="AA69" t="s" s="96">
        <v>2918</v>
      </c>
      <c r="AB69" t="s" s="96">
        <v>34</v>
      </c>
      <c r="AC69" s="16"/>
      <c r="AD69" s="16"/>
      <c r="AE69" s="16"/>
      <c r="AF69" s="79">
        <v>1</v>
      </c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15.35" customHeight="1">
      <c r="A70" t="s" s="83">
        <v>2896</v>
      </c>
      <c r="B70" s="112">
        <v>1921</v>
      </c>
      <c r="C70" s="112">
        <v>10</v>
      </c>
      <c r="D70" t="s" s="83">
        <v>2897</v>
      </c>
      <c r="E70" s="74"/>
      <c r="F70" s="16"/>
      <c r="G70" t="s" s="96">
        <v>436</v>
      </c>
      <c r="H70" t="s" s="96">
        <v>437</v>
      </c>
      <c r="I70" s="79">
        <v>49</v>
      </c>
      <c r="J70" s="79">
        <v>1</v>
      </c>
      <c r="K70" s="16"/>
      <c r="L70" s="16"/>
      <c r="M70" s="16"/>
      <c r="N70" t="s" s="96">
        <v>11</v>
      </c>
      <c r="O70" s="16"/>
      <c r="P70" s="16"/>
      <c r="Q70" s="16"/>
      <c r="R70" s="16"/>
      <c r="S70" s="79">
        <v>1</v>
      </c>
      <c r="T70" s="79">
        <v>23</v>
      </c>
      <c r="U70" s="16"/>
      <c r="V70" s="16"/>
      <c r="W70" s="16"/>
      <c r="X70" s="16"/>
      <c r="Y70" s="16"/>
      <c r="Z70" s="16"/>
      <c r="AA70" t="s" s="96">
        <v>2919</v>
      </c>
      <c r="AB70" t="s" s="96">
        <v>34</v>
      </c>
      <c r="AC70" s="16"/>
      <c r="AD70" s="16"/>
      <c r="AE70" s="16"/>
      <c r="AF70" t="s" s="96">
        <v>34</v>
      </c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15.35" customHeight="1">
      <c r="A71" t="s" s="83">
        <v>2896</v>
      </c>
      <c r="B71" s="112">
        <v>1921</v>
      </c>
      <c r="C71" s="30"/>
      <c r="D71" t="s" s="83">
        <v>2897</v>
      </c>
      <c r="E71" s="74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15.35" customHeight="1">
      <c r="A72" t="s" s="83">
        <v>2896</v>
      </c>
      <c r="B72" s="112">
        <v>1921</v>
      </c>
      <c r="C72" s="30"/>
      <c r="D72" t="s" s="83">
        <v>2897</v>
      </c>
      <c r="E72" s="192"/>
      <c r="F72" s="3"/>
      <c r="G72" t="s" s="2">
        <v>1</v>
      </c>
      <c r="H72" t="s" s="2">
        <v>0</v>
      </c>
      <c r="I72" s="3"/>
      <c r="J72" t="s" s="2">
        <v>3</v>
      </c>
      <c r="K72" s="3"/>
      <c r="L72" s="3"/>
      <c r="M72" s="3"/>
      <c r="N72" t="s" s="2">
        <v>2</v>
      </c>
      <c r="O72" s="3"/>
      <c r="P72" s="3"/>
      <c r="Q72" s="3"/>
      <c r="R72" s="3"/>
      <c r="S72" s="3"/>
      <c r="T72" t="s" s="2">
        <v>5</v>
      </c>
      <c r="U72" s="3"/>
      <c r="V72" s="3"/>
      <c r="W72" s="3"/>
      <c r="X72" s="3"/>
      <c r="Y72" s="3"/>
      <c r="Z72" s="3"/>
      <c r="AA72" t="s" s="2">
        <v>7</v>
      </c>
      <c r="AB72" t="s" s="2">
        <v>8</v>
      </c>
      <c r="AC72" s="3"/>
      <c r="AD72" s="3"/>
      <c r="AE72" s="3"/>
      <c r="AF72" t="s" s="2">
        <v>6</v>
      </c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</row>
    <row r="73" ht="15.35" customHeight="1">
      <c r="A73" t="s" s="337">
        <v>2896</v>
      </c>
      <c r="B73" s="112">
        <v>1921</v>
      </c>
      <c r="C73" s="112">
        <v>11</v>
      </c>
      <c r="D73" t="s" s="337">
        <v>2897</v>
      </c>
      <c r="E73" s="195"/>
      <c r="F73" s="6">
        <v>10</v>
      </c>
      <c r="G73" t="s" s="5">
        <v>414</v>
      </c>
      <c r="H73" t="s" s="5">
        <v>369</v>
      </c>
      <c r="I73" s="6">
        <v>50</v>
      </c>
      <c r="J73" s="6">
        <v>1</v>
      </c>
      <c r="K73" s="13"/>
      <c r="L73" s="13"/>
      <c r="M73" s="13"/>
      <c r="N73" s="6">
        <v>1</v>
      </c>
      <c r="O73" s="13"/>
      <c r="P73" s="13"/>
      <c r="Q73" s="13"/>
      <c r="R73" s="13"/>
      <c r="S73" s="13"/>
      <c r="T73" s="6">
        <v>53</v>
      </c>
      <c r="U73" s="13"/>
      <c r="V73" s="13"/>
      <c r="W73" s="13"/>
      <c r="X73" s="13"/>
      <c r="Y73" s="13"/>
      <c r="Z73" s="13"/>
      <c r="AA73" t="s" s="5">
        <v>2911</v>
      </c>
      <c r="AB73" t="s" s="5">
        <v>34</v>
      </c>
      <c r="AC73" s="13"/>
      <c r="AD73" s="13"/>
      <c r="AE73" s="13"/>
      <c r="AF73" s="6">
        <v>1</v>
      </c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  <c r="AU73" s="13"/>
      <c r="AV73" s="13"/>
      <c r="AW73" s="13"/>
      <c r="AX73" s="13"/>
      <c r="AY73" s="13"/>
      <c r="AZ73" s="13"/>
      <c r="BA73" s="13"/>
      <c r="BB73" s="13"/>
      <c r="BC73" s="10"/>
    </row>
    <row r="74" ht="15.35" customHeight="1">
      <c r="A74" t="s" s="83">
        <v>2896</v>
      </c>
      <c r="B74" s="112">
        <v>1921</v>
      </c>
      <c r="C74" s="112">
        <v>11</v>
      </c>
      <c r="D74" t="s" s="83">
        <v>2897</v>
      </c>
      <c r="E74" s="200"/>
      <c r="F74" s="14"/>
      <c r="G74" t="s" s="285">
        <v>414</v>
      </c>
      <c r="H74" t="s" s="285">
        <v>259</v>
      </c>
      <c r="I74" s="264">
        <v>51</v>
      </c>
      <c r="J74" s="264">
        <v>1</v>
      </c>
      <c r="K74" s="14"/>
      <c r="L74" s="14"/>
      <c r="M74" s="14"/>
      <c r="N74" t="s" s="285">
        <v>246</v>
      </c>
      <c r="O74" s="14"/>
      <c r="P74" s="14"/>
      <c r="Q74" s="14"/>
      <c r="R74" s="264">
        <v>1</v>
      </c>
      <c r="S74" s="14"/>
      <c r="T74" s="264">
        <v>42</v>
      </c>
      <c r="U74" s="14"/>
      <c r="V74" s="14"/>
      <c r="W74" s="14"/>
      <c r="X74" s="14"/>
      <c r="Y74" s="14"/>
      <c r="Z74" s="14"/>
      <c r="AA74" t="s" s="285">
        <v>34</v>
      </c>
      <c r="AB74" t="s" s="285">
        <v>34</v>
      </c>
      <c r="AC74" s="14"/>
      <c r="AD74" s="14"/>
      <c r="AE74" s="14"/>
      <c r="AF74" s="264">
        <v>1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</row>
    <row r="75" ht="15.35" customHeight="1">
      <c r="A75" t="s" s="83">
        <v>2896</v>
      </c>
      <c r="B75" s="112">
        <v>1921</v>
      </c>
      <c r="C75" s="30"/>
      <c r="D75" t="s" s="83">
        <v>2897</v>
      </c>
      <c r="E75" s="131"/>
      <c r="F75" s="132"/>
      <c r="G75" s="16"/>
      <c r="H75" s="132"/>
      <c r="I75" s="16"/>
      <c r="J75" s="16"/>
      <c r="K75" s="16"/>
      <c r="L75" s="16"/>
      <c r="M75" s="16"/>
      <c r="N75" s="132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32"/>
      <c r="AC75" s="16"/>
      <c r="AD75" s="132"/>
      <c r="AE75" s="132"/>
      <c r="AF75" s="132"/>
      <c r="AG75" s="132"/>
      <c r="AH75" s="132"/>
      <c r="AI75" s="132"/>
      <c r="AJ75" s="132"/>
      <c r="AK75" s="132"/>
      <c r="AL75" s="132"/>
      <c r="AM75" s="132"/>
      <c r="AN75" s="132"/>
      <c r="AO75" s="132"/>
      <c r="AP75" s="132"/>
      <c r="AQ75" s="132"/>
      <c r="AR75" s="132"/>
      <c r="AS75" s="132"/>
      <c r="AT75" s="132"/>
      <c r="AU75" s="132"/>
      <c r="AV75" s="132"/>
      <c r="AW75" s="132"/>
      <c r="AX75" s="132"/>
      <c r="AY75" s="132"/>
      <c r="AZ75" s="16"/>
      <c r="BA75" s="16"/>
      <c r="BB75" s="16"/>
      <c r="BC75" s="16"/>
    </row>
    <row r="76" ht="17.5" customHeight="1">
      <c r="A76" t="s" s="83">
        <v>2896</v>
      </c>
      <c r="B76" s="112">
        <v>1921</v>
      </c>
      <c r="C76" s="30"/>
      <c r="D76" t="s" s="83">
        <v>2897</v>
      </c>
      <c r="E76" s="30"/>
      <c r="F76" s="30"/>
      <c r="G76" t="s" s="159">
        <v>440</v>
      </c>
      <c r="H76" t="s" s="83">
        <v>441</v>
      </c>
      <c r="I76" s="156">
        <v>52</v>
      </c>
      <c r="J76" t="s" s="96">
        <v>37</v>
      </c>
      <c r="K76" s="79">
        <v>1</v>
      </c>
      <c r="L76" s="16"/>
      <c r="M76" s="75"/>
      <c r="N76" s="112">
        <v>1</v>
      </c>
      <c r="O76" s="74"/>
      <c r="P76" s="16"/>
      <c r="Q76" s="16"/>
      <c r="R76" s="16"/>
      <c r="S76" s="16"/>
      <c r="T76" s="79">
        <v>36</v>
      </c>
      <c r="U76" s="16"/>
      <c r="V76" s="16"/>
      <c r="W76" s="16"/>
      <c r="X76" s="16"/>
      <c r="Y76" s="16"/>
      <c r="Z76" s="16"/>
      <c r="AA76" t="s" s="158">
        <v>2920</v>
      </c>
      <c r="AB76" t="s" s="83">
        <v>2921</v>
      </c>
      <c r="AC76" s="120">
        <v>1</v>
      </c>
      <c r="AD76" s="30"/>
      <c r="AE76" s="30"/>
      <c r="AF76" s="112">
        <v>1</v>
      </c>
      <c r="AG76" s="121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74"/>
      <c r="BA76" s="16"/>
      <c r="BB76" s="16"/>
      <c r="BC76" s="16"/>
    </row>
    <row r="77" ht="17.5" customHeight="1">
      <c r="A77" t="s" s="83">
        <v>2896</v>
      </c>
      <c r="B77" s="112">
        <v>1921</v>
      </c>
      <c r="C77" s="112">
        <v>12</v>
      </c>
      <c r="D77" t="s" s="83">
        <v>2897</v>
      </c>
      <c r="E77" s="30"/>
      <c r="F77" s="112">
        <v>12</v>
      </c>
      <c r="G77" t="s" s="159">
        <v>440</v>
      </c>
      <c r="H77" t="s" s="83">
        <v>360</v>
      </c>
      <c r="I77" s="156">
        <v>53</v>
      </c>
      <c r="J77" s="79">
        <v>1</v>
      </c>
      <c r="K77" s="16"/>
      <c r="L77" s="16"/>
      <c r="M77" s="75"/>
      <c r="N77" t="s" s="83">
        <v>72</v>
      </c>
      <c r="O77" s="156">
        <v>1</v>
      </c>
      <c r="P77" s="16"/>
      <c r="Q77" s="16"/>
      <c r="R77" s="16"/>
      <c r="S77" s="16"/>
      <c r="T77" s="79">
        <v>27</v>
      </c>
      <c r="U77" s="16"/>
      <c r="V77" s="16"/>
      <c r="W77" s="16"/>
      <c r="X77" s="16"/>
      <c r="Y77" s="16"/>
      <c r="Z77" s="16"/>
      <c r="AA77" t="s" s="158">
        <v>34</v>
      </c>
      <c r="AB77" t="s" s="83">
        <v>34</v>
      </c>
      <c r="AC77" s="122"/>
      <c r="AD77" s="30"/>
      <c r="AE77" s="30"/>
      <c r="AF77" s="112">
        <v>1</v>
      </c>
      <c r="AG77" s="121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74"/>
      <c r="BA77" s="16"/>
      <c r="BB77" s="16"/>
      <c r="BC77" s="16"/>
    </row>
    <row r="78" ht="17.5" customHeight="1">
      <c r="A78" t="s" s="83">
        <v>2896</v>
      </c>
      <c r="B78" s="112">
        <v>1921</v>
      </c>
      <c r="C78" s="112">
        <v>12</v>
      </c>
      <c r="D78" t="s" s="83">
        <v>2897</v>
      </c>
      <c r="E78" s="30"/>
      <c r="F78" s="30"/>
      <c r="G78" t="s" s="159">
        <v>440</v>
      </c>
      <c r="H78" t="s" s="83">
        <v>123</v>
      </c>
      <c r="I78" s="156">
        <v>54</v>
      </c>
      <c r="J78" s="79">
        <v>1</v>
      </c>
      <c r="K78" s="16"/>
      <c r="L78" s="16"/>
      <c r="M78" s="75"/>
      <c r="N78" t="s" s="83">
        <v>78</v>
      </c>
      <c r="O78" s="74"/>
      <c r="P78" s="79">
        <v>1</v>
      </c>
      <c r="Q78" s="16"/>
      <c r="R78" s="16"/>
      <c r="S78" s="16"/>
      <c r="T78" t="s" s="96">
        <v>34</v>
      </c>
      <c r="U78" s="16"/>
      <c r="V78" s="16"/>
      <c r="W78" s="16"/>
      <c r="X78" s="16"/>
      <c r="Y78" s="16"/>
      <c r="Z78" s="16"/>
      <c r="AA78" t="s" s="158">
        <v>34</v>
      </c>
      <c r="AB78" t="s" s="83">
        <v>34</v>
      </c>
      <c r="AC78" s="122"/>
      <c r="AD78" s="30"/>
      <c r="AE78" s="30"/>
      <c r="AF78" s="112">
        <v>1</v>
      </c>
      <c r="AG78" s="121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74"/>
      <c r="BA78" s="16"/>
      <c r="BB78" s="16"/>
      <c r="BC78" s="16"/>
    </row>
    <row r="79" ht="17.5" customHeight="1">
      <c r="A79" t="s" s="83">
        <v>2896</v>
      </c>
      <c r="B79" s="112">
        <v>1921</v>
      </c>
      <c r="C79" s="112">
        <v>12</v>
      </c>
      <c r="D79" t="s" s="83">
        <v>2897</v>
      </c>
      <c r="E79" s="30"/>
      <c r="F79" s="30"/>
      <c r="G79" t="s" s="159">
        <v>443</v>
      </c>
      <c r="H79" t="s" s="83">
        <v>259</v>
      </c>
      <c r="I79" s="156">
        <v>55</v>
      </c>
      <c r="J79" s="79">
        <v>1</v>
      </c>
      <c r="K79" s="16"/>
      <c r="L79" s="16"/>
      <c r="M79" s="75"/>
      <c r="N79" t="s" s="83">
        <v>11</v>
      </c>
      <c r="O79" s="74"/>
      <c r="P79" s="16"/>
      <c r="Q79" s="16"/>
      <c r="R79" s="16"/>
      <c r="S79" s="79">
        <v>1</v>
      </c>
      <c r="T79" s="79">
        <v>32</v>
      </c>
      <c r="U79" s="16"/>
      <c r="V79" s="16"/>
      <c r="W79" s="16"/>
      <c r="X79" s="16"/>
      <c r="Y79" s="16"/>
      <c r="Z79" s="16"/>
      <c r="AA79" t="s" s="158">
        <v>55</v>
      </c>
      <c r="AB79" t="s" s="83">
        <v>15</v>
      </c>
      <c r="AC79" s="120">
        <v>1</v>
      </c>
      <c r="AD79" s="30"/>
      <c r="AE79" s="30"/>
      <c r="AF79" t="s" s="83">
        <v>2922</v>
      </c>
      <c r="AG79" s="121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74"/>
      <c r="BA79" s="16"/>
      <c r="BB79" s="16"/>
      <c r="BC79" s="16"/>
    </row>
    <row r="80" ht="17.5" customHeight="1">
      <c r="A80" t="s" s="83">
        <v>2896</v>
      </c>
      <c r="B80" s="112">
        <v>1921</v>
      </c>
      <c r="C80" s="112">
        <v>12</v>
      </c>
      <c r="D80" t="s" s="83">
        <v>2897</v>
      </c>
      <c r="E80" s="30"/>
      <c r="F80" s="30"/>
      <c r="G80" t="s" s="159">
        <v>445</v>
      </c>
      <c r="H80" t="s" s="83">
        <v>446</v>
      </c>
      <c r="I80" s="156">
        <v>56</v>
      </c>
      <c r="J80" s="79">
        <v>1</v>
      </c>
      <c r="K80" s="16"/>
      <c r="L80" s="16"/>
      <c r="M80" s="75"/>
      <c r="N80" t="s" s="83">
        <v>1070</v>
      </c>
      <c r="O80" s="74"/>
      <c r="P80" s="16"/>
      <c r="Q80" s="16"/>
      <c r="R80" s="16"/>
      <c r="S80" s="79">
        <v>1</v>
      </c>
      <c r="T80" s="79">
        <v>33</v>
      </c>
      <c r="U80" s="16"/>
      <c r="V80" s="16"/>
      <c r="W80" s="16"/>
      <c r="X80" s="16"/>
      <c r="Y80" s="16"/>
      <c r="Z80" s="16"/>
      <c r="AA80" t="s" s="158">
        <v>2923</v>
      </c>
      <c r="AB80" t="s" s="83">
        <v>2924</v>
      </c>
      <c r="AC80" s="120">
        <v>1</v>
      </c>
      <c r="AD80" s="30"/>
      <c r="AE80" s="30"/>
      <c r="AF80" t="s" s="83">
        <v>34</v>
      </c>
      <c r="AG80" s="121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74"/>
      <c r="BA80" s="16"/>
      <c r="BB80" s="16"/>
      <c r="BC80" s="16"/>
    </row>
    <row r="81" ht="17.5" customHeight="1">
      <c r="A81" t="s" s="83">
        <v>2896</v>
      </c>
      <c r="B81" s="112">
        <v>1921</v>
      </c>
      <c r="C81" s="112">
        <v>12</v>
      </c>
      <c r="D81" t="s" s="83">
        <v>2897</v>
      </c>
      <c r="E81" s="30"/>
      <c r="F81" s="30"/>
      <c r="G81" t="s" s="159">
        <v>449</v>
      </c>
      <c r="H81" t="s" s="83">
        <v>231</v>
      </c>
      <c r="I81" s="156">
        <v>57</v>
      </c>
      <c r="J81" s="79">
        <v>1</v>
      </c>
      <c r="K81" s="16"/>
      <c r="L81" s="16"/>
      <c r="M81" s="75"/>
      <c r="N81" t="s" s="83">
        <v>45</v>
      </c>
      <c r="O81" s="74"/>
      <c r="P81" s="16"/>
      <c r="Q81" s="16"/>
      <c r="R81" s="16"/>
      <c r="S81" s="79">
        <v>1</v>
      </c>
      <c r="T81" s="79">
        <v>38</v>
      </c>
      <c r="U81" s="16"/>
      <c r="V81" s="16"/>
      <c r="W81" s="16"/>
      <c r="X81" s="16"/>
      <c r="Y81" s="16"/>
      <c r="Z81" s="16"/>
      <c r="AA81" t="s" s="158">
        <v>45</v>
      </c>
      <c r="AB81" t="s" s="83">
        <v>15</v>
      </c>
      <c r="AC81" s="120">
        <v>1</v>
      </c>
      <c r="AD81" s="30"/>
      <c r="AE81" s="30"/>
      <c r="AF81" t="s" s="83">
        <v>118</v>
      </c>
      <c r="AG81" s="121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74"/>
      <c r="BA81" s="16"/>
      <c r="BB81" s="16"/>
      <c r="BC81" s="16"/>
    </row>
    <row r="82" ht="15.35" customHeight="1">
      <c r="A82" t="s" s="83">
        <v>2896</v>
      </c>
      <c r="B82" s="112">
        <v>1921</v>
      </c>
      <c r="C82" s="30"/>
      <c r="D82" t="s" s="83">
        <v>2897</v>
      </c>
      <c r="E82" s="116"/>
      <c r="F82" s="62"/>
      <c r="G82" s="16"/>
      <c r="H82" s="62"/>
      <c r="I82" s="16"/>
      <c r="J82" s="16"/>
      <c r="K82" s="16"/>
      <c r="L82" s="16"/>
      <c r="M82" s="16"/>
      <c r="N82" s="62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62"/>
      <c r="AC82" s="16"/>
      <c r="AD82" s="62"/>
      <c r="AE82" s="62"/>
      <c r="AF82" s="62"/>
      <c r="AG82" s="62"/>
      <c r="AH82" s="62"/>
      <c r="AI82" s="62"/>
      <c r="AJ82" s="62"/>
      <c r="AK82" s="62"/>
      <c r="AL82" s="62"/>
      <c r="AM82" s="62"/>
      <c r="AN82" s="62"/>
      <c r="AO82" s="62"/>
      <c r="AP82" s="62"/>
      <c r="AQ82" s="62"/>
      <c r="AR82" s="62"/>
      <c r="AS82" s="62"/>
      <c r="AT82" s="62"/>
      <c r="AU82" s="62"/>
      <c r="AV82" s="62"/>
      <c r="AW82" s="62"/>
      <c r="AX82" s="62"/>
      <c r="AY82" s="62"/>
      <c r="AZ82" s="16"/>
      <c r="BA82" s="16"/>
      <c r="BB82" s="16"/>
      <c r="BC82" s="16"/>
    </row>
    <row r="83" ht="15.35" customHeight="1">
      <c r="A83" t="s" s="83">
        <v>2896</v>
      </c>
      <c r="B83" s="112">
        <v>1921</v>
      </c>
      <c r="C83" s="30"/>
      <c r="D83" t="s" s="83">
        <v>2897</v>
      </c>
      <c r="E83" s="192"/>
      <c r="F83" s="3"/>
      <c r="G83" t="s" s="2">
        <v>1</v>
      </c>
      <c r="H83" t="s" s="2">
        <v>0</v>
      </c>
      <c r="I83" s="3"/>
      <c r="J83" t="s" s="2">
        <v>3</v>
      </c>
      <c r="K83" s="3"/>
      <c r="L83" s="3"/>
      <c r="M83" s="3"/>
      <c r="N83" t="s" s="2">
        <v>2</v>
      </c>
      <c r="O83" s="3"/>
      <c r="P83" s="3"/>
      <c r="Q83" s="3"/>
      <c r="R83" s="3"/>
      <c r="S83" s="3"/>
      <c r="T83" t="s" s="2">
        <v>5</v>
      </c>
      <c r="U83" s="3"/>
      <c r="V83" s="3"/>
      <c r="W83" s="3"/>
      <c r="X83" s="3"/>
      <c r="Y83" s="3"/>
      <c r="Z83" s="3"/>
      <c r="AA83" t="s" s="2">
        <v>7</v>
      </c>
      <c r="AB83" t="s" s="2">
        <v>8</v>
      </c>
      <c r="AC83" s="3"/>
      <c r="AD83" s="3"/>
      <c r="AE83" s="3"/>
      <c r="AF83" t="s" s="2">
        <v>6</v>
      </c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</row>
    <row r="84" ht="15.35" customHeight="1">
      <c r="A84" t="s" s="83">
        <v>2896</v>
      </c>
      <c r="B84" s="112">
        <v>1921</v>
      </c>
      <c r="C84" s="112">
        <v>13</v>
      </c>
      <c r="D84" t="s" s="83">
        <v>2897</v>
      </c>
      <c r="E84" s="195"/>
      <c r="F84" s="6">
        <v>14</v>
      </c>
      <c r="G84" t="s" s="5">
        <v>416</v>
      </c>
      <c r="H84" t="s" s="5">
        <v>417</v>
      </c>
      <c r="I84" s="6">
        <v>58</v>
      </c>
      <c r="J84" s="6">
        <v>1</v>
      </c>
      <c r="K84" s="13"/>
      <c r="L84" s="13"/>
      <c r="M84" s="13"/>
      <c r="N84" s="6">
        <v>1</v>
      </c>
      <c r="O84" s="13"/>
      <c r="P84" s="13"/>
      <c r="Q84" s="13"/>
      <c r="R84" s="13"/>
      <c r="S84" s="13"/>
      <c r="T84" s="6">
        <v>47</v>
      </c>
      <c r="U84" s="13"/>
      <c r="V84" s="13"/>
      <c r="W84" s="13"/>
      <c r="X84" s="13"/>
      <c r="Y84" s="13"/>
      <c r="Z84" s="13"/>
      <c r="AA84" t="s" s="5">
        <v>34</v>
      </c>
      <c r="AB84" t="s" s="5">
        <v>34</v>
      </c>
      <c r="AC84" s="13"/>
      <c r="AD84" s="13"/>
      <c r="AE84" s="13"/>
      <c r="AF84" s="6">
        <v>1</v>
      </c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  <c r="AU84" s="13"/>
      <c r="AV84" s="13"/>
      <c r="AW84" s="13"/>
      <c r="AX84" s="13"/>
      <c r="AY84" s="13"/>
      <c r="AZ84" s="13"/>
      <c r="BA84" s="13"/>
      <c r="BB84" s="13"/>
      <c r="BC84" s="10"/>
    </row>
    <row r="85" ht="15.35" customHeight="1">
      <c r="A85" t="s" s="83">
        <v>2896</v>
      </c>
      <c r="B85" s="112">
        <v>1921</v>
      </c>
      <c r="C85" s="112">
        <v>13</v>
      </c>
      <c r="D85" t="s" s="83">
        <v>2897</v>
      </c>
      <c r="E85" s="200"/>
      <c r="F85" s="14"/>
      <c r="G85" t="s" s="285">
        <v>416</v>
      </c>
      <c r="H85" t="s" s="285">
        <v>418</v>
      </c>
      <c r="I85" s="264">
        <v>59</v>
      </c>
      <c r="J85" t="s" s="285">
        <v>37</v>
      </c>
      <c r="K85" s="264">
        <v>1</v>
      </c>
      <c r="L85" s="14"/>
      <c r="M85" s="14"/>
      <c r="N85" t="s" s="285">
        <v>36</v>
      </c>
      <c r="O85" s="14"/>
      <c r="P85" s="14"/>
      <c r="Q85" s="264">
        <v>1</v>
      </c>
      <c r="R85" s="14"/>
      <c r="S85" s="14"/>
      <c r="T85" s="264">
        <v>29</v>
      </c>
      <c r="U85" s="14"/>
      <c r="V85" s="14"/>
      <c r="W85" s="14"/>
      <c r="X85" s="14"/>
      <c r="Y85" s="14"/>
      <c r="Z85" s="14"/>
      <c r="AA85" t="s" s="285">
        <v>1986</v>
      </c>
      <c r="AB85" t="s" s="285">
        <v>2925</v>
      </c>
      <c r="AC85" s="264">
        <v>1</v>
      </c>
      <c r="AD85" s="14"/>
      <c r="AE85" s="14"/>
      <c r="AF85" s="264">
        <v>1</v>
      </c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</row>
    <row r="86" ht="15.35" customHeight="1">
      <c r="A86" t="s" s="83">
        <v>2896</v>
      </c>
      <c r="B86" s="112">
        <v>1921</v>
      </c>
      <c r="C86" s="112">
        <v>13</v>
      </c>
      <c r="D86" t="s" s="83">
        <v>2897</v>
      </c>
      <c r="E86" s="74"/>
      <c r="F86" s="16"/>
      <c r="G86" t="s" s="96">
        <v>422</v>
      </c>
      <c r="H86" t="s" s="96">
        <v>423</v>
      </c>
      <c r="I86" s="79">
        <v>60</v>
      </c>
      <c r="J86" s="79">
        <v>1</v>
      </c>
      <c r="K86" s="16"/>
      <c r="L86" s="16"/>
      <c r="M86" s="16"/>
      <c r="N86" t="s" s="96">
        <v>163</v>
      </c>
      <c r="O86" s="16"/>
      <c r="P86" s="16"/>
      <c r="Q86" s="16"/>
      <c r="R86" s="16"/>
      <c r="S86" s="79">
        <v>1</v>
      </c>
      <c r="T86" s="79">
        <v>56</v>
      </c>
      <c r="U86" s="16"/>
      <c r="V86" s="16"/>
      <c r="W86" s="16"/>
      <c r="X86" s="16"/>
      <c r="Y86" s="16"/>
      <c r="Z86" s="16"/>
      <c r="AA86" t="s" s="96">
        <v>15</v>
      </c>
      <c r="AB86" t="s" s="96">
        <v>34</v>
      </c>
      <c r="AC86" s="16"/>
      <c r="AD86" s="16"/>
      <c r="AE86" s="16"/>
      <c r="AF86" t="s" s="96">
        <v>926</v>
      </c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5.35" customHeight="1">
      <c r="A87" t="s" s="83">
        <v>2896</v>
      </c>
      <c r="B87" s="112">
        <v>1921</v>
      </c>
      <c r="C87" s="112">
        <v>13</v>
      </c>
      <c r="D87" t="s" s="83">
        <v>2897</v>
      </c>
      <c r="E87" s="74"/>
      <c r="F87" s="16"/>
      <c r="G87" s="16"/>
      <c r="H87" s="16"/>
      <c r="I87" s="79">
        <v>60</v>
      </c>
      <c r="J87" s="79" cm="1">
        <f t="array" ref="J87">SUM(J3:J86)</f>
        <v>41</v>
      </c>
      <c r="K87" s="79" cm="1">
        <f t="array" ref="K87">SUM(K3:K86)</f>
        <v>12</v>
      </c>
      <c r="L87" s="79" cm="1">
        <f t="array" ref="L87">SUM(L3:L86)</f>
        <v>6</v>
      </c>
      <c r="M87" s="79" cm="1">
        <f t="array" ref="M87">SUM(M3:M86)</f>
        <v>1</v>
      </c>
      <c r="N87" s="79" cm="1">
        <f t="array" ref="N87">SUM(N3:N86)</f>
        <v>12</v>
      </c>
      <c r="O87" s="79" cm="1">
        <f t="array" ref="O87">SUM(O3:O86)</f>
        <v>6</v>
      </c>
      <c r="P87" s="79" cm="1">
        <f t="array" ref="P87">SUM(P3:P86)</f>
        <v>8</v>
      </c>
      <c r="Q87" s="79" cm="1">
        <f t="array" ref="Q87">SUM(Q3:Q86)</f>
        <v>3</v>
      </c>
      <c r="R87" s="79" cm="1">
        <f t="array" ref="R87">SUM(R3:R86)</f>
        <v>8</v>
      </c>
      <c r="S87" s="79" cm="1">
        <f t="array" ref="S87">SUM(S3:S86)</f>
        <v>23</v>
      </c>
      <c r="T87" s="79" cm="1">
        <f t="array" ref="T87">SUM(T3:T86)</f>
        <v>1979</v>
      </c>
      <c r="U87" s="79" cm="1">
        <f t="array" ref="U87">SUM(U3:U86)</f>
        <v>0</v>
      </c>
      <c r="V87" s="79" cm="1">
        <f t="array" ref="V87">SUM(V3:V86)</f>
        <v>0</v>
      </c>
      <c r="W87" s="79" cm="1">
        <f t="array" ref="W87">SUM(W3:W86)</f>
        <v>0</v>
      </c>
      <c r="X87" s="79" cm="1">
        <f t="array" ref="X87">SUM(X3:X86)</f>
        <v>0</v>
      </c>
      <c r="Y87" s="79" cm="1">
        <f t="array" ref="Y87">SUM(Y3:Y86)</f>
        <v>0</v>
      </c>
      <c r="Z87" s="79" cm="1">
        <f t="array" ref="Z87">SUM(Z3:Z86)</f>
        <v>0</v>
      </c>
      <c r="AA87" s="79" cm="1">
        <f t="array" ref="AA87">SUM(AA3:AA86)</f>
        <v>0</v>
      </c>
      <c r="AB87" s="79" cm="1">
        <f t="array" ref="AB87">SUM(AB3:AB86)</f>
        <v>0</v>
      </c>
      <c r="AC87" s="79" cm="1">
        <f t="array" ref="AC87">SUM(AC3:AC86)</f>
        <v>31</v>
      </c>
      <c r="AD87" s="79" cm="1">
        <f t="array" ref="AD87">SUM(AD3:AD86)</f>
        <v>9</v>
      </c>
      <c r="AE87" s="79" cm="1">
        <f t="array" ref="AE87">AC87-AD87</f>
        <v>22</v>
      </c>
      <c r="AF87" s="79" cm="1">
        <f t="array" ref="AF87">SUM(AF3:AF86)</f>
        <v>32</v>
      </c>
      <c r="AG87" s="79" cm="1">
        <f t="array" ref="AG87">N88-AF87</f>
        <v>28</v>
      </c>
      <c r="AH87" s="79" cm="1">
        <f t="array" ref="AH87">SUM(AH3:AH86)</f>
        <v>0</v>
      </c>
      <c r="AI87" s="79" cm="1">
        <f t="array" ref="AI87">SUM(AI3:AI86)</f>
        <v>0</v>
      </c>
      <c r="AJ87" s="79" cm="1">
        <f t="array" ref="AJ87">SUM(AJ3:AJ86)</f>
        <v>0</v>
      </c>
      <c r="AK87" s="79" cm="1">
        <f t="array" ref="AK87">SUM(AK3:AK86)</f>
        <v>0</v>
      </c>
      <c r="AL87" s="79" cm="1">
        <f t="array" ref="AL87">SUM(AL3:AL86)</f>
        <v>0</v>
      </c>
      <c r="AM87" s="79" cm="1">
        <f t="array" ref="AM87">SUM(AM3:AM86)</f>
        <v>0</v>
      </c>
      <c r="AN87" s="79" cm="1">
        <f t="array" ref="AN87">SUM(AN3:AN86)</f>
        <v>0</v>
      </c>
      <c r="AO87" s="79" cm="1">
        <f t="array" ref="AO87">SUM(AO3:AO86)</f>
        <v>0</v>
      </c>
      <c r="AP87" s="79" cm="1">
        <f t="array" ref="AP87">SUM(AP3:AP86)</f>
        <v>0</v>
      </c>
      <c r="AQ87" s="79" cm="1">
        <f t="array" ref="AQ87">SUM(AQ3:AQ86)</f>
        <v>0</v>
      </c>
      <c r="AR87" s="79" cm="1">
        <f t="array" ref="AR87">SUM(AR3:AR86)</f>
        <v>0</v>
      </c>
      <c r="AS87" s="79" cm="1">
        <f t="array" ref="AS87">SUM(AS3:AS86)</f>
        <v>0</v>
      </c>
      <c r="AT87" s="79" cm="1">
        <f t="array" ref="AT87">SUM(AT3:AT86)</f>
        <v>0</v>
      </c>
      <c r="AU87" s="79" cm="1">
        <f t="array" ref="AU87">SUM(AU3:AU86)</f>
        <v>0</v>
      </c>
      <c r="AV87" s="16"/>
      <c r="AW87" s="16"/>
      <c r="AX87" s="16"/>
      <c r="AY87" s="16"/>
      <c r="AZ87" s="16"/>
      <c r="BA87" s="16"/>
      <c r="BB87" s="16"/>
      <c r="BC87" s="16"/>
    </row>
    <row r="88" ht="15.35" customHeight="1">
      <c r="A88" t="s" s="83">
        <v>2896</v>
      </c>
      <c r="B88" s="112">
        <v>1921</v>
      </c>
      <c r="C88" s="112">
        <v>13</v>
      </c>
      <c r="D88" t="s" s="83">
        <v>2897</v>
      </c>
      <c r="E88" s="74"/>
      <c r="F88" s="16"/>
      <c r="G88" s="16"/>
      <c r="H88" s="16"/>
      <c r="I88" s="16"/>
      <c r="J88" s="79" cm="1">
        <f t="array" ref="J88">SUM(J87:M87)</f>
        <v>60</v>
      </c>
      <c r="K88" s="16"/>
      <c r="L88" s="16"/>
      <c r="M88" s="16"/>
      <c r="N88" s="79" cm="1">
        <f t="array" ref="N88">SUM(N87:S87)</f>
        <v>60</v>
      </c>
      <c r="O88" s="16"/>
      <c r="P88" s="16"/>
      <c r="Q88" s="16"/>
      <c r="R88" s="16"/>
      <c r="S88" s="16"/>
      <c r="T88" s="99" cm="1">
        <f t="array" ref="T88">T87/N88</f>
        <v>32.9833333333333</v>
      </c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15.35" customHeight="1">
      <c r="A89" s="62"/>
      <c r="B89" s="62"/>
      <c r="C89" s="62"/>
      <c r="D89" s="62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15.35" customHeight="1">
      <c r="A90" s="16"/>
      <c r="B90" s="16"/>
      <c r="C90" s="132"/>
      <c r="D90" s="132"/>
      <c r="E90" s="132"/>
      <c r="F90" s="132"/>
      <c r="G90" s="132"/>
      <c r="H90" s="132"/>
      <c r="I90" s="16"/>
      <c r="J90" s="16"/>
      <c r="K90" s="16"/>
      <c r="L90" s="16"/>
      <c r="M90" s="16"/>
      <c r="N90" s="132"/>
      <c r="O90" s="16"/>
      <c r="P90" s="132"/>
      <c r="Q90" s="16"/>
      <c r="R90" s="16"/>
      <c r="S90" s="16"/>
      <c r="T90" s="132"/>
      <c r="U90" s="16"/>
      <c r="V90" s="16"/>
      <c r="W90" s="16"/>
      <c r="X90" s="132"/>
      <c r="Y90" s="132"/>
      <c r="Z90" s="132"/>
      <c r="AA90" s="132"/>
      <c r="AB90" s="132"/>
      <c r="AC90" s="132"/>
      <c r="AD90" s="132"/>
      <c r="AE90" s="132"/>
      <c r="AF90" s="132"/>
      <c r="AG90" s="132"/>
      <c r="AH90" s="132"/>
      <c r="AI90" s="132"/>
      <c r="AJ90" s="132"/>
      <c r="AK90" s="132"/>
      <c r="AL90" s="132"/>
      <c r="AM90" s="132"/>
      <c r="AN90" s="132"/>
      <c r="AO90" s="132"/>
      <c r="AP90" s="132"/>
      <c r="AQ90" s="132"/>
      <c r="AR90" s="132"/>
      <c r="AS90" s="132"/>
      <c r="AT90" s="132"/>
      <c r="AU90" s="132"/>
      <c r="AV90" s="132"/>
      <c r="AW90" s="132"/>
      <c r="AX90" s="132"/>
      <c r="AY90" s="132"/>
      <c r="AZ90" s="16"/>
      <c r="BA90" s="16"/>
      <c r="BB90" s="16"/>
      <c r="BC90" s="16"/>
    </row>
    <row r="91" ht="19" customHeight="1">
      <c r="A91" s="141"/>
      <c r="B91" s="141"/>
      <c r="C91" s="30"/>
      <c r="D91" s="30"/>
      <c r="E91" s="30"/>
      <c r="F91" s="29"/>
      <c r="G91" s="29"/>
      <c r="H91" s="29"/>
      <c r="I91" s="122"/>
      <c r="J91" s="417"/>
      <c r="K91" s="74"/>
      <c r="L91" s="16"/>
      <c r="M91" s="75"/>
      <c r="N91" s="29"/>
      <c r="O91" s="122"/>
      <c r="P91" s="29"/>
      <c r="Q91" s="441"/>
      <c r="R91" s="16"/>
      <c r="S91" s="75"/>
      <c r="T91" s="29"/>
      <c r="U91" s="74"/>
      <c r="V91" s="16"/>
      <c r="W91" s="75"/>
      <c r="X91" s="29"/>
      <c r="Y91" s="29"/>
      <c r="Z91" s="29"/>
      <c r="AA91" s="29"/>
      <c r="AB91" s="29"/>
      <c r="AC91" s="29"/>
      <c r="AD91" s="29"/>
      <c r="AE91" s="30"/>
      <c r="AF91" s="30"/>
      <c r="AG91" s="29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74"/>
      <c r="BA91" s="16"/>
      <c r="BB91" s="16"/>
      <c r="BC91" s="16"/>
    </row>
    <row r="92" ht="17" customHeight="1">
      <c r="A92" s="30"/>
      <c r="B92" s="30"/>
      <c r="C92" s="30"/>
      <c r="D92" s="30"/>
      <c r="E92" s="30"/>
      <c r="F92" s="30"/>
      <c r="G92" s="30"/>
      <c r="H92" s="30"/>
      <c r="I92" s="122"/>
      <c r="J92" s="30"/>
      <c r="K92" s="74"/>
      <c r="L92" s="16"/>
      <c r="M92" s="75"/>
      <c r="N92" s="30"/>
      <c r="O92" s="122"/>
      <c r="P92" s="30"/>
      <c r="Q92" s="74"/>
      <c r="R92" s="16"/>
      <c r="S92" s="75"/>
      <c r="T92" s="30"/>
      <c r="U92" s="74"/>
      <c r="V92" s="16"/>
      <c r="W92" s="75"/>
      <c r="X92" s="112" cm="1">
        <f t="array" ref="X92">SUM(X91:X91)</f>
        <v>0</v>
      </c>
      <c r="Y92" s="112" cm="1">
        <f t="array" ref="Y92">SUM(Y91:Y91)</f>
        <v>0</v>
      </c>
      <c r="Z92" s="112" cm="1">
        <f t="array" ref="Z92">SUM(Z91:Z91)</f>
        <v>0</v>
      </c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74"/>
      <c r="BA92" s="16"/>
      <c r="BB92" s="16"/>
      <c r="BC92" s="16"/>
    </row>
    <row r="93" ht="17.5" customHeight="1">
      <c r="A93" s="30"/>
      <c r="B93" s="30"/>
      <c r="C93" s="30"/>
      <c r="D93" s="30"/>
      <c r="E93" s="30"/>
      <c r="F93" s="30"/>
      <c r="G93" s="30"/>
      <c r="H93" s="30"/>
      <c r="I93" s="122"/>
      <c r="J93" s="30"/>
      <c r="K93" s="74"/>
      <c r="L93" s="16"/>
      <c r="M93" s="75"/>
      <c r="N93" s="30"/>
      <c r="O93" s="122"/>
      <c r="P93" s="30"/>
      <c r="Q93" s="74"/>
      <c r="R93" s="16"/>
      <c r="S93" s="75"/>
      <c r="T93" s="121"/>
      <c r="U93" s="74"/>
      <c r="V93" s="16"/>
      <c r="W93" s="75"/>
      <c r="X93" s="30"/>
      <c r="Y93" s="30"/>
      <c r="Z93" s="30"/>
      <c r="AA93" s="121"/>
      <c r="AB93" s="121"/>
      <c r="AC93" s="30"/>
      <c r="AD93" s="30"/>
      <c r="AE93" s="30"/>
      <c r="AF93" s="30"/>
      <c r="AG93" s="121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74"/>
      <c r="BA93" s="16"/>
      <c r="BB93" s="16"/>
      <c r="BC93" s="16"/>
    </row>
    <row r="94" ht="17.5" customHeight="1">
      <c r="A94" s="30"/>
      <c r="B94" s="30"/>
      <c r="C94" s="30"/>
      <c r="D94" s="30"/>
      <c r="E94" s="30"/>
      <c r="F94" s="30"/>
      <c r="G94" s="30"/>
      <c r="H94" s="30"/>
      <c r="I94" s="122"/>
      <c r="J94" s="30"/>
      <c r="K94" s="74"/>
      <c r="L94" s="16"/>
      <c r="M94" s="75"/>
      <c r="N94" s="30"/>
      <c r="O94" s="122"/>
      <c r="P94" s="30"/>
      <c r="Q94" s="74"/>
      <c r="R94" s="16"/>
      <c r="S94" s="75"/>
      <c r="T94" s="121"/>
      <c r="U94" s="74"/>
      <c r="V94" s="16"/>
      <c r="W94" s="75"/>
      <c r="X94" s="30"/>
      <c r="Y94" s="30"/>
      <c r="Z94" s="30"/>
      <c r="AA94" s="121"/>
      <c r="AB94" s="121"/>
      <c r="AC94" s="30"/>
      <c r="AD94" s="30"/>
      <c r="AE94" s="30"/>
      <c r="AF94" s="30"/>
      <c r="AG94" s="121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74"/>
      <c r="BA94" s="16"/>
      <c r="BB94" s="16"/>
      <c r="BC94" s="16"/>
    </row>
    <row r="95" ht="17.5" customHeight="1">
      <c r="A95" s="30"/>
      <c r="B95" s="30"/>
      <c r="C95" s="30"/>
      <c r="D95" s="30"/>
      <c r="E95" s="124"/>
      <c r="F95" s="28"/>
      <c r="G95" s="28"/>
      <c r="H95" s="28"/>
      <c r="I95" s="122"/>
      <c r="J95" s="125"/>
      <c r="K95" s="74"/>
      <c r="L95" s="16"/>
      <c r="M95" s="75"/>
      <c r="N95" s="28"/>
      <c r="O95" s="122"/>
      <c r="P95" s="28"/>
      <c r="Q95" s="74"/>
      <c r="R95" s="16"/>
      <c r="S95" s="75"/>
      <c r="T95" s="28"/>
      <c r="U95" s="74"/>
      <c r="V95" s="16"/>
      <c r="W95" s="75"/>
      <c r="X95" s="28"/>
      <c r="Y95" s="28"/>
      <c r="Z95" s="28"/>
      <c r="AA95" s="28"/>
      <c r="AB95" s="28"/>
      <c r="AC95" s="28"/>
      <c r="AD95" s="28"/>
      <c r="AE95" s="30"/>
      <c r="AF95" s="30"/>
      <c r="AG95" s="28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74"/>
      <c r="BA95" s="16"/>
      <c r="BB95" s="16"/>
      <c r="BC95" s="16"/>
    </row>
    <row r="96" ht="28" customHeight="1">
      <c r="A96" s="30"/>
      <c r="B96" s="30"/>
      <c r="C96" s="30"/>
      <c r="D96" s="30"/>
      <c r="E96" s="124"/>
      <c r="F96" s="28"/>
      <c r="G96" s="28"/>
      <c r="H96" s="28"/>
      <c r="I96" s="131"/>
      <c r="J96" s="297"/>
      <c r="K96" s="132"/>
      <c r="L96" s="132"/>
      <c r="M96" s="133"/>
      <c r="N96" s="163"/>
      <c r="O96" s="132"/>
      <c r="P96" s="165"/>
      <c r="Q96" s="131"/>
      <c r="R96" s="132"/>
      <c r="S96" s="133"/>
      <c r="T96" s="28"/>
      <c r="U96" s="131"/>
      <c r="V96" s="132"/>
      <c r="W96" s="133"/>
      <c r="X96" s="28"/>
      <c r="Y96" s="28"/>
      <c r="Z96" s="28"/>
      <c r="AA96" s="28"/>
      <c r="AB96" s="28"/>
      <c r="AC96" s="28"/>
      <c r="AD96" s="124"/>
      <c r="AE96" s="30"/>
      <c r="AF96" s="30"/>
      <c r="AG96" s="28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74"/>
      <c r="BA96" s="16"/>
      <c r="BB96" s="16"/>
      <c r="BC96" s="16"/>
    </row>
    <row r="97" ht="17.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112" cm="1">
        <f t="array" ref="U97">SUM(U91:U96)</f>
        <v>0</v>
      </c>
      <c r="V97" s="112" cm="1">
        <f t="array" ref="V97">SUM(V91:V96)</f>
        <v>0</v>
      </c>
      <c r="W97" s="112" cm="1">
        <f t="array" ref="W97">SUM(W91:W96)</f>
        <v>0</v>
      </c>
      <c r="X97" s="112" cm="1">
        <f t="array" ref="X97">SUM(X91:X96)</f>
        <v>0</v>
      </c>
      <c r="Y97" s="112" cm="1">
        <f t="array" ref="Y97">SUM(Y91:Y96)</f>
        <v>0</v>
      </c>
      <c r="Z97" s="112" cm="1">
        <f t="array" ref="Z97">SUM(Z91:Z96)</f>
        <v>0</v>
      </c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74"/>
      <c r="BA97" s="16"/>
      <c r="BB97" s="16"/>
      <c r="BC97" s="16"/>
    </row>
    <row r="98" ht="17.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121"/>
      <c r="N98" s="121"/>
      <c r="O98" s="121"/>
      <c r="P98" s="121"/>
      <c r="Q98" s="30"/>
      <c r="R98" s="121"/>
      <c r="S98" s="121"/>
      <c r="T98" s="87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74"/>
      <c r="BA98" s="16"/>
      <c r="BB98" s="16"/>
      <c r="BC98" s="16"/>
    </row>
    <row r="99" ht="17.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121"/>
      <c r="N99" s="121"/>
      <c r="O99" s="121"/>
      <c r="P99" s="121"/>
      <c r="Q99" s="121"/>
      <c r="R99" s="121"/>
      <c r="S99" s="121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74"/>
      <c r="BA99" s="16"/>
      <c r="BB99" s="16"/>
      <c r="BC99" s="16"/>
    </row>
    <row r="100" ht="17.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121"/>
      <c r="N100" s="121"/>
      <c r="O100" s="121"/>
      <c r="P100" s="121"/>
      <c r="Q100" s="121"/>
      <c r="R100" s="121"/>
      <c r="S100" s="121"/>
      <c r="T100" s="30"/>
      <c r="U100" s="121"/>
      <c r="V100" s="121"/>
      <c r="W100" s="121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74"/>
      <c r="BA100" s="16"/>
      <c r="BB100" s="16"/>
      <c r="BC100" s="16"/>
    </row>
    <row r="101" ht="17.5" customHeight="1">
      <c r="A101" s="30"/>
      <c r="B101" s="30"/>
      <c r="C101" s="30"/>
      <c r="D101" s="30"/>
      <c r="E101" s="30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30"/>
      <c r="R101" s="121"/>
      <c r="S101" s="121"/>
      <c r="T101" s="30"/>
      <c r="U101" s="121"/>
      <c r="V101" s="121"/>
      <c r="W101" s="121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74"/>
      <c r="BA101" s="16"/>
      <c r="BB101" s="16"/>
      <c r="BC101" s="16"/>
    </row>
    <row r="102" ht="17.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121"/>
      <c r="N102" s="121"/>
      <c r="O102" s="121"/>
      <c r="P102" s="121"/>
      <c r="Q102" s="30"/>
      <c r="R102" s="121"/>
      <c r="S102" s="121"/>
      <c r="T102" s="30"/>
      <c r="U102" s="121"/>
      <c r="V102" s="121"/>
      <c r="W102" s="121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74"/>
      <c r="BA102" s="16"/>
      <c r="BB102" s="16"/>
      <c r="BC102" s="16"/>
    </row>
    <row r="103" ht="17.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121"/>
      <c r="N103" s="121"/>
      <c r="O103" s="121"/>
      <c r="P103" s="121"/>
      <c r="Q103" s="30"/>
      <c r="R103" s="121"/>
      <c r="S103" s="121"/>
      <c r="T103" s="30"/>
      <c r="U103" s="121"/>
      <c r="V103" s="121"/>
      <c r="W103" s="121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74"/>
      <c r="BA103" s="16"/>
      <c r="BB103" s="16"/>
      <c r="BC103" s="16"/>
    </row>
    <row r="104" ht="17.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121"/>
      <c r="N104" s="121"/>
      <c r="O104" s="121"/>
      <c r="P104" s="121"/>
      <c r="Q104" s="30"/>
      <c r="R104" s="121"/>
      <c r="S104" s="121"/>
      <c r="T104" s="30"/>
      <c r="U104" s="121"/>
      <c r="V104" s="121"/>
      <c r="W104" s="121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74"/>
      <c r="BA104" s="16"/>
      <c r="BB104" s="16"/>
      <c r="BC104" s="16"/>
    </row>
    <row r="105" ht="17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121"/>
      <c r="N105" s="121"/>
      <c r="O105" s="121"/>
      <c r="P105" s="121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74"/>
      <c r="BA105" s="16"/>
      <c r="BB105" s="16"/>
      <c r="BC105" s="16"/>
    </row>
    <row r="106" ht="17.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121"/>
      <c r="N106" s="121"/>
      <c r="O106" s="121"/>
      <c r="P106" s="121"/>
      <c r="Q106" s="30"/>
      <c r="R106" s="121"/>
      <c r="S106" s="121"/>
      <c r="T106" s="129"/>
      <c r="U106" s="121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74"/>
      <c r="BA106" s="16"/>
      <c r="BB106" s="16"/>
      <c r="BC106" s="16"/>
    </row>
    <row r="107" ht="17.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121"/>
      <c r="N107" s="121"/>
      <c r="O107" s="121"/>
      <c r="P107" s="121"/>
      <c r="Q107" s="30"/>
      <c r="R107" s="121"/>
      <c r="S107" s="121"/>
      <c r="T107" s="30"/>
      <c r="U107" s="121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74"/>
      <c r="BA107" s="16"/>
      <c r="BB107" s="16"/>
      <c r="BC107" s="16"/>
    </row>
    <row r="108" ht="17.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121"/>
      <c r="N108" s="121"/>
      <c r="O108" s="121"/>
      <c r="P108" s="121"/>
      <c r="Q108" s="30"/>
      <c r="R108" s="121"/>
      <c r="S108" s="121"/>
      <c r="T108" s="30"/>
      <c r="U108" s="121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74"/>
      <c r="BA108" s="16"/>
      <c r="BB108" s="16"/>
      <c r="BC108" s="16"/>
    </row>
    <row r="109" ht="17.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121"/>
      <c r="N109" s="121"/>
      <c r="O109" s="121"/>
      <c r="P109" s="121"/>
      <c r="Q109" s="30"/>
      <c r="R109" s="121"/>
      <c r="S109" s="121"/>
      <c r="T109" s="129"/>
      <c r="U109" s="121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74"/>
      <c r="BA109" s="16"/>
      <c r="BB109" s="16"/>
      <c r="BC109" s="16"/>
    </row>
    <row r="110" ht="17.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121"/>
      <c r="S110" s="121"/>
      <c r="T110" s="30"/>
      <c r="U110" s="121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74"/>
      <c r="BA110" s="16"/>
      <c r="BB110" s="16"/>
      <c r="BC110" s="16"/>
    </row>
    <row r="111" ht="17.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121"/>
      <c r="N111" s="121"/>
      <c r="O111" s="121"/>
      <c r="P111" s="121"/>
      <c r="Q111" s="30"/>
      <c r="R111" s="121"/>
      <c r="S111" s="121"/>
      <c r="T111" s="30"/>
      <c r="U111" s="121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74"/>
      <c r="BA111" s="16"/>
      <c r="BB111" s="16"/>
      <c r="BC111" s="16"/>
    </row>
    <row r="112" ht="17.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121"/>
      <c r="N112" s="121"/>
      <c r="O112" s="121"/>
      <c r="P112" s="121"/>
      <c r="Q112" s="30"/>
      <c r="R112" s="121"/>
      <c r="S112" s="121"/>
      <c r="T112" s="30"/>
      <c r="U112" s="121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74"/>
      <c r="BA112" s="16"/>
      <c r="BB112" s="16"/>
      <c r="BC112" s="16"/>
    </row>
    <row r="113" ht="17" customHeight="1">
      <c r="A113" s="83"/>
      <c r="B113" s="30"/>
      <c r="C113" s="30"/>
      <c r="D113" s="30"/>
      <c r="E113" s="30"/>
      <c r="F113" s="28"/>
      <c r="G113" s="28"/>
      <c r="H113" s="28"/>
      <c r="I113" s="28"/>
      <c r="J113" s="28"/>
      <c r="K113" s="125"/>
      <c r="L113" s="28"/>
      <c r="M113" s="28"/>
      <c r="N113" s="28"/>
      <c r="O113" s="28"/>
      <c r="P113" s="28"/>
      <c r="Q113" s="30"/>
      <c r="R113" s="30"/>
      <c r="S113" s="30"/>
      <c r="T113" s="30"/>
      <c r="U113" s="112" cm="1">
        <f t="array" ref="U113">SUM(U91:U112)</f>
        <v>0</v>
      </c>
      <c r="V113" s="112" cm="1">
        <f t="array" ref="V113">SUM(V91:V112)</f>
        <v>0</v>
      </c>
      <c r="W113" s="112" cm="1">
        <f t="array" ref="W113">SUM(W91:W112)</f>
        <v>0</v>
      </c>
      <c r="X113" s="30"/>
      <c r="Y113" s="30"/>
      <c r="Z113" s="112" cm="1">
        <f t="array" ref="Z113">SUM(Z91:Z112)</f>
        <v>0</v>
      </c>
      <c r="AA113" s="112" cm="1">
        <f t="array" ref="AA113">SUM(AA91:AA112)</f>
        <v>0</v>
      </c>
      <c r="AB113" s="112" cm="1">
        <f t="array" ref="AB113">SUM(AB91:AB112)</f>
        <v>0</v>
      </c>
      <c r="AC113" s="112" cm="1">
        <f t="array" ref="AC113">SUM(AC91:AC112)</f>
        <v>0</v>
      </c>
      <c r="AD113" s="112" cm="1">
        <f t="array" ref="AD113">SUM(AD91:AD112)</f>
        <v>0</v>
      </c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74"/>
      <c r="BA113" s="16"/>
      <c r="BB113" s="16"/>
      <c r="BC113" s="16"/>
    </row>
    <row r="114" ht="17" customHeight="1">
      <c r="A114" s="30"/>
      <c r="B114" s="30"/>
      <c r="C114" s="30"/>
      <c r="D114" s="30"/>
      <c r="E114" s="30"/>
      <c r="F114" s="28"/>
      <c r="G114" s="28"/>
      <c r="H114" s="28"/>
      <c r="I114" s="28"/>
      <c r="J114" s="163"/>
      <c r="K114" s="297"/>
      <c r="L114" s="165"/>
      <c r="M114" s="28"/>
      <c r="N114" s="28"/>
      <c r="O114" s="28"/>
      <c r="P114" s="28"/>
      <c r="Q114" s="87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74"/>
      <c r="BA114" s="16"/>
      <c r="BB114" s="16"/>
      <c r="BC114" s="16"/>
    </row>
    <row r="115" ht="17" customHeight="1">
      <c r="A115" s="30"/>
      <c r="B115" s="30"/>
      <c r="C115" s="30"/>
      <c r="D115" s="30"/>
      <c r="E115" s="30"/>
      <c r="F115" s="30"/>
      <c r="G115" s="130"/>
      <c r="H115" s="30"/>
      <c r="I115" s="30"/>
      <c r="J115" s="30"/>
      <c r="K115" s="30"/>
      <c r="L115" s="30"/>
      <c r="M115" s="30"/>
      <c r="N115" s="30"/>
      <c r="O115" s="30"/>
      <c r="P115" s="30"/>
      <c r="Q115" s="87"/>
      <c r="R115" s="130"/>
      <c r="S115" s="130"/>
      <c r="T115" s="1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74"/>
      <c r="BA115" s="16"/>
      <c r="BB115" s="16"/>
      <c r="BC115" s="16"/>
    </row>
    <row r="116" ht="17.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121"/>
      <c r="S116" s="121"/>
      <c r="T116" s="129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74"/>
      <c r="BA116" s="16"/>
      <c r="BB116" s="16"/>
      <c r="BC116" s="16"/>
    </row>
    <row r="117" ht="17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130"/>
      <c r="S117" s="130"/>
      <c r="T117" s="130"/>
      <c r="U117" s="30"/>
      <c r="V117" s="30"/>
      <c r="W117" s="30"/>
      <c r="X117" s="30"/>
      <c r="Y117" s="30"/>
      <c r="Z117" s="30"/>
      <c r="AA117" s="30"/>
      <c r="AB117" s="30"/>
      <c r="AC117" s="134"/>
      <c r="AD117" s="134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74"/>
      <c r="BA117" s="16"/>
      <c r="BB117" s="16"/>
      <c r="BC117" s="16"/>
    </row>
    <row r="118" ht="17.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121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74"/>
      <c r="BA118" s="16"/>
      <c r="BB118" s="16"/>
      <c r="BC118" s="16"/>
    </row>
    <row r="119" ht="15.3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16"/>
      <c r="BA119" s="16"/>
      <c r="BB119" s="16"/>
      <c r="BC119" s="16"/>
    </row>
    <row r="120" ht="15.3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</row>
    <row r="121" ht="15.3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</row>
    <row r="122" ht="15.3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</row>
    <row r="123" ht="15.35" customHeight="1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</row>
    <row r="124" ht="15.3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</row>
    <row r="125" ht="15.3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</row>
    <row r="126" ht="15.3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</row>
    <row r="127" ht="15.3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</row>
    <row r="128" ht="15.35" customHeight="1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</row>
    <row r="129" ht="15.3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</row>
    <row r="130" ht="15.3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</row>
    <row r="131" ht="15.3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</row>
    <row r="132" ht="15.3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</row>
    <row r="133" ht="15.35" customHeight="1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</row>
    <row r="134" ht="15.3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</row>
    <row r="135" ht="15.35" customHeight="1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  <c r="AZ135" s="16"/>
      <c r="BA135" s="16"/>
      <c r="BB135" s="16"/>
      <c r="BC135" s="16"/>
    </row>
    <row r="136" ht="15.35" customHeight="1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</row>
    <row r="137" ht="15.35" customHeight="1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  <c r="AZ137" s="16"/>
      <c r="BA137" s="16"/>
      <c r="BB137" s="16"/>
      <c r="BC137" s="16"/>
    </row>
    <row r="138" ht="15.35" customHeight="1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  <c r="AZ138" s="16"/>
      <c r="BA138" s="16"/>
      <c r="BB138" s="16"/>
      <c r="BC138" s="16"/>
    </row>
    <row r="139" ht="15.35" customHeight="1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  <c r="AZ139" s="16"/>
      <c r="BA139" s="16"/>
      <c r="BB139" s="16"/>
      <c r="BC139" s="16"/>
    </row>
    <row r="140" ht="15.35" customHeight="1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  <c r="AZ140" s="16"/>
      <c r="BA140" s="16"/>
      <c r="BB140" s="16"/>
      <c r="BC140" s="16"/>
    </row>
    <row r="141" ht="15.35" customHeight="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  <c r="AZ141" s="16"/>
      <c r="BA141" s="16"/>
      <c r="BB141" s="16"/>
      <c r="BC141" s="16"/>
    </row>
    <row r="142" ht="15.35" customHeight="1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  <c r="AZ142" s="16"/>
      <c r="BA142" s="16"/>
      <c r="BB142" s="16"/>
      <c r="BC142" s="16"/>
    </row>
    <row r="143" ht="15.35" customHeight="1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  <c r="AZ143" s="16"/>
      <c r="BA143" s="16"/>
      <c r="BB143" s="16"/>
      <c r="BC143" s="16"/>
    </row>
    <row r="144" ht="15.35" customHeight="1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  <c r="AZ144" s="16"/>
      <c r="BA144" s="16"/>
      <c r="BB144" s="16"/>
      <c r="BC144" s="16"/>
    </row>
    <row r="145" ht="15.35" customHeight="1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  <c r="AZ145" s="16"/>
      <c r="BA145" s="16"/>
      <c r="BB145" s="16"/>
      <c r="BC145" s="16"/>
    </row>
    <row r="146" ht="15.35" customHeight="1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  <c r="AZ146" s="16"/>
      <c r="BA146" s="16"/>
      <c r="BB146" s="16"/>
      <c r="BC146" s="16"/>
    </row>
    <row r="147" ht="15.35" customHeight="1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  <c r="AZ147" s="16"/>
      <c r="BA147" s="16"/>
      <c r="BB147" s="16"/>
      <c r="BC147" s="16"/>
    </row>
    <row r="148" ht="15.35" customHeight="1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  <c r="AZ148" s="16"/>
      <c r="BA148" s="16"/>
      <c r="BB148" s="16"/>
      <c r="BC148" s="16"/>
    </row>
    <row r="149" ht="15.35" customHeight="1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  <c r="AZ149" s="16"/>
      <c r="BA149" s="16"/>
      <c r="BB149" s="16"/>
      <c r="BC149" s="16"/>
    </row>
    <row r="150" ht="15.35" customHeight="1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  <c r="AZ150" s="16"/>
      <c r="BA150" s="16"/>
      <c r="BB150" s="16"/>
      <c r="BC150" s="16"/>
    </row>
    <row r="151" ht="15.35" customHeight="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  <c r="AZ151" s="16"/>
      <c r="BA151" s="16"/>
      <c r="BB151" s="16"/>
      <c r="BC151" s="16"/>
    </row>
    <row r="152" ht="15.35" customHeight="1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  <c r="AZ152" s="16"/>
      <c r="BA152" s="16"/>
      <c r="BB152" s="16"/>
      <c r="BC152" s="16"/>
    </row>
    <row r="153" ht="15.35" customHeight="1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  <c r="AZ153" s="16"/>
      <c r="BA153" s="16"/>
      <c r="BB153" s="16"/>
      <c r="BC153" s="16"/>
    </row>
    <row r="154" ht="15.35" customHeight="1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  <c r="AZ154" s="16"/>
      <c r="BA154" s="16"/>
      <c r="BB154" s="16"/>
      <c r="BC154" s="16"/>
    </row>
    <row r="155" ht="15.35" customHeight="1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  <c r="AZ155" s="16"/>
      <c r="BA155" s="16"/>
      <c r="BB155" s="16"/>
      <c r="BC155" s="16"/>
    </row>
    <row r="156" ht="15.35" customHeight="1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  <c r="AZ156" s="16"/>
      <c r="BA156" s="16"/>
      <c r="BB156" s="16"/>
      <c r="BC156" s="16"/>
    </row>
    <row r="157" ht="15.35" customHeight="1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  <c r="AZ157" s="16"/>
      <c r="BA157" s="16"/>
      <c r="BB157" s="16"/>
      <c r="BC157" s="16"/>
    </row>
    <row r="158" ht="15.35" customHeight="1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  <c r="AZ158" s="16"/>
      <c r="BA158" s="16"/>
      <c r="BB158" s="16"/>
      <c r="BC158" s="16"/>
    </row>
    <row r="159" ht="15.35" customHeight="1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</row>
    <row r="160" ht="15.35" customHeight="1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</row>
    <row r="161" ht="15.35" customHeight="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</row>
    <row r="162" ht="15.35" customHeight="1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</row>
    <row r="163" ht="15.35" customHeight="1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</row>
    <row r="164" ht="15.35" customHeight="1">
      <c r="A164" s="16"/>
      <c r="B164" s="16"/>
      <c r="C164" s="132"/>
      <c r="D164" s="132"/>
      <c r="E164" s="132"/>
      <c r="F164" s="132"/>
      <c r="G164" s="132"/>
      <c r="H164" s="132"/>
      <c r="I164" s="16"/>
      <c r="J164" s="132"/>
      <c r="K164" s="16"/>
      <c r="L164" s="16"/>
      <c r="M164" s="16"/>
      <c r="N164" s="132"/>
      <c r="O164" s="16"/>
      <c r="P164" s="132"/>
      <c r="Q164" s="16"/>
      <c r="R164" s="16"/>
      <c r="S164" s="16"/>
      <c r="T164" s="132"/>
      <c r="U164" s="16"/>
      <c r="V164" s="16"/>
      <c r="W164" s="16"/>
      <c r="X164" s="132"/>
      <c r="Y164" s="132"/>
      <c r="Z164" s="132"/>
      <c r="AA164" s="132"/>
      <c r="AB164" s="132"/>
      <c r="AC164" s="132"/>
      <c r="AD164" s="132"/>
      <c r="AE164" s="132"/>
      <c r="AF164" s="132"/>
      <c r="AG164" s="132"/>
      <c r="AH164" s="132"/>
      <c r="AI164" s="132"/>
      <c r="AJ164" s="132"/>
      <c r="AK164" s="132"/>
      <c r="AL164" s="132"/>
      <c r="AM164" s="132"/>
      <c r="AN164" s="132"/>
      <c r="AO164" s="132"/>
      <c r="AP164" s="132"/>
      <c r="AQ164" s="132"/>
      <c r="AR164" s="132"/>
      <c r="AS164" s="132"/>
      <c r="AT164" s="132"/>
      <c r="AU164" s="132"/>
      <c r="AV164" s="132"/>
      <c r="AW164" s="132"/>
      <c r="AX164" s="132"/>
      <c r="AY164" s="132"/>
      <c r="AZ164" s="16"/>
      <c r="BA164" s="16"/>
      <c r="BB164" s="16"/>
      <c r="BC164" s="16"/>
    </row>
    <row r="165" ht="17.5" customHeight="1">
      <c r="A165" s="141"/>
      <c r="B165" s="141"/>
      <c r="C165" s="30"/>
      <c r="D165" s="30"/>
      <c r="E165" s="30"/>
      <c r="F165" s="30"/>
      <c r="G165" s="30"/>
      <c r="H165" s="30"/>
      <c r="I165" s="122"/>
      <c r="J165" s="30"/>
      <c r="K165" s="74"/>
      <c r="L165" s="16"/>
      <c r="M165" s="75"/>
      <c r="N165" s="30"/>
      <c r="O165" s="122"/>
      <c r="P165" s="30"/>
      <c r="Q165" s="74"/>
      <c r="R165" s="16"/>
      <c r="S165" s="75"/>
      <c r="T165" s="121"/>
      <c r="U165" s="74"/>
      <c r="V165" s="16"/>
      <c r="W165" s="75"/>
      <c r="X165" s="30"/>
      <c r="Y165" s="30"/>
      <c r="Z165" s="30"/>
      <c r="AA165" s="121"/>
      <c r="AB165" s="121"/>
      <c r="AC165" s="30"/>
      <c r="AD165" s="30"/>
      <c r="AE165" s="30"/>
      <c r="AF165" s="30"/>
      <c r="AG165" s="121"/>
      <c r="AH165" s="30"/>
      <c r="AI165" s="30"/>
      <c r="AJ165" s="30"/>
      <c r="AK165" s="30"/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74"/>
      <c r="BA165" s="16"/>
      <c r="BB165" s="16"/>
      <c r="BC165" s="16"/>
    </row>
    <row r="166" ht="17.5" customHeight="1">
      <c r="A166" s="30"/>
      <c r="B166" s="30"/>
      <c r="C166" s="30"/>
      <c r="D166" s="30"/>
      <c r="E166" s="30"/>
      <c r="F166" s="30"/>
      <c r="G166" s="30"/>
      <c r="H166" s="30"/>
      <c r="I166" s="122"/>
      <c r="J166" s="30"/>
      <c r="K166" s="74"/>
      <c r="L166" s="16"/>
      <c r="M166" s="75"/>
      <c r="N166" s="30"/>
      <c r="O166" s="122"/>
      <c r="P166" s="30"/>
      <c r="Q166" s="74"/>
      <c r="R166" s="16"/>
      <c r="S166" s="75"/>
      <c r="T166" s="121"/>
      <c r="U166" s="74"/>
      <c r="V166" s="16"/>
      <c r="W166" s="75"/>
      <c r="X166" s="30"/>
      <c r="Y166" s="30"/>
      <c r="Z166" s="30"/>
      <c r="AA166" s="121"/>
      <c r="AB166" s="121"/>
      <c r="AC166" s="30"/>
      <c r="AD166" s="30"/>
      <c r="AE166" s="30"/>
      <c r="AF166" s="30"/>
      <c r="AG166" s="121"/>
      <c r="AH166" s="30"/>
      <c r="AI166" s="30"/>
      <c r="AJ166" s="30"/>
      <c r="AK166" s="30"/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74"/>
      <c r="BA166" s="16"/>
      <c r="BB166" s="16"/>
      <c r="BC166" s="16"/>
    </row>
    <row r="167" ht="17.5" customHeight="1">
      <c r="A167" s="30"/>
      <c r="B167" s="30"/>
      <c r="C167" s="30"/>
      <c r="D167" s="30"/>
      <c r="E167" s="30"/>
      <c r="F167" s="30"/>
      <c r="G167" s="30"/>
      <c r="H167" s="30"/>
      <c r="I167" s="122"/>
      <c r="J167" s="30"/>
      <c r="K167" s="74"/>
      <c r="L167" s="16"/>
      <c r="M167" s="75"/>
      <c r="N167" s="30"/>
      <c r="O167" s="122"/>
      <c r="P167" s="30"/>
      <c r="Q167" s="74"/>
      <c r="R167" s="16"/>
      <c r="S167" s="75"/>
      <c r="T167" s="121"/>
      <c r="U167" s="74"/>
      <c r="V167" s="16"/>
      <c r="W167" s="75"/>
      <c r="X167" s="30"/>
      <c r="Y167" s="30"/>
      <c r="Z167" s="30"/>
      <c r="AA167" s="121"/>
      <c r="AB167" s="121"/>
      <c r="AC167" s="30"/>
      <c r="AD167" s="30"/>
      <c r="AE167" s="30"/>
      <c r="AF167" s="30"/>
      <c r="AG167" s="121"/>
      <c r="AH167" s="30"/>
      <c r="AI167" s="30"/>
      <c r="AJ167" s="30"/>
      <c r="AK167" s="30"/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74"/>
      <c r="BA167" s="16"/>
      <c r="BB167" s="16"/>
      <c r="BC167" s="16"/>
    </row>
    <row r="168" ht="17.5" customHeight="1">
      <c r="A168" s="30"/>
      <c r="B168" s="30"/>
      <c r="C168" s="30"/>
      <c r="D168" s="30"/>
      <c r="E168" s="30"/>
      <c r="F168" s="30"/>
      <c r="G168" s="30"/>
      <c r="H168" s="30"/>
      <c r="I168" s="122"/>
      <c r="J168" s="30"/>
      <c r="K168" s="74"/>
      <c r="L168" s="16"/>
      <c r="M168" s="75"/>
      <c r="N168" s="30"/>
      <c r="O168" s="122"/>
      <c r="P168" s="30"/>
      <c r="Q168" s="74"/>
      <c r="R168" s="16"/>
      <c r="S168" s="75"/>
      <c r="T168" s="121"/>
      <c r="U168" s="74"/>
      <c r="V168" s="16"/>
      <c r="W168" s="75"/>
      <c r="X168" s="30"/>
      <c r="Y168" s="30"/>
      <c r="Z168" s="30"/>
      <c r="AA168" s="121"/>
      <c r="AB168" s="121"/>
      <c r="AC168" s="30"/>
      <c r="AD168" s="30"/>
      <c r="AE168" s="30"/>
      <c r="AF168" s="30"/>
      <c r="AG168" s="121"/>
      <c r="AH168" s="30"/>
      <c r="AI168" s="30"/>
      <c r="AJ168" s="30"/>
      <c r="AK168" s="30"/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74"/>
      <c r="BA168" s="16"/>
      <c r="BB168" s="16"/>
      <c r="BC168" s="16"/>
    </row>
    <row r="169" ht="17.5" customHeight="1">
      <c r="A169" s="30"/>
      <c r="B169" s="30"/>
      <c r="C169" s="30"/>
      <c r="D169" s="30"/>
      <c r="E169" s="30"/>
      <c r="F169" s="30"/>
      <c r="G169" s="30"/>
      <c r="H169" s="30"/>
      <c r="I169" s="122"/>
      <c r="J169" s="30"/>
      <c r="K169" s="74"/>
      <c r="L169" s="16"/>
      <c r="M169" s="75"/>
      <c r="N169" s="30"/>
      <c r="O169" s="122"/>
      <c r="P169" s="30"/>
      <c r="Q169" s="74"/>
      <c r="R169" s="16"/>
      <c r="S169" s="75"/>
      <c r="T169" s="121"/>
      <c r="U169" s="74"/>
      <c r="V169" s="16"/>
      <c r="W169" s="75"/>
      <c r="X169" s="30"/>
      <c r="Y169" s="30"/>
      <c r="Z169" s="30"/>
      <c r="AA169" s="121"/>
      <c r="AB169" s="121"/>
      <c r="AC169" s="30"/>
      <c r="AD169" s="30"/>
      <c r="AE169" s="30"/>
      <c r="AF169" s="30"/>
      <c r="AG169" s="121"/>
      <c r="AH169" s="30"/>
      <c r="AI169" s="30"/>
      <c r="AJ169" s="30"/>
      <c r="AK169" s="30"/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74"/>
      <c r="BA169" s="16"/>
      <c r="BB169" s="16"/>
      <c r="BC169" s="16"/>
    </row>
    <row r="170" ht="17.5" customHeight="1">
      <c r="A170" s="30"/>
      <c r="B170" s="30"/>
      <c r="C170" s="30"/>
      <c r="D170" s="30"/>
      <c r="E170" s="30"/>
      <c r="F170" s="30"/>
      <c r="G170" s="30"/>
      <c r="H170" s="30"/>
      <c r="I170" s="122"/>
      <c r="J170" s="30"/>
      <c r="K170" s="74"/>
      <c r="L170" s="16"/>
      <c r="M170" s="75"/>
      <c r="N170" s="30"/>
      <c r="O170" s="122"/>
      <c r="P170" s="30"/>
      <c r="Q170" s="74"/>
      <c r="R170" s="16"/>
      <c r="S170" s="75"/>
      <c r="T170" s="121"/>
      <c r="U170" s="74"/>
      <c r="V170" s="16"/>
      <c r="W170" s="75"/>
      <c r="X170" s="30"/>
      <c r="Y170" s="30"/>
      <c r="Z170" s="30"/>
      <c r="AA170" s="121"/>
      <c r="AB170" s="121"/>
      <c r="AC170" s="30"/>
      <c r="AD170" s="30"/>
      <c r="AE170" s="30"/>
      <c r="AF170" s="30"/>
      <c r="AG170" s="121"/>
      <c r="AH170" s="30"/>
      <c r="AI170" s="30"/>
      <c r="AJ170" s="30"/>
      <c r="AK170" s="30"/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74"/>
      <c r="BA170" s="16"/>
      <c r="BB170" s="16"/>
      <c r="BC170" s="16"/>
    </row>
    <row r="171" ht="15.35" customHeight="1">
      <c r="A171" s="62"/>
      <c r="B171" s="62"/>
      <c r="C171" s="62"/>
      <c r="D171" s="62"/>
      <c r="E171" s="62"/>
      <c r="F171" s="62"/>
      <c r="G171" s="62"/>
      <c r="H171" s="62"/>
      <c r="I171" s="16"/>
      <c r="J171" s="62"/>
      <c r="K171" s="16"/>
      <c r="L171" s="16"/>
      <c r="M171" s="16"/>
      <c r="N171" s="62"/>
      <c r="O171" s="16"/>
      <c r="P171" s="62"/>
      <c r="Q171" s="16"/>
      <c r="R171" s="16"/>
      <c r="S171" s="16"/>
      <c r="T171" s="62"/>
      <c r="U171" s="16"/>
      <c r="V171" s="16"/>
      <c r="W171" s="16"/>
      <c r="X171" s="62"/>
      <c r="Y171" s="62"/>
      <c r="Z171" s="62"/>
      <c r="AA171" s="62"/>
      <c r="AB171" s="62"/>
      <c r="AC171" s="62"/>
      <c r="AD171" s="62"/>
      <c r="AE171" s="62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16"/>
      <c r="BA171" s="16"/>
      <c r="BB171" s="16"/>
      <c r="BC171" s="16"/>
    </row>
    <row r="172" ht="15.35" customHeight="1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  <c r="AZ172" s="16"/>
      <c r="BA172" s="16"/>
      <c r="BB172" s="16"/>
      <c r="BC172" s="16"/>
    </row>
    <row r="173" ht="15.35" customHeight="1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</row>
    <row r="174" ht="15.35" customHeight="1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</row>
    <row r="175" ht="15.35" customHeight="1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7.xml><?xml version="1.0" encoding="utf-8"?>
<worksheet xmlns:r="http://schemas.openxmlformats.org/officeDocument/2006/relationships" xmlns="http://schemas.openxmlformats.org/spreadsheetml/2006/main">
  <dimension ref="A1:BC134"/>
  <sheetViews>
    <sheetView workbookViewId="0" showGridLines="0" defaultGridColor="1"/>
  </sheetViews>
  <sheetFormatPr defaultColWidth="10.8333" defaultRowHeight="16" customHeight="1" outlineLevelRow="0" outlineLevelCol="0"/>
  <cols>
    <col min="1" max="1" width="10.8516" style="442" customWidth="1"/>
    <col min="2" max="2" width="6" style="442" customWidth="1"/>
    <col min="3" max="3" width="10.8516" style="442" customWidth="1"/>
    <col min="4" max="4" width="17.8516" style="442" customWidth="1"/>
    <col min="5" max="5" width="20.1719" style="442" customWidth="1"/>
    <col min="6" max="6" width="9.85156" style="442" customWidth="1"/>
    <col min="7" max="8" width="10.8516" style="442" customWidth="1"/>
    <col min="9" max="9" width="7.17188" style="442" customWidth="1"/>
    <col min="10" max="10" width="10.8516" style="442" customWidth="1"/>
    <col min="11" max="11" width="8.5" style="442" customWidth="1"/>
    <col min="12" max="12" width="7.85156" style="442" customWidth="1"/>
    <col min="13" max="13" width="10" style="442" customWidth="1"/>
    <col min="14" max="14" width="8.67188" style="442" customWidth="1"/>
    <col min="15" max="15" width="18.5" style="442" customWidth="1"/>
    <col min="16" max="16" width="11.5" style="442" customWidth="1"/>
    <col min="17" max="17" width="11.6719" style="442" customWidth="1"/>
    <col min="18" max="18" width="12.3516" style="442" customWidth="1"/>
    <col min="19" max="19" width="10.8516" style="442" customWidth="1"/>
    <col min="20" max="20" width="15.1719" style="442" customWidth="1"/>
    <col min="21" max="23" width="10.8516" style="442" customWidth="1"/>
    <col min="24" max="24" width="31" style="442" customWidth="1"/>
    <col min="25" max="25" width="19.8516" style="442" customWidth="1"/>
    <col min="26" max="26" width="12.1719" style="442" customWidth="1"/>
    <col min="27" max="27" width="25.1719" style="442" customWidth="1"/>
    <col min="28" max="30" width="16.5" style="442" customWidth="1"/>
    <col min="31" max="31" width="14.6719" style="442" customWidth="1"/>
    <col min="32" max="32" width="10.8516" style="442" customWidth="1"/>
    <col min="33" max="33" width="11" style="442" customWidth="1"/>
    <col min="34" max="34" width="11.1719" style="442" customWidth="1"/>
    <col min="35" max="35" width="7.85156" style="442" customWidth="1"/>
    <col min="36" max="37" width="10.8516" style="442" customWidth="1"/>
    <col min="38" max="38" width="7.35156" style="442" customWidth="1"/>
    <col min="39" max="39" width="10.8516" style="442" customWidth="1"/>
    <col min="40" max="40" width="9.17188" style="442" customWidth="1"/>
    <col min="41" max="41" width="10.8516" style="442" customWidth="1"/>
    <col min="42" max="42" width="12.5" style="442" customWidth="1"/>
    <col min="43" max="43" width="13" style="442" customWidth="1"/>
    <col min="44" max="55" width="10.8516" style="442" customWidth="1"/>
    <col min="56" max="16384" width="10.8516" style="442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93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7.5" customHeight="1">
      <c r="A3" s="141"/>
      <c r="B3" s="141"/>
      <c r="C3" s="30"/>
      <c r="D3" s="30"/>
      <c r="E3" s="30"/>
      <c r="F3" s="30"/>
      <c r="G3" t="s" s="82">
        <v>1</v>
      </c>
      <c r="H3" t="s" s="83">
        <v>0</v>
      </c>
      <c r="I3" s="116"/>
      <c r="J3" t="s" s="98">
        <v>3</v>
      </c>
      <c r="K3" s="62"/>
      <c r="L3" s="62"/>
      <c r="M3" s="117"/>
      <c r="N3" t="s" s="83">
        <v>2</v>
      </c>
      <c r="O3" s="116"/>
      <c r="P3" s="62"/>
      <c r="Q3" s="62"/>
      <c r="R3" s="62"/>
      <c r="S3" s="62"/>
      <c r="T3" t="s" s="96">
        <v>5</v>
      </c>
      <c r="U3" s="16"/>
      <c r="V3" s="16"/>
      <c r="W3" s="117"/>
      <c r="X3" s="30"/>
      <c r="Y3" s="30"/>
      <c r="Z3" s="30"/>
      <c r="AA3" t="s" s="82">
        <v>7</v>
      </c>
      <c r="AB3" t="s" s="83">
        <v>8</v>
      </c>
      <c r="AC3" s="30"/>
      <c r="AD3" s="30"/>
      <c r="AE3" s="30"/>
      <c r="AF3" t="s" s="83">
        <v>6</v>
      </c>
      <c r="AG3" s="121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t="s" s="83">
        <v>2926</v>
      </c>
      <c r="B4" s="112">
        <v>1921</v>
      </c>
      <c r="C4" s="112">
        <v>1</v>
      </c>
      <c r="D4" t="s" s="83">
        <v>2927</v>
      </c>
      <c r="E4" s="443"/>
      <c r="F4" t="s" s="83">
        <v>2928</v>
      </c>
      <c r="G4" t="s" s="159">
        <v>2929</v>
      </c>
      <c r="H4" t="s" s="83">
        <v>2930</v>
      </c>
      <c r="I4" s="156">
        <v>1</v>
      </c>
      <c r="J4" t="s" s="96">
        <v>37</v>
      </c>
      <c r="K4" s="79">
        <v>1</v>
      </c>
      <c r="L4" s="16"/>
      <c r="M4" s="75"/>
      <c r="N4" s="112">
        <v>1</v>
      </c>
      <c r="O4" s="74"/>
      <c r="P4" s="16"/>
      <c r="Q4" s="16"/>
      <c r="R4" s="16"/>
      <c r="S4" s="16"/>
      <c r="T4" s="79">
        <v>36</v>
      </c>
      <c r="U4" s="16"/>
      <c r="V4" s="16"/>
      <c r="W4" s="75"/>
      <c r="X4" s="30"/>
      <c r="Y4" s="30"/>
      <c r="Z4" s="30"/>
      <c r="AA4" t="s" s="159">
        <v>2931</v>
      </c>
      <c r="AB4" t="s" s="83">
        <v>2932</v>
      </c>
      <c r="AC4" s="112">
        <v>1</v>
      </c>
      <c r="AD4" s="30"/>
      <c r="AE4" s="30"/>
      <c r="AF4" s="112">
        <v>1</v>
      </c>
      <c r="AG4" s="121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t="s" s="83">
        <v>2926</v>
      </c>
      <c r="B5" s="112">
        <v>1921</v>
      </c>
      <c r="C5" s="112">
        <v>1</v>
      </c>
      <c r="D5" t="s" s="83">
        <v>2927</v>
      </c>
      <c r="E5" s="30"/>
      <c r="F5" t="s" s="83">
        <v>2928</v>
      </c>
      <c r="G5" t="s" s="159">
        <v>2929</v>
      </c>
      <c r="H5" t="s" s="83">
        <v>2933</v>
      </c>
      <c r="I5" s="156">
        <v>2</v>
      </c>
      <c r="J5" s="79">
        <v>1</v>
      </c>
      <c r="K5" s="16"/>
      <c r="L5" s="16"/>
      <c r="M5" s="75"/>
      <c r="N5" t="s" s="83">
        <v>72</v>
      </c>
      <c r="O5" s="156">
        <v>1</v>
      </c>
      <c r="P5" s="16"/>
      <c r="Q5" s="16"/>
      <c r="R5" s="16"/>
      <c r="S5" s="16"/>
      <c r="T5" s="79">
        <v>32</v>
      </c>
      <c r="U5" s="16"/>
      <c r="V5" s="16"/>
      <c r="W5" s="75"/>
      <c r="X5" s="30"/>
      <c r="Y5" s="30"/>
      <c r="Z5" s="30"/>
      <c r="AA5" t="s" s="159">
        <v>33</v>
      </c>
      <c r="AB5" t="s" s="83">
        <v>34</v>
      </c>
      <c r="AC5" s="30"/>
      <c r="AD5" s="30"/>
      <c r="AE5" s="30"/>
      <c r="AF5" s="112">
        <v>1</v>
      </c>
      <c r="AG5" s="121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t="s" s="83">
        <v>2926</v>
      </c>
      <c r="B6" s="112">
        <v>1921</v>
      </c>
      <c r="C6" s="112">
        <v>1</v>
      </c>
      <c r="D6" t="s" s="83">
        <v>2927</v>
      </c>
      <c r="E6" s="30"/>
      <c r="F6" t="s" s="83">
        <v>2928</v>
      </c>
      <c r="G6" t="s" s="159">
        <v>2929</v>
      </c>
      <c r="H6" t="s" s="83">
        <v>2934</v>
      </c>
      <c r="I6" s="156">
        <v>3</v>
      </c>
      <c r="J6" t="s" s="96">
        <v>12</v>
      </c>
      <c r="K6" s="16"/>
      <c r="L6" s="79">
        <v>1</v>
      </c>
      <c r="M6" s="75"/>
      <c r="N6" t="s" s="83">
        <v>78</v>
      </c>
      <c r="O6" s="74"/>
      <c r="P6" s="79">
        <v>1</v>
      </c>
      <c r="Q6" s="16"/>
      <c r="R6" s="16"/>
      <c r="S6" s="16"/>
      <c r="T6" s="79">
        <v>9</v>
      </c>
      <c r="U6" s="16"/>
      <c r="V6" s="16"/>
      <c r="W6" s="75"/>
      <c r="X6" s="30"/>
      <c r="Y6" s="30"/>
      <c r="Z6" s="30"/>
      <c r="AA6" t="s" s="159">
        <v>34</v>
      </c>
      <c r="AB6" t="s" s="83">
        <v>34</v>
      </c>
      <c r="AC6" s="30"/>
      <c r="AD6" s="30"/>
      <c r="AE6" s="30"/>
      <c r="AF6" s="112">
        <v>1</v>
      </c>
      <c r="AG6" s="121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t="s" s="83">
        <v>2926</v>
      </c>
      <c r="B7" s="112">
        <v>1921</v>
      </c>
      <c r="C7" s="112">
        <v>1</v>
      </c>
      <c r="D7" t="s" s="83">
        <v>2927</v>
      </c>
      <c r="E7" s="30"/>
      <c r="F7" t="s" s="83">
        <v>2928</v>
      </c>
      <c r="G7" t="s" s="159">
        <v>2929</v>
      </c>
      <c r="H7" t="s" s="83">
        <v>2935</v>
      </c>
      <c r="I7" s="156">
        <v>4</v>
      </c>
      <c r="J7" t="s" s="96">
        <v>12</v>
      </c>
      <c r="K7" s="16"/>
      <c r="L7" s="79">
        <v>1</v>
      </c>
      <c r="M7" s="75"/>
      <c r="N7" t="s" s="83">
        <v>78</v>
      </c>
      <c r="O7" s="74"/>
      <c r="P7" s="79">
        <v>1</v>
      </c>
      <c r="Q7" s="16"/>
      <c r="R7" s="16"/>
      <c r="S7" s="16"/>
      <c r="T7" s="79">
        <v>6</v>
      </c>
      <c r="U7" s="16"/>
      <c r="V7" s="16"/>
      <c r="W7" s="75"/>
      <c r="X7" s="30"/>
      <c r="Y7" s="30"/>
      <c r="Z7" s="30"/>
      <c r="AA7" t="s" s="159">
        <v>34</v>
      </c>
      <c r="AB7" t="s" s="83">
        <v>34</v>
      </c>
      <c r="AC7" s="30"/>
      <c r="AD7" s="30"/>
      <c r="AE7" s="30"/>
      <c r="AF7" s="112">
        <v>1</v>
      </c>
      <c r="AG7" s="121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t="s" s="83">
        <v>2926</v>
      </c>
      <c r="B8" s="112">
        <v>1921</v>
      </c>
      <c r="C8" s="30"/>
      <c r="D8" t="s" s="83">
        <v>2936</v>
      </c>
      <c r="E8" s="30"/>
      <c r="F8" s="30"/>
      <c r="G8" s="122"/>
      <c r="H8" s="112">
        <v>4</v>
      </c>
      <c r="I8" s="74"/>
      <c r="J8" s="16"/>
      <c r="K8" s="16"/>
      <c r="L8" s="16"/>
      <c r="M8" s="75"/>
      <c r="N8" s="30"/>
      <c r="O8" s="74"/>
      <c r="P8" s="16"/>
      <c r="Q8" s="16"/>
      <c r="R8" s="16"/>
      <c r="S8" s="16"/>
      <c r="T8" s="16"/>
      <c r="U8" s="16"/>
      <c r="V8" s="16"/>
      <c r="W8" s="75"/>
      <c r="X8" s="30"/>
      <c r="Y8" s="30"/>
      <c r="Z8" s="30"/>
      <c r="AA8" s="122"/>
      <c r="AB8" s="30"/>
      <c r="AC8" s="30"/>
      <c r="AD8" s="30"/>
      <c r="AE8" s="30"/>
      <c r="AF8" s="30"/>
      <c r="AG8" s="121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t="s" s="83">
        <v>2926</v>
      </c>
      <c r="B9" s="112">
        <v>1921</v>
      </c>
      <c r="C9" s="30"/>
      <c r="D9" t="s" s="83">
        <v>2936</v>
      </c>
      <c r="E9" s="30"/>
      <c r="F9" s="30"/>
      <c r="G9" t="s" s="159">
        <v>1</v>
      </c>
      <c r="H9" t="s" s="83">
        <v>0</v>
      </c>
      <c r="I9" s="74"/>
      <c r="J9" t="s" s="96">
        <v>3</v>
      </c>
      <c r="K9" s="16"/>
      <c r="L9" s="16"/>
      <c r="M9" s="75"/>
      <c r="N9" t="s" s="83">
        <v>2</v>
      </c>
      <c r="O9" s="74"/>
      <c r="P9" s="16"/>
      <c r="Q9" s="16"/>
      <c r="R9" s="16"/>
      <c r="S9" s="16"/>
      <c r="T9" t="s" s="96">
        <v>5</v>
      </c>
      <c r="U9" s="16"/>
      <c r="V9" s="16"/>
      <c r="W9" s="75"/>
      <c r="X9" s="30"/>
      <c r="Y9" s="30"/>
      <c r="Z9" s="30"/>
      <c r="AA9" t="s" s="159">
        <v>7</v>
      </c>
      <c r="AB9" t="s" s="83">
        <v>8</v>
      </c>
      <c r="AC9" s="30"/>
      <c r="AD9" s="30"/>
      <c r="AE9" s="30"/>
      <c r="AF9" t="s" s="83">
        <v>6</v>
      </c>
      <c r="AG9" s="12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t="s" s="83">
        <v>2926</v>
      </c>
      <c r="B10" s="112">
        <v>1921</v>
      </c>
      <c r="C10" s="112">
        <v>2</v>
      </c>
      <c r="D10" t="s" s="83">
        <v>2936</v>
      </c>
      <c r="E10" s="443"/>
      <c r="F10" s="112">
        <v>1</v>
      </c>
      <c r="G10" t="s" s="159">
        <v>2937</v>
      </c>
      <c r="H10" t="s" s="83">
        <v>2938</v>
      </c>
      <c r="I10" s="156">
        <v>5</v>
      </c>
      <c r="J10" t="s" s="96">
        <v>37</v>
      </c>
      <c r="K10" s="79">
        <v>1</v>
      </c>
      <c r="L10" s="16"/>
      <c r="M10" s="75"/>
      <c r="N10" s="112">
        <v>1</v>
      </c>
      <c r="O10" s="74"/>
      <c r="P10" s="16"/>
      <c r="Q10" s="16"/>
      <c r="R10" s="16"/>
      <c r="S10" s="16"/>
      <c r="T10" s="79">
        <v>39</v>
      </c>
      <c r="U10" s="16"/>
      <c r="V10" s="16"/>
      <c r="W10" s="75"/>
      <c r="X10" s="30"/>
      <c r="Y10" s="30"/>
      <c r="Z10" s="30"/>
      <c r="AA10" t="s" s="159">
        <v>2939</v>
      </c>
      <c r="AB10" s="30"/>
      <c r="AC10" s="112">
        <v>1</v>
      </c>
      <c r="AD10" s="112">
        <v>1</v>
      </c>
      <c r="AE10" s="30"/>
      <c r="AF10" s="112">
        <v>1</v>
      </c>
      <c r="AG10" s="12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" customHeight="1">
      <c r="A11" t="s" s="83">
        <v>2926</v>
      </c>
      <c r="B11" s="112">
        <v>1921</v>
      </c>
      <c r="C11" s="112">
        <v>2</v>
      </c>
      <c r="D11" t="s" s="83">
        <v>2936</v>
      </c>
      <c r="E11" s="30"/>
      <c r="F11" s="30"/>
      <c r="G11" t="s" s="159">
        <v>2937</v>
      </c>
      <c r="H11" t="s" s="83">
        <v>2940</v>
      </c>
      <c r="I11" s="156">
        <v>6</v>
      </c>
      <c r="J11" s="79">
        <v>1</v>
      </c>
      <c r="K11" s="16"/>
      <c r="L11" s="16"/>
      <c r="M11" s="75"/>
      <c r="N11" t="s" s="83">
        <v>72</v>
      </c>
      <c r="O11" s="156">
        <v>1</v>
      </c>
      <c r="P11" s="16"/>
      <c r="Q11" s="16"/>
      <c r="R11" s="16"/>
      <c r="S11" s="16"/>
      <c r="T11" s="79">
        <v>42</v>
      </c>
      <c r="U11" s="16"/>
      <c r="V11" s="16"/>
      <c r="W11" s="75"/>
      <c r="X11" s="30"/>
      <c r="Y11" s="30"/>
      <c r="Z11" s="30"/>
      <c r="AA11" t="s" s="159">
        <v>33</v>
      </c>
      <c r="AB11" t="s" s="83">
        <v>34</v>
      </c>
      <c r="AC11" s="30"/>
      <c r="AD11" s="30"/>
      <c r="AE11" s="30"/>
      <c r="AF11" s="112">
        <v>1</v>
      </c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.5" customHeight="1">
      <c r="A12" t="s" s="83">
        <v>2926</v>
      </c>
      <c r="B12" s="112">
        <v>1921</v>
      </c>
      <c r="C12" s="112">
        <v>2</v>
      </c>
      <c r="D12" t="s" s="83">
        <v>2936</v>
      </c>
      <c r="E12" s="30"/>
      <c r="F12" s="30"/>
      <c r="G12" t="s" s="159">
        <v>2937</v>
      </c>
      <c r="H12" t="s" s="83">
        <v>1238</v>
      </c>
      <c r="I12" s="156">
        <v>7</v>
      </c>
      <c r="J12" t="s" s="96">
        <v>12</v>
      </c>
      <c r="K12" s="16"/>
      <c r="L12" s="79">
        <v>1</v>
      </c>
      <c r="M12" s="75"/>
      <c r="N12" t="s" s="83">
        <v>78</v>
      </c>
      <c r="O12" s="74"/>
      <c r="P12" s="79">
        <v>1</v>
      </c>
      <c r="Q12" s="16"/>
      <c r="R12" s="16"/>
      <c r="S12" s="16"/>
      <c r="T12" s="79">
        <v>9</v>
      </c>
      <c r="U12" s="16"/>
      <c r="V12" s="16"/>
      <c r="W12" s="75"/>
      <c r="X12" s="30"/>
      <c r="Y12" s="30"/>
      <c r="Z12" s="30"/>
      <c r="AA12" t="s" s="159">
        <v>34</v>
      </c>
      <c r="AB12" t="s" s="83">
        <v>34</v>
      </c>
      <c r="AC12" s="30"/>
      <c r="AD12" s="30"/>
      <c r="AE12" s="30"/>
      <c r="AF12" s="112">
        <v>1</v>
      </c>
      <c r="AG12" s="121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t="s" s="83">
        <v>2926</v>
      </c>
      <c r="B13" s="112">
        <v>1921</v>
      </c>
      <c r="C13" s="112">
        <v>2</v>
      </c>
      <c r="D13" t="s" s="83">
        <v>2936</v>
      </c>
      <c r="E13" s="30"/>
      <c r="F13" s="30"/>
      <c r="G13" t="s" s="159">
        <v>2937</v>
      </c>
      <c r="H13" t="s" s="83">
        <v>2941</v>
      </c>
      <c r="I13" s="156">
        <v>8</v>
      </c>
      <c r="J13" t="s" s="96">
        <v>12</v>
      </c>
      <c r="K13" s="16"/>
      <c r="L13" s="79">
        <v>1</v>
      </c>
      <c r="M13" s="75"/>
      <c r="N13" t="s" s="83">
        <v>78</v>
      </c>
      <c r="O13" s="74"/>
      <c r="P13" s="79">
        <v>1</v>
      </c>
      <c r="Q13" s="16"/>
      <c r="R13" s="16"/>
      <c r="S13" s="16"/>
      <c r="T13" s="79">
        <v>5</v>
      </c>
      <c r="U13" s="16"/>
      <c r="V13" s="16"/>
      <c r="W13" s="75"/>
      <c r="X13" s="30"/>
      <c r="Y13" s="30"/>
      <c r="Z13" s="30"/>
      <c r="AA13" t="s" s="159">
        <v>34</v>
      </c>
      <c r="AB13" t="s" s="83">
        <v>34</v>
      </c>
      <c r="AC13" s="30"/>
      <c r="AD13" s="30"/>
      <c r="AE13" s="30"/>
      <c r="AF13" s="112">
        <v>1</v>
      </c>
      <c r="AG13" s="121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t="s" s="83">
        <v>2926</v>
      </c>
      <c r="B14" s="112">
        <v>1921</v>
      </c>
      <c r="C14" s="112">
        <v>2</v>
      </c>
      <c r="D14" t="s" s="83">
        <v>2936</v>
      </c>
      <c r="E14" s="124"/>
      <c r="F14" s="28"/>
      <c r="G14" t="s" s="159">
        <v>2937</v>
      </c>
      <c r="H14" t="s" s="119">
        <v>1303</v>
      </c>
      <c r="I14" s="156">
        <v>9</v>
      </c>
      <c r="J14" t="s" s="96">
        <v>37</v>
      </c>
      <c r="K14" s="79">
        <v>1</v>
      </c>
      <c r="L14" s="16"/>
      <c r="M14" s="75"/>
      <c r="N14" t="s" s="224">
        <v>41</v>
      </c>
      <c r="O14" s="74"/>
      <c r="P14" s="16"/>
      <c r="Q14" s="16"/>
      <c r="R14" s="79">
        <v>1</v>
      </c>
      <c r="S14" s="16"/>
      <c r="T14" s="79">
        <v>78</v>
      </c>
      <c r="U14" s="16"/>
      <c r="V14" s="16"/>
      <c r="W14" s="75"/>
      <c r="X14" s="28"/>
      <c r="Y14" s="28"/>
      <c r="Z14" s="28"/>
      <c r="AA14" t="s" s="159">
        <v>2942</v>
      </c>
      <c r="AB14" t="s" s="148">
        <v>34</v>
      </c>
      <c r="AC14" s="28"/>
      <c r="AD14" s="28"/>
      <c r="AE14" s="30"/>
      <c r="AF14" s="307">
        <v>1</v>
      </c>
      <c r="AG14" s="28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28" customHeight="1">
      <c r="A15" t="s" s="83">
        <v>2926</v>
      </c>
      <c r="B15" s="112">
        <v>1921</v>
      </c>
      <c r="C15" s="112">
        <v>2</v>
      </c>
      <c r="D15" t="s" s="83">
        <v>2936</v>
      </c>
      <c r="E15" s="124"/>
      <c r="F15" s="28"/>
      <c r="G15" t="s" s="110">
        <v>2937</v>
      </c>
      <c r="H15" t="s" s="119">
        <v>1654</v>
      </c>
      <c r="I15" s="156">
        <v>10</v>
      </c>
      <c r="J15" s="126">
        <v>1</v>
      </c>
      <c r="K15" s="16"/>
      <c r="L15" s="16"/>
      <c r="M15" s="16"/>
      <c r="N15" t="s" s="108">
        <v>41</v>
      </c>
      <c r="O15" s="16"/>
      <c r="P15" s="132"/>
      <c r="Q15" s="16"/>
      <c r="R15" s="79">
        <v>1</v>
      </c>
      <c r="S15" s="16"/>
      <c r="T15" s="126">
        <v>77</v>
      </c>
      <c r="U15" s="16"/>
      <c r="V15" s="16"/>
      <c r="W15" s="75"/>
      <c r="X15" s="28"/>
      <c r="Y15" s="28"/>
      <c r="Z15" s="28"/>
      <c r="AA15" t="s" s="160">
        <v>33</v>
      </c>
      <c r="AB15" t="s" s="151">
        <v>34</v>
      </c>
      <c r="AC15" s="28"/>
      <c r="AD15" s="124"/>
      <c r="AE15" s="30"/>
      <c r="AF15" t="s" s="148">
        <v>118</v>
      </c>
      <c r="AG15" s="2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7.5" customHeight="1">
      <c r="A16" t="s" s="83">
        <v>2926</v>
      </c>
      <c r="B16" s="112">
        <v>1921</v>
      </c>
      <c r="C16" s="112">
        <v>2</v>
      </c>
      <c r="D16" t="s" s="83">
        <v>2936</v>
      </c>
      <c r="E16" s="30"/>
      <c r="F16" s="30"/>
      <c r="G16" t="s" s="83">
        <v>2943</v>
      </c>
      <c r="H16" t="s" s="83">
        <v>2944</v>
      </c>
      <c r="I16" s="120">
        <v>11</v>
      </c>
      <c r="J16" s="112">
        <v>1</v>
      </c>
      <c r="K16" s="74"/>
      <c r="L16" s="16"/>
      <c r="M16" s="75"/>
      <c r="N16" t="s" s="83">
        <v>41</v>
      </c>
      <c r="O16" s="122"/>
      <c r="P16" s="30"/>
      <c r="Q16" s="74"/>
      <c r="R16" s="79">
        <v>1</v>
      </c>
      <c r="S16" s="75"/>
      <c r="T16" s="112">
        <v>12</v>
      </c>
      <c r="U16" s="74"/>
      <c r="V16" s="16"/>
      <c r="W16" s="75"/>
      <c r="X16" s="112" cm="1">
        <f t="array" ref="X16">SUM(X3:X15)</f>
        <v>0</v>
      </c>
      <c r="Y16" s="112" cm="1">
        <f t="array" ref="Y16">SUM(Y3:Y15)</f>
        <v>0</v>
      </c>
      <c r="Z16" s="112" cm="1">
        <f t="array" ref="Z16">SUM(Z3:Z15)</f>
        <v>0</v>
      </c>
      <c r="AA16" t="s" s="83">
        <v>34</v>
      </c>
      <c r="AB16" t="s" s="83">
        <v>34</v>
      </c>
      <c r="AC16" s="30"/>
      <c r="AD16" s="30"/>
      <c r="AE16" s="30"/>
      <c r="AF16" s="112">
        <v>1</v>
      </c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t="s" s="83">
        <v>2926</v>
      </c>
      <c r="B17" s="112">
        <v>1921</v>
      </c>
      <c r="C17" s="112">
        <v>2</v>
      </c>
      <c r="D17" t="s" s="83">
        <v>2936</v>
      </c>
      <c r="E17" s="30"/>
      <c r="F17" s="30"/>
      <c r="G17" t="s" s="83">
        <v>515</v>
      </c>
      <c r="H17" t="s" s="83">
        <v>797</v>
      </c>
      <c r="I17" s="120">
        <v>12</v>
      </c>
      <c r="J17" s="112">
        <v>1</v>
      </c>
      <c r="K17" s="74"/>
      <c r="L17" s="16"/>
      <c r="M17" s="75"/>
      <c r="N17" t="s" s="83">
        <v>11</v>
      </c>
      <c r="O17" s="122"/>
      <c r="P17" s="30"/>
      <c r="Q17" s="74"/>
      <c r="R17" s="16"/>
      <c r="S17" s="123">
        <v>1</v>
      </c>
      <c r="T17" s="118">
        <v>22</v>
      </c>
      <c r="U17" s="74"/>
      <c r="V17" s="16"/>
      <c r="W17" s="75"/>
      <c r="X17" s="30"/>
      <c r="Y17" s="30"/>
      <c r="Z17" s="30"/>
      <c r="AA17" t="s" s="119">
        <v>105</v>
      </c>
      <c r="AB17" t="s" s="119">
        <v>15</v>
      </c>
      <c r="AC17" s="112">
        <v>1</v>
      </c>
      <c r="AD17" s="30"/>
      <c r="AE17" s="30"/>
      <c r="AF17" t="s" s="119">
        <v>165</v>
      </c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t="s" s="83">
        <v>2926</v>
      </c>
      <c r="B18" s="112">
        <v>1921</v>
      </c>
      <c r="C18" s="30"/>
      <c r="D18" t="s" s="83">
        <v>2936</v>
      </c>
      <c r="E18" s="30"/>
      <c r="F18" s="30"/>
      <c r="G18" s="30"/>
      <c r="H18" s="112">
        <v>8</v>
      </c>
      <c r="I18" s="122"/>
      <c r="J18" s="30"/>
      <c r="K18" s="74"/>
      <c r="L18" s="16"/>
      <c r="M18" s="75"/>
      <c r="N18" s="30"/>
      <c r="O18" s="122"/>
      <c r="P18" s="30"/>
      <c r="Q18" s="74"/>
      <c r="R18" s="16"/>
      <c r="S18" s="75"/>
      <c r="T18" s="121"/>
      <c r="U18" s="74"/>
      <c r="V18" s="16"/>
      <c r="W18" s="75"/>
      <c r="X18" s="30"/>
      <c r="Y18" s="30"/>
      <c r="Z18" s="30"/>
      <c r="AA18" s="121"/>
      <c r="AB18" s="121"/>
      <c r="AC18" s="30"/>
      <c r="AD18" s="30"/>
      <c r="AE18" s="30"/>
      <c r="AF18" s="121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t="s" s="83">
        <v>2926</v>
      </c>
      <c r="B19" s="112">
        <v>1921</v>
      </c>
      <c r="C19" s="30"/>
      <c r="D19" t="s" s="83">
        <v>2936</v>
      </c>
      <c r="E19" s="30"/>
      <c r="F19" s="30"/>
      <c r="G19" t="s" s="83">
        <v>1</v>
      </c>
      <c r="H19" t="s" s="83">
        <v>0</v>
      </c>
      <c r="I19" s="191"/>
      <c r="J19" t="s" s="83">
        <v>3</v>
      </c>
      <c r="K19" s="192"/>
      <c r="L19" s="3"/>
      <c r="M19" s="193"/>
      <c r="N19" t="s" s="83">
        <v>2</v>
      </c>
      <c r="O19" s="191"/>
      <c r="P19" s="30"/>
      <c r="Q19" s="192"/>
      <c r="R19" s="3"/>
      <c r="S19" s="193"/>
      <c r="T19" t="s" s="119">
        <v>5</v>
      </c>
      <c r="U19" s="192"/>
      <c r="V19" s="3"/>
      <c r="W19" s="193"/>
      <c r="X19" s="30"/>
      <c r="Y19" s="30"/>
      <c r="Z19" s="30"/>
      <c r="AA19" t="s" s="119">
        <v>7</v>
      </c>
      <c r="AB19" t="s" s="119">
        <v>8</v>
      </c>
      <c r="AC19" s="30"/>
      <c r="AD19" s="30"/>
      <c r="AE19" s="30"/>
      <c r="AF19" t="s" s="119">
        <v>6</v>
      </c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192"/>
      <c r="BA19" s="3"/>
      <c r="BB19" s="3"/>
      <c r="BC19" s="3"/>
    </row>
    <row r="20" ht="17.5" customHeight="1">
      <c r="A20" t="s" s="83">
        <v>2926</v>
      </c>
      <c r="B20" s="112">
        <v>1921</v>
      </c>
      <c r="C20" s="112">
        <v>3</v>
      </c>
      <c r="D20" t="s" s="83">
        <v>2936</v>
      </c>
      <c r="E20" s="443"/>
      <c r="F20" s="444">
        <v>3</v>
      </c>
      <c r="G20" t="s" s="409">
        <v>2945</v>
      </c>
      <c r="H20" t="s" s="409">
        <v>2946</v>
      </c>
      <c r="I20" s="194">
        <v>13</v>
      </c>
      <c r="J20" s="444">
        <v>1</v>
      </c>
      <c r="K20" s="195"/>
      <c r="L20" s="13"/>
      <c r="M20" s="196"/>
      <c r="N20" s="444">
        <v>1</v>
      </c>
      <c r="O20" s="212"/>
      <c r="P20" s="332"/>
      <c r="Q20" s="195"/>
      <c r="R20" s="13"/>
      <c r="S20" s="196"/>
      <c r="T20" s="444">
        <v>52</v>
      </c>
      <c r="U20" s="195"/>
      <c r="V20" s="13"/>
      <c r="W20" s="196"/>
      <c r="X20" s="30"/>
      <c r="Y20" s="30"/>
      <c r="Z20" s="30"/>
      <c r="AA20" t="s" s="409">
        <v>33</v>
      </c>
      <c r="AB20" t="s" s="409">
        <v>34</v>
      </c>
      <c r="AC20" s="30"/>
      <c r="AD20" s="30"/>
      <c r="AE20" s="30"/>
      <c r="AF20" t="s" s="409">
        <v>2947</v>
      </c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195"/>
      <c r="BA20" s="13"/>
      <c r="BB20" s="13"/>
      <c r="BC20" s="10"/>
    </row>
    <row r="21" ht="17.5" customHeight="1">
      <c r="A21" t="s" s="83">
        <v>2926</v>
      </c>
      <c r="B21" s="112">
        <v>1921</v>
      </c>
      <c r="C21" s="112">
        <v>3</v>
      </c>
      <c r="D21" t="s" s="83">
        <v>2936</v>
      </c>
      <c r="E21" s="30"/>
      <c r="F21" s="30"/>
      <c r="G21" t="s" s="83">
        <v>263</v>
      </c>
      <c r="H21" t="s" s="83">
        <v>406</v>
      </c>
      <c r="I21" s="199">
        <v>14</v>
      </c>
      <c r="J21" s="112">
        <v>1</v>
      </c>
      <c r="K21" s="200"/>
      <c r="L21" s="14"/>
      <c r="M21" s="201"/>
      <c r="N21" t="s" s="83">
        <v>11</v>
      </c>
      <c r="O21" s="202"/>
      <c r="P21" s="30"/>
      <c r="Q21" s="200"/>
      <c r="R21" s="14"/>
      <c r="S21" s="203">
        <v>1</v>
      </c>
      <c r="T21" s="118">
        <v>50</v>
      </c>
      <c r="U21" s="200"/>
      <c r="V21" s="14"/>
      <c r="W21" s="201"/>
      <c r="X21" s="30"/>
      <c r="Y21" s="30"/>
      <c r="Z21" s="30"/>
      <c r="AA21" t="s" s="119">
        <v>45</v>
      </c>
      <c r="AB21" t="s" s="119">
        <v>45</v>
      </c>
      <c r="AC21" s="112">
        <v>1</v>
      </c>
      <c r="AD21" s="30"/>
      <c r="AE21" s="30"/>
      <c r="AF21" t="s" s="119">
        <v>2948</v>
      </c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200"/>
      <c r="BA21" s="14"/>
      <c r="BB21" s="14"/>
      <c r="BC21" s="14"/>
    </row>
    <row r="22" ht="17.5" customHeight="1">
      <c r="A22" t="s" s="83">
        <v>2926</v>
      </c>
      <c r="B22" s="112">
        <v>1921</v>
      </c>
      <c r="C22" s="112">
        <v>3</v>
      </c>
      <c r="D22" t="s" s="83">
        <v>2936</v>
      </c>
      <c r="E22" s="30"/>
      <c r="F22" s="30"/>
      <c r="G22" t="s" s="83">
        <v>2949</v>
      </c>
      <c r="H22" t="s" s="83">
        <v>2950</v>
      </c>
      <c r="I22" s="120">
        <v>15</v>
      </c>
      <c r="J22" s="112">
        <v>1</v>
      </c>
      <c r="K22" s="74"/>
      <c r="L22" s="16"/>
      <c r="M22" s="75"/>
      <c r="N22" t="s" s="83">
        <v>11</v>
      </c>
      <c r="O22" s="122"/>
      <c r="P22" s="30"/>
      <c r="Q22" s="74"/>
      <c r="R22" s="16"/>
      <c r="S22" s="123">
        <v>1</v>
      </c>
      <c r="T22" s="118">
        <v>16</v>
      </c>
      <c r="U22" s="74"/>
      <c r="V22" s="16"/>
      <c r="W22" s="75"/>
      <c r="X22" s="30"/>
      <c r="Y22" s="30"/>
      <c r="Z22" s="30"/>
      <c r="AA22" t="s" s="119">
        <v>55</v>
      </c>
      <c r="AB22" t="s" s="119">
        <v>55</v>
      </c>
      <c r="AC22" s="112">
        <v>1</v>
      </c>
      <c r="AD22" s="30"/>
      <c r="AE22" s="30"/>
      <c r="AF22" s="118">
        <v>1</v>
      </c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t="s" s="83">
        <v>2926</v>
      </c>
      <c r="B23" s="112">
        <v>1921</v>
      </c>
      <c r="C23" s="30"/>
      <c r="D23" t="s" s="83">
        <v>2936</v>
      </c>
      <c r="E23" s="30"/>
      <c r="F23" s="30"/>
      <c r="G23" s="30"/>
      <c r="H23" s="112">
        <v>3</v>
      </c>
      <c r="I23" s="122"/>
      <c r="J23" s="30"/>
      <c r="K23" s="74"/>
      <c r="L23" s="16"/>
      <c r="M23" s="75"/>
      <c r="N23" s="30"/>
      <c r="O23" s="122"/>
      <c r="P23" s="30"/>
      <c r="Q23" s="74"/>
      <c r="R23" s="16"/>
      <c r="S23" s="75"/>
      <c r="T23" s="121"/>
      <c r="U23" s="74"/>
      <c r="V23" s="16"/>
      <c r="W23" s="75"/>
      <c r="X23" s="30"/>
      <c r="Y23" s="30"/>
      <c r="Z23" s="30"/>
      <c r="AA23" s="121"/>
      <c r="AB23" s="121"/>
      <c r="AC23" s="30"/>
      <c r="AD23" s="30"/>
      <c r="AE23" s="30"/>
      <c r="AF23" s="121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" customHeight="1">
      <c r="A24" t="s" s="83">
        <v>2926</v>
      </c>
      <c r="B24" s="112">
        <v>1921</v>
      </c>
      <c r="C24" s="30"/>
      <c r="D24" t="s" s="83">
        <v>2936</v>
      </c>
      <c r="E24" s="30"/>
      <c r="F24" s="30"/>
      <c r="G24" t="s" s="83">
        <v>1</v>
      </c>
      <c r="H24" t="s" s="83">
        <v>0</v>
      </c>
      <c r="I24" s="122"/>
      <c r="J24" t="s" s="83">
        <v>3</v>
      </c>
      <c r="K24" s="74"/>
      <c r="L24" s="16"/>
      <c r="M24" s="75"/>
      <c r="N24" t="s" s="83">
        <v>2</v>
      </c>
      <c r="O24" s="122"/>
      <c r="P24" s="30"/>
      <c r="Q24" s="74"/>
      <c r="R24" s="16"/>
      <c r="S24" s="75"/>
      <c r="T24" t="s" s="119">
        <v>5</v>
      </c>
      <c r="U24" s="74"/>
      <c r="V24" s="16"/>
      <c r="W24" s="75"/>
      <c r="X24" s="30"/>
      <c r="Y24" s="30"/>
      <c r="Z24" s="30"/>
      <c r="AA24" t="s" s="119">
        <v>7</v>
      </c>
      <c r="AB24" t="s" s="119">
        <v>8</v>
      </c>
      <c r="AC24" s="30"/>
      <c r="AD24" s="30"/>
      <c r="AE24" s="30"/>
      <c r="AF24" t="s" s="119">
        <v>6</v>
      </c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.5" customHeight="1">
      <c r="A25" t="s" s="83">
        <v>2926</v>
      </c>
      <c r="B25" s="112">
        <v>1921</v>
      </c>
      <c r="C25" s="112">
        <v>4</v>
      </c>
      <c r="D25" t="s" s="83">
        <v>2936</v>
      </c>
      <c r="E25" s="30"/>
      <c r="F25" s="112">
        <v>5</v>
      </c>
      <c r="G25" t="s" s="83">
        <v>2951</v>
      </c>
      <c r="H25" t="s" s="83">
        <v>2952</v>
      </c>
      <c r="I25" s="120">
        <v>16</v>
      </c>
      <c r="J25" s="112">
        <v>1</v>
      </c>
      <c r="K25" s="74"/>
      <c r="L25" s="16"/>
      <c r="M25" s="75"/>
      <c r="N25" s="112">
        <v>1</v>
      </c>
      <c r="O25" s="122"/>
      <c r="P25" s="30"/>
      <c r="Q25" s="74"/>
      <c r="R25" s="16"/>
      <c r="S25" s="75"/>
      <c r="T25" s="118">
        <v>37</v>
      </c>
      <c r="U25" s="74"/>
      <c r="V25" s="16"/>
      <c r="W25" s="75"/>
      <c r="X25" s="30"/>
      <c r="Y25" s="30"/>
      <c r="Z25" s="30"/>
      <c r="AA25" t="s" s="119">
        <v>34</v>
      </c>
      <c r="AB25" t="s" s="119">
        <v>34</v>
      </c>
      <c r="AC25" s="30"/>
      <c r="AD25" s="30"/>
      <c r="AE25" s="30"/>
      <c r="AF25" t="s" s="119">
        <v>34</v>
      </c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t="s" s="83">
        <v>2926</v>
      </c>
      <c r="B26" s="112">
        <v>1921</v>
      </c>
      <c r="C26" s="112">
        <v>4</v>
      </c>
      <c r="D26" t="s" s="83">
        <v>2936</v>
      </c>
      <c r="E26" s="30"/>
      <c r="F26" s="30"/>
      <c r="G26" t="s" s="83">
        <v>2953</v>
      </c>
      <c r="H26" t="s" s="83">
        <v>2954</v>
      </c>
      <c r="I26" s="120">
        <v>17</v>
      </c>
      <c r="J26" t="s" s="83">
        <v>37</v>
      </c>
      <c r="K26" s="156">
        <v>1</v>
      </c>
      <c r="L26" s="16"/>
      <c r="M26" s="75"/>
      <c r="N26" t="s" s="83">
        <v>65</v>
      </c>
      <c r="O26" s="122"/>
      <c r="P26" s="30"/>
      <c r="Q26" s="74"/>
      <c r="R26" s="79">
        <v>1</v>
      </c>
      <c r="S26" s="75"/>
      <c r="T26" s="118">
        <v>26</v>
      </c>
      <c r="U26" s="74"/>
      <c r="V26" s="16"/>
      <c r="W26" s="75"/>
      <c r="X26" s="30"/>
      <c r="Y26" s="30"/>
      <c r="Z26" s="30"/>
      <c r="AA26" t="s" s="119">
        <v>2955</v>
      </c>
      <c r="AB26" t="s" s="119">
        <v>2956</v>
      </c>
      <c r="AC26" s="112">
        <v>1</v>
      </c>
      <c r="AD26" s="30"/>
      <c r="AE26" s="30"/>
      <c r="AF26" t="s" s="119">
        <v>2957</v>
      </c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t="s" s="83">
        <v>2926</v>
      </c>
      <c r="B27" s="112">
        <v>1921</v>
      </c>
      <c r="C27" s="112">
        <v>4</v>
      </c>
      <c r="D27" t="s" s="83">
        <v>2936</v>
      </c>
      <c r="E27" s="30"/>
      <c r="F27" s="30"/>
      <c r="G27" t="s" s="83">
        <v>342</v>
      </c>
      <c r="H27" t="s" s="83">
        <v>231</v>
      </c>
      <c r="I27" s="120">
        <v>18</v>
      </c>
      <c r="J27" s="112">
        <v>1</v>
      </c>
      <c r="K27" s="74"/>
      <c r="L27" s="16"/>
      <c r="M27" s="75"/>
      <c r="N27" t="s" s="83">
        <v>11</v>
      </c>
      <c r="O27" s="122"/>
      <c r="P27" s="30"/>
      <c r="Q27" s="74"/>
      <c r="R27" s="16"/>
      <c r="S27" s="123">
        <v>1</v>
      </c>
      <c r="T27" s="118">
        <v>25</v>
      </c>
      <c r="U27" s="74"/>
      <c r="V27" s="16"/>
      <c r="W27" s="75"/>
      <c r="X27" s="30"/>
      <c r="Y27" s="30"/>
      <c r="Z27" s="30"/>
      <c r="AA27" t="s" s="119">
        <v>45</v>
      </c>
      <c r="AB27" t="s" s="119">
        <v>15</v>
      </c>
      <c r="AC27" s="112">
        <v>1</v>
      </c>
      <c r="AD27" s="30"/>
      <c r="AE27" s="30"/>
      <c r="AF27" t="s" s="119">
        <v>34</v>
      </c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t="s" s="83">
        <v>2926</v>
      </c>
      <c r="B28" s="112">
        <v>1921</v>
      </c>
      <c r="C28" s="112">
        <v>4</v>
      </c>
      <c r="D28" t="s" s="83">
        <v>2936</v>
      </c>
      <c r="E28" s="30"/>
      <c r="F28" s="30"/>
      <c r="G28" t="s" s="83">
        <v>2958</v>
      </c>
      <c r="H28" t="s" s="83">
        <v>2959</v>
      </c>
      <c r="I28" s="120">
        <v>19</v>
      </c>
      <c r="J28" t="s" s="83">
        <v>37</v>
      </c>
      <c r="K28" s="156">
        <v>1</v>
      </c>
      <c r="L28" s="16"/>
      <c r="M28" s="75"/>
      <c r="N28" t="s" s="83">
        <v>65</v>
      </c>
      <c r="O28" s="122"/>
      <c r="P28" s="30"/>
      <c r="Q28" s="74"/>
      <c r="R28" s="79">
        <v>1</v>
      </c>
      <c r="S28" s="75"/>
      <c r="T28" s="118">
        <v>26</v>
      </c>
      <c r="U28" s="74"/>
      <c r="V28" s="16"/>
      <c r="W28" s="75"/>
      <c r="X28" s="30"/>
      <c r="Y28" s="30"/>
      <c r="Z28" s="30"/>
      <c r="AA28" t="s" s="119">
        <v>2960</v>
      </c>
      <c r="AB28" t="s" s="119">
        <v>2961</v>
      </c>
      <c r="AC28" s="112">
        <v>1</v>
      </c>
      <c r="AD28" s="30"/>
      <c r="AE28" s="30"/>
      <c r="AF28" t="s" s="119">
        <v>2962</v>
      </c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t="s" s="83">
        <v>2926</v>
      </c>
      <c r="B29" s="112">
        <v>1921</v>
      </c>
      <c r="C29" s="112">
        <v>4</v>
      </c>
      <c r="D29" t="s" s="83">
        <v>2936</v>
      </c>
      <c r="E29" s="30"/>
      <c r="F29" s="30"/>
      <c r="G29" t="s" s="83">
        <v>2963</v>
      </c>
      <c r="H29" t="s" s="83">
        <v>2964</v>
      </c>
      <c r="I29" s="120">
        <v>20</v>
      </c>
      <c r="J29" s="112">
        <v>1</v>
      </c>
      <c r="K29" s="74"/>
      <c r="L29" s="16"/>
      <c r="M29" s="75"/>
      <c r="N29" t="s" s="83">
        <v>65</v>
      </c>
      <c r="O29" s="122"/>
      <c r="P29" s="30"/>
      <c r="Q29" s="74"/>
      <c r="R29" s="79">
        <v>1</v>
      </c>
      <c r="S29" s="75"/>
      <c r="T29" s="112">
        <v>25</v>
      </c>
      <c r="U29" s="74"/>
      <c r="V29" s="16"/>
      <c r="W29" s="75"/>
      <c r="X29" s="30"/>
      <c r="Y29" s="30"/>
      <c r="Z29" s="30"/>
      <c r="AA29" t="s" s="83">
        <v>34</v>
      </c>
      <c r="AB29" t="s" s="83">
        <v>34</v>
      </c>
      <c r="AC29" s="30"/>
      <c r="AD29" s="30"/>
      <c r="AE29" s="30"/>
      <c r="AF29" t="s" s="83">
        <v>553</v>
      </c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t="s" s="83">
        <v>2926</v>
      </c>
      <c r="B30" s="112">
        <v>1921</v>
      </c>
      <c r="C30" s="112">
        <v>4</v>
      </c>
      <c r="D30" t="s" s="83">
        <v>2936</v>
      </c>
      <c r="E30" s="30"/>
      <c r="F30" s="30"/>
      <c r="G30" t="s" s="83">
        <v>2963</v>
      </c>
      <c r="H30" t="s" s="83">
        <v>2965</v>
      </c>
      <c r="I30" s="120">
        <v>21</v>
      </c>
      <c r="J30" t="s" s="83">
        <v>37</v>
      </c>
      <c r="K30" s="156">
        <v>1</v>
      </c>
      <c r="L30" s="16"/>
      <c r="M30" s="75"/>
      <c r="N30" t="s" s="83">
        <v>65</v>
      </c>
      <c r="O30" s="122"/>
      <c r="P30" s="30"/>
      <c r="Q30" s="74"/>
      <c r="R30" s="79">
        <v>1</v>
      </c>
      <c r="S30" s="75"/>
      <c r="T30" s="118">
        <v>26</v>
      </c>
      <c r="U30" s="74"/>
      <c r="V30" s="16"/>
      <c r="W30" s="75"/>
      <c r="X30" s="30"/>
      <c r="Y30" s="30"/>
      <c r="Z30" s="30"/>
      <c r="AA30" t="s" s="119">
        <v>2966</v>
      </c>
      <c r="AB30" t="s" s="119">
        <v>2967</v>
      </c>
      <c r="AC30" s="112">
        <v>1</v>
      </c>
      <c r="AD30" s="30"/>
      <c r="AE30" s="30"/>
      <c r="AF30" t="s" s="119">
        <v>2968</v>
      </c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t="s" s="83">
        <v>2926</v>
      </c>
      <c r="B31" s="112">
        <v>1921</v>
      </c>
      <c r="C31" s="112">
        <v>4</v>
      </c>
      <c r="D31" t="s" s="83">
        <v>2936</v>
      </c>
      <c r="E31" s="30"/>
      <c r="F31" s="30"/>
      <c r="G31" t="s" s="83">
        <v>2969</v>
      </c>
      <c r="H31" t="s" s="83">
        <v>2970</v>
      </c>
      <c r="I31" s="120">
        <v>22</v>
      </c>
      <c r="J31" t="s" s="83">
        <v>37</v>
      </c>
      <c r="K31" s="156">
        <v>1</v>
      </c>
      <c r="L31" s="16"/>
      <c r="M31" s="75"/>
      <c r="N31" t="s" s="83">
        <v>65</v>
      </c>
      <c r="O31" s="122"/>
      <c r="P31" s="30"/>
      <c r="Q31" s="74"/>
      <c r="R31" s="79">
        <v>1</v>
      </c>
      <c r="S31" s="75"/>
      <c r="T31" s="118">
        <v>28</v>
      </c>
      <c r="U31" s="74"/>
      <c r="V31" s="16"/>
      <c r="W31" s="75"/>
      <c r="X31" s="30"/>
      <c r="Y31" s="30"/>
      <c r="Z31" s="30"/>
      <c r="AA31" t="s" s="119">
        <v>2971</v>
      </c>
      <c r="AB31" t="s" s="119">
        <v>2972</v>
      </c>
      <c r="AC31" s="112">
        <v>1</v>
      </c>
      <c r="AD31" s="30"/>
      <c r="AE31" s="30"/>
      <c r="AF31" t="s" s="119">
        <v>2973</v>
      </c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" customHeight="1">
      <c r="A32" t="s" s="83">
        <v>2926</v>
      </c>
      <c r="B32" s="112">
        <v>1921</v>
      </c>
      <c r="C32" s="30"/>
      <c r="D32" t="s" s="83">
        <v>2936</v>
      </c>
      <c r="E32" s="30"/>
      <c r="F32" s="28"/>
      <c r="G32" s="28"/>
      <c r="H32" s="118">
        <v>7</v>
      </c>
      <c r="I32" s="122"/>
      <c r="J32" s="125"/>
      <c r="K32" s="74"/>
      <c r="L32" s="16"/>
      <c r="M32" s="75"/>
      <c r="N32" s="121"/>
      <c r="O32" s="122"/>
      <c r="P32" s="28"/>
      <c r="Q32" s="74"/>
      <c r="R32" s="16"/>
      <c r="S32" s="75"/>
      <c r="T32" s="28"/>
      <c r="U32" s="74"/>
      <c r="V32" s="16"/>
      <c r="W32" s="75"/>
      <c r="X32" s="30"/>
      <c r="Y32" s="30"/>
      <c r="Z32" s="112" cm="1">
        <f t="array" ref="Z32">SUM(Z3:Z31)</f>
        <v>0</v>
      </c>
      <c r="AA32" s="28"/>
      <c r="AB32" s="28"/>
      <c r="AC32" s="30"/>
      <c r="AD32" s="30"/>
      <c r="AE32" s="30"/>
      <c r="AF32" s="28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t="s" s="83">
        <v>2926</v>
      </c>
      <c r="B33" s="112">
        <v>1921</v>
      </c>
      <c r="C33" s="30"/>
      <c r="D33" t="s" s="83">
        <v>2936</v>
      </c>
      <c r="E33" s="30"/>
      <c r="F33" s="28"/>
      <c r="G33" t="s" s="148">
        <v>1</v>
      </c>
      <c r="H33" t="s" s="119">
        <v>0</v>
      </c>
      <c r="I33" s="74"/>
      <c r="J33" t="s" s="431">
        <v>3</v>
      </c>
      <c r="K33" s="16"/>
      <c r="L33" s="16"/>
      <c r="M33" s="75"/>
      <c r="N33" t="s" s="295">
        <v>2</v>
      </c>
      <c r="O33" s="16"/>
      <c r="P33" s="165"/>
      <c r="Q33" s="74"/>
      <c r="R33" s="16"/>
      <c r="S33" s="75"/>
      <c r="T33" t="s" s="148">
        <v>5</v>
      </c>
      <c r="U33" s="74"/>
      <c r="V33" s="16"/>
      <c r="W33" s="75"/>
      <c r="X33" s="30"/>
      <c r="Y33" s="30"/>
      <c r="Z33" s="30"/>
      <c r="AA33" t="s" s="148">
        <v>7</v>
      </c>
      <c r="AB33" t="s" s="148">
        <v>8</v>
      </c>
      <c r="AC33" s="30"/>
      <c r="AD33" s="30"/>
      <c r="AE33" s="30"/>
      <c r="AF33" t="s" s="148">
        <v>6</v>
      </c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t="s" s="83">
        <v>2926</v>
      </c>
      <c r="B34" s="112">
        <v>1921</v>
      </c>
      <c r="C34" s="112">
        <v>5</v>
      </c>
      <c r="D34" t="s" s="83">
        <v>2936</v>
      </c>
      <c r="E34" t="s" s="83">
        <v>2974</v>
      </c>
      <c r="F34" s="30"/>
      <c r="G34" t="s" s="83">
        <v>2975</v>
      </c>
      <c r="H34" t="s" s="83">
        <v>2976</v>
      </c>
      <c r="I34" s="120">
        <v>23</v>
      </c>
      <c r="J34" t="s" s="83">
        <v>37</v>
      </c>
      <c r="K34" s="156">
        <v>1</v>
      </c>
      <c r="L34" s="16"/>
      <c r="M34" s="75"/>
      <c r="N34" s="112">
        <v>1</v>
      </c>
      <c r="O34" s="122"/>
      <c r="P34" s="30"/>
      <c r="Q34" s="74"/>
      <c r="R34" s="16"/>
      <c r="S34" s="75"/>
      <c r="T34" s="112">
        <v>63</v>
      </c>
      <c r="U34" s="74"/>
      <c r="V34" s="16"/>
      <c r="W34" s="75"/>
      <c r="X34" s="30"/>
      <c r="Y34" s="30"/>
      <c r="Z34" s="30"/>
      <c r="AA34" t="s" s="83">
        <v>2977</v>
      </c>
      <c r="AB34" t="s" s="83">
        <v>2978</v>
      </c>
      <c r="AC34" s="112">
        <v>1</v>
      </c>
      <c r="AD34" s="30"/>
      <c r="AE34" s="30"/>
      <c r="AF34" t="s" s="83">
        <v>2979</v>
      </c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t="s" s="83">
        <v>2926</v>
      </c>
      <c r="B35" s="112">
        <v>1921</v>
      </c>
      <c r="C35" s="112">
        <v>5</v>
      </c>
      <c r="D35" t="s" s="83">
        <v>2936</v>
      </c>
      <c r="E35" t="s" s="83">
        <v>2974</v>
      </c>
      <c r="F35" s="30"/>
      <c r="G35" t="s" s="83">
        <v>2975</v>
      </c>
      <c r="H35" t="s" s="83">
        <v>2980</v>
      </c>
      <c r="I35" s="120">
        <v>24</v>
      </c>
      <c r="J35" s="112">
        <v>1</v>
      </c>
      <c r="K35" s="74"/>
      <c r="L35" s="16"/>
      <c r="M35" s="75"/>
      <c r="N35" t="s" s="83">
        <v>246</v>
      </c>
      <c r="O35" s="122"/>
      <c r="P35" s="30"/>
      <c r="Q35" s="74"/>
      <c r="R35" s="79">
        <v>1</v>
      </c>
      <c r="S35" s="75"/>
      <c r="T35" s="112">
        <v>65</v>
      </c>
      <c r="U35" s="74"/>
      <c r="V35" s="16"/>
      <c r="W35" s="75"/>
      <c r="X35" s="30"/>
      <c r="Y35" s="30"/>
      <c r="Z35" s="30"/>
      <c r="AA35" t="s" s="83">
        <v>33</v>
      </c>
      <c r="AB35" t="s" s="83">
        <v>34</v>
      </c>
      <c r="AC35" s="30"/>
      <c r="AD35" s="30"/>
      <c r="AE35" s="30"/>
      <c r="AF35" t="s" s="83">
        <v>2979</v>
      </c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" customHeight="1">
      <c r="A36" t="s" s="83">
        <v>2926</v>
      </c>
      <c r="B36" s="112">
        <v>1921</v>
      </c>
      <c r="C36" s="112">
        <v>5</v>
      </c>
      <c r="D36" t="s" s="83">
        <v>2936</v>
      </c>
      <c r="E36" t="s" s="83">
        <v>2974</v>
      </c>
      <c r="F36" s="30"/>
      <c r="G36" t="s" s="83">
        <v>2981</v>
      </c>
      <c r="H36" t="s" s="83">
        <v>1182</v>
      </c>
      <c r="I36" s="120">
        <v>25</v>
      </c>
      <c r="J36" s="112">
        <v>1</v>
      </c>
      <c r="K36" s="74"/>
      <c r="L36" s="16"/>
      <c r="M36" s="75"/>
      <c r="N36" t="s" s="83">
        <v>11</v>
      </c>
      <c r="O36" s="122"/>
      <c r="P36" s="30"/>
      <c r="Q36" s="74"/>
      <c r="R36" s="16"/>
      <c r="S36" s="123">
        <v>1</v>
      </c>
      <c r="T36" s="112">
        <v>42</v>
      </c>
      <c r="U36" s="74"/>
      <c r="V36" s="16"/>
      <c r="W36" s="75"/>
      <c r="X36" s="30"/>
      <c r="Y36" s="30"/>
      <c r="Z36" s="30"/>
      <c r="AA36" t="s" s="83">
        <v>105</v>
      </c>
      <c r="AB36" t="s" s="83">
        <v>15</v>
      </c>
      <c r="AC36" s="112">
        <v>1</v>
      </c>
      <c r="AD36" s="134"/>
      <c r="AE36" s="30"/>
      <c r="AF36" t="s" s="83">
        <v>2982</v>
      </c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t="s" s="83">
        <v>2926</v>
      </c>
      <c r="B37" s="112">
        <v>1921</v>
      </c>
      <c r="C37" s="30"/>
      <c r="D37" t="s" s="83">
        <v>2936</v>
      </c>
      <c r="E37" s="30"/>
      <c r="F37" s="30"/>
      <c r="G37" s="30"/>
      <c r="H37" s="112">
        <v>3</v>
      </c>
      <c r="I37" s="122"/>
      <c r="J37" s="30"/>
      <c r="K37" s="74"/>
      <c r="L37" s="16"/>
      <c r="M37" s="75"/>
      <c r="N37" s="30"/>
      <c r="O37" s="122"/>
      <c r="P37" s="30"/>
      <c r="Q37" s="74"/>
      <c r="R37" s="16"/>
      <c r="S37" s="75"/>
      <c r="T37" s="30"/>
      <c r="U37" s="74"/>
      <c r="V37" s="16"/>
      <c r="W37" s="75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5.35" customHeight="1">
      <c r="A38" t="s" s="83">
        <v>2926</v>
      </c>
      <c r="B38" s="112">
        <v>1921</v>
      </c>
      <c r="C38" s="30"/>
      <c r="D38" t="s" s="83">
        <v>2936</v>
      </c>
      <c r="E38" s="116"/>
      <c r="F38" s="62"/>
      <c r="G38" t="s" s="98">
        <v>1</v>
      </c>
      <c r="H38" t="s" s="98">
        <v>0</v>
      </c>
      <c r="I38" s="16"/>
      <c r="J38" t="s" s="98">
        <v>3</v>
      </c>
      <c r="K38" s="16"/>
      <c r="L38" s="16"/>
      <c r="M38" s="16"/>
      <c r="N38" t="s" s="98">
        <v>2</v>
      </c>
      <c r="O38" s="16"/>
      <c r="P38" s="62"/>
      <c r="Q38" s="16"/>
      <c r="R38" s="16"/>
      <c r="S38" s="16"/>
      <c r="T38" t="s" s="98">
        <v>5</v>
      </c>
      <c r="U38" s="16"/>
      <c r="V38" s="16"/>
      <c r="W38" s="16"/>
      <c r="X38" s="62"/>
      <c r="Y38" s="62"/>
      <c r="Z38" s="62"/>
      <c r="AA38" t="s" s="98">
        <v>7</v>
      </c>
      <c r="AB38" t="s" s="98">
        <v>8</v>
      </c>
      <c r="AC38" s="62"/>
      <c r="AD38" s="62"/>
      <c r="AE38" s="62"/>
      <c r="AF38" t="s" s="98">
        <v>6</v>
      </c>
      <c r="AG38" s="62"/>
      <c r="AH38" s="62"/>
      <c r="AI38" s="62"/>
      <c r="AJ38" s="62"/>
      <c r="AK38" s="62"/>
      <c r="AL38" s="62"/>
      <c r="AM38" s="62"/>
      <c r="AN38" s="62"/>
      <c r="AO38" s="62"/>
      <c r="AP38" s="62"/>
      <c r="AQ38" s="62"/>
      <c r="AR38" s="62"/>
      <c r="AS38" s="62"/>
      <c r="AT38" s="62"/>
      <c r="AU38" s="62"/>
      <c r="AV38" s="62"/>
      <c r="AW38" s="62"/>
      <c r="AX38" s="62"/>
      <c r="AY38" s="62"/>
      <c r="AZ38" s="16"/>
      <c r="BA38" s="16"/>
      <c r="BB38" s="16"/>
      <c r="BC38" s="16"/>
    </row>
    <row r="39" ht="15.35" customHeight="1">
      <c r="A39" t="s" s="83">
        <v>2926</v>
      </c>
      <c r="B39" s="112">
        <v>1921</v>
      </c>
      <c r="C39" s="112">
        <v>6</v>
      </c>
      <c r="D39" t="s" s="83">
        <v>2936</v>
      </c>
      <c r="E39" t="s" s="157">
        <v>2983</v>
      </c>
      <c r="F39" s="16"/>
      <c r="G39" t="s" s="96">
        <v>1423</v>
      </c>
      <c r="H39" t="s" s="96">
        <v>2984</v>
      </c>
      <c r="I39" s="79">
        <v>26</v>
      </c>
      <c r="J39" t="s" s="96">
        <v>37</v>
      </c>
      <c r="K39" s="79">
        <v>1</v>
      </c>
      <c r="L39" s="16"/>
      <c r="M39" s="16"/>
      <c r="N39" s="79">
        <v>1</v>
      </c>
      <c r="O39" s="16"/>
      <c r="P39" s="16"/>
      <c r="Q39" s="16"/>
      <c r="R39" s="16"/>
      <c r="S39" s="16"/>
      <c r="T39" s="79">
        <v>28</v>
      </c>
      <c r="U39" s="16"/>
      <c r="V39" s="16"/>
      <c r="W39" s="16"/>
      <c r="X39" s="16"/>
      <c r="Y39" s="16"/>
      <c r="Z39" s="16"/>
      <c r="AA39" t="s" s="96">
        <v>2985</v>
      </c>
      <c r="AB39" t="s" s="96">
        <v>15</v>
      </c>
      <c r="AC39" s="79">
        <v>1</v>
      </c>
      <c r="AD39" s="16"/>
      <c r="AE39" s="16"/>
      <c r="AF39" t="s" s="96">
        <v>2986</v>
      </c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</row>
    <row r="40" ht="15.35" customHeight="1">
      <c r="A40" t="s" s="83">
        <v>2926</v>
      </c>
      <c r="B40" s="112">
        <v>1921</v>
      </c>
      <c r="C40" s="112">
        <v>6</v>
      </c>
      <c r="D40" t="s" s="83">
        <v>2936</v>
      </c>
      <c r="E40" t="s" s="157">
        <v>2983</v>
      </c>
      <c r="F40" s="16"/>
      <c r="G40" t="s" s="96">
        <v>1423</v>
      </c>
      <c r="H40" t="s" s="96">
        <v>2163</v>
      </c>
      <c r="I40" s="79">
        <v>27</v>
      </c>
      <c r="J40" s="79">
        <v>1</v>
      </c>
      <c r="K40" s="16"/>
      <c r="L40" s="16"/>
      <c r="M40" s="16"/>
      <c r="N40" t="s" s="96">
        <v>72</v>
      </c>
      <c r="O40" s="79">
        <v>1</v>
      </c>
      <c r="P40" s="16"/>
      <c r="Q40" s="16"/>
      <c r="R40" s="16"/>
      <c r="S40" s="16"/>
      <c r="T40" s="79">
        <v>22</v>
      </c>
      <c r="U40" s="16"/>
      <c r="V40" s="16"/>
      <c r="W40" s="16"/>
      <c r="X40" s="16"/>
      <c r="Y40" s="16"/>
      <c r="Z40" s="16"/>
      <c r="AA40" t="s" s="96">
        <v>33</v>
      </c>
      <c r="AB40" t="s" s="96">
        <v>34</v>
      </c>
      <c r="AC40" s="16"/>
      <c r="AD40" s="16"/>
      <c r="AE40" s="16"/>
      <c r="AF40" t="s" s="96">
        <v>2987</v>
      </c>
      <c r="AG40" s="16"/>
      <c r="AH40" s="16"/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</row>
    <row r="41" ht="15.35" customHeight="1">
      <c r="A41" t="s" s="83">
        <v>2926</v>
      </c>
      <c r="B41" s="112">
        <v>1921</v>
      </c>
      <c r="C41" s="30"/>
      <c r="D41" t="s" s="83">
        <v>2936</v>
      </c>
      <c r="E41" s="74"/>
      <c r="F41" s="16"/>
      <c r="G41" s="16"/>
      <c r="H41" s="79">
        <v>2</v>
      </c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</row>
    <row r="42" ht="15.35" customHeight="1">
      <c r="A42" t="s" s="83">
        <v>2926</v>
      </c>
      <c r="B42" s="112">
        <v>1921</v>
      </c>
      <c r="C42" s="30"/>
      <c r="D42" t="s" s="83">
        <v>2936</v>
      </c>
      <c r="E42" s="192"/>
      <c r="F42" s="3"/>
      <c r="G42" t="s" s="2">
        <v>1</v>
      </c>
      <c r="H42" t="s" s="2">
        <v>0</v>
      </c>
      <c r="I42" s="3"/>
      <c r="J42" t="s" s="2">
        <v>3</v>
      </c>
      <c r="K42" s="3"/>
      <c r="L42" s="3"/>
      <c r="M42" s="3"/>
      <c r="N42" t="s" s="2">
        <v>2</v>
      </c>
      <c r="O42" s="3"/>
      <c r="P42" s="3"/>
      <c r="Q42" s="3"/>
      <c r="R42" s="3"/>
      <c r="S42" s="3"/>
      <c r="T42" t="s" s="2">
        <v>5</v>
      </c>
      <c r="U42" s="3"/>
      <c r="V42" s="3"/>
      <c r="W42" s="3"/>
      <c r="X42" s="3"/>
      <c r="Y42" s="3"/>
      <c r="Z42" s="3"/>
      <c r="AA42" t="s" s="2">
        <v>7</v>
      </c>
      <c r="AB42" t="s" s="2">
        <v>8</v>
      </c>
      <c r="AC42" s="3"/>
      <c r="AD42" s="3"/>
      <c r="AE42" s="3"/>
      <c r="AF42" t="s" s="2">
        <v>6</v>
      </c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</row>
    <row r="43" ht="20" customHeight="1">
      <c r="A43" t="s" s="83">
        <v>2926</v>
      </c>
      <c r="B43" s="112">
        <v>1921</v>
      </c>
      <c r="C43" s="112">
        <v>7</v>
      </c>
      <c r="D43" t="s" s="83">
        <v>2936</v>
      </c>
      <c r="E43" t="s" s="445">
        <v>2988</v>
      </c>
      <c r="F43" s="13"/>
      <c r="G43" t="s" s="5">
        <v>1937</v>
      </c>
      <c r="H43" t="s" s="5">
        <v>2989</v>
      </c>
      <c r="I43" s="6">
        <v>28</v>
      </c>
      <c r="J43" s="6">
        <v>1</v>
      </c>
      <c r="K43" s="13"/>
      <c r="L43" s="13"/>
      <c r="M43" s="13"/>
      <c r="N43" s="6">
        <v>1</v>
      </c>
      <c r="O43" s="13"/>
      <c r="P43" s="13"/>
      <c r="Q43" s="13"/>
      <c r="R43" s="13"/>
      <c r="S43" s="13"/>
      <c r="T43" s="6">
        <v>47</v>
      </c>
      <c r="U43" s="13"/>
      <c r="V43" s="13"/>
      <c r="W43" s="13"/>
      <c r="X43" s="13"/>
      <c r="Y43" s="13"/>
      <c r="Z43" s="13"/>
      <c r="AA43" t="s" s="5">
        <v>33</v>
      </c>
      <c r="AB43" t="s" s="5">
        <v>34</v>
      </c>
      <c r="AC43" s="13"/>
      <c r="AD43" s="13"/>
      <c r="AE43" s="13"/>
      <c r="AF43" s="6">
        <v>1</v>
      </c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0"/>
    </row>
    <row r="44" ht="15.35" customHeight="1">
      <c r="A44" t="s" s="83">
        <v>2926</v>
      </c>
      <c r="B44" s="112">
        <v>1921</v>
      </c>
      <c r="C44" s="112">
        <v>7</v>
      </c>
      <c r="D44" t="s" s="83">
        <v>2936</v>
      </c>
      <c r="E44" t="s" s="357">
        <v>2988</v>
      </c>
      <c r="F44" s="14"/>
      <c r="G44" t="s" s="285">
        <v>1937</v>
      </c>
      <c r="H44" t="s" s="285">
        <v>2990</v>
      </c>
      <c r="I44" s="264">
        <v>29</v>
      </c>
      <c r="J44" t="s" s="285">
        <v>37</v>
      </c>
      <c r="K44" s="264">
        <v>1</v>
      </c>
      <c r="L44" s="14"/>
      <c r="M44" s="14"/>
      <c r="N44" t="s" s="285">
        <v>36</v>
      </c>
      <c r="O44" s="14"/>
      <c r="P44" s="14"/>
      <c r="Q44" s="264">
        <v>1</v>
      </c>
      <c r="R44" s="14"/>
      <c r="S44" s="14"/>
      <c r="T44" s="264">
        <v>22</v>
      </c>
      <c r="U44" s="14"/>
      <c r="V44" s="14"/>
      <c r="W44" s="14"/>
      <c r="X44" s="14"/>
      <c r="Y44" s="14"/>
      <c r="Z44" s="14"/>
      <c r="AA44" t="s" s="285">
        <v>2991</v>
      </c>
      <c r="AB44" t="s" s="285">
        <v>2992</v>
      </c>
      <c r="AC44" s="264">
        <v>1</v>
      </c>
      <c r="AD44" s="14"/>
      <c r="AE44" s="14"/>
      <c r="AF44" s="264">
        <v>1</v>
      </c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</row>
    <row r="45" ht="15.35" customHeight="1">
      <c r="A45" t="s" s="83">
        <v>2926</v>
      </c>
      <c r="B45" s="112">
        <v>1921</v>
      </c>
      <c r="C45" s="112">
        <v>7</v>
      </c>
      <c r="D45" t="s" s="83">
        <v>2936</v>
      </c>
      <c r="E45" t="s" s="157">
        <v>2988</v>
      </c>
      <c r="F45" s="16"/>
      <c r="G45" t="s" s="96">
        <v>1937</v>
      </c>
      <c r="H45" t="s" s="96">
        <v>2993</v>
      </c>
      <c r="I45" s="79">
        <v>30</v>
      </c>
      <c r="J45" s="79">
        <v>1</v>
      </c>
      <c r="K45" s="16"/>
      <c r="L45" s="16"/>
      <c r="M45" s="16"/>
      <c r="N45" t="s" s="96">
        <v>78</v>
      </c>
      <c r="O45" s="16"/>
      <c r="P45" s="79">
        <v>1</v>
      </c>
      <c r="Q45" s="16"/>
      <c r="R45" s="16"/>
      <c r="S45" s="16"/>
      <c r="T45" s="79">
        <v>18</v>
      </c>
      <c r="U45" s="16"/>
      <c r="V45" s="16"/>
      <c r="W45" s="16"/>
      <c r="X45" s="16"/>
      <c r="Y45" s="16"/>
      <c r="Z45" s="16"/>
      <c r="AA45" t="s" s="96">
        <v>34</v>
      </c>
      <c r="AB45" t="s" s="96">
        <v>34</v>
      </c>
      <c r="AC45" s="16"/>
      <c r="AD45" s="16"/>
      <c r="AE45" s="16"/>
      <c r="AF45" s="79">
        <v>1</v>
      </c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</row>
    <row r="46" ht="15.35" customHeight="1">
      <c r="A46" t="s" s="83">
        <v>2926</v>
      </c>
      <c r="B46" s="112">
        <v>1921</v>
      </c>
      <c r="C46" s="112">
        <v>7</v>
      </c>
      <c r="D46" t="s" s="83">
        <v>2936</v>
      </c>
      <c r="E46" t="s" s="157">
        <v>2988</v>
      </c>
      <c r="F46" s="16"/>
      <c r="G46" t="s" s="96">
        <v>1937</v>
      </c>
      <c r="H46" t="s" s="96">
        <v>2529</v>
      </c>
      <c r="I46" s="79">
        <v>31</v>
      </c>
      <c r="J46" t="s" s="96">
        <v>12</v>
      </c>
      <c r="K46" s="16"/>
      <c r="L46" s="79">
        <v>1</v>
      </c>
      <c r="M46" s="16"/>
      <c r="N46" t="s" s="96">
        <v>78</v>
      </c>
      <c r="O46" s="16"/>
      <c r="P46" s="79">
        <v>1</v>
      </c>
      <c r="Q46" s="16"/>
      <c r="R46" s="16"/>
      <c r="S46" s="16"/>
      <c r="T46" s="79">
        <v>7</v>
      </c>
      <c r="U46" s="16"/>
      <c r="V46" s="16"/>
      <c r="W46" s="16"/>
      <c r="X46" s="16"/>
      <c r="Y46" s="16"/>
      <c r="Z46" s="16"/>
      <c r="AA46" t="s" s="96">
        <v>2994</v>
      </c>
      <c r="AB46" t="s" s="96">
        <v>34</v>
      </c>
      <c r="AC46" s="16"/>
      <c r="AD46" s="16"/>
      <c r="AE46" s="16"/>
      <c r="AF46" s="79">
        <v>1</v>
      </c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</row>
    <row r="47" ht="15.35" customHeight="1">
      <c r="A47" t="s" s="83">
        <v>2926</v>
      </c>
      <c r="B47" s="112">
        <v>1921</v>
      </c>
      <c r="C47" s="112">
        <v>7</v>
      </c>
      <c r="D47" t="s" s="83">
        <v>2936</v>
      </c>
      <c r="E47" t="s" s="157">
        <v>2988</v>
      </c>
      <c r="F47" s="16"/>
      <c r="G47" t="s" s="96">
        <v>888</v>
      </c>
      <c r="H47" t="s" s="96">
        <v>950</v>
      </c>
      <c r="I47" s="79">
        <v>32</v>
      </c>
      <c r="J47" s="79">
        <v>1</v>
      </c>
      <c r="K47" s="16"/>
      <c r="L47" s="16"/>
      <c r="M47" s="16"/>
      <c r="N47" t="s" s="96">
        <v>11</v>
      </c>
      <c r="O47" s="16"/>
      <c r="P47" s="16"/>
      <c r="Q47" s="16"/>
      <c r="R47" s="16"/>
      <c r="S47" s="79">
        <v>1</v>
      </c>
      <c r="T47" s="79">
        <v>35</v>
      </c>
      <c r="U47" s="16"/>
      <c r="V47" s="16"/>
      <c r="W47" s="16"/>
      <c r="X47" s="16"/>
      <c r="Y47" s="16"/>
      <c r="Z47" s="16"/>
      <c r="AA47" t="s" s="96">
        <v>45</v>
      </c>
      <c r="AB47" t="s" s="96">
        <v>15</v>
      </c>
      <c r="AC47" s="79">
        <v>1</v>
      </c>
      <c r="AD47" s="16"/>
      <c r="AE47" s="16"/>
      <c r="AF47" t="s" s="96">
        <v>134</v>
      </c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</row>
    <row r="48" ht="15.35" customHeight="1">
      <c r="A48" t="s" s="83">
        <v>2926</v>
      </c>
      <c r="B48" s="112">
        <v>1921</v>
      </c>
      <c r="C48" s="30"/>
      <c r="D48" t="s" s="83">
        <v>2936</v>
      </c>
      <c r="E48" s="74"/>
      <c r="F48" s="16"/>
      <c r="G48" s="16"/>
      <c r="H48" s="79">
        <v>5</v>
      </c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</row>
    <row r="49" ht="15.35" customHeight="1">
      <c r="A49" t="s" s="83">
        <v>2926</v>
      </c>
      <c r="B49" s="112">
        <v>1921</v>
      </c>
      <c r="C49" s="30"/>
      <c r="D49" t="s" s="83">
        <v>2936</v>
      </c>
      <c r="E49" s="74"/>
      <c r="F49" s="16"/>
      <c r="G49" t="s" s="96">
        <v>1</v>
      </c>
      <c r="H49" t="s" s="96">
        <v>0</v>
      </c>
      <c r="I49" s="16"/>
      <c r="J49" t="s" s="96">
        <v>3</v>
      </c>
      <c r="K49" s="16"/>
      <c r="L49" s="16"/>
      <c r="M49" s="16"/>
      <c r="N49" t="s" s="96">
        <v>2</v>
      </c>
      <c r="O49" s="16"/>
      <c r="P49" s="16"/>
      <c r="Q49" s="16"/>
      <c r="R49" s="16"/>
      <c r="S49" s="16"/>
      <c r="T49" t="s" s="96">
        <v>5</v>
      </c>
      <c r="U49" s="16"/>
      <c r="V49" s="16"/>
      <c r="W49" s="16"/>
      <c r="X49" s="16"/>
      <c r="Y49" s="16"/>
      <c r="Z49" s="16"/>
      <c r="AA49" t="s" s="96">
        <v>7</v>
      </c>
      <c r="AB49" t="s" s="96">
        <v>8</v>
      </c>
      <c r="AC49" s="16"/>
      <c r="AD49" s="16"/>
      <c r="AE49" s="16"/>
      <c r="AF49" t="s" s="96">
        <v>6</v>
      </c>
      <c r="AG49" s="16"/>
      <c r="AH49" s="16"/>
      <c r="AI49" s="16"/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</row>
    <row r="50" ht="15.35" customHeight="1">
      <c r="A50" t="s" s="83">
        <v>2926</v>
      </c>
      <c r="B50" s="112">
        <v>1921</v>
      </c>
      <c r="C50" s="112">
        <v>8</v>
      </c>
      <c r="D50" t="s" s="83">
        <v>2936</v>
      </c>
      <c r="E50" s="74"/>
      <c r="F50" s="16"/>
      <c r="G50" t="s" s="96">
        <v>2995</v>
      </c>
      <c r="H50" t="s" s="96">
        <v>1303</v>
      </c>
      <c r="I50" s="79">
        <v>33</v>
      </c>
      <c r="J50" t="s" s="96">
        <v>37</v>
      </c>
      <c r="K50" s="79">
        <v>1</v>
      </c>
      <c r="L50" s="16"/>
      <c r="M50" s="16"/>
      <c r="N50" s="79">
        <v>1</v>
      </c>
      <c r="O50" s="16"/>
      <c r="P50" s="16"/>
      <c r="Q50" s="16"/>
      <c r="R50" s="16"/>
      <c r="S50" s="16"/>
      <c r="T50" s="79">
        <v>51</v>
      </c>
      <c r="U50" s="16"/>
      <c r="V50" s="16"/>
      <c r="W50" s="16"/>
      <c r="X50" s="16"/>
      <c r="Y50" s="16"/>
      <c r="Z50" s="16"/>
      <c r="AA50" t="s" s="96">
        <v>2996</v>
      </c>
      <c r="AB50" s="16"/>
      <c r="AC50" s="79">
        <v>1</v>
      </c>
      <c r="AD50" s="79">
        <v>1</v>
      </c>
      <c r="AE50" s="16"/>
      <c r="AF50" s="79">
        <v>1</v>
      </c>
      <c r="AG50" s="16"/>
      <c r="AH50" s="16"/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</row>
    <row r="51" ht="15.35" customHeight="1">
      <c r="A51" t="s" s="83">
        <v>2926</v>
      </c>
      <c r="B51" s="112">
        <v>1921</v>
      </c>
      <c r="C51" s="112">
        <v>8</v>
      </c>
      <c r="D51" t="s" s="83">
        <v>2936</v>
      </c>
      <c r="E51" s="74"/>
      <c r="F51" s="16"/>
      <c r="G51" t="s" s="96">
        <v>2995</v>
      </c>
      <c r="H51" t="s" s="96">
        <v>231</v>
      </c>
      <c r="I51" s="79">
        <v>34</v>
      </c>
      <c r="J51" s="79">
        <v>1</v>
      </c>
      <c r="K51" s="16"/>
      <c r="L51" s="16"/>
      <c r="M51" s="16"/>
      <c r="N51" t="s" s="96">
        <v>72</v>
      </c>
      <c r="O51" s="79">
        <v>1</v>
      </c>
      <c r="P51" s="16"/>
      <c r="Q51" s="16"/>
      <c r="R51" s="16"/>
      <c r="S51" s="16"/>
      <c r="T51" s="79">
        <v>41</v>
      </c>
      <c r="U51" s="16"/>
      <c r="V51" s="16"/>
      <c r="W51" s="16"/>
      <c r="X51" s="16"/>
      <c r="Y51" s="16"/>
      <c r="Z51" s="16"/>
      <c r="AA51" t="s" s="96">
        <v>33</v>
      </c>
      <c r="AB51" t="s" s="96">
        <v>34</v>
      </c>
      <c r="AC51" s="16"/>
      <c r="AD51" s="16"/>
      <c r="AE51" s="16"/>
      <c r="AF51" s="79">
        <v>1</v>
      </c>
      <c r="AG51" s="16"/>
      <c r="AH51" s="16"/>
      <c r="AI51" s="16"/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</row>
    <row r="52" ht="15.35" customHeight="1">
      <c r="A52" t="s" s="83">
        <v>2926</v>
      </c>
      <c r="B52" s="112">
        <v>1921</v>
      </c>
      <c r="C52" s="30"/>
      <c r="D52" t="s" s="83">
        <v>2936</v>
      </c>
      <c r="E52" s="74"/>
      <c r="F52" s="16"/>
      <c r="G52" s="16"/>
      <c r="H52" s="79">
        <v>2</v>
      </c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</row>
    <row r="53" ht="15.35" customHeight="1">
      <c r="A53" t="s" s="83">
        <v>2926</v>
      </c>
      <c r="B53" s="112">
        <v>1921</v>
      </c>
      <c r="C53" s="30"/>
      <c r="D53" t="s" s="83">
        <v>2936</v>
      </c>
      <c r="E53" s="74"/>
      <c r="F53" s="16"/>
      <c r="G53" t="s" s="96">
        <v>1</v>
      </c>
      <c r="H53" t="s" s="96">
        <v>0</v>
      </c>
      <c r="I53" s="16"/>
      <c r="J53" t="s" s="96">
        <v>3</v>
      </c>
      <c r="K53" s="16"/>
      <c r="L53" s="16"/>
      <c r="M53" s="16"/>
      <c r="N53" t="s" s="96">
        <v>2</v>
      </c>
      <c r="O53" s="16"/>
      <c r="P53" s="16"/>
      <c r="Q53" s="16"/>
      <c r="R53" s="16"/>
      <c r="S53" s="16"/>
      <c r="T53" t="s" s="96">
        <v>5</v>
      </c>
      <c r="U53" s="16"/>
      <c r="V53" s="16"/>
      <c r="W53" s="16"/>
      <c r="X53" s="16"/>
      <c r="Y53" s="16"/>
      <c r="Z53" s="16"/>
      <c r="AA53" t="s" s="96">
        <v>7</v>
      </c>
      <c r="AB53" t="s" s="96">
        <v>8</v>
      </c>
      <c r="AC53" s="16"/>
      <c r="AD53" s="16"/>
      <c r="AE53" s="16"/>
      <c r="AF53" t="s" s="96">
        <v>6</v>
      </c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</row>
    <row r="54" ht="20" customHeight="1">
      <c r="A54" t="s" s="83">
        <v>2926</v>
      </c>
      <c r="B54" s="112">
        <v>1921</v>
      </c>
      <c r="C54" s="112">
        <v>9</v>
      </c>
      <c r="D54" t="s" s="83">
        <v>2936</v>
      </c>
      <c r="E54" s="446"/>
      <c r="F54" s="16"/>
      <c r="G54" t="s" s="96">
        <v>760</v>
      </c>
      <c r="H54" t="s" s="96">
        <v>193</v>
      </c>
      <c r="I54" s="79">
        <v>35</v>
      </c>
      <c r="J54" t="s" s="96">
        <v>37</v>
      </c>
      <c r="K54" s="79">
        <v>1</v>
      </c>
      <c r="L54" s="16"/>
      <c r="M54" s="16"/>
      <c r="N54" t="s" s="96">
        <v>2997</v>
      </c>
      <c r="O54" s="16"/>
      <c r="P54" s="16"/>
      <c r="Q54" s="16"/>
      <c r="R54" s="79">
        <v>1</v>
      </c>
      <c r="S54" s="16"/>
      <c r="T54" s="79">
        <v>79</v>
      </c>
      <c r="U54" s="16"/>
      <c r="V54" s="16"/>
      <c r="W54" s="16"/>
      <c r="X54" s="16"/>
      <c r="Y54" s="16"/>
      <c r="Z54" s="16"/>
      <c r="AA54" t="s" s="96">
        <v>2998</v>
      </c>
      <c r="AB54" t="s" s="96">
        <v>1301</v>
      </c>
      <c r="AC54" s="16"/>
      <c r="AD54" s="16"/>
      <c r="AE54" s="16"/>
      <c r="AF54" s="79">
        <v>1</v>
      </c>
      <c r="AG54" s="16"/>
      <c r="AH54" s="16"/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</row>
    <row r="55" ht="15.35" customHeight="1">
      <c r="A55" t="s" s="83">
        <v>2926</v>
      </c>
      <c r="B55" s="112">
        <v>1921</v>
      </c>
      <c r="C55" s="112">
        <v>9</v>
      </c>
      <c r="D55" t="s" s="83">
        <v>2936</v>
      </c>
      <c r="E55" s="74"/>
      <c r="F55" s="16"/>
      <c r="G55" t="s" s="96">
        <v>760</v>
      </c>
      <c r="H55" t="s" s="96">
        <v>1298</v>
      </c>
      <c r="I55" s="79">
        <v>36</v>
      </c>
      <c r="J55" s="79">
        <v>1</v>
      </c>
      <c r="K55" s="16"/>
      <c r="L55" s="16"/>
      <c r="M55" s="16"/>
      <c r="N55" t="s" s="96">
        <v>609</v>
      </c>
      <c r="O55" s="16"/>
      <c r="P55" s="16"/>
      <c r="Q55" s="16"/>
      <c r="R55" s="79">
        <v>1</v>
      </c>
      <c r="S55" s="16"/>
      <c r="T55" s="79">
        <v>80</v>
      </c>
      <c r="U55" s="16"/>
      <c r="V55" s="16"/>
      <c r="W55" s="16"/>
      <c r="X55" s="16"/>
      <c r="Y55" s="16"/>
      <c r="Z55" s="16"/>
      <c r="AA55" t="s" s="96">
        <v>33</v>
      </c>
      <c r="AB55" t="s" s="96">
        <v>34</v>
      </c>
      <c r="AC55" s="16"/>
      <c r="AD55" s="16"/>
      <c r="AE55" s="16"/>
      <c r="AF55" s="79">
        <v>1</v>
      </c>
      <c r="AG55" s="16"/>
      <c r="AH55" s="16"/>
      <c r="AI55" s="16"/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</row>
    <row r="56" ht="15.35" customHeight="1">
      <c r="A56" t="s" s="83">
        <v>2926</v>
      </c>
      <c r="B56" s="112">
        <v>1921</v>
      </c>
      <c r="C56" s="112">
        <v>9</v>
      </c>
      <c r="D56" t="s" s="83">
        <v>2936</v>
      </c>
      <c r="E56" s="74"/>
      <c r="F56" s="16"/>
      <c r="G56" t="s" s="96">
        <v>2599</v>
      </c>
      <c r="H56" t="s" s="96">
        <v>2999</v>
      </c>
      <c r="I56" s="79">
        <v>37</v>
      </c>
      <c r="J56" s="79">
        <v>1</v>
      </c>
      <c r="K56" s="16"/>
      <c r="L56" s="16"/>
      <c r="M56" s="16"/>
      <c r="N56" t="s" s="96">
        <v>207</v>
      </c>
      <c r="O56" s="16"/>
      <c r="P56" s="16"/>
      <c r="Q56" s="16"/>
      <c r="R56" s="16"/>
      <c r="S56" s="79">
        <v>1</v>
      </c>
      <c r="T56" s="79">
        <v>24</v>
      </c>
      <c r="U56" s="16"/>
      <c r="V56" s="16"/>
      <c r="W56" s="16"/>
      <c r="X56" s="16"/>
      <c r="Y56" s="16"/>
      <c r="Z56" s="16"/>
      <c r="AA56" t="s" s="96">
        <v>188</v>
      </c>
      <c r="AB56" t="s" s="96">
        <v>34</v>
      </c>
      <c r="AC56" s="16"/>
      <c r="AD56" s="16"/>
      <c r="AE56" s="16"/>
      <c r="AF56" t="s" s="96">
        <v>208</v>
      </c>
      <c r="AG56" s="16"/>
      <c r="AH56" s="16"/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</row>
    <row r="57" ht="15.35" customHeight="1">
      <c r="A57" t="s" s="83">
        <v>2926</v>
      </c>
      <c r="B57" s="112">
        <v>1921</v>
      </c>
      <c r="C57" s="30"/>
      <c r="D57" t="s" s="83">
        <v>2936</v>
      </c>
      <c r="E57" s="74"/>
      <c r="F57" s="16"/>
      <c r="G57" s="16"/>
      <c r="H57" s="79">
        <v>3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</row>
    <row r="58" ht="15.35" customHeight="1">
      <c r="A58" t="s" s="83">
        <v>2926</v>
      </c>
      <c r="B58" s="112">
        <v>1921</v>
      </c>
      <c r="C58" s="30"/>
      <c r="D58" t="s" s="83">
        <v>2936</v>
      </c>
      <c r="E58" s="74"/>
      <c r="F58" s="16"/>
      <c r="G58" t="s" s="96">
        <v>1</v>
      </c>
      <c r="H58" t="s" s="96">
        <v>0</v>
      </c>
      <c r="I58" s="16"/>
      <c r="J58" t="s" s="96">
        <v>3</v>
      </c>
      <c r="K58" s="16"/>
      <c r="L58" s="16"/>
      <c r="M58" s="16"/>
      <c r="N58" t="s" s="96">
        <v>2</v>
      </c>
      <c r="O58" s="16"/>
      <c r="P58" s="16"/>
      <c r="Q58" s="16"/>
      <c r="R58" s="16"/>
      <c r="S58" s="16"/>
      <c r="T58" t="s" s="96">
        <v>5</v>
      </c>
      <c r="U58" s="16"/>
      <c r="V58" s="16"/>
      <c r="W58" s="16"/>
      <c r="X58" s="16"/>
      <c r="Y58" s="16"/>
      <c r="Z58" s="16"/>
      <c r="AA58" t="s" s="96">
        <v>7</v>
      </c>
      <c r="AB58" t="s" s="96">
        <v>8</v>
      </c>
      <c r="AC58" s="16"/>
      <c r="AD58" s="16"/>
      <c r="AE58" s="16"/>
      <c r="AF58" t="s" s="96">
        <v>6</v>
      </c>
      <c r="AG58" s="16"/>
      <c r="AH58" s="16"/>
      <c r="AI58" s="16"/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</row>
    <row r="59" ht="20" customHeight="1">
      <c r="A59" t="s" s="83">
        <v>2926</v>
      </c>
      <c r="B59" s="112">
        <v>1921</v>
      </c>
      <c r="C59" s="112">
        <v>10</v>
      </c>
      <c r="D59" t="s" s="83">
        <v>2936</v>
      </c>
      <c r="E59" s="446"/>
      <c r="F59" s="16"/>
      <c r="G59" t="s" s="96">
        <v>3000</v>
      </c>
      <c r="H59" t="s" s="96">
        <v>3001</v>
      </c>
      <c r="I59" s="79">
        <v>38</v>
      </c>
      <c r="J59" t="s" s="96">
        <v>37</v>
      </c>
      <c r="K59" s="79">
        <v>1</v>
      </c>
      <c r="L59" s="16"/>
      <c r="M59" s="16"/>
      <c r="N59" s="79">
        <v>1</v>
      </c>
      <c r="O59" s="16"/>
      <c r="P59" s="16"/>
      <c r="Q59" s="16"/>
      <c r="R59" s="16"/>
      <c r="S59" s="16"/>
      <c r="T59" s="79">
        <v>51</v>
      </c>
      <c r="U59" s="16"/>
      <c r="V59" s="16"/>
      <c r="W59" s="16"/>
      <c r="X59" s="16"/>
      <c r="Y59" s="16"/>
      <c r="Z59" s="16"/>
      <c r="AA59" t="s" s="96">
        <v>3002</v>
      </c>
      <c r="AB59" s="79">
        <v>1</v>
      </c>
      <c r="AC59" s="16"/>
      <c r="AD59" s="16"/>
      <c r="AE59" s="16"/>
      <c r="AF59" t="s" s="96">
        <v>3003</v>
      </c>
      <c r="AG59" s="16"/>
      <c r="AH59" s="16"/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</row>
    <row r="60" ht="15.35" customHeight="1">
      <c r="A60" t="s" s="83">
        <v>2926</v>
      </c>
      <c r="B60" s="112">
        <v>1921</v>
      </c>
      <c r="C60" s="112">
        <v>10</v>
      </c>
      <c r="D60" t="s" s="83">
        <v>2936</v>
      </c>
      <c r="E60" s="74"/>
      <c r="F60" s="16"/>
      <c r="G60" t="s" s="96">
        <v>3000</v>
      </c>
      <c r="H60" t="s" s="96">
        <v>109</v>
      </c>
      <c r="I60" s="79">
        <v>39</v>
      </c>
      <c r="J60" s="79">
        <v>1</v>
      </c>
      <c r="K60" s="16"/>
      <c r="L60" s="16"/>
      <c r="M60" s="16"/>
      <c r="N60" t="s" s="96">
        <v>72</v>
      </c>
      <c r="O60" s="79">
        <v>1</v>
      </c>
      <c r="P60" s="16"/>
      <c r="Q60" s="16"/>
      <c r="R60" s="16"/>
      <c r="S60" s="16"/>
      <c r="T60" s="79">
        <v>54</v>
      </c>
      <c r="U60" s="16"/>
      <c r="V60" s="16"/>
      <c r="W60" s="16"/>
      <c r="X60" s="16"/>
      <c r="Y60" s="16"/>
      <c r="Z60" s="16"/>
      <c r="AA60" t="s" s="96">
        <v>33</v>
      </c>
      <c r="AB60" t="s" s="96">
        <v>34</v>
      </c>
      <c r="AC60" s="16"/>
      <c r="AD60" s="16"/>
      <c r="AE60" s="16"/>
      <c r="AF60" s="79">
        <v>1</v>
      </c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</row>
    <row r="61" ht="15.35" customHeight="1">
      <c r="A61" t="s" s="83">
        <v>2926</v>
      </c>
      <c r="B61" s="112">
        <v>1921</v>
      </c>
      <c r="C61" s="112">
        <v>10</v>
      </c>
      <c r="D61" t="s" s="83">
        <v>2936</v>
      </c>
      <c r="E61" s="74"/>
      <c r="F61" s="16"/>
      <c r="G61" t="s" s="96">
        <v>3000</v>
      </c>
      <c r="H61" t="s" s="96">
        <v>713</v>
      </c>
      <c r="I61" s="79">
        <v>40</v>
      </c>
      <c r="J61" s="79">
        <v>1</v>
      </c>
      <c r="K61" s="16"/>
      <c r="L61" s="16"/>
      <c r="M61" s="16"/>
      <c r="N61" t="s" s="96">
        <v>78</v>
      </c>
      <c r="O61" s="16"/>
      <c r="P61" s="79">
        <v>1</v>
      </c>
      <c r="Q61" s="16"/>
      <c r="R61" s="16"/>
      <c r="S61" s="16"/>
      <c r="T61" s="79">
        <v>18</v>
      </c>
      <c r="U61" s="16"/>
      <c r="V61" s="16"/>
      <c r="W61" s="16"/>
      <c r="X61" s="16"/>
      <c r="Y61" s="16"/>
      <c r="Z61" s="16"/>
      <c r="AA61" t="s" s="96">
        <v>751</v>
      </c>
      <c r="AB61" t="s" s="96">
        <v>3004</v>
      </c>
      <c r="AC61" s="79">
        <v>1</v>
      </c>
      <c r="AD61" s="16"/>
      <c r="AE61" s="16"/>
      <c r="AF61" s="79">
        <v>1</v>
      </c>
      <c r="AG61" s="16"/>
      <c r="AH61" s="16"/>
      <c r="AI61" s="16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</row>
    <row r="62" ht="15.35" customHeight="1">
      <c r="A62" t="s" s="83">
        <v>2926</v>
      </c>
      <c r="B62" s="112">
        <v>1921</v>
      </c>
      <c r="C62" s="30"/>
      <c r="D62" t="s" s="83">
        <v>2936</v>
      </c>
      <c r="E62" s="74"/>
      <c r="F62" s="16"/>
      <c r="G62" s="16"/>
      <c r="H62" s="79">
        <v>3</v>
      </c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</row>
    <row r="63" ht="15.35" customHeight="1">
      <c r="A63" t="s" s="83">
        <v>2926</v>
      </c>
      <c r="B63" s="112">
        <v>1921</v>
      </c>
      <c r="C63" s="30"/>
      <c r="D63" t="s" s="83">
        <v>2936</v>
      </c>
      <c r="E63" s="192"/>
      <c r="F63" s="3"/>
      <c r="G63" t="s" s="2">
        <v>1</v>
      </c>
      <c r="H63" t="s" s="2">
        <v>0</v>
      </c>
      <c r="I63" s="3"/>
      <c r="J63" t="s" s="2">
        <v>3</v>
      </c>
      <c r="K63" s="3"/>
      <c r="L63" s="3"/>
      <c r="M63" s="3"/>
      <c r="N63" t="s" s="2">
        <v>2</v>
      </c>
      <c r="O63" s="3"/>
      <c r="P63" s="3"/>
      <c r="Q63" s="3"/>
      <c r="R63" s="3"/>
      <c r="S63" s="3"/>
      <c r="T63" t="s" s="2">
        <v>5</v>
      </c>
      <c r="U63" s="3"/>
      <c r="V63" s="3"/>
      <c r="W63" s="3"/>
      <c r="X63" s="3"/>
      <c r="Y63" s="3"/>
      <c r="Z63" s="3"/>
      <c r="AA63" t="s" s="2">
        <v>7</v>
      </c>
      <c r="AB63" t="s" s="2">
        <v>8</v>
      </c>
      <c r="AC63" s="3"/>
      <c r="AD63" s="3"/>
      <c r="AE63" s="3"/>
      <c r="AF63" t="s" s="2">
        <v>6</v>
      </c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</row>
    <row r="64" ht="20" customHeight="1">
      <c r="A64" t="s" s="83">
        <v>2926</v>
      </c>
      <c r="B64" s="112">
        <v>1921</v>
      </c>
      <c r="C64" s="112">
        <v>11</v>
      </c>
      <c r="D64" t="s" s="83">
        <v>3005</v>
      </c>
      <c r="E64" s="447">
        <v>1</v>
      </c>
      <c r="F64" s="13"/>
      <c r="G64" t="s" s="5">
        <v>698</v>
      </c>
      <c r="H64" t="s" s="5">
        <v>2853</v>
      </c>
      <c r="I64" s="6">
        <v>41</v>
      </c>
      <c r="J64" s="6">
        <v>1</v>
      </c>
      <c r="K64" s="13"/>
      <c r="L64" s="13"/>
      <c r="M64" s="13"/>
      <c r="N64" s="6">
        <v>1</v>
      </c>
      <c r="O64" s="13"/>
      <c r="P64" s="13"/>
      <c r="Q64" s="13"/>
      <c r="R64" s="13"/>
      <c r="S64" s="13"/>
      <c r="T64" s="6">
        <v>67</v>
      </c>
      <c r="U64" s="13"/>
      <c r="V64" s="13"/>
      <c r="W64" s="13"/>
      <c r="X64" s="13"/>
      <c r="Y64" s="13"/>
      <c r="Z64" s="13"/>
      <c r="AA64" t="s" s="5">
        <v>3006</v>
      </c>
      <c r="AB64" t="s" s="5">
        <v>34</v>
      </c>
      <c r="AC64" s="13"/>
      <c r="AD64" s="13"/>
      <c r="AE64" s="13"/>
      <c r="AF64" s="6">
        <v>1</v>
      </c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A64" s="13"/>
      <c r="BB64" s="13"/>
      <c r="BC64" s="10"/>
    </row>
    <row r="65" ht="15.35" customHeight="1">
      <c r="A65" t="s" s="83">
        <v>2926</v>
      </c>
      <c r="B65" s="112">
        <v>1921</v>
      </c>
      <c r="C65" s="112">
        <v>11</v>
      </c>
      <c r="D65" t="s" s="83">
        <v>3005</v>
      </c>
      <c r="E65" s="316">
        <v>1</v>
      </c>
      <c r="F65" s="14"/>
      <c r="G65" t="s" s="285">
        <v>3007</v>
      </c>
      <c r="H65" t="s" s="285">
        <v>1306</v>
      </c>
      <c r="I65" s="264">
        <v>42</v>
      </c>
      <c r="J65" s="264">
        <v>1</v>
      </c>
      <c r="K65" s="14"/>
      <c r="L65" s="14"/>
      <c r="M65" s="14"/>
      <c r="N65" t="s" s="285">
        <v>65</v>
      </c>
      <c r="O65" s="14"/>
      <c r="P65" s="14"/>
      <c r="Q65" s="14"/>
      <c r="R65" s="264">
        <v>1</v>
      </c>
      <c r="S65" s="14"/>
      <c r="T65" s="264">
        <v>75</v>
      </c>
      <c r="U65" s="14"/>
      <c r="V65" s="14"/>
      <c r="W65" s="14"/>
      <c r="X65" s="14"/>
      <c r="Y65" s="14"/>
      <c r="Z65" s="14"/>
      <c r="AA65" t="s" s="285">
        <v>3008</v>
      </c>
      <c r="AB65" t="s" s="285">
        <v>34</v>
      </c>
      <c r="AC65" s="14"/>
      <c r="AD65" s="14"/>
      <c r="AE65" s="14"/>
      <c r="AF65" s="264">
        <v>1</v>
      </c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</row>
    <row r="66" ht="15.35" customHeight="1">
      <c r="A66" t="s" s="83">
        <v>2926</v>
      </c>
      <c r="B66" s="112">
        <v>1921</v>
      </c>
      <c r="C66" s="112">
        <v>11</v>
      </c>
      <c r="D66" t="s" s="83">
        <v>2936</v>
      </c>
      <c r="E66" s="74"/>
      <c r="F66" s="16"/>
      <c r="G66" s="16"/>
      <c r="H66" s="79">
        <v>2</v>
      </c>
      <c r="I66" s="79">
        <v>42</v>
      </c>
      <c r="J66" s="79" cm="1">
        <f t="array" ref="J66">SUM(J3:J65)</f>
        <v>24</v>
      </c>
      <c r="K66" s="79" cm="1">
        <f t="array" ref="K66">SUM(K3:K65)</f>
        <v>13</v>
      </c>
      <c r="L66" s="79" cm="1">
        <f t="array" ref="L66">SUM(L3:L65)</f>
        <v>5</v>
      </c>
      <c r="M66" s="79" cm="1">
        <f t="array" ref="M66">SUM(M3:M65)</f>
        <v>0</v>
      </c>
      <c r="N66" s="79" cm="1">
        <f t="array" ref="N66">SUM(N3:N65)</f>
        <v>10</v>
      </c>
      <c r="O66" s="79" cm="1">
        <f t="array" ref="O66">SUM(O3:O65)</f>
        <v>5</v>
      </c>
      <c r="P66" s="79" cm="1">
        <f t="array" ref="P66">SUM(P3:P65)</f>
        <v>7</v>
      </c>
      <c r="Q66" s="79" cm="1">
        <f t="array" ref="Q66">SUM(Q3:Q65)</f>
        <v>1</v>
      </c>
      <c r="R66" s="79" cm="1">
        <f t="array" ref="R66">SUM(R3:R65)</f>
        <v>12</v>
      </c>
      <c r="S66" s="79" cm="1">
        <f t="array" ref="S66">SUM(S3:S65)</f>
        <v>7</v>
      </c>
      <c r="T66" s="79" cm="1">
        <f t="array" ref="T66">SUM(T3:T65)</f>
        <v>1567</v>
      </c>
      <c r="U66" s="16"/>
      <c r="V66" s="16"/>
      <c r="W66" s="16"/>
      <c r="X66" s="79" cm="1">
        <f t="array" ref="X66">SUM(X3:X65)</f>
        <v>0</v>
      </c>
      <c r="Y66" s="79" cm="1">
        <f t="array" ref="Y66">SUM(Y3:Y65)</f>
        <v>0</v>
      </c>
      <c r="Z66" s="79" cm="1">
        <f t="array" ref="Z66">SUM(Z3:Z65)</f>
        <v>0</v>
      </c>
      <c r="AA66" s="79" cm="1">
        <f t="array" ref="AA66">SUM(AA3:AA65)</f>
        <v>0</v>
      </c>
      <c r="AB66" s="79" cm="1">
        <f t="array" ref="AB66">SUM(AB3:AB65)</f>
        <v>1</v>
      </c>
      <c r="AC66" s="79" cm="1">
        <f t="array" ref="AC66">SUM(AC3:AC65)</f>
        <v>17</v>
      </c>
      <c r="AD66" s="79" cm="1">
        <f t="array" ref="AD66">SUM(AD3:AD65)</f>
        <v>2</v>
      </c>
      <c r="AE66" s="79" cm="1">
        <f t="array" ref="AE66">AC66-AD66</f>
        <v>15</v>
      </c>
      <c r="AF66" s="79" cm="1">
        <f t="array" ref="AF66">SUM(AF3:AF65)</f>
        <v>23</v>
      </c>
      <c r="AG66" s="79" cm="1">
        <f t="array" ref="AG66">N67-AF66</f>
        <v>19</v>
      </c>
      <c r="AH66" s="16"/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</row>
    <row r="67" ht="15.35" customHeight="1">
      <c r="A67" s="62"/>
      <c r="B67" s="62"/>
      <c r="C67" s="62"/>
      <c r="D67" s="62"/>
      <c r="E67" s="16"/>
      <c r="F67" s="16"/>
      <c r="G67" s="16"/>
      <c r="H67" s="16"/>
      <c r="I67" s="16"/>
      <c r="J67" s="79" cm="1">
        <f t="array" ref="J67">SUM(J66:M66)</f>
        <v>42</v>
      </c>
      <c r="K67" s="16"/>
      <c r="L67" s="16"/>
      <c r="M67" s="16"/>
      <c r="N67" s="79" cm="1">
        <f t="array" ref="N67">SUM(N66:S66)</f>
        <v>42</v>
      </c>
      <c r="O67" s="16"/>
      <c r="P67" s="16"/>
      <c r="Q67" s="16"/>
      <c r="R67" s="16"/>
      <c r="S67" s="16"/>
      <c r="T67" s="99" cm="1">
        <f t="array" ref="T67">T66/N67</f>
        <v>37.3095238095238</v>
      </c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</row>
    <row r="68" ht="15.35" customHeight="1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</row>
    <row r="69" ht="15.35" customHeight="1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</row>
    <row r="70" ht="15.35" customHeight="1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</row>
    <row r="71" ht="15.35" customHeight="1">
      <c r="A71" s="16"/>
      <c r="B71" s="16"/>
      <c r="C71" s="16"/>
      <c r="D71" s="16"/>
      <c r="E71" s="132"/>
      <c r="F71" s="132"/>
      <c r="G71" s="132"/>
      <c r="H71" s="132"/>
      <c r="I71" s="16"/>
      <c r="J71" s="132"/>
      <c r="K71" s="16"/>
      <c r="L71" s="16"/>
      <c r="M71" s="16"/>
      <c r="N71" s="132"/>
      <c r="O71" s="16"/>
      <c r="P71" s="132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</row>
    <row r="72" ht="15.35" customHeight="1">
      <c r="A72" s="16"/>
      <c r="B72" s="16"/>
      <c r="C72" s="16"/>
      <c r="D72" s="75"/>
      <c r="E72" s="30"/>
      <c r="F72" s="30"/>
      <c r="G72" s="30"/>
      <c r="H72" s="30"/>
      <c r="I72" s="122"/>
      <c r="J72" s="30"/>
      <c r="K72" s="74"/>
      <c r="L72" s="16"/>
      <c r="M72" s="75"/>
      <c r="N72" s="30"/>
      <c r="O72" s="122"/>
      <c r="P72" s="30"/>
      <c r="Q72" s="74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</row>
    <row r="73" ht="15.35" customHeight="1">
      <c r="A73" s="16"/>
      <c r="B73" s="16"/>
      <c r="C73" s="16"/>
      <c r="D73" s="75"/>
      <c r="E73" s="443"/>
      <c r="F73" s="30"/>
      <c r="G73" s="30"/>
      <c r="H73" s="30"/>
      <c r="I73" s="122"/>
      <c r="J73" s="30"/>
      <c r="K73" s="74"/>
      <c r="L73" s="16"/>
      <c r="M73" s="75"/>
      <c r="N73" s="30"/>
      <c r="O73" s="122"/>
      <c r="P73" s="30"/>
      <c r="Q73" s="74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</row>
    <row r="74" ht="15.35" customHeight="1">
      <c r="A74" s="16"/>
      <c r="B74" s="16"/>
      <c r="C74" s="16"/>
      <c r="D74" s="75"/>
      <c r="E74" s="30"/>
      <c r="F74" s="30"/>
      <c r="G74" s="30"/>
      <c r="H74" s="30"/>
      <c r="I74" s="122"/>
      <c r="J74" s="30"/>
      <c r="K74" s="74"/>
      <c r="L74" s="16"/>
      <c r="M74" s="75"/>
      <c r="N74" s="30"/>
      <c r="O74" s="122"/>
      <c r="P74" s="30"/>
      <c r="Q74" s="74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</row>
    <row r="75" ht="15.35" customHeight="1">
      <c r="A75" s="16"/>
      <c r="B75" s="16"/>
      <c r="C75" s="16"/>
      <c r="D75" s="75"/>
      <c r="E75" s="30"/>
      <c r="F75" s="30"/>
      <c r="G75" s="30"/>
      <c r="H75" s="30"/>
      <c r="I75" s="122"/>
      <c r="J75" s="30"/>
      <c r="K75" s="74"/>
      <c r="L75" s="16"/>
      <c r="M75" s="75"/>
      <c r="N75" s="30"/>
      <c r="O75" s="122"/>
      <c r="P75" s="30"/>
      <c r="Q75" s="74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</row>
    <row r="76" ht="15.35" customHeight="1">
      <c r="A76" s="16"/>
      <c r="B76" s="16"/>
      <c r="C76" s="16"/>
      <c r="D76" s="75"/>
      <c r="E76" s="30"/>
      <c r="F76" s="30"/>
      <c r="G76" s="30"/>
      <c r="H76" s="30"/>
      <c r="I76" s="122"/>
      <c r="J76" s="30"/>
      <c r="K76" s="74"/>
      <c r="L76" s="16"/>
      <c r="M76" s="75"/>
      <c r="N76" s="30"/>
      <c r="O76" s="122"/>
      <c r="P76" s="30"/>
      <c r="Q76" s="74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</row>
    <row r="77" ht="15.35" customHeight="1">
      <c r="A77" s="16"/>
      <c r="B77" s="16"/>
      <c r="C77" s="16"/>
      <c r="D77" s="75"/>
      <c r="E77" s="30"/>
      <c r="F77" s="30"/>
      <c r="G77" s="30"/>
      <c r="H77" s="30"/>
      <c r="I77" s="122"/>
      <c r="J77" s="30"/>
      <c r="K77" s="74"/>
      <c r="L77" s="16"/>
      <c r="M77" s="75"/>
      <c r="N77" s="30"/>
      <c r="O77" s="122"/>
      <c r="P77" s="30"/>
      <c r="Q77" s="74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</row>
    <row r="78" ht="15.35" customHeight="1">
      <c r="A78" s="16"/>
      <c r="B78" s="16"/>
      <c r="C78" s="16"/>
      <c r="D78" s="75"/>
      <c r="E78" s="30"/>
      <c r="F78" s="30"/>
      <c r="G78" s="30"/>
      <c r="H78" s="30"/>
      <c r="I78" s="122"/>
      <c r="J78" s="30"/>
      <c r="K78" s="74"/>
      <c r="L78" s="16"/>
      <c r="M78" s="75"/>
      <c r="N78" s="30"/>
      <c r="O78" s="122"/>
      <c r="P78" s="30"/>
      <c r="Q78" s="74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</row>
    <row r="79" ht="15.35" customHeight="1">
      <c r="A79" s="16"/>
      <c r="B79" s="16"/>
      <c r="C79" s="16"/>
      <c r="D79" s="75"/>
      <c r="E79" s="443"/>
      <c r="F79" s="30"/>
      <c r="G79" s="30"/>
      <c r="H79" s="30"/>
      <c r="I79" s="122"/>
      <c r="J79" s="30"/>
      <c r="K79" s="74"/>
      <c r="L79" s="16"/>
      <c r="M79" s="75"/>
      <c r="N79" s="30"/>
      <c r="O79" s="122"/>
      <c r="P79" s="30"/>
      <c r="Q79" s="74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</row>
    <row r="80" ht="15.35" customHeight="1">
      <c r="A80" s="16"/>
      <c r="B80" s="16"/>
      <c r="C80" s="16"/>
      <c r="D80" s="75"/>
      <c r="E80" s="30"/>
      <c r="F80" s="30"/>
      <c r="G80" s="30"/>
      <c r="H80" s="30"/>
      <c r="I80" s="122"/>
      <c r="J80" s="30"/>
      <c r="K80" s="74"/>
      <c r="L80" s="16"/>
      <c r="M80" s="75"/>
      <c r="N80" s="30"/>
      <c r="O80" s="122"/>
      <c r="P80" s="30"/>
      <c r="Q80" s="74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</row>
    <row r="81" ht="15.35" customHeight="1">
      <c r="A81" s="16"/>
      <c r="B81" s="16"/>
      <c r="C81" s="16"/>
      <c r="D81" s="75"/>
      <c r="E81" s="30"/>
      <c r="F81" s="30"/>
      <c r="G81" s="30"/>
      <c r="H81" s="30"/>
      <c r="I81" s="122"/>
      <c r="J81" s="30"/>
      <c r="K81" s="74"/>
      <c r="L81" s="16"/>
      <c r="M81" s="75"/>
      <c r="N81" s="30"/>
      <c r="O81" s="122"/>
      <c r="P81" s="30"/>
      <c r="Q81" s="74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</row>
    <row r="82" ht="15.35" customHeight="1">
      <c r="A82" s="16"/>
      <c r="B82" s="16"/>
      <c r="C82" s="16"/>
      <c r="D82" s="75"/>
      <c r="E82" s="30"/>
      <c r="F82" s="30"/>
      <c r="G82" s="30"/>
      <c r="H82" s="30"/>
      <c r="I82" s="122"/>
      <c r="J82" s="30"/>
      <c r="K82" s="74"/>
      <c r="L82" s="16"/>
      <c r="M82" s="75"/>
      <c r="N82" s="30"/>
      <c r="O82" s="122"/>
      <c r="P82" s="30"/>
      <c r="Q82" s="74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</row>
    <row r="83" ht="68" customHeight="1">
      <c r="A83" s="16"/>
      <c r="B83" s="16"/>
      <c r="C83" s="16"/>
      <c r="D83" s="75"/>
      <c r="E83" s="124"/>
      <c r="F83" s="28"/>
      <c r="G83" s="28"/>
      <c r="H83" s="121"/>
      <c r="I83" s="122"/>
      <c r="J83" s="418"/>
      <c r="K83" s="74"/>
      <c r="L83" s="16"/>
      <c r="M83" s="75"/>
      <c r="N83" s="28"/>
      <c r="O83" s="122"/>
      <c r="P83" s="28"/>
      <c r="Q83" s="74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</row>
    <row r="84" ht="51" customHeight="1">
      <c r="A84" s="16"/>
      <c r="B84" s="16"/>
      <c r="C84" s="16"/>
      <c r="D84" s="75"/>
      <c r="E84" s="124"/>
      <c r="F84" s="28"/>
      <c r="G84" s="28"/>
      <c r="H84" s="121"/>
      <c r="I84" s="131"/>
      <c r="J84" s="419"/>
      <c r="K84" s="132"/>
      <c r="L84" s="132"/>
      <c r="M84" s="133"/>
      <c r="N84" s="163"/>
      <c r="O84" s="132"/>
      <c r="P84" s="165"/>
      <c r="Q84" s="131"/>
      <c r="R84" s="132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</row>
    <row r="85" ht="15.35" customHeight="1">
      <c r="A85" s="16"/>
      <c r="B85" s="16"/>
      <c r="C85" s="16"/>
      <c r="D85" s="75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74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</row>
    <row r="86" ht="85" customHeight="1">
      <c r="A86" s="16"/>
      <c r="B86" s="16"/>
      <c r="C86" s="16"/>
      <c r="D86" s="75"/>
      <c r="E86" s="30"/>
      <c r="F86" s="30"/>
      <c r="G86" s="30"/>
      <c r="H86" s="30"/>
      <c r="I86" s="30"/>
      <c r="J86" s="30"/>
      <c r="K86" s="30"/>
      <c r="L86" s="30"/>
      <c r="M86" s="121"/>
      <c r="N86" s="121"/>
      <c r="O86" s="121"/>
      <c r="P86" s="121"/>
      <c r="Q86" s="30"/>
      <c r="R86" s="121"/>
      <c r="S86" s="74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</row>
    <row r="87" ht="17.45" customHeight="1">
      <c r="A87" s="16"/>
      <c r="B87" s="16"/>
      <c r="C87" s="16"/>
      <c r="D87" s="75"/>
      <c r="E87" s="30"/>
      <c r="F87" s="30"/>
      <c r="G87" s="30"/>
      <c r="H87" s="30"/>
      <c r="I87" s="30"/>
      <c r="J87" s="30"/>
      <c r="K87" s="30"/>
      <c r="L87" s="30"/>
      <c r="M87" s="121"/>
      <c r="N87" s="121"/>
      <c r="O87" s="121"/>
      <c r="P87" s="121"/>
      <c r="Q87" s="121"/>
      <c r="R87" s="121"/>
      <c r="S87" s="74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</row>
    <row r="88" ht="34" customHeight="1">
      <c r="A88" s="16"/>
      <c r="B88" s="16"/>
      <c r="C88" s="16"/>
      <c r="D88" s="75"/>
      <c r="E88" s="30"/>
      <c r="F88" s="30"/>
      <c r="G88" s="30"/>
      <c r="H88" s="30"/>
      <c r="I88" s="30"/>
      <c r="J88" s="30"/>
      <c r="K88" s="30"/>
      <c r="L88" s="30"/>
      <c r="M88" s="121"/>
      <c r="N88" s="121"/>
      <c r="O88" s="121"/>
      <c r="P88" s="121"/>
      <c r="Q88" s="121"/>
      <c r="R88" s="121"/>
      <c r="S88" s="74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</row>
    <row r="89" ht="34" customHeight="1">
      <c r="A89" s="16"/>
      <c r="B89" s="16"/>
      <c r="C89" s="16"/>
      <c r="D89" s="75"/>
      <c r="E89" s="443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30"/>
      <c r="R89" s="121"/>
      <c r="S89" s="74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</row>
    <row r="90" ht="68" customHeight="1">
      <c r="A90" s="16"/>
      <c r="B90" s="16"/>
      <c r="C90" s="16"/>
      <c r="D90" s="75"/>
      <c r="E90" s="30"/>
      <c r="F90" s="30"/>
      <c r="G90" s="30"/>
      <c r="H90" s="30"/>
      <c r="I90" s="30"/>
      <c r="J90" s="30"/>
      <c r="K90" s="30"/>
      <c r="L90" s="30"/>
      <c r="M90" s="121"/>
      <c r="N90" s="121"/>
      <c r="O90" s="121"/>
      <c r="P90" s="121"/>
      <c r="Q90" s="30"/>
      <c r="R90" s="121"/>
      <c r="S90" s="74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</row>
    <row r="91" ht="85" customHeight="1">
      <c r="A91" s="16"/>
      <c r="B91" s="16"/>
      <c r="C91" s="16"/>
      <c r="D91" s="75"/>
      <c r="E91" s="30"/>
      <c r="F91" s="30"/>
      <c r="G91" s="30"/>
      <c r="H91" s="30"/>
      <c r="I91" s="30"/>
      <c r="J91" s="30"/>
      <c r="K91" s="30"/>
      <c r="L91" s="30"/>
      <c r="M91" s="121"/>
      <c r="N91" s="121"/>
      <c r="O91" s="121"/>
      <c r="P91" s="121"/>
      <c r="Q91" s="30"/>
      <c r="R91" s="121"/>
      <c r="S91" s="74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</row>
    <row r="92" ht="17.45" customHeight="1">
      <c r="A92" s="16"/>
      <c r="B92" s="16"/>
      <c r="C92" s="16"/>
      <c r="D92" s="75"/>
      <c r="E92" s="30"/>
      <c r="F92" s="30"/>
      <c r="G92" s="30"/>
      <c r="H92" s="30"/>
      <c r="I92" s="30"/>
      <c r="J92" s="30"/>
      <c r="K92" s="30"/>
      <c r="L92" s="30"/>
      <c r="M92" s="121"/>
      <c r="N92" s="121"/>
      <c r="O92" s="121"/>
      <c r="P92" s="121"/>
      <c r="Q92" s="30"/>
      <c r="R92" s="121"/>
      <c r="S92" s="74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</row>
    <row r="93" ht="34" customHeight="1">
      <c r="A93" s="16"/>
      <c r="B93" s="16"/>
      <c r="C93" s="16"/>
      <c r="D93" s="75"/>
      <c r="E93" s="30"/>
      <c r="F93" s="30"/>
      <c r="G93" s="30"/>
      <c r="H93" s="30"/>
      <c r="I93" s="30"/>
      <c r="J93" s="30"/>
      <c r="K93" s="30"/>
      <c r="L93" s="30"/>
      <c r="M93" s="121"/>
      <c r="N93" s="121"/>
      <c r="O93" s="121"/>
      <c r="P93" s="121"/>
      <c r="Q93" s="30"/>
      <c r="R93" s="30"/>
      <c r="S93" s="74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</row>
    <row r="94" ht="17" customHeight="1">
      <c r="A94" s="16"/>
      <c r="B94" s="16"/>
      <c r="C94" s="16"/>
      <c r="D94" s="75"/>
      <c r="E94" s="30"/>
      <c r="F94" s="30"/>
      <c r="G94" s="30"/>
      <c r="H94" s="30"/>
      <c r="I94" s="30"/>
      <c r="J94" s="30"/>
      <c r="K94" s="30"/>
      <c r="L94" s="30"/>
      <c r="M94" s="121"/>
      <c r="N94" s="121"/>
      <c r="O94" s="121"/>
      <c r="P94" s="121"/>
      <c r="Q94" s="30"/>
      <c r="R94" s="121"/>
      <c r="S94" s="74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</row>
    <row r="95" ht="68" customHeight="1">
      <c r="A95" s="16"/>
      <c r="B95" s="16"/>
      <c r="C95" s="16"/>
      <c r="D95" s="75"/>
      <c r="E95" s="30"/>
      <c r="F95" s="30"/>
      <c r="G95" s="30"/>
      <c r="H95" s="30"/>
      <c r="I95" s="30"/>
      <c r="J95" s="30"/>
      <c r="K95" s="30"/>
      <c r="L95" s="30"/>
      <c r="M95" s="121"/>
      <c r="N95" s="121"/>
      <c r="O95" s="121"/>
      <c r="P95" s="121"/>
      <c r="Q95" s="30"/>
      <c r="R95" s="121"/>
      <c r="S95" s="74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</row>
    <row r="96" ht="17" customHeight="1">
      <c r="A96" s="16"/>
      <c r="B96" s="16"/>
      <c r="C96" s="16"/>
      <c r="D96" s="75"/>
      <c r="E96" s="30"/>
      <c r="F96" s="30"/>
      <c r="G96" s="30"/>
      <c r="H96" s="30"/>
      <c r="I96" s="30"/>
      <c r="J96" s="30"/>
      <c r="K96" s="30"/>
      <c r="L96" s="30"/>
      <c r="M96" s="121"/>
      <c r="N96" s="121"/>
      <c r="O96" s="121"/>
      <c r="P96" s="121"/>
      <c r="Q96" s="30"/>
      <c r="R96" s="121"/>
      <c r="S96" s="74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</row>
    <row r="97" ht="85" customHeight="1">
      <c r="A97" s="16"/>
      <c r="B97" s="16"/>
      <c r="C97" s="16"/>
      <c r="D97" s="75"/>
      <c r="E97" s="30"/>
      <c r="F97" s="30"/>
      <c r="G97" s="30"/>
      <c r="H97" s="30"/>
      <c r="I97" s="30"/>
      <c r="J97" s="30"/>
      <c r="K97" s="30"/>
      <c r="L97" s="30"/>
      <c r="M97" s="121"/>
      <c r="N97" s="121"/>
      <c r="O97" s="121"/>
      <c r="P97" s="121"/>
      <c r="Q97" s="30"/>
      <c r="R97" s="121"/>
      <c r="S97" s="74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</row>
    <row r="98" ht="17.45" customHeight="1">
      <c r="A98" s="16"/>
      <c r="B98" s="16"/>
      <c r="C98" s="16"/>
      <c r="D98" s="75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121"/>
      <c r="S98" s="74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</row>
    <row r="99" ht="85" customHeight="1">
      <c r="A99" s="16"/>
      <c r="B99" s="16"/>
      <c r="C99" s="16"/>
      <c r="D99" s="75"/>
      <c r="E99" s="30"/>
      <c r="F99" s="30"/>
      <c r="G99" s="30"/>
      <c r="H99" s="30"/>
      <c r="I99" s="30"/>
      <c r="J99" s="30"/>
      <c r="K99" s="30"/>
      <c r="L99" s="30"/>
      <c r="M99" s="121"/>
      <c r="N99" s="121"/>
      <c r="O99" s="121"/>
      <c r="P99" s="121"/>
      <c r="Q99" s="30"/>
      <c r="R99" s="121"/>
      <c r="S99" s="74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</row>
    <row r="100" ht="68" customHeight="1">
      <c r="A100" s="16"/>
      <c r="B100" s="16"/>
      <c r="C100" s="16"/>
      <c r="D100" s="75"/>
      <c r="E100" s="30"/>
      <c r="F100" s="30"/>
      <c r="G100" s="30"/>
      <c r="H100" s="30"/>
      <c r="I100" s="30"/>
      <c r="J100" s="30"/>
      <c r="K100" s="30"/>
      <c r="L100" s="30"/>
      <c r="M100" s="121"/>
      <c r="N100" s="121"/>
      <c r="O100" s="121"/>
      <c r="P100" s="121"/>
      <c r="Q100" s="30"/>
      <c r="R100" s="121"/>
      <c r="S100" s="74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</row>
    <row r="101" ht="17.45" customHeight="1">
      <c r="A101" s="16"/>
      <c r="B101" s="16"/>
      <c r="C101" s="16"/>
      <c r="D101" s="75"/>
      <c r="E101" s="30"/>
      <c r="F101" s="28"/>
      <c r="G101" s="28"/>
      <c r="H101" s="121"/>
      <c r="I101" s="28"/>
      <c r="J101" s="121"/>
      <c r="K101" s="125"/>
      <c r="L101" s="28"/>
      <c r="M101" s="28"/>
      <c r="N101" s="28"/>
      <c r="O101" s="28"/>
      <c r="P101" s="28"/>
      <c r="Q101" s="30"/>
      <c r="R101" s="30"/>
      <c r="S101" s="74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</row>
    <row r="102" ht="34" customHeight="1">
      <c r="A102" s="16"/>
      <c r="B102" s="16"/>
      <c r="C102" s="16"/>
      <c r="D102" s="75"/>
      <c r="E102" s="30"/>
      <c r="F102" s="28"/>
      <c r="G102" s="28"/>
      <c r="H102" s="121"/>
      <c r="I102" s="28"/>
      <c r="J102" s="301"/>
      <c r="K102" s="297"/>
      <c r="L102" s="165"/>
      <c r="M102" s="28"/>
      <c r="N102" s="28"/>
      <c r="O102" s="28"/>
      <c r="P102" s="28"/>
      <c r="Q102" s="87"/>
      <c r="R102" s="30"/>
      <c r="S102" s="74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</row>
    <row r="103" ht="15.35" customHeight="1">
      <c r="A103" s="16"/>
      <c r="B103" s="16"/>
      <c r="C103" s="16"/>
      <c r="D103" s="75"/>
      <c r="E103" s="30"/>
      <c r="F103" s="30"/>
      <c r="G103" s="130"/>
      <c r="H103" s="30"/>
      <c r="I103" s="30"/>
      <c r="J103" s="30"/>
      <c r="K103" s="30"/>
      <c r="L103" s="30"/>
      <c r="M103" s="30"/>
      <c r="N103" s="30"/>
      <c r="O103" s="30"/>
      <c r="P103" s="30"/>
      <c r="Q103" s="87"/>
      <c r="R103" s="130"/>
      <c r="S103" s="74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</row>
    <row r="104" ht="17.45" customHeight="1">
      <c r="A104" s="16"/>
      <c r="B104" s="16"/>
      <c r="C104" s="16"/>
      <c r="D104" s="75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121"/>
      <c r="S104" s="74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</row>
    <row r="105" ht="15.35" customHeight="1">
      <c r="A105" s="16"/>
      <c r="B105" s="16"/>
      <c r="C105" s="16"/>
      <c r="D105" s="75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130"/>
      <c r="S105" s="74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</row>
    <row r="106" ht="17.45" customHeight="1">
      <c r="A106" s="16"/>
      <c r="B106" s="16"/>
      <c r="C106" s="16"/>
      <c r="D106" s="75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121"/>
      <c r="S106" s="74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</row>
    <row r="107" ht="15.35" customHeight="1">
      <c r="A107" s="16"/>
      <c r="B107" s="16"/>
      <c r="C107" s="16"/>
      <c r="D107" s="16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</row>
    <row r="108" ht="15.35" customHeight="1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</row>
    <row r="109" ht="15.35" customHeight="1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</row>
    <row r="110" ht="15.35" customHeight="1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</row>
    <row r="111" ht="15.35" customHeight="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</row>
    <row r="112" ht="20" customHeight="1">
      <c r="A112" s="16"/>
      <c r="B112" s="16"/>
      <c r="C112" s="16"/>
      <c r="D112" s="16"/>
      <c r="E112" s="44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</row>
    <row r="113" ht="15.35" customHeight="1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</row>
    <row r="114" ht="15.35" customHeight="1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</row>
    <row r="115" ht="15.35" customHeight="1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</row>
    <row r="116" ht="15.35" customHeight="1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</row>
    <row r="117" ht="15.35" customHeight="1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</row>
    <row r="118" ht="15.35" customHeight="1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</row>
    <row r="119" ht="15.35" customHeight="1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</row>
    <row r="120" ht="15.3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</row>
    <row r="121" ht="15.35" customHeight="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</row>
    <row r="122" ht="15.3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</row>
    <row r="123" ht="20" customHeight="1">
      <c r="A123" s="16"/>
      <c r="B123" s="16"/>
      <c r="C123" s="16"/>
      <c r="D123" s="16"/>
      <c r="E123" s="44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  <c r="AZ123" s="16"/>
      <c r="BA123" s="16"/>
      <c r="BB123" s="16"/>
      <c r="BC123" s="16"/>
    </row>
    <row r="124" ht="15.35" customHeight="1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  <c r="AZ124" s="16"/>
      <c r="BA124" s="16"/>
      <c r="BB124" s="16"/>
      <c r="BC124" s="16"/>
    </row>
    <row r="125" ht="15.35" customHeight="1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  <c r="AZ125" s="16"/>
      <c r="BA125" s="16"/>
      <c r="BB125" s="16"/>
      <c r="BC125" s="16"/>
    </row>
    <row r="126" ht="15.35" customHeight="1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  <c r="AZ126" s="16"/>
      <c r="BA126" s="16"/>
      <c r="BB126" s="16"/>
      <c r="BC126" s="16"/>
    </row>
    <row r="127" ht="15.35" customHeight="1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  <c r="AZ127" s="16"/>
      <c r="BA127" s="16"/>
      <c r="BB127" s="16"/>
      <c r="BC127" s="16"/>
    </row>
    <row r="128" ht="20" customHeight="1">
      <c r="A128" s="16"/>
      <c r="B128" s="16"/>
      <c r="C128" s="16"/>
      <c r="D128" s="16"/>
      <c r="E128" s="44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  <c r="AZ128" s="16"/>
      <c r="BA128" s="16"/>
      <c r="BB128" s="16"/>
      <c r="BC128" s="16"/>
    </row>
    <row r="129" ht="15.35" customHeight="1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  <c r="AZ129" s="16"/>
      <c r="BA129" s="16"/>
      <c r="BB129" s="16"/>
      <c r="BC129" s="16"/>
    </row>
    <row r="130" ht="15.35" customHeight="1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  <c r="AZ130" s="16"/>
      <c r="BA130" s="16"/>
      <c r="BB130" s="16"/>
      <c r="BC130" s="16"/>
    </row>
    <row r="131" ht="15.35" customHeight="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  <c r="AZ131" s="16"/>
      <c r="BA131" s="16"/>
      <c r="BB131" s="16"/>
      <c r="BC131" s="16"/>
    </row>
    <row r="132" ht="15.35" customHeight="1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  <c r="AZ132" s="16"/>
      <c r="BA132" s="16"/>
      <c r="BB132" s="16"/>
      <c r="BC132" s="16"/>
    </row>
    <row r="133" ht="20" customHeight="1">
      <c r="A133" s="16"/>
      <c r="B133" s="16"/>
      <c r="C133" s="16"/>
      <c r="D133" s="16"/>
      <c r="E133" s="44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  <c r="AZ133" s="16"/>
      <c r="BA133" s="16"/>
      <c r="BB133" s="16"/>
      <c r="BC133" s="16"/>
    </row>
    <row r="134" ht="15.35" customHeight="1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  <c r="AZ134" s="16"/>
      <c r="BA134" s="16"/>
      <c r="BB134" s="16"/>
      <c r="BC134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8.xml><?xml version="1.0" encoding="utf-8"?>
<worksheet xmlns:r="http://schemas.openxmlformats.org/officeDocument/2006/relationships" xmlns="http://schemas.openxmlformats.org/spreadsheetml/2006/main">
  <dimension ref="A1:BW125"/>
  <sheetViews>
    <sheetView workbookViewId="0" showGridLines="0" defaultGridColor="1"/>
  </sheetViews>
  <sheetFormatPr defaultColWidth="10.8333" defaultRowHeight="16" customHeight="1" outlineLevelRow="0" outlineLevelCol="0"/>
  <cols>
    <col min="1" max="4" width="10.8516" style="449" customWidth="1"/>
    <col min="5" max="5" width="15.3516" style="449" customWidth="1"/>
    <col min="6" max="7" width="10.8516" style="449" customWidth="1"/>
    <col min="8" max="8" width="15.8516" style="449" customWidth="1"/>
    <col min="9" max="14" width="10.8516" style="449" customWidth="1"/>
    <col min="15" max="15" width="17.6719" style="449" customWidth="1"/>
    <col min="16" max="20" width="10.8516" style="449" customWidth="1"/>
    <col min="21" max="21" width="10.5" style="449" customWidth="1"/>
    <col min="22" max="22" width="15.3516" style="449" customWidth="1"/>
    <col min="23" max="27" width="10.8516" style="449" customWidth="1"/>
    <col min="28" max="28" width="32.8516" style="449" customWidth="1"/>
    <col min="29" max="29" width="17.5" style="449" customWidth="1"/>
    <col min="30" max="33" width="10.8516" style="449" customWidth="1"/>
    <col min="34" max="34" width="28.1719" style="449" customWidth="1"/>
    <col min="35" max="35" width="10.8516" style="449" customWidth="1"/>
    <col min="36" max="36" width="19.1719" style="449" customWidth="1"/>
    <col min="37" max="75" width="10.8516" style="449" customWidth="1"/>
    <col min="76" max="16384" width="10.8516" style="449" customWidth="1"/>
  </cols>
  <sheetData>
    <row r="1" ht="34" customHeight="1">
      <c r="A1" t="s" s="23">
        <v>268</v>
      </c>
      <c r="B1" t="s" s="450">
        <v>3009</v>
      </c>
      <c r="C1" t="s" s="451">
        <v>3010</v>
      </c>
      <c r="D1" t="s" s="452">
        <v>455</v>
      </c>
      <c r="E1" t="s" s="453">
        <v>269</v>
      </c>
      <c r="F1" t="s" s="23">
        <v>270</v>
      </c>
      <c r="G1" t="s" s="23">
        <v>272</v>
      </c>
      <c r="H1" t="s" s="454">
        <v>273</v>
      </c>
      <c r="I1" t="s" s="452">
        <v>3011</v>
      </c>
      <c r="J1" s="455"/>
      <c r="K1" t="s" s="24">
        <v>274</v>
      </c>
      <c r="L1" s="26"/>
      <c r="M1" s="26"/>
      <c r="N1" s="26"/>
      <c r="O1" t="s" s="24">
        <v>275</v>
      </c>
      <c r="P1" s="26"/>
      <c r="Q1" s="26"/>
      <c r="R1" s="26"/>
      <c r="S1" s="26"/>
      <c r="T1" s="26"/>
      <c r="U1" t="s" s="24">
        <v>276</v>
      </c>
      <c r="V1" t="s" s="24">
        <v>277</v>
      </c>
      <c r="W1" t="s" s="24">
        <v>278</v>
      </c>
      <c r="X1" t="s" s="24">
        <v>279</v>
      </c>
      <c r="Y1" t="s" s="24">
        <v>280</v>
      </c>
      <c r="Z1" t="s" s="24">
        <v>281</v>
      </c>
      <c r="AA1" t="s" s="24">
        <v>282</v>
      </c>
      <c r="AB1" t="s" s="24">
        <v>283</v>
      </c>
      <c r="AC1" t="s" s="24">
        <v>284</v>
      </c>
      <c r="AD1" t="s" s="24">
        <v>285</v>
      </c>
      <c r="AE1" t="s" s="24">
        <v>286</v>
      </c>
      <c r="AF1" s="24"/>
      <c r="AG1" s="26"/>
      <c r="AH1" t="s" s="24">
        <v>287</v>
      </c>
      <c r="AI1" s="26"/>
      <c r="AJ1" t="s" s="23">
        <v>288</v>
      </c>
      <c r="AK1" t="s" s="24">
        <v>3012</v>
      </c>
      <c r="AL1" t="s" s="119">
        <v>3013</v>
      </c>
      <c r="AM1" s="121"/>
      <c r="AN1" s="29"/>
      <c r="AO1" s="29"/>
      <c r="AP1" s="30"/>
      <c r="AQ1" s="29"/>
      <c r="AR1" s="29"/>
      <c r="AS1" s="29"/>
      <c r="AT1" s="30"/>
      <c r="AU1" s="121"/>
      <c r="AV1" s="121"/>
      <c r="AW1" s="121"/>
      <c r="AX1" s="121"/>
      <c r="AY1" s="121"/>
      <c r="AZ1" s="121"/>
      <c r="BA1" s="121"/>
      <c r="BB1" s="29"/>
      <c r="BC1" s="30"/>
      <c r="BD1" s="30"/>
      <c r="BE1" s="74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  <c r="BU1" s="16"/>
      <c r="BV1" s="16"/>
      <c r="BW1" s="16"/>
    </row>
    <row r="2" ht="34" customHeight="1">
      <c r="A2" t="s" s="31">
        <v>290</v>
      </c>
      <c r="B2" s="31"/>
      <c r="C2" s="31"/>
      <c r="D2" s="31"/>
      <c r="E2" t="s" s="31">
        <v>291</v>
      </c>
      <c r="F2" s="32"/>
      <c r="G2" s="32"/>
      <c r="H2" s="33"/>
      <c r="I2" s="33"/>
      <c r="J2" t="s" s="35">
        <v>3014</v>
      </c>
      <c r="K2" t="s" s="35">
        <v>292</v>
      </c>
      <c r="L2" t="s" s="35">
        <v>293</v>
      </c>
      <c r="M2" t="s" s="35">
        <v>294</v>
      </c>
      <c r="N2" t="s" s="35">
        <v>295</v>
      </c>
      <c r="O2" t="s" s="35">
        <v>296</v>
      </c>
      <c r="P2" t="s" s="35">
        <v>297</v>
      </c>
      <c r="Q2" t="s" s="35">
        <v>298</v>
      </c>
      <c r="R2" t="s" s="35">
        <v>299</v>
      </c>
      <c r="S2" t="s" s="35">
        <v>300</v>
      </c>
      <c r="T2" t="s" s="35">
        <v>11</v>
      </c>
      <c r="U2" t="s" s="35">
        <v>301</v>
      </c>
      <c r="V2" t="s" s="35">
        <v>302</v>
      </c>
      <c r="W2" t="s" s="35">
        <v>303</v>
      </c>
      <c r="X2" t="s" s="36">
        <v>304</v>
      </c>
      <c r="Y2" s="33"/>
      <c r="Z2" s="33"/>
      <c r="AA2" s="33"/>
      <c r="AB2" s="33"/>
      <c r="AC2" s="33"/>
      <c r="AD2" s="33"/>
      <c r="AE2" t="s" s="35">
        <v>8</v>
      </c>
      <c r="AF2" t="s" s="35">
        <v>3015</v>
      </c>
      <c r="AG2" t="s" s="35">
        <v>459</v>
      </c>
      <c r="AH2" t="s" s="35">
        <v>306</v>
      </c>
      <c r="AI2" t="s" s="37">
        <v>300</v>
      </c>
      <c r="AJ2" s="32"/>
      <c r="AK2" s="32"/>
      <c r="AL2" s="38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74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</row>
    <row r="3" ht="17" customHeight="1">
      <c r="A3" t="s" s="37">
        <v>3016</v>
      </c>
      <c r="B3" s="32"/>
      <c r="C3" s="32"/>
      <c r="D3" t="s" s="37">
        <v>3017</v>
      </c>
      <c r="E3" s="32"/>
      <c r="F3" s="39">
        <v>11</v>
      </c>
      <c r="G3" t="s" s="37">
        <v>10</v>
      </c>
      <c r="H3" t="s" s="37">
        <v>9</v>
      </c>
      <c r="I3" s="39">
        <v>1</v>
      </c>
      <c r="J3" s="32"/>
      <c r="K3" s="40">
        <v>1</v>
      </c>
      <c r="L3" s="33"/>
      <c r="M3" s="33"/>
      <c r="N3" s="33"/>
      <c r="O3" s="33"/>
      <c r="P3" s="33"/>
      <c r="Q3" s="33"/>
      <c r="R3" s="33"/>
      <c r="S3" s="32"/>
      <c r="T3" s="40">
        <v>1</v>
      </c>
      <c r="U3" s="39">
        <v>46</v>
      </c>
      <c r="V3" s="33"/>
      <c r="W3" s="33"/>
      <c r="X3" s="33"/>
      <c r="Y3" s="33"/>
      <c r="Z3" s="33"/>
      <c r="AA3" s="33"/>
      <c r="AB3" t="s" s="35">
        <v>14</v>
      </c>
      <c r="AC3" s="33"/>
      <c r="AD3" s="40">
        <v>1</v>
      </c>
      <c r="AE3" s="33"/>
      <c r="AF3" s="33"/>
      <c r="AG3" s="33"/>
      <c r="AH3" s="456">
        <v>1</v>
      </c>
      <c r="AI3" s="33"/>
      <c r="AJ3" t="s" s="457">
        <v>15</v>
      </c>
      <c r="AK3" s="32"/>
      <c r="AL3" s="38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74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</row>
    <row r="4" ht="17" customHeight="1">
      <c r="A4" t="s" s="37">
        <v>3016</v>
      </c>
      <c r="B4" s="32"/>
      <c r="C4" s="32"/>
      <c r="D4" t="s" s="37">
        <v>3017</v>
      </c>
      <c r="E4" s="32"/>
      <c r="F4" s="39">
        <v>11</v>
      </c>
      <c r="G4" t="s" s="37">
        <v>18</v>
      </c>
      <c r="H4" t="s" s="37">
        <v>17</v>
      </c>
      <c r="I4" s="39">
        <v>2</v>
      </c>
      <c r="J4" s="32"/>
      <c r="K4" s="40">
        <v>1</v>
      </c>
      <c r="L4" s="32"/>
      <c r="M4" s="32"/>
      <c r="N4" s="32"/>
      <c r="O4" s="32"/>
      <c r="P4" s="32"/>
      <c r="Q4" s="42"/>
      <c r="R4" s="42"/>
      <c r="S4" s="32"/>
      <c r="T4" s="43">
        <v>1</v>
      </c>
      <c r="U4" s="39">
        <v>28</v>
      </c>
      <c r="V4" s="42"/>
      <c r="W4" s="42"/>
      <c r="X4" s="32"/>
      <c r="Y4" s="32"/>
      <c r="Z4" s="32"/>
      <c r="AA4" s="32"/>
      <c r="AB4" t="s" s="35">
        <v>14</v>
      </c>
      <c r="AC4" s="33"/>
      <c r="AD4" s="40">
        <v>1</v>
      </c>
      <c r="AE4" s="32"/>
      <c r="AF4" s="32"/>
      <c r="AG4" s="33"/>
      <c r="AH4" s="458">
        <v>1</v>
      </c>
      <c r="AI4" s="32"/>
      <c r="AJ4" t="s" s="459">
        <v>15</v>
      </c>
      <c r="AK4" s="32"/>
      <c r="AL4" s="38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74"/>
      <c r="BF4" s="16"/>
      <c r="BG4" s="16"/>
      <c r="BH4" s="16"/>
      <c r="BI4" s="16"/>
      <c r="BJ4" s="16"/>
      <c r="BK4" s="16"/>
      <c r="BL4" s="16"/>
      <c r="BM4" s="16"/>
      <c r="BN4" s="16"/>
      <c r="BO4" s="16"/>
      <c r="BP4" s="16"/>
      <c r="BQ4" s="16"/>
      <c r="BR4" s="16"/>
      <c r="BS4" s="16"/>
      <c r="BT4" s="16"/>
      <c r="BU4" s="16"/>
      <c r="BV4" s="16"/>
      <c r="BW4" s="16"/>
    </row>
    <row r="5" ht="17" customHeight="1">
      <c r="A5" t="s" s="37">
        <v>3016</v>
      </c>
      <c r="B5" s="32"/>
      <c r="C5" s="32"/>
      <c r="D5" t="s" s="37">
        <v>3017</v>
      </c>
      <c r="E5" s="32"/>
      <c r="F5" s="39">
        <v>11</v>
      </c>
      <c r="G5" t="s" s="37">
        <v>21</v>
      </c>
      <c r="H5" t="s" s="37">
        <v>20</v>
      </c>
      <c r="I5" s="39">
        <v>3</v>
      </c>
      <c r="J5" s="32"/>
      <c r="K5" s="40">
        <v>1</v>
      </c>
      <c r="L5" s="32"/>
      <c r="M5" s="32"/>
      <c r="N5" s="32"/>
      <c r="O5" s="32"/>
      <c r="P5" s="32"/>
      <c r="Q5" s="42"/>
      <c r="R5" s="42"/>
      <c r="S5" s="32"/>
      <c r="T5" s="43">
        <v>1</v>
      </c>
      <c r="U5" s="39">
        <v>19</v>
      </c>
      <c r="V5" s="42"/>
      <c r="W5" s="42"/>
      <c r="X5" s="42"/>
      <c r="Y5" s="32"/>
      <c r="Z5" s="32"/>
      <c r="AA5" s="32"/>
      <c r="AB5" t="s" s="35">
        <v>14</v>
      </c>
      <c r="AC5" s="33"/>
      <c r="AD5" s="40">
        <v>1</v>
      </c>
      <c r="AE5" s="32"/>
      <c r="AF5" s="32"/>
      <c r="AG5" s="33"/>
      <c r="AH5" s="460"/>
      <c r="AI5" s="39">
        <v>1</v>
      </c>
      <c r="AJ5" t="s" s="459">
        <v>15</v>
      </c>
      <c r="AK5" s="32"/>
      <c r="AL5" t="s" s="461">
        <v>22</v>
      </c>
      <c r="AM5" s="146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74"/>
      <c r="BF5" s="16"/>
      <c r="BG5" s="16"/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  <c r="BS5" s="16"/>
      <c r="BT5" s="16"/>
      <c r="BU5" s="16"/>
      <c r="BV5" s="16"/>
      <c r="BW5" s="16"/>
    </row>
    <row r="6" ht="17" customHeight="1">
      <c r="A6" t="s" s="37">
        <v>3016</v>
      </c>
      <c r="B6" s="32"/>
      <c r="C6" s="32"/>
      <c r="D6" t="s" s="37">
        <v>3017</v>
      </c>
      <c r="E6" s="32"/>
      <c r="F6" s="39">
        <v>11</v>
      </c>
      <c r="G6" t="s" s="37">
        <v>24</v>
      </c>
      <c r="H6" t="s" s="37">
        <v>23</v>
      </c>
      <c r="I6" s="39">
        <v>4</v>
      </c>
      <c r="J6" s="32"/>
      <c r="K6" s="40">
        <v>1</v>
      </c>
      <c r="L6" s="32"/>
      <c r="M6" s="32"/>
      <c r="N6" s="32"/>
      <c r="O6" s="32"/>
      <c r="P6" s="32"/>
      <c r="Q6" s="42"/>
      <c r="R6" s="42"/>
      <c r="S6" s="32"/>
      <c r="T6" s="43">
        <v>1</v>
      </c>
      <c r="U6" s="39">
        <v>16</v>
      </c>
      <c r="V6" s="42"/>
      <c r="W6" s="42"/>
      <c r="X6" s="42"/>
      <c r="Y6" s="32"/>
      <c r="Z6" s="32"/>
      <c r="AA6" s="32"/>
      <c r="AB6" t="s" s="35">
        <v>14</v>
      </c>
      <c r="AC6" s="33"/>
      <c r="AD6" s="40">
        <v>1</v>
      </c>
      <c r="AE6" s="32"/>
      <c r="AF6" s="32"/>
      <c r="AG6" s="33"/>
      <c r="AH6" s="458">
        <v>1</v>
      </c>
      <c r="AI6" s="32"/>
      <c r="AJ6" t="s" s="459">
        <v>15</v>
      </c>
      <c r="AK6" s="32"/>
      <c r="AL6" s="63"/>
      <c r="AM6" s="146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74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</row>
    <row r="7" ht="17" customHeight="1">
      <c r="A7" t="s" s="37">
        <v>3016</v>
      </c>
      <c r="B7" s="32"/>
      <c r="C7" s="32"/>
      <c r="D7" t="s" s="37">
        <v>3017</v>
      </c>
      <c r="E7" s="32"/>
      <c r="F7" s="39">
        <v>11</v>
      </c>
      <c r="G7" t="s" s="37">
        <v>27</v>
      </c>
      <c r="H7" t="s" s="37">
        <v>26</v>
      </c>
      <c r="I7" s="39">
        <v>5</v>
      </c>
      <c r="J7" s="32"/>
      <c r="K7" s="40">
        <v>1</v>
      </c>
      <c r="L7" s="32"/>
      <c r="M7" s="32"/>
      <c r="N7" s="32"/>
      <c r="O7" s="32"/>
      <c r="P7" s="32"/>
      <c r="Q7" s="42"/>
      <c r="R7" s="42"/>
      <c r="S7" s="32"/>
      <c r="T7" s="43">
        <v>1</v>
      </c>
      <c r="U7" s="39">
        <v>14</v>
      </c>
      <c r="V7" s="42"/>
      <c r="W7" s="42"/>
      <c r="X7" s="42"/>
      <c r="Y7" s="32"/>
      <c r="Z7" s="32"/>
      <c r="AA7" s="32"/>
      <c r="AB7" t="s" s="35">
        <v>14</v>
      </c>
      <c r="AC7" s="33"/>
      <c r="AD7" s="40">
        <v>1</v>
      </c>
      <c r="AE7" s="32"/>
      <c r="AF7" s="32"/>
      <c r="AG7" s="33"/>
      <c r="AH7" s="460"/>
      <c r="AI7" s="39">
        <v>1</v>
      </c>
      <c r="AJ7" t="s" s="459">
        <v>15</v>
      </c>
      <c r="AK7" s="32"/>
      <c r="AL7" t="s" s="462">
        <v>28</v>
      </c>
      <c r="AM7" s="146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74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  <c r="BU7" s="16"/>
      <c r="BV7" s="16"/>
      <c r="BW7" s="16"/>
    </row>
    <row r="8" ht="17.45" customHeight="1">
      <c r="A8" s="32"/>
      <c r="B8" s="32"/>
      <c r="C8" s="32"/>
      <c r="D8" s="32"/>
      <c r="E8" s="32"/>
      <c r="F8" s="32"/>
      <c r="G8" s="32"/>
      <c r="H8" s="32"/>
      <c r="I8" s="32"/>
      <c r="J8" s="32"/>
      <c r="K8" s="33"/>
      <c r="L8" s="32"/>
      <c r="M8" s="32"/>
      <c r="N8" s="32"/>
      <c r="O8" s="32"/>
      <c r="P8" s="32"/>
      <c r="Q8" s="42"/>
      <c r="R8" s="42"/>
      <c r="S8" s="32"/>
      <c r="T8" s="42"/>
      <c r="U8" s="32"/>
      <c r="V8" s="42"/>
      <c r="W8" s="42"/>
      <c r="X8" s="42"/>
      <c r="Y8" s="32"/>
      <c r="Z8" s="32"/>
      <c r="AA8" s="32"/>
      <c r="AB8" s="33"/>
      <c r="AC8" s="33"/>
      <c r="AD8" s="33"/>
      <c r="AE8" s="32"/>
      <c r="AF8" s="32"/>
      <c r="AG8" s="33"/>
      <c r="AH8" s="460"/>
      <c r="AI8" s="32"/>
      <c r="AJ8" s="460"/>
      <c r="AK8" s="32"/>
      <c r="AL8" s="63"/>
      <c r="AM8" s="146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74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  <c r="BU8" s="16"/>
      <c r="BV8" s="16"/>
      <c r="BW8" s="16"/>
    </row>
    <row r="9" ht="17" customHeight="1">
      <c r="A9" t="s" s="37">
        <v>3018</v>
      </c>
      <c r="B9" s="32"/>
      <c r="C9" s="32"/>
      <c r="D9" t="s" s="37">
        <v>3017</v>
      </c>
      <c r="E9" t="s" s="37">
        <v>3019</v>
      </c>
      <c r="F9" s="39">
        <v>2</v>
      </c>
      <c r="G9" t="s" s="37">
        <v>30</v>
      </c>
      <c r="H9" t="s" s="37">
        <v>29</v>
      </c>
      <c r="I9" s="39">
        <v>6</v>
      </c>
      <c r="J9" s="32"/>
      <c r="K9" s="40">
        <v>1</v>
      </c>
      <c r="L9" s="32"/>
      <c r="M9" s="32"/>
      <c r="N9" s="32"/>
      <c r="O9" s="39">
        <v>1</v>
      </c>
      <c r="P9" s="32"/>
      <c r="Q9" s="42"/>
      <c r="R9" s="42"/>
      <c r="S9" s="32"/>
      <c r="T9" s="42"/>
      <c r="U9" s="39">
        <v>44</v>
      </c>
      <c r="V9" s="42"/>
      <c r="W9" s="42"/>
      <c r="X9" s="42"/>
      <c r="Y9" s="32"/>
      <c r="Z9" s="32"/>
      <c r="AA9" s="32"/>
      <c r="AB9" t="s" s="35">
        <v>33</v>
      </c>
      <c r="AC9" s="33"/>
      <c r="AD9" s="33"/>
      <c r="AE9" s="32"/>
      <c r="AF9" s="32"/>
      <c r="AG9" s="33"/>
      <c r="AH9" s="460"/>
      <c r="AI9" s="39">
        <v>1</v>
      </c>
      <c r="AJ9" t="s" s="459">
        <v>34</v>
      </c>
      <c r="AK9" s="32"/>
      <c r="AL9" t="s" s="462">
        <v>32</v>
      </c>
      <c r="AM9" s="146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74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  <c r="BU9" s="16"/>
      <c r="BV9" s="16"/>
      <c r="BW9" s="16"/>
    </row>
    <row r="10" ht="17" customHeight="1">
      <c r="A10" t="s" s="37">
        <v>3018</v>
      </c>
      <c r="B10" s="32"/>
      <c r="C10" s="32"/>
      <c r="D10" t="s" s="37">
        <v>3017</v>
      </c>
      <c r="E10" t="s" s="37">
        <v>3019</v>
      </c>
      <c r="F10" s="39">
        <v>2</v>
      </c>
      <c r="G10" t="s" s="37">
        <v>30</v>
      </c>
      <c r="H10" t="s" s="37">
        <v>35</v>
      </c>
      <c r="I10" s="39">
        <v>7</v>
      </c>
      <c r="J10" s="32"/>
      <c r="K10" s="33"/>
      <c r="L10" s="32"/>
      <c r="M10" s="32"/>
      <c r="N10" s="39">
        <v>1</v>
      </c>
      <c r="O10" s="32"/>
      <c r="P10" s="32"/>
      <c r="Q10" s="42"/>
      <c r="R10" s="43">
        <v>1</v>
      </c>
      <c r="S10" s="32"/>
      <c r="T10" s="42"/>
      <c r="U10" s="39">
        <v>13</v>
      </c>
      <c r="V10" s="42"/>
      <c r="W10" s="42"/>
      <c r="X10" s="32"/>
      <c r="Y10" s="32"/>
      <c r="Z10" s="32"/>
      <c r="AA10" s="32"/>
      <c r="AB10" t="s" s="35">
        <v>34</v>
      </c>
      <c r="AC10" s="33"/>
      <c r="AD10" s="33"/>
      <c r="AE10" s="32"/>
      <c r="AF10" s="32"/>
      <c r="AG10" s="33"/>
      <c r="AH10" s="458">
        <v>1</v>
      </c>
      <c r="AI10" s="32"/>
      <c r="AJ10" t="s" s="459">
        <v>34</v>
      </c>
      <c r="AK10" s="32"/>
      <c r="AL10" s="63"/>
      <c r="AM10" s="146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74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  <c r="BU10" s="16"/>
      <c r="BV10" s="16"/>
      <c r="BW10" s="16"/>
    </row>
    <row r="11" ht="17" customHeight="1">
      <c r="A11" t="s" s="37">
        <v>3018</v>
      </c>
      <c r="B11" s="32"/>
      <c r="C11" s="32"/>
      <c r="D11" t="s" s="37">
        <v>3017</v>
      </c>
      <c r="E11" t="s" s="37">
        <v>3019</v>
      </c>
      <c r="F11" s="39">
        <v>2</v>
      </c>
      <c r="G11" t="s" s="37">
        <v>30</v>
      </c>
      <c r="H11" t="s" s="37">
        <v>38</v>
      </c>
      <c r="I11" s="39">
        <v>8</v>
      </c>
      <c r="J11" s="32"/>
      <c r="K11" s="33"/>
      <c r="L11" s="32"/>
      <c r="M11" s="32"/>
      <c r="N11" s="39">
        <v>1</v>
      </c>
      <c r="O11" s="32"/>
      <c r="P11" s="32"/>
      <c r="Q11" s="42"/>
      <c r="R11" s="43">
        <v>1</v>
      </c>
      <c r="S11" s="32"/>
      <c r="T11" s="42"/>
      <c r="U11" s="39">
        <v>10</v>
      </c>
      <c r="V11" s="42"/>
      <c r="W11" s="42"/>
      <c r="X11" s="42"/>
      <c r="Y11" s="32"/>
      <c r="Z11" s="32"/>
      <c r="AA11" s="32"/>
      <c r="AB11" t="s" s="35">
        <v>34</v>
      </c>
      <c r="AC11" s="33"/>
      <c r="AD11" s="33"/>
      <c r="AE11" s="32"/>
      <c r="AF11" s="32"/>
      <c r="AG11" s="33"/>
      <c r="AH11" s="458">
        <v>1</v>
      </c>
      <c r="AI11" s="32"/>
      <c r="AJ11" t="s" s="459">
        <v>34</v>
      </c>
      <c r="AK11" s="32"/>
      <c r="AL11" s="63"/>
      <c r="AM11" s="146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74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  <c r="BU11" s="16"/>
      <c r="BV11" s="16"/>
      <c r="BW11" s="16"/>
    </row>
    <row r="12" ht="17" customHeight="1">
      <c r="A12" t="s" s="37">
        <v>3018</v>
      </c>
      <c r="B12" s="32"/>
      <c r="C12" s="32"/>
      <c r="D12" t="s" s="37">
        <v>3017</v>
      </c>
      <c r="E12" t="s" s="37">
        <v>3019</v>
      </c>
      <c r="F12" s="39">
        <v>2</v>
      </c>
      <c r="G12" t="s" s="37">
        <v>40</v>
      </c>
      <c r="H12" t="s" s="37">
        <v>39</v>
      </c>
      <c r="I12" s="39">
        <v>9</v>
      </c>
      <c r="J12" s="32"/>
      <c r="K12" s="40">
        <v>1</v>
      </c>
      <c r="L12" s="32"/>
      <c r="M12" s="32"/>
      <c r="N12" s="32"/>
      <c r="O12" s="32"/>
      <c r="P12" s="32"/>
      <c r="Q12" s="42"/>
      <c r="R12" s="42"/>
      <c r="S12" s="39">
        <v>1</v>
      </c>
      <c r="T12" s="42"/>
      <c r="U12" s="39">
        <v>72</v>
      </c>
      <c r="V12" s="42"/>
      <c r="W12" s="42"/>
      <c r="X12" s="42"/>
      <c r="Y12" s="32"/>
      <c r="Z12" s="32"/>
      <c r="AA12" s="32"/>
      <c r="AB12" t="s" s="35">
        <v>34</v>
      </c>
      <c r="AC12" s="33"/>
      <c r="AD12" s="33"/>
      <c r="AE12" s="32"/>
      <c r="AF12" s="32"/>
      <c r="AG12" s="33"/>
      <c r="AH12" s="460"/>
      <c r="AI12" s="39">
        <v>1</v>
      </c>
      <c r="AJ12" t="s" s="459">
        <v>34</v>
      </c>
      <c r="AK12" t="s" s="37">
        <v>329</v>
      </c>
      <c r="AL12" t="s" s="462">
        <v>42</v>
      </c>
      <c r="AM12" s="146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74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  <c r="BU12" s="16"/>
      <c r="BV12" s="16"/>
      <c r="BW12" s="16"/>
    </row>
    <row r="13" ht="17" customHeight="1">
      <c r="A13" t="s" s="37">
        <v>3018</v>
      </c>
      <c r="B13" s="32"/>
      <c r="C13" s="32"/>
      <c r="D13" t="s" s="37">
        <v>3017</v>
      </c>
      <c r="E13" t="s" s="37">
        <v>3019</v>
      </c>
      <c r="F13" s="39">
        <v>2</v>
      </c>
      <c r="G13" t="s" s="37">
        <v>44</v>
      </c>
      <c r="H13" t="s" s="37">
        <v>43</v>
      </c>
      <c r="I13" s="39">
        <v>10</v>
      </c>
      <c r="J13" s="32"/>
      <c r="K13" s="40">
        <v>1</v>
      </c>
      <c r="L13" s="39">
        <v>0</v>
      </c>
      <c r="M13" s="39">
        <v>0</v>
      </c>
      <c r="N13" s="39">
        <v>0</v>
      </c>
      <c r="O13" s="39">
        <v>0</v>
      </c>
      <c r="P13" s="39">
        <v>0</v>
      </c>
      <c r="Q13" s="39">
        <v>0</v>
      </c>
      <c r="R13" s="39">
        <v>0</v>
      </c>
      <c r="S13" s="32"/>
      <c r="T13" s="39">
        <v>1</v>
      </c>
      <c r="U13" s="39">
        <v>20</v>
      </c>
      <c r="V13" s="39">
        <v>0</v>
      </c>
      <c r="W13" s="39">
        <v>0</v>
      </c>
      <c r="X13" s="39">
        <v>0</v>
      </c>
      <c r="Y13" s="39">
        <v>0</v>
      </c>
      <c r="Z13" s="39">
        <v>0</v>
      </c>
      <c r="AA13" s="39">
        <v>0</v>
      </c>
      <c r="AB13" t="s" s="35">
        <v>45</v>
      </c>
      <c r="AC13" s="40">
        <v>0</v>
      </c>
      <c r="AD13" s="40">
        <v>1</v>
      </c>
      <c r="AE13" s="39">
        <v>0</v>
      </c>
      <c r="AF13" s="32"/>
      <c r="AG13" s="33"/>
      <c r="AH13" s="460"/>
      <c r="AI13" s="39">
        <v>1</v>
      </c>
      <c r="AJ13" t="s" s="459">
        <v>15</v>
      </c>
      <c r="AK13" s="32"/>
      <c r="AL13" t="s" s="462">
        <v>46</v>
      </c>
      <c r="AM13" s="146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74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</row>
    <row r="14" ht="17" customHeight="1">
      <c r="A14" t="s" s="37">
        <v>3018</v>
      </c>
      <c r="B14" s="32"/>
      <c r="C14" s="32"/>
      <c r="D14" t="s" s="37">
        <v>3017</v>
      </c>
      <c r="E14" t="s" s="37">
        <v>3019</v>
      </c>
      <c r="F14" s="39">
        <v>2</v>
      </c>
      <c r="G14" t="s" s="37">
        <v>40</v>
      </c>
      <c r="H14" t="s" s="37">
        <v>47</v>
      </c>
      <c r="I14" s="39">
        <v>11</v>
      </c>
      <c r="J14" s="32"/>
      <c r="K14" s="40">
        <v>1</v>
      </c>
      <c r="L14" s="32"/>
      <c r="M14" s="32"/>
      <c r="N14" s="32"/>
      <c r="O14" s="39">
        <v>0</v>
      </c>
      <c r="P14" s="32"/>
      <c r="Q14" s="42"/>
      <c r="R14" s="42"/>
      <c r="S14" s="39">
        <v>1</v>
      </c>
      <c r="T14" s="42"/>
      <c r="U14" s="39">
        <v>37</v>
      </c>
      <c r="V14" s="42"/>
      <c r="W14" s="42"/>
      <c r="X14" s="42"/>
      <c r="Y14" s="32"/>
      <c r="Z14" s="32"/>
      <c r="AA14" s="32"/>
      <c r="AB14" t="s" s="35">
        <v>34</v>
      </c>
      <c r="AC14" s="33"/>
      <c r="AD14" s="33"/>
      <c r="AE14" s="32"/>
      <c r="AF14" s="32"/>
      <c r="AG14" s="33"/>
      <c r="AH14" s="460"/>
      <c r="AI14" s="39">
        <v>1</v>
      </c>
      <c r="AJ14" t="s" s="459">
        <v>34</v>
      </c>
      <c r="AK14" t="s" s="37">
        <v>329</v>
      </c>
      <c r="AL14" t="s" s="462">
        <v>42</v>
      </c>
      <c r="AM14" s="146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74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  <c r="BU14" s="16"/>
      <c r="BV14" s="16"/>
      <c r="BW14" s="16"/>
    </row>
    <row r="15" ht="17" customHeight="1">
      <c r="A15" t="s" s="37">
        <v>3018</v>
      </c>
      <c r="B15" s="32"/>
      <c r="C15" s="32"/>
      <c r="D15" t="s" s="37">
        <v>3017</v>
      </c>
      <c r="E15" t="s" s="37">
        <v>3019</v>
      </c>
      <c r="F15" s="39">
        <v>2</v>
      </c>
      <c r="G15" t="s" s="37">
        <v>49</v>
      </c>
      <c r="H15" t="s" s="37">
        <v>48</v>
      </c>
      <c r="I15" s="39">
        <v>12</v>
      </c>
      <c r="J15" s="32"/>
      <c r="K15" s="40">
        <v>1</v>
      </c>
      <c r="L15" s="32"/>
      <c r="M15" s="32"/>
      <c r="N15" s="32"/>
      <c r="O15" s="32"/>
      <c r="P15" s="32"/>
      <c r="Q15" s="42"/>
      <c r="R15" s="42"/>
      <c r="S15" s="32"/>
      <c r="T15" s="43">
        <v>1</v>
      </c>
      <c r="U15" s="39">
        <v>33</v>
      </c>
      <c r="V15" s="42"/>
      <c r="W15" s="42"/>
      <c r="X15" s="42"/>
      <c r="Y15" s="32"/>
      <c r="Z15" s="32"/>
      <c r="AA15" s="32"/>
      <c r="AB15" t="s" s="35">
        <v>51</v>
      </c>
      <c r="AC15" s="33"/>
      <c r="AD15" s="40">
        <v>1</v>
      </c>
      <c r="AE15" s="32"/>
      <c r="AF15" s="32"/>
      <c r="AG15" s="33"/>
      <c r="AH15" s="460"/>
      <c r="AI15" s="39">
        <v>1</v>
      </c>
      <c r="AJ15" t="s" s="459">
        <v>15</v>
      </c>
      <c r="AK15" s="32"/>
      <c r="AL15" t="s" s="462">
        <v>50</v>
      </c>
      <c r="AM15" s="146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74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  <c r="BU15" s="16"/>
      <c r="BV15" s="16"/>
      <c r="BW15" s="16"/>
    </row>
    <row r="16" ht="17" customHeight="1">
      <c r="A16" t="s" s="37">
        <v>3018</v>
      </c>
      <c r="B16" s="32"/>
      <c r="C16" s="32"/>
      <c r="D16" t="s" s="37">
        <v>3017</v>
      </c>
      <c r="E16" t="s" s="37">
        <v>3019</v>
      </c>
      <c r="F16" s="39">
        <v>2</v>
      </c>
      <c r="G16" t="s" s="37">
        <v>53</v>
      </c>
      <c r="H16" t="s" s="37">
        <v>52</v>
      </c>
      <c r="I16" s="39">
        <v>13</v>
      </c>
      <c r="J16" s="32"/>
      <c r="K16" s="40">
        <v>1</v>
      </c>
      <c r="L16" s="32"/>
      <c r="M16" s="32"/>
      <c r="N16" s="32"/>
      <c r="O16" s="32"/>
      <c r="P16" s="32"/>
      <c r="Q16" s="32"/>
      <c r="R16" s="32"/>
      <c r="S16" s="32"/>
      <c r="T16" s="39">
        <v>1</v>
      </c>
      <c r="U16" s="39">
        <v>24</v>
      </c>
      <c r="V16" s="32"/>
      <c r="W16" s="32"/>
      <c r="X16" s="32"/>
      <c r="Y16" s="32"/>
      <c r="Z16" s="32"/>
      <c r="AA16" s="32"/>
      <c r="AB16" t="s" s="35">
        <v>55</v>
      </c>
      <c r="AC16" s="33"/>
      <c r="AD16" s="40">
        <v>1</v>
      </c>
      <c r="AE16" s="32"/>
      <c r="AF16" s="32"/>
      <c r="AG16" s="33"/>
      <c r="AH16" s="458">
        <v>1</v>
      </c>
      <c r="AI16" s="32"/>
      <c r="AJ16" t="s" s="459">
        <v>15</v>
      </c>
      <c r="AK16" s="32"/>
      <c r="AL16" s="63"/>
      <c r="AM16" s="62"/>
      <c r="AN16" s="62"/>
      <c r="AO16" s="62"/>
      <c r="AP16" s="62"/>
      <c r="AQ16" s="62"/>
      <c r="AR16" s="62"/>
      <c r="AS16" s="62"/>
      <c r="AT16" s="62"/>
      <c r="AU16" s="62"/>
      <c r="AV16" s="62"/>
      <c r="AW16" s="62"/>
      <c r="AX16" s="62"/>
      <c r="AY16" s="62"/>
      <c r="AZ16" s="62"/>
      <c r="BA16" s="62"/>
      <c r="BB16" s="62"/>
      <c r="BC16" s="62"/>
      <c r="BD16" s="62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  <c r="BU16" s="16"/>
      <c r="BV16" s="16"/>
      <c r="BW16" s="16"/>
    </row>
    <row r="17" ht="15.35" customHeight="1">
      <c r="A17" s="32"/>
      <c r="B17" s="32"/>
      <c r="C17" s="32"/>
      <c r="D17" t="s" s="37">
        <v>3017</v>
      </c>
      <c r="E17" s="32"/>
      <c r="F17" s="32"/>
      <c r="G17" s="32"/>
      <c r="H17" s="32"/>
      <c r="I17" s="32"/>
      <c r="J17" s="32"/>
      <c r="K17" s="33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3"/>
      <c r="AC17" s="33"/>
      <c r="AD17" s="33"/>
      <c r="AE17" s="32"/>
      <c r="AF17" s="32"/>
      <c r="AG17" s="33"/>
      <c r="AH17" s="460"/>
      <c r="AI17" s="32"/>
      <c r="AJ17" s="460"/>
      <c r="AK17" s="32"/>
      <c r="AL17" s="63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</row>
    <row r="18" ht="17" customHeight="1">
      <c r="A18" t="s" s="37">
        <v>3020</v>
      </c>
      <c r="B18" s="32"/>
      <c r="C18" s="32"/>
      <c r="D18" t="s" s="37">
        <v>3017</v>
      </c>
      <c r="E18" t="s" s="37">
        <v>3021</v>
      </c>
      <c r="F18" s="39">
        <v>19</v>
      </c>
      <c r="G18" t="s" s="37">
        <v>57</v>
      </c>
      <c r="H18" t="s" s="37">
        <v>56</v>
      </c>
      <c r="I18" s="39">
        <v>14</v>
      </c>
      <c r="J18" s="32"/>
      <c r="K18" s="33"/>
      <c r="L18" s="39">
        <v>1</v>
      </c>
      <c r="M18" s="32"/>
      <c r="N18" s="32"/>
      <c r="O18" s="32"/>
      <c r="P18" s="32"/>
      <c r="Q18" s="32"/>
      <c r="R18" s="32"/>
      <c r="S18" s="39">
        <v>1</v>
      </c>
      <c r="T18" s="32"/>
      <c r="U18" s="39">
        <v>42</v>
      </c>
      <c r="V18" s="32"/>
      <c r="W18" s="32"/>
      <c r="X18" s="32"/>
      <c r="Y18" s="32"/>
      <c r="Z18" s="32"/>
      <c r="AA18" s="32"/>
      <c r="AB18" t="s" s="35">
        <v>59</v>
      </c>
      <c r="AC18" s="33"/>
      <c r="AD18" s="40">
        <v>1</v>
      </c>
      <c r="AE18" s="32"/>
      <c r="AF18" s="32"/>
      <c r="AG18" s="33"/>
      <c r="AH18" s="460"/>
      <c r="AI18" s="39">
        <v>1</v>
      </c>
      <c r="AJ18" t="s" s="459">
        <v>60</v>
      </c>
      <c r="AK18" t="s" s="37">
        <v>329</v>
      </c>
      <c r="AL18" t="s" s="462">
        <v>58</v>
      </c>
      <c r="AM18" s="16"/>
      <c r="AN18" t="s" s="96">
        <v>1204</v>
      </c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  <c r="BU18" s="16"/>
      <c r="BV18" s="16"/>
      <c r="BW18" s="16"/>
    </row>
    <row r="19" ht="17" customHeight="1">
      <c r="A19" t="s" s="37">
        <v>3020</v>
      </c>
      <c r="B19" s="32"/>
      <c r="C19" s="32"/>
      <c r="D19" t="s" s="37">
        <v>3017</v>
      </c>
      <c r="E19" t="s" s="37">
        <v>3021</v>
      </c>
      <c r="F19" s="39">
        <v>19</v>
      </c>
      <c r="G19" t="s" s="37">
        <v>57</v>
      </c>
      <c r="H19" t="s" s="37">
        <v>61</v>
      </c>
      <c r="I19" s="39">
        <v>15</v>
      </c>
      <c r="J19" s="32"/>
      <c r="K19" s="40">
        <v>1</v>
      </c>
      <c r="L19" s="32"/>
      <c r="M19" s="32"/>
      <c r="N19" s="32"/>
      <c r="O19" s="32"/>
      <c r="P19" s="32"/>
      <c r="Q19" s="32"/>
      <c r="R19" s="32"/>
      <c r="S19" s="32"/>
      <c r="T19" s="39">
        <v>1</v>
      </c>
      <c r="U19" s="39">
        <v>30</v>
      </c>
      <c r="V19" s="32"/>
      <c r="W19" s="32"/>
      <c r="X19" s="32"/>
      <c r="Y19" s="32"/>
      <c r="Z19" s="32"/>
      <c r="AA19" s="32"/>
      <c r="AB19" t="s" s="35">
        <v>45</v>
      </c>
      <c r="AC19" s="33"/>
      <c r="AD19" s="40">
        <v>1</v>
      </c>
      <c r="AE19" s="32"/>
      <c r="AF19" s="32"/>
      <c r="AG19" s="33"/>
      <c r="AH19" s="460"/>
      <c r="AI19" s="39">
        <v>1</v>
      </c>
      <c r="AJ19" t="s" s="459">
        <v>15</v>
      </c>
      <c r="AK19" s="32"/>
      <c r="AL19" t="s" s="462">
        <v>62</v>
      </c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  <c r="BU19" s="16"/>
      <c r="BV19" s="16"/>
      <c r="BW19" s="16"/>
    </row>
    <row r="20" ht="17" customHeight="1">
      <c r="A20" t="s" s="37">
        <v>3020</v>
      </c>
      <c r="B20" s="32"/>
      <c r="C20" s="32"/>
      <c r="D20" t="s" s="37">
        <v>3017</v>
      </c>
      <c r="E20" t="s" s="37">
        <v>3021</v>
      </c>
      <c r="F20" s="39">
        <v>19</v>
      </c>
      <c r="G20" t="s" s="37">
        <v>64</v>
      </c>
      <c r="H20" t="s" s="37">
        <v>63</v>
      </c>
      <c r="I20" s="39">
        <v>16</v>
      </c>
      <c r="J20" s="32"/>
      <c r="K20" s="33"/>
      <c r="L20" s="39">
        <v>1</v>
      </c>
      <c r="M20" s="32"/>
      <c r="N20" s="32"/>
      <c r="O20" s="32"/>
      <c r="P20" s="32"/>
      <c r="Q20" s="32"/>
      <c r="R20" s="32"/>
      <c r="S20" s="39">
        <v>1</v>
      </c>
      <c r="T20" s="32"/>
      <c r="U20" s="39">
        <v>37</v>
      </c>
      <c r="V20" s="32"/>
      <c r="W20" s="32"/>
      <c r="X20" s="32"/>
      <c r="Y20" s="32"/>
      <c r="Z20" s="32"/>
      <c r="AA20" s="32"/>
      <c r="AB20" t="s" s="35">
        <v>66</v>
      </c>
      <c r="AC20" s="33"/>
      <c r="AD20" s="40">
        <v>1</v>
      </c>
      <c r="AE20" s="32"/>
      <c r="AF20" s="32"/>
      <c r="AG20" s="33"/>
      <c r="AH20" s="458">
        <v>1</v>
      </c>
      <c r="AI20" s="32"/>
      <c r="AJ20" t="s" s="459">
        <v>67</v>
      </c>
      <c r="AK20" t="s" s="37">
        <v>65</v>
      </c>
      <c r="AL20" s="63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  <c r="BU20" s="16"/>
      <c r="BV20" s="16"/>
      <c r="BW20" s="16"/>
    </row>
    <row r="21" ht="15.35" customHeight="1">
      <c r="A21" s="32"/>
      <c r="B21" s="32"/>
      <c r="C21" s="32"/>
      <c r="D21" t="s" s="37">
        <v>3017</v>
      </c>
      <c r="E21" s="32"/>
      <c r="F21" s="32"/>
      <c r="G21" s="32"/>
      <c r="H21" s="32"/>
      <c r="I21" s="32"/>
      <c r="J21" s="32"/>
      <c r="K21" s="33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3"/>
      <c r="AC21" s="463"/>
      <c r="AD21" s="33"/>
      <c r="AE21" s="32"/>
      <c r="AF21" s="32"/>
      <c r="AG21" s="33"/>
      <c r="AH21" s="464"/>
      <c r="AI21" s="32"/>
      <c r="AJ21" s="464"/>
      <c r="AK21" s="32"/>
      <c r="AL21" s="465"/>
      <c r="AM21" s="466"/>
      <c r="AN21" s="466"/>
      <c r="AO21" s="46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  <c r="BU21" s="16"/>
      <c r="BV21" s="16"/>
      <c r="BW21" s="16"/>
    </row>
    <row r="22" ht="34" customHeight="1">
      <c r="A22" t="s" s="37">
        <v>3022</v>
      </c>
      <c r="B22" s="32"/>
      <c r="C22" s="32"/>
      <c r="D22" t="s" s="37">
        <v>3017</v>
      </c>
      <c r="E22" s="32"/>
      <c r="F22" s="32"/>
      <c r="G22" t="s" s="37">
        <v>69</v>
      </c>
      <c r="H22" t="s" s="37">
        <v>68</v>
      </c>
      <c r="I22" s="39">
        <v>17</v>
      </c>
      <c r="J22" s="32"/>
      <c r="K22" s="32"/>
      <c r="L22" s="39">
        <v>1</v>
      </c>
      <c r="M22" s="32"/>
      <c r="N22" s="32"/>
      <c r="O22" s="39">
        <v>1</v>
      </c>
      <c r="P22" s="32"/>
      <c r="Q22" s="32"/>
      <c r="R22" s="32"/>
      <c r="S22" s="32"/>
      <c r="T22" s="32"/>
      <c r="U22" s="39">
        <v>63</v>
      </c>
      <c r="V22" s="32"/>
      <c r="W22" s="32"/>
      <c r="X22" s="32"/>
      <c r="Y22" s="32"/>
      <c r="Z22" s="32"/>
      <c r="AA22" s="32"/>
      <c r="AB22" t="s" s="35">
        <v>70</v>
      </c>
      <c r="AC22" s="467"/>
      <c r="AD22" t="s" s="37">
        <v>34</v>
      </c>
      <c r="AE22" s="32"/>
      <c r="AF22" s="32"/>
      <c r="AG22" s="32"/>
      <c r="AH22" t="s" s="35">
        <v>13</v>
      </c>
      <c r="AI22" s="32"/>
      <c r="AJ22" s="32"/>
      <c r="AK22" s="32"/>
      <c r="AL22" s="32"/>
      <c r="AM22" s="32"/>
      <c r="AN22" s="32"/>
      <c r="AO22" s="32"/>
      <c r="AP22" s="63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</row>
    <row r="23" ht="17" customHeight="1">
      <c r="A23" t="s" s="37">
        <v>3022</v>
      </c>
      <c r="B23" s="32"/>
      <c r="C23" s="32"/>
      <c r="D23" t="s" s="37">
        <v>3017</v>
      </c>
      <c r="E23" s="32"/>
      <c r="F23" s="32"/>
      <c r="G23" t="s" s="37">
        <v>69</v>
      </c>
      <c r="H23" t="s" s="37">
        <v>71</v>
      </c>
      <c r="I23" s="39">
        <v>18</v>
      </c>
      <c r="J23" s="32"/>
      <c r="K23" s="39">
        <v>1</v>
      </c>
      <c r="L23" s="32"/>
      <c r="M23" s="32"/>
      <c r="N23" s="32"/>
      <c r="O23" s="32"/>
      <c r="P23" s="39">
        <v>1</v>
      </c>
      <c r="Q23" s="32"/>
      <c r="R23" s="32"/>
      <c r="S23" s="32"/>
      <c r="T23" s="32"/>
      <c r="U23" s="39">
        <v>54</v>
      </c>
      <c r="V23" s="32"/>
      <c r="W23" s="32"/>
      <c r="X23" s="32"/>
      <c r="Y23" s="32"/>
      <c r="Z23" s="32"/>
      <c r="AA23" s="32"/>
      <c r="AB23" t="s" s="35">
        <v>33</v>
      </c>
      <c r="AC23" s="467"/>
      <c r="AD23" t="s" s="37">
        <v>34</v>
      </c>
      <c r="AE23" s="32"/>
      <c r="AF23" s="32"/>
      <c r="AG23" s="32"/>
      <c r="AH23" t="s" s="35">
        <v>73</v>
      </c>
      <c r="AI23" s="39">
        <v>1</v>
      </c>
      <c r="AJ23" s="32"/>
      <c r="AK23" s="32"/>
      <c r="AL23" s="32"/>
      <c r="AM23" s="32"/>
      <c r="AN23" s="32"/>
      <c r="AO23" s="32"/>
      <c r="AP23" s="63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  <c r="BU23" s="16"/>
      <c r="BV23" s="16"/>
      <c r="BW23" s="16"/>
    </row>
    <row r="24" ht="34" customHeight="1">
      <c r="A24" t="s" s="37">
        <v>3022</v>
      </c>
      <c r="B24" s="32"/>
      <c r="C24" s="32"/>
      <c r="D24" t="s" s="37">
        <v>3017</v>
      </c>
      <c r="E24" s="32"/>
      <c r="F24" s="32"/>
      <c r="G24" t="s" s="37">
        <v>69</v>
      </c>
      <c r="H24" t="s" s="37">
        <v>74</v>
      </c>
      <c r="I24" s="39">
        <v>19</v>
      </c>
      <c r="J24" s="32"/>
      <c r="K24" s="39">
        <v>1</v>
      </c>
      <c r="L24" s="32"/>
      <c r="M24" s="32"/>
      <c r="N24" s="32"/>
      <c r="O24" s="32"/>
      <c r="P24" s="32"/>
      <c r="Q24" s="32"/>
      <c r="R24" s="39">
        <v>1</v>
      </c>
      <c r="S24" s="32"/>
      <c r="T24" s="32"/>
      <c r="U24" s="39">
        <v>24</v>
      </c>
      <c r="V24" s="32"/>
      <c r="W24" s="32"/>
      <c r="X24" s="32"/>
      <c r="Y24" s="32"/>
      <c r="Z24" s="32"/>
      <c r="AA24" s="32"/>
      <c r="AB24" t="s" s="35">
        <v>75</v>
      </c>
      <c r="AC24" s="467"/>
      <c r="AD24" s="39">
        <v>1</v>
      </c>
      <c r="AE24" s="32"/>
      <c r="AF24" s="32"/>
      <c r="AG24" s="32"/>
      <c r="AH24" t="s" s="35">
        <v>13</v>
      </c>
      <c r="AI24" s="32"/>
      <c r="AJ24" s="32"/>
      <c r="AK24" s="32"/>
      <c r="AL24" s="32"/>
      <c r="AM24" s="32"/>
      <c r="AN24" s="32"/>
      <c r="AO24" s="32"/>
      <c r="AP24" s="63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  <c r="BU24" s="16"/>
      <c r="BV24" s="16"/>
      <c r="BW24" s="16"/>
    </row>
    <row r="25" ht="34" customHeight="1">
      <c r="A25" t="s" s="37">
        <v>3022</v>
      </c>
      <c r="B25" s="32"/>
      <c r="C25" s="32"/>
      <c r="D25" t="s" s="37">
        <v>3017</v>
      </c>
      <c r="E25" s="32"/>
      <c r="F25" s="32"/>
      <c r="G25" t="s" s="37">
        <v>69</v>
      </c>
      <c r="H25" t="s" s="37">
        <v>77</v>
      </c>
      <c r="I25" s="39">
        <v>20</v>
      </c>
      <c r="J25" s="32"/>
      <c r="K25" s="39">
        <v>1</v>
      </c>
      <c r="L25" s="32"/>
      <c r="M25" s="32"/>
      <c r="N25" s="32"/>
      <c r="O25" s="32"/>
      <c r="P25" s="32"/>
      <c r="Q25" s="39">
        <v>1</v>
      </c>
      <c r="R25" s="32"/>
      <c r="S25" s="32"/>
      <c r="T25" s="32"/>
      <c r="U25" s="39">
        <v>22</v>
      </c>
      <c r="V25" s="32"/>
      <c r="W25" s="32"/>
      <c r="X25" s="32"/>
      <c r="Y25" s="32"/>
      <c r="Z25" s="32"/>
      <c r="AA25" s="32"/>
      <c r="AB25" t="s" s="35">
        <v>34</v>
      </c>
      <c r="AC25" s="467"/>
      <c r="AD25" t="s" s="37">
        <v>34</v>
      </c>
      <c r="AE25" s="32"/>
      <c r="AF25" s="32"/>
      <c r="AG25" s="32"/>
      <c r="AH25" t="s" s="35">
        <v>13</v>
      </c>
      <c r="AI25" s="32"/>
      <c r="AJ25" s="32"/>
      <c r="AK25" s="32"/>
      <c r="AL25" s="32"/>
      <c r="AM25" s="32"/>
      <c r="AN25" s="32"/>
      <c r="AO25" s="32"/>
      <c r="AP25" s="63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  <c r="BU25" s="16"/>
      <c r="BV25" s="16"/>
      <c r="BW25" s="16"/>
    </row>
    <row r="26" ht="34" customHeight="1">
      <c r="A26" t="s" s="37">
        <v>3022</v>
      </c>
      <c r="B26" s="32"/>
      <c r="C26" s="32"/>
      <c r="D26" t="s" s="37">
        <v>3017</v>
      </c>
      <c r="E26" s="32"/>
      <c r="F26" s="32"/>
      <c r="G26" t="s" s="37">
        <v>69</v>
      </c>
      <c r="H26" t="s" s="37">
        <v>79</v>
      </c>
      <c r="I26" s="39">
        <v>21</v>
      </c>
      <c r="J26" s="32"/>
      <c r="K26" s="39">
        <v>1</v>
      </c>
      <c r="L26" s="32"/>
      <c r="M26" s="32"/>
      <c r="N26" s="32"/>
      <c r="O26" s="32"/>
      <c r="P26" s="32"/>
      <c r="Q26" s="39">
        <v>1</v>
      </c>
      <c r="R26" s="32"/>
      <c r="S26" s="32"/>
      <c r="T26" s="32"/>
      <c r="U26" s="39">
        <v>20</v>
      </c>
      <c r="V26" s="32"/>
      <c r="W26" s="32"/>
      <c r="X26" s="32"/>
      <c r="Y26" s="32"/>
      <c r="Z26" s="32"/>
      <c r="AA26" s="32"/>
      <c r="AB26" t="s" s="35">
        <v>34</v>
      </c>
      <c r="AC26" s="467"/>
      <c r="AD26" t="s" s="37">
        <v>34</v>
      </c>
      <c r="AE26" s="32"/>
      <c r="AF26" s="32"/>
      <c r="AG26" s="32"/>
      <c r="AH26" t="s" s="35">
        <v>80</v>
      </c>
      <c r="AI26" s="32"/>
      <c r="AJ26" s="32"/>
      <c r="AK26" s="32"/>
      <c r="AL26" s="32"/>
      <c r="AM26" s="32"/>
      <c r="AN26" s="32"/>
      <c r="AO26" s="32"/>
      <c r="AP26" s="63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  <c r="BU26" s="16"/>
      <c r="BV26" s="16"/>
      <c r="BW26" s="16"/>
    </row>
    <row r="27" ht="34" customHeight="1">
      <c r="A27" t="s" s="37">
        <v>3022</v>
      </c>
      <c r="B27" s="32"/>
      <c r="C27" s="32"/>
      <c r="D27" t="s" s="37">
        <v>3017</v>
      </c>
      <c r="E27" s="32"/>
      <c r="F27" s="32"/>
      <c r="G27" t="s" s="37">
        <v>69</v>
      </c>
      <c r="H27" t="s" s="37">
        <v>81</v>
      </c>
      <c r="I27" s="39">
        <v>22</v>
      </c>
      <c r="J27" s="32"/>
      <c r="K27" s="39">
        <v>1</v>
      </c>
      <c r="L27" s="32"/>
      <c r="M27" s="32"/>
      <c r="N27" s="32"/>
      <c r="O27" s="32"/>
      <c r="P27" s="32"/>
      <c r="Q27" s="39">
        <v>1</v>
      </c>
      <c r="R27" s="32"/>
      <c r="S27" s="32"/>
      <c r="T27" s="32"/>
      <c r="U27" s="39">
        <v>19</v>
      </c>
      <c r="V27" s="32"/>
      <c r="W27" s="32"/>
      <c r="X27" s="32"/>
      <c r="Y27" s="32"/>
      <c r="Z27" s="32"/>
      <c r="AA27" s="32"/>
      <c r="AB27" t="s" s="35">
        <v>34</v>
      </c>
      <c r="AC27" s="467"/>
      <c r="AD27" t="s" s="37">
        <v>34</v>
      </c>
      <c r="AE27" s="32"/>
      <c r="AF27" s="32"/>
      <c r="AG27" s="32"/>
      <c r="AH27" t="s" s="35">
        <v>80</v>
      </c>
      <c r="AI27" s="32"/>
      <c r="AJ27" s="32"/>
      <c r="AK27" s="32"/>
      <c r="AL27" s="32"/>
      <c r="AM27" s="32"/>
      <c r="AN27" s="32"/>
      <c r="AO27" s="32"/>
      <c r="AP27" s="63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  <c r="BU27" s="16"/>
      <c r="BV27" s="16"/>
      <c r="BW27" s="16"/>
    </row>
    <row r="28" ht="34" customHeight="1">
      <c r="A28" t="s" s="37">
        <v>3022</v>
      </c>
      <c r="B28" s="32"/>
      <c r="C28" s="32"/>
      <c r="D28" t="s" s="37">
        <v>3017</v>
      </c>
      <c r="E28" s="32"/>
      <c r="F28" s="32"/>
      <c r="G28" t="s" s="37">
        <v>83</v>
      </c>
      <c r="H28" t="s" s="37">
        <v>82</v>
      </c>
      <c r="I28" s="39">
        <v>23</v>
      </c>
      <c r="J28" s="32"/>
      <c r="K28" s="39">
        <v>1</v>
      </c>
      <c r="L28" s="32"/>
      <c r="M28" s="32"/>
      <c r="N28" s="32"/>
      <c r="O28" s="32"/>
      <c r="P28" s="32"/>
      <c r="Q28" s="32"/>
      <c r="R28" s="32"/>
      <c r="S28" s="32"/>
      <c r="T28" s="39">
        <v>1</v>
      </c>
      <c r="U28" s="39">
        <v>20</v>
      </c>
      <c r="V28" s="32"/>
      <c r="W28" s="32"/>
      <c r="X28" s="32"/>
      <c r="Y28" s="32"/>
      <c r="Z28" s="32"/>
      <c r="AA28" s="32"/>
      <c r="AB28" t="s" s="35">
        <v>85</v>
      </c>
      <c r="AC28" s="467"/>
      <c r="AD28" s="39">
        <v>1</v>
      </c>
      <c r="AE28" s="32"/>
      <c r="AF28" s="32"/>
      <c r="AG28" s="32"/>
      <c r="AH28" t="s" s="35">
        <v>84</v>
      </c>
      <c r="AI28" s="39">
        <v>1</v>
      </c>
      <c r="AJ28" s="32"/>
      <c r="AK28" s="32"/>
      <c r="AL28" s="32"/>
      <c r="AM28" s="32"/>
      <c r="AN28" s="32"/>
      <c r="AO28" s="32"/>
      <c r="AP28" s="63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  <c r="BU28" s="16"/>
      <c r="BV28" s="16"/>
      <c r="BW28" s="16"/>
    </row>
    <row r="29" ht="34" customHeight="1">
      <c r="A29" t="s" s="37">
        <v>3022</v>
      </c>
      <c r="B29" s="32"/>
      <c r="C29" s="32"/>
      <c r="D29" t="s" s="37">
        <v>3017</v>
      </c>
      <c r="E29" s="32"/>
      <c r="F29" s="32"/>
      <c r="G29" t="s" s="37">
        <v>87</v>
      </c>
      <c r="H29" t="s" s="37">
        <v>86</v>
      </c>
      <c r="I29" s="39">
        <v>24</v>
      </c>
      <c r="J29" s="32"/>
      <c r="K29" s="39">
        <v>1</v>
      </c>
      <c r="L29" s="32"/>
      <c r="M29" s="32"/>
      <c r="N29" s="32"/>
      <c r="O29" s="32"/>
      <c r="P29" s="32"/>
      <c r="Q29" s="32"/>
      <c r="R29" s="32"/>
      <c r="S29" s="32"/>
      <c r="T29" s="39">
        <v>1</v>
      </c>
      <c r="U29" s="39">
        <v>24</v>
      </c>
      <c r="V29" s="32"/>
      <c r="W29" s="32"/>
      <c r="X29" s="32"/>
      <c r="Y29" s="32"/>
      <c r="Z29" s="32"/>
      <c r="AA29" s="32"/>
      <c r="AB29" t="s" s="35">
        <v>89</v>
      </c>
      <c r="AC29" s="467"/>
      <c r="AD29" s="39">
        <v>1</v>
      </c>
      <c r="AE29" s="32"/>
      <c r="AF29" s="32"/>
      <c r="AG29" s="32"/>
      <c r="AH29" t="s" s="35">
        <v>88</v>
      </c>
      <c r="AI29" s="39">
        <v>1</v>
      </c>
      <c r="AJ29" s="32"/>
      <c r="AK29" s="32"/>
      <c r="AL29" s="32"/>
      <c r="AM29" s="32"/>
      <c r="AN29" s="32"/>
      <c r="AO29" s="32"/>
      <c r="AP29" s="63"/>
      <c r="AQ29" s="16"/>
      <c r="AR29" s="16"/>
      <c r="AS29" s="16"/>
      <c r="AT29" s="16"/>
      <c r="AU29" s="16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6"/>
      <c r="BG29" s="16"/>
      <c r="BH29" s="16"/>
      <c r="BI29" s="16"/>
      <c r="BJ29" s="16"/>
      <c r="BK29" s="16"/>
      <c r="BL29" s="16"/>
      <c r="BM29" s="16"/>
      <c r="BN29" s="16"/>
      <c r="BO29" s="16"/>
      <c r="BP29" s="16"/>
      <c r="BQ29" s="16"/>
      <c r="BR29" s="16"/>
      <c r="BS29" s="16"/>
      <c r="BT29" s="16"/>
      <c r="BU29" s="16"/>
      <c r="BV29" s="16"/>
      <c r="BW29" s="16"/>
    </row>
    <row r="30" ht="15.35" customHeight="1">
      <c r="A30" s="32"/>
      <c r="B30" s="64"/>
      <c r="C30" s="468"/>
      <c r="D30" t="s" s="37">
        <v>3017</v>
      </c>
      <c r="E30" s="64"/>
      <c r="F30" s="71"/>
      <c r="G30" s="71"/>
      <c r="H30" s="468"/>
      <c r="I30" s="32"/>
      <c r="J30" s="64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469"/>
      <c r="AC30" s="273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16"/>
      <c r="AQ30" s="16"/>
      <c r="AR30" s="16"/>
      <c r="AS30" s="16"/>
      <c r="AT30" s="16"/>
      <c r="AU30" s="16"/>
      <c r="AV30" s="16"/>
      <c r="AW30" s="16"/>
      <c r="AX30" s="16"/>
      <c r="AY30" s="16"/>
      <c r="AZ30" s="16"/>
      <c r="BA30" s="16"/>
      <c r="BB30" s="16"/>
      <c r="BC30" s="16"/>
      <c r="BD30" s="16"/>
      <c r="BE30" s="16"/>
      <c r="BF30" s="16"/>
      <c r="BG30" s="16"/>
      <c r="BH30" s="16"/>
      <c r="BI30" s="16"/>
      <c r="BJ30" s="16"/>
      <c r="BK30" s="16"/>
      <c r="BL30" s="16"/>
      <c r="BM30" s="16"/>
      <c r="BN30" s="16"/>
      <c r="BO30" s="16"/>
      <c r="BP30" s="16"/>
      <c r="BQ30" s="16"/>
      <c r="BR30" s="16"/>
      <c r="BS30" s="16"/>
      <c r="BT30" s="16"/>
      <c r="BU30" s="16"/>
      <c r="BV30" s="16"/>
      <c r="BW30" s="16"/>
    </row>
    <row r="31" ht="17" customHeight="1">
      <c r="A31" t="s" s="37">
        <v>3023</v>
      </c>
      <c r="B31" s="63"/>
      <c r="C31" s="470"/>
      <c r="D31" t="s" s="37">
        <v>3017</v>
      </c>
      <c r="E31" s="63"/>
      <c r="F31" s="16"/>
      <c r="G31" t="s" s="96">
        <v>91</v>
      </c>
      <c r="H31" t="s" s="271">
        <v>3024</v>
      </c>
      <c r="I31" s="39">
        <v>25</v>
      </c>
      <c r="J31" t="s" s="462">
        <v>31</v>
      </c>
      <c r="K31" s="16"/>
      <c r="L31" s="79">
        <v>1</v>
      </c>
      <c r="M31" s="16"/>
      <c r="N31" s="16"/>
      <c r="O31" s="16"/>
      <c r="P31" s="79">
        <v>1</v>
      </c>
      <c r="Q31" s="16"/>
      <c r="R31" s="16"/>
      <c r="S31" s="16"/>
      <c r="T31" s="16"/>
      <c r="U31" s="79">
        <v>45</v>
      </c>
      <c r="V31" s="16"/>
      <c r="W31" s="16"/>
      <c r="X31" s="16"/>
      <c r="Y31" s="471"/>
      <c r="Z31" s="421"/>
      <c r="AA31" s="421"/>
      <c r="AB31" t="s" s="472">
        <v>92</v>
      </c>
      <c r="AC31" s="273"/>
      <c r="AD31" s="473">
        <v>1</v>
      </c>
      <c r="AE31" t="s" s="157">
        <v>8</v>
      </c>
      <c r="AF31" s="79">
        <v>1</v>
      </c>
      <c r="AG31" s="471"/>
      <c r="AH31" t="s" s="157">
        <v>54</v>
      </c>
      <c r="AI31" s="133"/>
      <c r="AJ31" s="141"/>
      <c r="AK31" s="141"/>
      <c r="AL31" s="74"/>
      <c r="AM31" s="16"/>
      <c r="AN31" s="133"/>
      <c r="AO31" s="141"/>
      <c r="AP31" s="141"/>
      <c r="AQ31" s="141"/>
      <c r="AR31" s="141"/>
      <c r="AS31" s="141"/>
      <c r="AT31" s="141"/>
      <c r="AU31" s="141"/>
      <c r="AV31" s="141"/>
      <c r="AW31" s="141"/>
      <c r="AX31" s="141"/>
      <c r="AY31" s="141"/>
      <c r="AZ31" s="141"/>
      <c r="BA31" s="141"/>
      <c r="BB31" s="141"/>
      <c r="BC31" s="141"/>
      <c r="BD31" s="141"/>
      <c r="BE31" s="74"/>
      <c r="BF31" s="16"/>
      <c r="BG31" s="16"/>
      <c r="BH31" s="16"/>
      <c r="BI31" s="16"/>
      <c r="BJ31" s="16"/>
      <c r="BK31" s="16"/>
      <c r="BL31" s="16"/>
      <c r="BM31" s="16"/>
      <c r="BN31" s="16"/>
      <c r="BO31" s="16"/>
      <c r="BP31" s="16"/>
      <c r="BQ31" s="16"/>
      <c r="BR31" s="16"/>
      <c r="BS31" s="16"/>
      <c r="BT31" s="16"/>
      <c r="BU31" s="16"/>
      <c r="BV31" s="16"/>
      <c r="BW31" s="16"/>
    </row>
    <row r="32" ht="17" customHeight="1">
      <c r="A32" t="s" s="37">
        <v>3023</v>
      </c>
      <c r="B32" s="63"/>
      <c r="C32" s="470"/>
      <c r="D32" t="s" s="37">
        <v>3017</v>
      </c>
      <c r="E32" s="63"/>
      <c r="F32" s="16"/>
      <c r="G32" t="s" s="96">
        <v>91</v>
      </c>
      <c r="H32" t="s" s="271">
        <v>93</v>
      </c>
      <c r="I32" s="39">
        <v>26</v>
      </c>
      <c r="J32" t="s" s="462">
        <v>78</v>
      </c>
      <c r="K32" s="79">
        <v>1</v>
      </c>
      <c r="L32" s="16"/>
      <c r="M32" s="16"/>
      <c r="N32" s="16"/>
      <c r="O32" s="16"/>
      <c r="P32" s="16"/>
      <c r="Q32" s="79">
        <v>1</v>
      </c>
      <c r="R32" s="16"/>
      <c r="S32" s="16"/>
      <c r="T32" s="16"/>
      <c r="U32" s="79">
        <v>18</v>
      </c>
      <c r="V32" s="16"/>
      <c r="W32" s="16"/>
      <c r="X32" s="16"/>
      <c r="Y32" s="303"/>
      <c r="Z32" s="121"/>
      <c r="AA32" s="121"/>
      <c r="AB32" t="s" s="472">
        <v>94</v>
      </c>
      <c r="AC32" s="273"/>
      <c r="AD32" s="146"/>
      <c r="AE32" t="s" s="157">
        <v>34</v>
      </c>
      <c r="AF32" s="16"/>
      <c r="AG32" s="146"/>
      <c r="AH32" t="s" s="157">
        <v>54</v>
      </c>
      <c r="AI32" s="146"/>
      <c r="AJ32" s="30"/>
      <c r="AK32" s="30"/>
      <c r="AL32" s="74"/>
      <c r="AM32" s="16"/>
      <c r="AN32" s="146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74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  <c r="BU32" s="16"/>
      <c r="BV32" s="16"/>
      <c r="BW32" s="16"/>
    </row>
    <row r="33" ht="17" customHeight="1">
      <c r="A33" t="s" s="37">
        <v>3023</v>
      </c>
      <c r="B33" s="63"/>
      <c r="C33" s="470"/>
      <c r="D33" t="s" s="37">
        <v>3017</v>
      </c>
      <c r="E33" s="63"/>
      <c r="F33" s="16"/>
      <c r="G33" t="s" s="96">
        <v>96</v>
      </c>
      <c r="H33" t="s" s="271">
        <v>95</v>
      </c>
      <c r="I33" s="39">
        <v>27</v>
      </c>
      <c r="J33" t="s" s="462">
        <v>11</v>
      </c>
      <c r="K33" s="79">
        <v>1</v>
      </c>
      <c r="L33" s="16"/>
      <c r="M33" s="16"/>
      <c r="N33" s="16"/>
      <c r="O33" s="16"/>
      <c r="P33" s="16"/>
      <c r="Q33" s="16"/>
      <c r="R33" s="16"/>
      <c r="S33" s="16"/>
      <c r="T33" s="79">
        <v>1</v>
      </c>
      <c r="U33" s="79">
        <v>29</v>
      </c>
      <c r="V33" s="16"/>
      <c r="W33" s="16"/>
      <c r="X33" s="16"/>
      <c r="Y33" s="146"/>
      <c r="Z33" s="30"/>
      <c r="AA33" s="30"/>
      <c r="AB33" t="s" s="472">
        <v>45</v>
      </c>
      <c r="AC33" s="273"/>
      <c r="AD33" s="128">
        <v>1</v>
      </c>
      <c r="AE33" t="s" s="157">
        <v>15</v>
      </c>
      <c r="AF33" s="16"/>
      <c r="AG33" s="146"/>
      <c r="AH33" t="s" s="157">
        <v>97</v>
      </c>
      <c r="AI33" s="128">
        <v>1</v>
      </c>
      <c r="AJ33" s="30"/>
      <c r="AK33" s="30"/>
      <c r="AL33" s="74"/>
      <c r="AM33" s="16"/>
      <c r="AN33" s="146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74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  <c r="BU33" s="16"/>
      <c r="BV33" s="16"/>
      <c r="BW33" s="16"/>
    </row>
    <row r="34" ht="17" customHeight="1">
      <c r="A34" t="s" s="37">
        <v>3023</v>
      </c>
      <c r="B34" s="63"/>
      <c r="C34" s="470"/>
      <c r="D34" t="s" s="37">
        <v>3017</v>
      </c>
      <c r="E34" s="63"/>
      <c r="F34" s="16"/>
      <c r="G34" t="s" s="96">
        <v>99</v>
      </c>
      <c r="H34" t="s" s="271">
        <v>98</v>
      </c>
      <c r="I34" s="39">
        <v>28</v>
      </c>
      <c r="J34" t="s" s="462">
        <v>11</v>
      </c>
      <c r="K34" s="79">
        <v>1</v>
      </c>
      <c r="L34" s="16"/>
      <c r="M34" s="16"/>
      <c r="N34" s="16"/>
      <c r="O34" s="16"/>
      <c r="P34" s="16"/>
      <c r="Q34" s="16"/>
      <c r="R34" s="16"/>
      <c r="S34" s="16"/>
      <c r="T34" s="79">
        <v>1</v>
      </c>
      <c r="U34" s="79">
        <v>24</v>
      </c>
      <c r="V34" s="16"/>
      <c r="W34" s="16"/>
      <c r="X34" s="16"/>
      <c r="Y34" s="146"/>
      <c r="Z34" s="30"/>
      <c r="AA34" s="30"/>
      <c r="AB34" t="s" s="472">
        <v>101</v>
      </c>
      <c r="AC34" s="273"/>
      <c r="AD34" s="128">
        <v>1</v>
      </c>
      <c r="AE34" t="s" s="157">
        <v>15</v>
      </c>
      <c r="AF34" s="16"/>
      <c r="AG34" s="146"/>
      <c r="AH34" t="s" s="157">
        <v>100</v>
      </c>
      <c r="AI34" s="128">
        <v>1</v>
      </c>
      <c r="AJ34" s="30"/>
      <c r="AK34" s="30"/>
      <c r="AL34" s="74"/>
      <c r="AM34" s="16"/>
      <c r="AN34" s="146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74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  <c r="BU34" s="16"/>
      <c r="BV34" s="16"/>
      <c r="BW34" s="16"/>
    </row>
    <row r="35" ht="15.35" customHeight="1">
      <c r="A35" s="32"/>
      <c r="B35" s="63"/>
      <c r="C35" s="470"/>
      <c r="D35" t="s" s="37">
        <v>3017</v>
      </c>
      <c r="E35" s="63"/>
      <c r="F35" s="16"/>
      <c r="G35" s="16"/>
      <c r="H35" s="470"/>
      <c r="I35" s="32"/>
      <c r="J35" s="63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46"/>
      <c r="Z35" s="30"/>
      <c r="AA35" s="30"/>
      <c r="AB35" s="474"/>
      <c r="AC35" s="273"/>
      <c r="AD35" s="146"/>
      <c r="AE35" s="74"/>
      <c r="AF35" s="16"/>
      <c r="AG35" s="146"/>
      <c r="AH35" s="74"/>
      <c r="AI35" s="146"/>
      <c r="AJ35" s="30"/>
      <c r="AK35" s="30"/>
      <c r="AL35" s="74"/>
      <c r="AM35" s="16"/>
      <c r="AN35" s="146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74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  <c r="BU35" s="16"/>
      <c r="BV35" s="16"/>
      <c r="BW35" s="16"/>
    </row>
    <row r="36" ht="17" customHeight="1">
      <c r="A36" t="s" s="37">
        <v>3025</v>
      </c>
      <c r="B36" s="63"/>
      <c r="C36" s="470"/>
      <c r="D36" t="s" s="37">
        <v>3017</v>
      </c>
      <c r="E36" t="s" s="462">
        <v>3026</v>
      </c>
      <c r="F36" s="79">
        <v>14</v>
      </c>
      <c r="G36" t="s" s="96">
        <v>103</v>
      </c>
      <c r="H36" t="s" s="271">
        <v>102</v>
      </c>
      <c r="I36" s="39">
        <v>29</v>
      </c>
      <c r="J36" t="s" s="462">
        <v>11</v>
      </c>
      <c r="K36" s="79">
        <v>1</v>
      </c>
      <c r="L36" s="16"/>
      <c r="M36" s="16"/>
      <c r="N36" s="16"/>
      <c r="O36" s="16"/>
      <c r="P36" s="16"/>
      <c r="Q36" s="16"/>
      <c r="R36" s="16"/>
      <c r="S36" s="16"/>
      <c r="T36" s="79">
        <v>1</v>
      </c>
      <c r="U36" s="79">
        <v>24</v>
      </c>
      <c r="V36" s="16"/>
      <c r="W36" s="16"/>
      <c r="X36" s="16"/>
      <c r="Y36" s="303"/>
      <c r="Z36" s="121"/>
      <c r="AA36" s="121"/>
      <c r="AB36" t="s" s="472">
        <v>105</v>
      </c>
      <c r="AC36" s="273"/>
      <c r="AD36" s="128">
        <v>1</v>
      </c>
      <c r="AE36" t="s" s="157">
        <v>15</v>
      </c>
      <c r="AF36" s="16"/>
      <c r="AG36" s="146"/>
      <c r="AH36" t="s" s="157">
        <v>104</v>
      </c>
      <c r="AI36" s="146"/>
      <c r="AJ36" t="s" s="83">
        <v>3027</v>
      </c>
      <c r="AK36" s="30"/>
      <c r="AL36" s="74"/>
      <c r="AM36" s="16"/>
      <c r="AN36" s="146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74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  <c r="BU36" s="16"/>
      <c r="BV36" s="16"/>
      <c r="BW36" s="16"/>
    </row>
    <row r="37" ht="17" customHeight="1">
      <c r="A37" t="s" s="37">
        <v>3025</v>
      </c>
      <c r="B37" s="63"/>
      <c r="C37" s="470"/>
      <c r="D37" t="s" s="37">
        <v>3017</v>
      </c>
      <c r="E37" t="s" s="462">
        <v>3026</v>
      </c>
      <c r="F37" s="79">
        <v>14</v>
      </c>
      <c r="G37" t="s" s="96">
        <v>103</v>
      </c>
      <c r="H37" t="s" s="271">
        <v>106</v>
      </c>
      <c r="I37" s="39">
        <v>30</v>
      </c>
      <c r="J37" t="s" s="462">
        <v>11</v>
      </c>
      <c r="K37" s="79">
        <v>1</v>
      </c>
      <c r="L37" s="16"/>
      <c r="M37" s="16"/>
      <c r="N37" s="16"/>
      <c r="O37" s="16"/>
      <c r="P37" s="16"/>
      <c r="Q37" s="16"/>
      <c r="R37" s="16"/>
      <c r="S37" s="16"/>
      <c r="T37" s="79">
        <v>1</v>
      </c>
      <c r="U37" s="79">
        <v>21</v>
      </c>
      <c r="V37" s="16"/>
      <c r="W37" s="16"/>
      <c r="X37" s="16"/>
      <c r="Y37" s="303"/>
      <c r="Z37" s="121"/>
      <c r="AA37" s="121"/>
      <c r="AB37" t="s" s="472">
        <v>105</v>
      </c>
      <c r="AC37" s="273"/>
      <c r="AD37" s="128">
        <v>1</v>
      </c>
      <c r="AE37" t="s" s="157">
        <v>15</v>
      </c>
      <c r="AF37" s="16"/>
      <c r="AG37" s="146"/>
      <c r="AH37" t="s" s="157">
        <v>107</v>
      </c>
      <c r="AI37" s="146"/>
      <c r="AJ37" s="30"/>
      <c r="AK37" s="30"/>
      <c r="AL37" s="74"/>
      <c r="AM37" s="16"/>
      <c r="AN37" s="146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74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  <c r="BU37" s="16"/>
      <c r="BV37" s="16"/>
      <c r="BW37" s="16"/>
    </row>
    <row r="38" ht="17" customHeight="1">
      <c r="A38" t="s" s="37">
        <v>3025</v>
      </c>
      <c r="B38" s="63"/>
      <c r="C38" s="470"/>
      <c r="D38" t="s" s="37">
        <v>3017</v>
      </c>
      <c r="E38" t="s" s="462">
        <v>3026</v>
      </c>
      <c r="F38" s="79">
        <v>14</v>
      </c>
      <c r="G38" t="s" s="96">
        <v>3028</v>
      </c>
      <c r="H38" t="s" s="271">
        <v>3029</v>
      </c>
      <c r="I38" s="39">
        <v>31</v>
      </c>
      <c r="J38" t="s" s="462">
        <v>78</v>
      </c>
      <c r="K38" s="16"/>
      <c r="L38" s="16"/>
      <c r="M38" s="79">
        <v>1</v>
      </c>
      <c r="N38" s="16"/>
      <c r="O38" s="16"/>
      <c r="P38" s="16"/>
      <c r="Q38" s="79">
        <v>1</v>
      </c>
      <c r="R38" s="16"/>
      <c r="S38" s="16"/>
      <c r="T38" s="16"/>
      <c r="U38" s="79">
        <v>7</v>
      </c>
      <c r="V38" s="16"/>
      <c r="W38" s="16"/>
      <c r="X38" s="16"/>
      <c r="Y38" s="303"/>
      <c r="Z38" s="121"/>
      <c r="AA38" s="121"/>
      <c r="AB38" t="s" s="472">
        <v>34</v>
      </c>
      <c r="AC38" s="273"/>
      <c r="AD38" s="146"/>
      <c r="AE38" t="s" s="157">
        <v>34</v>
      </c>
      <c r="AF38" s="16"/>
      <c r="AG38" s="146"/>
      <c r="AH38" t="s" s="157">
        <v>13</v>
      </c>
      <c r="AI38" s="146"/>
      <c r="AJ38" s="30"/>
      <c r="AK38" s="30"/>
      <c r="AL38" s="74"/>
      <c r="AM38" s="16"/>
      <c r="AN38" s="146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74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</row>
    <row r="39" ht="17" customHeight="1">
      <c r="A39" t="s" s="37">
        <v>3025</v>
      </c>
      <c r="B39" s="63"/>
      <c r="C39" s="470"/>
      <c r="D39" t="s" s="37">
        <v>3017</v>
      </c>
      <c r="E39" t="s" s="462">
        <v>3026</v>
      </c>
      <c r="F39" s="79">
        <v>14</v>
      </c>
      <c r="G39" t="s" s="96">
        <v>110</v>
      </c>
      <c r="H39" t="s" s="271">
        <v>109</v>
      </c>
      <c r="I39" s="39">
        <v>32</v>
      </c>
      <c r="J39" t="s" s="462">
        <v>41</v>
      </c>
      <c r="K39" s="79">
        <v>1</v>
      </c>
      <c r="L39" s="16"/>
      <c r="M39" s="16"/>
      <c r="N39" s="16"/>
      <c r="O39" s="16"/>
      <c r="P39" s="16"/>
      <c r="Q39" s="16"/>
      <c r="R39" s="16"/>
      <c r="S39" s="79">
        <v>1</v>
      </c>
      <c r="T39" s="16"/>
      <c r="U39" s="79">
        <v>51</v>
      </c>
      <c r="V39" s="16"/>
      <c r="W39" s="16"/>
      <c r="X39" s="16"/>
      <c r="Y39" s="146"/>
      <c r="Z39" s="30"/>
      <c r="AA39" s="30"/>
      <c r="AB39" t="s" s="472">
        <v>33</v>
      </c>
      <c r="AC39" s="273"/>
      <c r="AD39" s="146"/>
      <c r="AE39" t="s" s="157">
        <v>34</v>
      </c>
      <c r="AF39" s="16"/>
      <c r="AG39" s="146"/>
      <c r="AH39" t="s" s="157">
        <v>111</v>
      </c>
      <c r="AI39" s="146"/>
      <c r="AJ39" s="30"/>
      <c r="AK39" s="30"/>
      <c r="AL39" s="74"/>
      <c r="AM39" s="16"/>
      <c r="AN39" s="146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74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  <c r="BU39" s="16"/>
      <c r="BV39" s="16"/>
      <c r="BW39" s="16"/>
    </row>
    <row r="40" ht="15.35" customHeight="1">
      <c r="A40" s="32"/>
      <c r="B40" s="63"/>
      <c r="C40" s="470"/>
      <c r="D40" t="s" s="37">
        <v>3017</v>
      </c>
      <c r="E40" s="63"/>
      <c r="F40" s="16"/>
      <c r="G40" s="16"/>
      <c r="H40" s="470"/>
      <c r="I40" s="32"/>
      <c r="J40" s="63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46"/>
      <c r="Z40" s="30"/>
      <c r="AA40" s="30"/>
      <c r="AB40" s="474"/>
      <c r="AC40" s="273"/>
      <c r="AD40" s="146"/>
      <c r="AE40" s="74"/>
      <c r="AF40" s="16"/>
      <c r="AG40" s="146"/>
      <c r="AH40" s="74"/>
      <c r="AI40" s="146"/>
      <c r="AJ40" s="30"/>
      <c r="AK40" s="30"/>
      <c r="AL40" s="74"/>
      <c r="AM40" s="16"/>
      <c r="AN40" s="146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74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</row>
    <row r="41" ht="17" customHeight="1">
      <c r="A41" t="s" s="37">
        <v>3030</v>
      </c>
      <c r="B41" s="63"/>
      <c r="C41" s="470"/>
      <c r="D41" t="s" s="37">
        <v>3017</v>
      </c>
      <c r="E41" s="63"/>
      <c r="F41" s="79">
        <v>16</v>
      </c>
      <c r="G41" t="s" s="96">
        <v>113</v>
      </c>
      <c r="H41" t="s" s="271">
        <v>112</v>
      </c>
      <c r="I41" s="39">
        <v>33</v>
      </c>
      <c r="J41" t="s" s="462">
        <v>31</v>
      </c>
      <c r="K41" s="79">
        <v>1</v>
      </c>
      <c r="L41" s="16"/>
      <c r="M41" s="16"/>
      <c r="N41" s="16"/>
      <c r="O41" s="79">
        <v>1</v>
      </c>
      <c r="P41" s="16"/>
      <c r="Q41" s="16"/>
      <c r="R41" s="16"/>
      <c r="S41" s="16"/>
      <c r="T41" s="16"/>
      <c r="U41" s="79">
        <v>65</v>
      </c>
      <c r="V41" s="16"/>
      <c r="W41" s="16"/>
      <c r="X41" s="16"/>
      <c r="Y41" s="303"/>
      <c r="Z41" s="30"/>
      <c r="AA41" s="30"/>
      <c r="AB41" t="s" s="472">
        <v>114</v>
      </c>
      <c r="AC41" s="273"/>
      <c r="AD41" s="128">
        <v>1</v>
      </c>
      <c r="AE41" t="s" s="157">
        <v>8</v>
      </c>
      <c r="AF41" s="79">
        <v>1</v>
      </c>
      <c r="AG41" s="146"/>
      <c r="AH41" t="s" s="157">
        <v>13</v>
      </c>
      <c r="AI41" s="146"/>
      <c r="AJ41" s="30"/>
      <c r="AK41" s="30"/>
      <c r="AL41" s="74"/>
      <c r="AM41" s="16"/>
      <c r="AN41" s="146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74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  <c r="BU41" s="16"/>
      <c r="BV41" s="16"/>
      <c r="BW41" s="16"/>
    </row>
    <row r="42" ht="17" customHeight="1">
      <c r="A42" t="s" s="37">
        <v>3030</v>
      </c>
      <c r="B42" s="63"/>
      <c r="C42" s="470"/>
      <c r="D42" t="s" s="37">
        <v>3017</v>
      </c>
      <c r="E42" s="63"/>
      <c r="F42" s="79">
        <v>16</v>
      </c>
      <c r="G42" t="s" s="96">
        <v>113</v>
      </c>
      <c r="H42" t="s" s="271">
        <v>115</v>
      </c>
      <c r="I42" s="39">
        <v>34</v>
      </c>
      <c r="J42" t="s" s="462">
        <v>72</v>
      </c>
      <c r="K42" s="79">
        <v>1</v>
      </c>
      <c r="L42" s="16"/>
      <c r="M42" s="16"/>
      <c r="N42" s="16"/>
      <c r="O42" s="16"/>
      <c r="P42" s="79">
        <v>1</v>
      </c>
      <c r="Q42" s="16"/>
      <c r="R42" s="16"/>
      <c r="S42" s="16"/>
      <c r="T42" s="16"/>
      <c r="U42" s="79">
        <v>58</v>
      </c>
      <c r="V42" s="16"/>
      <c r="W42" s="16"/>
      <c r="X42" s="16"/>
      <c r="Y42" s="303"/>
      <c r="Z42" s="30"/>
      <c r="AA42" s="30"/>
      <c r="AB42" t="s" s="472">
        <v>33</v>
      </c>
      <c r="AC42" s="273"/>
      <c r="AD42" s="146"/>
      <c r="AE42" t="s" s="157">
        <v>34</v>
      </c>
      <c r="AF42" s="16"/>
      <c r="AG42" s="146"/>
      <c r="AH42" t="s" s="157">
        <v>13</v>
      </c>
      <c r="AI42" s="146"/>
      <c r="AJ42" s="30"/>
      <c r="AK42" s="30"/>
      <c r="AL42" s="74"/>
      <c r="AM42" s="16"/>
      <c r="AN42" s="146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74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  <c r="BU42" s="16"/>
      <c r="BV42" s="16"/>
      <c r="BW42" s="16"/>
    </row>
    <row r="43" ht="17" customHeight="1">
      <c r="A43" t="s" s="37">
        <v>3030</v>
      </c>
      <c r="B43" s="63"/>
      <c r="C43" s="470"/>
      <c r="D43" t="s" s="37">
        <v>3017</v>
      </c>
      <c r="E43" s="63"/>
      <c r="F43" s="79">
        <v>16</v>
      </c>
      <c r="G43" t="s" s="96">
        <v>117</v>
      </c>
      <c r="H43" t="s" s="271">
        <v>116</v>
      </c>
      <c r="I43" s="39">
        <v>35</v>
      </c>
      <c r="J43" t="s" s="462">
        <v>11</v>
      </c>
      <c r="K43" s="79">
        <v>1</v>
      </c>
      <c r="L43" s="16"/>
      <c r="M43" s="16"/>
      <c r="N43" s="16"/>
      <c r="O43" s="16"/>
      <c r="P43" s="16"/>
      <c r="Q43" s="16"/>
      <c r="R43" s="16"/>
      <c r="S43" s="16"/>
      <c r="T43" s="79">
        <v>1</v>
      </c>
      <c r="U43" s="79">
        <v>29</v>
      </c>
      <c r="V43" s="16"/>
      <c r="W43" s="16"/>
      <c r="X43" s="16"/>
      <c r="Y43" s="303"/>
      <c r="Z43" s="30"/>
      <c r="AA43" s="30"/>
      <c r="AB43" t="s" s="472">
        <v>55</v>
      </c>
      <c r="AC43" s="273"/>
      <c r="AD43" s="128">
        <v>1</v>
      </c>
      <c r="AE43" t="s" s="157">
        <v>15</v>
      </c>
      <c r="AF43" s="16"/>
      <c r="AG43" s="146"/>
      <c r="AH43" t="s" s="157">
        <v>118</v>
      </c>
      <c r="AI43" s="128">
        <v>1</v>
      </c>
      <c r="AJ43" s="30"/>
      <c r="AK43" s="30"/>
      <c r="AL43" s="74"/>
      <c r="AM43" s="16"/>
      <c r="AN43" s="146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74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  <c r="BU43" s="16"/>
      <c r="BV43" s="16"/>
      <c r="BW43" s="16"/>
    </row>
    <row r="44" ht="17" customHeight="1">
      <c r="A44" t="s" s="37">
        <v>3030</v>
      </c>
      <c r="B44" s="63"/>
      <c r="C44" s="470"/>
      <c r="D44" t="s" s="37">
        <v>3017</v>
      </c>
      <c r="E44" s="63"/>
      <c r="F44" s="79">
        <v>16</v>
      </c>
      <c r="G44" t="s" s="96">
        <v>120</v>
      </c>
      <c r="H44" t="s" s="271">
        <v>119</v>
      </c>
      <c r="I44" s="39">
        <v>36</v>
      </c>
      <c r="J44" t="s" s="462">
        <v>11</v>
      </c>
      <c r="K44" s="79">
        <v>1</v>
      </c>
      <c r="L44" s="16"/>
      <c r="M44" s="16"/>
      <c r="N44" s="16"/>
      <c r="O44" s="16"/>
      <c r="P44" s="16"/>
      <c r="Q44" s="16"/>
      <c r="R44" s="16"/>
      <c r="S44" s="16"/>
      <c r="T44" s="79">
        <v>1</v>
      </c>
      <c r="U44" s="79">
        <v>15</v>
      </c>
      <c r="V44" s="16"/>
      <c r="W44" s="16"/>
      <c r="X44" s="16"/>
      <c r="Y44" s="303"/>
      <c r="Z44" s="30"/>
      <c r="AA44" s="30"/>
      <c r="AB44" t="s" s="472">
        <v>122</v>
      </c>
      <c r="AC44" s="273"/>
      <c r="AD44" s="128">
        <v>1</v>
      </c>
      <c r="AE44" t="s" s="157">
        <v>15</v>
      </c>
      <c r="AF44" s="16"/>
      <c r="AG44" s="146"/>
      <c r="AH44" t="s" s="157">
        <v>121</v>
      </c>
      <c r="AI44" s="128">
        <v>1</v>
      </c>
      <c r="AJ44" s="30"/>
      <c r="AK44" s="30"/>
      <c r="AL44" s="74"/>
      <c r="AM44" s="16"/>
      <c r="AN44" s="146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74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  <c r="BU44" s="16"/>
      <c r="BV44" s="16"/>
      <c r="BW44" s="16"/>
    </row>
    <row r="45" ht="17" customHeight="1">
      <c r="A45" t="s" s="37">
        <v>3030</v>
      </c>
      <c r="B45" s="63"/>
      <c r="C45" s="470"/>
      <c r="D45" t="s" s="37">
        <v>3017</v>
      </c>
      <c r="E45" s="63"/>
      <c r="F45" s="79">
        <v>16</v>
      </c>
      <c r="G45" t="s" s="96">
        <v>124</v>
      </c>
      <c r="H45" t="s" s="271">
        <v>123</v>
      </c>
      <c r="I45" s="39">
        <v>37</v>
      </c>
      <c r="J45" t="s" s="462">
        <v>11</v>
      </c>
      <c r="K45" s="79">
        <v>1</v>
      </c>
      <c r="L45" s="16"/>
      <c r="M45" s="16"/>
      <c r="N45" s="16"/>
      <c r="O45" s="16"/>
      <c r="P45" s="16"/>
      <c r="Q45" s="16"/>
      <c r="R45" s="16"/>
      <c r="S45" s="16"/>
      <c r="T45" s="79">
        <v>1</v>
      </c>
      <c r="U45" s="79">
        <v>32</v>
      </c>
      <c r="V45" s="16"/>
      <c r="W45" s="16"/>
      <c r="X45" s="16"/>
      <c r="Y45" s="62"/>
      <c r="Z45" s="62"/>
      <c r="AA45" s="62"/>
      <c r="AB45" t="s" s="93">
        <v>126</v>
      </c>
      <c r="AC45" s="273"/>
      <c r="AD45" s="155">
        <v>1</v>
      </c>
      <c r="AE45" t="s" s="157">
        <v>15</v>
      </c>
      <c r="AF45" s="16"/>
      <c r="AG45" s="62"/>
      <c r="AH45" t="s" s="96">
        <v>125</v>
      </c>
      <c r="AI45" s="97">
        <v>1</v>
      </c>
      <c r="AJ45" s="62"/>
      <c r="AK45" s="62"/>
      <c r="AL45" s="16"/>
      <c r="AM45" s="16"/>
      <c r="AN45" s="62"/>
      <c r="AO45" s="62"/>
      <c r="AP45" s="62"/>
      <c r="AQ45" s="62"/>
      <c r="AR45" s="62"/>
      <c r="AS45" s="62"/>
      <c r="AT45" s="62"/>
      <c r="AU45" s="62"/>
      <c r="AV45" s="62"/>
      <c r="AW45" s="62"/>
      <c r="AX45" s="62"/>
      <c r="AY45" s="62"/>
      <c r="AZ45" s="62"/>
      <c r="BA45" s="62"/>
      <c r="BB45" s="62"/>
      <c r="BC45" s="62"/>
      <c r="BD45" s="62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  <c r="BU45" s="16"/>
      <c r="BV45" s="16"/>
      <c r="BW45" s="16"/>
    </row>
    <row r="46" ht="17" customHeight="1">
      <c r="A46" t="s" s="37">
        <v>3030</v>
      </c>
      <c r="B46" s="63"/>
      <c r="C46" s="470"/>
      <c r="D46" t="s" s="37">
        <v>3017</v>
      </c>
      <c r="E46" s="63"/>
      <c r="F46" s="79">
        <v>16</v>
      </c>
      <c r="G46" t="s" s="96">
        <v>128</v>
      </c>
      <c r="H46" t="s" s="271">
        <v>127</v>
      </c>
      <c r="I46" s="39">
        <v>38</v>
      </c>
      <c r="J46" t="s" s="462">
        <v>11</v>
      </c>
      <c r="K46" s="79">
        <v>1</v>
      </c>
      <c r="L46" s="16"/>
      <c r="M46" s="16"/>
      <c r="N46" s="16"/>
      <c r="O46" s="16"/>
      <c r="P46" s="16"/>
      <c r="Q46" s="16"/>
      <c r="R46" s="16"/>
      <c r="S46" s="16"/>
      <c r="T46" s="79">
        <v>1</v>
      </c>
      <c r="U46" s="79">
        <v>31</v>
      </c>
      <c r="V46" s="16"/>
      <c r="W46" s="16"/>
      <c r="X46" s="16"/>
      <c r="Y46" s="16"/>
      <c r="Z46" s="16"/>
      <c r="AA46" s="16"/>
      <c r="AB46" t="s" s="93">
        <v>45</v>
      </c>
      <c r="AC46" s="273"/>
      <c r="AD46" s="123">
        <v>1</v>
      </c>
      <c r="AE46" t="s" s="157">
        <v>15</v>
      </c>
      <c r="AF46" s="16"/>
      <c r="AG46" s="16"/>
      <c r="AH46" t="s" s="96">
        <v>54</v>
      </c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  <c r="BU46" s="16"/>
      <c r="BV46" s="16"/>
      <c r="BW46" s="16"/>
    </row>
    <row r="47" ht="15.35" customHeight="1">
      <c r="A47" s="32"/>
      <c r="B47" s="63"/>
      <c r="C47" s="470"/>
      <c r="D47" t="s" s="37">
        <v>3017</v>
      </c>
      <c r="E47" s="63"/>
      <c r="F47" s="16"/>
      <c r="G47" s="16"/>
      <c r="H47" s="470"/>
      <c r="I47" s="32"/>
      <c r="J47" s="63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273"/>
      <c r="AC47" s="273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</row>
    <row r="48" ht="17" customHeight="1">
      <c r="A48" t="s" s="37">
        <v>3031</v>
      </c>
      <c r="B48" s="63"/>
      <c r="C48" s="470"/>
      <c r="D48" t="s" s="37">
        <v>3017</v>
      </c>
      <c r="E48" t="s" s="462">
        <v>3032</v>
      </c>
      <c r="F48" s="79">
        <v>1</v>
      </c>
      <c r="G48" t="s" s="96">
        <v>129</v>
      </c>
      <c r="H48" t="s" s="271">
        <v>95</v>
      </c>
      <c r="I48" s="39">
        <v>39</v>
      </c>
      <c r="J48" t="s" s="462">
        <v>31</v>
      </c>
      <c r="K48" s="79">
        <v>1</v>
      </c>
      <c r="L48" s="16"/>
      <c r="M48" s="16"/>
      <c r="N48" s="16"/>
      <c r="O48" s="79">
        <v>1</v>
      </c>
      <c r="P48" s="16"/>
      <c r="Q48" s="16"/>
      <c r="R48" s="16"/>
      <c r="S48" s="16"/>
      <c r="T48" s="16"/>
      <c r="U48" s="79">
        <v>65</v>
      </c>
      <c r="V48" s="16"/>
      <c r="W48" s="16"/>
      <c r="X48" s="16"/>
      <c r="Y48" s="16"/>
      <c r="Z48" s="16"/>
      <c r="AA48" s="16"/>
      <c r="AB48" t="s" s="93">
        <v>33</v>
      </c>
      <c r="AC48" s="273"/>
      <c r="AD48" s="16"/>
      <c r="AE48" t="s" s="96">
        <v>34</v>
      </c>
      <c r="AF48" s="16"/>
      <c r="AG48" s="16"/>
      <c r="AH48" t="s" s="96">
        <v>13</v>
      </c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  <c r="BU48" s="16"/>
      <c r="BV48" s="16"/>
      <c r="BW48" s="16"/>
    </row>
    <row r="49" ht="17" customHeight="1">
      <c r="A49" t="s" s="37">
        <v>3031</v>
      </c>
      <c r="B49" s="63"/>
      <c r="C49" s="470"/>
      <c r="D49" t="s" s="37">
        <v>3017</v>
      </c>
      <c r="E49" s="63"/>
      <c r="F49" s="79">
        <v>1</v>
      </c>
      <c r="G49" t="s" s="96">
        <v>130</v>
      </c>
      <c r="H49" t="s" s="271">
        <v>79</v>
      </c>
      <c r="I49" s="39">
        <v>40</v>
      </c>
      <c r="J49" t="s" s="462">
        <v>41</v>
      </c>
      <c r="K49" s="79">
        <v>1</v>
      </c>
      <c r="L49" s="16"/>
      <c r="M49" s="16"/>
      <c r="N49" s="16"/>
      <c r="O49" s="16"/>
      <c r="P49" s="16"/>
      <c r="Q49" s="16"/>
      <c r="R49" s="16"/>
      <c r="S49" s="79">
        <v>1</v>
      </c>
      <c r="T49" s="16"/>
      <c r="U49" s="79">
        <v>60</v>
      </c>
      <c r="V49" s="16"/>
      <c r="W49" s="16"/>
      <c r="X49" s="16"/>
      <c r="Y49" s="16"/>
      <c r="Z49" s="16"/>
      <c r="AA49" s="16"/>
      <c r="AB49" t="s" s="93">
        <v>34</v>
      </c>
      <c r="AC49" s="273"/>
      <c r="AD49" s="16"/>
      <c r="AE49" t="s" s="96">
        <v>15</v>
      </c>
      <c r="AF49" s="16"/>
      <c r="AG49" s="16"/>
      <c r="AH49" t="s" s="96">
        <v>131</v>
      </c>
      <c r="AI49" s="79">
        <v>1</v>
      </c>
      <c r="AJ49" s="16"/>
      <c r="AK49" s="16"/>
      <c r="AL49" s="16"/>
      <c r="AM49" s="16"/>
      <c r="AN49" s="16"/>
      <c r="AO49" s="16"/>
      <c r="AP49" s="16"/>
      <c r="AQ49" s="16"/>
      <c r="AR49" s="16"/>
      <c r="AS49" s="16"/>
      <c r="AT49" s="16"/>
      <c r="AU49" s="16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</row>
    <row r="50" ht="17" customHeight="1">
      <c r="A50" t="s" s="37">
        <v>3031</v>
      </c>
      <c r="B50" s="63"/>
      <c r="C50" s="470"/>
      <c r="D50" t="s" s="37">
        <v>3017</v>
      </c>
      <c r="E50" s="63"/>
      <c r="F50" s="79">
        <v>1</v>
      </c>
      <c r="G50" t="s" s="96">
        <v>133</v>
      </c>
      <c r="H50" t="s" s="271">
        <v>132</v>
      </c>
      <c r="I50" s="39">
        <v>41</v>
      </c>
      <c r="J50" t="s" s="462">
        <v>11</v>
      </c>
      <c r="K50" s="79">
        <v>1</v>
      </c>
      <c r="L50" s="16"/>
      <c r="M50" s="16"/>
      <c r="N50" s="16"/>
      <c r="O50" s="16"/>
      <c r="P50" s="16"/>
      <c r="Q50" s="16"/>
      <c r="R50" s="16"/>
      <c r="S50" s="16"/>
      <c r="T50" s="79">
        <v>1</v>
      </c>
      <c r="U50" s="79">
        <v>60</v>
      </c>
      <c r="V50" s="16"/>
      <c r="W50" s="16"/>
      <c r="X50" s="16"/>
      <c r="Y50" s="16"/>
      <c r="Z50" s="16"/>
      <c r="AA50" s="16"/>
      <c r="AB50" t="s" s="93">
        <v>126</v>
      </c>
      <c r="AC50" s="273"/>
      <c r="AD50" s="79">
        <v>1</v>
      </c>
      <c r="AE50" t="s" s="96">
        <v>15</v>
      </c>
      <c r="AF50" s="16"/>
      <c r="AG50" s="16"/>
      <c r="AH50" t="s" s="96">
        <v>134</v>
      </c>
      <c r="AI50" s="16"/>
      <c r="AJ50" s="16"/>
      <c r="AK50" s="16"/>
      <c r="AL50" s="16"/>
      <c r="AM50" s="16"/>
      <c r="AN50" s="16"/>
      <c r="AO50" s="16"/>
      <c r="AP50" s="16"/>
      <c r="AQ50" s="16"/>
      <c r="AR50" s="16"/>
      <c r="AS50" s="16"/>
      <c r="AT50" s="16"/>
      <c r="AU50" s="16"/>
      <c r="AV50" s="16"/>
      <c r="AW50" s="16"/>
      <c r="AX50" s="16"/>
      <c r="AY50" s="16"/>
      <c r="AZ50" s="16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</row>
    <row r="51" ht="17" customHeight="1">
      <c r="A51" t="s" s="37">
        <v>3031</v>
      </c>
      <c r="B51" s="63"/>
      <c r="C51" s="470"/>
      <c r="D51" t="s" s="37">
        <v>3017</v>
      </c>
      <c r="E51" s="63"/>
      <c r="F51" s="79">
        <v>1</v>
      </c>
      <c r="G51" t="s" s="96">
        <v>135</v>
      </c>
      <c r="H51" t="s" s="271">
        <v>79</v>
      </c>
      <c r="I51" s="39">
        <v>42</v>
      </c>
      <c r="J51" t="s" s="462">
        <v>11</v>
      </c>
      <c r="K51" s="79">
        <v>1</v>
      </c>
      <c r="L51" s="16"/>
      <c r="M51" s="16"/>
      <c r="N51" s="16"/>
      <c r="O51" s="16"/>
      <c r="P51" s="16"/>
      <c r="Q51" s="16"/>
      <c r="R51" s="16"/>
      <c r="S51" s="16"/>
      <c r="T51" s="79">
        <v>1</v>
      </c>
      <c r="U51" s="79">
        <v>48</v>
      </c>
      <c r="V51" s="16"/>
      <c r="W51" s="16"/>
      <c r="X51" s="16"/>
      <c r="Y51" s="16"/>
      <c r="Z51" s="16"/>
      <c r="AA51" s="16"/>
      <c r="AB51" t="s" s="93">
        <v>45</v>
      </c>
      <c r="AC51" s="273"/>
      <c r="AD51" s="79">
        <v>1</v>
      </c>
      <c r="AE51" t="s" s="96">
        <v>15</v>
      </c>
      <c r="AF51" s="16"/>
      <c r="AG51" s="16"/>
      <c r="AH51" t="s" s="96">
        <v>136</v>
      </c>
      <c r="AI51" s="79">
        <v>1</v>
      </c>
      <c r="AJ51" s="16"/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</row>
    <row r="52" ht="17" customHeight="1">
      <c r="A52" t="s" s="37">
        <v>3031</v>
      </c>
      <c r="B52" s="63"/>
      <c r="C52" s="470"/>
      <c r="D52" t="s" s="37">
        <v>3017</v>
      </c>
      <c r="E52" s="63"/>
      <c r="F52" s="79">
        <v>1</v>
      </c>
      <c r="G52" t="s" s="96">
        <v>137</v>
      </c>
      <c r="H52" t="s" s="271">
        <v>95</v>
      </c>
      <c r="I52" s="39">
        <v>43</v>
      </c>
      <c r="J52" t="s" s="462">
        <v>11</v>
      </c>
      <c r="K52" s="79">
        <v>1</v>
      </c>
      <c r="L52" s="16"/>
      <c r="M52" s="16"/>
      <c r="N52" s="16"/>
      <c r="O52" s="16"/>
      <c r="P52" s="16"/>
      <c r="Q52" s="16"/>
      <c r="R52" s="16"/>
      <c r="S52" s="16"/>
      <c r="T52" s="79">
        <v>1</v>
      </c>
      <c r="U52" s="79">
        <v>17</v>
      </c>
      <c r="V52" s="16"/>
      <c r="W52" s="16"/>
      <c r="X52" s="16"/>
      <c r="Y52" s="16"/>
      <c r="Z52" s="16"/>
      <c r="AA52" s="16"/>
      <c r="AB52" t="s" s="93">
        <v>89</v>
      </c>
      <c r="AC52" s="273"/>
      <c r="AD52" s="79">
        <v>1</v>
      </c>
      <c r="AE52" t="s" s="96">
        <v>15</v>
      </c>
      <c r="AF52" s="16"/>
      <c r="AG52" s="16"/>
      <c r="AH52" t="s" s="96">
        <v>138</v>
      </c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</row>
    <row r="53" ht="15.35" customHeight="1">
      <c r="A53" s="32"/>
      <c r="B53" s="63"/>
      <c r="C53" s="470"/>
      <c r="D53" t="s" s="37">
        <v>3017</v>
      </c>
      <c r="E53" s="63"/>
      <c r="F53" s="16"/>
      <c r="G53" s="16"/>
      <c r="H53" s="470"/>
      <c r="I53" s="32"/>
      <c r="J53" s="63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273"/>
      <c r="AC53" s="273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</row>
    <row r="54" ht="17" customHeight="1">
      <c r="A54" t="s" s="37">
        <v>3033</v>
      </c>
      <c r="B54" s="63"/>
      <c r="C54" s="470"/>
      <c r="D54" t="s" s="37">
        <v>3017</v>
      </c>
      <c r="E54" t="s" s="462">
        <v>3034</v>
      </c>
      <c r="F54" s="79">
        <v>20</v>
      </c>
      <c r="G54" t="s" s="96">
        <v>139</v>
      </c>
      <c r="H54" t="s" s="271">
        <v>95</v>
      </c>
      <c r="I54" s="39">
        <v>44</v>
      </c>
      <c r="J54" t="s" s="462">
        <v>11</v>
      </c>
      <c r="K54" s="79">
        <v>1</v>
      </c>
      <c r="L54" s="16"/>
      <c r="M54" s="16"/>
      <c r="N54" s="16"/>
      <c r="O54" s="16"/>
      <c r="P54" s="16"/>
      <c r="Q54" s="16"/>
      <c r="R54" s="16"/>
      <c r="S54" s="16"/>
      <c r="T54" s="79">
        <v>1</v>
      </c>
      <c r="U54" s="79">
        <v>50</v>
      </c>
      <c r="V54" s="16"/>
      <c r="W54" s="16"/>
      <c r="X54" s="16"/>
      <c r="Y54" s="16"/>
      <c r="Z54" s="16"/>
      <c r="AA54" s="16"/>
      <c r="AB54" t="s" s="93">
        <v>45</v>
      </c>
      <c r="AC54" s="273"/>
      <c r="AD54" s="79">
        <v>1</v>
      </c>
      <c r="AE54" t="s" s="96">
        <v>15</v>
      </c>
      <c r="AF54" s="16"/>
      <c r="AG54" s="16"/>
      <c r="AH54" t="s" s="96">
        <v>34</v>
      </c>
      <c r="AI54" s="16"/>
      <c r="AJ54" s="16"/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  <c r="AZ54" s="16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</row>
    <row r="55" ht="17" customHeight="1">
      <c r="A55" t="s" s="37">
        <v>3033</v>
      </c>
      <c r="B55" s="63"/>
      <c r="C55" s="470"/>
      <c r="D55" t="s" s="37">
        <v>3017</v>
      </c>
      <c r="E55" t="s" s="462">
        <v>3034</v>
      </c>
      <c r="F55" s="79">
        <v>20</v>
      </c>
      <c r="G55" t="s" s="96">
        <v>141</v>
      </c>
      <c r="H55" t="s" s="271">
        <v>140</v>
      </c>
      <c r="I55" s="39">
        <v>45</v>
      </c>
      <c r="J55" t="s" s="462">
        <v>11</v>
      </c>
      <c r="K55" s="79">
        <v>1</v>
      </c>
      <c r="L55" s="16"/>
      <c r="M55" s="16"/>
      <c r="N55" s="16"/>
      <c r="O55" s="16"/>
      <c r="P55" s="16"/>
      <c r="Q55" s="16"/>
      <c r="R55" s="16"/>
      <c r="S55" s="16"/>
      <c r="T55" s="79">
        <v>1</v>
      </c>
      <c r="U55" s="79">
        <v>28</v>
      </c>
      <c r="V55" s="16"/>
      <c r="W55" s="16"/>
      <c r="X55" s="16"/>
      <c r="Y55" s="16"/>
      <c r="Z55" s="16"/>
      <c r="AA55" s="16"/>
      <c r="AB55" t="s" s="93">
        <v>55</v>
      </c>
      <c r="AC55" s="273"/>
      <c r="AD55" s="79">
        <v>1</v>
      </c>
      <c r="AE55" t="s" s="96">
        <v>15</v>
      </c>
      <c r="AF55" s="16"/>
      <c r="AG55" s="16"/>
      <c r="AH55" t="s" s="96">
        <v>142</v>
      </c>
      <c r="AI55" s="79">
        <v>1</v>
      </c>
      <c r="AJ55" s="16"/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  <c r="BS55" s="16"/>
      <c r="BT55" s="16"/>
      <c r="BU55" s="16"/>
      <c r="BV55" s="16"/>
      <c r="BW55" s="16"/>
    </row>
    <row r="56" ht="17" customHeight="1">
      <c r="A56" t="s" s="37">
        <v>3033</v>
      </c>
      <c r="B56" s="63"/>
      <c r="C56" s="470"/>
      <c r="D56" t="s" s="37">
        <v>3017</v>
      </c>
      <c r="E56" t="s" s="462">
        <v>3034</v>
      </c>
      <c r="F56" s="79">
        <v>20</v>
      </c>
      <c r="G56" t="s" s="96">
        <v>144</v>
      </c>
      <c r="H56" t="s" s="271">
        <v>143</v>
      </c>
      <c r="I56" s="39">
        <v>46</v>
      </c>
      <c r="J56" t="s" s="462">
        <v>145</v>
      </c>
      <c r="K56" s="79">
        <v>1</v>
      </c>
      <c r="L56" s="16"/>
      <c r="M56" s="16"/>
      <c r="N56" s="16"/>
      <c r="O56" s="16"/>
      <c r="P56" s="16"/>
      <c r="Q56" s="16"/>
      <c r="R56" s="16"/>
      <c r="S56" s="16"/>
      <c r="T56" s="79">
        <v>1</v>
      </c>
      <c r="U56" s="79">
        <v>39</v>
      </c>
      <c r="V56" s="16"/>
      <c r="W56" s="16"/>
      <c r="X56" s="16"/>
      <c r="Y56" s="16"/>
      <c r="Z56" s="16"/>
      <c r="AA56" s="16"/>
      <c r="AB56" t="s" s="93">
        <v>146</v>
      </c>
      <c r="AC56" s="273"/>
      <c r="AD56" s="79">
        <v>1</v>
      </c>
      <c r="AE56" t="s" s="96">
        <v>15</v>
      </c>
      <c r="AF56" s="16"/>
      <c r="AG56" s="16"/>
      <c r="AH56" t="s" s="96">
        <v>13</v>
      </c>
      <c r="AI56" s="16"/>
      <c r="AJ56" s="16"/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  <c r="AZ56" s="16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</row>
    <row r="57" ht="17" customHeight="1">
      <c r="A57" t="s" s="37">
        <v>3033</v>
      </c>
      <c r="B57" s="63"/>
      <c r="C57" s="470"/>
      <c r="D57" t="s" s="37">
        <v>3017</v>
      </c>
      <c r="E57" t="s" s="462">
        <v>3034</v>
      </c>
      <c r="F57" s="79">
        <v>20</v>
      </c>
      <c r="G57" t="s" s="96">
        <v>148</v>
      </c>
      <c r="H57" t="s" s="271">
        <v>147</v>
      </c>
      <c r="I57" s="39">
        <v>47</v>
      </c>
      <c r="J57" t="s" s="462">
        <v>78</v>
      </c>
      <c r="K57" s="79">
        <v>1</v>
      </c>
      <c r="L57" s="16"/>
      <c r="M57" s="16"/>
      <c r="N57" s="16"/>
      <c r="O57" s="16"/>
      <c r="P57" s="16"/>
      <c r="Q57" s="79">
        <v>1</v>
      </c>
      <c r="R57" s="16"/>
      <c r="S57" s="16"/>
      <c r="T57" s="16"/>
      <c r="U57" s="79">
        <v>12</v>
      </c>
      <c r="V57" s="16"/>
      <c r="W57" s="16"/>
      <c r="X57" s="16"/>
      <c r="Y57" s="16"/>
      <c r="Z57" s="16"/>
      <c r="AA57" s="16"/>
      <c r="AB57" t="s" s="93">
        <v>34</v>
      </c>
      <c r="AC57" s="273"/>
      <c r="AD57" s="16"/>
      <c r="AE57" t="s" s="96">
        <v>34</v>
      </c>
      <c r="AF57" s="16"/>
      <c r="AG57" s="16"/>
      <c r="AH57" t="s" s="96">
        <v>13</v>
      </c>
      <c r="AI57" s="16"/>
      <c r="AJ57" s="16"/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</row>
    <row r="58" ht="17" customHeight="1">
      <c r="A58" t="s" s="37">
        <v>3033</v>
      </c>
      <c r="B58" s="63"/>
      <c r="C58" s="470"/>
      <c r="D58" t="s" s="37">
        <v>3017</v>
      </c>
      <c r="E58" t="s" s="462">
        <v>3034</v>
      </c>
      <c r="F58" s="79">
        <v>20</v>
      </c>
      <c r="G58" t="s" s="96">
        <v>148</v>
      </c>
      <c r="H58" t="s" s="271">
        <v>149</v>
      </c>
      <c r="I58" s="39">
        <v>48</v>
      </c>
      <c r="J58" t="s" s="462">
        <v>72</v>
      </c>
      <c r="K58" s="79">
        <v>1</v>
      </c>
      <c r="L58" s="16"/>
      <c r="M58" s="16"/>
      <c r="N58" s="16"/>
      <c r="O58" s="16"/>
      <c r="P58" s="79">
        <v>1</v>
      </c>
      <c r="Q58" s="16"/>
      <c r="R58" s="16"/>
      <c r="S58" s="16"/>
      <c r="T58" s="16"/>
      <c r="U58" s="79">
        <v>40</v>
      </c>
      <c r="V58" s="16"/>
      <c r="W58" s="16"/>
      <c r="X58" s="16"/>
      <c r="Y58" s="16"/>
      <c r="Z58" s="16"/>
      <c r="AA58" s="16"/>
      <c r="AB58" t="s" s="93">
        <v>33</v>
      </c>
      <c r="AC58" s="273"/>
      <c r="AD58" s="16"/>
      <c r="AE58" t="s" s="96">
        <v>34</v>
      </c>
      <c r="AF58" s="16"/>
      <c r="AG58" s="16"/>
      <c r="AH58" t="s" s="96">
        <v>150</v>
      </c>
      <c r="AI58" s="79">
        <v>1</v>
      </c>
      <c r="AJ58" s="16"/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  <c r="AZ58" s="16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</row>
    <row r="59" ht="17" customHeight="1">
      <c r="A59" t="s" s="37">
        <v>3033</v>
      </c>
      <c r="B59" s="63"/>
      <c r="C59" s="470"/>
      <c r="D59" t="s" s="37">
        <v>3017</v>
      </c>
      <c r="E59" t="s" s="462">
        <v>3034</v>
      </c>
      <c r="F59" s="79">
        <v>20</v>
      </c>
      <c r="G59" t="s" s="96">
        <v>148</v>
      </c>
      <c r="H59" t="s" s="271">
        <v>151</v>
      </c>
      <c r="I59" s="39">
        <v>49</v>
      </c>
      <c r="J59" t="s" s="462">
        <v>31</v>
      </c>
      <c r="K59" s="16"/>
      <c r="L59" s="79">
        <v>1</v>
      </c>
      <c r="M59" s="16"/>
      <c r="N59" s="16"/>
      <c r="O59" s="79">
        <v>1</v>
      </c>
      <c r="P59" s="16"/>
      <c r="Q59" s="16"/>
      <c r="R59" s="16"/>
      <c r="S59" s="16"/>
      <c r="T59" s="16"/>
      <c r="U59" s="79">
        <v>52</v>
      </c>
      <c r="V59" s="16"/>
      <c r="W59" s="16"/>
      <c r="X59" s="16"/>
      <c r="Y59" s="16"/>
      <c r="Z59" s="16"/>
      <c r="AA59" s="16"/>
      <c r="AB59" t="s" s="93">
        <v>152</v>
      </c>
      <c r="AC59" s="273"/>
      <c r="AD59" s="79">
        <v>1</v>
      </c>
      <c r="AE59" t="s" s="96">
        <v>8</v>
      </c>
      <c r="AF59" s="79">
        <v>1</v>
      </c>
      <c r="AG59" s="16"/>
      <c r="AH59" t="s" s="96">
        <v>13</v>
      </c>
      <c r="AI59" s="16"/>
      <c r="AJ59" s="16"/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  <c r="AZ59" s="16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</row>
    <row r="60" ht="15.35" customHeight="1">
      <c r="A60" s="32"/>
      <c r="B60" s="63"/>
      <c r="C60" s="470"/>
      <c r="D60" t="s" s="37">
        <v>3017</v>
      </c>
      <c r="E60" s="63"/>
      <c r="F60" s="16"/>
      <c r="G60" s="16"/>
      <c r="H60" s="470"/>
      <c r="I60" s="32"/>
      <c r="J60" s="63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273"/>
      <c r="AC60" s="273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16"/>
      <c r="BQ60" s="16"/>
      <c r="BR60" s="16"/>
      <c r="BS60" s="16"/>
      <c r="BT60" s="16"/>
      <c r="BU60" s="16"/>
      <c r="BV60" s="16"/>
      <c r="BW60" s="16"/>
    </row>
    <row r="61" ht="17" customHeight="1">
      <c r="A61" t="s" s="37">
        <v>3035</v>
      </c>
      <c r="B61" s="63"/>
      <c r="C61" s="470"/>
      <c r="D61" t="s" s="37">
        <v>3017</v>
      </c>
      <c r="E61" t="s" s="462">
        <v>3036</v>
      </c>
      <c r="F61" s="79">
        <v>10</v>
      </c>
      <c r="G61" t="s" s="96">
        <v>154</v>
      </c>
      <c r="H61" t="s" s="271">
        <v>153</v>
      </c>
      <c r="I61" s="39">
        <v>50</v>
      </c>
      <c r="J61" t="s" s="462">
        <v>31</v>
      </c>
      <c r="K61" s="16"/>
      <c r="L61" s="79">
        <v>1</v>
      </c>
      <c r="M61" s="16"/>
      <c r="N61" s="16"/>
      <c r="O61" s="79">
        <v>1</v>
      </c>
      <c r="P61" s="16"/>
      <c r="Q61" s="16"/>
      <c r="R61" s="16"/>
      <c r="S61" s="16"/>
      <c r="T61" s="16"/>
      <c r="U61" s="79">
        <v>38</v>
      </c>
      <c r="V61" s="16"/>
      <c r="W61" s="16"/>
      <c r="X61" s="16"/>
      <c r="Y61" s="16"/>
      <c r="Z61" s="16"/>
      <c r="AA61" s="16"/>
      <c r="AB61" t="s" s="93">
        <v>156</v>
      </c>
      <c r="AC61" s="273"/>
      <c r="AD61" s="79">
        <v>1</v>
      </c>
      <c r="AE61" t="s" s="96">
        <v>8</v>
      </c>
      <c r="AF61" s="79">
        <v>1</v>
      </c>
      <c r="AG61" s="16"/>
      <c r="AH61" t="s" s="96">
        <v>155</v>
      </c>
      <c r="AI61" s="79">
        <v>1</v>
      </c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  <c r="BU61" s="16"/>
      <c r="BV61" s="16"/>
      <c r="BW61" s="16"/>
    </row>
    <row r="62" ht="17" customHeight="1">
      <c r="A62" t="s" s="37">
        <v>3035</v>
      </c>
      <c r="B62" s="63"/>
      <c r="C62" s="470"/>
      <c r="D62" t="s" s="37">
        <v>3017</v>
      </c>
      <c r="E62" t="s" s="462">
        <v>3036</v>
      </c>
      <c r="F62" s="79">
        <v>10</v>
      </c>
      <c r="G62" t="s" s="96">
        <v>154</v>
      </c>
      <c r="H62" t="s" s="271">
        <v>157</v>
      </c>
      <c r="I62" s="39">
        <v>51</v>
      </c>
      <c r="J62" t="s" s="462">
        <v>78</v>
      </c>
      <c r="K62" s="16"/>
      <c r="L62" s="16"/>
      <c r="M62" s="79">
        <v>1</v>
      </c>
      <c r="N62" s="16"/>
      <c r="O62" s="16"/>
      <c r="P62" s="16"/>
      <c r="Q62" s="79">
        <v>1</v>
      </c>
      <c r="R62" s="16"/>
      <c r="S62" s="16"/>
      <c r="T62" s="16"/>
      <c r="U62" s="79">
        <v>14</v>
      </c>
      <c r="V62" s="16"/>
      <c r="W62" s="16"/>
      <c r="X62" s="16"/>
      <c r="Y62" s="16"/>
      <c r="Z62" s="16"/>
      <c r="AA62" s="16"/>
      <c r="AB62" t="s" s="93">
        <v>34</v>
      </c>
      <c r="AC62" s="273"/>
      <c r="AD62" s="16"/>
      <c r="AE62" t="s" s="96">
        <v>34</v>
      </c>
      <c r="AF62" s="16"/>
      <c r="AG62" s="16"/>
      <c r="AH62" t="s" s="96">
        <v>13</v>
      </c>
      <c r="AI62" s="16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  <c r="BU62" s="16"/>
      <c r="BV62" s="16"/>
      <c r="BW62" s="16"/>
    </row>
    <row r="63" ht="17" customHeight="1">
      <c r="A63" t="s" s="37">
        <v>3035</v>
      </c>
      <c r="B63" s="63"/>
      <c r="C63" s="470"/>
      <c r="D63" t="s" s="37">
        <v>3017</v>
      </c>
      <c r="E63" t="s" s="462">
        <v>3036</v>
      </c>
      <c r="F63" s="79">
        <v>10</v>
      </c>
      <c r="G63" t="s" s="96">
        <v>154</v>
      </c>
      <c r="H63" t="s" s="271">
        <v>158</v>
      </c>
      <c r="I63" s="39">
        <v>52</v>
      </c>
      <c r="J63" t="s" s="462">
        <v>78</v>
      </c>
      <c r="K63" s="16"/>
      <c r="L63" s="16"/>
      <c r="M63" s="79">
        <v>1</v>
      </c>
      <c r="N63" s="16"/>
      <c r="O63" s="16"/>
      <c r="P63" s="16"/>
      <c r="Q63" s="79">
        <v>1</v>
      </c>
      <c r="R63" s="16"/>
      <c r="S63" s="16"/>
      <c r="T63" s="16"/>
      <c r="U63" s="79">
        <v>13</v>
      </c>
      <c r="V63" s="16"/>
      <c r="W63" s="16"/>
      <c r="X63" s="16"/>
      <c r="Y63" s="16"/>
      <c r="Z63" s="16"/>
      <c r="AA63" s="16"/>
      <c r="AB63" t="s" s="93">
        <v>34</v>
      </c>
      <c r="AC63" s="273"/>
      <c r="AD63" s="16"/>
      <c r="AE63" t="s" s="96">
        <v>34</v>
      </c>
      <c r="AF63" s="16"/>
      <c r="AG63" s="16"/>
      <c r="AH63" t="s" s="96">
        <v>13</v>
      </c>
      <c r="AI63" s="16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  <c r="BU63" s="16"/>
      <c r="BV63" s="16"/>
      <c r="BW63" s="16"/>
    </row>
    <row r="64" ht="17" customHeight="1">
      <c r="A64" t="s" s="37">
        <v>3035</v>
      </c>
      <c r="B64" s="63"/>
      <c r="C64" s="470"/>
      <c r="D64" t="s" s="37">
        <v>3017</v>
      </c>
      <c r="E64" t="s" s="462">
        <v>3036</v>
      </c>
      <c r="F64" s="79">
        <v>10</v>
      </c>
      <c r="G64" t="s" s="96">
        <v>154</v>
      </c>
      <c r="H64" t="s" s="271">
        <v>159</v>
      </c>
      <c r="I64" s="39">
        <v>53</v>
      </c>
      <c r="J64" t="s" s="462">
        <v>78</v>
      </c>
      <c r="K64" s="16"/>
      <c r="L64" s="16"/>
      <c r="M64" s="79">
        <v>1</v>
      </c>
      <c r="N64" s="16"/>
      <c r="O64" s="16"/>
      <c r="P64" s="16"/>
      <c r="Q64" s="79">
        <v>1</v>
      </c>
      <c r="R64" s="16"/>
      <c r="S64" s="16"/>
      <c r="T64" s="16"/>
      <c r="U64" s="79">
        <v>10</v>
      </c>
      <c r="V64" s="16"/>
      <c r="W64" s="16"/>
      <c r="X64" s="16"/>
      <c r="Y64" s="16"/>
      <c r="Z64" s="16"/>
      <c r="AA64" s="16"/>
      <c r="AB64" t="s" s="93">
        <v>34</v>
      </c>
      <c r="AC64" s="273"/>
      <c r="AD64" s="16"/>
      <c r="AE64" t="s" s="96">
        <v>34</v>
      </c>
      <c r="AF64" s="16"/>
      <c r="AG64" s="16"/>
      <c r="AH64" t="s" s="96">
        <v>13</v>
      </c>
      <c r="AI64" s="16"/>
      <c r="AJ64" s="16"/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  <c r="AZ64" s="16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  <c r="BU64" s="16"/>
      <c r="BV64" s="16"/>
      <c r="BW64" s="16"/>
    </row>
    <row r="65" ht="17" customHeight="1">
      <c r="A65" t="s" s="37">
        <v>3035</v>
      </c>
      <c r="B65" s="63"/>
      <c r="C65" s="470"/>
      <c r="D65" t="s" s="37">
        <v>3017</v>
      </c>
      <c r="E65" t="s" s="462">
        <v>3036</v>
      </c>
      <c r="F65" s="79">
        <v>10</v>
      </c>
      <c r="G65" t="s" s="96">
        <v>154</v>
      </c>
      <c r="H65" t="s" s="271">
        <v>160</v>
      </c>
      <c r="I65" s="39">
        <v>54</v>
      </c>
      <c r="J65" t="s" s="462">
        <v>36</v>
      </c>
      <c r="K65" s="16"/>
      <c r="L65" s="16"/>
      <c r="M65" s="16"/>
      <c r="N65" s="79">
        <v>1</v>
      </c>
      <c r="O65" s="16"/>
      <c r="P65" s="16"/>
      <c r="Q65" s="16"/>
      <c r="R65" s="79">
        <v>1</v>
      </c>
      <c r="S65" s="16"/>
      <c r="T65" s="16"/>
      <c r="U65" s="79">
        <v>8</v>
      </c>
      <c r="V65" s="16"/>
      <c r="W65" s="16"/>
      <c r="X65" s="16"/>
      <c r="Y65" s="16"/>
      <c r="Z65" s="16"/>
      <c r="AA65" s="16"/>
      <c r="AB65" t="s" s="93">
        <v>34</v>
      </c>
      <c r="AC65" s="273"/>
      <c r="AD65" s="16"/>
      <c r="AE65" t="s" s="96">
        <v>34</v>
      </c>
      <c r="AF65" s="16"/>
      <c r="AG65" s="16"/>
      <c r="AH65" t="s" s="96">
        <v>13</v>
      </c>
      <c r="AI65" s="16"/>
      <c r="AJ65" s="16"/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</row>
    <row r="66" ht="17" customHeight="1">
      <c r="A66" t="s" s="37">
        <v>3035</v>
      </c>
      <c r="B66" s="63"/>
      <c r="C66" s="470"/>
      <c r="D66" t="s" s="37">
        <v>3017</v>
      </c>
      <c r="E66" t="s" s="462">
        <v>3036</v>
      </c>
      <c r="F66" s="79">
        <v>10</v>
      </c>
      <c r="G66" t="s" s="96">
        <v>161</v>
      </c>
      <c r="H66" t="s" s="271">
        <v>102</v>
      </c>
      <c r="I66" s="39">
        <v>55</v>
      </c>
      <c r="J66" t="s" s="462">
        <v>11</v>
      </c>
      <c r="K66" s="79">
        <v>1</v>
      </c>
      <c r="L66" s="16"/>
      <c r="M66" s="16"/>
      <c r="N66" s="16"/>
      <c r="O66" s="16"/>
      <c r="P66" s="16"/>
      <c r="Q66" s="16"/>
      <c r="R66" s="16"/>
      <c r="S66" s="16"/>
      <c r="T66" s="79">
        <v>1</v>
      </c>
      <c r="U66" s="79">
        <v>31</v>
      </c>
      <c r="V66" s="16"/>
      <c r="W66" s="16"/>
      <c r="X66" s="16"/>
      <c r="Y66" s="16"/>
      <c r="Z66" s="16"/>
      <c r="AA66" s="16"/>
      <c r="AB66" t="s" s="93">
        <v>163</v>
      </c>
      <c r="AC66" s="273"/>
      <c r="AD66" s="79">
        <v>1</v>
      </c>
      <c r="AE66" t="s" s="96">
        <v>15</v>
      </c>
      <c r="AF66" s="16"/>
      <c r="AG66" s="16"/>
      <c r="AH66" t="s" s="96">
        <v>162</v>
      </c>
      <c r="AI66" s="16"/>
      <c r="AJ66" s="16"/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</row>
    <row r="67" ht="17" customHeight="1">
      <c r="A67" t="s" s="37">
        <v>3035</v>
      </c>
      <c r="B67" s="63"/>
      <c r="C67" s="470"/>
      <c r="D67" t="s" s="37">
        <v>3017</v>
      </c>
      <c r="E67" t="s" s="462">
        <v>3036</v>
      </c>
      <c r="F67" s="79">
        <v>10</v>
      </c>
      <c r="G67" t="s" s="96">
        <v>164</v>
      </c>
      <c r="H67" t="s" s="271">
        <v>109</v>
      </c>
      <c r="I67" s="39">
        <v>56</v>
      </c>
      <c r="J67" t="s" s="462">
        <v>11</v>
      </c>
      <c r="K67" s="79">
        <v>1</v>
      </c>
      <c r="L67" s="16"/>
      <c r="M67" s="16"/>
      <c r="N67" s="16"/>
      <c r="O67" s="16"/>
      <c r="P67" s="16"/>
      <c r="Q67" s="16"/>
      <c r="R67" s="16"/>
      <c r="S67" s="16"/>
      <c r="T67" s="79">
        <v>1</v>
      </c>
      <c r="U67" s="79">
        <v>26</v>
      </c>
      <c r="V67" s="16"/>
      <c r="W67" s="16"/>
      <c r="X67" s="16"/>
      <c r="Y67" s="16"/>
      <c r="Z67" s="16"/>
      <c r="AA67" s="16"/>
      <c r="AB67" t="s" s="93">
        <v>45</v>
      </c>
      <c r="AC67" s="273"/>
      <c r="AD67" s="79">
        <v>1</v>
      </c>
      <c r="AE67" t="s" s="96">
        <v>15</v>
      </c>
      <c r="AF67" s="16"/>
      <c r="AG67" s="16"/>
      <c r="AH67" t="s" s="96">
        <v>165</v>
      </c>
      <c r="AI67" s="79">
        <v>1</v>
      </c>
      <c r="AJ67" s="16"/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</row>
    <row r="68" ht="17" customHeight="1">
      <c r="A68" t="s" s="37">
        <v>3035</v>
      </c>
      <c r="B68" s="63"/>
      <c r="C68" s="470"/>
      <c r="D68" t="s" s="37">
        <v>3017</v>
      </c>
      <c r="E68" t="s" s="462">
        <v>3036</v>
      </c>
      <c r="F68" s="79">
        <v>10</v>
      </c>
      <c r="G68" t="s" s="96">
        <v>167</v>
      </c>
      <c r="H68" t="s" s="271">
        <v>166</v>
      </c>
      <c r="I68" s="39">
        <v>57</v>
      </c>
      <c r="J68" t="s" s="462">
        <v>11</v>
      </c>
      <c r="K68" s="79">
        <v>1</v>
      </c>
      <c r="L68" s="16"/>
      <c r="M68" s="16"/>
      <c r="N68" s="16"/>
      <c r="O68" s="16"/>
      <c r="P68" s="16"/>
      <c r="Q68" s="16"/>
      <c r="R68" s="16"/>
      <c r="S68" s="16"/>
      <c r="T68" s="79">
        <v>1</v>
      </c>
      <c r="U68" s="79">
        <v>18</v>
      </c>
      <c r="V68" s="16"/>
      <c r="W68" s="16"/>
      <c r="X68" s="16"/>
      <c r="Y68" s="16"/>
      <c r="Z68" s="16"/>
      <c r="AA68" s="16"/>
      <c r="AB68" t="s" s="93">
        <v>55</v>
      </c>
      <c r="AC68" s="273"/>
      <c r="AD68" s="79">
        <v>1</v>
      </c>
      <c r="AE68" t="s" s="96">
        <v>15</v>
      </c>
      <c r="AF68" s="16"/>
      <c r="AG68" s="16"/>
      <c r="AH68" t="s" s="96">
        <v>168</v>
      </c>
      <c r="AI68" s="16"/>
      <c r="AJ68" s="16"/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</row>
    <row r="69" ht="15.35" customHeight="1">
      <c r="A69" s="32"/>
      <c r="B69" s="63"/>
      <c r="C69" s="470"/>
      <c r="D69" t="s" s="37">
        <v>3017</v>
      </c>
      <c r="E69" s="63"/>
      <c r="F69" s="16"/>
      <c r="G69" s="16"/>
      <c r="H69" s="470"/>
      <c r="I69" s="32"/>
      <c r="J69" s="63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273"/>
      <c r="AC69" s="273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</row>
    <row r="70" ht="17" customHeight="1">
      <c r="A70" t="s" s="37">
        <v>3037</v>
      </c>
      <c r="B70" s="63"/>
      <c r="C70" s="470"/>
      <c r="D70" t="s" s="37">
        <v>3017</v>
      </c>
      <c r="E70" t="s" s="462">
        <v>3038</v>
      </c>
      <c r="F70" s="79">
        <v>12</v>
      </c>
      <c r="G70" t="s" s="96">
        <v>170</v>
      </c>
      <c r="H70" t="s" s="271">
        <v>169</v>
      </c>
      <c r="I70" s="39">
        <v>58</v>
      </c>
      <c r="J70" t="s" s="462">
        <v>31</v>
      </c>
      <c r="K70" s="16"/>
      <c r="L70" s="79">
        <v>1</v>
      </c>
      <c r="M70" s="16"/>
      <c r="N70" s="16"/>
      <c r="O70" s="79">
        <v>1</v>
      </c>
      <c r="P70" s="16"/>
      <c r="Q70" s="16"/>
      <c r="R70" s="16"/>
      <c r="S70" s="16"/>
      <c r="T70" s="16"/>
      <c r="U70" s="79">
        <v>41</v>
      </c>
      <c r="V70" s="16"/>
      <c r="W70" s="16"/>
      <c r="X70" s="16"/>
      <c r="Y70" s="16"/>
      <c r="Z70" s="16"/>
      <c r="AA70" s="16"/>
      <c r="AB70" t="s" s="93">
        <v>171</v>
      </c>
      <c r="AC70" s="273"/>
      <c r="AD70" s="79">
        <v>1</v>
      </c>
      <c r="AE70" t="s" s="96">
        <v>8</v>
      </c>
      <c r="AF70" s="79">
        <v>1</v>
      </c>
      <c r="AG70" s="16"/>
      <c r="AH70" t="s" s="96">
        <v>13</v>
      </c>
      <c r="AI70" s="16"/>
      <c r="AJ70" s="16"/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</row>
    <row r="71" ht="17" customHeight="1">
      <c r="A71" t="s" s="37">
        <v>3037</v>
      </c>
      <c r="B71" s="63"/>
      <c r="C71" s="470"/>
      <c r="D71" t="s" s="37">
        <v>3017</v>
      </c>
      <c r="E71" t="s" s="462">
        <v>3038</v>
      </c>
      <c r="F71" s="79">
        <v>12</v>
      </c>
      <c r="G71" t="s" s="96">
        <v>173</v>
      </c>
      <c r="H71" t="s" s="271">
        <v>172</v>
      </c>
      <c r="I71" s="39">
        <v>59</v>
      </c>
      <c r="J71" t="s" s="462">
        <v>163</v>
      </c>
      <c r="K71" s="79">
        <v>1</v>
      </c>
      <c r="L71" s="16"/>
      <c r="M71" s="16"/>
      <c r="N71" s="16"/>
      <c r="O71" s="16"/>
      <c r="P71" s="16"/>
      <c r="Q71" s="16"/>
      <c r="R71" s="16"/>
      <c r="S71" s="16"/>
      <c r="T71" s="79">
        <v>1</v>
      </c>
      <c r="U71" s="79">
        <v>67</v>
      </c>
      <c r="V71" s="16"/>
      <c r="W71" s="16"/>
      <c r="X71" s="16"/>
      <c r="Y71" s="16"/>
      <c r="Z71" s="16"/>
      <c r="AA71" s="16"/>
      <c r="AB71" t="s" s="93">
        <v>175</v>
      </c>
      <c r="AC71" s="273"/>
      <c r="AD71" s="79">
        <v>1</v>
      </c>
      <c r="AE71" t="s" s="96">
        <v>15</v>
      </c>
      <c r="AF71" s="16"/>
      <c r="AG71" s="16"/>
      <c r="AH71" t="s" s="96">
        <v>174</v>
      </c>
      <c r="AI71" s="79">
        <v>1</v>
      </c>
      <c r="AJ71" s="16"/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  <c r="AZ71" s="16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  <c r="BU71" s="16"/>
      <c r="BV71" s="16"/>
      <c r="BW71" s="16"/>
    </row>
    <row r="72" ht="17" customHeight="1">
      <c r="A72" t="s" s="37">
        <v>3037</v>
      </c>
      <c r="B72" s="63"/>
      <c r="C72" s="470"/>
      <c r="D72" t="s" s="37">
        <v>3017</v>
      </c>
      <c r="E72" t="s" s="462">
        <v>3038</v>
      </c>
      <c r="F72" s="79">
        <v>12</v>
      </c>
      <c r="G72" t="s" s="96">
        <v>177</v>
      </c>
      <c r="H72" t="s" s="271">
        <v>176</v>
      </c>
      <c r="I72" s="39">
        <v>60</v>
      </c>
      <c r="J72" t="s" s="462">
        <v>11</v>
      </c>
      <c r="K72" s="79">
        <v>1</v>
      </c>
      <c r="L72" s="16"/>
      <c r="M72" s="16"/>
      <c r="N72" s="16"/>
      <c r="O72" s="16"/>
      <c r="P72" s="16"/>
      <c r="Q72" s="16"/>
      <c r="R72" s="16"/>
      <c r="S72" s="16"/>
      <c r="T72" s="79">
        <v>1</v>
      </c>
      <c r="U72" s="79">
        <v>23</v>
      </c>
      <c r="V72" s="16"/>
      <c r="W72" s="16"/>
      <c r="X72" s="16"/>
      <c r="Y72" s="16"/>
      <c r="Z72" s="16"/>
      <c r="AA72" s="16"/>
      <c r="AB72" t="s" s="93">
        <v>55</v>
      </c>
      <c r="AC72" s="273"/>
      <c r="AD72" s="79">
        <v>1</v>
      </c>
      <c r="AE72" t="s" s="96">
        <v>15</v>
      </c>
      <c r="AF72" s="16"/>
      <c r="AG72" s="16"/>
      <c r="AH72" t="s" s="96">
        <v>178</v>
      </c>
      <c r="AI72" s="79">
        <v>1</v>
      </c>
      <c r="AJ72" s="16"/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</row>
    <row r="73" ht="15.35" customHeight="1">
      <c r="A73" s="32"/>
      <c r="B73" s="63"/>
      <c r="C73" s="470"/>
      <c r="D73" t="s" s="37">
        <v>3017</v>
      </c>
      <c r="E73" s="63"/>
      <c r="F73" s="16"/>
      <c r="G73" s="16"/>
      <c r="H73" s="470"/>
      <c r="I73" s="32"/>
      <c r="J73" s="63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273"/>
      <c r="AC73" s="273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  <c r="AZ73" s="16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  <c r="BU73" s="16"/>
      <c r="BV73" s="16"/>
      <c r="BW73" s="16"/>
    </row>
    <row r="74" ht="17" customHeight="1">
      <c r="A74" t="s" s="37">
        <v>3039</v>
      </c>
      <c r="B74" s="63"/>
      <c r="C74" s="470"/>
      <c r="D74" t="s" s="37">
        <v>3017</v>
      </c>
      <c r="E74" t="s" s="462">
        <v>3040</v>
      </c>
      <c r="F74" s="79">
        <v>17</v>
      </c>
      <c r="G74" t="s" s="96">
        <v>179</v>
      </c>
      <c r="H74" t="s" s="271">
        <v>153</v>
      </c>
      <c r="I74" s="39">
        <v>61</v>
      </c>
      <c r="J74" t="s" s="462">
        <v>31</v>
      </c>
      <c r="K74" s="16"/>
      <c r="L74" s="79">
        <v>1</v>
      </c>
      <c r="M74" s="16"/>
      <c r="N74" s="16"/>
      <c r="O74" s="79">
        <v>1</v>
      </c>
      <c r="P74" s="16"/>
      <c r="Q74" s="16"/>
      <c r="R74" s="16"/>
      <c r="S74" s="16"/>
      <c r="T74" s="16"/>
      <c r="U74" s="79">
        <v>61</v>
      </c>
      <c r="V74" s="16"/>
      <c r="W74" s="16"/>
      <c r="X74" s="16"/>
      <c r="Y74" s="16"/>
      <c r="Z74" s="16"/>
      <c r="AA74" s="16"/>
      <c r="AB74" t="s" s="93">
        <v>180</v>
      </c>
      <c r="AC74" s="273"/>
      <c r="AD74" s="16"/>
      <c r="AE74" t="s" s="96">
        <v>34</v>
      </c>
      <c r="AF74" s="16"/>
      <c r="AG74" s="16"/>
      <c r="AH74" t="s" s="96">
        <v>54</v>
      </c>
      <c r="AI74" s="79">
        <v>1</v>
      </c>
      <c r="AJ74" s="16"/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  <c r="AZ74" s="16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  <c r="BU74" s="16"/>
      <c r="BV74" s="16"/>
      <c r="BW74" s="16"/>
    </row>
    <row r="75" ht="17" customHeight="1">
      <c r="A75" t="s" s="37">
        <v>3039</v>
      </c>
      <c r="B75" s="63"/>
      <c r="C75" s="470"/>
      <c r="D75" t="s" s="37">
        <v>3017</v>
      </c>
      <c r="E75" t="s" s="462">
        <v>3040</v>
      </c>
      <c r="F75" s="79">
        <v>17</v>
      </c>
      <c r="G75" t="s" s="96">
        <v>182</v>
      </c>
      <c r="H75" t="s" s="271">
        <v>181</v>
      </c>
      <c r="I75" s="39">
        <v>62</v>
      </c>
      <c r="J75" t="s" s="462">
        <v>163</v>
      </c>
      <c r="K75" s="79">
        <v>1</v>
      </c>
      <c r="L75" s="16"/>
      <c r="M75" s="16"/>
      <c r="N75" s="16"/>
      <c r="O75" s="16"/>
      <c r="P75" s="16"/>
      <c r="Q75" s="16"/>
      <c r="R75" s="16"/>
      <c r="S75" s="16"/>
      <c r="T75" s="79">
        <v>1</v>
      </c>
      <c r="U75" s="79">
        <v>45</v>
      </c>
      <c r="V75" s="16"/>
      <c r="W75" s="16"/>
      <c r="X75" s="16"/>
      <c r="Y75" s="16"/>
      <c r="Z75" s="16"/>
      <c r="AA75" s="16"/>
      <c r="AB75" t="s" s="93">
        <v>163</v>
      </c>
      <c r="AC75" s="273"/>
      <c r="AD75" s="79">
        <v>1</v>
      </c>
      <c r="AE75" t="s" s="96">
        <v>15</v>
      </c>
      <c r="AF75" s="16"/>
      <c r="AG75" s="16"/>
      <c r="AH75" t="s" s="96">
        <v>183</v>
      </c>
      <c r="AI75" s="79">
        <v>1</v>
      </c>
      <c r="AJ75" s="16"/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  <c r="AZ75" s="16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  <c r="BU75" s="16"/>
      <c r="BV75" s="16"/>
      <c r="BW75" s="16"/>
    </row>
    <row r="76" ht="17" customHeight="1">
      <c r="A76" t="s" s="37">
        <v>3039</v>
      </c>
      <c r="B76" s="63"/>
      <c r="C76" s="470"/>
      <c r="D76" t="s" s="37">
        <v>3017</v>
      </c>
      <c r="E76" t="s" s="462">
        <v>3040</v>
      </c>
      <c r="F76" s="79">
        <v>17</v>
      </c>
      <c r="G76" t="s" s="96">
        <v>185</v>
      </c>
      <c r="H76" t="s" s="271">
        <v>184</v>
      </c>
      <c r="I76" s="39">
        <v>63</v>
      </c>
      <c r="J76" t="s" s="462">
        <v>186</v>
      </c>
      <c r="K76" s="79">
        <v>1</v>
      </c>
      <c r="L76" s="16"/>
      <c r="M76" s="16"/>
      <c r="N76" s="16"/>
      <c r="O76" s="16"/>
      <c r="P76" s="16"/>
      <c r="Q76" s="16"/>
      <c r="R76" s="16"/>
      <c r="S76" s="16"/>
      <c r="T76" s="79">
        <v>1</v>
      </c>
      <c r="U76" s="79">
        <v>22</v>
      </c>
      <c r="V76" s="16"/>
      <c r="W76" s="16"/>
      <c r="X76" s="16"/>
      <c r="Y76" s="16"/>
      <c r="Z76" s="16"/>
      <c r="AA76" s="16"/>
      <c r="AB76" t="s" s="93">
        <v>188</v>
      </c>
      <c r="AC76" s="273"/>
      <c r="AD76" s="79">
        <v>1</v>
      </c>
      <c r="AE76" t="s" s="96">
        <v>15</v>
      </c>
      <c r="AF76" s="16"/>
      <c r="AG76" s="16"/>
      <c r="AH76" t="s" s="96">
        <v>187</v>
      </c>
      <c r="AI76" s="79">
        <v>1</v>
      </c>
      <c r="AJ76" s="16"/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  <c r="AZ76" s="16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  <c r="BU76" s="16"/>
      <c r="BV76" s="16"/>
      <c r="BW76" s="16"/>
    </row>
    <row r="77" ht="15.35" customHeight="1">
      <c r="A77" s="32"/>
      <c r="B77" s="63"/>
      <c r="C77" s="470"/>
      <c r="D77" t="s" s="37">
        <v>3017</v>
      </c>
      <c r="E77" s="63"/>
      <c r="F77" s="16"/>
      <c r="G77" s="16"/>
      <c r="H77" s="470"/>
      <c r="I77" s="32"/>
      <c r="J77" s="63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273"/>
      <c r="AC77" s="273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  <c r="AZ77" s="16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  <c r="BU77" s="16"/>
      <c r="BV77" s="16"/>
      <c r="BW77" s="16"/>
    </row>
    <row r="78" ht="17" customHeight="1">
      <c r="A78" t="s" s="37">
        <v>3041</v>
      </c>
      <c r="B78" s="63"/>
      <c r="C78" s="470"/>
      <c r="D78" t="s" s="37">
        <v>3017</v>
      </c>
      <c r="E78" t="s" s="462">
        <v>3042</v>
      </c>
      <c r="F78" s="79">
        <v>3</v>
      </c>
      <c r="G78" t="s" s="96">
        <v>190</v>
      </c>
      <c r="H78" t="s" s="271">
        <v>189</v>
      </c>
      <c r="I78" s="39">
        <v>64</v>
      </c>
      <c r="J78" t="s" s="462">
        <v>31</v>
      </c>
      <c r="K78" s="16"/>
      <c r="L78" s="79">
        <v>1</v>
      </c>
      <c r="M78" s="16"/>
      <c r="N78" s="16"/>
      <c r="O78" s="79">
        <v>1</v>
      </c>
      <c r="P78" s="16"/>
      <c r="Q78" s="16"/>
      <c r="R78" s="16"/>
      <c r="S78" s="16"/>
      <c r="T78" s="16"/>
      <c r="U78" s="79">
        <v>71</v>
      </c>
      <c r="V78" s="16"/>
      <c r="W78" s="16"/>
      <c r="X78" s="16"/>
      <c r="Y78" s="16"/>
      <c r="Z78" s="16"/>
      <c r="AA78" s="16"/>
      <c r="AB78" t="s" s="93">
        <v>191</v>
      </c>
      <c r="AC78" s="273"/>
      <c r="AD78" s="16"/>
      <c r="AE78" t="s" s="96">
        <v>34</v>
      </c>
      <c r="AF78" s="16"/>
      <c r="AG78" s="16"/>
      <c r="AH78" t="s" s="96">
        <v>13</v>
      </c>
      <c r="AI78" s="16"/>
      <c r="AJ78" s="16"/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  <c r="AZ78" s="16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  <c r="BU78" s="16"/>
      <c r="BV78" s="16"/>
      <c r="BW78" s="16"/>
    </row>
    <row r="79" ht="17" customHeight="1">
      <c r="A79" t="s" s="37">
        <v>3041</v>
      </c>
      <c r="B79" s="63"/>
      <c r="C79" s="470"/>
      <c r="D79" t="s" s="37">
        <v>3017</v>
      </c>
      <c r="E79" t="s" s="462">
        <v>3042</v>
      </c>
      <c r="F79" s="79">
        <v>3</v>
      </c>
      <c r="G79" t="s" s="96">
        <v>190</v>
      </c>
      <c r="H79" t="s" s="271">
        <v>192</v>
      </c>
      <c r="I79" s="39">
        <v>65</v>
      </c>
      <c r="J79" t="s" s="462">
        <v>72</v>
      </c>
      <c r="K79" s="79">
        <v>1</v>
      </c>
      <c r="L79" s="16"/>
      <c r="M79" s="16"/>
      <c r="N79" s="16"/>
      <c r="O79" s="16"/>
      <c r="P79" s="79">
        <v>1</v>
      </c>
      <c r="Q79" s="16"/>
      <c r="R79" s="16"/>
      <c r="S79" s="16"/>
      <c r="T79" s="16"/>
      <c r="U79" s="79">
        <v>58</v>
      </c>
      <c r="V79" s="16"/>
      <c r="W79" s="16"/>
      <c r="X79" s="16"/>
      <c r="Y79" s="16"/>
      <c r="Z79" s="16"/>
      <c r="AA79" s="16"/>
      <c r="AB79" t="s" s="93">
        <v>34</v>
      </c>
      <c r="AC79" s="273"/>
      <c r="AD79" s="16"/>
      <c r="AE79" t="s" s="96">
        <v>34</v>
      </c>
      <c r="AF79" s="16"/>
      <c r="AG79" s="16"/>
      <c r="AH79" t="s" s="96">
        <v>13</v>
      </c>
      <c r="AI79" s="16"/>
      <c r="AJ79" s="16"/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  <c r="AZ79" s="16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  <c r="BU79" s="16"/>
      <c r="BV79" s="16"/>
      <c r="BW79" s="16"/>
    </row>
    <row r="80" ht="17" customHeight="1">
      <c r="A80" t="s" s="37">
        <v>3041</v>
      </c>
      <c r="B80" s="63"/>
      <c r="C80" s="470"/>
      <c r="D80" t="s" s="37">
        <v>3017</v>
      </c>
      <c r="E80" t="s" s="462">
        <v>3042</v>
      </c>
      <c r="F80" s="79">
        <v>3</v>
      </c>
      <c r="G80" t="s" s="96">
        <v>190</v>
      </c>
      <c r="H80" t="s" s="271">
        <v>193</v>
      </c>
      <c r="I80" s="39">
        <v>66</v>
      </c>
      <c r="J80" t="s" s="462">
        <v>36</v>
      </c>
      <c r="K80" s="16"/>
      <c r="L80" s="79">
        <v>1</v>
      </c>
      <c r="M80" s="16"/>
      <c r="N80" s="16"/>
      <c r="O80" s="16"/>
      <c r="P80" s="16"/>
      <c r="Q80" s="16"/>
      <c r="R80" s="79">
        <v>1</v>
      </c>
      <c r="S80" s="16"/>
      <c r="T80" s="16"/>
      <c r="U80" s="79">
        <v>25</v>
      </c>
      <c r="V80" s="16"/>
      <c r="W80" s="16"/>
      <c r="X80" s="16"/>
      <c r="Y80" s="16"/>
      <c r="Z80" s="16"/>
      <c r="AA80" s="16"/>
      <c r="AB80" t="s" s="93">
        <v>194</v>
      </c>
      <c r="AC80" t="s" s="101">
        <v>195</v>
      </c>
      <c r="AD80" s="79">
        <v>1</v>
      </c>
      <c r="AE80" s="16"/>
      <c r="AF80" s="16"/>
      <c r="AG80" s="16"/>
      <c r="AH80" t="s" s="96">
        <v>13</v>
      </c>
      <c r="AI80" s="16"/>
      <c r="AJ80" s="16"/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  <c r="AZ80" s="16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16"/>
      <c r="BQ80" s="16"/>
      <c r="BR80" s="16"/>
      <c r="BS80" s="16"/>
      <c r="BT80" s="16"/>
      <c r="BU80" s="16"/>
      <c r="BV80" s="16"/>
      <c r="BW80" s="16"/>
    </row>
    <row r="81" ht="17" customHeight="1">
      <c r="A81" t="s" s="37">
        <v>3041</v>
      </c>
      <c r="B81" s="63"/>
      <c r="C81" s="470"/>
      <c r="D81" t="s" s="37">
        <v>3017</v>
      </c>
      <c r="E81" t="s" s="462">
        <v>3042</v>
      </c>
      <c r="F81" s="79">
        <v>3</v>
      </c>
      <c r="G81" t="s" s="96">
        <v>190</v>
      </c>
      <c r="H81" t="s" s="271">
        <v>196</v>
      </c>
      <c r="I81" s="39">
        <v>67</v>
      </c>
      <c r="J81" t="s" s="462">
        <v>36</v>
      </c>
      <c r="K81" s="16"/>
      <c r="L81" s="79">
        <v>1</v>
      </c>
      <c r="M81" s="16"/>
      <c r="N81" s="16"/>
      <c r="O81" s="16"/>
      <c r="P81" s="16"/>
      <c r="Q81" s="16"/>
      <c r="R81" s="79">
        <v>1</v>
      </c>
      <c r="S81" s="16"/>
      <c r="T81" s="16"/>
      <c r="U81" s="79">
        <v>23</v>
      </c>
      <c r="V81" s="16"/>
      <c r="W81" s="16"/>
      <c r="X81" s="16"/>
      <c r="Y81" s="16"/>
      <c r="Z81" s="16"/>
      <c r="AA81" s="16"/>
      <c r="AB81" t="s" s="93">
        <v>197</v>
      </c>
      <c r="AC81" t="s" s="101">
        <v>195</v>
      </c>
      <c r="AD81" s="79">
        <v>1</v>
      </c>
      <c r="AE81" s="16"/>
      <c r="AF81" s="16"/>
      <c r="AG81" s="16"/>
      <c r="AH81" t="s" s="96">
        <v>13</v>
      </c>
      <c r="AI81" s="16"/>
      <c r="AJ81" s="16"/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  <c r="AZ81" s="16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16"/>
      <c r="BQ81" s="16"/>
      <c r="BR81" s="16"/>
      <c r="BS81" s="16"/>
      <c r="BT81" s="16"/>
      <c r="BU81" s="16"/>
      <c r="BV81" s="16"/>
      <c r="BW81" s="16"/>
    </row>
    <row r="82" ht="17" customHeight="1">
      <c r="A82" t="s" s="37">
        <v>3041</v>
      </c>
      <c r="B82" s="63"/>
      <c r="C82" s="470"/>
      <c r="D82" t="s" s="37">
        <v>3017</v>
      </c>
      <c r="E82" t="s" s="462">
        <v>3042</v>
      </c>
      <c r="F82" s="79">
        <v>3</v>
      </c>
      <c r="G82" t="s" s="96">
        <v>190</v>
      </c>
      <c r="H82" t="s" s="271">
        <v>198</v>
      </c>
      <c r="I82" s="39">
        <v>68</v>
      </c>
      <c r="J82" t="s" s="462">
        <v>78</v>
      </c>
      <c r="K82" s="79">
        <v>1</v>
      </c>
      <c r="L82" s="16"/>
      <c r="M82" s="16"/>
      <c r="N82" s="16"/>
      <c r="O82" s="16"/>
      <c r="P82" s="16"/>
      <c r="Q82" s="79">
        <v>1</v>
      </c>
      <c r="R82" s="16"/>
      <c r="S82" s="16"/>
      <c r="T82" s="16"/>
      <c r="U82" s="79">
        <v>21</v>
      </c>
      <c r="V82" s="16"/>
      <c r="W82" s="16"/>
      <c r="X82" s="16"/>
      <c r="Y82" s="16"/>
      <c r="Z82" s="16"/>
      <c r="AA82" s="16"/>
      <c r="AB82" t="s" s="93">
        <v>34</v>
      </c>
      <c r="AC82" s="273"/>
      <c r="AD82" s="16"/>
      <c r="AE82" t="s" s="96">
        <v>34</v>
      </c>
      <c r="AF82" s="16"/>
      <c r="AG82" s="16"/>
      <c r="AH82" t="s" s="96">
        <v>13</v>
      </c>
      <c r="AI82" s="16"/>
      <c r="AJ82" s="16"/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  <c r="AZ82" s="16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16"/>
      <c r="BQ82" s="16"/>
      <c r="BR82" s="16"/>
      <c r="BS82" s="16"/>
      <c r="BT82" s="16"/>
      <c r="BU82" s="16"/>
      <c r="BV82" s="16"/>
      <c r="BW82" s="16"/>
    </row>
    <row r="83" ht="17" customHeight="1">
      <c r="A83" t="s" s="37">
        <v>3041</v>
      </c>
      <c r="B83" s="63"/>
      <c r="C83" s="470"/>
      <c r="D83" t="s" s="37">
        <v>3017</v>
      </c>
      <c r="E83" t="s" s="462">
        <v>3042</v>
      </c>
      <c r="F83" s="79">
        <v>3</v>
      </c>
      <c r="G83" t="s" s="96">
        <v>200</v>
      </c>
      <c r="H83" t="s" s="271">
        <v>199</v>
      </c>
      <c r="I83" s="39">
        <v>69</v>
      </c>
      <c r="J83" t="s" s="462">
        <v>11</v>
      </c>
      <c r="K83" s="79">
        <v>1</v>
      </c>
      <c r="L83" s="16"/>
      <c r="M83" s="16"/>
      <c r="N83" s="16"/>
      <c r="O83" s="16"/>
      <c r="P83" s="16"/>
      <c r="Q83" s="16"/>
      <c r="R83" s="16"/>
      <c r="S83" s="16"/>
      <c r="T83" s="79">
        <v>1</v>
      </c>
      <c r="U83" s="79">
        <v>34</v>
      </c>
      <c r="V83" s="16"/>
      <c r="W83" s="16"/>
      <c r="X83" s="16"/>
      <c r="Y83" s="16"/>
      <c r="Z83" s="16"/>
      <c r="AA83" s="16"/>
      <c r="AB83" t="s" s="93">
        <v>45</v>
      </c>
      <c r="AC83" s="273"/>
      <c r="AD83" s="79">
        <v>1</v>
      </c>
      <c r="AE83" t="s" s="96">
        <v>15</v>
      </c>
      <c r="AF83" s="16"/>
      <c r="AG83" s="16"/>
      <c r="AH83" t="s" s="96">
        <v>183</v>
      </c>
      <c r="AI83" s="79">
        <v>1</v>
      </c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  <c r="BU83" s="16"/>
      <c r="BV83" s="16"/>
      <c r="BW83" s="16"/>
    </row>
    <row r="84" ht="17" customHeight="1">
      <c r="A84" t="s" s="37">
        <v>3041</v>
      </c>
      <c r="B84" s="63"/>
      <c r="C84" s="470"/>
      <c r="D84" t="s" s="37">
        <v>3017</v>
      </c>
      <c r="E84" t="s" s="462">
        <v>3042</v>
      </c>
      <c r="F84" s="79">
        <v>3</v>
      </c>
      <c r="G84" t="s" s="96">
        <v>201</v>
      </c>
      <c r="H84" t="s" s="271">
        <v>115</v>
      </c>
      <c r="I84" s="39">
        <v>70</v>
      </c>
      <c r="J84" t="s" s="462">
        <v>11</v>
      </c>
      <c r="K84" s="79">
        <v>1</v>
      </c>
      <c r="L84" s="16"/>
      <c r="M84" s="16"/>
      <c r="N84" s="16"/>
      <c r="O84" s="16"/>
      <c r="P84" s="16"/>
      <c r="Q84" s="16"/>
      <c r="R84" s="16"/>
      <c r="S84" s="16"/>
      <c r="T84" s="79">
        <v>1</v>
      </c>
      <c r="U84" s="79">
        <v>20</v>
      </c>
      <c r="V84" s="16"/>
      <c r="W84" s="16"/>
      <c r="X84" s="16"/>
      <c r="Y84" s="16"/>
      <c r="Z84" s="16"/>
      <c r="AA84" s="16"/>
      <c r="AB84" t="s" s="93">
        <v>89</v>
      </c>
      <c r="AC84" s="273"/>
      <c r="AD84" s="79">
        <v>1</v>
      </c>
      <c r="AE84" t="s" s="96">
        <v>15</v>
      </c>
      <c r="AF84" s="16"/>
      <c r="AG84" s="16"/>
      <c r="AH84" t="s" s="96">
        <v>202</v>
      </c>
      <c r="AI84" s="79">
        <v>1</v>
      </c>
      <c r="AJ84" s="16"/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  <c r="AZ84" s="16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16"/>
      <c r="BQ84" s="16"/>
      <c r="BR84" s="16"/>
      <c r="BS84" s="16"/>
      <c r="BT84" s="16"/>
      <c r="BU84" s="16"/>
      <c r="BV84" s="16"/>
      <c r="BW84" s="16"/>
    </row>
    <row r="85" ht="15.35" customHeight="1">
      <c r="A85" s="32"/>
      <c r="B85" s="63"/>
      <c r="C85" s="470"/>
      <c r="D85" t="s" s="37">
        <v>3017</v>
      </c>
      <c r="E85" s="63"/>
      <c r="F85" s="16"/>
      <c r="G85" s="16"/>
      <c r="H85" s="470"/>
      <c r="I85" s="32"/>
      <c r="J85" s="63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273"/>
      <c r="AC85" s="273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  <c r="AZ85" s="16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16"/>
      <c r="BQ85" s="16"/>
      <c r="BR85" s="16"/>
      <c r="BS85" s="16"/>
      <c r="BT85" s="16"/>
      <c r="BU85" s="16"/>
      <c r="BV85" s="16"/>
      <c r="BW85" s="16"/>
    </row>
    <row r="86" ht="17" customHeight="1">
      <c r="A86" t="s" s="37">
        <v>3043</v>
      </c>
      <c r="B86" s="63"/>
      <c r="C86" s="470"/>
      <c r="D86" t="s" s="37">
        <v>3017</v>
      </c>
      <c r="E86" s="63"/>
      <c r="F86" s="79">
        <v>5</v>
      </c>
      <c r="G86" t="s" s="96">
        <v>3044</v>
      </c>
      <c r="H86" t="s" s="271">
        <v>203</v>
      </c>
      <c r="I86" s="39">
        <v>71</v>
      </c>
      <c r="J86" t="s" s="462">
        <v>31</v>
      </c>
      <c r="K86" s="79">
        <v>1</v>
      </c>
      <c r="L86" s="16"/>
      <c r="M86" s="16"/>
      <c r="N86" s="16"/>
      <c r="O86" s="79">
        <v>1</v>
      </c>
      <c r="P86" s="16"/>
      <c r="Q86" s="16"/>
      <c r="R86" s="16"/>
      <c r="S86" s="16"/>
      <c r="T86" s="16"/>
      <c r="U86" s="79">
        <v>62</v>
      </c>
      <c r="V86" s="16"/>
      <c r="W86" s="16"/>
      <c r="X86" s="16"/>
      <c r="Y86" s="16"/>
      <c r="Z86" s="16"/>
      <c r="AA86" s="16"/>
      <c r="AB86" t="s" s="93">
        <v>94</v>
      </c>
      <c r="AC86" s="273"/>
      <c r="AD86" s="16"/>
      <c r="AE86" t="s" s="96">
        <v>34</v>
      </c>
      <c r="AF86" s="16"/>
      <c r="AG86" s="16"/>
      <c r="AH86" t="s" s="96">
        <v>54</v>
      </c>
      <c r="AI86" s="16"/>
      <c r="AJ86" s="16"/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  <c r="AZ86" s="16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16"/>
      <c r="BQ86" s="16"/>
      <c r="BR86" s="16"/>
      <c r="BS86" s="16"/>
      <c r="BT86" s="16"/>
      <c r="BU86" s="16"/>
      <c r="BV86" s="16"/>
      <c r="BW86" s="16"/>
    </row>
    <row r="87" ht="17" customHeight="1">
      <c r="A87" t="s" s="37">
        <v>3043</v>
      </c>
      <c r="B87" s="63"/>
      <c r="C87" s="470"/>
      <c r="D87" t="s" s="37">
        <v>3017</v>
      </c>
      <c r="E87" s="63"/>
      <c r="F87" s="79">
        <v>5</v>
      </c>
      <c r="G87" t="s" s="96">
        <v>206</v>
      </c>
      <c r="H87" t="s" s="271">
        <v>205</v>
      </c>
      <c r="I87" s="39">
        <v>72</v>
      </c>
      <c r="J87" t="s" s="462">
        <v>207</v>
      </c>
      <c r="K87" s="79">
        <v>1</v>
      </c>
      <c r="L87" s="16"/>
      <c r="M87" s="16"/>
      <c r="N87" s="16"/>
      <c r="O87" s="16"/>
      <c r="P87" s="16"/>
      <c r="Q87" s="16"/>
      <c r="R87" s="16"/>
      <c r="S87" s="16"/>
      <c r="T87" s="79">
        <v>1</v>
      </c>
      <c r="U87" s="79">
        <v>67</v>
      </c>
      <c r="V87" s="16"/>
      <c r="W87" s="16"/>
      <c r="X87" s="16"/>
      <c r="Y87" s="16"/>
      <c r="Z87" s="16"/>
      <c r="AA87" s="16"/>
      <c r="AB87" t="s" s="93">
        <v>45</v>
      </c>
      <c r="AC87" s="273"/>
      <c r="AD87" s="79">
        <v>1</v>
      </c>
      <c r="AE87" t="s" s="96">
        <v>15</v>
      </c>
      <c r="AF87" s="16"/>
      <c r="AG87" s="16"/>
      <c r="AH87" t="s" s="96">
        <v>208</v>
      </c>
      <c r="AI87" s="79">
        <v>1</v>
      </c>
      <c r="AJ87" s="16"/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  <c r="AZ87" s="16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16"/>
      <c r="BQ87" s="16"/>
      <c r="BR87" s="16"/>
      <c r="BS87" s="16"/>
      <c r="BT87" s="16"/>
      <c r="BU87" s="16"/>
      <c r="BV87" s="16"/>
      <c r="BW87" s="16"/>
    </row>
    <row r="88" ht="17" customHeight="1">
      <c r="A88" t="s" s="37">
        <v>3043</v>
      </c>
      <c r="B88" s="63"/>
      <c r="C88" s="470"/>
      <c r="D88" t="s" s="37">
        <v>3017</v>
      </c>
      <c r="E88" s="63"/>
      <c r="F88" s="79">
        <v>5</v>
      </c>
      <c r="G88" t="s" s="96">
        <v>45</v>
      </c>
      <c r="H88" t="s" s="271">
        <v>209</v>
      </c>
      <c r="I88" s="39">
        <v>73</v>
      </c>
      <c r="J88" t="s" s="462">
        <v>207</v>
      </c>
      <c r="K88" s="79">
        <v>1</v>
      </c>
      <c r="L88" s="16"/>
      <c r="M88" s="16"/>
      <c r="N88" s="16"/>
      <c r="O88" s="16"/>
      <c r="P88" s="16"/>
      <c r="Q88" s="16"/>
      <c r="R88" s="16"/>
      <c r="S88" s="16"/>
      <c r="T88" s="79">
        <v>1</v>
      </c>
      <c r="U88" s="79">
        <v>28</v>
      </c>
      <c r="V88" s="16"/>
      <c r="W88" s="16"/>
      <c r="X88" s="16"/>
      <c r="Y88" s="16"/>
      <c r="Z88" s="16"/>
      <c r="AA88" s="16"/>
      <c r="AB88" t="s" s="93">
        <v>126</v>
      </c>
      <c r="AC88" s="273"/>
      <c r="AD88" s="79">
        <v>1</v>
      </c>
      <c r="AE88" t="s" s="96">
        <v>15</v>
      </c>
      <c r="AF88" s="16"/>
      <c r="AG88" s="16"/>
      <c r="AH88" t="s" s="96">
        <v>210</v>
      </c>
      <c r="AI88" s="79">
        <v>1</v>
      </c>
      <c r="AJ88" s="16"/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  <c r="AZ88" s="16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16"/>
      <c r="BQ88" s="16"/>
      <c r="BR88" s="16"/>
      <c r="BS88" s="16"/>
      <c r="BT88" s="16"/>
      <c r="BU88" s="16"/>
      <c r="BV88" s="16"/>
      <c r="BW88" s="16"/>
    </row>
    <row r="89" ht="17" customHeight="1">
      <c r="A89" t="s" s="37">
        <v>3043</v>
      </c>
      <c r="B89" s="63"/>
      <c r="C89" s="470"/>
      <c r="D89" t="s" s="37">
        <v>3017</v>
      </c>
      <c r="E89" s="63"/>
      <c r="F89" s="79">
        <v>5</v>
      </c>
      <c r="G89" t="s" s="96">
        <v>212</v>
      </c>
      <c r="H89" t="s" s="271">
        <v>211</v>
      </c>
      <c r="I89" s="39">
        <v>74</v>
      </c>
      <c r="J89" t="s" s="462">
        <v>207</v>
      </c>
      <c r="K89" s="79">
        <v>1</v>
      </c>
      <c r="L89" s="16"/>
      <c r="M89" s="16"/>
      <c r="N89" s="16"/>
      <c r="O89" s="16"/>
      <c r="P89" s="16"/>
      <c r="Q89" s="16"/>
      <c r="R89" s="16"/>
      <c r="S89" s="16"/>
      <c r="T89" s="79">
        <v>1</v>
      </c>
      <c r="U89" s="79">
        <v>22</v>
      </c>
      <c r="V89" s="16"/>
      <c r="W89" s="16"/>
      <c r="X89" s="16"/>
      <c r="Y89" s="16"/>
      <c r="Z89" s="16"/>
      <c r="AA89" s="16"/>
      <c r="AB89" t="s" s="93">
        <v>55</v>
      </c>
      <c r="AC89" s="273"/>
      <c r="AD89" s="79">
        <v>1</v>
      </c>
      <c r="AE89" t="s" s="96">
        <v>15</v>
      </c>
      <c r="AF89" s="16"/>
      <c r="AG89" s="16"/>
      <c r="AH89" t="s" s="96">
        <v>213</v>
      </c>
      <c r="AI89" s="79">
        <v>1</v>
      </c>
      <c r="AJ89" s="16"/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  <c r="AZ89" s="16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16"/>
      <c r="BQ89" s="16"/>
      <c r="BR89" s="16"/>
      <c r="BS89" s="16"/>
      <c r="BT89" s="16"/>
      <c r="BU89" s="16"/>
      <c r="BV89" s="16"/>
      <c r="BW89" s="16"/>
    </row>
    <row r="90" ht="15.35" customHeight="1">
      <c r="A90" s="32"/>
      <c r="B90" s="63"/>
      <c r="C90" s="470"/>
      <c r="D90" t="s" s="37">
        <v>3017</v>
      </c>
      <c r="E90" s="63"/>
      <c r="F90" s="16"/>
      <c r="G90" s="16"/>
      <c r="H90" s="470"/>
      <c r="I90" s="32"/>
      <c r="J90" s="63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273"/>
      <c r="AC90" s="273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  <c r="AZ90" s="16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16"/>
      <c r="BQ90" s="16"/>
      <c r="BR90" s="16"/>
      <c r="BS90" s="16"/>
      <c r="BT90" s="16"/>
      <c r="BU90" s="16"/>
      <c r="BV90" s="16"/>
      <c r="BW90" s="16"/>
    </row>
    <row r="91" ht="17" customHeight="1">
      <c r="A91" t="s" s="37">
        <v>3045</v>
      </c>
      <c r="B91" s="63"/>
      <c r="C91" s="470"/>
      <c r="D91" t="s" s="37">
        <v>3017</v>
      </c>
      <c r="E91" s="63"/>
      <c r="F91" s="79">
        <v>7</v>
      </c>
      <c r="G91" t="s" s="96">
        <v>3046</v>
      </c>
      <c r="H91" t="s" s="271">
        <v>214</v>
      </c>
      <c r="I91" s="39">
        <v>75</v>
      </c>
      <c r="J91" t="s" s="462">
        <v>31</v>
      </c>
      <c r="K91" s="16"/>
      <c r="L91" s="79">
        <v>1</v>
      </c>
      <c r="M91" s="16"/>
      <c r="N91" s="16"/>
      <c r="O91" s="79">
        <v>1</v>
      </c>
      <c r="P91" s="16"/>
      <c r="Q91" s="16"/>
      <c r="R91" s="16"/>
      <c r="S91" s="16"/>
      <c r="T91" s="16"/>
      <c r="U91" s="79">
        <v>48</v>
      </c>
      <c r="V91" s="16"/>
      <c r="W91" s="16"/>
      <c r="X91" s="16"/>
      <c r="Y91" s="16"/>
      <c r="Z91" s="16"/>
      <c r="AA91" s="16"/>
      <c r="AB91" t="s" s="93">
        <v>216</v>
      </c>
      <c r="AC91" s="273"/>
      <c r="AD91" s="79">
        <v>1</v>
      </c>
      <c r="AE91" t="s" s="96">
        <v>8</v>
      </c>
      <c r="AF91" s="79">
        <v>1</v>
      </c>
      <c r="AG91" s="16"/>
      <c r="AH91" t="s" s="96">
        <v>54</v>
      </c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16"/>
      <c r="BQ91" s="16"/>
      <c r="BR91" s="16"/>
      <c r="BS91" s="16"/>
      <c r="BT91" s="16"/>
      <c r="BU91" s="16"/>
      <c r="BV91" s="16"/>
      <c r="BW91" s="16"/>
    </row>
    <row r="92" ht="17" customHeight="1">
      <c r="A92" t="s" s="37">
        <v>3045</v>
      </c>
      <c r="B92" s="63"/>
      <c r="C92" s="470"/>
      <c r="D92" t="s" s="37">
        <v>3017</v>
      </c>
      <c r="E92" s="63"/>
      <c r="F92" s="79">
        <v>7</v>
      </c>
      <c r="G92" t="s" s="96">
        <v>218</v>
      </c>
      <c r="H92" t="s" s="271">
        <v>217</v>
      </c>
      <c r="I92" s="39">
        <v>76</v>
      </c>
      <c r="J92" t="s" s="462">
        <v>11</v>
      </c>
      <c r="K92" s="79">
        <v>1</v>
      </c>
      <c r="L92" s="16"/>
      <c r="M92" s="16"/>
      <c r="N92" s="16"/>
      <c r="O92" s="16"/>
      <c r="P92" s="16"/>
      <c r="Q92" s="16"/>
      <c r="R92" s="16"/>
      <c r="S92" s="16"/>
      <c r="T92" s="79">
        <v>1</v>
      </c>
      <c r="U92" s="79">
        <v>29</v>
      </c>
      <c r="V92" s="16"/>
      <c r="W92" s="16"/>
      <c r="X92" s="16"/>
      <c r="Y92" s="16"/>
      <c r="Z92" s="16"/>
      <c r="AA92" s="16"/>
      <c r="AB92" t="s" s="93">
        <v>45</v>
      </c>
      <c r="AC92" s="273"/>
      <c r="AD92" s="79">
        <v>1</v>
      </c>
      <c r="AE92" t="s" s="96">
        <v>15</v>
      </c>
      <c r="AF92" s="16"/>
      <c r="AG92" s="16"/>
      <c r="AH92" t="s" s="96">
        <v>219</v>
      </c>
      <c r="AI92" s="16"/>
      <c r="AJ92" s="16"/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  <c r="AZ92" s="16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16"/>
      <c r="BQ92" s="16"/>
      <c r="BR92" s="16"/>
      <c r="BS92" s="16"/>
      <c r="BT92" s="16"/>
      <c r="BU92" s="16"/>
      <c r="BV92" s="16"/>
      <c r="BW92" s="16"/>
    </row>
    <row r="93" ht="17" customHeight="1">
      <c r="A93" t="s" s="37">
        <v>3045</v>
      </c>
      <c r="B93" s="63"/>
      <c r="C93" s="470"/>
      <c r="D93" t="s" s="37">
        <v>3017</v>
      </c>
      <c r="E93" s="63"/>
      <c r="F93" s="79">
        <v>7</v>
      </c>
      <c r="G93" t="s" s="96">
        <v>221</v>
      </c>
      <c r="H93" t="s" s="271">
        <v>220</v>
      </c>
      <c r="I93" s="39">
        <v>77</v>
      </c>
      <c r="J93" t="s" s="462">
        <v>11</v>
      </c>
      <c r="K93" s="79">
        <v>1</v>
      </c>
      <c r="L93" s="16"/>
      <c r="M93" s="16"/>
      <c r="N93" s="16"/>
      <c r="O93" s="16"/>
      <c r="P93" s="16"/>
      <c r="Q93" s="16"/>
      <c r="R93" s="16"/>
      <c r="S93" s="16"/>
      <c r="T93" s="79">
        <v>1</v>
      </c>
      <c r="U93" s="79">
        <v>32</v>
      </c>
      <c r="V93" s="16"/>
      <c r="W93" s="16"/>
      <c r="X93" s="16"/>
      <c r="Y93" s="16"/>
      <c r="Z93" s="16"/>
      <c r="AA93" s="16"/>
      <c r="AB93" t="s" s="93">
        <v>55</v>
      </c>
      <c r="AC93" s="273"/>
      <c r="AD93" s="79">
        <v>1</v>
      </c>
      <c r="AE93" t="s" s="96">
        <v>15</v>
      </c>
      <c r="AF93" s="16"/>
      <c r="AG93" s="16"/>
      <c r="AH93" t="s" s="96">
        <v>222</v>
      </c>
      <c r="AI93" s="79">
        <v>1</v>
      </c>
      <c r="AJ93" s="16"/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  <c r="AZ93" s="16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16"/>
      <c r="BQ93" s="16"/>
      <c r="BR93" s="16"/>
      <c r="BS93" s="16"/>
      <c r="BT93" s="16"/>
      <c r="BU93" s="16"/>
      <c r="BV93" s="16"/>
      <c r="BW93" s="16"/>
    </row>
    <row r="94" ht="15.35" customHeight="1">
      <c r="A94" s="32"/>
      <c r="B94" s="63"/>
      <c r="C94" s="470"/>
      <c r="D94" t="s" s="37">
        <v>3017</v>
      </c>
      <c r="E94" s="63"/>
      <c r="F94" s="16"/>
      <c r="G94" s="16"/>
      <c r="H94" s="470"/>
      <c r="I94" s="32"/>
      <c r="J94" s="63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273"/>
      <c r="AC94" s="273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  <c r="AZ94" s="16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16"/>
      <c r="BQ94" s="16"/>
      <c r="BR94" s="16"/>
      <c r="BS94" s="16"/>
      <c r="BT94" s="16"/>
      <c r="BU94" s="16"/>
      <c r="BV94" s="16"/>
      <c r="BW94" s="16"/>
    </row>
    <row r="95" ht="15.35" customHeight="1">
      <c r="A95" t="s" s="73">
        <v>3047</v>
      </c>
      <c r="B95" s="16"/>
      <c r="C95" s="470"/>
      <c r="D95" t="s" s="37">
        <v>3017</v>
      </c>
      <c r="E95" t="s" s="462">
        <v>3048</v>
      </c>
      <c r="F95" s="16"/>
      <c r="G95" t="s" s="96">
        <v>224</v>
      </c>
      <c r="H95" t="s" s="96">
        <v>223</v>
      </c>
      <c r="I95" s="72">
        <v>78</v>
      </c>
      <c r="J95" s="16"/>
      <c r="K95" t="s" s="96">
        <v>37</v>
      </c>
      <c r="L95" s="79">
        <v>1</v>
      </c>
      <c r="M95" s="16"/>
      <c r="N95" s="16"/>
      <c r="O95" s="79">
        <v>1</v>
      </c>
      <c r="P95" s="16"/>
      <c r="Q95" s="16"/>
      <c r="R95" s="16"/>
      <c r="S95" s="16"/>
      <c r="T95" s="16"/>
      <c r="U95" s="79">
        <v>52</v>
      </c>
      <c r="V95" s="16"/>
      <c r="W95" s="16"/>
      <c r="X95" s="16"/>
      <c r="Y95" s="16"/>
      <c r="Z95" s="16"/>
      <c r="AA95" s="16"/>
      <c r="AB95" t="s" s="101">
        <v>225</v>
      </c>
      <c r="AC95" t="s" s="101">
        <v>226</v>
      </c>
      <c r="AD95" s="79">
        <v>1</v>
      </c>
      <c r="AE95" s="16"/>
      <c r="AF95" s="79">
        <v>1</v>
      </c>
      <c r="AG95" s="16"/>
      <c r="AH95" t="s" s="96">
        <v>54</v>
      </c>
      <c r="AI95" s="16"/>
      <c r="AJ95" s="16"/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  <c r="AZ95" s="16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16"/>
      <c r="BQ95" s="16"/>
      <c r="BR95" s="16"/>
      <c r="BS95" s="16"/>
      <c r="BT95" s="16"/>
      <c r="BU95" s="16"/>
      <c r="BV95" s="16"/>
      <c r="BW95" s="16"/>
    </row>
    <row r="96" ht="15.35" customHeight="1">
      <c r="A96" t="s" s="96">
        <v>3047</v>
      </c>
      <c r="B96" s="16"/>
      <c r="C96" s="470"/>
      <c r="D96" t="s" s="37">
        <v>3017</v>
      </c>
      <c r="E96" t="s" s="462">
        <v>3048</v>
      </c>
      <c r="F96" s="16"/>
      <c r="G96" t="s" s="96">
        <v>224</v>
      </c>
      <c r="H96" t="s" s="96">
        <v>227</v>
      </c>
      <c r="I96" s="79">
        <v>79</v>
      </c>
      <c r="J96" s="16"/>
      <c r="K96" t="s" s="96">
        <v>37</v>
      </c>
      <c r="L96" s="79">
        <v>1</v>
      </c>
      <c r="M96" s="16"/>
      <c r="N96" s="16"/>
      <c r="O96" t="s" s="96">
        <v>228</v>
      </c>
      <c r="P96" s="16"/>
      <c r="Q96" s="16"/>
      <c r="R96" s="16"/>
      <c r="S96" s="79">
        <v>1</v>
      </c>
      <c r="T96" s="16"/>
      <c r="U96" s="79">
        <v>51</v>
      </c>
      <c r="V96" s="16"/>
      <c r="W96" s="16"/>
      <c r="X96" s="16"/>
      <c r="Y96" s="16"/>
      <c r="Z96" s="16"/>
      <c r="AA96" s="16"/>
      <c r="AB96" t="s" s="101">
        <v>225</v>
      </c>
      <c r="AC96" t="s" s="101">
        <v>226</v>
      </c>
      <c r="AD96" s="79">
        <v>1</v>
      </c>
      <c r="AE96" s="16"/>
      <c r="AF96" s="16"/>
      <c r="AG96" s="16"/>
      <c r="AH96" t="s" s="96">
        <v>54</v>
      </c>
      <c r="AI96" s="16"/>
      <c r="AJ96" s="16"/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  <c r="AZ96" s="16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16"/>
      <c r="BQ96" s="16"/>
      <c r="BR96" s="16"/>
      <c r="BS96" s="16"/>
      <c r="BT96" s="16"/>
      <c r="BU96" s="16"/>
      <c r="BV96" s="16"/>
      <c r="BW96" s="16"/>
    </row>
    <row r="97" ht="15.35" customHeight="1">
      <c r="A97" t="s" s="96">
        <v>3047</v>
      </c>
      <c r="B97" s="16"/>
      <c r="C97" s="470"/>
      <c r="D97" t="s" s="37">
        <v>3017</v>
      </c>
      <c r="E97" t="s" s="462">
        <v>3048</v>
      </c>
      <c r="F97" s="16"/>
      <c r="G97" t="s" s="96">
        <v>224</v>
      </c>
      <c r="H97" t="s" s="96">
        <v>229</v>
      </c>
      <c r="I97" s="79">
        <v>80</v>
      </c>
      <c r="J97" s="16"/>
      <c r="K97" t="s" s="96">
        <v>37</v>
      </c>
      <c r="L97" s="79">
        <v>1</v>
      </c>
      <c r="M97" s="16"/>
      <c r="N97" s="16"/>
      <c r="O97" t="s" s="96">
        <v>228</v>
      </c>
      <c r="P97" s="16"/>
      <c r="Q97" s="16"/>
      <c r="R97" s="16"/>
      <c r="S97" s="79">
        <v>1</v>
      </c>
      <c r="T97" s="16"/>
      <c r="U97" s="79">
        <v>47</v>
      </c>
      <c r="V97" s="16"/>
      <c r="W97" s="16"/>
      <c r="X97" s="16"/>
      <c r="Y97" s="16"/>
      <c r="Z97" s="16"/>
      <c r="AA97" s="16"/>
      <c r="AB97" t="s" s="101">
        <v>225</v>
      </c>
      <c r="AC97" t="s" s="101">
        <v>226</v>
      </c>
      <c r="AD97" s="79">
        <v>1</v>
      </c>
      <c r="AE97" s="16"/>
      <c r="AF97" s="16"/>
      <c r="AG97" s="16"/>
      <c r="AH97" t="s" s="96">
        <v>54</v>
      </c>
      <c r="AI97" s="16"/>
      <c r="AJ97" s="16"/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  <c r="AZ97" s="16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16"/>
      <c r="BQ97" s="16"/>
      <c r="BR97" s="16"/>
      <c r="BS97" s="16"/>
      <c r="BT97" s="16"/>
      <c r="BU97" s="16"/>
      <c r="BV97" s="16"/>
      <c r="BW97" s="16"/>
    </row>
    <row r="98" ht="15.35" customHeight="1">
      <c r="A98" t="s" s="96">
        <v>3047</v>
      </c>
      <c r="B98" s="16"/>
      <c r="C98" s="470"/>
      <c r="D98" t="s" s="37">
        <v>3017</v>
      </c>
      <c r="E98" t="s" s="462">
        <v>3048</v>
      </c>
      <c r="F98" s="16"/>
      <c r="G98" t="s" s="96">
        <v>224</v>
      </c>
      <c r="H98" t="s" s="96">
        <v>230</v>
      </c>
      <c r="I98" s="79">
        <v>81</v>
      </c>
      <c r="J98" s="16"/>
      <c r="K98" t="s" s="96">
        <v>37</v>
      </c>
      <c r="L98" s="79">
        <v>1</v>
      </c>
      <c r="M98" s="16"/>
      <c r="N98" s="16"/>
      <c r="O98" t="s" s="96">
        <v>228</v>
      </c>
      <c r="P98" s="16"/>
      <c r="Q98" s="16"/>
      <c r="R98" s="16"/>
      <c r="S98" s="79">
        <v>1</v>
      </c>
      <c r="T98" s="16"/>
      <c r="U98" s="79">
        <v>43</v>
      </c>
      <c r="V98" s="16"/>
      <c r="W98" s="16"/>
      <c r="X98" s="16"/>
      <c r="Y98" s="16"/>
      <c r="Z98" s="16"/>
      <c r="AA98" s="16"/>
      <c r="AB98" t="s" s="101">
        <v>225</v>
      </c>
      <c r="AC98" t="s" s="101">
        <v>226</v>
      </c>
      <c r="AD98" s="79">
        <v>1</v>
      </c>
      <c r="AE98" s="16"/>
      <c r="AF98" s="16"/>
      <c r="AG98" s="16"/>
      <c r="AH98" t="s" s="96">
        <v>54</v>
      </c>
      <c r="AI98" s="16"/>
      <c r="AJ98" s="16"/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  <c r="AZ98" s="16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16"/>
      <c r="BQ98" s="16"/>
      <c r="BR98" s="16"/>
      <c r="BS98" s="16"/>
      <c r="BT98" s="16"/>
      <c r="BU98" s="16"/>
      <c r="BV98" s="16"/>
      <c r="BW98" s="16"/>
    </row>
    <row r="99" ht="15.35" customHeight="1">
      <c r="A99" t="s" s="96">
        <v>3047</v>
      </c>
      <c r="B99" s="16"/>
      <c r="C99" s="470"/>
      <c r="D99" t="s" s="37">
        <v>3017</v>
      </c>
      <c r="E99" t="s" s="462">
        <v>3048</v>
      </c>
      <c r="F99" s="16"/>
      <c r="G99" t="s" s="96">
        <v>232</v>
      </c>
      <c r="H99" t="s" s="96">
        <v>231</v>
      </c>
      <c r="I99" s="79">
        <v>82</v>
      </c>
      <c r="J99" s="16"/>
      <c r="K99" s="79">
        <v>1</v>
      </c>
      <c r="L99" s="16"/>
      <c r="M99" s="16"/>
      <c r="N99" s="16"/>
      <c r="O99" t="s" s="96">
        <v>163</v>
      </c>
      <c r="P99" s="16"/>
      <c r="Q99" s="16"/>
      <c r="R99" s="16"/>
      <c r="S99" s="16"/>
      <c r="T99" s="79">
        <v>1</v>
      </c>
      <c r="U99" s="79">
        <v>70</v>
      </c>
      <c r="V99" s="16"/>
      <c r="W99" s="16"/>
      <c r="X99" s="16"/>
      <c r="Y99" s="16"/>
      <c r="Z99" s="16"/>
      <c r="AA99" s="16"/>
      <c r="AB99" t="s" s="101">
        <v>175</v>
      </c>
      <c r="AC99" t="s" s="101">
        <v>234</v>
      </c>
      <c r="AD99" s="79">
        <v>1</v>
      </c>
      <c r="AE99" s="16"/>
      <c r="AF99" s="16"/>
      <c r="AG99" s="16"/>
      <c r="AH99" t="s" s="96">
        <v>233</v>
      </c>
      <c r="AI99" s="79">
        <v>1</v>
      </c>
      <c r="AJ99" s="16"/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  <c r="AZ99" s="16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16"/>
      <c r="BQ99" s="16"/>
      <c r="BR99" s="16"/>
      <c r="BS99" s="16"/>
      <c r="BT99" s="16"/>
      <c r="BU99" s="16"/>
      <c r="BV99" s="16"/>
      <c r="BW99" s="16"/>
    </row>
    <row r="100" ht="15.35" customHeight="1">
      <c r="A100" t="s" s="96">
        <v>3047</v>
      </c>
      <c r="B100" s="16"/>
      <c r="C100" s="470"/>
      <c r="D100" t="s" s="37">
        <v>3017</v>
      </c>
      <c r="E100" t="s" s="462">
        <v>3048</v>
      </c>
      <c r="F100" s="16"/>
      <c r="G100" t="s" s="96">
        <v>236</v>
      </c>
      <c r="H100" t="s" s="96">
        <v>235</v>
      </c>
      <c r="I100" s="79">
        <v>83</v>
      </c>
      <c r="J100" s="16"/>
      <c r="K100" s="79">
        <v>1</v>
      </c>
      <c r="L100" s="16"/>
      <c r="M100" s="16"/>
      <c r="N100" s="16"/>
      <c r="O100" t="s" s="96">
        <v>207</v>
      </c>
      <c r="P100" s="16"/>
      <c r="Q100" s="16"/>
      <c r="R100" s="16"/>
      <c r="S100" s="16"/>
      <c r="T100" s="79">
        <v>1</v>
      </c>
      <c r="U100" s="79">
        <v>30</v>
      </c>
      <c r="V100" s="16"/>
      <c r="W100" s="16"/>
      <c r="X100" s="16"/>
      <c r="Y100" s="16"/>
      <c r="Z100" s="16"/>
      <c r="AA100" s="16"/>
      <c r="AB100" t="s" s="101">
        <v>51</v>
      </c>
      <c r="AC100" t="s" s="101">
        <v>15</v>
      </c>
      <c r="AD100" s="79">
        <v>1</v>
      </c>
      <c r="AE100" s="16"/>
      <c r="AF100" s="16"/>
      <c r="AG100" s="16"/>
      <c r="AH100" t="s" s="96">
        <v>134</v>
      </c>
      <c r="AI100" s="79">
        <v>1</v>
      </c>
      <c r="AJ100" s="16"/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  <c r="AZ100" s="16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16"/>
      <c r="BQ100" s="16"/>
      <c r="BR100" s="16"/>
      <c r="BS100" s="16"/>
      <c r="BT100" s="16"/>
      <c r="BU100" s="16"/>
      <c r="BV100" s="16"/>
      <c r="BW100" s="16"/>
    </row>
    <row r="101" ht="15.35" customHeight="1">
      <c r="A101" t="s" s="96">
        <v>3047</v>
      </c>
      <c r="B101" s="16"/>
      <c r="C101" s="470"/>
      <c r="D101" t="s" s="37">
        <v>3017</v>
      </c>
      <c r="E101" t="s" s="462">
        <v>3048</v>
      </c>
      <c r="F101" s="16"/>
      <c r="G101" t="s" s="96">
        <v>238</v>
      </c>
      <c r="H101" t="s" s="96">
        <v>237</v>
      </c>
      <c r="I101" s="79">
        <v>84</v>
      </c>
      <c r="J101" s="16"/>
      <c r="K101" s="79">
        <v>1</v>
      </c>
      <c r="L101" s="16"/>
      <c r="M101" s="16"/>
      <c r="N101" s="16"/>
      <c r="O101" t="s" s="96">
        <v>207</v>
      </c>
      <c r="P101" s="16"/>
      <c r="Q101" s="16"/>
      <c r="R101" s="16"/>
      <c r="S101" s="16"/>
      <c r="T101" s="79">
        <v>1</v>
      </c>
      <c r="U101" s="79">
        <v>28</v>
      </c>
      <c r="V101" s="16"/>
      <c r="W101" s="16"/>
      <c r="X101" s="16"/>
      <c r="Y101" s="16"/>
      <c r="Z101" s="16"/>
      <c r="AA101" s="16"/>
      <c r="AB101" t="s" s="101">
        <v>45</v>
      </c>
      <c r="AC101" t="s" s="101">
        <v>15</v>
      </c>
      <c r="AD101" s="79">
        <v>1</v>
      </c>
      <c r="AE101" s="16"/>
      <c r="AF101" s="16"/>
      <c r="AG101" s="16"/>
      <c r="AH101" t="s" s="96">
        <v>239</v>
      </c>
      <c r="AI101" s="79">
        <v>1</v>
      </c>
      <c r="AJ101" s="16"/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  <c r="AZ101" s="16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16"/>
      <c r="BQ101" s="16"/>
      <c r="BR101" s="16"/>
      <c r="BS101" s="16"/>
      <c r="BT101" s="16"/>
      <c r="BU101" s="16"/>
      <c r="BV101" s="16"/>
      <c r="BW101" s="16"/>
    </row>
    <row r="102" ht="15.35" customHeight="1">
      <c r="A102" t="s" s="96">
        <v>3047</v>
      </c>
      <c r="B102" s="16"/>
      <c r="C102" s="470"/>
      <c r="D102" t="s" s="37">
        <v>3017</v>
      </c>
      <c r="E102" t="s" s="462">
        <v>3048</v>
      </c>
      <c r="F102" s="16"/>
      <c r="G102" t="s" s="96">
        <v>241</v>
      </c>
      <c r="H102" t="s" s="96">
        <v>240</v>
      </c>
      <c r="I102" s="79">
        <v>85</v>
      </c>
      <c r="J102" s="16"/>
      <c r="K102" s="79">
        <v>1</v>
      </c>
      <c r="L102" s="16"/>
      <c r="M102" s="16"/>
      <c r="N102" s="16"/>
      <c r="O102" t="s" s="96">
        <v>207</v>
      </c>
      <c r="P102" s="16"/>
      <c r="Q102" s="16"/>
      <c r="R102" s="16"/>
      <c r="S102" s="16"/>
      <c r="T102" s="79">
        <v>1</v>
      </c>
      <c r="U102" s="79">
        <v>22</v>
      </c>
      <c r="V102" s="16"/>
      <c r="W102" s="16"/>
      <c r="X102" s="16"/>
      <c r="Y102" s="16"/>
      <c r="Z102" s="16"/>
      <c r="AA102" s="16"/>
      <c r="AB102" t="s" s="101">
        <v>55</v>
      </c>
      <c r="AC102" t="s" s="101">
        <v>15</v>
      </c>
      <c r="AD102" s="79">
        <v>1</v>
      </c>
      <c r="AE102" s="16"/>
      <c r="AF102" s="16"/>
      <c r="AG102" s="16"/>
      <c r="AH102" t="s" s="96">
        <v>165</v>
      </c>
      <c r="AI102" s="79">
        <v>1</v>
      </c>
      <c r="AJ102" s="16"/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  <c r="AZ102" s="16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16"/>
      <c r="BQ102" s="16"/>
      <c r="BR102" s="16"/>
      <c r="BS102" s="16"/>
      <c r="BT102" s="16"/>
      <c r="BU102" s="16"/>
      <c r="BV102" s="16"/>
      <c r="BW102" s="16"/>
    </row>
    <row r="103" ht="15.35" customHeight="1">
      <c r="A103" s="16"/>
      <c r="B103" s="16"/>
      <c r="C103" s="470"/>
      <c r="D103" t="s" s="37">
        <v>3017</v>
      </c>
      <c r="E103" s="63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475"/>
      <c r="AC103" s="475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  <c r="AZ103" s="16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16"/>
      <c r="BQ103" s="16"/>
      <c r="BR103" s="16"/>
      <c r="BS103" s="16"/>
      <c r="BT103" s="16"/>
      <c r="BU103" s="16"/>
      <c r="BV103" s="16"/>
      <c r="BW103" s="16"/>
    </row>
    <row r="104" ht="15.35" customHeight="1">
      <c r="A104" t="s" s="96">
        <v>3049</v>
      </c>
      <c r="B104" s="16"/>
      <c r="C104" s="470"/>
      <c r="D104" t="s" s="37">
        <v>3017</v>
      </c>
      <c r="E104" s="63"/>
      <c r="F104" s="16"/>
      <c r="G104" t="s" s="96">
        <v>1</v>
      </c>
      <c r="H104" t="s" s="96">
        <v>0</v>
      </c>
      <c r="I104" s="16"/>
      <c r="J104" s="16"/>
      <c r="K104" t="s" s="96">
        <v>3</v>
      </c>
      <c r="L104" s="16"/>
      <c r="M104" s="16"/>
      <c r="N104" s="16"/>
      <c r="O104" t="s" s="96">
        <v>2</v>
      </c>
      <c r="P104" s="16"/>
      <c r="Q104" s="16"/>
      <c r="R104" s="16"/>
      <c r="S104" s="16"/>
      <c r="T104" s="16"/>
      <c r="U104" t="s" s="96">
        <v>5</v>
      </c>
      <c r="V104" s="16"/>
      <c r="W104" s="16"/>
      <c r="X104" s="16"/>
      <c r="Y104" s="16"/>
      <c r="Z104" s="16"/>
      <c r="AA104" s="16"/>
      <c r="AB104" t="s" s="101">
        <v>7</v>
      </c>
      <c r="AC104" t="s" s="101">
        <v>8</v>
      </c>
      <c r="AD104" s="16"/>
      <c r="AE104" s="16"/>
      <c r="AF104" s="16"/>
      <c r="AG104" s="16"/>
      <c r="AH104" t="s" s="96">
        <v>6</v>
      </c>
      <c r="AI104" s="16"/>
      <c r="AJ104" s="16"/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  <c r="AZ104" s="16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16"/>
      <c r="BQ104" s="16"/>
      <c r="BR104" s="16"/>
      <c r="BS104" s="16"/>
      <c r="BT104" s="16"/>
      <c r="BU104" s="16"/>
      <c r="BV104" s="16"/>
      <c r="BW104" s="16"/>
    </row>
    <row r="105" ht="15.35" customHeight="1">
      <c r="A105" t="s" s="96">
        <v>3049</v>
      </c>
      <c r="B105" s="16"/>
      <c r="C105" s="470"/>
      <c r="D105" t="s" s="37">
        <v>3017</v>
      </c>
      <c r="E105" s="63"/>
      <c r="F105" s="79">
        <v>19</v>
      </c>
      <c r="G105" t="s" s="96">
        <v>57</v>
      </c>
      <c r="H105" t="s" s="96">
        <v>56</v>
      </c>
      <c r="I105" s="79">
        <v>86</v>
      </c>
      <c r="J105" s="16"/>
      <c r="K105" t="s" s="96">
        <v>37</v>
      </c>
      <c r="L105" s="79">
        <v>1</v>
      </c>
      <c r="M105" s="16"/>
      <c r="N105" s="16"/>
      <c r="O105" t="s" s="96">
        <v>41</v>
      </c>
      <c r="P105" s="16"/>
      <c r="Q105" s="16"/>
      <c r="R105" s="16"/>
      <c r="S105" s="79">
        <v>1</v>
      </c>
      <c r="T105" s="16"/>
      <c r="U105" s="79">
        <v>42</v>
      </c>
      <c r="V105" s="16"/>
      <c r="W105" s="16"/>
      <c r="X105" s="16"/>
      <c r="Y105" s="16"/>
      <c r="Z105" s="16"/>
      <c r="AA105" s="16"/>
      <c r="AB105" t="s" s="101">
        <v>59</v>
      </c>
      <c r="AC105" t="s" s="101">
        <v>60</v>
      </c>
      <c r="AD105" s="16"/>
      <c r="AE105" s="16"/>
      <c r="AF105" s="16"/>
      <c r="AG105" s="16"/>
      <c r="AH105" t="s" s="96">
        <v>58</v>
      </c>
      <c r="AI105" s="79">
        <v>1</v>
      </c>
      <c r="AJ105" s="16"/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  <c r="AZ105" s="16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16"/>
      <c r="BQ105" s="16"/>
      <c r="BR105" s="16"/>
      <c r="BS105" s="16"/>
      <c r="BT105" s="16"/>
      <c r="BU105" s="16"/>
      <c r="BV105" s="16"/>
      <c r="BW105" s="16"/>
    </row>
    <row r="106" ht="15.35" customHeight="1">
      <c r="A106" t="s" s="96">
        <v>3049</v>
      </c>
      <c r="B106" s="16"/>
      <c r="C106" s="470"/>
      <c r="D106" t="s" s="37">
        <v>3017</v>
      </c>
      <c r="E106" s="63"/>
      <c r="F106" s="79">
        <v>19</v>
      </c>
      <c r="G106" t="s" s="96">
        <v>57</v>
      </c>
      <c r="H106" t="s" s="96">
        <v>61</v>
      </c>
      <c r="I106" s="79">
        <v>87</v>
      </c>
      <c r="J106" s="16"/>
      <c r="K106" s="79">
        <v>1</v>
      </c>
      <c r="L106" s="16"/>
      <c r="M106" s="16"/>
      <c r="N106" s="16"/>
      <c r="O106" t="s" s="96">
        <v>11</v>
      </c>
      <c r="P106" s="16"/>
      <c r="Q106" s="16"/>
      <c r="R106" s="16"/>
      <c r="S106" s="16"/>
      <c r="T106" s="79">
        <v>1</v>
      </c>
      <c r="U106" s="79">
        <v>30</v>
      </c>
      <c r="V106" s="16"/>
      <c r="W106" s="16"/>
      <c r="X106" s="16"/>
      <c r="Y106" s="16"/>
      <c r="Z106" s="16"/>
      <c r="AA106" s="16"/>
      <c r="AB106" t="s" s="101">
        <v>45</v>
      </c>
      <c r="AC106" t="s" s="101">
        <v>15</v>
      </c>
      <c r="AD106" s="79">
        <v>1</v>
      </c>
      <c r="AE106" s="16"/>
      <c r="AF106" s="16"/>
      <c r="AG106" s="16"/>
      <c r="AH106" t="s" s="96">
        <v>62</v>
      </c>
      <c r="AI106" s="79">
        <v>1</v>
      </c>
      <c r="AJ106" s="16"/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  <c r="AZ106" s="16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16"/>
      <c r="BQ106" s="16"/>
      <c r="BR106" s="16"/>
      <c r="BS106" s="16"/>
      <c r="BT106" s="16"/>
      <c r="BU106" s="16"/>
      <c r="BV106" s="16"/>
      <c r="BW106" s="16"/>
    </row>
    <row r="107" ht="15.35" customHeight="1">
      <c r="A107" t="s" s="96">
        <v>3049</v>
      </c>
      <c r="B107" s="16"/>
      <c r="C107" s="470"/>
      <c r="D107" t="s" s="37">
        <v>3017</v>
      </c>
      <c r="E107" s="63"/>
      <c r="F107" s="79">
        <v>19</v>
      </c>
      <c r="G107" t="s" s="96">
        <v>64</v>
      </c>
      <c r="H107" t="s" s="96">
        <v>63</v>
      </c>
      <c r="I107" s="79">
        <v>88</v>
      </c>
      <c r="J107" s="16"/>
      <c r="K107" s="79">
        <v>1</v>
      </c>
      <c r="L107" s="16"/>
      <c r="M107" s="16"/>
      <c r="N107" s="16"/>
      <c r="O107" t="s" s="96">
        <v>65</v>
      </c>
      <c r="P107" s="16"/>
      <c r="Q107" s="16"/>
      <c r="R107" s="16"/>
      <c r="S107" s="79">
        <v>1</v>
      </c>
      <c r="T107" s="16"/>
      <c r="U107" s="79">
        <v>37</v>
      </c>
      <c r="V107" s="16"/>
      <c r="W107" s="16"/>
      <c r="X107" s="16"/>
      <c r="Y107" s="16"/>
      <c r="Z107" s="16"/>
      <c r="AA107" s="16"/>
      <c r="AB107" t="s" s="101">
        <v>66</v>
      </c>
      <c r="AC107" t="s" s="101">
        <v>67</v>
      </c>
      <c r="AD107" s="79">
        <v>1</v>
      </c>
      <c r="AE107" s="16"/>
      <c r="AF107" s="16"/>
      <c r="AG107" s="16"/>
      <c r="AH107" t="s" s="96">
        <v>34</v>
      </c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  <c r="AZ107" s="16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16"/>
      <c r="BQ107" s="16"/>
      <c r="BR107" s="16"/>
      <c r="BS107" s="16"/>
      <c r="BT107" s="16"/>
      <c r="BU107" s="16"/>
      <c r="BV107" s="16"/>
      <c r="BW107" s="16"/>
    </row>
    <row r="108" ht="15.35" customHeight="1">
      <c r="A108" s="16"/>
      <c r="B108" s="16"/>
      <c r="C108" s="470"/>
      <c r="D108" t="s" s="37">
        <v>3017</v>
      </c>
      <c r="E108" s="63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475"/>
      <c r="AC108" s="475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  <c r="AZ108" s="16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16"/>
      <c r="BQ108" s="16"/>
      <c r="BR108" s="16"/>
      <c r="BS108" s="16"/>
      <c r="BT108" s="16"/>
      <c r="BU108" s="16"/>
      <c r="BV108" s="16"/>
      <c r="BW108" s="16"/>
    </row>
    <row r="109" ht="15.35" customHeight="1">
      <c r="A109" s="16"/>
      <c r="B109" s="16"/>
      <c r="C109" s="470"/>
      <c r="D109" t="s" s="37">
        <v>3017</v>
      </c>
      <c r="E109" s="63"/>
      <c r="F109" s="16"/>
      <c r="G109" t="s" s="96">
        <v>1</v>
      </c>
      <c r="H109" t="s" s="96">
        <v>0</v>
      </c>
      <c r="I109" s="16"/>
      <c r="J109" s="16"/>
      <c r="K109" t="s" s="96">
        <v>3</v>
      </c>
      <c r="L109" s="16"/>
      <c r="M109" s="16"/>
      <c r="N109" s="16"/>
      <c r="O109" t="s" s="96">
        <v>2</v>
      </c>
      <c r="P109" s="16"/>
      <c r="Q109" s="16"/>
      <c r="R109" s="16"/>
      <c r="S109" s="16"/>
      <c r="T109" s="16"/>
      <c r="U109" t="s" s="96">
        <v>5</v>
      </c>
      <c r="V109" s="16"/>
      <c r="W109" s="16"/>
      <c r="X109" s="16"/>
      <c r="Y109" s="16"/>
      <c r="Z109" s="16"/>
      <c r="AA109" s="16"/>
      <c r="AB109" t="s" s="101">
        <v>7</v>
      </c>
      <c r="AC109" t="s" s="101">
        <v>8</v>
      </c>
      <c r="AD109" s="16"/>
      <c r="AE109" s="16"/>
      <c r="AF109" s="16"/>
      <c r="AG109" s="16"/>
      <c r="AH109" t="s" s="96">
        <v>6</v>
      </c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  <c r="AZ109" s="16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16"/>
      <c r="BQ109" s="16"/>
      <c r="BR109" s="16"/>
      <c r="BS109" s="16"/>
      <c r="BT109" s="16"/>
      <c r="BU109" s="16"/>
      <c r="BV109" s="16"/>
      <c r="BW109" s="16"/>
    </row>
    <row r="110" ht="15.35" customHeight="1">
      <c r="A110" t="s" s="96">
        <v>3050</v>
      </c>
      <c r="B110" s="16"/>
      <c r="C110" s="470"/>
      <c r="D110" t="s" s="37">
        <v>3017</v>
      </c>
      <c r="E110" t="s" s="462">
        <v>3051</v>
      </c>
      <c r="F110" s="16"/>
      <c r="G110" t="s" s="96">
        <v>243</v>
      </c>
      <c r="H110" t="s" s="96">
        <v>242</v>
      </c>
      <c r="I110" s="79">
        <v>89</v>
      </c>
      <c r="J110" s="16"/>
      <c r="K110" t="s" s="96">
        <v>37</v>
      </c>
      <c r="L110" s="79">
        <v>1</v>
      </c>
      <c r="M110" s="16"/>
      <c r="N110" s="16"/>
      <c r="O110" s="79">
        <v>1</v>
      </c>
      <c r="P110" s="16"/>
      <c r="Q110" s="16"/>
      <c r="R110" s="16"/>
      <c r="S110" s="16"/>
      <c r="T110" s="16"/>
      <c r="U110" s="79">
        <v>46</v>
      </c>
      <c r="V110" s="16"/>
      <c r="W110" s="16"/>
      <c r="X110" s="16"/>
      <c r="Y110" s="16"/>
      <c r="Z110" s="16"/>
      <c r="AA110" s="16"/>
      <c r="AB110" t="s" s="101">
        <v>244</v>
      </c>
      <c r="AC110" t="s" s="101">
        <v>8</v>
      </c>
      <c r="AD110" s="79">
        <v>1</v>
      </c>
      <c r="AE110" s="16"/>
      <c r="AF110" s="79">
        <v>1</v>
      </c>
      <c r="AG110" s="16"/>
      <c r="AH110" t="s" s="96">
        <v>54</v>
      </c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  <c r="AZ110" s="16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16"/>
      <c r="BQ110" s="16"/>
      <c r="BR110" s="16"/>
      <c r="BS110" s="16"/>
      <c r="BT110" s="16"/>
      <c r="BU110" s="16"/>
      <c r="BV110" s="16"/>
      <c r="BW110" s="16"/>
    </row>
    <row r="111" ht="15.35" customHeight="1">
      <c r="A111" t="s" s="96">
        <v>3050</v>
      </c>
      <c r="B111" s="16"/>
      <c r="C111" s="470"/>
      <c r="D111" t="s" s="37">
        <v>3017</v>
      </c>
      <c r="E111" t="s" s="462">
        <v>3051</v>
      </c>
      <c r="F111" s="16"/>
      <c r="G111" t="s" s="96">
        <v>243</v>
      </c>
      <c r="H111" t="s" s="96">
        <v>245</v>
      </c>
      <c r="I111" s="79">
        <v>90</v>
      </c>
      <c r="J111" s="16"/>
      <c r="K111" s="79">
        <v>1</v>
      </c>
      <c r="L111" s="16"/>
      <c r="M111" s="16"/>
      <c r="N111" s="16"/>
      <c r="O111" t="s" s="96">
        <v>246</v>
      </c>
      <c r="P111" s="16"/>
      <c r="Q111" s="16"/>
      <c r="R111" s="16"/>
      <c r="S111" s="79">
        <v>1</v>
      </c>
      <c r="T111" s="16"/>
      <c r="U111" s="79">
        <v>53</v>
      </c>
      <c r="V111" s="16"/>
      <c r="W111" s="16"/>
      <c r="X111" s="16"/>
      <c r="Y111" s="16"/>
      <c r="Z111" s="16"/>
      <c r="AA111" s="16"/>
      <c r="AB111" t="s" s="101">
        <v>33</v>
      </c>
      <c r="AC111" t="s" s="101">
        <v>34</v>
      </c>
      <c r="AD111" s="16"/>
      <c r="AE111" s="16"/>
      <c r="AF111" s="16"/>
      <c r="AG111" s="16"/>
      <c r="AH111" t="s" s="96">
        <v>54</v>
      </c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  <c r="AZ111" s="16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16"/>
      <c r="BQ111" s="16"/>
      <c r="BR111" s="16"/>
      <c r="BS111" s="16"/>
      <c r="BT111" s="16"/>
      <c r="BU111" s="16"/>
      <c r="BV111" s="16"/>
      <c r="BW111" s="16"/>
    </row>
    <row r="112" ht="15.35" customHeight="1">
      <c r="A112" t="s" s="96">
        <v>3050</v>
      </c>
      <c r="B112" s="16"/>
      <c r="C112" s="470"/>
      <c r="D112" t="s" s="37">
        <v>3017</v>
      </c>
      <c r="E112" t="s" s="462">
        <v>3051</v>
      </c>
      <c r="F112" s="16"/>
      <c r="G112" t="s" s="96">
        <v>247</v>
      </c>
      <c r="H112" t="s" s="96">
        <v>109</v>
      </c>
      <c r="I112" s="79">
        <v>91</v>
      </c>
      <c r="J112" s="16"/>
      <c r="K112" s="79">
        <v>1</v>
      </c>
      <c r="L112" s="16"/>
      <c r="M112" s="16"/>
      <c r="N112" s="16"/>
      <c r="O112" t="s" s="96">
        <v>11</v>
      </c>
      <c r="P112" s="16"/>
      <c r="Q112" s="16"/>
      <c r="R112" s="16"/>
      <c r="S112" s="16"/>
      <c r="T112" s="79">
        <v>1</v>
      </c>
      <c r="U112" s="79">
        <v>37</v>
      </c>
      <c r="V112" s="16"/>
      <c r="W112" s="16"/>
      <c r="X112" s="16"/>
      <c r="Y112" s="16"/>
      <c r="Z112" s="16"/>
      <c r="AA112" s="16"/>
      <c r="AB112" t="s" s="101">
        <v>105</v>
      </c>
      <c r="AC112" t="s" s="101">
        <v>15</v>
      </c>
      <c r="AD112" s="79">
        <v>1</v>
      </c>
      <c r="AE112" s="16"/>
      <c r="AF112" s="16"/>
      <c r="AG112" s="16"/>
      <c r="AH112" t="s" s="96">
        <v>54</v>
      </c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  <c r="AZ112" s="16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16"/>
      <c r="BQ112" s="16"/>
      <c r="BR112" s="16"/>
      <c r="BS112" s="16"/>
      <c r="BT112" s="16"/>
      <c r="BU112" s="16"/>
      <c r="BV112" s="16"/>
      <c r="BW112" s="16"/>
    </row>
    <row r="113" ht="15.35" customHeight="1">
      <c r="A113" t="s" s="96">
        <v>3050</v>
      </c>
      <c r="B113" s="16"/>
      <c r="C113" s="470"/>
      <c r="D113" t="s" s="37">
        <v>3017</v>
      </c>
      <c r="E113" t="s" s="462">
        <v>3051</v>
      </c>
      <c r="F113" s="16"/>
      <c r="G113" t="s" s="96">
        <v>249</v>
      </c>
      <c r="H113" t="s" s="96">
        <v>248</v>
      </c>
      <c r="I113" s="79">
        <v>92</v>
      </c>
      <c r="J113" s="16"/>
      <c r="K113" s="79">
        <v>1</v>
      </c>
      <c r="L113" s="16"/>
      <c r="M113" s="16"/>
      <c r="N113" s="16"/>
      <c r="O113" t="s" s="96">
        <v>11</v>
      </c>
      <c r="P113" s="16"/>
      <c r="Q113" s="16"/>
      <c r="R113" s="16"/>
      <c r="S113" s="16"/>
      <c r="T113" s="79">
        <v>1</v>
      </c>
      <c r="U113" s="79">
        <v>20</v>
      </c>
      <c r="V113" s="16"/>
      <c r="W113" s="16"/>
      <c r="X113" s="16"/>
      <c r="Y113" s="16"/>
      <c r="Z113" s="16"/>
      <c r="AA113" s="16"/>
      <c r="AB113" t="s" s="101">
        <v>105</v>
      </c>
      <c r="AC113" t="s" s="101">
        <v>15</v>
      </c>
      <c r="AD113" s="79">
        <v>1</v>
      </c>
      <c r="AE113" s="16"/>
      <c r="AF113" s="16"/>
      <c r="AG113" s="16"/>
      <c r="AH113" t="s" s="96">
        <v>250</v>
      </c>
      <c r="AI113" s="79">
        <v>1</v>
      </c>
      <c r="AJ113" s="16"/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  <c r="AZ113" s="16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16"/>
      <c r="BQ113" s="16"/>
      <c r="BR113" s="16"/>
      <c r="BS113" s="16"/>
      <c r="BT113" s="16"/>
      <c r="BU113" s="16"/>
      <c r="BV113" s="16"/>
      <c r="BW113" s="16"/>
    </row>
    <row r="114" ht="15.35" customHeight="1">
      <c r="A114" t="s" s="96">
        <v>3050</v>
      </c>
      <c r="B114" s="16"/>
      <c r="C114" s="470"/>
      <c r="D114" t="s" s="37">
        <v>3017</v>
      </c>
      <c r="E114" t="s" s="462">
        <v>3051</v>
      </c>
      <c r="F114" s="16"/>
      <c r="G114" t="s" s="96">
        <v>252</v>
      </c>
      <c r="H114" t="s" s="96">
        <v>251</v>
      </c>
      <c r="I114" s="79">
        <v>93</v>
      </c>
      <c r="J114" s="16"/>
      <c r="K114" s="79">
        <v>1</v>
      </c>
      <c r="L114" s="16"/>
      <c r="M114" s="16"/>
      <c r="N114" s="16"/>
      <c r="O114" t="s" s="96">
        <v>11</v>
      </c>
      <c r="P114" s="16"/>
      <c r="Q114" s="16"/>
      <c r="R114" s="16"/>
      <c r="S114" s="16"/>
      <c r="T114" s="79">
        <v>1</v>
      </c>
      <c r="U114" s="79">
        <v>45</v>
      </c>
      <c r="V114" s="16"/>
      <c r="W114" s="16"/>
      <c r="X114" s="16"/>
      <c r="Y114" s="16"/>
      <c r="Z114" s="16"/>
      <c r="AA114" s="16"/>
      <c r="AB114" t="s" s="101">
        <v>254</v>
      </c>
      <c r="AC114" t="s" s="101">
        <v>15</v>
      </c>
      <c r="AD114" s="79">
        <v>1</v>
      </c>
      <c r="AE114" s="16"/>
      <c r="AF114" s="16"/>
      <c r="AG114" s="16"/>
      <c r="AH114" t="s" s="96">
        <v>253</v>
      </c>
      <c r="AI114" s="79">
        <v>1</v>
      </c>
      <c r="AJ114" s="16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  <c r="AZ114" s="16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16"/>
      <c r="BQ114" s="16"/>
      <c r="BR114" s="16"/>
      <c r="BS114" s="16"/>
      <c r="BT114" s="16"/>
      <c r="BU114" s="16"/>
      <c r="BV114" s="16"/>
      <c r="BW114" s="16"/>
    </row>
    <row r="115" ht="15.35" customHeight="1">
      <c r="A115" s="16"/>
      <c r="B115" s="16"/>
      <c r="C115" s="470"/>
      <c r="D115" t="s" s="37">
        <v>3017</v>
      </c>
      <c r="E115" s="63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475"/>
      <c r="AC115" s="475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  <c r="AZ115" s="16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16"/>
      <c r="BQ115" s="16"/>
      <c r="BR115" s="16"/>
      <c r="BS115" s="16"/>
      <c r="BT115" s="16"/>
      <c r="BU115" s="16"/>
      <c r="BV115" s="16"/>
      <c r="BW115" s="16"/>
    </row>
    <row r="116" ht="15.35" customHeight="1">
      <c r="A116" t="s" s="96">
        <v>3052</v>
      </c>
      <c r="B116" s="16"/>
      <c r="C116" s="470"/>
      <c r="D116" t="s" s="37">
        <v>3017</v>
      </c>
      <c r="E116" s="63"/>
      <c r="F116" s="16"/>
      <c r="G116" t="s" s="96">
        <v>1</v>
      </c>
      <c r="H116" t="s" s="96">
        <v>0</v>
      </c>
      <c r="I116" s="16"/>
      <c r="J116" s="16"/>
      <c r="K116" t="s" s="96">
        <v>3</v>
      </c>
      <c r="L116" s="16"/>
      <c r="M116" s="16"/>
      <c r="N116" s="16"/>
      <c r="O116" t="s" s="96">
        <v>2</v>
      </c>
      <c r="P116" s="16"/>
      <c r="Q116" s="16"/>
      <c r="R116" s="16"/>
      <c r="S116" s="16"/>
      <c r="T116" s="16"/>
      <c r="U116" t="s" s="96">
        <v>5</v>
      </c>
      <c r="V116" s="16"/>
      <c r="W116" s="16"/>
      <c r="X116" s="16"/>
      <c r="Y116" s="16"/>
      <c r="Z116" s="16"/>
      <c r="AA116" s="16"/>
      <c r="AB116" t="s" s="101">
        <v>7</v>
      </c>
      <c r="AC116" t="s" s="101">
        <v>8</v>
      </c>
      <c r="AD116" s="16"/>
      <c r="AE116" s="16"/>
      <c r="AF116" s="16"/>
      <c r="AG116" s="16"/>
      <c r="AH116" t="s" s="96">
        <v>6</v>
      </c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  <c r="AZ116" s="16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16"/>
      <c r="BQ116" s="16"/>
      <c r="BR116" s="16"/>
      <c r="BS116" s="16"/>
      <c r="BT116" s="16"/>
      <c r="BU116" s="16"/>
      <c r="BV116" s="16"/>
      <c r="BW116" s="16"/>
    </row>
    <row r="117" ht="15.35" customHeight="1">
      <c r="A117" t="s" s="96">
        <v>3052</v>
      </c>
      <c r="B117" s="16"/>
      <c r="C117" s="470"/>
      <c r="D117" t="s" s="37">
        <v>3017</v>
      </c>
      <c r="E117" t="s" s="462">
        <v>3053</v>
      </c>
      <c r="F117" s="16"/>
      <c r="G117" t="s" s="96">
        <v>255</v>
      </c>
      <c r="H117" t="s" s="96">
        <v>214</v>
      </c>
      <c r="I117" s="79">
        <v>94</v>
      </c>
      <c r="J117" s="16"/>
      <c r="K117" t="s" s="96">
        <v>37</v>
      </c>
      <c r="L117" s="79">
        <v>1</v>
      </c>
      <c r="M117" s="16"/>
      <c r="N117" s="16"/>
      <c r="O117" s="79">
        <v>1</v>
      </c>
      <c r="P117" s="16"/>
      <c r="Q117" s="16"/>
      <c r="R117" s="16"/>
      <c r="S117" s="16"/>
      <c r="T117" s="16"/>
      <c r="U117" s="79">
        <v>60</v>
      </c>
      <c r="V117" s="16"/>
      <c r="W117" s="16"/>
      <c r="X117" s="16"/>
      <c r="Y117" s="16"/>
      <c r="Z117" s="16"/>
      <c r="AA117" s="16"/>
      <c r="AB117" t="s" s="101">
        <v>257</v>
      </c>
      <c r="AC117" t="s" s="101">
        <v>258</v>
      </c>
      <c r="AD117" s="79">
        <v>1</v>
      </c>
      <c r="AE117" s="16"/>
      <c r="AF117" s="16"/>
      <c r="AG117" s="16"/>
      <c r="AH117" t="s" s="96">
        <v>256</v>
      </c>
      <c r="AI117" s="79">
        <v>1</v>
      </c>
      <c r="AJ117" s="16"/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  <c r="AZ117" s="16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16"/>
      <c r="BQ117" s="16"/>
      <c r="BR117" s="16"/>
      <c r="BS117" s="16"/>
      <c r="BT117" s="16"/>
      <c r="BU117" s="16"/>
      <c r="BV117" s="16"/>
      <c r="BW117" s="16"/>
    </row>
    <row r="118" ht="15.35" customHeight="1">
      <c r="A118" t="s" s="96">
        <v>3052</v>
      </c>
      <c r="B118" s="16"/>
      <c r="C118" s="470"/>
      <c r="D118" t="s" s="37">
        <v>3017</v>
      </c>
      <c r="E118" t="s" s="462">
        <v>3053</v>
      </c>
      <c r="F118" s="16"/>
      <c r="G118" t="s" s="96">
        <v>260</v>
      </c>
      <c r="H118" t="s" s="96">
        <v>259</v>
      </c>
      <c r="I118" s="79">
        <v>95</v>
      </c>
      <c r="J118" s="16"/>
      <c r="K118" s="79">
        <v>1</v>
      </c>
      <c r="L118" s="16"/>
      <c r="M118" s="16"/>
      <c r="N118" s="16"/>
      <c r="O118" t="s" s="96">
        <v>41</v>
      </c>
      <c r="P118" s="16"/>
      <c r="Q118" s="16"/>
      <c r="R118" s="16"/>
      <c r="S118" s="79">
        <v>1</v>
      </c>
      <c r="T118" s="16"/>
      <c r="U118" s="79">
        <v>40</v>
      </c>
      <c r="V118" s="16"/>
      <c r="W118" s="16"/>
      <c r="X118" s="16"/>
      <c r="Y118" s="16"/>
      <c r="Z118" s="16"/>
      <c r="AA118" s="16"/>
      <c r="AB118" t="s" s="101">
        <v>261</v>
      </c>
      <c r="AC118" t="s" s="101">
        <v>34</v>
      </c>
      <c r="AD118" s="16"/>
      <c r="AE118" s="16"/>
      <c r="AF118" s="16"/>
      <c r="AG118" s="16"/>
      <c r="AH118" t="s" s="96">
        <v>118</v>
      </c>
      <c r="AI118" s="79">
        <v>1</v>
      </c>
      <c r="AJ118" s="16"/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  <c r="AZ118" s="16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16"/>
      <c r="BQ118" s="16"/>
      <c r="BR118" s="16"/>
      <c r="BS118" s="16"/>
      <c r="BT118" s="16"/>
      <c r="BU118" s="16"/>
      <c r="BV118" s="16"/>
      <c r="BW118" s="16"/>
    </row>
    <row r="119" ht="15.35" customHeight="1">
      <c r="A119" t="s" s="96">
        <v>3052</v>
      </c>
      <c r="B119" s="16"/>
      <c r="C119" s="470"/>
      <c r="D119" t="s" s="37">
        <v>3017</v>
      </c>
      <c r="E119" t="s" s="462">
        <v>3053</v>
      </c>
      <c r="F119" s="16"/>
      <c r="G119" t="s" s="96">
        <v>263</v>
      </c>
      <c r="H119" t="s" s="96">
        <v>262</v>
      </c>
      <c r="I119" s="79">
        <v>96</v>
      </c>
      <c r="J119" s="16"/>
      <c r="K119" s="79">
        <v>1</v>
      </c>
      <c r="L119" s="16"/>
      <c r="M119" s="16"/>
      <c r="N119" s="16"/>
      <c r="O119" t="s" s="96">
        <v>11</v>
      </c>
      <c r="P119" s="16"/>
      <c r="Q119" s="16"/>
      <c r="R119" s="16"/>
      <c r="S119" s="16"/>
      <c r="T119" s="79">
        <v>1</v>
      </c>
      <c r="U119" s="79">
        <v>46</v>
      </c>
      <c r="V119" s="16"/>
      <c r="W119" s="16"/>
      <c r="X119" s="16"/>
      <c r="Y119" s="16"/>
      <c r="Z119" s="16"/>
      <c r="AA119" s="16"/>
      <c r="AB119" t="s" s="101">
        <v>45</v>
      </c>
      <c r="AC119" t="s" s="101">
        <v>15</v>
      </c>
      <c r="AD119" s="79">
        <v>1</v>
      </c>
      <c r="AE119" s="16"/>
      <c r="AF119" s="16"/>
      <c r="AG119" s="16"/>
      <c r="AH119" t="s" s="96">
        <v>264</v>
      </c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  <c r="AZ119" s="16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16"/>
      <c r="BQ119" s="16"/>
      <c r="BR119" s="16"/>
      <c r="BS119" s="16"/>
      <c r="BT119" s="16"/>
      <c r="BU119" s="16"/>
      <c r="BV119" s="16"/>
      <c r="BW119" s="16"/>
    </row>
    <row r="120" ht="15.35" customHeight="1">
      <c r="A120" t="s" s="96">
        <v>3052</v>
      </c>
      <c r="B120" s="16"/>
      <c r="C120" s="470"/>
      <c r="D120" t="s" s="37">
        <v>3017</v>
      </c>
      <c r="E120" t="s" s="462">
        <v>3053</v>
      </c>
      <c r="F120" s="16"/>
      <c r="G120" t="s" s="96">
        <v>266</v>
      </c>
      <c r="H120" t="s" s="96">
        <v>265</v>
      </c>
      <c r="I120" s="79">
        <v>97</v>
      </c>
      <c r="J120" s="16"/>
      <c r="K120" s="79">
        <v>1</v>
      </c>
      <c r="L120" s="16"/>
      <c r="M120" s="16"/>
      <c r="N120" s="16"/>
      <c r="O120" t="s" s="96">
        <v>11</v>
      </c>
      <c r="P120" s="16"/>
      <c r="Q120" s="16"/>
      <c r="R120" s="16"/>
      <c r="S120" s="16"/>
      <c r="T120" s="79">
        <v>1</v>
      </c>
      <c r="U120" s="79">
        <v>19</v>
      </c>
      <c r="V120" s="16"/>
      <c r="W120" s="16"/>
      <c r="X120" s="16"/>
      <c r="Y120" s="16"/>
      <c r="Z120" s="16"/>
      <c r="AA120" s="16"/>
      <c r="AB120" t="s" s="101">
        <v>55</v>
      </c>
      <c r="AC120" t="s" s="101">
        <v>15</v>
      </c>
      <c r="AD120" s="79">
        <v>1</v>
      </c>
      <c r="AE120" s="16"/>
      <c r="AF120" s="16"/>
      <c r="AG120" s="16"/>
      <c r="AH120" t="s" s="96">
        <v>267</v>
      </c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  <c r="AZ120" s="16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16"/>
      <c r="BQ120" s="16"/>
      <c r="BR120" s="16"/>
      <c r="BS120" s="16"/>
      <c r="BT120" s="16"/>
      <c r="BU120" s="16"/>
      <c r="BV120" s="16"/>
      <c r="BW120" s="16"/>
    </row>
    <row r="121" ht="15.35" customHeight="1">
      <c r="A121" s="16"/>
      <c r="B121" s="16"/>
      <c r="C121" s="16"/>
      <c r="D121" s="71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273"/>
      <c r="AC121" s="273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  <c r="AZ121" s="16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16"/>
      <c r="BQ121" s="16"/>
      <c r="BR121" s="16"/>
      <c r="BS121" s="16"/>
      <c r="BT121" s="16"/>
      <c r="BU121" s="16"/>
      <c r="BV121" s="16"/>
      <c r="BW121" s="16"/>
    </row>
    <row r="122" ht="15.35" customHeight="1">
      <c r="A122" t="s" s="459">
        <v>723</v>
      </c>
      <c r="B122" s="63"/>
      <c r="C122" s="16"/>
      <c r="D122" s="16"/>
      <c r="E122" s="16"/>
      <c r="F122" s="79">
        <v>19</v>
      </c>
      <c r="G122" s="16"/>
      <c r="H122" s="16"/>
      <c r="I122" s="79">
        <v>97</v>
      </c>
      <c r="J122" s="16"/>
      <c r="K122" s="79" cm="1">
        <f t="array" ref="K122">SUM(K3:K120)</f>
        <v>71</v>
      </c>
      <c r="L122" s="79" cm="1">
        <f t="array" ref="L122">SUM(L3:L120)</f>
        <v>19</v>
      </c>
      <c r="M122" s="79" cm="1">
        <f t="array" ref="M122">SUM(M3:M120)</f>
        <v>4</v>
      </c>
      <c r="N122" s="79" cm="1">
        <f t="array" ref="N122">SUM(N3:N120)</f>
        <v>3</v>
      </c>
      <c r="O122" s="79" cm="1">
        <f t="array" ref="O122">SUM(O3:O120)</f>
        <v>14</v>
      </c>
      <c r="P122" s="79" cm="1">
        <f t="array" ref="P122">SUM(P3:P120)</f>
        <v>5</v>
      </c>
      <c r="Q122" s="79" cm="1">
        <f t="array" ref="Q122">SUM(Q3:Q120)</f>
        <v>10</v>
      </c>
      <c r="R122" s="79" cm="1">
        <f t="array" ref="R122">SUM(R3:R120)</f>
        <v>6</v>
      </c>
      <c r="S122" s="79" cm="1">
        <f t="array" ref="S122">SUM(S3:S120)</f>
        <v>13</v>
      </c>
      <c r="T122" s="79" cm="1">
        <f t="array" ref="T122">SUM(T3:T120)</f>
        <v>49</v>
      </c>
      <c r="U122" s="79" cm="1">
        <f t="array" ref="U122">SUM(U3:U120)</f>
        <v>3426</v>
      </c>
      <c r="V122" s="79" cm="1">
        <f t="array" ref="V122">SUM(V3:V120)</f>
        <v>0</v>
      </c>
      <c r="W122" s="79" cm="1">
        <f t="array" ref="W122">SUM(W3:W120)</f>
        <v>0</v>
      </c>
      <c r="X122" s="79" cm="1">
        <f t="array" ref="X122">SUM(X3:X120)</f>
        <v>0</v>
      </c>
      <c r="Y122" s="79" cm="1">
        <f t="array" ref="Y122">SUM(Y3:Y120)</f>
        <v>0</v>
      </c>
      <c r="Z122" s="79" cm="1">
        <f t="array" ref="Z122">SUM(Z3:Z120)</f>
        <v>0</v>
      </c>
      <c r="AA122" s="79" cm="1">
        <f t="array" ref="AA122">SUM(AA3:AA120)</f>
        <v>0</v>
      </c>
      <c r="AB122" s="476" cm="1">
        <f t="array" ref="AB122">SUM(AB3:AB120)</f>
        <v>0</v>
      </c>
      <c r="AC122" s="476" cm="1">
        <f t="array" ref="AC122">SUM(AC3:AC120)</f>
        <v>0</v>
      </c>
      <c r="AD122" s="79" cm="1">
        <f t="array" ref="AD122">SUM(AD3:AD120)</f>
        <v>67</v>
      </c>
      <c r="AE122" s="79" cm="1">
        <f t="array" ref="AE122">SUM(AE3:AE120)</f>
        <v>0</v>
      </c>
      <c r="AF122" s="79" cm="1">
        <f t="array" ref="AF122">SUM(AF3:AF120)</f>
        <v>8</v>
      </c>
      <c r="AG122" s="79" cm="1">
        <f t="array" ref="AG122">AD122-AF122</f>
        <v>59</v>
      </c>
      <c r="AH122" s="79" cm="1">
        <f t="array" ref="AH122">O123-AI122</f>
        <v>53</v>
      </c>
      <c r="AI122" s="79" cm="1">
        <f t="array" ref="AI122">SUM(AI3:AI120)</f>
        <v>44</v>
      </c>
      <c r="AJ122" s="79" cm="1">
        <f t="array" ref="AJ122">SUM(AJ3:AJ120)</f>
        <v>0</v>
      </c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  <c r="AZ122" s="16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16"/>
      <c r="BQ122" s="16"/>
      <c r="BR122" s="16"/>
      <c r="BS122" s="16"/>
      <c r="BT122" s="16"/>
      <c r="BU122" s="16"/>
      <c r="BV122" s="16"/>
      <c r="BW122" s="16"/>
    </row>
    <row r="123" ht="15.35" customHeight="1">
      <c r="A123" s="466"/>
      <c r="B123" s="466"/>
      <c r="C123" s="466"/>
      <c r="D123" s="466"/>
      <c r="E123" s="466"/>
      <c r="F123" s="466"/>
      <c r="G123" s="466"/>
      <c r="H123" s="466"/>
      <c r="I123" s="466"/>
      <c r="J123" s="466"/>
      <c r="K123" s="477" cm="1">
        <f t="array" ref="K123">SUM(K122:N122)</f>
        <v>97</v>
      </c>
      <c r="L123" s="466"/>
      <c r="M123" s="466"/>
      <c r="N123" s="466"/>
      <c r="O123" s="477" cm="1">
        <f t="array" ref="O123">SUM(O122:T122)</f>
        <v>97</v>
      </c>
      <c r="P123" s="466"/>
      <c r="Q123" s="466"/>
      <c r="R123" s="466"/>
      <c r="S123" s="466"/>
      <c r="T123" s="466"/>
      <c r="U123" s="478" cm="1">
        <f t="array" ref="U123">U122/O123</f>
        <v>35.319587628866</v>
      </c>
      <c r="V123" s="466"/>
      <c r="W123" s="466"/>
      <c r="X123" s="466"/>
      <c r="Y123" s="466"/>
      <c r="Z123" s="466"/>
      <c r="AA123" s="466"/>
      <c r="AB123" s="479"/>
      <c r="AC123" s="479"/>
      <c r="AD123" s="480" cm="1">
        <f t="array" ref="AD123">AD122/O123</f>
        <v>0.690721649484536</v>
      </c>
      <c r="AE123" s="466"/>
      <c r="AF123" s="466"/>
      <c r="AG123" s="466"/>
      <c r="AH123" s="477" cm="1">
        <f t="array" ref="AH123">AH122/O123</f>
        <v>0.54639175257732</v>
      </c>
      <c r="AI123" s="466"/>
      <c r="AJ123" s="466"/>
      <c r="AK123" s="466"/>
      <c r="AL123" s="132"/>
      <c r="AM123" s="132"/>
      <c r="AN123" s="132"/>
      <c r="AO123" s="132"/>
      <c r="AP123" s="132"/>
      <c r="AQ123" s="132"/>
      <c r="AR123" s="132"/>
      <c r="AS123" s="132"/>
      <c r="AT123" s="132"/>
      <c r="AU123" s="132"/>
      <c r="AV123" s="132"/>
      <c r="AW123" s="132"/>
      <c r="AX123" s="132"/>
      <c r="AY123" s="132"/>
      <c r="AZ123" s="132"/>
      <c r="BA123" s="132"/>
      <c r="BB123" s="132"/>
      <c r="BC123" s="132"/>
      <c r="BD123" s="132"/>
      <c r="BE123" s="132"/>
      <c r="BF123" s="132"/>
      <c r="BG123" s="132"/>
      <c r="BH123" s="132"/>
      <c r="BI123" s="132"/>
      <c r="BJ123" s="132"/>
      <c r="BK123" s="132"/>
      <c r="BL123" s="132"/>
      <c r="BM123" s="132"/>
      <c r="BN123" s="132"/>
      <c r="BO123" s="132"/>
      <c r="BP123" s="132"/>
      <c r="BQ123" s="132"/>
      <c r="BR123" s="132"/>
      <c r="BS123" s="132"/>
      <c r="BT123" s="132"/>
      <c r="BU123" s="132"/>
      <c r="BV123" s="132"/>
      <c r="BW123" s="132"/>
    </row>
    <row r="124" ht="85" customHeight="1">
      <c r="A124" t="s" s="37">
        <v>3054</v>
      </c>
      <c r="B124" s="37"/>
      <c r="C124" s="37"/>
      <c r="D124" s="37"/>
      <c r="E124" t="s" s="37">
        <v>453</v>
      </c>
      <c r="F124" t="s" s="37">
        <v>3010</v>
      </c>
      <c r="G124" t="s" s="35">
        <v>455</v>
      </c>
      <c r="H124" t="s" s="35">
        <v>3055</v>
      </c>
      <c r="I124" t="s" s="37">
        <v>456</v>
      </c>
      <c r="J124" t="s" s="35">
        <v>3056</v>
      </c>
      <c r="K124" t="s" s="35">
        <v>3057</v>
      </c>
      <c r="L124" t="s" s="35">
        <v>3011</v>
      </c>
      <c r="M124" t="s" s="35">
        <v>274</v>
      </c>
      <c r="N124" s="32"/>
      <c r="O124" s="32"/>
      <c r="P124" s="32"/>
      <c r="Q124" t="s" s="35">
        <v>275</v>
      </c>
      <c r="R124" s="32"/>
      <c r="S124" s="33"/>
      <c r="T124" s="33"/>
      <c r="U124" s="33"/>
      <c r="V124" s="33"/>
      <c r="W124" t="s" s="35">
        <v>276</v>
      </c>
      <c r="X124" t="s" s="35">
        <v>3058</v>
      </c>
      <c r="Y124" s="33"/>
      <c r="Z124" s="33"/>
      <c r="AA124" t="s" s="35">
        <v>3059</v>
      </c>
      <c r="AB124" t="s" s="35">
        <v>3060</v>
      </c>
      <c r="AC124" t="s" s="35">
        <v>3061</v>
      </c>
      <c r="AD124" t="s" s="35">
        <v>283</v>
      </c>
      <c r="AE124" t="s" s="35">
        <v>284</v>
      </c>
      <c r="AF124" t="s" s="35">
        <v>285</v>
      </c>
      <c r="AG124" t="s" s="35">
        <v>286</v>
      </c>
      <c r="AH124" s="33"/>
      <c r="AI124" t="s" s="35">
        <v>3062</v>
      </c>
      <c r="AJ124" s="33"/>
      <c r="AK124" s="33"/>
      <c r="AL124" s="481"/>
      <c r="AM124" s="29"/>
      <c r="AN124" s="29"/>
      <c r="AO124" s="29"/>
      <c r="AP124" s="28"/>
      <c r="AQ124" s="28"/>
      <c r="AR124" s="29"/>
      <c r="AS124" s="29"/>
      <c r="AT124" s="30"/>
      <c r="AU124" s="29"/>
      <c r="AV124" s="29"/>
      <c r="AW124" s="29"/>
      <c r="AX124" s="30"/>
      <c r="AY124" s="28"/>
      <c r="AZ124" s="28"/>
      <c r="BA124" s="28"/>
      <c r="BB124" s="28"/>
      <c r="BC124" s="28"/>
      <c r="BD124" s="28"/>
      <c r="BE124" s="28"/>
      <c r="BF124" s="29"/>
      <c r="BG124" s="30"/>
      <c r="BH124" s="30"/>
      <c r="BI124" s="30"/>
      <c r="BJ124" s="30"/>
      <c r="BK124" s="30"/>
      <c r="BL124" s="29"/>
      <c r="BM124" s="29"/>
      <c r="BN124" s="29"/>
      <c r="BO124" s="29"/>
      <c r="BP124" s="29"/>
      <c r="BQ124" s="29"/>
      <c r="BR124" s="28"/>
      <c r="BS124" s="28"/>
      <c r="BT124" s="28"/>
      <c r="BU124" s="28"/>
      <c r="BV124" s="28"/>
      <c r="BW124" s="30"/>
    </row>
    <row r="125" ht="51" customHeight="1">
      <c r="A125" s="32"/>
      <c r="B125" s="32"/>
      <c r="C125" s="32"/>
      <c r="D125" s="32"/>
      <c r="E125" s="32"/>
      <c r="F125" s="42"/>
      <c r="G125" s="42"/>
      <c r="H125" s="42"/>
      <c r="I125" s="32"/>
      <c r="J125" s="32"/>
      <c r="K125" s="32"/>
      <c r="L125" s="56"/>
      <c r="M125" t="s" s="35">
        <v>292</v>
      </c>
      <c r="N125" t="s" s="35">
        <v>293</v>
      </c>
      <c r="O125" t="s" s="35">
        <v>294</v>
      </c>
      <c r="P125" t="s" s="35">
        <v>295</v>
      </c>
      <c r="Q125" t="s" s="35">
        <v>3063</v>
      </c>
      <c r="R125" t="s" s="35">
        <v>297</v>
      </c>
      <c r="S125" t="s" s="35">
        <v>298</v>
      </c>
      <c r="T125" t="s" s="35">
        <v>299</v>
      </c>
      <c r="U125" t="s" s="35">
        <v>300</v>
      </c>
      <c r="V125" t="s" s="35">
        <v>11</v>
      </c>
      <c r="W125" s="33"/>
      <c r="X125" t="s" s="35">
        <v>293</v>
      </c>
      <c r="Y125" t="s" s="35">
        <v>3064</v>
      </c>
      <c r="Z125" t="s" s="35">
        <v>292</v>
      </c>
      <c r="AA125" s="33"/>
      <c r="AB125" s="33"/>
      <c r="AC125" s="482"/>
      <c r="AD125" t="s" s="35">
        <v>3065</v>
      </c>
      <c r="AE125" t="s" s="35">
        <v>3065</v>
      </c>
      <c r="AF125" s="33"/>
      <c r="AG125" t="s" s="35">
        <v>8</v>
      </c>
      <c r="AH125" t="s" s="35">
        <v>3066</v>
      </c>
      <c r="AI125" t="s" s="451">
        <v>306</v>
      </c>
      <c r="AJ125" t="s" s="37">
        <v>300</v>
      </c>
      <c r="AK125" t="s" s="483">
        <v>458</v>
      </c>
      <c r="AL125" t="s" s="484">
        <v>3067</v>
      </c>
      <c r="AM125" s="30"/>
      <c r="AN125" s="30"/>
      <c r="AO125" s="30"/>
      <c r="AP125" s="300"/>
      <c r="AQ125" s="300"/>
      <c r="AR125" s="300"/>
      <c r="AS125" s="300"/>
      <c r="AT125" s="300"/>
      <c r="AU125" s="300"/>
      <c r="AV125" s="300"/>
      <c r="AW125" s="300"/>
      <c r="AX125" s="300"/>
      <c r="AY125" s="300"/>
      <c r="AZ125" s="300"/>
      <c r="BA125" s="300"/>
      <c r="BB125" s="300"/>
      <c r="BC125" s="300"/>
      <c r="BD125" s="300"/>
      <c r="BE125" s="300"/>
      <c r="BF125" s="300"/>
      <c r="BG125" s="300"/>
      <c r="BH125" s="300"/>
      <c r="BI125" s="29"/>
      <c r="BJ125" s="29"/>
      <c r="BK125" s="29"/>
      <c r="BL125" s="29"/>
      <c r="BM125" s="29"/>
      <c r="BN125" s="29"/>
      <c r="BO125" s="121"/>
      <c r="BP125" s="121"/>
      <c r="BQ125" s="121"/>
      <c r="BR125" s="121"/>
      <c r="BS125" s="121"/>
      <c r="BT125" s="30"/>
      <c r="BU125" s="30"/>
      <c r="BV125" s="30"/>
      <c r="BW125" s="30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9.xml><?xml version="1.0" encoding="utf-8"?>
<worksheet xmlns:r="http://schemas.openxmlformats.org/officeDocument/2006/relationships" xmlns="http://schemas.openxmlformats.org/spreadsheetml/2006/main">
  <dimension ref="A1:AZ82"/>
  <sheetViews>
    <sheetView workbookViewId="0" showGridLines="0" defaultGridColor="1"/>
  </sheetViews>
  <sheetFormatPr defaultColWidth="10.8333" defaultRowHeight="16" customHeight="1" outlineLevelRow="0" outlineLevelCol="0"/>
  <cols>
    <col min="1" max="1" width="10.8516" style="485" customWidth="1"/>
    <col min="2" max="2" width="17.3516" style="485" customWidth="1"/>
    <col min="3" max="3" width="10.8516" style="485" customWidth="1"/>
    <col min="4" max="4" width="17.8516" style="485" customWidth="1"/>
    <col min="5" max="5" width="12.3516" style="485" customWidth="1"/>
    <col min="6" max="6" width="18.5" style="485" customWidth="1"/>
    <col min="7" max="7" width="7.5" style="485" customWidth="1"/>
    <col min="8" max="11" width="10.8516" style="485" customWidth="1"/>
    <col min="12" max="12" width="19.1719" style="485" customWidth="1"/>
    <col min="13" max="13" width="7.85156" style="485" customWidth="1"/>
    <col min="14" max="14" width="10" style="485" customWidth="1"/>
    <col min="15" max="15" width="8.67188" style="485" customWidth="1"/>
    <col min="16" max="16" width="18.5" style="485" customWidth="1"/>
    <col min="17" max="17" width="11.5" style="485" customWidth="1"/>
    <col min="18" max="18" width="11.6719" style="485" customWidth="1"/>
    <col min="19" max="19" width="12.3516" style="485" customWidth="1"/>
    <col min="20" max="20" width="10.8516" style="485" customWidth="1"/>
    <col min="21" max="21" width="15.1719" style="485" customWidth="1"/>
    <col min="22" max="24" width="10.8516" style="485" customWidth="1"/>
    <col min="25" max="25" width="31" style="485" customWidth="1"/>
    <col min="26" max="26" width="19.8516" style="485" customWidth="1"/>
    <col min="27" max="27" width="12.1719" style="485" customWidth="1"/>
    <col min="28" max="31" width="16.5" style="485" customWidth="1"/>
    <col min="32" max="32" width="14.6719" style="485" customWidth="1"/>
    <col min="33" max="33" width="10.8516" style="485" customWidth="1"/>
    <col min="34" max="34" width="11" style="485" customWidth="1"/>
    <col min="35" max="35" width="11.1719" style="485" customWidth="1"/>
    <col min="36" max="36" width="7.85156" style="485" customWidth="1"/>
    <col min="37" max="38" width="10.8516" style="485" customWidth="1"/>
    <col min="39" max="39" width="7.35156" style="485" customWidth="1"/>
    <col min="40" max="40" width="10.8516" style="485" customWidth="1"/>
    <col min="41" max="41" width="9.17188" style="485" customWidth="1"/>
    <col min="42" max="42" width="10.8516" style="485" customWidth="1"/>
    <col min="43" max="43" width="12.5" style="485" customWidth="1"/>
    <col min="44" max="44" width="13" style="485" customWidth="1"/>
    <col min="45" max="52" width="10.8516" style="485" customWidth="1"/>
    <col min="53" max="16384" width="10.8516" style="485" customWidth="1"/>
  </cols>
  <sheetData>
    <row r="1" ht="34" customHeight="1">
      <c r="A1" t="s" s="486">
        <v>268</v>
      </c>
      <c r="B1" t="s" s="486">
        <v>269</v>
      </c>
      <c r="C1" t="s" s="337">
        <v>270</v>
      </c>
      <c r="D1" t="s" s="27">
        <v>271</v>
      </c>
      <c r="E1" t="s" s="337">
        <v>272</v>
      </c>
      <c r="F1" t="s" s="27">
        <v>273</v>
      </c>
      <c r="G1" s="84"/>
      <c r="H1" t="s" s="27">
        <v>274</v>
      </c>
      <c r="I1" s="84"/>
      <c r="J1" s="84"/>
      <c r="K1" s="84"/>
      <c r="L1" t="s" s="85">
        <v>275</v>
      </c>
      <c r="M1" s="84"/>
      <c r="N1" s="84"/>
      <c r="O1" s="84"/>
      <c r="P1" s="84"/>
      <c r="Q1" s="84"/>
      <c r="R1" t="s" s="85">
        <v>276</v>
      </c>
      <c r="S1" t="s" s="85">
        <v>277</v>
      </c>
      <c r="T1" t="s" s="85">
        <v>278</v>
      </c>
      <c r="U1" t="s" s="27">
        <v>279</v>
      </c>
      <c r="V1" t="s" s="27">
        <v>280</v>
      </c>
      <c r="W1" t="s" s="27">
        <v>281</v>
      </c>
      <c r="X1" t="s" s="27">
        <v>282</v>
      </c>
      <c r="Y1" t="s" s="27">
        <v>283</v>
      </c>
      <c r="Z1" t="s" s="27">
        <v>284</v>
      </c>
      <c r="AA1" t="s" s="27">
        <v>285</v>
      </c>
      <c r="AB1" t="s" s="27">
        <v>286</v>
      </c>
      <c r="AC1" s="84"/>
      <c r="AD1" t="s" s="27">
        <v>287</v>
      </c>
      <c r="AE1" s="84"/>
      <c r="AF1" t="s" s="337">
        <v>288</v>
      </c>
      <c r="AG1" s="84"/>
      <c r="AH1" s="86"/>
      <c r="AI1" s="86"/>
      <c r="AJ1" s="84"/>
      <c r="AK1" s="84"/>
      <c r="AL1" s="487"/>
      <c r="AM1" s="84"/>
      <c r="AN1" s="84"/>
      <c r="AO1" s="84"/>
      <c r="AP1" s="487"/>
      <c r="AQ1" s="86"/>
      <c r="AR1" s="86"/>
      <c r="AS1" s="86"/>
      <c r="AT1" s="86"/>
      <c r="AU1" s="86"/>
      <c r="AV1" s="86"/>
      <c r="AW1" s="86"/>
      <c r="AX1" s="84"/>
      <c r="AY1" s="487"/>
      <c r="AZ1" s="487"/>
    </row>
    <row r="2" ht="34" customHeight="1">
      <c r="A2" t="s" s="88">
        <v>290</v>
      </c>
      <c r="B2" t="s" s="90">
        <v>291</v>
      </c>
      <c r="C2" s="488"/>
      <c r="D2" s="84"/>
      <c r="E2" s="487"/>
      <c r="F2" s="84"/>
      <c r="G2" s="84"/>
      <c r="H2" t="s" s="27">
        <v>292</v>
      </c>
      <c r="I2" t="s" s="27">
        <v>293</v>
      </c>
      <c r="J2" t="s" s="27">
        <v>294</v>
      </c>
      <c r="K2" t="s" s="92">
        <v>295</v>
      </c>
      <c r="L2" t="s" s="93">
        <v>296</v>
      </c>
      <c r="M2" t="s" s="94">
        <v>297</v>
      </c>
      <c r="N2" t="s" s="27">
        <v>298</v>
      </c>
      <c r="O2" t="s" s="27">
        <v>299</v>
      </c>
      <c r="P2" t="s" s="27">
        <v>300</v>
      </c>
      <c r="Q2" t="s" s="92">
        <v>11</v>
      </c>
      <c r="R2" t="s" s="93">
        <v>301</v>
      </c>
      <c r="S2" t="s" s="93">
        <v>302</v>
      </c>
      <c r="T2" t="s" s="93">
        <v>303</v>
      </c>
      <c r="U2" t="s" s="489">
        <v>304</v>
      </c>
      <c r="V2" s="84"/>
      <c r="W2" s="84"/>
      <c r="X2" s="84"/>
      <c r="Y2" s="84"/>
      <c r="Z2" s="84"/>
      <c r="AA2" s="84"/>
      <c r="AB2" t="s" s="27">
        <v>8</v>
      </c>
      <c r="AC2" t="s" s="27">
        <v>459</v>
      </c>
      <c r="AD2" t="s" s="27">
        <v>306</v>
      </c>
      <c r="AE2" t="s" s="337">
        <v>300</v>
      </c>
      <c r="AF2" s="487"/>
      <c r="AG2" s="487"/>
      <c r="AH2" s="487"/>
      <c r="AI2" s="487"/>
      <c r="AJ2" s="487"/>
      <c r="AK2" s="487"/>
      <c r="AL2" s="487"/>
      <c r="AM2" s="487"/>
      <c r="AN2" s="487"/>
      <c r="AO2" s="487"/>
      <c r="AP2" s="487"/>
      <c r="AQ2" s="487"/>
      <c r="AR2" s="487"/>
      <c r="AS2" s="487"/>
      <c r="AT2" s="487"/>
      <c r="AU2" s="487"/>
      <c r="AV2" s="487"/>
      <c r="AW2" s="487"/>
      <c r="AX2" s="487"/>
      <c r="AY2" s="487"/>
      <c r="AZ2" s="487"/>
    </row>
    <row r="3" ht="17" customHeight="1">
      <c r="A3" t="s" s="88">
        <v>3068</v>
      </c>
      <c r="B3" s="89"/>
      <c r="C3" s="488"/>
      <c r="D3" t="s" s="27">
        <v>3069</v>
      </c>
      <c r="E3" t="s" s="490">
        <v>3070</v>
      </c>
      <c r="F3" t="s" s="491">
        <v>3071</v>
      </c>
      <c r="G3" s="492">
        <v>1</v>
      </c>
      <c r="H3" s="84">
        <v>1</v>
      </c>
      <c r="I3" s="84"/>
      <c r="J3" s="84"/>
      <c r="K3" s="169"/>
      <c r="L3" s="493">
        <v>1</v>
      </c>
      <c r="M3" s="171"/>
      <c r="N3" s="84"/>
      <c r="O3" s="84"/>
      <c r="P3" s="84"/>
      <c r="Q3" s="169"/>
      <c r="R3" s="493">
        <v>59</v>
      </c>
      <c r="S3" s="172"/>
      <c r="T3" s="172"/>
      <c r="U3" s="494"/>
      <c r="V3" s="84"/>
      <c r="W3" s="84"/>
      <c r="X3" s="84"/>
      <c r="Y3" t="s" s="490">
        <v>34</v>
      </c>
      <c r="Z3" t="s" s="495">
        <v>34</v>
      </c>
      <c r="AA3" s="84"/>
      <c r="AB3" s="84"/>
      <c r="AC3" s="84"/>
      <c r="AD3" t="s" s="486">
        <v>785</v>
      </c>
      <c r="AE3" s="487">
        <v>1</v>
      </c>
      <c r="AF3" s="487"/>
      <c r="AG3" s="487"/>
      <c r="AH3" s="487"/>
      <c r="AI3" s="487"/>
      <c r="AJ3" s="487"/>
      <c r="AK3" s="487"/>
      <c r="AL3" s="487"/>
      <c r="AM3" s="487"/>
      <c r="AN3" s="487"/>
      <c r="AO3" s="487"/>
      <c r="AP3" s="487"/>
      <c r="AQ3" s="487"/>
      <c r="AR3" s="487"/>
      <c r="AS3" s="487"/>
      <c r="AT3" s="487"/>
      <c r="AU3" s="487"/>
      <c r="AV3" s="487"/>
      <c r="AW3" s="487"/>
      <c r="AX3" s="487"/>
      <c r="AY3" s="487"/>
      <c r="AZ3" s="487"/>
    </row>
    <row r="4" ht="17" customHeight="1">
      <c r="A4" t="s" s="88">
        <v>3068</v>
      </c>
      <c r="B4" s="89"/>
      <c r="C4" s="488"/>
      <c r="D4" t="s" s="27">
        <v>3069</v>
      </c>
      <c r="E4" t="s" s="496">
        <v>1353</v>
      </c>
      <c r="F4" t="s" s="101">
        <v>3072</v>
      </c>
      <c r="G4" s="497">
        <v>2</v>
      </c>
      <c r="H4" s="84">
        <v>1</v>
      </c>
      <c r="I4" s="84"/>
      <c r="J4" s="84"/>
      <c r="K4" s="169"/>
      <c r="L4" t="s" s="101">
        <v>41</v>
      </c>
      <c r="M4" s="171"/>
      <c r="N4" s="84"/>
      <c r="O4" s="84"/>
      <c r="P4" s="114">
        <v>1</v>
      </c>
      <c r="Q4" s="169"/>
      <c r="R4" s="493">
        <v>60</v>
      </c>
      <c r="S4" s="172"/>
      <c r="T4" s="172"/>
      <c r="U4" s="494"/>
      <c r="V4" s="84"/>
      <c r="W4" s="84"/>
      <c r="X4" s="84"/>
      <c r="Y4" t="s" s="496">
        <v>34</v>
      </c>
      <c r="Z4" t="s" s="498">
        <v>34</v>
      </c>
      <c r="AA4" s="84"/>
      <c r="AB4" s="84"/>
      <c r="AC4" s="84"/>
      <c r="AD4" t="s" s="499">
        <v>785</v>
      </c>
      <c r="AE4" s="487">
        <v>1</v>
      </c>
      <c r="AF4" s="487"/>
      <c r="AG4" s="487"/>
      <c r="AH4" s="487"/>
      <c r="AI4" s="487"/>
      <c r="AJ4" s="487"/>
      <c r="AK4" s="487"/>
      <c r="AL4" s="487"/>
      <c r="AM4" s="487"/>
      <c r="AN4" s="487"/>
      <c r="AO4" s="487"/>
      <c r="AP4" s="487"/>
      <c r="AQ4" s="487"/>
      <c r="AR4" s="487"/>
      <c r="AS4" s="487"/>
      <c r="AT4" s="487"/>
      <c r="AU4" s="487"/>
      <c r="AV4" s="487"/>
      <c r="AW4" s="487"/>
      <c r="AX4" s="487"/>
      <c r="AY4" s="487"/>
      <c r="AZ4" s="487"/>
    </row>
    <row r="5" ht="17" customHeight="1">
      <c r="A5" t="s" s="88">
        <v>3068</v>
      </c>
      <c r="B5" s="89"/>
      <c r="C5" s="488"/>
      <c r="D5" t="s" s="27">
        <v>3069</v>
      </c>
      <c r="E5" t="s" s="496">
        <v>3073</v>
      </c>
      <c r="F5" t="s" s="101">
        <v>477</v>
      </c>
      <c r="G5" s="497">
        <v>3</v>
      </c>
      <c r="H5" s="84">
        <v>1</v>
      </c>
      <c r="I5" s="84"/>
      <c r="J5" s="84"/>
      <c r="K5" s="169"/>
      <c r="L5" t="s" s="101">
        <v>11</v>
      </c>
      <c r="M5" s="171"/>
      <c r="N5" s="84"/>
      <c r="O5" s="84"/>
      <c r="P5" s="84"/>
      <c r="Q5" s="500">
        <v>1</v>
      </c>
      <c r="R5" s="493">
        <v>37</v>
      </c>
      <c r="S5" s="172"/>
      <c r="T5" s="172"/>
      <c r="U5" s="494"/>
      <c r="V5" s="84"/>
      <c r="W5" s="84"/>
      <c r="X5" s="84"/>
      <c r="Y5" t="s" s="496">
        <v>45</v>
      </c>
      <c r="Z5" t="s" s="498">
        <v>15</v>
      </c>
      <c r="AA5" s="84">
        <v>1</v>
      </c>
      <c r="AB5" s="84"/>
      <c r="AC5" s="84"/>
      <c r="AD5" t="s" s="499">
        <v>22</v>
      </c>
      <c r="AE5" s="487">
        <v>1</v>
      </c>
      <c r="AF5" s="487"/>
      <c r="AG5" s="487"/>
      <c r="AH5" s="487"/>
      <c r="AI5" s="487"/>
      <c r="AJ5" s="487"/>
      <c r="AK5" s="487"/>
      <c r="AL5" s="487"/>
      <c r="AM5" s="487"/>
      <c r="AN5" s="487"/>
      <c r="AO5" s="487"/>
      <c r="AP5" s="487"/>
      <c r="AQ5" s="487"/>
      <c r="AR5" s="487"/>
      <c r="AS5" s="487"/>
      <c r="AT5" s="487"/>
      <c r="AU5" s="487"/>
      <c r="AV5" s="487"/>
      <c r="AW5" s="487"/>
      <c r="AX5" s="487"/>
      <c r="AY5" s="487"/>
      <c r="AZ5" s="487"/>
    </row>
    <row r="6" ht="17" customHeight="1">
      <c r="A6" t="s" s="88">
        <v>3068</v>
      </c>
      <c r="B6" s="89"/>
      <c r="C6" s="488"/>
      <c r="D6" t="s" s="27">
        <v>3069</v>
      </c>
      <c r="E6" t="s" s="496">
        <v>2774</v>
      </c>
      <c r="F6" t="s" s="101">
        <v>1862</v>
      </c>
      <c r="G6" s="497">
        <v>4</v>
      </c>
      <c r="H6" s="84">
        <v>1</v>
      </c>
      <c r="I6" s="84"/>
      <c r="J6" s="84"/>
      <c r="K6" s="169"/>
      <c r="L6" t="s" s="101">
        <v>11</v>
      </c>
      <c r="M6" s="171"/>
      <c r="N6" s="84"/>
      <c r="O6" s="84"/>
      <c r="P6" s="84"/>
      <c r="Q6" s="500">
        <v>1</v>
      </c>
      <c r="R6" s="493">
        <v>26</v>
      </c>
      <c r="S6" s="172"/>
      <c r="T6" s="172"/>
      <c r="U6" s="494"/>
      <c r="V6" s="84"/>
      <c r="W6" s="84"/>
      <c r="X6" s="84"/>
      <c r="Y6" t="s" s="496">
        <v>55</v>
      </c>
      <c r="Z6" t="s" s="498">
        <v>15</v>
      </c>
      <c r="AA6" s="84">
        <v>1</v>
      </c>
      <c r="AB6" s="84"/>
      <c r="AC6" s="84"/>
      <c r="AD6" t="s" s="499">
        <v>1364</v>
      </c>
      <c r="AE6" s="487">
        <v>1</v>
      </c>
      <c r="AF6" s="487"/>
      <c r="AG6" s="487"/>
      <c r="AH6" s="487"/>
      <c r="AI6" s="487"/>
      <c r="AJ6" s="487"/>
      <c r="AK6" s="487"/>
      <c r="AL6" s="487"/>
      <c r="AM6" s="487"/>
      <c r="AN6" s="487"/>
      <c r="AO6" s="487"/>
      <c r="AP6" s="487"/>
      <c r="AQ6" s="487"/>
      <c r="AR6" s="487"/>
      <c r="AS6" s="487"/>
      <c r="AT6" s="487"/>
      <c r="AU6" s="487"/>
      <c r="AV6" s="487"/>
      <c r="AW6" s="487"/>
      <c r="AX6" s="487"/>
      <c r="AY6" s="487"/>
      <c r="AZ6" s="487"/>
    </row>
    <row r="7" ht="17" customHeight="1">
      <c r="A7" t="s" s="88">
        <v>3074</v>
      </c>
      <c r="B7" t="s" s="90">
        <v>3075</v>
      </c>
      <c r="C7" s="488"/>
      <c r="D7" t="s" s="27">
        <v>3069</v>
      </c>
      <c r="E7" t="s" s="496">
        <v>3076</v>
      </c>
      <c r="F7" t="s" s="101">
        <v>3077</v>
      </c>
      <c r="G7" s="497">
        <v>5</v>
      </c>
      <c r="H7" s="84"/>
      <c r="I7" s="84">
        <v>1</v>
      </c>
      <c r="J7" s="84"/>
      <c r="K7" s="169"/>
      <c r="L7" s="493">
        <v>1</v>
      </c>
      <c r="M7" s="171"/>
      <c r="N7" s="84"/>
      <c r="O7" s="84"/>
      <c r="P7" s="84"/>
      <c r="Q7" s="169"/>
      <c r="R7" s="493">
        <v>49</v>
      </c>
      <c r="S7" s="172"/>
      <c r="T7" s="172"/>
      <c r="U7" s="494"/>
      <c r="V7" s="84"/>
      <c r="W7" s="84"/>
      <c r="X7" s="84"/>
      <c r="Y7" t="s" s="496">
        <v>3078</v>
      </c>
      <c r="Z7" t="s" s="498">
        <v>8</v>
      </c>
      <c r="AA7" s="84">
        <v>1</v>
      </c>
      <c r="AB7" s="84">
        <v>1</v>
      </c>
      <c r="AC7" s="84"/>
      <c r="AD7" t="s" s="499">
        <v>2388</v>
      </c>
      <c r="AE7" s="487"/>
      <c r="AF7" s="487"/>
      <c r="AG7" s="487"/>
      <c r="AH7" s="487"/>
      <c r="AI7" s="487"/>
      <c r="AJ7" s="487"/>
      <c r="AK7" s="487"/>
      <c r="AL7" s="487"/>
      <c r="AM7" s="487"/>
      <c r="AN7" s="487"/>
      <c r="AO7" s="487"/>
      <c r="AP7" s="487"/>
      <c r="AQ7" s="487"/>
      <c r="AR7" s="487"/>
      <c r="AS7" s="487"/>
      <c r="AT7" s="487"/>
      <c r="AU7" s="487"/>
      <c r="AV7" s="487"/>
      <c r="AW7" s="487"/>
      <c r="AX7" s="487"/>
      <c r="AY7" s="487"/>
      <c r="AZ7" s="487"/>
    </row>
    <row r="8" ht="17" customHeight="1">
      <c r="A8" t="s" s="88">
        <v>3074</v>
      </c>
      <c r="B8" t="s" s="90">
        <v>3075</v>
      </c>
      <c r="C8" s="488"/>
      <c r="D8" t="s" s="27">
        <v>3069</v>
      </c>
      <c r="E8" t="s" s="496">
        <v>3076</v>
      </c>
      <c r="F8" t="s" s="101">
        <v>3079</v>
      </c>
      <c r="G8" s="497">
        <v>6</v>
      </c>
      <c r="H8" s="84">
        <v>1</v>
      </c>
      <c r="I8" s="84"/>
      <c r="J8" s="84"/>
      <c r="K8" s="169"/>
      <c r="L8" t="s" s="101">
        <v>72</v>
      </c>
      <c r="M8" s="501">
        <v>1</v>
      </c>
      <c r="N8" s="84"/>
      <c r="O8" s="84"/>
      <c r="P8" s="84"/>
      <c r="Q8" s="169"/>
      <c r="R8" s="493">
        <v>40</v>
      </c>
      <c r="S8" s="172"/>
      <c r="T8" s="172"/>
      <c r="U8" s="494"/>
      <c r="V8" s="84"/>
      <c r="W8" s="84"/>
      <c r="X8" s="84"/>
      <c r="Y8" t="s" s="496">
        <v>34</v>
      </c>
      <c r="Z8" t="s" s="498">
        <v>34</v>
      </c>
      <c r="AA8" s="84"/>
      <c r="AB8" s="84"/>
      <c r="AC8" s="84"/>
      <c r="AD8" t="s" s="499">
        <v>54</v>
      </c>
      <c r="AE8" s="487"/>
      <c r="AF8" s="487"/>
      <c r="AG8" s="487"/>
      <c r="AH8" s="487"/>
      <c r="AI8" s="487"/>
      <c r="AJ8" s="487"/>
      <c r="AK8" s="487"/>
      <c r="AL8" s="487"/>
      <c r="AM8" s="487"/>
      <c r="AN8" s="487"/>
      <c r="AO8" s="487"/>
      <c r="AP8" s="487"/>
      <c r="AQ8" s="487"/>
      <c r="AR8" s="487"/>
      <c r="AS8" s="487"/>
      <c r="AT8" s="487"/>
      <c r="AU8" s="487"/>
      <c r="AV8" s="487"/>
      <c r="AW8" s="487"/>
      <c r="AX8" s="487"/>
      <c r="AY8" s="487"/>
      <c r="AZ8" s="487"/>
    </row>
    <row r="9" ht="17" customHeight="1">
      <c r="A9" t="s" s="88">
        <v>3074</v>
      </c>
      <c r="B9" t="s" s="90">
        <v>3075</v>
      </c>
      <c r="C9" s="488"/>
      <c r="D9" t="s" s="27">
        <v>3069</v>
      </c>
      <c r="E9" t="s" s="496">
        <v>3080</v>
      </c>
      <c r="F9" t="s" s="101">
        <v>3081</v>
      </c>
      <c r="G9" s="497">
        <v>7</v>
      </c>
      <c r="H9" s="84">
        <v>1</v>
      </c>
      <c r="I9" s="84"/>
      <c r="J9" s="84"/>
      <c r="K9" s="169"/>
      <c r="L9" t="s" s="101">
        <v>41</v>
      </c>
      <c r="M9" s="171"/>
      <c r="N9" s="84"/>
      <c r="O9" s="84"/>
      <c r="P9" s="114">
        <v>1</v>
      </c>
      <c r="Q9" s="169"/>
      <c r="R9" s="493">
        <v>44</v>
      </c>
      <c r="S9" s="172"/>
      <c r="T9" s="172"/>
      <c r="U9" s="494"/>
      <c r="V9" s="84"/>
      <c r="W9" s="84"/>
      <c r="X9" s="84"/>
      <c r="Y9" t="s" s="496">
        <v>3082</v>
      </c>
      <c r="Z9" t="s" s="498">
        <v>3083</v>
      </c>
      <c r="AA9" s="84">
        <v>1</v>
      </c>
      <c r="AB9" s="84"/>
      <c r="AC9" s="84"/>
      <c r="AD9" t="s" s="499">
        <v>118</v>
      </c>
      <c r="AE9" s="487">
        <v>1</v>
      </c>
      <c r="AF9" s="487"/>
      <c r="AG9" s="487"/>
      <c r="AH9" s="487"/>
      <c r="AI9" s="487"/>
      <c r="AJ9" s="487"/>
      <c r="AK9" s="487"/>
      <c r="AL9" s="487"/>
      <c r="AM9" s="487"/>
      <c r="AN9" s="487"/>
      <c r="AO9" s="487"/>
      <c r="AP9" s="487"/>
      <c r="AQ9" s="487"/>
      <c r="AR9" s="487"/>
      <c r="AS9" s="487"/>
      <c r="AT9" s="487"/>
      <c r="AU9" s="487"/>
      <c r="AV9" s="487"/>
      <c r="AW9" s="487"/>
      <c r="AX9" s="487"/>
      <c r="AY9" s="487"/>
      <c r="AZ9" s="487"/>
    </row>
    <row r="10" ht="17" customHeight="1">
      <c r="A10" t="s" s="88">
        <v>3074</v>
      </c>
      <c r="B10" t="s" s="90">
        <v>3075</v>
      </c>
      <c r="C10" s="488"/>
      <c r="D10" t="s" s="27">
        <v>3069</v>
      </c>
      <c r="E10" t="s" s="496">
        <v>1409</v>
      </c>
      <c r="F10" t="s" s="101">
        <v>1281</v>
      </c>
      <c r="G10" s="497">
        <v>8</v>
      </c>
      <c r="H10" s="84">
        <v>1</v>
      </c>
      <c r="I10" s="84"/>
      <c r="J10" s="84"/>
      <c r="K10" s="169"/>
      <c r="L10" t="s" s="101">
        <v>11</v>
      </c>
      <c r="M10" s="171"/>
      <c r="N10" s="84"/>
      <c r="O10" s="84"/>
      <c r="P10" s="84"/>
      <c r="Q10" s="500">
        <v>1</v>
      </c>
      <c r="R10" s="493">
        <v>16</v>
      </c>
      <c r="S10" s="172"/>
      <c r="T10" s="172"/>
      <c r="U10" s="494"/>
      <c r="V10" s="84"/>
      <c r="W10" s="84"/>
      <c r="X10" s="84"/>
      <c r="Y10" t="s" s="496">
        <v>188</v>
      </c>
      <c r="Z10" t="s" s="498">
        <v>15</v>
      </c>
      <c r="AA10" s="84">
        <v>1</v>
      </c>
      <c r="AB10" s="84"/>
      <c r="AC10" s="84"/>
      <c r="AD10" t="s" s="499">
        <v>202</v>
      </c>
      <c r="AE10" s="487">
        <v>1</v>
      </c>
      <c r="AF10" s="487"/>
      <c r="AG10" s="487"/>
      <c r="AH10" s="487"/>
      <c r="AI10" s="487"/>
      <c r="AJ10" s="487"/>
      <c r="AK10" s="487"/>
      <c r="AL10" s="487"/>
      <c r="AM10" s="487"/>
      <c r="AN10" s="487"/>
      <c r="AO10" s="487"/>
      <c r="AP10" s="487"/>
      <c r="AQ10" s="487"/>
      <c r="AR10" s="487"/>
      <c r="AS10" s="487"/>
      <c r="AT10" s="487"/>
      <c r="AU10" s="487"/>
      <c r="AV10" s="487"/>
      <c r="AW10" s="487"/>
      <c r="AX10" s="487"/>
      <c r="AY10" s="487"/>
      <c r="AZ10" s="487"/>
    </row>
    <row r="11" ht="17" customHeight="1">
      <c r="A11" t="s" s="88">
        <v>3074</v>
      </c>
      <c r="B11" t="s" s="90">
        <v>3075</v>
      </c>
      <c r="C11" s="488"/>
      <c r="D11" t="s" s="27">
        <v>3069</v>
      </c>
      <c r="E11" t="s" s="496">
        <v>3084</v>
      </c>
      <c r="F11" t="s" s="101">
        <v>537</v>
      </c>
      <c r="G11" s="497">
        <v>9</v>
      </c>
      <c r="H11" s="84">
        <v>1</v>
      </c>
      <c r="I11" s="84"/>
      <c r="J11" s="84"/>
      <c r="K11" s="169"/>
      <c r="L11" t="s" s="101">
        <v>45</v>
      </c>
      <c r="M11" s="171"/>
      <c r="N11" s="84"/>
      <c r="O11" s="84"/>
      <c r="P11" s="84"/>
      <c r="Q11" s="500">
        <v>1</v>
      </c>
      <c r="R11" s="493">
        <v>64</v>
      </c>
      <c r="S11" s="172"/>
      <c r="T11" s="172"/>
      <c r="U11" s="494"/>
      <c r="V11" s="84"/>
      <c r="W11" s="84"/>
      <c r="X11" s="84"/>
      <c r="Y11" t="s" s="496">
        <v>188</v>
      </c>
      <c r="Z11" t="s" s="498">
        <v>15</v>
      </c>
      <c r="AA11" s="84">
        <v>1</v>
      </c>
      <c r="AB11" s="84"/>
      <c r="AC11" s="84"/>
      <c r="AD11" t="s" s="499">
        <v>3085</v>
      </c>
      <c r="AE11" s="487">
        <v>1</v>
      </c>
      <c r="AF11" s="487"/>
      <c r="AG11" s="487"/>
      <c r="AH11" s="487"/>
      <c r="AI11" s="487"/>
      <c r="AJ11" s="487"/>
      <c r="AK11" s="487"/>
      <c r="AL11" s="487"/>
      <c r="AM11" s="487"/>
      <c r="AN11" s="487"/>
      <c r="AO11" s="487"/>
      <c r="AP11" s="487"/>
      <c r="AQ11" s="487"/>
      <c r="AR11" s="487"/>
      <c r="AS11" s="487"/>
      <c r="AT11" s="487"/>
      <c r="AU11" s="487"/>
      <c r="AV11" s="487"/>
      <c r="AW11" s="487"/>
      <c r="AX11" s="487"/>
      <c r="AY11" s="487"/>
      <c r="AZ11" s="487"/>
    </row>
    <row r="12" ht="17" customHeight="1">
      <c r="A12" t="s" s="88">
        <v>3074</v>
      </c>
      <c r="B12" t="s" s="90">
        <v>3075</v>
      </c>
      <c r="C12" s="488"/>
      <c r="D12" t="s" s="27">
        <v>3069</v>
      </c>
      <c r="E12" t="s" s="496">
        <v>3086</v>
      </c>
      <c r="F12" t="s" s="101">
        <v>3087</v>
      </c>
      <c r="G12" s="497">
        <v>10</v>
      </c>
      <c r="H12" s="84">
        <v>1</v>
      </c>
      <c r="I12" s="84"/>
      <c r="J12" s="84"/>
      <c r="K12" s="169"/>
      <c r="L12" t="s" s="101">
        <v>11</v>
      </c>
      <c r="M12" s="171"/>
      <c r="N12" s="84"/>
      <c r="O12" s="84"/>
      <c r="P12" s="84"/>
      <c r="Q12" s="500">
        <v>1</v>
      </c>
      <c r="R12" s="493">
        <v>38</v>
      </c>
      <c r="S12" s="172"/>
      <c r="T12" s="172"/>
      <c r="U12" s="494"/>
      <c r="V12" s="84"/>
      <c r="W12" s="84"/>
      <c r="X12" s="84"/>
      <c r="Y12" t="s" s="496">
        <v>188</v>
      </c>
      <c r="Z12" t="s" s="498">
        <v>15</v>
      </c>
      <c r="AA12" s="84">
        <v>1</v>
      </c>
      <c r="AB12" s="84"/>
      <c r="AC12" s="84"/>
      <c r="AD12" t="s" s="499">
        <v>3088</v>
      </c>
      <c r="AE12" s="487">
        <v>1</v>
      </c>
      <c r="AF12" s="487"/>
      <c r="AG12" s="487"/>
      <c r="AH12" s="487"/>
      <c r="AI12" s="487"/>
      <c r="AJ12" s="487"/>
      <c r="AK12" s="487"/>
      <c r="AL12" s="487"/>
      <c r="AM12" s="487"/>
      <c r="AN12" s="487"/>
      <c r="AO12" s="487"/>
      <c r="AP12" s="487"/>
      <c r="AQ12" s="487"/>
      <c r="AR12" s="487"/>
      <c r="AS12" s="487"/>
      <c r="AT12" s="487"/>
      <c r="AU12" s="487"/>
      <c r="AV12" s="487"/>
      <c r="AW12" s="487"/>
      <c r="AX12" s="487"/>
      <c r="AY12" s="487"/>
      <c r="AZ12" s="487"/>
    </row>
    <row r="13" ht="17" customHeight="1">
      <c r="A13" t="s" s="88">
        <v>3089</v>
      </c>
      <c r="B13" s="89"/>
      <c r="C13" s="488">
        <v>2</v>
      </c>
      <c r="D13" t="s" s="27">
        <v>3069</v>
      </c>
      <c r="E13" t="s" s="496">
        <v>2192</v>
      </c>
      <c r="F13" t="s" s="101">
        <v>3090</v>
      </c>
      <c r="G13" s="497">
        <v>11</v>
      </c>
      <c r="H13" s="84"/>
      <c r="I13" s="84">
        <v>1</v>
      </c>
      <c r="J13" s="84"/>
      <c r="K13" s="169"/>
      <c r="L13" s="493">
        <v>1</v>
      </c>
      <c r="M13" s="171"/>
      <c r="N13" s="84"/>
      <c r="O13" s="84"/>
      <c r="P13" s="84"/>
      <c r="Q13" s="169"/>
      <c r="R13" s="493">
        <v>24</v>
      </c>
      <c r="S13" s="172"/>
      <c r="T13" s="172"/>
      <c r="U13" s="494"/>
      <c r="V13" s="84"/>
      <c r="W13" s="84"/>
      <c r="X13" s="84"/>
      <c r="Y13" t="s" s="496">
        <v>3091</v>
      </c>
      <c r="Z13" t="s" s="498">
        <v>3092</v>
      </c>
      <c r="AA13" s="84">
        <v>1</v>
      </c>
      <c r="AB13" s="84"/>
      <c r="AC13" s="84"/>
      <c r="AD13" t="s" s="499">
        <v>13</v>
      </c>
      <c r="AE13" s="487"/>
      <c r="AF13" s="487"/>
      <c r="AG13" s="487"/>
      <c r="AH13" s="487"/>
      <c r="AI13" s="487"/>
      <c r="AJ13" s="487"/>
      <c r="AK13" s="487"/>
      <c r="AL13" s="487"/>
      <c r="AM13" s="487"/>
      <c r="AN13" s="487"/>
      <c r="AO13" s="487"/>
      <c r="AP13" s="487"/>
      <c r="AQ13" s="487"/>
      <c r="AR13" s="487"/>
      <c r="AS13" s="487"/>
      <c r="AT13" s="487"/>
      <c r="AU13" s="487"/>
      <c r="AV13" s="487"/>
      <c r="AW13" s="487"/>
      <c r="AX13" s="487"/>
      <c r="AY13" s="487"/>
      <c r="AZ13" s="487"/>
    </row>
    <row r="14" ht="17" customHeight="1">
      <c r="A14" t="s" s="88">
        <v>3089</v>
      </c>
      <c r="B14" s="89"/>
      <c r="C14" s="488">
        <v>2</v>
      </c>
      <c r="D14" t="s" s="27">
        <v>3069</v>
      </c>
      <c r="E14" t="s" s="496">
        <v>2192</v>
      </c>
      <c r="F14" t="s" s="101">
        <v>591</v>
      </c>
      <c r="G14" s="497">
        <v>12</v>
      </c>
      <c r="H14" s="84">
        <v>1</v>
      </c>
      <c r="I14" s="84"/>
      <c r="J14" s="84"/>
      <c r="K14" s="169"/>
      <c r="L14" t="s" s="101">
        <v>72</v>
      </c>
      <c r="M14" s="501">
        <v>1</v>
      </c>
      <c r="N14" s="84"/>
      <c r="O14" s="84"/>
      <c r="P14" s="84"/>
      <c r="Q14" s="169"/>
      <c r="R14" s="493">
        <v>31</v>
      </c>
      <c r="S14" s="172"/>
      <c r="T14" s="172"/>
      <c r="U14" s="494"/>
      <c r="V14" s="84"/>
      <c r="W14" s="84"/>
      <c r="X14" s="84"/>
      <c r="Y14" t="s" s="496">
        <v>33</v>
      </c>
      <c r="Z14" t="s" s="498">
        <v>34</v>
      </c>
      <c r="AA14" s="84"/>
      <c r="AB14" s="84"/>
      <c r="AC14" s="84"/>
      <c r="AD14" t="s" s="499">
        <v>1663</v>
      </c>
      <c r="AE14" s="487">
        <v>1</v>
      </c>
      <c r="AF14" s="487"/>
      <c r="AG14" s="487"/>
      <c r="AH14" s="487"/>
      <c r="AI14" s="487"/>
      <c r="AJ14" s="487"/>
      <c r="AK14" s="487"/>
      <c r="AL14" s="487"/>
      <c r="AM14" s="487"/>
      <c r="AN14" s="487"/>
      <c r="AO14" s="487"/>
      <c r="AP14" s="487"/>
      <c r="AQ14" s="487"/>
      <c r="AR14" s="487"/>
      <c r="AS14" s="487"/>
      <c r="AT14" s="487"/>
      <c r="AU14" s="487"/>
      <c r="AV14" s="487"/>
      <c r="AW14" s="487"/>
      <c r="AX14" s="487"/>
      <c r="AY14" s="487"/>
      <c r="AZ14" s="487"/>
    </row>
    <row r="15" ht="17" customHeight="1">
      <c r="A15" t="s" s="88">
        <v>3093</v>
      </c>
      <c r="B15" s="89"/>
      <c r="C15" s="488">
        <v>3</v>
      </c>
      <c r="D15" t="s" s="27">
        <v>3069</v>
      </c>
      <c r="E15" t="s" s="496">
        <v>3094</v>
      </c>
      <c r="F15" t="s" s="101">
        <v>109</v>
      </c>
      <c r="G15" s="497">
        <v>13</v>
      </c>
      <c r="H15" s="84">
        <v>1</v>
      </c>
      <c r="I15" s="84"/>
      <c r="J15" s="84"/>
      <c r="K15" s="169"/>
      <c r="L15" s="493">
        <v>1</v>
      </c>
      <c r="M15" s="171"/>
      <c r="N15" s="84"/>
      <c r="O15" s="84"/>
      <c r="P15" s="84"/>
      <c r="Q15" s="169"/>
      <c r="R15" s="493">
        <v>71</v>
      </c>
      <c r="S15" s="172"/>
      <c r="T15" s="172"/>
      <c r="U15" s="494"/>
      <c r="V15" s="84"/>
      <c r="W15" s="84"/>
      <c r="X15" s="84"/>
      <c r="Y15" t="s" s="496">
        <v>33</v>
      </c>
      <c r="Z15" t="s" s="498">
        <v>34</v>
      </c>
      <c r="AA15" s="84"/>
      <c r="AB15" s="84"/>
      <c r="AC15" s="84"/>
      <c r="AD15" t="s" s="499">
        <v>13</v>
      </c>
      <c r="AE15" s="487"/>
      <c r="AF15" s="487"/>
      <c r="AG15" s="487"/>
      <c r="AH15" s="487"/>
      <c r="AI15" s="487"/>
      <c r="AJ15" s="487"/>
      <c r="AK15" s="487"/>
      <c r="AL15" s="487"/>
      <c r="AM15" s="487"/>
      <c r="AN15" s="487"/>
      <c r="AO15" s="487"/>
      <c r="AP15" s="487"/>
      <c r="AQ15" s="487"/>
      <c r="AR15" s="487"/>
      <c r="AS15" s="487"/>
      <c r="AT15" s="487"/>
      <c r="AU15" s="487"/>
      <c r="AV15" s="487"/>
      <c r="AW15" s="487"/>
      <c r="AX15" s="487"/>
      <c r="AY15" s="487"/>
      <c r="AZ15" s="487"/>
    </row>
    <row r="16" ht="17" customHeight="1">
      <c r="A16" t="s" s="88">
        <v>3093</v>
      </c>
      <c r="B16" s="89"/>
      <c r="C16" s="488">
        <v>3</v>
      </c>
      <c r="D16" t="s" s="27">
        <v>3069</v>
      </c>
      <c r="E16" t="s" s="496">
        <v>786</v>
      </c>
      <c r="F16" t="s" s="101">
        <v>3095</v>
      </c>
      <c r="G16" s="497">
        <v>14</v>
      </c>
      <c r="H16" s="84">
        <v>1</v>
      </c>
      <c r="I16" s="84"/>
      <c r="J16" s="84"/>
      <c r="K16" s="169"/>
      <c r="L16" t="s" s="101">
        <v>65</v>
      </c>
      <c r="M16" s="171"/>
      <c r="N16" s="84"/>
      <c r="O16" s="84"/>
      <c r="P16" s="114">
        <v>1</v>
      </c>
      <c r="Q16" s="169"/>
      <c r="R16" s="493">
        <v>39</v>
      </c>
      <c r="S16" s="172"/>
      <c r="T16" s="172"/>
      <c r="U16" s="494"/>
      <c r="V16" s="84"/>
      <c r="W16" s="84"/>
      <c r="X16" s="84"/>
      <c r="Y16" t="s" s="496">
        <v>3096</v>
      </c>
      <c r="Z16" t="s" s="498">
        <v>3097</v>
      </c>
      <c r="AA16" s="84">
        <v>1</v>
      </c>
      <c r="AB16" s="84"/>
      <c r="AC16" s="84"/>
      <c r="AD16" t="s" s="499">
        <v>3098</v>
      </c>
      <c r="AE16" s="487">
        <v>1</v>
      </c>
      <c r="AF16" s="487"/>
      <c r="AG16" s="487"/>
      <c r="AH16" s="487"/>
      <c r="AI16" s="487"/>
      <c r="AJ16" s="487"/>
      <c r="AK16" s="487"/>
      <c r="AL16" s="487"/>
      <c r="AM16" s="487"/>
      <c r="AN16" s="487"/>
      <c r="AO16" s="487"/>
      <c r="AP16" s="487"/>
      <c r="AQ16" s="487"/>
      <c r="AR16" s="487"/>
      <c r="AS16" s="487"/>
      <c r="AT16" s="487"/>
      <c r="AU16" s="487"/>
      <c r="AV16" s="487"/>
      <c r="AW16" s="487"/>
      <c r="AX16" s="487"/>
      <c r="AY16" s="487"/>
      <c r="AZ16" s="487"/>
    </row>
    <row r="17" ht="17" customHeight="1">
      <c r="A17" t="s" s="88">
        <v>3099</v>
      </c>
      <c r="B17" s="89"/>
      <c r="C17" s="488">
        <v>4</v>
      </c>
      <c r="D17" t="s" s="27">
        <v>3069</v>
      </c>
      <c r="E17" t="s" s="496">
        <v>3100</v>
      </c>
      <c r="F17" t="s" s="101">
        <v>3101</v>
      </c>
      <c r="G17" s="497">
        <v>15</v>
      </c>
      <c r="H17" s="84"/>
      <c r="I17" s="84">
        <v>1</v>
      </c>
      <c r="J17" s="84"/>
      <c r="K17" s="169"/>
      <c r="L17" s="493">
        <v>1</v>
      </c>
      <c r="M17" s="171"/>
      <c r="N17" s="84"/>
      <c r="O17" s="84"/>
      <c r="P17" s="84"/>
      <c r="Q17" s="169"/>
      <c r="R17" s="493">
        <v>46</v>
      </c>
      <c r="S17" s="172"/>
      <c r="T17" s="172"/>
      <c r="U17" s="494"/>
      <c r="V17" s="84"/>
      <c r="W17" s="84"/>
      <c r="X17" s="84"/>
      <c r="Y17" t="s" s="496">
        <v>3102</v>
      </c>
      <c r="Z17" t="s" s="498">
        <v>8</v>
      </c>
      <c r="AA17" s="84">
        <v>1</v>
      </c>
      <c r="AB17" s="84">
        <v>1</v>
      </c>
      <c r="AC17" s="84"/>
      <c r="AD17" t="s" s="499">
        <v>13</v>
      </c>
      <c r="AE17" s="487"/>
      <c r="AF17" s="487"/>
      <c r="AG17" s="487"/>
      <c r="AH17" s="487"/>
      <c r="AI17" s="487"/>
      <c r="AJ17" s="487"/>
      <c r="AK17" s="487"/>
      <c r="AL17" s="487"/>
      <c r="AM17" s="487"/>
      <c r="AN17" s="487"/>
      <c r="AO17" s="487"/>
      <c r="AP17" s="487"/>
      <c r="AQ17" s="487"/>
      <c r="AR17" s="487"/>
      <c r="AS17" s="487"/>
      <c r="AT17" s="487"/>
      <c r="AU17" s="487"/>
      <c r="AV17" s="487"/>
      <c r="AW17" s="487"/>
      <c r="AX17" s="487"/>
      <c r="AY17" s="487"/>
      <c r="AZ17" s="487"/>
    </row>
    <row r="18" ht="17" customHeight="1">
      <c r="A18" t="s" s="88">
        <v>3099</v>
      </c>
      <c r="B18" s="89"/>
      <c r="C18" s="488">
        <v>4</v>
      </c>
      <c r="D18" t="s" s="27">
        <v>3069</v>
      </c>
      <c r="E18" t="s" s="496">
        <v>3103</v>
      </c>
      <c r="F18" t="s" s="101">
        <v>839</v>
      </c>
      <c r="G18" s="497">
        <v>16</v>
      </c>
      <c r="H18" s="84"/>
      <c r="I18" s="84">
        <v>1</v>
      </c>
      <c r="J18" s="84"/>
      <c r="K18" s="169"/>
      <c r="L18" t="s" s="101">
        <v>11</v>
      </c>
      <c r="M18" s="171"/>
      <c r="N18" s="84"/>
      <c r="O18" s="84"/>
      <c r="P18" s="84"/>
      <c r="Q18" s="500">
        <v>1</v>
      </c>
      <c r="R18" s="493">
        <v>29</v>
      </c>
      <c r="S18" s="172"/>
      <c r="T18" s="172"/>
      <c r="U18" s="494"/>
      <c r="V18" s="84"/>
      <c r="W18" s="84"/>
      <c r="X18" s="84"/>
      <c r="Y18" t="s" s="496">
        <v>45</v>
      </c>
      <c r="Z18" t="s" s="498">
        <v>15</v>
      </c>
      <c r="AA18" s="84">
        <v>1</v>
      </c>
      <c r="AB18" s="84"/>
      <c r="AC18" s="84"/>
      <c r="AD18" t="s" s="499">
        <v>13</v>
      </c>
      <c r="AE18" s="487"/>
      <c r="AF18" s="487"/>
      <c r="AG18" s="487"/>
      <c r="AH18" s="487"/>
      <c r="AI18" s="487"/>
      <c r="AJ18" s="487"/>
      <c r="AK18" s="487"/>
      <c r="AL18" s="487"/>
      <c r="AM18" s="487"/>
      <c r="AN18" s="487"/>
      <c r="AO18" s="487"/>
      <c r="AP18" s="487"/>
      <c r="AQ18" s="487"/>
      <c r="AR18" s="487"/>
      <c r="AS18" s="487"/>
      <c r="AT18" s="487"/>
      <c r="AU18" s="487"/>
      <c r="AV18" s="487"/>
      <c r="AW18" s="487"/>
      <c r="AX18" s="487"/>
      <c r="AY18" s="487"/>
      <c r="AZ18" s="487"/>
    </row>
    <row r="19" ht="17" customHeight="1">
      <c r="A19" t="s" s="88">
        <v>3099</v>
      </c>
      <c r="B19" s="89"/>
      <c r="C19" s="488">
        <v>4</v>
      </c>
      <c r="D19" t="s" s="27">
        <v>3069</v>
      </c>
      <c r="E19" t="s" s="496">
        <v>3104</v>
      </c>
      <c r="F19" t="s" s="101">
        <v>3105</v>
      </c>
      <c r="G19" s="497">
        <v>17</v>
      </c>
      <c r="H19" s="84">
        <v>1</v>
      </c>
      <c r="I19" s="84"/>
      <c r="J19" s="84"/>
      <c r="K19" s="169"/>
      <c r="L19" t="s" s="101">
        <v>11</v>
      </c>
      <c r="M19" s="171"/>
      <c r="N19" s="84"/>
      <c r="O19" s="84"/>
      <c r="P19" s="84"/>
      <c r="Q19" s="500">
        <v>1</v>
      </c>
      <c r="R19" s="493">
        <v>21</v>
      </c>
      <c r="S19" s="172"/>
      <c r="T19" s="172"/>
      <c r="U19" s="494"/>
      <c r="V19" s="84"/>
      <c r="W19" s="84"/>
      <c r="X19" s="84"/>
      <c r="Y19" t="s" s="496">
        <v>105</v>
      </c>
      <c r="Z19" t="s" s="498">
        <v>15</v>
      </c>
      <c r="AA19" s="84">
        <v>1</v>
      </c>
      <c r="AB19" s="84"/>
      <c r="AC19" s="84"/>
      <c r="AD19" t="s" s="499">
        <v>1209</v>
      </c>
      <c r="AE19" s="487">
        <v>1</v>
      </c>
      <c r="AF19" s="487"/>
      <c r="AG19" s="487"/>
      <c r="AH19" s="487"/>
      <c r="AI19" s="487"/>
      <c r="AJ19" s="487"/>
      <c r="AK19" s="487"/>
      <c r="AL19" s="487"/>
      <c r="AM19" s="487"/>
      <c r="AN19" s="487"/>
      <c r="AO19" s="487"/>
      <c r="AP19" s="487"/>
      <c r="AQ19" s="487"/>
      <c r="AR19" s="487"/>
      <c r="AS19" s="487"/>
      <c r="AT19" s="487"/>
      <c r="AU19" s="487"/>
      <c r="AV19" s="487"/>
      <c r="AW19" s="487"/>
      <c r="AX19" s="487"/>
      <c r="AY19" s="487"/>
      <c r="AZ19" s="487"/>
    </row>
    <row r="20" ht="17" customHeight="1">
      <c r="A20" t="s" s="88">
        <v>3099</v>
      </c>
      <c r="B20" s="107"/>
      <c r="C20" s="488">
        <v>4</v>
      </c>
      <c r="D20" t="s" s="27">
        <v>3069</v>
      </c>
      <c r="E20" t="s" s="496">
        <v>3106</v>
      </c>
      <c r="F20" t="s" s="101">
        <v>417</v>
      </c>
      <c r="G20" s="497">
        <v>18</v>
      </c>
      <c r="H20" s="84">
        <v>1</v>
      </c>
      <c r="I20" s="84"/>
      <c r="J20" s="84"/>
      <c r="K20" s="169"/>
      <c r="L20" t="s" s="101">
        <v>11</v>
      </c>
      <c r="M20" s="171"/>
      <c r="N20" s="84"/>
      <c r="O20" s="84"/>
      <c r="P20" s="84"/>
      <c r="Q20" s="500">
        <v>1</v>
      </c>
      <c r="R20" s="493">
        <v>19</v>
      </c>
      <c r="S20" s="170"/>
      <c r="T20" s="170"/>
      <c r="U20" s="494"/>
      <c r="V20" s="84"/>
      <c r="W20" s="84"/>
      <c r="X20" s="84"/>
      <c r="Y20" t="s" s="496">
        <v>105</v>
      </c>
      <c r="Z20" t="s" s="498">
        <v>15</v>
      </c>
      <c r="AA20" s="84">
        <v>1</v>
      </c>
      <c r="AB20" s="84"/>
      <c r="AC20" s="84"/>
      <c r="AD20" t="s" s="499">
        <v>775</v>
      </c>
      <c r="AE20" s="487"/>
      <c r="AF20" s="487"/>
      <c r="AG20" s="487"/>
      <c r="AH20" s="487"/>
      <c r="AI20" s="487"/>
      <c r="AJ20" s="487"/>
      <c r="AK20" s="487"/>
      <c r="AL20" s="487"/>
      <c r="AM20" s="487"/>
      <c r="AN20" s="487"/>
      <c r="AO20" s="487"/>
      <c r="AP20" s="487"/>
      <c r="AQ20" s="487"/>
      <c r="AR20" s="487"/>
      <c r="AS20" s="487"/>
      <c r="AT20" s="487"/>
      <c r="AU20" s="487"/>
      <c r="AV20" s="487"/>
      <c r="AW20" s="487"/>
      <c r="AX20" s="487"/>
      <c r="AY20" s="487"/>
      <c r="AZ20" s="487"/>
    </row>
    <row r="21" ht="17.5" customHeight="1">
      <c r="A21" t="s" s="265">
        <v>3107</v>
      </c>
      <c r="B21" s="487"/>
      <c r="C21" s="487">
        <v>5</v>
      </c>
      <c r="D21" t="s" s="27">
        <v>3069</v>
      </c>
      <c r="E21" t="s" s="496">
        <v>2558</v>
      </c>
      <c r="F21" t="s" s="101">
        <v>3108</v>
      </c>
      <c r="G21" s="497">
        <v>19</v>
      </c>
      <c r="H21" s="84"/>
      <c r="I21" s="487">
        <v>1</v>
      </c>
      <c r="J21" s="487"/>
      <c r="K21" s="487"/>
      <c r="L21" s="502">
        <v>1</v>
      </c>
      <c r="M21" s="487"/>
      <c r="N21" s="86"/>
      <c r="O21" s="86"/>
      <c r="P21" s="86"/>
      <c r="Q21" s="86"/>
      <c r="R21" s="502">
        <v>35</v>
      </c>
      <c r="S21" s="86"/>
      <c r="T21" s="86"/>
      <c r="U21" s="86"/>
      <c r="V21" s="487"/>
      <c r="W21" s="487"/>
      <c r="X21" s="487"/>
      <c r="Y21" t="s" s="496">
        <v>3109</v>
      </c>
      <c r="Z21" t="s" s="498">
        <v>8</v>
      </c>
      <c r="AA21" s="84">
        <v>1</v>
      </c>
      <c r="AB21" s="487">
        <v>1</v>
      </c>
      <c r="AC21" s="487"/>
      <c r="AD21" t="s" s="499">
        <v>790</v>
      </c>
      <c r="AE21" s="487">
        <v>1</v>
      </c>
      <c r="AF21" s="487"/>
      <c r="AG21" s="487"/>
      <c r="AH21" s="487"/>
      <c r="AI21" s="487"/>
      <c r="AJ21" s="487"/>
      <c r="AK21" s="487"/>
      <c r="AL21" s="487"/>
      <c r="AM21" s="487"/>
      <c r="AN21" s="487"/>
      <c r="AO21" s="487"/>
      <c r="AP21" s="487"/>
      <c r="AQ21" s="487"/>
      <c r="AR21" s="487"/>
      <c r="AS21" s="487"/>
      <c r="AT21" s="487"/>
      <c r="AU21" s="487"/>
      <c r="AV21" s="487"/>
      <c r="AW21" s="487"/>
      <c r="AX21" s="487"/>
      <c r="AY21" s="487"/>
      <c r="AZ21" s="487"/>
    </row>
    <row r="22" ht="17.5" customHeight="1">
      <c r="A22" t="s" s="265">
        <v>3107</v>
      </c>
      <c r="B22" s="487"/>
      <c r="C22" s="487">
        <v>5</v>
      </c>
      <c r="D22" t="s" s="27">
        <v>3069</v>
      </c>
      <c r="E22" t="s" s="496">
        <v>2558</v>
      </c>
      <c r="F22" t="s" s="101">
        <v>3110</v>
      </c>
      <c r="G22" s="497">
        <v>20</v>
      </c>
      <c r="H22" s="84">
        <v>1</v>
      </c>
      <c r="I22" s="487"/>
      <c r="J22" s="487"/>
      <c r="K22" s="487"/>
      <c r="L22" t="s" s="499">
        <v>72</v>
      </c>
      <c r="M22" s="487">
        <v>1</v>
      </c>
      <c r="N22" s="86"/>
      <c r="O22" s="86"/>
      <c r="P22" s="86"/>
      <c r="Q22" s="86"/>
      <c r="R22" s="502">
        <v>35</v>
      </c>
      <c r="S22" s="86"/>
      <c r="T22" s="86"/>
      <c r="U22" s="86"/>
      <c r="V22" s="487"/>
      <c r="W22" s="487"/>
      <c r="X22" s="487"/>
      <c r="Y22" t="s" s="496">
        <v>3111</v>
      </c>
      <c r="Z22" t="s" s="498">
        <v>8</v>
      </c>
      <c r="AA22" s="84">
        <v>1</v>
      </c>
      <c r="AB22" s="487">
        <v>1</v>
      </c>
      <c r="AC22" s="487"/>
      <c r="AD22" t="s" s="499">
        <v>3112</v>
      </c>
      <c r="AE22" s="487">
        <v>1</v>
      </c>
      <c r="AF22" s="487"/>
      <c r="AG22" s="487"/>
      <c r="AH22" s="487"/>
      <c r="AI22" s="487"/>
      <c r="AJ22" s="487"/>
      <c r="AK22" s="487"/>
      <c r="AL22" s="487"/>
      <c r="AM22" s="487"/>
      <c r="AN22" s="487"/>
      <c r="AO22" s="487"/>
      <c r="AP22" s="487"/>
      <c r="AQ22" s="487"/>
      <c r="AR22" s="487"/>
      <c r="AS22" s="487"/>
      <c r="AT22" s="487"/>
      <c r="AU22" s="487"/>
      <c r="AV22" s="487"/>
      <c r="AW22" s="487"/>
      <c r="AX22" s="487"/>
      <c r="AY22" s="487"/>
      <c r="AZ22" s="487"/>
    </row>
    <row r="23" ht="17.5" customHeight="1">
      <c r="A23" s="503"/>
      <c r="B23" s="487"/>
      <c r="C23" s="487"/>
      <c r="D23" s="84"/>
      <c r="E23" s="504"/>
      <c r="F23" s="475"/>
      <c r="G23" s="505"/>
      <c r="H23" s="84"/>
      <c r="I23" s="487"/>
      <c r="J23" s="487"/>
      <c r="K23" s="487"/>
      <c r="L23" s="506"/>
      <c r="M23" s="487"/>
      <c r="N23" s="86"/>
      <c r="O23" s="86"/>
      <c r="P23" s="86"/>
      <c r="Q23" s="86"/>
      <c r="R23" s="506"/>
      <c r="S23" s="86"/>
      <c r="T23" s="86"/>
      <c r="U23" s="86"/>
      <c r="V23" s="487"/>
      <c r="W23" s="487"/>
      <c r="X23" s="487"/>
      <c r="Y23" s="504"/>
      <c r="Z23" s="505"/>
      <c r="AA23" s="84"/>
      <c r="AB23" s="487"/>
      <c r="AC23" s="487"/>
      <c r="AD23" s="506"/>
      <c r="AE23" s="487"/>
      <c r="AF23" s="487"/>
      <c r="AG23" s="487"/>
      <c r="AH23" s="487"/>
      <c r="AI23" s="487"/>
      <c r="AJ23" s="487"/>
      <c r="AK23" s="487"/>
      <c r="AL23" s="487"/>
      <c r="AM23" s="487"/>
      <c r="AN23" s="487"/>
      <c r="AO23" s="487"/>
      <c r="AP23" s="487"/>
      <c r="AQ23" s="487"/>
      <c r="AR23" s="487"/>
      <c r="AS23" s="487"/>
      <c r="AT23" s="487"/>
      <c r="AU23" s="487"/>
      <c r="AV23" s="487"/>
      <c r="AW23" s="487"/>
      <c r="AX23" s="487"/>
      <c r="AY23" s="487"/>
      <c r="AZ23" s="487"/>
    </row>
    <row r="24" ht="17" customHeight="1">
      <c r="A24" s="475"/>
      <c r="B24" s="507"/>
      <c r="C24" s="508"/>
      <c r="D24" t="s" s="27">
        <v>3069</v>
      </c>
      <c r="E24" t="s" s="496">
        <v>1</v>
      </c>
      <c r="F24" t="s" s="101">
        <v>0</v>
      </c>
      <c r="G24" s="475"/>
      <c r="H24" s="507"/>
      <c r="I24" s="507"/>
      <c r="J24" s="507"/>
      <c r="K24" s="507"/>
      <c r="L24" t="s" s="101">
        <v>2</v>
      </c>
      <c r="M24" t="s" s="491">
        <v>3</v>
      </c>
      <c r="N24" s="507"/>
      <c r="O24" s="507"/>
      <c r="P24" s="507"/>
      <c r="Q24" s="507"/>
      <c r="R24" t="s" s="101">
        <v>5</v>
      </c>
      <c r="S24" s="507"/>
      <c r="T24" s="507"/>
      <c r="U24" s="507"/>
      <c r="V24" s="507"/>
      <c r="W24" s="507"/>
      <c r="X24" s="507"/>
      <c r="Y24" t="s" s="101">
        <v>7</v>
      </c>
      <c r="Z24" t="s" s="101">
        <v>8</v>
      </c>
      <c r="AA24" s="507"/>
      <c r="AB24" s="507"/>
      <c r="AC24" s="507"/>
      <c r="AD24" t="s" s="101">
        <v>6</v>
      </c>
      <c r="AE24" s="507"/>
      <c r="AF24" s="507"/>
      <c r="AG24" s="507"/>
      <c r="AH24" s="507"/>
      <c r="AI24" s="507"/>
      <c r="AJ24" s="507"/>
      <c r="AK24" s="507"/>
      <c r="AL24" s="507"/>
      <c r="AM24" s="507"/>
      <c r="AN24" s="507"/>
      <c r="AO24" s="507"/>
      <c r="AP24" s="507"/>
      <c r="AQ24" s="507"/>
      <c r="AR24" s="507"/>
      <c r="AS24" s="507"/>
      <c r="AT24" s="507"/>
      <c r="AU24" s="507"/>
      <c r="AV24" s="507"/>
      <c r="AW24" s="507"/>
      <c r="AX24" s="507"/>
      <c r="AY24" s="507"/>
      <c r="AZ24" s="507"/>
    </row>
    <row r="25" ht="17" customHeight="1">
      <c r="A25" t="s" s="101">
        <v>3113</v>
      </c>
      <c r="B25" t="s" s="101">
        <v>3114</v>
      </c>
      <c r="C25" s="505"/>
      <c r="D25" t="s" s="27">
        <v>3069</v>
      </c>
      <c r="E25" t="s" s="496">
        <v>386</v>
      </c>
      <c r="F25" t="s" s="101">
        <v>3115</v>
      </c>
      <c r="G25" s="493">
        <v>21</v>
      </c>
      <c r="H25" s="475"/>
      <c r="I25" s="493">
        <v>1</v>
      </c>
      <c r="J25" s="475"/>
      <c r="K25" s="475"/>
      <c r="L25" s="493">
        <v>1</v>
      </c>
      <c r="M25" t="s" s="101">
        <v>37</v>
      </c>
      <c r="N25" s="475"/>
      <c r="O25" s="475"/>
      <c r="P25" s="475"/>
      <c r="Q25" s="475"/>
      <c r="R25" s="493">
        <v>53</v>
      </c>
      <c r="S25" s="475"/>
      <c r="T25" s="475"/>
      <c r="U25" s="475"/>
      <c r="V25" s="475"/>
      <c r="W25" s="475"/>
      <c r="X25" s="475"/>
      <c r="Y25" t="s" s="101">
        <v>3116</v>
      </c>
      <c r="Z25" t="s" s="101">
        <v>8</v>
      </c>
      <c r="AA25" s="493">
        <v>1</v>
      </c>
      <c r="AB25" s="493">
        <v>1</v>
      </c>
      <c r="AC25" s="475"/>
      <c r="AD25" t="s" s="101">
        <v>13</v>
      </c>
      <c r="AE25" s="475"/>
      <c r="AF25" s="475"/>
      <c r="AG25" s="475"/>
      <c r="AH25" s="475"/>
      <c r="AI25" s="475"/>
      <c r="AJ25" s="475"/>
      <c r="AK25" s="475"/>
      <c r="AL25" s="475"/>
      <c r="AM25" s="475"/>
      <c r="AN25" s="475"/>
      <c r="AO25" s="475"/>
      <c r="AP25" s="475"/>
      <c r="AQ25" s="475"/>
      <c r="AR25" s="475"/>
      <c r="AS25" s="475"/>
      <c r="AT25" s="475"/>
      <c r="AU25" s="475"/>
      <c r="AV25" s="475"/>
      <c r="AW25" s="475"/>
      <c r="AX25" s="475"/>
      <c r="AY25" s="475"/>
      <c r="AZ25" s="475"/>
    </row>
    <row r="26" ht="17" customHeight="1">
      <c r="A26" t="s" s="101">
        <v>3113</v>
      </c>
      <c r="B26" t="s" s="101">
        <v>3114</v>
      </c>
      <c r="C26" s="505"/>
      <c r="D26" t="s" s="27">
        <v>3069</v>
      </c>
      <c r="E26" t="s" s="496">
        <v>386</v>
      </c>
      <c r="F26" t="s" s="101">
        <v>1363</v>
      </c>
      <c r="G26" s="493">
        <v>22</v>
      </c>
      <c r="H26" s="493">
        <v>1</v>
      </c>
      <c r="I26" s="475"/>
      <c r="J26" s="475"/>
      <c r="K26" s="475"/>
      <c r="L26" t="s" s="101">
        <v>72</v>
      </c>
      <c r="M26" s="493">
        <v>1</v>
      </c>
      <c r="N26" s="475"/>
      <c r="O26" s="475"/>
      <c r="P26" s="475"/>
      <c r="Q26" s="475"/>
      <c r="R26" s="493">
        <v>60</v>
      </c>
      <c r="S26" s="475"/>
      <c r="T26" s="475"/>
      <c r="U26" s="475"/>
      <c r="V26" s="475"/>
      <c r="W26" s="475"/>
      <c r="X26" s="475"/>
      <c r="Y26" t="s" s="101">
        <v>33</v>
      </c>
      <c r="Z26" t="s" s="101">
        <v>34</v>
      </c>
      <c r="AA26" s="475"/>
      <c r="AB26" s="475"/>
      <c r="AC26" s="475"/>
      <c r="AD26" t="s" s="101">
        <v>1140</v>
      </c>
      <c r="AE26" s="493">
        <v>1</v>
      </c>
      <c r="AF26" s="475"/>
      <c r="AG26" s="475"/>
      <c r="AH26" s="475"/>
      <c r="AI26" s="475"/>
      <c r="AJ26" s="475"/>
      <c r="AK26" s="475"/>
      <c r="AL26" s="475"/>
      <c r="AM26" s="475"/>
      <c r="AN26" s="475"/>
      <c r="AO26" s="475"/>
      <c r="AP26" s="475"/>
      <c r="AQ26" s="475"/>
      <c r="AR26" s="475"/>
      <c r="AS26" s="475"/>
      <c r="AT26" s="475"/>
      <c r="AU26" s="475"/>
      <c r="AV26" s="475"/>
      <c r="AW26" s="475"/>
      <c r="AX26" s="475"/>
      <c r="AY26" s="475"/>
      <c r="AZ26" s="475"/>
    </row>
    <row r="27" ht="17" customHeight="1">
      <c r="A27" t="s" s="101">
        <v>3113</v>
      </c>
      <c r="B27" t="s" s="101">
        <v>3114</v>
      </c>
      <c r="C27" s="505"/>
      <c r="D27" t="s" s="27">
        <v>3069</v>
      </c>
      <c r="E27" t="s" s="496">
        <v>386</v>
      </c>
      <c r="F27" t="s" s="101">
        <v>3117</v>
      </c>
      <c r="G27" s="493">
        <v>23</v>
      </c>
      <c r="H27" s="493">
        <v>1</v>
      </c>
      <c r="I27" s="475"/>
      <c r="J27" s="475"/>
      <c r="K27" s="475"/>
      <c r="L27" t="s" s="101">
        <v>78</v>
      </c>
      <c r="M27" t="s" s="101">
        <v>12</v>
      </c>
      <c r="N27" s="493">
        <v>1</v>
      </c>
      <c r="O27" s="475"/>
      <c r="P27" s="475"/>
      <c r="Q27" s="475"/>
      <c r="R27" s="493">
        <v>28</v>
      </c>
      <c r="S27" s="475"/>
      <c r="T27" s="475"/>
      <c r="U27" s="475"/>
      <c r="V27" s="475"/>
      <c r="W27" s="475"/>
      <c r="X27" s="475"/>
      <c r="Y27" t="s" s="101">
        <v>34</v>
      </c>
      <c r="Z27" t="s" s="101">
        <v>34</v>
      </c>
      <c r="AA27" s="475"/>
      <c r="AB27" s="475"/>
      <c r="AC27" s="475"/>
      <c r="AD27" t="s" s="101">
        <v>13</v>
      </c>
      <c r="AE27" s="475"/>
      <c r="AF27" s="475"/>
      <c r="AG27" s="475"/>
      <c r="AH27" s="475"/>
      <c r="AI27" s="475"/>
      <c r="AJ27" s="475"/>
      <c r="AK27" s="475"/>
      <c r="AL27" s="475"/>
      <c r="AM27" s="475"/>
      <c r="AN27" s="475"/>
      <c r="AO27" s="475"/>
      <c r="AP27" s="475"/>
      <c r="AQ27" s="475"/>
      <c r="AR27" s="475"/>
      <c r="AS27" s="475"/>
      <c r="AT27" s="475"/>
      <c r="AU27" s="475"/>
      <c r="AV27" s="475"/>
      <c r="AW27" s="475"/>
      <c r="AX27" s="475"/>
      <c r="AY27" s="475"/>
      <c r="AZ27" s="475"/>
    </row>
    <row r="28" ht="17" customHeight="1">
      <c r="A28" t="s" s="101">
        <v>3113</v>
      </c>
      <c r="B28" t="s" s="101">
        <v>3114</v>
      </c>
      <c r="C28" s="505"/>
      <c r="D28" t="s" s="27">
        <v>3069</v>
      </c>
      <c r="E28" t="s" s="496">
        <v>386</v>
      </c>
      <c r="F28" t="s" s="101">
        <v>153</v>
      </c>
      <c r="G28" s="493">
        <v>24</v>
      </c>
      <c r="H28" s="475"/>
      <c r="I28" s="493">
        <v>1</v>
      </c>
      <c r="J28" s="475"/>
      <c r="K28" s="475"/>
      <c r="L28" t="s" s="101">
        <v>2997</v>
      </c>
      <c r="M28" t="s" s="101">
        <v>37</v>
      </c>
      <c r="N28" s="475"/>
      <c r="O28" s="475"/>
      <c r="P28" s="493">
        <v>1</v>
      </c>
      <c r="Q28" s="475"/>
      <c r="R28" s="493">
        <v>85</v>
      </c>
      <c r="S28" s="475"/>
      <c r="T28" s="475"/>
      <c r="U28" s="475"/>
      <c r="V28" s="475"/>
      <c r="W28" s="475"/>
      <c r="X28" s="475"/>
      <c r="Y28" t="s" s="101">
        <v>34</v>
      </c>
      <c r="Z28" t="s" s="101">
        <v>34</v>
      </c>
      <c r="AA28" s="475"/>
      <c r="AB28" s="475"/>
      <c r="AC28" s="475"/>
      <c r="AD28" t="s" s="101">
        <v>13</v>
      </c>
      <c r="AE28" s="475"/>
      <c r="AF28" s="475"/>
      <c r="AG28" s="475"/>
      <c r="AH28" s="475"/>
      <c r="AI28" s="475"/>
      <c r="AJ28" s="475"/>
      <c r="AK28" s="475"/>
      <c r="AL28" s="475"/>
      <c r="AM28" s="475"/>
      <c r="AN28" s="475"/>
      <c r="AO28" s="475"/>
      <c r="AP28" s="475"/>
      <c r="AQ28" s="475"/>
      <c r="AR28" s="475"/>
      <c r="AS28" s="475"/>
      <c r="AT28" s="475"/>
      <c r="AU28" s="475"/>
      <c r="AV28" s="475"/>
      <c r="AW28" s="475"/>
      <c r="AX28" s="475"/>
      <c r="AY28" s="475"/>
      <c r="AZ28" s="475"/>
    </row>
    <row r="29" ht="17" customHeight="1">
      <c r="A29" t="s" s="101">
        <v>3113</v>
      </c>
      <c r="B29" t="s" s="101">
        <v>3114</v>
      </c>
      <c r="C29" s="505"/>
      <c r="D29" t="s" s="27">
        <v>3069</v>
      </c>
      <c r="E29" t="s" s="496">
        <v>1883</v>
      </c>
      <c r="F29" t="s" s="101">
        <v>3118</v>
      </c>
      <c r="G29" s="493">
        <v>25</v>
      </c>
      <c r="H29" s="493">
        <v>1</v>
      </c>
      <c r="I29" s="475"/>
      <c r="J29" s="475"/>
      <c r="K29" s="475"/>
      <c r="L29" t="s" s="101">
        <v>11</v>
      </c>
      <c r="M29" t="s" s="101">
        <v>12</v>
      </c>
      <c r="N29" s="475"/>
      <c r="O29" s="475"/>
      <c r="P29" s="475"/>
      <c r="Q29" s="493">
        <v>1</v>
      </c>
      <c r="R29" s="493">
        <v>44</v>
      </c>
      <c r="S29" s="475"/>
      <c r="T29" s="475"/>
      <c r="U29" s="475"/>
      <c r="V29" s="475"/>
      <c r="W29" s="475"/>
      <c r="X29" s="475"/>
      <c r="Y29" t="s" s="101">
        <v>45</v>
      </c>
      <c r="Z29" t="s" s="101">
        <v>15</v>
      </c>
      <c r="AA29" s="493">
        <v>1</v>
      </c>
      <c r="AB29" s="475"/>
      <c r="AC29" s="475"/>
      <c r="AD29" t="s" s="101">
        <v>3119</v>
      </c>
      <c r="AE29" s="493">
        <v>1</v>
      </c>
      <c r="AF29" s="475"/>
      <c r="AG29" s="475"/>
      <c r="AH29" s="475"/>
      <c r="AI29" s="475"/>
      <c r="AJ29" s="475"/>
      <c r="AK29" s="475"/>
      <c r="AL29" s="475"/>
      <c r="AM29" s="475"/>
      <c r="AN29" s="475"/>
      <c r="AO29" s="475"/>
      <c r="AP29" s="475"/>
      <c r="AQ29" s="475"/>
      <c r="AR29" s="475"/>
      <c r="AS29" s="475"/>
      <c r="AT29" s="475"/>
      <c r="AU29" s="475"/>
      <c r="AV29" s="475"/>
      <c r="AW29" s="475"/>
      <c r="AX29" s="475"/>
      <c r="AY29" s="475"/>
      <c r="AZ29" s="475"/>
    </row>
    <row r="30" ht="17" customHeight="1">
      <c r="A30" t="s" s="101">
        <v>3113</v>
      </c>
      <c r="B30" t="s" s="101">
        <v>3114</v>
      </c>
      <c r="C30" s="505"/>
      <c r="D30" t="s" s="27">
        <v>3069</v>
      </c>
      <c r="E30" t="s" s="496">
        <v>3120</v>
      </c>
      <c r="F30" t="s" s="101">
        <v>3121</v>
      </c>
      <c r="G30" s="493">
        <v>26</v>
      </c>
      <c r="H30" s="493">
        <v>1</v>
      </c>
      <c r="I30" s="475"/>
      <c r="J30" s="475"/>
      <c r="K30" s="475"/>
      <c r="L30" t="s" s="101">
        <v>11</v>
      </c>
      <c r="M30" t="s" s="101">
        <v>12</v>
      </c>
      <c r="N30" s="475"/>
      <c r="O30" s="475"/>
      <c r="P30" s="475"/>
      <c r="Q30" s="493">
        <v>1</v>
      </c>
      <c r="R30" s="493">
        <v>43</v>
      </c>
      <c r="S30" s="475"/>
      <c r="T30" s="475"/>
      <c r="U30" s="475"/>
      <c r="V30" s="475"/>
      <c r="W30" s="475"/>
      <c r="X30" s="475"/>
      <c r="Y30" t="s" s="101">
        <v>51</v>
      </c>
      <c r="Z30" t="s" s="101">
        <v>15</v>
      </c>
      <c r="AA30" s="493">
        <v>1</v>
      </c>
      <c r="AB30" s="475"/>
      <c r="AC30" s="475"/>
      <c r="AD30" t="s" s="101">
        <v>239</v>
      </c>
      <c r="AE30" s="493">
        <v>1</v>
      </c>
      <c r="AF30" s="475"/>
      <c r="AG30" s="475"/>
      <c r="AH30" s="475"/>
      <c r="AI30" s="475"/>
      <c r="AJ30" s="475"/>
      <c r="AK30" s="475"/>
      <c r="AL30" s="475"/>
      <c r="AM30" s="475"/>
      <c r="AN30" s="475"/>
      <c r="AO30" s="475"/>
      <c r="AP30" s="475"/>
      <c r="AQ30" s="475"/>
      <c r="AR30" s="475"/>
      <c r="AS30" s="475"/>
      <c r="AT30" s="475"/>
      <c r="AU30" s="475"/>
      <c r="AV30" s="475"/>
      <c r="AW30" s="475"/>
      <c r="AX30" s="475"/>
      <c r="AY30" s="475"/>
      <c r="AZ30" s="475"/>
    </row>
    <row r="31" ht="17" customHeight="1">
      <c r="A31" t="s" s="101">
        <v>3113</v>
      </c>
      <c r="B31" t="s" s="101">
        <v>3114</v>
      </c>
      <c r="C31" s="505"/>
      <c r="D31" t="s" s="27">
        <v>3069</v>
      </c>
      <c r="E31" t="s" s="496">
        <v>3120</v>
      </c>
      <c r="F31" t="s" s="101">
        <v>3122</v>
      </c>
      <c r="G31" s="493">
        <v>27</v>
      </c>
      <c r="H31" s="493">
        <v>1</v>
      </c>
      <c r="I31" s="475"/>
      <c r="J31" s="475"/>
      <c r="K31" s="475"/>
      <c r="L31" t="s" s="101">
        <v>11</v>
      </c>
      <c r="M31" t="s" s="101">
        <v>12</v>
      </c>
      <c r="N31" s="475"/>
      <c r="O31" s="475"/>
      <c r="P31" s="475"/>
      <c r="Q31" s="493">
        <v>1</v>
      </c>
      <c r="R31" s="493">
        <v>32</v>
      </c>
      <c r="S31" s="475"/>
      <c r="T31" s="475"/>
      <c r="U31" s="475"/>
      <c r="V31" s="475"/>
      <c r="W31" s="475"/>
      <c r="X31" s="475"/>
      <c r="Y31" t="s" s="101">
        <v>55</v>
      </c>
      <c r="Z31" t="s" s="101">
        <v>15</v>
      </c>
      <c r="AA31" s="493">
        <v>1</v>
      </c>
      <c r="AB31" s="475"/>
      <c r="AC31" s="475"/>
      <c r="AD31" t="s" s="101">
        <v>239</v>
      </c>
      <c r="AE31" s="493">
        <v>1</v>
      </c>
      <c r="AF31" s="475"/>
      <c r="AG31" s="475"/>
      <c r="AH31" s="475"/>
      <c r="AI31" s="475"/>
      <c r="AJ31" s="475"/>
      <c r="AK31" s="475"/>
      <c r="AL31" s="475"/>
      <c r="AM31" s="475"/>
      <c r="AN31" s="475"/>
      <c r="AO31" s="475"/>
      <c r="AP31" s="475"/>
      <c r="AQ31" s="475"/>
      <c r="AR31" s="475"/>
      <c r="AS31" s="475"/>
      <c r="AT31" s="475"/>
      <c r="AU31" s="475"/>
      <c r="AV31" s="475"/>
      <c r="AW31" s="475"/>
      <c r="AX31" s="475"/>
      <c r="AY31" s="475"/>
      <c r="AZ31" s="475"/>
    </row>
    <row r="32" ht="17" customHeight="1">
      <c r="A32" t="s" s="101">
        <v>3113</v>
      </c>
      <c r="B32" t="s" s="101">
        <v>3114</v>
      </c>
      <c r="C32" s="505"/>
      <c r="D32" t="s" s="27">
        <v>3069</v>
      </c>
      <c r="E32" t="s" s="496">
        <v>3120</v>
      </c>
      <c r="F32" t="s" s="101">
        <v>3123</v>
      </c>
      <c r="G32" s="493">
        <v>28</v>
      </c>
      <c r="H32" s="493">
        <v>1</v>
      </c>
      <c r="I32" s="475"/>
      <c r="J32" s="475"/>
      <c r="K32" s="475"/>
      <c r="L32" t="s" s="101">
        <v>11</v>
      </c>
      <c r="M32" t="s" s="101">
        <v>12</v>
      </c>
      <c r="N32" s="475"/>
      <c r="O32" s="475"/>
      <c r="P32" s="475"/>
      <c r="Q32" s="493">
        <v>1</v>
      </c>
      <c r="R32" s="493">
        <v>32</v>
      </c>
      <c r="S32" s="475"/>
      <c r="T32" s="475"/>
      <c r="U32" s="475"/>
      <c r="V32" s="475"/>
      <c r="W32" s="475"/>
      <c r="X32" s="475"/>
      <c r="Y32" t="s" s="101">
        <v>1627</v>
      </c>
      <c r="Z32" t="s" s="101">
        <v>15</v>
      </c>
      <c r="AA32" s="493">
        <v>1</v>
      </c>
      <c r="AB32" s="475"/>
      <c r="AC32" s="475"/>
      <c r="AD32" t="s" s="101">
        <v>2014</v>
      </c>
      <c r="AE32" s="493">
        <v>1</v>
      </c>
      <c r="AF32" s="475"/>
      <c r="AG32" s="475"/>
      <c r="AH32" s="475"/>
      <c r="AI32" s="475"/>
      <c r="AJ32" s="475"/>
      <c r="AK32" s="475"/>
      <c r="AL32" s="475"/>
      <c r="AM32" s="475"/>
      <c r="AN32" s="475"/>
      <c r="AO32" s="475"/>
      <c r="AP32" s="475"/>
      <c r="AQ32" s="475"/>
      <c r="AR32" s="475"/>
      <c r="AS32" s="475"/>
      <c r="AT32" s="475"/>
      <c r="AU32" s="475"/>
      <c r="AV32" s="475"/>
      <c r="AW32" s="475"/>
      <c r="AX32" s="475"/>
      <c r="AY32" s="475"/>
      <c r="AZ32" s="475"/>
    </row>
    <row r="33" ht="17" customHeight="1">
      <c r="A33" t="s" s="101">
        <v>3113</v>
      </c>
      <c r="B33" t="s" s="509">
        <v>3114</v>
      </c>
      <c r="C33" s="510"/>
      <c r="D33" t="s" s="27">
        <v>3069</v>
      </c>
      <c r="E33" t="s" s="496">
        <v>3124</v>
      </c>
      <c r="F33" t="s" s="101">
        <v>2638</v>
      </c>
      <c r="G33" s="493">
        <v>29</v>
      </c>
      <c r="H33" s="511">
        <v>1</v>
      </c>
      <c r="I33" s="512"/>
      <c r="J33" s="512"/>
      <c r="K33" s="512"/>
      <c r="L33" t="s" s="101">
        <v>11</v>
      </c>
      <c r="M33" t="s" s="509">
        <v>12</v>
      </c>
      <c r="N33" s="512"/>
      <c r="O33" s="512"/>
      <c r="P33" s="512"/>
      <c r="Q33" s="511">
        <v>1</v>
      </c>
      <c r="R33" s="493">
        <v>25</v>
      </c>
      <c r="S33" s="512"/>
      <c r="T33" s="512"/>
      <c r="U33" s="512"/>
      <c r="V33" s="512"/>
      <c r="W33" s="512"/>
      <c r="X33" s="512"/>
      <c r="Y33" t="s" s="101">
        <v>55</v>
      </c>
      <c r="Z33" t="s" s="101">
        <v>15</v>
      </c>
      <c r="AA33" s="511">
        <v>1</v>
      </c>
      <c r="AB33" s="512"/>
      <c r="AC33" s="512"/>
      <c r="AD33" t="s" s="101">
        <v>3125</v>
      </c>
      <c r="AE33" s="511">
        <v>1</v>
      </c>
      <c r="AF33" s="512"/>
      <c r="AG33" s="512"/>
      <c r="AH33" s="512"/>
      <c r="AI33" s="512"/>
      <c r="AJ33" s="512"/>
      <c r="AK33" s="512"/>
      <c r="AL33" s="512"/>
      <c r="AM33" s="512"/>
      <c r="AN33" s="512"/>
      <c r="AO33" s="512"/>
      <c r="AP33" s="512"/>
      <c r="AQ33" s="512"/>
      <c r="AR33" s="512"/>
      <c r="AS33" s="512"/>
      <c r="AT33" s="512"/>
      <c r="AU33" s="512"/>
      <c r="AV33" s="512"/>
      <c r="AW33" s="512"/>
      <c r="AX33" s="512"/>
      <c r="AY33" s="512"/>
      <c r="AZ33" s="512"/>
    </row>
    <row r="34" ht="17.5" customHeight="1">
      <c r="A34" s="513"/>
      <c r="B34" s="487"/>
      <c r="C34" s="487"/>
      <c r="D34" s="84"/>
      <c r="E34" s="514"/>
      <c r="F34" s="512"/>
      <c r="G34" s="510"/>
      <c r="H34" s="84"/>
      <c r="I34" s="487"/>
      <c r="J34" s="487"/>
      <c r="K34" s="487"/>
      <c r="L34" s="515"/>
      <c r="M34" s="487"/>
      <c r="N34" s="86"/>
      <c r="O34" s="86"/>
      <c r="P34" s="86"/>
      <c r="Q34" s="86"/>
      <c r="R34" s="515"/>
      <c r="S34" s="86"/>
      <c r="T34" s="86"/>
      <c r="U34" s="86"/>
      <c r="V34" s="487"/>
      <c r="W34" s="487"/>
      <c r="X34" s="487"/>
      <c r="Y34" s="514"/>
      <c r="Z34" s="510"/>
      <c r="AA34" s="84"/>
      <c r="AB34" s="487"/>
      <c r="AC34" s="487"/>
      <c r="AD34" s="515"/>
      <c r="AE34" s="487"/>
      <c r="AF34" s="487"/>
      <c r="AG34" s="487"/>
      <c r="AH34" s="487"/>
      <c r="AI34" s="487"/>
      <c r="AJ34" s="487"/>
      <c r="AK34" s="487"/>
      <c r="AL34" s="487"/>
      <c r="AM34" s="487"/>
      <c r="AN34" s="487"/>
      <c r="AO34" s="487"/>
      <c r="AP34" s="487"/>
      <c r="AQ34" s="487"/>
      <c r="AR34" s="487"/>
      <c r="AS34" s="487"/>
      <c r="AT34" s="487"/>
      <c r="AU34" s="487"/>
      <c r="AV34" s="487"/>
      <c r="AW34" s="487"/>
      <c r="AX34" s="487"/>
      <c r="AY34" s="487"/>
      <c r="AZ34" s="487"/>
    </row>
    <row r="35" ht="17" customHeight="1">
      <c r="A35" t="s" s="337">
        <v>723</v>
      </c>
      <c r="B35" s="487"/>
      <c r="C35" s="487">
        <v>7</v>
      </c>
      <c r="D35" s="487"/>
      <c r="E35" s="487"/>
      <c r="F35" s="487"/>
      <c r="G35" s="487">
        <v>29</v>
      </c>
      <c r="H35" s="487" cm="1">
        <f t="array" ref="H35">SUM(H3:H33)</f>
        <v>22</v>
      </c>
      <c r="I35" s="487" cm="1">
        <f t="array" ref="I35">SUM(I3:I33)</f>
        <v>7</v>
      </c>
      <c r="J35" s="487" cm="1">
        <f t="array" ref="J35">SUM(J3:J33)</f>
        <v>0</v>
      </c>
      <c r="K35" s="487" cm="1">
        <f t="array" ref="K35">SUM(K3:K33)</f>
        <v>0</v>
      </c>
      <c r="L35" s="487" cm="1">
        <f t="array" ref="L35">SUM(L3:L33)</f>
        <v>7</v>
      </c>
      <c r="M35" s="487" cm="1">
        <f t="array" ref="M35">SUM(M3:M33)</f>
        <v>4</v>
      </c>
      <c r="N35" s="487" cm="1">
        <f t="array" ref="N35">SUM(N3:N33)</f>
        <v>1</v>
      </c>
      <c r="O35" s="487" cm="1">
        <f t="array" ref="O35">SUM(O3:O33)</f>
        <v>0</v>
      </c>
      <c r="P35" s="487" cm="1">
        <f t="array" ref="P35">SUM(P3:P33)</f>
        <v>4</v>
      </c>
      <c r="Q35" s="487" cm="1">
        <f t="array" ref="Q35">SUM(Q3:Q33)</f>
        <v>13</v>
      </c>
      <c r="R35" s="487" cm="1">
        <f t="array" ref="R35">SUM(R3:R33)</f>
        <v>1185</v>
      </c>
      <c r="S35" s="487" cm="1">
        <f t="array" ref="S35">SUM(S3:S33)</f>
        <v>0</v>
      </c>
      <c r="T35" s="487" cm="1">
        <f t="array" ref="T35">SUM(T3:T33)</f>
        <v>0</v>
      </c>
      <c r="U35" s="487" cm="1">
        <f t="array" ref="U35">SUM(U3:U33)</f>
        <v>0</v>
      </c>
      <c r="V35" s="487" cm="1">
        <f t="array" ref="V35">SUM(V3:V33)</f>
        <v>0</v>
      </c>
      <c r="W35" s="487" cm="1">
        <f t="array" ref="W35">SUM(W3:W33)</f>
        <v>0</v>
      </c>
      <c r="X35" s="487" cm="1">
        <f t="array" ref="X35">SUM(X3:X33)</f>
        <v>0</v>
      </c>
      <c r="Y35" s="487" cm="1">
        <f t="array" ref="Y35">SUM(Y3:Y33)</f>
        <v>0</v>
      </c>
      <c r="Z35" s="487" cm="1">
        <f t="array" ref="Z35">SUM(Z3:Z33)</f>
        <v>0</v>
      </c>
      <c r="AA35" s="487" cm="1">
        <f t="array" ref="AA35">SUM(AA3:AA33)</f>
        <v>21</v>
      </c>
      <c r="AB35" s="487" cm="1">
        <f t="array" ref="AB35">SUM(AB3:AB33)</f>
        <v>5</v>
      </c>
      <c r="AC35" s="487" cm="1">
        <f t="array" ref="AC35">AA35-AB35</f>
        <v>16</v>
      </c>
      <c r="AD35" s="487" cm="1">
        <f t="array" ref="AD35">L36-AE35</f>
        <v>10</v>
      </c>
      <c r="AE35" s="487" cm="1">
        <f t="array" ref="AE35">SUM(AE3:AE33)</f>
        <v>19</v>
      </c>
      <c r="AF35" s="487"/>
      <c r="AG35" s="487"/>
      <c r="AH35" s="487"/>
      <c r="AI35" s="487"/>
      <c r="AJ35" s="487"/>
      <c r="AK35" s="487"/>
      <c r="AL35" s="487"/>
      <c r="AM35" s="487"/>
      <c r="AN35" s="487"/>
      <c r="AO35" s="487"/>
      <c r="AP35" s="487"/>
      <c r="AQ35" s="487"/>
      <c r="AR35" s="487"/>
      <c r="AS35" s="487"/>
      <c r="AT35" s="487"/>
      <c r="AU35" s="487"/>
      <c r="AV35" s="487"/>
      <c r="AW35" s="487"/>
      <c r="AX35" s="487"/>
      <c r="AY35" s="487"/>
      <c r="AZ35" s="487"/>
    </row>
    <row r="36" ht="17.5" customHeight="1">
      <c r="A36" s="487"/>
      <c r="B36" s="487"/>
      <c r="C36" s="487"/>
      <c r="D36" s="487"/>
      <c r="E36" s="487"/>
      <c r="F36" s="487"/>
      <c r="G36" s="487"/>
      <c r="H36" s="487" cm="1">
        <f t="array" ref="H36">H35+I35+J35+K35</f>
        <v>29</v>
      </c>
      <c r="I36" s="487"/>
      <c r="J36" s="487"/>
      <c r="K36" s="487"/>
      <c r="L36" s="487" cm="1">
        <f t="array" ref="L36">L35+M35+N35+O35+P35+Q35</f>
        <v>29</v>
      </c>
      <c r="M36" s="487"/>
      <c r="N36" s="86"/>
      <c r="O36" s="86"/>
      <c r="P36" s="86"/>
      <c r="Q36" s="86"/>
      <c r="R36" s="86" cm="1">
        <f t="array" ref="R36">R35/L36</f>
        <v>40.8620689655172</v>
      </c>
      <c r="S36" s="86"/>
      <c r="T36" s="86"/>
      <c r="U36" s="86"/>
      <c r="V36" s="487"/>
      <c r="W36" s="487"/>
      <c r="X36" s="487"/>
      <c r="Y36" s="487"/>
      <c r="Z36" s="487"/>
      <c r="AA36" s="487"/>
      <c r="AB36" s="487"/>
      <c r="AC36" s="487"/>
      <c r="AD36" s="487"/>
      <c r="AE36" s="487"/>
      <c r="AF36" s="487"/>
      <c r="AG36" s="487"/>
      <c r="AH36" s="487"/>
      <c r="AI36" s="487"/>
      <c r="AJ36" s="487"/>
      <c r="AK36" s="487"/>
      <c r="AL36" s="487"/>
      <c r="AM36" s="487"/>
      <c r="AN36" s="487"/>
      <c r="AO36" s="487"/>
      <c r="AP36" s="487"/>
      <c r="AQ36" s="487"/>
      <c r="AR36" s="487"/>
      <c r="AS36" s="487"/>
      <c r="AT36" s="487"/>
      <c r="AU36" s="487"/>
      <c r="AV36" s="487"/>
      <c r="AW36" s="487"/>
      <c r="AX36" s="487"/>
      <c r="AY36" s="487"/>
      <c r="AZ36" s="487"/>
    </row>
    <row r="37" ht="17.5" customHeight="1">
      <c r="A37" s="487"/>
      <c r="B37" s="487"/>
      <c r="C37" s="487"/>
      <c r="D37" s="487"/>
      <c r="E37" s="487"/>
      <c r="F37" s="487"/>
      <c r="G37" s="487"/>
      <c r="H37" s="487"/>
      <c r="I37" s="487"/>
      <c r="J37" s="487"/>
      <c r="K37" s="487"/>
      <c r="L37" s="487"/>
      <c r="M37" s="487"/>
      <c r="N37" s="86"/>
      <c r="O37" s="86"/>
      <c r="P37" s="86"/>
      <c r="Q37" s="86"/>
      <c r="R37" s="86"/>
      <c r="S37" s="86"/>
      <c r="T37" s="86"/>
      <c r="U37" s="86"/>
      <c r="V37" s="487"/>
      <c r="W37" s="487"/>
      <c r="X37" s="487"/>
      <c r="Y37" s="487"/>
      <c r="Z37" s="487"/>
      <c r="AA37" s="487"/>
      <c r="AB37" s="487"/>
      <c r="AC37" s="487"/>
      <c r="AD37" s="487"/>
      <c r="AE37" s="487"/>
      <c r="AF37" s="487"/>
      <c r="AG37" s="487"/>
      <c r="AH37" s="487"/>
      <c r="AI37" s="487"/>
      <c r="AJ37" s="487"/>
      <c r="AK37" s="487"/>
      <c r="AL37" s="487"/>
      <c r="AM37" s="487"/>
      <c r="AN37" s="487"/>
      <c r="AO37" s="487"/>
      <c r="AP37" s="487"/>
      <c r="AQ37" s="487"/>
      <c r="AR37" s="487"/>
      <c r="AS37" s="487"/>
      <c r="AT37" s="487"/>
      <c r="AU37" s="487"/>
      <c r="AV37" s="487"/>
      <c r="AW37" s="487"/>
      <c r="AX37" s="487"/>
      <c r="AY37" s="487"/>
      <c r="AZ37" s="487"/>
    </row>
    <row r="38" ht="17.5" customHeight="1">
      <c r="A38" s="516"/>
      <c r="B38" s="516"/>
      <c r="C38" s="516"/>
      <c r="D38" s="403"/>
      <c r="E38" s="516"/>
      <c r="F38" s="403"/>
      <c r="G38" s="403"/>
      <c r="H38" s="403"/>
      <c r="I38" s="403"/>
      <c r="J38" s="403"/>
      <c r="K38" s="403"/>
      <c r="L38" s="517"/>
      <c r="M38" s="403"/>
      <c r="N38" s="403"/>
      <c r="O38" s="403"/>
      <c r="P38" s="403"/>
      <c r="Q38" s="403"/>
      <c r="R38" s="517"/>
      <c r="S38" s="517"/>
      <c r="T38" s="517"/>
      <c r="U38" s="403"/>
      <c r="V38" s="403"/>
      <c r="W38" s="403"/>
      <c r="X38" s="403"/>
      <c r="Y38" s="403"/>
      <c r="Z38" s="403"/>
      <c r="AA38" s="403"/>
      <c r="AB38" s="403"/>
      <c r="AC38" s="403"/>
      <c r="AD38" s="403"/>
      <c r="AE38" s="403"/>
      <c r="AF38" s="487"/>
      <c r="AG38" s="487"/>
      <c r="AH38" s="487"/>
      <c r="AI38" s="487"/>
      <c r="AJ38" s="487"/>
      <c r="AK38" s="487"/>
      <c r="AL38" s="487"/>
      <c r="AM38" s="487"/>
      <c r="AN38" s="487"/>
      <c r="AO38" s="487"/>
      <c r="AP38" s="487"/>
      <c r="AQ38" s="487"/>
      <c r="AR38" s="487"/>
      <c r="AS38" s="487"/>
      <c r="AT38" s="487"/>
      <c r="AU38" s="487"/>
      <c r="AV38" s="487"/>
      <c r="AW38" s="487"/>
      <c r="AX38" s="487"/>
      <c r="AY38" s="487"/>
      <c r="AZ38" s="487"/>
    </row>
    <row r="39" ht="15.35" customHeight="1">
      <c r="A39" s="507"/>
      <c r="B39" s="507"/>
      <c r="C39" s="507"/>
      <c r="D39" s="507"/>
      <c r="E39" s="507"/>
      <c r="F39" s="507"/>
      <c r="G39" s="507"/>
      <c r="H39" s="507"/>
      <c r="I39" s="507"/>
      <c r="J39" s="507"/>
      <c r="K39" s="507"/>
      <c r="L39" s="475"/>
      <c r="M39" s="507"/>
      <c r="N39" s="507"/>
      <c r="O39" s="507"/>
      <c r="P39" s="507"/>
      <c r="Q39" s="507"/>
      <c r="R39" s="475"/>
      <c r="S39" s="475"/>
      <c r="T39" s="475"/>
      <c r="U39" s="507"/>
      <c r="V39" s="507"/>
      <c r="W39" s="507"/>
      <c r="X39" s="507"/>
      <c r="Y39" s="507"/>
      <c r="Z39" s="507"/>
      <c r="AA39" s="507"/>
      <c r="AB39" s="507"/>
      <c r="AC39" s="507"/>
      <c r="AD39" s="507"/>
      <c r="AE39" s="507"/>
      <c r="AF39" s="507"/>
      <c r="AG39" s="507"/>
      <c r="AH39" s="507"/>
      <c r="AI39" s="507"/>
      <c r="AJ39" s="507"/>
      <c r="AK39" s="507"/>
      <c r="AL39" s="507"/>
      <c r="AM39" s="507"/>
      <c r="AN39" s="507"/>
      <c r="AO39" s="507"/>
      <c r="AP39" s="507"/>
      <c r="AQ39" s="507"/>
      <c r="AR39" s="507"/>
      <c r="AS39" s="507"/>
      <c r="AT39" s="507"/>
      <c r="AU39" s="507"/>
      <c r="AV39" s="507"/>
      <c r="AW39" s="507"/>
      <c r="AX39" s="507"/>
      <c r="AY39" s="507"/>
      <c r="AZ39" s="507"/>
    </row>
    <row r="40" ht="15.35" customHeight="1">
      <c r="A40" s="475"/>
      <c r="B40" s="475"/>
      <c r="C40" s="475"/>
      <c r="D40" s="475"/>
      <c r="E40" t="s" s="101">
        <v>1</v>
      </c>
      <c r="F40" t="s" s="101">
        <v>0</v>
      </c>
      <c r="G40" s="475"/>
      <c r="H40" s="475"/>
      <c r="I40" s="475"/>
      <c r="J40" s="475"/>
      <c r="K40" s="475"/>
      <c r="L40" t="s" s="101">
        <v>2</v>
      </c>
      <c r="M40" t="s" s="101">
        <v>3</v>
      </c>
      <c r="N40" t="s" s="101">
        <v>4</v>
      </c>
      <c r="O40" t="s" s="101">
        <v>5</v>
      </c>
      <c r="P40" t="s" s="101">
        <v>6</v>
      </c>
      <c r="Q40" t="s" s="101">
        <v>7</v>
      </c>
      <c r="R40" t="s" s="101">
        <v>8</v>
      </c>
      <c r="S40" s="475"/>
      <c r="T40" s="475"/>
      <c r="U40" s="475"/>
      <c r="V40" s="475"/>
      <c r="W40" s="475"/>
      <c r="X40" s="475"/>
      <c r="Y40" s="475"/>
      <c r="Z40" s="475"/>
      <c r="AA40" s="475"/>
      <c r="AB40" s="475"/>
      <c r="AC40" s="475"/>
      <c r="AD40" s="475"/>
      <c r="AE40" s="475"/>
      <c r="AF40" s="475"/>
      <c r="AG40" s="475"/>
      <c r="AH40" s="475"/>
      <c r="AI40" s="475"/>
      <c r="AJ40" s="475"/>
      <c r="AK40" s="475"/>
      <c r="AL40" s="475"/>
      <c r="AM40" s="475"/>
      <c r="AN40" s="475"/>
      <c r="AO40" s="475"/>
      <c r="AP40" s="475"/>
      <c r="AQ40" s="475"/>
      <c r="AR40" s="475"/>
      <c r="AS40" s="475"/>
      <c r="AT40" s="475"/>
      <c r="AU40" s="475"/>
      <c r="AV40" s="475"/>
      <c r="AW40" s="475"/>
      <c r="AX40" s="475"/>
      <c r="AY40" s="475"/>
      <c r="AZ40" s="475"/>
    </row>
    <row r="41" ht="15.35" customHeight="1">
      <c r="A41" s="475"/>
      <c r="B41" s="475"/>
      <c r="C41" s="475"/>
      <c r="D41" s="475"/>
      <c r="E41" t="s" s="101">
        <v>3070</v>
      </c>
      <c r="F41" t="s" s="101">
        <v>3071</v>
      </c>
      <c r="G41" s="475"/>
      <c r="H41" s="475"/>
      <c r="I41" s="475"/>
      <c r="J41" s="475"/>
      <c r="K41" s="475"/>
      <c r="L41" t="s" s="101">
        <v>31</v>
      </c>
      <c r="M41" t="s" s="101">
        <v>12</v>
      </c>
      <c r="N41" s="493">
        <v>1862</v>
      </c>
      <c r="O41" s="493">
        <v>59</v>
      </c>
      <c r="P41" t="s" s="101">
        <v>785</v>
      </c>
      <c r="Q41" t="s" s="101">
        <v>34</v>
      </c>
      <c r="R41" t="s" s="101">
        <v>34</v>
      </c>
      <c r="S41" s="475"/>
      <c r="T41" s="475"/>
      <c r="U41" s="475"/>
      <c r="V41" s="475"/>
      <c r="W41" s="475"/>
      <c r="X41" s="475"/>
      <c r="Y41" s="475"/>
      <c r="Z41" s="475"/>
      <c r="AA41" s="475"/>
      <c r="AB41" s="475"/>
      <c r="AC41" s="475"/>
      <c r="AD41" s="475"/>
      <c r="AE41" s="475"/>
      <c r="AF41" s="475"/>
      <c r="AG41" s="475"/>
      <c r="AH41" s="475"/>
      <c r="AI41" s="475"/>
      <c r="AJ41" s="475"/>
      <c r="AK41" s="475"/>
      <c r="AL41" s="475"/>
      <c r="AM41" s="475"/>
      <c r="AN41" s="475"/>
      <c r="AO41" s="475"/>
      <c r="AP41" s="475"/>
      <c r="AQ41" s="475"/>
      <c r="AR41" s="475"/>
      <c r="AS41" s="475"/>
      <c r="AT41" s="475"/>
      <c r="AU41" s="475"/>
      <c r="AV41" s="475"/>
      <c r="AW41" s="475"/>
      <c r="AX41" s="475"/>
      <c r="AY41" s="475"/>
      <c r="AZ41" s="475"/>
    </row>
    <row r="42" ht="15.35" customHeight="1">
      <c r="A42" s="475"/>
      <c r="B42" s="475"/>
      <c r="C42" s="475"/>
      <c r="D42" s="475"/>
      <c r="E42" t="s" s="101">
        <v>1353</v>
      </c>
      <c r="F42" t="s" s="101">
        <v>3072</v>
      </c>
      <c r="G42" s="475"/>
      <c r="H42" s="475"/>
      <c r="I42" s="475"/>
      <c r="J42" s="475"/>
      <c r="K42" s="475"/>
      <c r="L42" t="s" s="101">
        <v>41</v>
      </c>
      <c r="M42" t="s" s="101">
        <v>12</v>
      </c>
      <c r="N42" s="493">
        <v>1861</v>
      </c>
      <c r="O42" s="493">
        <v>60</v>
      </c>
      <c r="P42" t="s" s="101">
        <v>785</v>
      </c>
      <c r="Q42" t="s" s="101">
        <v>34</v>
      </c>
      <c r="R42" t="s" s="101">
        <v>34</v>
      </c>
      <c r="S42" s="475"/>
      <c r="T42" s="475"/>
      <c r="U42" s="475"/>
      <c r="V42" s="475"/>
      <c r="W42" s="475"/>
      <c r="X42" s="475"/>
      <c r="Y42" s="475"/>
      <c r="Z42" s="475"/>
      <c r="AA42" s="475"/>
      <c r="AB42" s="475"/>
      <c r="AC42" s="475"/>
      <c r="AD42" s="475"/>
      <c r="AE42" s="475"/>
      <c r="AF42" s="475"/>
      <c r="AG42" s="475"/>
      <c r="AH42" s="475"/>
      <c r="AI42" s="475"/>
      <c r="AJ42" s="475"/>
      <c r="AK42" s="475"/>
      <c r="AL42" s="475"/>
      <c r="AM42" s="475"/>
      <c r="AN42" s="475"/>
      <c r="AO42" s="475"/>
      <c r="AP42" s="475"/>
      <c r="AQ42" s="475"/>
      <c r="AR42" s="475"/>
      <c r="AS42" s="475"/>
      <c r="AT42" s="475"/>
      <c r="AU42" s="475"/>
      <c r="AV42" s="475"/>
      <c r="AW42" s="475"/>
      <c r="AX42" s="475"/>
      <c r="AY42" s="475"/>
      <c r="AZ42" s="475"/>
    </row>
    <row r="43" ht="15.35" customHeight="1">
      <c r="A43" s="475"/>
      <c r="B43" s="475"/>
      <c r="C43" s="475"/>
      <c r="D43" s="475"/>
      <c r="E43" t="s" s="101">
        <v>3073</v>
      </c>
      <c r="F43" t="s" s="101">
        <v>477</v>
      </c>
      <c r="G43" s="475"/>
      <c r="H43" s="475"/>
      <c r="I43" s="475"/>
      <c r="J43" s="475"/>
      <c r="K43" s="475"/>
      <c r="L43" t="s" s="101">
        <v>11</v>
      </c>
      <c r="M43" t="s" s="101">
        <v>12</v>
      </c>
      <c r="N43" s="493">
        <v>1884</v>
      </c>
      <c r="O43" s="493">
        <v>37</v>
      </c>
      <c r="P43" t="s" s="101">
        <v>22</v>
      </c>
      <c r="Q43" t="s" s="101">
        <v>45</v>
      </c>
      <c r="R43" t="s" s="101">
        <v>15</v>
      </c>
      <c r="S43" s="475"/>
      <c r="T43" s="475"/>
      <c r="U43" s="475"/>
      <c r="V43" s="475"/>
      <c r="W43" s="475"/>
      <c r="X43" s="475"/>
      <c r="Y43" s="475"/>
      <c r="Z43" s="475"/>
      <c r="AA43" s="475"/>
      <c r="AB43" s="475"/>
      <c r="AC43" s="475"/>
      <c r="AD43" s="475"/>
      <c r="AE43" s="475"/>
      <c r="AF43" s="475"/>
      <c r="AG43" s="475"/>
      <c r="AH43" s="475"/>
      <c r="AI43" s="475"/>
      <c r="AJ43" s="475"/>
      <c r="AK43" s="475"/>
      <c r="AL43" s="475"/>
      <c r="AM43" s="475"/>
      <c r="AN43" s="475"/>
      <c r="AO43" s="475"/>
      <c r="AP43" s="475"/>
      <c r="AQ43" s="475"/>
      <c r="AR43" s="475"/>
      <c r="AS43" s="475"/>
      <c r="AT43" s="475"/>
      <c r="AU43" s="475"/>
      <c r="AV43" s="475"/>
      <c r="AW43" s="475"/>
      <c r="AX43" s="475"/>
      <c r="AY43" s="475"/>
      <c r="AZ43" s="475"/>
    </row>
    <row r="44" ht="15.35" customHeight="1">
      <c r="A44" s="475"/>
      <c r="B44" s="475"/>
      <c r="C44" s="475"/>
      <c r="D44" s="475"/>
      <c r="E44" t="s" s="101">
        <v>2774</v>
      </c>
      <c r="F44" t="s" s="101">
        <v>1862</v>
      </c>
      <c r="G44" s="475"/>
      <c r="H44" s="475"/>
      <c r="I44" s="475"/>
      <c r="J44" s="475"/>
      <c r="K44" s="475"/>
      <c r="L44" t="s" s="101">
        <v>11</v>
      </c>
      <c r="M44" t="s" s="101">
        <v>12</v>
      </c>
      <c r="N44" s="493">
        <v>1894</v>
      </c>
      <c r="O44" s="493">
        <v>26</v>
      </c>
      <c r="P44" t="s" s="101">
        <v>1364</v>
      </c>
      <c r="Q44" t="s" s="101">
        <v>55</v>
      </c>
      <c r="R44" t="s" s="101">
        <v>15</v>
      </c>
      <c r="S44" s="475"/>
      <c r="T44" s="475"/>
      <c r="U44" s="475"/>
      <c r="V44" s="475"/>
      <c r="W44" s="475"/>
      <c r="X44" s="475"/>
      <c r="Y44" s="475"/>
      <c r="Z44" s="475"/>
      <c r="AA44" s="475"/>
      <c r="AB44" s="475"/>
      <c r="AC44" s="475"/>
      <c r="AD44" s="475"/>
      <c r="AE44" s="475"/>
      <c r="AF44" s="475"/>
      <c r="AG44" s="475"/>
      <c r="AH44" s="475"/>
      <c r="AI44" s="475"/>
      <c r="AJ44" s="475"/>
      <c r="AK44" s="475"/>
      <c r="AL44" s="475"/>
      <c r="AM44" s="475"/>
      <c r="AN44" s="475"/>
      <c r="AO44" s="475"/>
      <c r="AP44" s="475"/>
      <c r="AQ44" s="475"/>
      <c r="AR44" s="475"/>
      <c r="AS44" s="475"/>
      <c r="AT44" s="475"/>
      <c r="AU44" s="475"/>
      <c r="AV44" s="475"/>
      <c r="AW44" s="475"/>
      <c r="AX44" s="475"/>
      <c r="AY44" s="475"/>
      <c r="AZ44" s="475"/>
    </row>
    <row r="45" ht="15.35" customHeight="1">
      <c r="A45" s="475"/>
      <c r="B45" s="475"/>
      <c r="C45" s="475"/>
      <c r="D45" s="475"/>
      <c r="E45" s="475"/>
      <c r="F45" s="475"/>
      <c r="G45" s="475"/>
      <c r="H45" s="475"/>
      <c r="I45" s="475"/>
      <c r="J45" s="475"/>
      <c r="K45" s="475"/>
      <c r="L45" s="475"/>
      <c r="M45" s="475"/>
      <c r="N45" s="475"/>
      <c r="O45" s="475"/>
      <c r="P45" s="475"/>
      <c r="Q45" s="475"/>
      <c r="R45" s="475"/>
      <c r="S45" s="475"/>
      <c r="T45" s="475"/>
      <c r="U45" s="475"/>
      <c r="V45" s="475"/>
      <c r="W45" s="475"/>
      <c r="X45" s="475"/>
      <c r="Y45" s="475"/>
      <c r="Z45" s="475"/>
      <c r="AA45" s="475"/>
      <c r="AB45" s="475"/>
      <c r="AC45" s="475"/>
      <c r="AD45" s="475"/>
      <c r="AE45" s="475"/>
      <c r="AF45" s="475"/>
      <c r="AG45" s="475"/>
      <c r="AH45" s="475"/>
      <c r="AI45" s="475"/>
      <c r="AJ45" s="475"/>
      <c r="AK45" s="475"/>
      <c r="AL45" s="475"/>
      <c r="AM45" s="475"/>
      <c r="AN45" s="475"/>
      <c r="AO45" s="475"/>
      <c r="AP45" s="475"/>
      <c r="AQ45" s="475"/>
      <c r="AR45" s="475"/>
      <c r="AS45" s="475"/>
      <c r="AT45" s="475"/>
      <c r="AU45" s="475"/>
      <c r="AV45" s="475"/>
      <c r="AW45" s="475"/>
      <c r="AX45" s="475"/>
      <c r="AY45" s="475"/>
      <c r="AZ45" s="475"/>
    </row>
    <row r="46" ht="15.35" customHeight="1">
      <c r="A46" s="475"/>
      <c r="B46" s="475"/>
      <c r="C46" s="475"/>
      <c r="D46" s="475"/>
      <c r="E46" t="s" s="101">
        <v>1</v>
      </c>
      <c r="F46" t="s" s="101">
        <v>0</v>
      </c>
      <c r="G46" s="475"/>
      <c r="H46" s="475"/>
      <c r="I46" s="475"/>
      <c r="J46" s="475"/>
      <c r="K46" s="475"/>
      <c r="L46" t="s" s="101">
        <v>2</v>
      </c>
      <c r="M46" t="s" s="101">
        <v>3</v>
      </c>
      <c r="N46" t="s" s="101">
        <v>4</v>
      </c>
      <c r="O46" t="s" s="101">
        <v>5</v>
      </c>
      <c r="P46" t="s" s="101">
        <v>6</v>
      </c>
      <c r="Q46" t="s" s="101">
        <v>7</v>
      </c>
      <c r="R46" t="s" s="101">
        <v>8</v>
      </c>
      <c r="S46" s="475"/>
      <c r="T46" s="475"/>
      <c r="U46" s="475"/>
      <c r="V46" s="475"/>
      <c r="W46" s="475"/>
      <c r="X46" s="475"/>
      <c r="Y46" s="475"/>
      <c r="Z46" s="475"/>
      <c r="AA46" s="475"/>
      <c r="AB46" s="475"/>
      <c r="AC46" s="475"/>
      <c r="AD46" s="475"/>
      <c r="AE46" s="475"/>
      <c r="AF46" s="475"/>
      <c r="AG46" s="475"/>
      <c r="AH46" s="475"/>
      <c r="AI46" s="475"/>
      <c r="AJ46" s="475"/>
      <c r="AK46" s="475"/>
      <c r="AL46" s="475"/>
      <c r="AM46" s="475"/>
      <c r="AN46" s="475"/>
      <c r="AO46" s="475"/>
      <c r="AP46" s="475"/>
      <c r="AQ46" s="475"/>
      <c r="AR46" s="475"/>
      <c r="AS46" s="475"/>
      <c r="AT46" s="475"/>
      <c r="AU46" s="475"/>
      <c r="AV46" s="475"/>
      <c r="AW46" s="475"/>
      <c r="AX46" s="475"/>
      <c r="AY46" s="475"/>
      <c r="AZ46" s="475"/>
    </row>
    <row r="47" ht="15.35" customHeight="1">
      <c r="A47" s="475"/>
      <c r="B47" s="475"/>
      <c r="C47" s="475"/>
      <c r="D47" s="475"/>
      <c r="E47" t="s" s="101">
        <v>3076</v>
      </c>
      <c r="F47" t="s" s="101">
        <v>3077</v>
      </c>
      <c r="G47" s="475"/>
      <c r="H47" s="475"/>
      <c r="I47" s="475"/>
      <c r="J47" s="475"/>
      <c r="K47" s="475"/>
      <c r="L47" t="s" s="101">
        <v>31</v>
      </c>
      <c r="M47" t="s" s="101">
        <v>37</v>
      </c>
      <c r="N47" s="493">
        <v>1872</v>
      </c>
      <c r="O47" s="493">
        <v>49</v>
      </c>
      <c r="P47" t="s" s="101">
        <v>2388</v>
      </c>
      <c r="Q47" t="s" s="101">
        <v>3078</v>
      </c>
      <c r="R47" t="s" s="101">
        <v>8</v>
      </c>
      <c r="S47" s="475"/>
      <c r="T47" s="475"/>
      <c r="U47" s="475"/>
      <c r="V47" s="475"/>
      <c r="W47" s="475"/>
      <c r="X47" s="475"/>
      <c r="Y47" s="475"/>
      <c r="Z47" s="475"/>
      <c r="AA47" s="475"/>
      <c r="AB47" s="475"/>
      <c r="AC47" s="475"/>
      <c r="AD47" s="475"/>
      <c r="AE47" s="475"/>
      <c r="AF47" s="475"/>
      <c r="AG47" s="475"/>
      <c r="AH47" s="475"/>
      <c r="AI47" s="475"/>
      <c r="AJ47" s="475"/>
      <c r="AK47" s="475"/>
      <c r="AL47" s="475"/>
      <c r="AM47" s="475"/>
      <c r="AN47" s="475"/>
      <c r="AO47" s="475"/>
      <c r="AP47" s="475"/>
      <c r="AQ47" s="475"/>
      <c r="AR47" s="475"/>
      <c r="AS47" s="475"/>
      <c r="AT47" s="475"/>
      <c r="AU47" s="475"/>
      <c r="AV47" s="475"/>
      <c r="AW47" s="475"/>
      <c r="AX47" s="475"/>
      <c r="AY47" s="475"/>
      <c r="AZ47" s="475"/>
    </row>
    <row r="48" ht="15.35" customHeight="1">
      <c r="A48" s="475"/>
      <c r="B48" s="475"/>
      <c r="C48" s="475"/>
      <c r="D48" s="475"/>
      <c r="E48" t="s" s="101">
        <v>3076</v>
      </c>
      <c r="F48" t="s" s="101">
        <v>3079</v>
      </c>
      <c r="G48" s="475"/>
      <c r="H48" s="475"/>
      <c r="I48" s="475"/>
      <c r="J48" s="475"/>
      <c r="K48" s="475"/>
      <c r="L48" t="s" s="101">
        <v>72</v>
      </c>
      <c r="M48" t="s" s="101">
        <v>12</v>
      </c>
      <c r="N48" s="493">
        <v>1880</v>
      </c>
      <c r="O48" s="493">
        <v>40</v>
      </c>
      <c r="P48" t="s" s="101">
        <v>54</v>
      </c>
      <c r="Q48" t="s" s="101">
        <v>34</v>
      </c>
      <c r="R48" t="s" s="101">
        <v>34</v>
      </c>
      <c r="S48" s="475"/>
      <c r="T48" s="475"/>
      <c r="U48" s="475"/>
      <c r="V48" s="475"/>
      <c r="W48" s="475"/>
      <c r="X48" s="475"/>
      <c r="Y48" s="475"/>
      <c r="Z48" s="475"/>
      <c r="AA48" s="475"/>
      <c r="AB48" s="475"/>
      <c r="AC48" s="475"/>
      <c r="AD48" s="475"/>
      <c r="AE48" s="475"/>
      <c r="AF48" s="475"/>
      <c r="AG48" s="475"/>
      <c r="AH48" s="475"/>
      <c r="AI48" s="475"/>
      <c r="AJ48" s="475"/>
      <c r="AK48" s="475"/>
      <c r="AL48" s="475"/>
      <c r="AM48" s="475"/>
      <c r="AN48" s="475"/>
      <c r="AO48" s="475"/>
      <c r="AP48" s="475"/>
      <c r="AQ48" s="475"/>
      <c r="AR48" s="475"/>
      <c r="AS48" s="475"/>
      <c r="AT48" s="475"/>
      <c r="AU48" s="475"/>
      <c r="AV48" s="475"/>
      <c r="AW48" s="475"/>
      <c r="AX48" s="475"/>
      <c r="AY48" s="475"/>
      <c r="AZ48" s="475"/>
    </row>
    <row r="49" ht="15.35" customHeight="1">
      <c r="A49" s="475"/>
      <c r="B49" s="475"/>
      <c r="C49" s="475"/>
      <c r="D49" s="475"/>
      <c r="E49" t="s" s="101">
        <v>3080</v>
      </c>
      <c r="F49" t="s" s="101">
        <v>3081</v>
      </c>
      <c r="G49" s="475"/>
      <c r="H49" s="475"/>
      <c r="I49" s="475"/>
      <c r="J49" s="475"/>
      <c r="K49" s="475"/>
      <c r="L49" t="s" s="101">
        <v>41</v>
      </c>
      <c r="M49" t="s" s="101">
        <v>37</v>
      </c>
      <c r="N49" s="493">
        <v>1877</v>
      </c>
      <c r="O49" s="493">
        <v>44</v>
      </c>
      <c r="P49" t="s" s="101">
        <v>118</v>
      </c>
      <c r="Q49" t="s" s="101">
        <v>3082</v>
      </c>
      <c r="R49" t="s" s="101">
        <v>3083</v>
      </c>
      <c r="S49" s="475"/>
      <c r="T49" s="475"/>
      <c r="U49" s="475"/>
      <c r="V49" s="475"/>
      <c r="W49" s="475"/>
      <c r="X49" s="475"/>
      <c r="Y49" s="475"/>
      <c r="Z49" s="475"/>
      <c r="AA49" s="475"/>
      <c r="AB49" s="475"/>
      <c r="AC49" s="475"/>
      <c r="AD49" s="475"/>
      <c r="AE49" s="475"/>
      <c r="AF49" s="475"/>
      <c r="AG49" s="475"/>
      <c r="AH49" s="475"/>
      <c r="AI49" s="475"/>
      <c r="AJ49" s="475"/>
      <c r="AK49" s="475"/>
      <c r="AL49" s="475"/>
      <c r="AM49" s="475"/>
      <c r="AN49" s="475"/>
      <c r="AO49" s="475"/>
      <c r="AP49" s="475"/>
      <c r="AQ49" s="475"/>
      <c r="AR49" s="475"/>
      <c r="AS49" s="475"/>
      <c r="AT49" s="475"/>
      <c r="AU49" s="475"/>
      <c r="AV49" s="475"/>
      <c r="AW49" s="475"/>
      <c r="AX49" s="475"/>
      <c r="AY49" s="475"/>
      <c r="AZ49" s="475"/>
    </row>
    <row r="50" ht="15.35" customHeight="1">
      <c r="A50" s="475"/>
      <c r="B50" s="475"/>
      <c r="C50" s="475"/>
      <c r="D50" s="475"/>
      <c r="E50" t="s" s="101">
        <v>1409</v>
      </c>
      <c r="F50" t="s" s="101">
        <v>1281</v>
      </c>
      <c r="G50" s="475"/>
      <c r="H50" s="475"/>
      <c r="I50" s="475"/>
      <c r="J50" s="475"/>
      <c r="K50" s="475"/>
      <c r="L50" t="s" s="101">
        <v>11</v>
      </c>
      <c r="M50" t="s" s="101">
        <v>12</v>
      </c>
      <c r="N50" s="493">
        <v>1904</v>
      </c>
      <c r="O50" s="493">
        <v>16</v>
      </c>
      <c r="P50" t="s" s="101">
        <v>202</v>
      </c>
      <c r="Q50" t="s" s="101">
        <v>188</v>
      </c>
      <c r="R50" t="s" s="101">
        <v>15</v>
      </c>
      <c r="S50" s="475"/>
      <c r="T50" s="475"/>
      <c r="U50" s="475"/>
      <c r="V50" s="475"/>
      <c r="W50" s="475"/>
      <c r="X50" s="475"/>
      <c r="Y50" s="475"/>
      <c r="Z50" s="475"/>
      <c r="AA50" s="475"/>
      <c r="AB50" s="475"/>
      <c r="AC50" s="475"/>
      <c r="AD50" s="475"/>
      <c r="AE50" s="475"/>
      <c r="AF50" s="475"/>
      <c r="AG50" s="475"/>
      <c r="AH50" s="475"/>
      <c r="AI50" s="475"/>
      <c r="AJ50" s="475"/>
      <c r="AK50" s="475"/>
      <c r="AL50" s="475"/>
      <c r="AM50" s="475"/>
      <c r="AN50" s="475"/>
      <c r="AO50" s="475"/>
      <c r="AP50" s="475"/>
      <c r="AQ50" s="475"/>
      <c r="AR50" s="475"/>
      <c r="AS50" s="475"/>
      <c r="AT50" s="475"/>
      <c r="AU50" s="475"/>
      <c r="AV50" s="475"/>
      <c r="AW50" s="475"/>
      <c r="AX50" s="475"/>
      <c r="AY50" s="475"/>
      <c r="AZ50" s="475"/>
    </row>
    <row r="51" ht="15.35" customHeight="1">
      <c r="A51" s="475"/>
      <c r="B51" s="475"/>
      <c r="C51" s="475"/>
      <c r="D51" s="475"/>
      <c r="E51" t="s" s="101">
        <v>3084</v>
      </c>
      <c r="F51" t="s" s="101">
        <v>537</v>
      </c>
      <c r="G51" s="475"/>
      <c r="H51" s="475"/>
      <c r="I51" s="475"/>
      <c r="J51" s="475"/>
      <c r="K51" s="475"/>
      <c r="L51" t="s" s="101">
        <v>45</v>
      </c>
      <c r="M51" t="s" s="101">
        <v>12</v>
      </c>
      <c r="N51" s="493">
        <v>1856</v>
      </c>
      <c r="O51" s="493">
        <v>64</v>
      </c>
      <c r="P51" t="s" s="101">
        <v>3085</v>
      </c>
      <c r="Q51" t="s" s="101">
        <v>188</v>
      </c>
      <c r="R51" t="s" s="101">
        <v>15</v>
      </c>
      <c r="S51" s="475"/>
      <c r="T51" s="475"/>
      <c r="U51" s="475"/>
      <c r="V51" s="475"/>
      <c r="W51" s="475"/>
      <c r="X51" s="475"/>
      <c r="Y51" s="475"/>
      <c r="Z51" s="475"/>
      <c r="AA51" s="475"/>
      <c r="AB51" s="475"/>
      <c r="AC51" s="475"/>
      <c r="AD51" s="475"/>
      <c r="AE51" s="475"/>
      <c r="AF51" s="475"/>
      <c r="AG51" s="475"/>
      <c r="AH51" s="475"/>
      <c r="AI51" s="475"/>
      <c r="AJ51" s="475"/>
      <c r="AK51" s="475"/>
      <c r="AL51" s="475"/>
      <c r="AM51" s="475"/>
      <c r="AN51" s="475"/>
      <c r="AO51" s="475"/>
      <c r="AP51" s="475"/>
      <c r="AQ51" s="475"/>
      <c r="AR51" s="475"/>
      <c r="AS51" s="475"/>
      <c r="AT51" s="475"/>
      <c r="AU51" s="475"/>
      <c r="AV51" s="475"/>
      <c r="AW51" s="475"/>
      <c r="AX51" s="475"/>
      <c r="AY51" s="475"/>
      <c r="AZ51" s="475"/>
    </row>
    <row r="52" ht="15.35" customHeight="1">
      <c r="A52" s="475"/>
      <c r="B52" s="475"/>
      <c r="C52" s="475"/>
      <c r="D52" s="475"/>
      <c r="E52" t="s" s="101">
        <v>3086</v>
      </c>
      <c r="F52" t="s" s="101">
        <v>3087</v>
      </c>
      <c r="G52" s="475"/>
      <c r="H52" s="475"/>
      <c r="I52" s="475"/>
      <c r="J52" s="475"/>
      <c r="K52" s="475"/>
      <c r="L52" t="s" s="101">
        <v>11</v>
      </c>
      <c r="M52" t="s" s="101">
        <v>12</v>
      </c>
      <c r="N52" s="493">
        <v>1882</v>
      </c>
      <c r="O52" s="493">
        <v>38</v>
      </c>
      <c r="P52" t="s" s="101">
        <v>3088</v>
      </c>
      <c r="Q52" t="s" s="101">
        <v>188</v>
      </c>
      <c r="R52" t="s" s="101">
        <v>15</v>
      </c>
      <c r="S52" s="475"/>
      <c r="T52" s="475"/>
      <c r="U52" s="475"/>
      <c r="V52" s="475"/>
      <c r="W52" s="475"/>
      <c r="X52" s="475"/>
      <c r="Y52" s="475"/>
      <c r="Z52" s="475"/>
      <c r="AA52" s="475"/>
      <c r="AB52" s="475"/>
      <c r="AC52" s="475"/>
      <c r="AD52" s="475"/>
      <c r="AE52" s="475"/>
      <c r="AF52" s="475"/>
      <c r="AG52" s="475"/>
      <c r="AH52" s="475"/>
      <c r="AI52" s="475"/>
      <c r="AJ52" s="475"/>
      <c r="AK52" s="475"/>
      <c r="AL52" s="475"/>
      <c r="AM52" s="475"/>
      <c r="AN52" s="475"/>
      <c r="AO52" s="475"/>
      <c r="AP52" s="475"/>
      <c r="AQ52" s="475"/>
      <c r="AR52" s="475"/>
      <c r="AS52" s="475"/>
      <c r="AT52" s="475"/>
      <c r="AU52" s="475"/>
      <c r="AV52" s="475"/>
      <c r="AW52" s="475"/>
      <c r="AX52" s="475"/>
      <c r="AY52" s="475"/>
      <c r="AZ52" s="475"/>
    </row>
    <row r="53" ht="15.35" customHeight="1">
      <c r="A53" s="475"/>
      <c r="B53" s="475"/>
      <c r="C53" s="475"/>
      <c r="D53" s="475"/>
      <c r="E53" s="475"/>
      <c r="F53" s="475"/>
      <c r="G53" s="475"/>
      <c r="H53" s="475"/>
      <c r="I53" s="475"/>
      <c r="J53" s="475"/>
      <c r="K53" s="475"/>
      <c r="L53" s="475"/>
      <c r="M53" s="475"/>
      <c r="N53" s="475"/>
      <c r="O53" s="475"/>
      <c r="P53" s="475"/>
      <c r="Q53" s="475"/>
      <c r="R53" s="475"/>
      <c r="S53" s="475"/>
      <c r="T53" s="475"/>
      <c r="U53" s="475"/>
      <c r="V53" s="475"/>
      <c r="W53" s="475"/>
      <c r="X53" s="475"/>
      <c r="Y53" s="475"/>
      <c r="Z53" s="475"/>
      <c r="AA53" s="475"/>
      <c r="AB53" s="475"/>
      <c r="AC53" s="475"/>
      <c r="AD53" s="475"/>
      <c r="AE53" s="475"/>
      <c r="AF53" s="475"/>
      <c r="AG53" s="475"/>
      <c r="AH53" s="475"/>
      <c r="AI53" s="475"/>
      <c r="AJ53" s="475"/>
      <c r="AK53" s="475"/>
      <c r="AL53" s="475"/>
      <c r="AM53" s="475"/>
      <c r="AN53" s="475"/>
      <c r="AO53" s="475"/>
      <c r="AP53" s="475"/>
      <c r="AQ53" s="475"/>
      <c r="AR53" s="475"/>
      <c r="AS53" s="475"/>
      <c r="AT53" s="475"/>
      <c r="AU53" s="475"/>
      <c r="AV53" s="475"/>
      <c r="AW53" s="475"/>
      <c r="AX53" s="475"/>
      <c r="AY53" s="475"/>
      <c r="AZ53" s="475"/>
    </row>
    <row r="54" ht="15.35" customHeight="1">
      <c r="A54" s="475"/>
      <c r="B54" s="475"/>
      <c r="C54" s="475"/>
      <c r="D54" s="475"/>
      <c r="E54" t="s" s="101">
        <v>1</v>
      </c>
      <c r="F54" t="s" s="101">
        <v>0</v>
      </c>
      <c r="G54" s="475"/>
      <c r="H54" s="475"/>
      <c r="I54" s="475"/>
      <c r="J54" s="475"/>
      <c r="K54" s="475"/>
      <c r="L54" t="s" s="101">
        <v>2</v>
      </c>
      <c r="M54" t="s" s="101">
        <v>3</v>
      </c>
      <c r="N54" t="s" s="101">
        <v>4</v>
      </c>
      <c r="O54" t="s" s="101">
        <v>5</v>
      </c>
      <c r="P54" t="s" s="101">
        <v>6</v>
      </c>
      <c r="Q54" t="s" s="101">
        <v>7</v>
      </c>
      <c r="R54" t="s" s="101">
        <v>8</v>
      </c>
      <c r="S54" s="475"/>
      <c r="T54" s="475"/>
      <c r="U54" s="475"/>
      <c r="V54" s="475"/>
      <c r="W54" s="475"/>
      <c r="X54" s="475"/>
      <c r="Y54" s="475"/>
      <c r="Z54" s="475"/>
      <c r="AA54" s="475"/>
      <c r="AB54" s="475"/>
      <c r="AC54" s="475"/>
      <c r="AD54" s="475"/>
      <c r="AE54" s="475"/>
      <c r="AF54" s="475"/>
      <c r="AG54" s="475"/>
      <c r="AH54" s="475"/>
      <c r="AI54" s="475"/>
      <c r="AJ54" s="475"/>
      <c r="AK54" s="475"/>
      <c r="AL54" s="475"/>
      <c r="AM54" s="475"/>
      <c r="AN54" s="475"/>
      <c r="AO54" s="475"/>
      <c r="AP54" s="475"/>
      <c r="AQ54" s="475"/>
      <c r="AR54" s="475"/>
      <c r="AS54" s="475"/>
      <c r="AT54" s="475"/>
      <c r="AU54" s="475"/>
      <c r="AV54" s="475"/>
      <c r="AW54" s="475"/>
      <c r="AX54" s="475"/>
      <c r="AY54" s="475"/>
      <c r="AZ54" s="475"/>
    </row>
    <row r="55" ht="15.35" customHeight="1">
      <c r="A55" s="475"/>
      <c r="B55" s="475"/>
      <c r="C55" s="475"/>
      <c r="D55" s="475"/>
      <c r="E55" t="s" s="101">
        <v>2192</v>
      </c>
      <c r="F55" t="s" s="101">
        <v>3090</v>
      </c>
      <c r="G55" s="475"/>
      <c r="H55" s="475"/>
      <c r="I55" s="475"/>
      <c r="J55" s="475"/>
      <c r="K55" s="475"/>
      <c r="L55" t="s" s="101">
        <v>31</v>
      </c>
      <c r="M55" t="s" s="101">
        <v>37</v>
      </c>
      <c r="N55" s="493">
        <v>1896</v>
      </c>
      <c r="O55" s="493">
        <v>24</v>
      </c>
      <c r="P55" t="s" s="101">
        <v>13</v>
      </c>
      <c r="Q55" t="s" s="101">
        <v>3091</v>
      </c>
      <c r="R55" t="s" s="101">
        <v>3092</v>
      </c>
      <c r="S55" s="475"/>
      <c r="T55" s="475"/>
      <c r="U55" s="475"/>
      <c r="V55" s="475"/>
      <c r="W55" s="475"/>
      <c r="X55" s="475"/>
      <c r="Y55" s="475"/>
      <c r="Z55" s="475"/>
      <c r="AA55" s="475"/>
      <c r="AB55" s="475"/>
      <c r="AC55" s="475"/>
      <c r="AD55" s="475"/>
      <c r="AE55" s="475"/>
      <c r="AF55" s="475"/>
      <c r="AG55" s="475"/>
      <c r="AH55" s="475"/>
      <c r="AI55" s="475"/>
      <c r="AJ55" s="475"/>
      <c r="AK55" s="475"/>
      <c r="AL55" s="475"/>
      <c r="AM55" s="475"/>
      <c r="AN55" s="475"/>
      <c r="AO55" s="475"/>
      <c r="AP55" s="475"/>
      <c r="AQ55" s="475"/>
      <c r="AR55" s="475"/>
      <c r="AS55" s="475"/>
      <c r="AT55" s="475"/>
      <c r="AU55" s="475"/>
      <c r="AV55" s="475"/>
      <c r="AW55" s="475"/>
      <c r="AX55" s="475"/>
      <c r="AY55" s="475"/>
      <c r="AZ55" s="475"/>
    </row>
    <row r="56" ht="15.35" customHeight="1">
      <c r="A56" s="475"/>
      <c r="B56" s="475"/>
      <c r="C56" s="475"/>
      <c r="D56" s="475"/>
      <c r="E56" t="s" s="101">
        <v>2192</v>
      </c>
      <c r="F56" t="s" s="101">
        <v>591</v>
      </c>
      <c r="G56" s="475"/>
      <c r="H56" s="475"/>
      <c r="I56" s="475"/>
      <c r="J56" s="475"/>
      <c r="K56" s="475"/>
      <c r="L56" t="s" s="101">
        <v>72</v>
      </c>
      <c r="M56" t="s" s="101">
        <v>12</v>
      </c>
      <c r="N56" s="493">
        <v>1890</v>
      </c>
      <c r="O56" s="493">
        <v>31</v>
      </c>
      <c r="P56" t="s" s="101">
        <v>1663</v>
      </c>
      <c r="Q56" t="s" s="101">
        <v>33</v>
      </c>
      <c r="R56" t="s" s="101">
        <v>34</v>
      </c>
      <c r="S56" s="475"/>
      <c r="T56" s="475"/>
      <c r="U56" s="475"/>
      <c r="V56" s="475"/>
      <c r="W56" s="475"/>
      <c r="X56" s="475"/>
      <c r="Y56" s="475"/>
      <c r="Z56" s="475"/>
      <c r="AA56" s="475"/>
      <c r="AB56" s="475"/>
      <c r="AC56" s="475"/>
      <c r="AD56" s="475"/>
      <c r="AE56" s="475"/>
      <c r="AF56" s="475"/>
      <c r="AG56" s="475"/>
      <c r="AH56" s="475"/>
      <c r="AI56" s="475"/>
      <c r="AJ56" s="475"/>
      <c r="AK56" s="475"/>
      <c r="AL56" s="475"/>
      <c r="AM56" s="475"/>
      <c r="AN56" s="475"/>
      <c r="AO56" s="475"/>
      <c r="AP56" s="475"/>
      <c r="AQ56" s="475"/>
      <c r="AR56" s="475"/>
      <c r="AS56" s="475"/>
      <c r="AT56" s="475"/>
      <c r="AU56" s="475"/>
      <c r="AV56" s="475"/>
      <c r="AW56" s="475"/>
      <c r="AX56" s="475"/>
      <c r="AY56" s="475"/>
      <c r="AZ56" s="475"/>
    </row>
    <row r="57" ht="15.35" customHeight="1">
      <c r="A57" s="475"/>
      <c r="B57" s="475"/>
      <c r="C57" s="475"/>
      <c r="D57" s="475"/>
      <c r="E57" s="475"/>
      <c r="F57" s="475"/>
      <c r="G57" s="475"/>
      <c r="H57" s="475"/>
      <c r="I57" s="475"/>
      <c r="J57" s="475"/>
      <c r="K57" s="475"/>
      <c r="L57" s="475"/>
      <c r="M57" s="475"/>
      <c r="N57" s="475"/>
      <c r="O57" s="475"/>
      <c r="P57" s="475"/>
      <c r="Q57" s="475"/>
      <c r="R57" s="475"/>
      <c r="S57" s="475"/>
      <c r="T57" s="475"/>
      <c r="U57" s="475"/>
      <c r="V57" s="475"/>
      <c r="W57" s="475"/>
      <c r="X57" s="475"/>
      <c r="Y57" s="475"/>
      <c r="Z57" s="475"/>
      <c r="AA57" s="475"/>
      <c r="AB57" s="475"/>
      <c r="AC57" s="475"/>
      <c r="AD57" s="475"/>
      <c r="AE57" s="475"/>
      <c r="AF57" s="475"/>
      <c r="AG57" s="475"/>
      <c r="AH57" s="475"/>
      <c r="AI57" s="475"/>
      <c r="AJ57" s="475"/>
      <c r="AK57" s="475"/>
      <c r="AL57" s="475"/>
      <c r="AM57" s="475"/>
      <c r="AN57" s="475"/>
      <c r="AO57" s="475"/>
      <c r="AP57" s="475"/>
      <c r="AQ57" s="475"/>
      <c r="AR57" s="475"/>
      <c r="AS57" s="475"/>
      <c r="AT57" s="475"/>
      <c r="AU57" s="475"/>
      <c r="AV57" s="475"/>
      <c r="AW57" s="475"/>
      <c r="AX57" s="475"/>
      <c r="AY57" s="475"/>
      <c r="AZ57" s="475"/>
    </row>
    <row r="58" ht="15.35" customHeight="1">
      <c r="A58" s="475"/>
      <c r="B58" s="475"/>
      <c r="C58" s="475"/>
      <c r="D58" s="475"/>
      <c r="E58" t="s" s="101">
        <v>1</v>
      </c>
      <c r="F58" t="s" s="101">
        <v>0</v>
      </c>
      <c r="G58" s="475"/>
      <c r="H58" s="475"/>
      <c r="I58" s="475"/>
      <c r="J58" s="475"/>
      <c r="K58" s="475"/>
      <c r="L58" t="s" s="101">
        <v>2</v>
      </c>
      <c r="M58" t="s" s="101">
        <v>3</v>
      </c>
      <c r="N58" t="s" s="101">
        <v>4</v>
      </c>
      <c r="O58" t="s" s="101">
        <v>5</v>
      </c>
      <c r="P58" t="s" s="101">
        <v>6</v>
      </c>
      <c r="Q58" t="s" s="101">
        <v>7</v>
      </c>
      <c r="R58" t="s" s="101">
        <v>8</v>
      </c>
      <c r="S58" s="475"/>
      <c r="T58" s="475"/>
      <c r="U58" s="475"/>
      <c r="V58" s="475"/>
      <c r="W58" s="475"/>
      <c r="X58" s="475"/>
      <c r="Y58" s="475"/>
      <c r="Z58" s="475"/>
      <c r="AA58" s="475"/>
      <c r="AB58" s="475"/>
      <c r="AC58" s="475"/>
      <c r="AD58" s="475"/>
      <c r="AE58" s="475"/>
      <c r="AF58" s="475"/>
      <c r="AG58" s="475"/>
      <c r="AH58" s="475"/>
      <c r="AI58" s="475"/>
      <c r="AJ58" s="475"/>
      <c r="AK58" s="475"/>
      <c r="AL58" s="475"/>
      <c r="AM58" s="475"/>
      <c r="AN58" s="475"/>
      <c r="AO58" s="475"/>
      <c r="AP58" s="475"/>
      <c r="AQ58" s="475"/>
      <c r="AR58" s="475"/>
      <c r="AS58" s="475"/>
      <c r="AT58" s="475"/>
      <c r="AU58" s="475"/>
      <c r="AV58" s="475"/>
      <c r="AW58" s="475"/>
      <c r="AX58" s="475"/>
      <c r="AY58" s="475"/>
      <c r="AZ58" s="475"/>
    </row>
    <row r="59" ht="15.35" customHeight="1">
      <c r="A59" s="475"/>
      <c r="B59" s="475"/>
      <c r="C59" s="475"/>
      <c r="D59" s="475"/>
      <c r="E59" t="s" s="101">
        <v>3094</v>
      </c>
      <c r="F59" t="s" s="101">
        <v>109</v>
      </c>
      <c r="G59" s="475"/>
      <c r="H59" s="475"/>
      <c r="I59" s="475"/>
      <c r="J59" s="475"/>
      <c r="K59" s="475"/>
      <c r="L59" t="s" s="101">
        <v>31</v>
      </c>
      <c r="M59" t="s" s="101">
        <v>12</v>
      </c>
      <c r="N59" s="493">
        <v>1850</v>
      </c>
      <c r="O59" s="493">
        <v>71</v>
      </c>
      <c r="P59" t="s" s="101">
        <v>13</v>
      </c>
      <c r="Q59" t="s" s="101">
        <v>33</v>
      </c>
      <c r="R59" t="s" s="101">
        <v>34</v>
      </c>
      <c r="S59" s="475"/>
      <c r="T59" s="475"/>
      <c r="U59" s="475"/>
      <c r="V59" s="475"/>
      <c r="W59" s="475"/>
      <c r="X59" s="475"/>
      <c r="Y59" s="475"/>
      <c r="Z59" s="475"/>
      <c r="AA59" s="475"/>
      <c r="AB59" s="475"/>
      <c r="AC59" s="475"/>
      <c r="AD59" s="475"/>
      <c r="AE59" s="475"/>
      <c r="AF59" s="475"/>
      <c r="AG59" s="475"/>
      <c r="AH59" s="475"/>
      <c r="AI59" s="475"/>
      <c r="AJ59" s="475"/>
      <c r="AK59" s="475"/>
      <c r="AL59" s="475"/>
      <c r="AM59" s="475"/>
      <c r="AN59" s="475"/>
      <c r="AO59" s="475"/>
      <c r="AP59" s="475"/>
      <c r="AQ59" s="475"/>
      <c r="AR59" s="475"/>
      <c r="AS59" s="475"/>
      <c r="AT59" s="475"/>
      <c r="AU59" s="475"/>
      <c r="AV59" s="475"/>
      <c r="AW59" s="475"/>
      <c r="AX59" s="475"/>
      <c r="AY59" s="475"/>
      <c r="AZ59" s="475"/>
    </row>
    <row r="60" ht="15.35" customHeight="1">
      <c r="A60" s="475"/>
      <c r="B60" s="475"/>
      <c r="C60" s="475"/>
      <c r="D60" s="475"/>
      <c r="E60" t="s" s="101">
        <v>786</v>
      </c>
      <c r="F60" t="s" s="101">
        <v>3095</v>
      </c>
      <c r="G60" s="475"/>
      <c r="H60" s="475"/>
      <c r="I60" s="475"/>
      <c r="J60" s="475"/>
      <c r="K60" s="475"/>
      <c r="L60" t="s" s="101">
        <v>65</v>
      </c>
      <c r="M60" t="s" s="101">
        <v>12</v>
      </c>
      <c r="N60" s="493">
        <v>1881</v>
      </c>
      <c r="O60" s="493">
        <v>39</v>
      </c>
      <c r="P60" t="s" s="101">
        <v>3098</v>
      </c>
      <c r="Q60" t="s" s="101">
        <v>3096</v>
      </c>
      <c r="R60" t="s" s="101">
        <v>3097</v>
      </c>
      <c r="S60" s="475"/>
      <c r="T60" s="475"/>
      <c r="U60" s="475"/>
      <c r="V60" s="475"/>
      <c r="W60" s="475"/>
      <c r="X60" s="475"/>
      <c r="Y60" s="475"/>
      <c r="Z60" s="475"/>
      <c r="AA60" s="475"/>
      <c r="AB60" s="475"/>
      <c r="AC60" s="475"/>
      <c r="AD60" s="475"/>
      <c r="AE60" s="475"/>
      <c r="AF60" s="475"/>
      <c r="AG60" s="475"/>
      <c r="AH60" s="475"/>
      <c r="AI60" s="475"/>
      <c r="AJ60" s="475"/>
      <c r="AK60" s="475"/>
      <c r="AL60" s="475"/>
      <c r="AM60" s="475"/>
      <c r="AN60" s="475"/>
      <c r="AO60" s="475"/>
      <c r="AP60" s="475"/>
      <c r="AQ60" s="475"/>
      <c r="AR60" s="475"/>
      <c r="AS60" s="475"/>
      <c r="AT60" s="475"/>
      <c r="AU60" s="475"/>
      <c r="AV60" s="475"/>
      <c r="AW60" s="475"/>
      <c r="AX60" s="475"/>
      <c r="AY60" s="475"/>
      <c r="AZ60" s="475"/>
    </row>
    <row r="61" ht="15.35" customHeight="1">
      <c r="A61" s="475"/>
      <c r="B61" s="475"/>
      <c r="C61" s="475"/>
      <c r="D61" s="475"/>
      <c r="E61" s="475"/>
      <c r="F61" s="475"/>
      <c r="G61" s="475"/>
      <c r="H61" s="475"/>
      <c r="I61" s="475"/>
      <c r="J61" s="475"/>
      <c r="K61" s="475"/>
      <c r="L61" s="475"/>
      <c r="M61" s="475"/>
      <c r="N61" s="475"/>
      <c r="O61" s="475"/>
      <c r="P61" s="475"/>
      <c r="Q61" s="475"/>
      <c r="R61" s="475"/>
      <c r="S61" s="475"/>
      <c r="T61" s="475"/>
      <c r="U61" s="475"/>
      <c r="V61" s="475"/>
      <c r="W61" s="475"/>
      <c r="X61" s="475"/>
      <c r="Y61" s="475"/>
      <c r="Z61" s="475"/>
      <c r="AA61" s="475"/>
      <c r="AB61" s="475"/>
      <c r="AC61" s="475"/>
      <c r="AD61" s="475"/>
      <c r="AE61" s="475"/>
      <c r="AF61" s="475"/>
      <c r="AG61" s="475"/>
      <c r="AH61" s="475"/>
      <c r="AI61" s="475"/>
      <c r="AJ61" s="475"/>
      <c r="AK61" s="475"/>
      <c r="AL61" s="475"/>
      <c r="AM61" s="475"/>
      <c r="AN61" s="475"/>
      <c r="AO61" s="475"/>
      <c r="AP61" s="475"/>
      <c r="AQ61" s="475"/>
      <c r="AR61" s="475"/>
      <c r="AS61" s="475"/>
      <c r="AT61" s="475"/>
      <c r="AU61" s="475"/>
      <c r="AV61" s="475"/>
      <c r="AW61" s="475"/>
      <c r="AX61" s="475"/>
      <c r="AY61" s="475"/>
      <c r="AZ61" s="475"/>
    </row>
    <row r="62" ht="15.35" customHeight="1">
      <c r="A62" s="475"/>
      <c r="B62" s="475"/>
      <c r="C62" s="475"/>
      <c r="D62" s="475"/>
      <c r="E62" t="s" s="101">
        <v>1</v>
      </c>
      <c r="F62" t="s" s="101">
        <v>0</v>
      </c>
      <c r="G62" s="475"/>
      <c r="H62" s="475"/>
      <c r="I62" s="475"/>
      <c r="J62" s="475"/>
      <c r="K62" s="475"/>
      <c r="L62" t="s" s="101">
        <v>2</v>
      </c>
      <c r="M62" t="s" s="101">
        <v>3</v>
      </c>
      <c r="N62" t="s" s="101">
        <v>4</v>
      </c>
      <c r="O62" t="s" s="101">
        <v>5</v>
      </c>
      <c r="P62" t="s" s="101">
        <v>6</v>
      </c>
      <c r="Q62" t="s" s="101">
        <v>7</v>
      </c>
      <c r="R62" t="s" s="101">
        <v>8</v>
      </c>
      <c r="S62" s="475"/>
      <c r="T62" s="475"/>
      <c r="U62" s="475"/>
      <c r="V62" s="475"/>
      <c r="W62" s="475"/>
      <c r="X62" s="475"/>
      <c r="Y62" s="475"/>
      <c r="Z62" s="475"/>
      <c r="AA62" s="475"/>
      <c r="AB62" s="475"/>
      <c r="AC62" s="475"/>
      <c r="AD62" s="475"/>
      <c r="AE62" s="475"/>
      <c r="AF62" s="475"/>
      <c r="AG62" s="475"/>
      <c r="AH62" s="475"/>
      <c r="AI62" s="475"/>
      <c r="AJ62" s="475"/>
      <c r="AK62" s="475"/>
      <c r="AL62" s="475"/>
      <c r="AM62" s="475"/>
      <c r="AN62" s="475"/>
      <c r="AO62" s="475"/>
      <c r="AP62" s="475"/>
      <c r="AQ62" s="475"/>
      <c r="AR62" s="475"/>
      <c r="AS62" s="475"/>
      <c r="AT62" s="475"/>
      <c r="AU62" s="475"/>
      <c r="AV62" s="475"/>
      <c r="AW62" s="475"/>
      <c r="AX62" s="475"/>
      <c r="AY62" s="475"/>
      <c r="AZ62" s="475"/>
    </row>
    <row r="63" ht="15.35" customHeight="1">
      <c r="A63" s="475"/>
      <c r="B63" s="475"/>
      <c r="C63" s="475"/>
      <c r="D63" s="475"/>
      <c r="E63" t="s" s="101">
        <v>3100</v>
      </c>
      <c r="F63" t="s" s="101">
        <v>3101</v>
      </c>
      <c r="G63" s="475"/>
      <c r="H63" s="475"/>
      <c r="I63" s="475"/>
      <c r="J63" s="475"/>
      <c r="K63" s="475"/>
      <c r="L63" t="s" s="101">
        <v>31</v>
      </c>
      <c r="M63" t="s" s="101">
        <v>37</v>
      </c>
      <c r="N63" s="493">
        <v>1874</v>
      </c>
      <c r="O63" s="493">
        <v>46</v>
      </c>
      <c r="P63" t="s" s="101">
        <v>13</v>
      </c>
      <c r="Q63" t="s" s="101">
        <v>3102</v>
      </c>
      <c r="R63" t="s" s="101">
        <v>8</v>
      </c>
      <c r="S63" s="475"/>
      <c r="T63" s="475"/>
      <c r="U63" s="475"/>
      <c r="V63" s="475"/>
      <c r="W63" s="475"/>
      <c r="X63" s="475"/>
      <c r="Y63" s="475"/>
      <c r="Z63" s="475"/>
      <c r="AA63" s="475"/>
      <c r="AB63" s="475"/>
      <c r="AC63" s="475"/>
      <c r="AD63" s="475"/>
      <c r="AE63" s="475"/>
      <c r="AF63" s="475"/>
      <c r="AG63" s="475"/>
      <c r="AH63" s="475"/>
      <c r="AI63" s="475"/>
      <c r="AJ63" s="475"/>
      <c r="AK63" s="475"/>
      <c r="AL63" s="475"/>
      <c r="AM63" s="475"/>
      <c r="AN63" s="475"/>
      <c r="AO63" s="475"/>
      <c r="AP63" s="475"/>
      <c r="AQ63" s="475"/>
      <c r="AR63" s="475"/>
      <c r="AS63" s="475"/>
      <c r="AT63" s="475"/>
      <c r="AU63" s="475"/>
      <c r="AV63" s="475"/>
      <c r="AW63" s="475"/>
      <c r="AX63" s="475"/>
      <c r="AY63" s="475"/>
      <c r="AZ63" s="475"/>
    </row>
    <row r="64" ht="15.35" customHeight="1">
      <c r="A64" s="475"/>
      <c r="B64" s="475"/>
      <c r="C64" s="475"/>
      <c r="D64" s="475"/>
      <c r="E64" t="s" s="101">
        <v>3103</v>
      </c>
      <c r="F64" t="s" s="101">
        <v>839</v>
      </c>
      <c r="G64" s="475"/>
      <c r="H64" s="475"/>
      <c r="I64" s="475"/>
      <c r="J64" s="475"/>
      <c r="K64" s="475"/>
      <c r="L64" t="s" s="101">
        <v>11</v>
      </c>
      <c r="M64" t="s" s="101">
        <v>37</v>
      </c>
      <c r="N64" s="493">
        <v>1892</v>
      </c>
      <c r="O64" s="493">
        <v>29</v>
      </c>
      <c r="P64" t="s" s="101">
        <v>13</v>
      </c>
      <c r="Q64" t="s" s="101">
        <v>45</v>
      </c>
      <c r="R64" t="s" s="101">
        <v>15</v>
      </c>
      <c r="S64" s="475"/>
      <c r="T64" s="475"/>
      <c r="U64" s="475"/>
      <c r="V64" s="475"/>
      <c r="W64" s="475"/>
      <c r="X64" s="475"/>
      <c r="Y64" s="475"/>
      <c r="Z64" s="475"/>
      <c r="AA64" s="475"/>
      <c r="AB64" s="475"/>
      <c r="AC64" s="475"/>
      <c r="AD64" s="475"/>
      <c r="AE64" s="475"/>
      <c r="AF64" s="475"/>
      <c r="AG64" s="475"/>
      <c r="AH64" s="475"/>
      <c r="AI64" s="475"/>
      <c r="AJ64" s="475"/>
      <c r="AK64" s="475"/>
      <c r="AL64" s="475"/>
      <c r="AM64" s="475"/>
      <c r="AN64" s="475"/>
      <c r="AO64" s="475"/>
      <c r="AP64" s="475"/>
      <c r="AQ64" s="475"/>
      <c r="AR64" s="475"/>
      <c r="AS64" s="475"/>
      <c r="AT64" s="475"/>
      <c r="AU64" s="475"/>
      <c r="AV64" s="475"/>
      <c r="AW64" s="475"/>
      <c r="AX64" s="475"/>
      <c r="AY64" s="475"/>
      <c r="AZ64" s="475"/>
    </row>
    <row r="65" ht="15.35" customHeight="1">
      <c r="A65" s="475"/>
      <c r="B65" s="475"/>
      <c r="C65" s="475"/>
      <c r="D65" s="475"/>
      <c r="E65" t="s" s="101">
        <v>3104</v>
      </c>
      <c r="F65" t="s" s="101">
        <v>3105</v>
      </c>
      <c r="G65" s="475"/>
      <c r="H65" s="475"/>
      <c r="I65" s="475"/>
      <c r="J65" s="475"/>
      <c r="K65" s="475"/>
      <c r="L65" t="s" s="101">
        <v>11</v>
      </c>
      <c r="M65" t="s" s="101">
        <v>12</v>
      </c>
      <c r="N65" s="493">
        <v>1899</v>
      </c>
      <c r="O65" s="493">
        <v>21</v>
      </c>
      <c r="P65" t="s" s="101">
        <v>1209</v>
      </c>
      <c r="Q65" t="s" s="101">
        <v>105</v>
      </c>
      <c r="R65" t="s" s="101">
        <v>15</v>
      </c>
      <c r="S65" s="475"/>
      <c r="T65" s="475"/>
      <c r="U65" s="475"/>
      <c r="V65" s="475"/>
      <c r="W65" s="475"/>
      <c r="X65" s="475"/>
      <c r="Y65" s="475"/>
      <c r="Z65" s="475"/>
      <c r="AA65" s="475"/>
      <c r="AB65" s="475"/>
      <c r="AC65" s="475"/>
      <c r="AD65" s="475"/>
      <c r="AE65" s="475"/>
      <c r="AF65" s="475"/>
      <c r="AG65" s="475"/>
      <c r="AH65" s="475"/>
      <c r="AI65" s="475"/>
      <c r="AJ65" s="475"/>
      <c r="AK65" s="475"/>
      <c r="AL65" s="475"/>
      <c r="AM65" s="475"/>
      <c r="AN65" s="475"/>
      <c r="AO65" s="475"/>
      <c r="AP65" s="475"/>
      <c r="AQ65" s="475"/>
      <c r="AR65" s="475"/>
      <c r="AS65" s="475"/>
      <c r="AT65" s="475"/>
      <c r="AU65" s="475"/>
      <c r="AV65" s="475"/>
      <c r="AW65" s="475"/>
      <c r="AX65" s="475"/>
      <c r="AY65" s="475"/>
      <c r="AZ65" s="475"/>
    </row>
    <row r="66" ht="15.35" customHeight="1">
      <c r="A66" s="475"/>
      <c r="B66" s="475"/>
      <c r="C66" s="475"/>
      <c r="D66" s="475"/>
      <c r="E66" t="s" s="101">
        <v>3106</v>
      </c>
      <c r="F66" t="s" s="101">
        <v>417</v>
      </c>
      <c r="G66" s="475"/>
      <c r="H66" s="475"/>
      <c r="I66" s="475"/>
      <c r="J66" s="475"/>
      <c r="K66" s="475"/>
      <c r="L66" t="s" s="101">
        <v>11</v>
      </c>
      <c r="M66" t="s" s="101">
        <v>12</v>
      </c>
      <c r="N66" s="493">
        <v>1902</v>
      </c>
      <c r="O66" s="493">
        <v>19</v>
      </c>
      <c r="P66" t="s" s="101">
        <v>775</v>
      </c>
      <c r="Q66" t="s" s="101">
        <v>105</v>
      </c>
      <c r="R66" t="s" s="101">
        <v>15</v>
      </c>
      <c r="S66" s="475"/>
      <c r="T66" s="475"/>
      <c r="U66" s="475"/>
      <c r="V66" s="475"/>
      <c r="W66" s="475"/>
      <c r="X66" s="475"/>
      <c r="Y66" s="475"/>
      <c r="Z66" s="475"/>
      <c r="AA66" s="475"/>
      <c r="AB66" s="475"/>
      <c r="AC66" s="475"/>
      <c r="AD66" s="475"/>
      <c r="AE66" s="475"/>
      <c r="AF66" s="475"/>
      <c r="AG66" s="475"/>
      <c r="AH66" s="475"/>
      <c r="AI66" s="475"/>
      <c r="AJ66" s="475"/>
      <c r="AK66" s="475"/>
      <c r="AL66" s="475"/>
      <c r="AM66" s="475"/>
      <c r="AN66" s="475"/>
      <c r="AO66" s="475"/>
      <c r="AP66" s="475"/>
      <c r="AQ66" s="475"/>
      <c r="AR66" s="475"/>
      <c r="AS66" s="475"/>
      <c r="AT66" s="475"/>
      <c r="AU66" s="475"/>
      <c r="AV66" s="475"/>
      <c r="AW66" s="475"/>
      <c r="AX66" s="475"/>
      <c r="AY66" s="475"/>
      <c r="AZ66" s="475"/>
    </row>
    <row r="67" ht="15.35" customHeight="1">
      <c r="A67" s="475"/>
      <c r="B67" s="475"/>
      <c r="C67" s="475"/>
      <c r="D67" s="475"/>
      <c r="E67" s="475"/>
      <c r="F67" s="475"/>
      <c r="G67" s="475"/>
      <c r="H67" s="475"/>
      <c r="I67" s="475"/>
      <c r="J67" s="475"/>
      <c r="K67" s="475"/>
      <c r="L67" s="475"/>
      <c r="M67" s="475"/>
      <c r="N67" s="475"/>
      <c r="O67" s="475"/>
      <c r="P67" s="475"/>
      <c r="Q67" s="475"/>
      <c r="R67" s="475"/>
      <c r="S67" s="475"/>
      <c r="T67" s="475"/>
      <c r="U67" s="475"/>
      <c r="V67" s="475"/>
      <c r="W67" s="475"/>
      <c r="X67" s="475"/>
      <c r="Y67" s="475"/>
      <c r="Z67" s="475"/>
      <c r="AA67" s="475"/>
      <c r="AB67" s="475"/>
      <c r="AC67" s="475"/>
      <c r="AD67" s="475"/>
      <c r="AE67" s="475"/>
      <c r="AF67" s="475"/>
      <c r="AG67" s="475"/>
      <c r="AH67" s="475"/>
      <c r="AI67" s="475"/>
      <c r="AJ67" s="475"/>
      <c r="AK67" s="475"/>
      <c r="AL67" s="475"/>
      <c r="AM67" s="475"/>
      <c r="AN67" s="475"/>
      <c r="AO67" s="475"/>
      <c r="AP67" s="475"/>
      <c r="AQ67" s="475"/>
      <c r="AR67" s="475"/>
      <c r="AS67" s="475"/>
      <c r="AT67" s="475"/>
      <c r="AU67" s="475"/>
      <c r="AV67" s="475"/>
      <c r="AW67" s="475"/>
      <c r="AX67" s="475"/>
      <c r="AY67" s="475"/>
      <c r="AZ67" s="475"/>
    </row>
    <row r="68" ht="15.35" customHeight="1">
      <c r="A68" s="475"/>
      <c r="B68" s="475"/>
      <c r="C68" s="475"/>
      <c r="D68" s="475"/>
      <c r="E68" t="s" s="101">
        <v>1</v>
      </c>
      <c r="F68" t="s" s="101">
        <v>0</v>
      </c>
      <c r="G68" s="475"/>
      <c r="H68" s="475"/>
      <c r="I68" s="475"/>
      <c r="J68" s="475"/>
      <c r="K68" s="475"/>
      <c r="L68" t="s" s="101">
        <v>2</v>
      </c>
      <c r="M68" t="s" s="101">
        <v>3</v>
      </c>
      <c r="N68" t="s" s="101">
        <v>4</v>
      </c>
      <c r="O68" t="s" s="101">
        <v>5</v>
      </c>
      <c r="P68" t="s" s="101">
        <v>6</v>
      </c>
      <c r="Q68" t="s" s="101">
        <v>7</v>
      </c>
      <c r="R68" t="s" s="101">
        <v>8</v>
      </c>
      <c r="S68" s="475"/>
      <c r="T68" s="475"/>
      <c r="U68" s="475"/>
      <c r="V68" s="475"/>
      <c r="W68" s="475"/>
      <c r="X68" s="475"/>
      <c r="Y68" s="475"/>
      <c r="Z68" s="475"/>
      <c r="AA68" s="475"/>
      <c r="AB68" s="475"/>
      <c r="AC68" s="475"/>
      <c r="AD68" s="475"/>
      <c r="AE68" s="475"/>
      <c r="AF68" s="475"/>
      <c r="AG68" s="475"/>
      <c r="AH68" s="475"/>
      <c r="AI68" s="475"/>
      <c r="AJ68" s="475"/>
      <c r="AK68" s="475"/>
      <c r="AL68" s="475"/>
      <c r="AM68" s="475"/>
      <c r="AN68" s="475"/>
      <c r="AO68" s="475"/>
      <c r="AP68" s="475"/>
      <c r="AQ68" s="475"/>
      <c r="AR68" s="475"/>
      <c r="AS68" s="475"/>
      <c r="AT68" s="475"/>
      <c r="AU68" s="475"/>
      <c r="AV68" s="475"/>
      <c r="AW68" s="475"/>
      <c r="AX68" s="475"/>
      <c r="AY68" s="475"/>
      <c r="AZ68" s="475"/>
    </row>
    <row r="69" ht="15.35" customHeight="1">
      <c r="A69" s="475"/>
      <c r="B69" s="475"/>
      <c r="C69" s="475"/>
      <c r="D69" s="475"/>
      <c r="E69" t="s" s="101">
        <v>2558</v>
      </c>
      <c r="F69" t="s" s="101">
        <v>3108</v>
      </c>
      <c r="G69" s="475"/>
      <c r="H69" s="475"/>
      <c r="I69" s="475"/>
      <c r="J69" s="475"/>
      <c r="K69" s="475"/>
      <c r="L69" t="s" s="101">
        <v>31</v>
      </c>
      <c r="M69" t="s" s="101">
        <v>37</v>
      </c>
      <c r="N69" s="493">
        <v>1885</v>
      </c>
      <c r="O69" s="493">
        <v>35</v>
      </c>
      <c r="P69" t="s" s="101">
        <v>790</v>
      </c>
      <c r="Q69" t="s" s="101">
        <v>3109</v>
      </c>
      <c r="R69" t="s" s="101">
        <v>8</v>
      </c>
      <c r="S69" s="475"/>
      <c r="T69" s="475"/>
      <c r="U69" s="475"/>
      <c r="V69" s="475"/>
      <c r="W69" s="475"/>
      <c r="X69" s="475"/>
      <c r="Y69" s="475"/>
      <c r="Z69" s="475"/>
      <c r="AA69" s="475"/>
      <c r="AB69" s="475"/>
      <c r="AC69" s="475"/>
      <c r="AD69" s="475"/>
      <c r="AE69" s="475"/>
      <c r="AF69" s="475"/>
      <c r="AG69" s="475"/>
      <c r="AH69" s="475"/>
      <c r="AI69" s="475"/>
      <c r="AJ69" s="475"/>
      <c r="AK69" s="475"/>
      <c r="AL69" s="475"/>
      <c r="AM69" s="475"/>
      <c r="AN69" s="475"/>
      <c r="AO69" s="475"/>
      <c r="AP69" s="475"/>
      <c r="AQ69" s="475"/>
      <c r="AR69" s="475"/>
      <c r="AS69" s="475"/>
      <c r="AT69" s="475"/>
      <c r="AU69" s="475"/>
      <c r="AV69" s="475"/>
      <c r="AW69" s="475"/>
      <c r="AX69" s="475"/>
      <c r="AY69" s="475"/>
      <c r="AZ69" s="475"/>
    </row>
    <row r="70" ht="15.35" customHeight="1">
      <c r="A70" s="475"/>
      <c r="B70" s="475"/>
      <c r="C70" s="475"/>
      <c r="D70" s="475"/>
      <c r="E70" t="s" s="101">
        <v>2558</v>
      </c>
      <c r="F70" t="s" s="101">
        <v>3110</v>
      </c>
      <c r="G70" s="475"/>
      <c r="H70" s="475"/>
      <c r="I70" s="475"/>
      <c r="J70" s="475"/>
      <c r="K70" s="475"/>
      <c r="L70" t="s" s="101">
        <v>72</v>
      </c>
      <c r="M70" t="s" s="101">
        <v>12</v>
      </c>
      <c r="N70" s="493">
        <v>1886</v>
      </c>
      <c r="O70" s="493">
        <v>35</v>
      </c>
      <c r="P70" t="s" s="101">
        <v>3112</v>
      </c>
      <c r="Q70" t="s" s="101">
        <v>3111</v>
      </c>
      <c r="R70" t="s" s="101">
        <v>8</v>
      </c>
      <c r="S70" s="475"/>
      <c r="T70" s="475"/>
      <c r="U70" s="475"/>
      <c r="V70" s="475"/>
      <c r="W70" s="475"/>
      <c r="X70" s="475"/>
      <c r="Y70" s="475"/>
      <c r="Z70" s="475"/>
      <c r="AA70" s="475"/>
      <c r="AB70" s="475"/>
      <c r="AC70" s="475"/>
      <c r="AD70" s="475"/>
      <c r="AE70" s="475"/>
      <c r="AF70" s="475"/>
      <c r="AG70" s="475"/>
      <c r="AH70" s="475"/>
      <c r="AI70" s="475"/>
      <c r="AJ70" s="475"/>
      <c r="AK70" s="475"/>
      <c r="AL70" s="475"/>
      <c r="AM70" s="475"/>
      <c r="AN70" s="475"/>
      <c r="AO70" s="475"/>
      <c r="AP70" s="475"/>
      <c r="AQ70" s="475"/>
      <c r="AR70" s="475"/>
      <c r="AS70" s="475"/>
      <c r="AT70" s="475"/>
      <c r="AU70" s="475"/>
      <c r="AV70" s="475"/>
      <c r="AW70" s="475"/>
      <c r="AX70" s="475"/>
      <c r="AY70" s="475"/>
      <c r="AZ70" s="475"/>
    </row>
    <row r="71" ht="15.35" customHeight="1">
      <c r="A71" s="475"/>
      <c r="B71" s="475"/>
      <c r="C71" s="475"/>
      <c r="D71" s="475"/>
      <c r="E71" s="475"/>
      <c r="F71" s="475"/>
      <c r="G71" s="475"/>
      <c r="H71" s="475"/>
      <c r="I71" s="475"/>
      <c r="J71" s="475"/>
      <c r="K71" s="475"/>
      <c r="L71" s="475"/>
      <c r="M71" s="475"/>
      <c r="N71" s="475"/>
      <c r="O71" s="475"/>
      <c r="P71" s="475"/>
      <c r="Q71" s="475"/>
      <c r="R71" s="475"/>
      <c r="S71" s="475"/>
      <c r="T71" s="475"/>
      <c r="U71" s="475"/>
      <c r="V71" s="475"/>
      <c r="W71" s="475"/>
      <c r="X71" s="475"/>
      <c r="Y71" s="475"/>
      <c r="Z71" s="475"/>
      <c r="AA71" s="475"/>
      <c r="AB71" s="475"/>
      <c r="AC71" s="475"/>
      <c r="AD71" s="475"/>
      <c r="AE71" s="475"/>
      <c r="AF71" s="475"/>
      <c r="AG71" s="475"/>
      <c r="AH71" s="475"/>
      <c r="AI71" s="475"/>
      <c r="AJ71" s="475"/>
      <c r="AK71" s="475"/>
      <c r="AL71" s="475"/>
      <c r="AM71" s="475"/>
      <c r="AN71" s="475"/>
      <c r="AO71" s="475"/>
      <c r="AP71" s="475"/>
      <c r="AQ71" s="475"/>
      <c r="AR71" s="475"/>
      <c r="AS71" s="475"/>
      <c r="AT71" s="475"/>
      <c r="AU71" s="475"/>
      <c r="AV71" s="475"/>
      <c r="AW71" s="475"/>
      <c r="AX71" s="475"/>
      <c r="AY71" s="475"/>
      <c r="AZ71" s="475"/>
    </row>
    <row r="72" ht="15.35" customHeight="1">
      <c r="A72" s="475"/>
      <c r="B72" s="475"/>
      <c r="C72" s="475"/>
      <c r="D72" s="475"/>
      <c r="E72" s="475"/>
      <c r="F72" s="475"/>
      <c r="G72" s="475"/>
      <c r="H72" s="475"/>
      <c r="I72" s="475"/>
      <c r="J72" s="475"/>
      <c r="K72" s="475"/>
      <c r="L72" s="475"/>
      <c r="M72" s="475"/>
      <c r="N72" s="475"/>
      <c r="O72" s="475"/>
      <c r="P72" s="475"/>
      <c r="Q72" s="475"/>
      <c r="R72" s="475"/>
      <c r="S72" s="475"/>
      <c r="T72" s="475"/>
      <c r="U72" s="475"/>
      <c r="V72" s="475"/>
      <c r="W72" s="475"/>
      <c r="X72" s="475"/>
      <c r="Y72" s="475"/>
      <c r="Z72" s="475"/>
      <c r="AA72" s="475"/>
      <c r="AB72" s="475"/>
      <c r="AC72" s="475"/>
      <c r="AD72" s="475"/>
      <c r="AE72" s="475"/>
      <c r="AF72" s="475"/>
      <c r="AG72" s="475"/>
      <c r="AH72" s="475"/>
      <c r="AI72" s="475"/>
      <c r="AJ72" s="475"/>
      <c r="AK72" s="475"/>
      <c r="AL72" s="475"/>
      <c r="AM72" s="475"/>
      <c r="AN72" s="475"/>
      <c r="AO72" s="475"/>
      <c r="AP72" s="475"/>
      <c r="AQ72" s="475"/>
      <c r="AR72" s="475"/>
      <c r="AS72" s="475"/>
      <c r="AT72" s="475"/>
      <c r="AU72" s="475"/>
      <c r="AV72" s="475"/>
      <c r="AW72" s="475"/>
      <c r="AX72" s="475"/>
      <c r="AY72" s="475"/>
      <c r="AZ72" s="475"/>
    </row>
    <row r="73" ht="15.35" customHeight="1">
      <c r="A73" s="518"/>
      <c r="B73" s="518"/>
      <c r="C73" s="518"/>
      <c r="D73" s="518"/>
      <c r="E73" t="s" s="101">
        <v>0</v>
      </c>
      <c r="F73" t="s" s="101">
        <v>1</v>
      </c>
      <c r="G73" t="s" s="101">
        <v>2</v>
      </c>
      <c r="H73" t="s" s="101">
        <v>3</v>
      </c>
      <c r="I73" t="s" s="101">
        <v>4</v>
      </c>
      <c r="J73" t="s" s="101">
        <v>5</v>
      </c>
      <c r="K73" t="s" s="101">
        <v>6</v>
      </c>
      <c r="L73" t="s" s="101">
        <v>7</v>
      </c>
      <c r="M73" t="s" s="101">
        <v>8</v>
      </c>
      <c r="N73" s="475"/>
      <c r="O73" s="475"/>
      <c r="P73" s="475"/>
      <c r="Q73" s="475"/>
      <c r="R73" s="475"/>
      <c r="S73" s="475"/>
      <c r="T73" s="475"/>
      <c r="U73" s="475"/>
      <c r="V73" s="475"/>
      <c r="W73" s="475"/>
      <c r="X73" s="475"/>
      <c r="Y73" s="475"/>
      <c r="Z73" s="475"/>
      <c r="AA73" s="475"/>
      <c r="AB73" s="475"/>
      <c r="AC73" s="475"/>
      <c r="AD73" s="475"/>
      <c r="AE73" s="475"/>
      <c r="AF73" s="475"/>
      <c r="AG73" s="475"/>
      <c r="AH73" s="475"/>
      <c r="AI73" s="475"/>
      <c r="AJ73" s="475"/>
      <c r="AK73" s="475"/>
      <c r="AL73" s="475"/>
      <c r="AM73" s="475"/>
      <c r="AN73" s="475"/>
      <c r="AO73" s="475"/>
      <c r="AP73" s="475"/>
      <c r="AQ73" s="475"/>
      <c r="AR73" s="475"/>
      <c r="AS73" s="475"/>
      <c r="AT73" s="475"/>
      <c r="AU73" s="475"/>
      <c r="AV73" s="475"/>
      <c r="AW73" s="475"/>
      <c r="AX73" s="475"/>
      <c r="AY73" s="475"/>
      <c r="AZ73" s="475"/>
    </row>
    <row r="74" ht="15.35" customHeight="1">
      <c r="A74" s="519"/>
      <c r="B74" s="520"/>
      <c r="C74" s="520"/>
      <c r="D74" t="s" s="521">
        <v>3126</v>
      </c>
      <c r="E74" t="s" s="522">
        <v>3115</v>
      </c>
      <c r="F74" t="s" s="101">
        <v>386</v>
      </c>
      <c r="G74" t="s" s="101">
        <v>31</v>
      </c>
      <c r="H74" t="s" s="101">
        <v>37</v>
      </c>
      <c r="I74" s="493">
        <v>1868</v>
      </c>
      <c r="J74" s="493">
        <v>53</v>
      </c>
      <c r="K74" t="s" s="101">
        <v>13</v>
      </c>
      <c r="L74" t="s" s="101">
        <v>3116</v>
      </c>
      <c r="M74" t="s" s="101">
        <v>8</v>
      </c>
      <c r="N74" s="475"/>
      <c r="O74" s="475"/>
      <c r="P74" s="475"/>
      <c r="Q74" s="475"/>
      <c r="R74" s="475"/>
      <c r="S74" s="475"/>
      <c r="T74" s="475"/>
      <c r="U74" s="475"/>
      <c r="V74" s="475"/>
      <c r="W74" s="475"/>
      <c r="X74" s="475"/>
      <c r="Y74" s="475"/>
      <c r="Z74" s="475"/>
      <c r="AA74" s="475"/>
      <c r="AB74" s="475"/>
      <c r="AC74" s="475"/>
      <c r="AD74" s="475"/>
      <c r="AE74" s="475"/>
      <c r="AF74" s="475"/>
      <c r="AG74" s="475"/>
      <c r="AH74" s="475"/>
      <c r="AI74" s="475"/>
      <c r="AJ74" s="475"/>
      <c r="AK74" s="475"/>
      <c r="AL74" s="475"/>
      <c r="AM74" s="475"/>
      <c r="AN74" s="475"/>
      <c r="AO74" s="475"/>
      <c r="AP74" s="475"/>
      <c r="AQ74" s="475"/>
      <c r="AR74" s="475"/>
      <c r="AS74" s="475"/>
      <c r="AT74" s="475"/>
      <c r="AU74" s="475"/>
      <c r="AV74" s="475"/>
      <c r="AW74" s="475"/>
      <c r="AX74" s="475"/>
      <c r="AY74" s="475"/>
      <c r="AZ74" s="475"/>
    </row>
    <row r="75" ht="15.35" customHeight="1">
      <c r="A75" s="519"/>
      <c r="B75" s="520"/>
      <c r="C75" s="520"/>
      <c r="D75" s="520"/>
      <c r="E75" t="s" s="522">
        <v>1363</v>
      </c>
      <c r="F75" t="s" s="101">
        <v>386</v>
      </c>
      <c r="G75" t="s" s="101">
        <v>72</v>
      </c>
      <c r="H75" t="s" s="101">
        <v>12</v>
      </c>
      <c r="I75" s="493">
        <v>1861</v>
      </c>
      <c r="J75" s="493">
        <v>60</v>
      </c>
      <c r="K75" t="s" s="101">
        <v>1140</v>
      </c>
      <c r="L75" t="s" s="101">
        <v>33</v>
      </c>
      <c r="M75" t="s" s="101">
        <v>34</v>
      </c>
      <c r="N75" s="475"/>
      <c r="O75" s="475"/>
      <c r="P75" s="475"/>
      <c r="Q75" s="475"/>
      <c r="R75" s="475"/>
      <c r="S75" s="475"/>
      <c r="T75" s="475"/>
      <c r="U75" s="475"/>
      <c r="V75" s="475"/>
      <c r="W75" s="475"/>
      <c r="X75" s="475"/>
      <c r="Y75" s="475"/>
      <c r="Z75" s="475"/>
      <c r="AA75" s="475"/>
      <c r="AB75" s="475"/>
      <c r="AC75" s="475"/>
      <c r="AD75" s="475"/>
      <c r="AE75" s="475"/>
      <c r="AF75" s="475"/>
      <c r="AG75" s="475"/>
      <c r="AH75" s="475"/>
      <c r="AI75" s="475"/>
      <c r="AJ75" s="475"/>
      <c r="AK75" s="475"/>
      <c r="AL75" s="475"/>
      <c r="AM75" s="475"/>
      <c r="AN75" s="475"/>
      <c r="AO75" s="475"/>
      <c r="AP75" s="475"/>
      <c r="AQ75" s="475"/>
      <c r="AR75" s="475"/>
      <c r="AS75" s="475"/>
      <c r="AT75" s="475"/>
      <c r="AU75" s="475"/>
      <c r="AV75" s="475"/>
      <c r="AW75" s="475"/>
      <c r="AX75" s="475"/>
      <c r="AY75" s="475"/>
      <c r="AZ75" s="475"/>
    </row>
    <row r="76" ht="15.35" customHeight="1">
      <c r="A76" s="519"/>
      <c r="B76" s="520"/>
      <c r="C76" s="520"/>
      <c r="D76" s="520"/>
      <c r="E76" t="s" s="522">
        <v>3117</v>
      </c>
      <c r="F76" t="s" s="101">
        <v>386</v>
      </c>
      <c r="G76" t="s" s="101">
        <v>78</v>
      </c>
      <c r="H76" t="s" s="101">
        <v>12</v>
      </c>
      <c r="I76" s="493">
        <v>1892</v>
      </c>
      <c r="J76" s="493">
        <v>28</v>
      </c>
      <c r="K76" t="s" s="101">
        <v>13</v>
      </c>
      <c r="L76" t="s" s="101">
        <v>34</v>
      </c>
      <c r="M76" t="s" s="101">
        <v>34</v>
      </c>
      <c r="N76" s="475"/>
      <c r="O76" s="475"/>
      <c r="P76" s="475"/>
      <c r="Q76" s="475"/>
      <c r="R76" s="475"/>
      <c r="S76" s="475"/>
      <c r="T76" s="475"/>
      <c r="U76" s="475"/>
      <c r="V76" s="475"/>
      <c r="W76" s="475"/>
      <c r="X76" s="475"/>
      <c r="Y76" s="475"/>
      <c r="Z76" s="475"/>
      <c r="AA76" s="475"/>
      <c r="AB76" s="475"/>
      <c r="AC76" s="475"/>
      <c r="AD76" s="475"/>
      <c r="AE76" s="475"/>
      <c r="AF76" s="475"/>
      <c r="AG76" s="475"/>
      <c r="AH76" s="475"/>
      <c r="AI76" s="475"/>
      <c r="AJ76" s="475"/>
      <c r="AK76" s="475"/>
      <c r="AL76" s="475"/>
      <c r="AM76" s="475"/>
      <c r="AN76" s="475"/>
      <c r="AO76" s="475"/>
      <c r="AP76" s="475"/>
      <c r="AQ76" s="475"/>
      <c r="AR76" s="475"/>
      <c r="AS76" s="475"/>
      <c r="AT76" s="475"/>
      <c r="AU76" s="475"/>
      <c r="AV76" s="475"/>
      <c r="AW76" s="475"/>
      <c r="AX76" s="475"/>
      <c r="AY76" s="475"/>
      <c r="AZ76" s="475"/>
    </row>
    <row r="77" ht="15.35" customHeight="1">
      <c r="A77" s="519"/>
      <c r="B77" s="520"/>
      <c r="C77" s="520"/>
      <c r="D77" s="520"/>
      <c r="E77" t="s" s="522">
        <v>153</v>
      </c>
      <c r="F77" t="s" s="101">
        <v>386</v>
      </c>
      <c r="G77" t="s" s="101">
        <v>2997</v>
      </c>
      <c r="H77" t="s" s="101">
        <v>37</v>
      </c>
      <c r="I77" s="493">
        <v>1835</v>
      </c>
      <c r="J77" s="493">
        <v>85</v>
      </c>
      <c r="K77" t="s" s="101">
        <v>13</v>
      </c>
      <c r="L77" t="s" s="101">
        <v>34</v>
      </c>
      <c r="M77" t="s" s="101">
        <v>34</v>
      </c>
      <c r="N77" s="475"/>
      <c r="O77" s="475"/>
      <c r="P77" s="475"/>
      <c r="Q77" s="475"/>
      <c r="R77" s="475"/>
      <c r="S77" s="475"/>
      <c r="T77" s="475"/>
      <c r="U77" s="475"/>
      <c r="V77" s="475"/>
      <c r="W77" s="475"/>
      <c r="X77" s="475"/>
      <c r="Y77" s="475"/>
      <c r="Z77" s="475"/>
      <c r="AA77" s="475"/>
      <c r="AB77" s="475"/>
      <c r="AC77" s="475"/>
      <c r="AD77" s="475"/>
      <c r="AE77" s="475"/>
      <c r="AF77" s="475"/>
      <c r="AG77" s="475"/>
      <c r="AH77" s="475"/>
      <c r="AI77" s="475"/>
      <c r="AJ77" s="475"/>
      <c r="AK77" s="475"/>
      <c r="AL77" s="475"/>
      <c r="AM77" s="475"/>
      <c r="AN77" s="475"/>
      <c r="AO77" s="475"/>
      <c r="AP77" s="475"/>
      <c r="AQ77" s="475"/>
      <c r="AR77" s="475"/>
      <c r="AS77" s="475"/>
      <c r="AT77" s="475"/>
      <c r="AU77" s="475"/>
      <c r="AV77" s="475"/>
      <c r="AW77" s="475"/>
      <c r="AX77" s="475"/>
      <c r="AY77" s="475"/>
      <c r="AZ77" s="475"/>
    </row>
    <row r="78" ht="15.35" customHeight="1">
      <c r="A78" s="519"/>
      <c r="B78" s="520"/>
      <c r="C78" s="520"/>
      <c r="D78" s="520"/>
      <c r="E78" t="s" s="522">
        <v>3118</v>
      </c>
      <c r="F78" t="s" s="101">
        <v>1883</v>
      </c>
      <c r="G78" t="s" s="101">
        <v>11</v>
      </c>
      <c r="H78" t="s" s="101">
        <v>12</v>
      </c>
      <c r="I78" s="493">
        <v>1877</v>
      </c>
      <c r="J78" s="493">
        <v>44</v>
      </c>
      <c r="K78" t="s" s="101">
        <v>3119</v>
      </c>
      <c r="L78" t="s" s="101">
        <v>45</v>
      </c>
      <c r="M78" t="s" s="101">
        <v>15</v>
      </c>
      <c r="N78" s="475"/>
      <c r="O78" s="475"/>
      <c r="P78" s="475"/>
      <c r="Q78" s="475"/>
      <c r="R78" s="475"/>
      <c r="S78" s="475"/>
      <c r="T78" s="475"/>
      <c r="U78" s="475"/>
      <c r="V78" s="475"/>
      <c r="W78" s="475"/>
      <c r="X78" s="475"/>
      <c r="Y78" s="475"/>
      <c r="Z78" s="475"/>
      <c r="AA78" s="475"/>
      <c r="AB78" s="475"/>
      <c r="AC78" s="475"/>
      <c r="AD78" s="475"/>
      <c r="AE78" s="475"/>
      <c r="AF78" s="475"/>
      <c r="AG78" s="475"/>
      <c r="AH78" s="475"/>
      <c r="AI78" s="475"/>
      <c r="AJ78" s="475"/>
      <c r="AK78" s="475"/>
      <c r="AL78" s="475"/>
      <c r="AM78" s="475"/>
      <c r="AN78" s="475"/>
      <c r="AO78" s="475"/>
      <c r="AP78" s="475"/>
      <c r="AQ78" s="475"/>
      <c r="AR78" s="475"/>
      <c r="AS78" s="475"/>
      <c r="AT78" s="475"/>
      <c r="AU78" s="475"/>
      <c r="AV78" s="475"/>
      <c r="AW78" s="475"/>
      <c r="AX78" s="475"/>
      <c r="AY78" s="475"/>
      <c r="AZ78" s="475"/>
    </row>
    <row r="79" ht="15.35" customHeight="1">
      <c r="A79" s="519"/>
      <c r="B79" s="520"/>
      <c r="C79" s="520"/>
      <c r="D79" s="520"/>
      <c r="E79" t="s" s="522">
        <v>3121</v>
      </c>
      <c r="F79" t="s" s="101">
        <v>3120</v>
      </c>
      <c r="G79" t="s" s="101">
        <v>11</v>
      </c>
      <c r="H79" t="s" s="101">
        <v>12</v>
      </c>
      <c r="I79" s="493">
        <v>1878</v>
      </c>
      <c r="J79" s="493">
        <v>43</v>
      </c>
      <c r="K79" t="s" s="101">
        <v>239</v>
      </c>
      <c r="L79" t="s" s="101">
        <v>51</v>
      </c>
      <c r="M79" t="s" s="101">
        <v>15</v>
      </c>
      <c r="N79" s="475"/>
      <c r="O79" s="475"/>
      <c r="P79" s="475"/>
      <c r="Q79" s="475"/>
      <c r="R79" s="475"/>
      <c r="S79" s="475"/>
      <c r="T79" s="475"/>
      <c r="U79" s="475"/>
      <c r="V79" s="475"/>
      <c r="W79" s="475"/>
      <c r="X79" s="475"/>
      <c r="Y79" s="475"/>
      <c r="Z79" s="475"/>
      <c r="AA79" s="475"/>
      <c r="AB79" s="475"/>
      <c r="AC79" s="475"/>
      <c r="AD79" s="475"/>
      <c r="AE79" s="475"/>
      <c r="AF79" s="475"/>
      <c r="AG79" s="475"/>
      <c r="AH79" s="475"/>
      <c r="AI79" s="475"/>
      <c r="AJ79" s="475"/>
      <c r="AK79" s="475"/>
      <c r="AL79" s="475"/>
      <c r="AM79" s="475"/>
      <c r="AN79" s="475"/>
      <c r="AO79" s="475"/>
      <c r="AP79" s="475"/>
      <c r="AQ79" s="475"/>
      <c r="AR79" s="475"/>
      <c r="AS79" s="475"/>
      <c r="AT79" s="475"/>
      <c r="AU79" s="475"/>
      <c r="AV79" s="475"/>
      <c r="AW79" s="475"/>
      <c r="AX79" s="475"/>
      <c r="AY79" s="475"/>
      <c r="AZ79" s="475"/>
    </row>
    <row r="80" ht="15.35" customHeight="1">
      <c r="A80" s="519"/>
      <c r="B80" s="520"/>
      <c r="C80" s="520"/>
      <c r="D80" s="520"/>
      <c r="E80" t="s" s="522">
        <v>3122</v>
      </c>
      <c r="F80" t="s" s="101">
        <v>3120</v>
      </c>
      <c r="G80" t="s" s="101">
        <v>11</v>
      </c>
      <c r="H80" t="s" s="101">
        <v>12</v>
      </c>
      <c r="I80" s="493">
        <v>1888</v>
      </c>
      <c r="J80" s="493">
        <v>32</v>
      </c>
      <c r="K80" t="s" s="101">
        <v>239</v>
      </c>
      <c r="L80" t="s" s="101">
        <v>55</v>
      </c>
      <c r="M80" t="s" s="101">
        <v>15</v>
      </c>
      <c r="N80" s="475"/>
      <c r="O80" s="475"/>
      <c r="P80" s="475"/>
      <c r="Q80" s="475"/>
      <c r="R80" s="475"/>
      <c r="S80" s="475"/>
      <c r="T80" s="475"/>
      <c r="U80" s="475"/>
      <c r="V80" s="475"/>
      <c r="W80" s="475"/>
      <c r="X80" s="475"/>
      <c r="Y80" s="475"/>
      <c r="Z80" s="475"/>
      <c r="AA80" s="475"/>
      <c r="AB80" s="475"/>
      <c r="AC80" s="475"/>
      <c r="AD80" s="475"/>
      <c r="AE80" s="475"/>
      <c r="AF80" s="475"/>
      <c r="AG80" s="475"/>
      <c r="AH80" s="475"/>
      <c r="AI80" s="475"/>
      <c r="AJ80" s="475"/>
      <c r="AK80" s="475"/>
      <c r="AL80" s="475"/>
      <c r="AM80" s="475"/>
      <c r="AN80" s="475"/>
      <c r="AO80" s="475"/>
      <c r="AP80" s="475"/>
      <c r="AQ80" s="475"/>
      <c r="AR80" s="475"/>
      <c r="AS80" s="475"/>
      <c r="AT80" s="475"/>
      <c r="AU80" s="475"/>
      <c r="AV80" s="475"/>
      <c r="AW80" s="475"/>
      <c r="AX80" s="475"/>
      <c r="AY80" s="475"/>
      <c r="AZ80" s="475"/>
    </row>
    <row r="81" ht="15.35" customHeight="1">
      <c r="A81" s="519"/>
      <c r="B81" s="520"/>
      <c r="C81" s="520"/>
      <c r="D81" s="520"/>
      <c r="E81" t="s" s="522">
        <v>3123</v>
      </c>
      <c r="F81" t="s" s="101">
        <v>3120</v>
      </c>
      <c r="G81" t="s" s="101">
        <v>11</v>
      </c>
      <c r="H81" t="s" s="101">
        <v>12</v>
      </c>
      <c r="I81" s="493">
        <v>1888</v>
      </c>
      <c r="J81" s="493">
        <v>32</v>
      </c>
      <c r="K81" t="s" s="101">
        <v>2014</v>
      </c>
      <c r="L81" t="s" s="101">
        <v>1627</v>
      </c>
      <c r="M81" t="s" s="101">
        <v>15</v>
      </c>
      <c r="N81" s="475"/>
      <c r="O81" s="475"/>
      <c r="P81" s="475"/>
      <c r="Q81" s="475"/>
      <c r="R81" s="475"/>
      <c r="S81" s="475"/>
      <c r="T81" s="475"/>
      <c r="U81" s="475"/>
      <c r="V81" s="475"/>
      <c r="W81" s="475"/>
      <c r="X81" s="475"/>
      <c r="Y81" s="475"/>
      <c r="Z81" s="475"/>
      <c r="AA81" s="475"/>
      <c r="AB81" s="475"/>
      <c r="AC81" s="475"/>
      <c r="AD81" s="475"/>
      <c r="AE81" s="475"/>
      <c r="AF81" s="475"/>
      <c r="AG81" s="475"/>
      <c r="AH81" s="475"/>
      <c r="AI81" s="475"/>
      <c r="AJ81" s="475"/>
      <c r="AK81" s="475"/>
      <c r="AL81" s="475"/>
      <c r="AM81" s="475"/>
      <c r="AN81" s="475"/>
      <c r="AO81" s="475"/>
      <c r="AP81" s="475"/>
      <c r="AQ81" s="475"/>
      <c r="AR81" s="475"/>
      <c r="AS81" s="475"/>
      <c r="AT81" s="475"/>
      <c r="AU81" s="475"/>
      <c r="AV81" s="475"/>
      <c r="AW81" s="475"/>
      <c r="AX81" s="475"/>
      <c r="AY81" s="475"/>
      <c r="AZ81" s="475"/>
    </row>
    <row r="82" ht="15.35" customHeight="1">
      <c r="A82" s="523"/>
      <c r="B82" s="524"/>
      <c r="C82" s="524"/>
      <c r="D82" s="524"/>
      <c r="E82" t="s" s="522">
        <v>2638</v>
      </c>
      <c r="F82" t="s" s="101">
        <v>3124</v>
      </c>
      <c r="G82" t="s" s="101">
        <v>11</v>
      </c>
      <c r="H82" t="s" s="101">
        <v>12</v>
      </c>
      <c r="I82" s="493">
        <v>1896</v>
      </c>
      <c r="J82" s="493">
        <v>25</v>
      </c>
      <c r="K82" t="s" s="101">
        <v>3125</v>
      </c>
      <c r="L82" t="s" s="101">
        <v>55</v>
      </c>
      <c r="M82" t="s" s="101">
        <v>15</v>
      </c>
      <c r="N82" s="475"/>
      <c r="O82" s="475"/>
      <c r="P82" s="475"/>
      <c r="Q82" s="475"/>
      <c r="R82" s="475"/>
      <c r="S82" s="475"/>
      <c r="T82" s="475"/>
      <c r="U82" s="475"/>
      <c r="V82" s="475"/>
      <c r="W82" s="475"/>
      <c r="X82" s="475"/>
      <c r="Y82" s="475"/>
      <c r="Z82" s="475"/>
      <c r="AA82" s="475"/>
      <c r="AB82" s="475"/>
      <c r="AC82" s="475"/>
      <c r="AD82" s="475"/>
      <c r="AE82" s="475"/>
      <c r="AF82" s="475"/>
      <c r="AG82" s="475"/>
      <c r="AH82" s="475"/>
      <c r="AI82" s="475"/>
      <c r="AJ82" s="475"/>
      <c r="AK82" s="475"/>
      <c r="AL82" s="475"/>
      <c r="AM82" s="475"/>
      <c r="AN82" s="475"/>
      <c r="AO82" s="475"/>
      <c r="AP82" s="475"/>
      <c r="AQ82" s="475"/>
      <c r="AR82" s="475"/>
      <c r="AS82" s="475"/>
      <c r="AT82" s="475"/>
      <c r="AU82" s="475"/>
      <c r="AV82" s="475"/>
      <c r="AW82" s="475"/>
      <c r="AX82" s="475"/>
      <c r="AY82" s="475"/>
      <c r="AZ82" s="475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0.xml><?xml version="1.0" encoding="utf-8"?>
<worksheet xmlns:r="http://schemas.openxmlformats.org/officeDocument/2006/relationships" xmlns="http://schemas.openxmlformats.org/spreadsheetml/2006/main">
  <dimension ref="A1:BC38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525" customWidth="1"/>
    <col min="4" max="4" width="17.8516" style="525" customWidth="1"/>
    <col min="5" max="5" width="20.1719" style="525" customWidth="1"/>
    <col min="6" max="6" width="9.85156" style="525" customWidth="1"/>
    <col min="7" max="10" width="10.8516" style="525" customWidth="1"/>
    <col min="11" max="11" width="8.5" style="525" customWidth="1"/>
    <col min="12" max="12" width="7.85156" style="525" customWidth="1"/>
    <col min="13" max="13" width="10" style="525" customWidth="1"/>
    <col min="14" max="14" width="8.67188" style="525" customWidth="1"/>
    <col min="15" max="15" width="18.5" style="525" customWidth="1"/>
    <col min="16" max="16" width="11.5" style="525" customWidth="1"/>
    <col min="17" max="17" width="11.6719" style="525" customWidth="1"/>
    <col min="18" max="18" width="12.3516" style="525" customWidth="1"/>
    <col min="19" max="19" width="10.8516" style="525" customWidth="1"/>
    <col min="20" max="20" width="15.1719" style="525" customWidth="1"/>
    <col min="21" max="23" width="10.8516" style="525" customWidth="1"/>
    <col min="24" max="24" width="31" style="525" customWidth="1"/>
    <col min="25" max="25" width="19.8516" style="525" customWidth="1"/>
    <col min="26" max="26" width="12.1719" style="525" customWidth="1"/>
    <col min="27" max="30" width="16.5" style="525" customWidth="1"/>
    <col min="31" max="31" width="14.6719" style="525" customWidth="1"/>
    <col min="32" max="32" width="10.8516" style="525" customWidth="1"/>
    <col min="33" max="33" width="11" style="525" customWidth="1"/>
    <col min="34" max="34" width="11.1719" style="525" customWidth="1"/>
    <col min="35" max="35" width="7.85156" style="525" customWidth="1"/>
    <col min="36" max="37" width="10.8516" style="525" customWidth="1"/>
    <col min="38" max="38" width="7.35156" style="525" customWidth="1"/>
    <col min="39" max="39" width="10.8516" style="525" customWidth="1"/>
    <col min="40" max="40" width="9.17188" style="525" customWidth="1"/>
    <col min="41" max="41" width="10.8516" style="525" customWidth="1"/>
    <col min="42" max="42" width="12.5" style="525" customWidth="1"/>
    <col min="43" max="43" width="13" style="525" customWidth="1"/>
    <col min="44" max="55" width="10.8516" style="525" customWidth="1"/>
    <col min="56" max="16384" width="10.8516" style="525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51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93">
        <v>302</v>
      </c>
      <c r="V2" t="s" s="93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s="141"/>
      <c r="B3" s="141"/>
      <c r="C3" s="30"/>
      <c r="D3" s="30"/>
      <c r="E3" s="30"/>
      <c r="F3" s="29"/>
      <c r="G3" s="29"/>
      <c r="H3" s="29"/>
      <c r="I3" s="115"/>
      <c r="J3" s="29"/>
      <c r="K3" s="116"/>
      <c r="L3" s="62"/>
      <c r="M3" s="117"/>
      <c r="N3" s="29"/>
      <c r="O3" s="115"/>
      <c r="P3" s="29"/>
      <c r="Q3" s="116"/>
      <c r="R3" s="62"/>
      <c r="S3" s="117"/>
      <c r="T3" s="29"/>
      <c r="U3" s="74"/>
      <c r="V3" s="16"/>
      <c r="W3" s="117"/>
      <c r="X3" s="29"/>
      <c r="Y3" s="29"/>
      <c r="Z3" s="29"/>
      <c r="AA3" s="29"/>
      <c r="AB3" s="29"/>
      <c r="AC3" s="29"/>
      <c r="AD3" s="29"/>
      <c r="AE3" s="30"/>
      <c r="AF3" s="30"/>
      <c r="AG3" s="29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7.5" customHeight="1">
      <c r="A4" s="30"/>
      <c r="B4" s="30"/>
      <c r="C4" s="30"/>
      <c r="D4" s="30"/>
      <c r="E4" s="30"/>
      <c r="F4" s="30"/>
      <c r="G4" s="30"/>
      <c r="H4" s="30"/>
      <c r="I4" s="122"/>
      <c r="J4" s="30"/>
      <c r="K4" s="74"/>
      <c r="L4" s="16"/>
      <c r="M4" s="75"/>
      <c r="N4" s="30"/>
      <c r="O4" s="122"/>
      <c r="P4" s="30"/>
      <c r="Q4" s="74"/>
      <c r="R4" s="16"/>
      <c r="S4" s="75"/>
      <c r="T4" s="121"/>
      <c r="U4" s="74"/>
      <c r="V4" s="16"/>
      <c r="W4" s="75"/>
      <c r="X4" s="30"/>
      <c r="Y4" s="30"/>
      <c r="Z4" s="30"/>
      <c r="AA4" s="121"/>
      <c r="AB4" s="121"/>
      <c r="AC4" s="30"/>
      <c r="AD4" s="30"/>
      <c r="AE4" s="30"/>
      <c r="AF4" s="30"/>
      <c r="AG4" s="121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7.5" customHeight="1">
      <c r="A5" s="30"/>
      <c r="B5" s="30"/>
      <c r="C5" s="30"/>
      <c r="D5" s="30"/>
      <c r="E5" s="30"/>
      <c r="F5" s="30"/>
      <c r="G5" s="30"/>
      <c r="H5" s="30"/>
      <c r="I5" s="122"/>
      <c r="J5" s="30"/>
      <c r="K5" s="74"/>
      <c r="L5" s="16"/>
      <c r="M5" s="75"/>
      <c r="N5" s="30"/>
      <c r="O5" s="122"/>
      <c r="P5" s="30"/>
      <c r="Q5" s="74"/>
      <c r="R5" s="16"/>
      <c r="S5" s="75"/>
      <c r="T5" s="121"/>
      <c r="U5" s="74"/>
      <c r="V5" s="16"/>
      <c r="W5" s="75"/>
      <c r="X5" s="30"/>
      <c r="Y5" s="30"/>
      <c r="Z5" s="30"/>
      <c r="AA5" s="121"/>
      <c r="AB5" s="121"/>
      <c r="AC5" s="30"/>
      <c r="AD5" s="30"/>
      <c r="AE5" s="30"/>
      <c r="AF5" s="30"/>
      <c r="AG5" s="121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7.5" customHeight="1">
      <c r="A6" s="30"/>
      <c r="B6" s="30"/>
      <c r="C6" s="30"/>
      <c r="D6" s="30"/>
      <c r="E6" s="30"/>
      <c r="F6" s="30"/>
      <c r="G6" s="30"/>
      <c r="H6" s="30"/>
      <c r="I6" s="122"/>
      <c r="J6" s="30"/>
      <c r="K6" s="74"/>
      <c r="L6" s="16"/>
      <c r="M6" s="75"/>
      <c r="N6" s="30"/>
      <c r="O6" s="122"/>
      <c r="P6" s="30"/>
      <c r="Q6" s="74"/>
      <c r="R6" s="16"/>
      <c r="S6" s="75"/>
      <c r="T6" s="121"/>
      <c r="U6" s="74"/>
      <c r="V6" s="16"/>
      <c r="W6" s="75"/>
      <c r="X6" s="30"/>
      <c r="Y6" s="30"/>
      <c r="Z6" s="30"/>
      <c r="AA6" s="121"/>
      <c r="AB6" s="121"/>
      <c r="AC6" s="30"/>
      <c r="AD6" s="30"/>
      <c r="AE6" s="30"/>
      <c r="AF6" s="30"/>
      <c r="AG6" s="121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7.5" customHeight="1">
      <c r="A7" s="30"/>
      <c r="B7" s="30"/>
      <c r="C7" s="30"/>
      <c r="D7" s="30"/>
      <c r="E7" s="30"/>
      <c r="F7" s="30"/>
      <c r="G7" s="30"/>
      <c r="H7" s="30"/>
      <c r="I7" s="122"/>
      <c r="J7" s="30"/>
      <c r="K7" s="74"/>
      <c r="L7" s="16"/>
      <c r="M7" s="75"/>
      <c r="N7" s="30"/>
      <c r="O7" s="122"/>
      <c r="P7" s="30"/>
      <c r="Q7" s="74"/>
      <c r="R7" s="16"/>
      <c r="S7" s="75"/>
      <c r="T7" s="121"/>
      <c r="U7" s="74"/>
      <c r="V7" s="16"/>
      <c r="W7" s="75"/>
      <c r="X7" s="30"/>
      <c r="Y7" s="30"/>
      <c r="Z7" s="30"/>
      <c r="AA7" s="121"/>
      <c r="AB7" s="121"/>
      <c r="AC7" s="30"/>
      <c r="AD7" s="30"/>
      <c r="AE7" s="30"/>
      <c r="AF7" s="30"/>
      <c r="AG7" s="121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7.5" customHeight="1">
      <c r="A8" s="30"/>
      <c r="B8" s="30"/>
      <c r="C8" s="30"/>
      <c r="D8" s="30"/>
      <c r="E8" s="30"/>
      <c r="F8" s="30"/>
      <c r="G8" s="30"/>
      <c r="H8" s="30"/>
      <c r="I8" s="122"/>
      <c r="J8" s="30"/>
      <c r="K8" s="74"/>
      <c r="L8" s="16"/>
      <c r="M8" s="75"/>
      <c r="N8" s="30"/>
      <c r="O8" s="122"/>
      <c r="P8" s="30"/>
      <c r="Q8" s="74"/>
      <c r="R8" s="16"/>
      <c r="S8" s="75"/>
      <c r="T8" s="121"/>
      <c r="U8" s="74"/>
      <c r="V8" s="16"/>
      <c r="W8" s="75"/>
      <c r="X8" s="30"/>
      <c r="Y8" s="30"/>
      <c r="Z8" s="30"/>
      <c r="AA8" s="121"/>
      <c r="AB8" s="121"/>
      <c r="AC8" s="30"/>
      <c r="AD8" s="30"/>
      <c r="AE8" s="30"/>
      <c r="AF8" s="30"/>
      <c r="AG8" s="121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7.5" customHeight="1">
      <c r="A9" s="30"/>
      <c r="B9" s="30"/>
      <c r="C9" s="30"/>
      <c r="D9" s="30"/>
      <c r="E9" s="30"/>
      <c r="F9" s="30"/>
      <c r="G9" s="30"/>
      <c r="H9" s="30"/>
      <c r="I9" s="122"/>
      <c r="J9" s="30"/>
      <c r="K9" s="74"/>
      <c r="L9" s="16"/>
      <c r="M9" s="75"/>
      <c r="N9" s="30"/>
      <c r="O9" s="122"/>
      <c r="P9" s="30"/>
      <c r="Q9" s="74"/>
      <c r="R9" s="16"/>
      <c r="S9" s="75"/>
      <c r="T9" s="121"/>
      <c r="U9" s="74"/>
      <c r="V9" s="16"/>
      <c r="W9" s="75"/>
      <c r="X9" s="30"/>
      <c r="Y9" s="30"/>
      <c r="Z9" s="30"/>
      <c r="AA9" s="121"/>
      <c r="AB9" s="121"/>
      <c r="AC9" s="30"/>
      <c r="AD9" s="30"/>
      <c r="AE9" s="30"/>
      <c r="AF9" s="30"/>
      <c r="AG9" s="121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7.5" customHeight="1">
      <c r="A10" s="30"/>
      <c r="B10" s="30"/>
      <c r="C10" s="30"/>
      <c r="D10" s="30"/>
      <c r="E10" s="30"/>
      <c r="F10" s="30"/>
      <c r="G10" s="30"/>
      <c r="H10" s="30"/>
      <c r="I10" s="122"/>
      <c r="J10" s="30"/>
      <c r="K10" s="74"/>
      <c r="L10" s="16"/>
      <c r="M10" s="75"/>
      <c r="N10" s="30"/>
      <c r="O10" s="122"/>
      <c r="P10" s="30"/>
      <c r="Q10" s="74"/>
      <c r="R10" s="16"/>
      <c r="S10" s="75"/>
      <c r="T10" s="121"/>
      <c r="U10" s="74"/>
      <c r="V10" s="16"/>
      <c r="W10" s="75"/>
      <c r="X10" s="30"/>
      <c r="Y10" s="30"/>
      <c r="Z10" s="30"/>
      <c r="AA10" s="121"/>
      <c r="AB10" s="121"/>
      <c r="AC10" s="30"/>
      <c r="AD10" s="30"/>
      <c r="AE10" s="30"/>
      <c r="AF10" s="30"/>
      <c r="AG10" s="121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7.5" customHeight="1">
      <c r="A11" s="30"/>
      <c r="B11" s="30"/>
      <c r="C11" s="30"/>
      <c r="D11" s="30"/>
      <c r="E11" s="30"/>
      <c r="F11" s="30"/>
      <c r="G11" s="30"/>
      <c r="H11" s="30"/>
      <c r="I11" s="122"/>
      <c r="J11" s="30"/>
      <c r="K11" s="74"/>
      <c r="L11" s="16"/>
      <c r="M11" s="75"/>
      <c r="N11" s="30"/>
      <c r="O11" s="122"/>
      <c r="P11" s="30"/>
      <c r="Q11" s="74"/>
      <c r="R11" s="16"/>
      <c r="S11" s="75"/>
      <c r="T11" s="121"/>
      <c r="U11" s="74"/>
      <c r="V11" s="16"/>
      <c r="W11" s="75"/>
      <c r="X11" s="30"/>
      <c r="Y11" s="30"/>
      <c r="Z11" s="30"/>
      <c r="AA11" s="121"/>
      <c r="AB11" s="121"/>
      <c r="AC11" s="30"/>
      <c r="AD11" s="30"/>
      <c r="AE11" s="30"/>
      <c r="AF11" s="30"/>
      <c r="AG11" s="121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7" customHeight="1">
      <c r="A12" s="30"/>
      <c r="B12" s="30"/>
      <c r="C12" s="30"/>
      <c r="D12" s="30"/>
      <c r="E12" s="30"/>
      <c r="F12" s="30"/>
      <c r="G12" s="30"/>
      <c r="H12" s="30"/>
      <c r="I12" s="122"/>
      <c r="J12" s="30"/>
      <c r="K12" s="74"/>
      <c r="L12" s="16"/>
      <c r="M12" s="75"/>
      <c r="N12" s="30"/>
      <c r="O12" s="122"/>
      <c r="P12" s="30"/>
      <c r="Q12" s="74"/>
      <c r="R12" s="16"/>
      <c r="S12" s="75"/>
      <c r="T12" s="30"/>
      <c r="U12" s="74"/>
      <c r="V12" s="16"/>
      <c r="W12" s="75"/>
      <c r="X12" s="112" cm="1">
        <f t="array" ref="X12">SUM(X3:X11)</f>
        <v>0</v>
      </c>
      <c r="Y12" s="112" cm="1">
        <f t="array" ref="Y12">SUM(Y3:Y11)</f>
        <v>0</v>
      </c>
      <c r="Z12" s="112" cm="1">
        <f t="array" ref="Z12">SUM(Z3:Z11)</f>
        <v>0</v>
      </c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7.5" customHeight="1">
      <c r="A13" s="30"/>
      <c r="B13" s="30"/>
      <c r="C13" s="30"/>
      <c r="D13" s="30"/>
      <c r="E13" s="30"/>
      <c r="F13" s="30"/>
      <c r="G13" s="30"/>
      <c r="H13" s="30"/>
      <c r="I13" s="122"/>
      <c r="J13" s="30"/>
      <c r="K13" s="74"/>
      <c r="L13" s="16"/>
      <c r="M13" s="75"/>
      <c r="N13" s="30"/>
      <c r="O13" s="122"/>
      <c r="P13" s="30"/>
      <c r="Q13" s="74"/>
      <c r="R13" s="16"/>
      <c r="S13" s="75"/>
      <c r="T13" s="121"/>
      <c r="U13" s="74"/>
      <c r="V13" s="16"/>
      <c r="W13" s="75"/>
      <c r="X13" s="30"/>
      <c r="Y13" s="30"/>
      <c r="Z13" s="30"/>
      <c r="AA13" s="121"/>
      <c r="AB13" s="121"/>
      <c r="AC13" s="30"/>
      <c r="AD13" s="30"/>
      <c r="AE13" s="30"/>
      <c r="AF13" s="30"/>
      <c r="AG13" s="121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7.5" customHeight="1">
      <c r="A14" s="30"/>
      <c r="B14" s="30"/>
      <c r="C14" s="30"/>
      <c r="D14" s="30"/>
      <c r="E14" s="30"/>
      <c r="F14" s="30"/>
      <c r="G14" s="30"/>
      <c r="H14" s="30"/>
      <c r="I14" s="122"/>
      <c r="J14" s="30"/>
      <c r="K14" s="74"/>
      <c r="L14" s="16"/>
      <c r="M14" s="75"/>
      <c r="N14" s="30"/>
      <c r="O14" s="122"/>
      <c r="P14" s="30"/>
      <c r="Q14" s="74"/>
      <c r="R14" s="16"/>
      <c r="S14" s="75"/>
      <c r="T14" s="121"/>
      <c r="U14" s="74"/>
      <c r="V14" s="16"/>
      <c r="W14" s="75"/>
      <c r="X14" s="30"/>
      <c r="Y14" s="30"/>
      <c r="Z14" s="30"/>
      <c r="AA14" s="121"/>
      <c r="AB14" s="121"/>
      <c r="AC14" s="30"/>
      <c r="AD14" s="30"/>
      <c r="AE14" s="30"/>
      <c r="AF14" s="30"/>
      <c r="AG14" s="121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7.5" customHeight="1">
      <c r="A15" s="30"/>
      <c r="B15" s="30"/>
      <c r="C15" s="30"/>
      <c r="D15" s="30"/>
      <c r="E15" s="124"/>
      <c r="F15" s="28"/>
      <c r="G15" s="28"/>
      <c r="H15" s="28"/>
      <c r="I15" s="122"/>
      <c r="J15" s="125"/>
      <c r="K15" s="74"/>
      <c r="L15" s="16"/>
      <c r="M15" s="75"/>
      <c r="N15" s="28"/>
      <c r="O15" s="122"/>
      <c r="P15" s="28"/>
      <c r="Q15" s="74"/>
      <c r="R15" s="16"/>
      <c r="S15" s="75"/>
      <c r="T15" s="28"/>
      <c r="U15" s="74"/>
      <c r="V15" s="16"/>
      <c r="W15" s="75"/>
      <c r="X15" s="28"/>
      <c r="Y15" s="28"/>
      <c r="Z15" s="28"/>
      <c r="AA15" s="28"/>
      <c r="AB15" s="28"/>
      <c r="AC15" s="28"/>
      <c r="AD15" s="28"/>
      <c r="AE15" s="30"/>
      <c r="AF15" s="30"/>
      <c r="AG15" s="28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28" customHeight="1">
      <c r="A16" s="30"/>
      <c r="B16" s="30"/>
      <c r="C16" s="30"/>
      <c r="D16" s="30"/>
      <c r="E16" s="124"/>
      <c r="F16" s="28"/>
      <c r="G16" s="28"/>
      <c r="H16" s="28"/>
      <c r="I16" s="131"/>
      <c r="J16" s="297"/>
      <c r="K16" s="132"/>
      <c r="L16" s="132"/>
      <c r="M16" s="133"/>
      <c r="N16" s="163"/>
      <c r="O16" s="132"/>
      <c r="P16" s="165"/>
      <c r="Q16" s="131"/>
      <c r="R16" s="132"/>
      <c r="S16" s="133"/>
      <c r="T16" s="28"/>
      <c r="U16" s="131"/>
      <c r="V16" s="132"/>
      <c r="W16" s="133"/>
      <c r="X16" s="28"/>
      <c r="Y16" s="28"/>
      <c r="Z16" s="28"/>
      <c r="AA16" s="28"/>
      <c r="AB16" s="28"/>
      <c r="AC16" s="28"/>
      <c r="AD16" s="124"/>
      <c r="AE16" s="30"/>
      <c r="AF16" s="30"/>
      <c r="AG16" s="28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7.5" customHeight="1">
      <c r="A17" s="30"/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112" cm="1">
        <f t="array" ref="U17">SUM(U3:U16)</f>
        <v>0</v>
      </c>
      <c r="V17" s="112" cm="1">
        <f t="array" ref="V17">SUM(V3:V16)</f>
        <v>0</v>
      </c>
      <c r="W17" s="112" cm="1">
        <f t="array" ref="W17">SUM(W3:W16)</f>
        <v>0</v>
      </c>
      <c r="X17" s="112" cm="1">
        <f t="array" ref="X17">SUM(X3:X16)</f>
        <v>0</v>
      </c>
      <c r="Y17" s="112" cm="1">
        <f t="array" ref="Y17">SUM(Y3:Y16)</f>
        <v>0</v>
      </c>
      <c r="Z17" s="112" cm="1">
        <f t="array" ref="Z17">SUM(Z3:Z16)</f>
        <v>0</v>
      </c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7.5" customHeigh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121"/>
      <c r="N18" s="121"/>
      <c r="O18" s="121"/>
      <c r="P18" s="121"/>
      <c r="Q18" s="30"/>
      <c r="R18" s="121"/>
      <c r="S18" s="121"/>
      <c r="T18" s="87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7.5" customHeigh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121"/>
      <c r="N19" s="121"/>
      <c r="O19" s="121"/>
      <c r="P19" s="121"/>
      <c r="Q19" s="121"/>
      <c r="R19" s="121"/>
      <c r="S19" s="121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7.5" customHeigh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121"/>
      <c r="N20" s="121"/>
      <c r="O20" s="121"/>
      <c r="P20" s="121"/>
      <c r="Q20" s="121"/>
      <c r="R20" s="121"/>
      <c r="S20" s="121"/>
      <c r="T20" s="30"/>
      <c r="U20" s="121"/>
      <c r="V20" s="121"/>
      <c r="W20" s="121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7.5" customHeight="1">
      <c r="A21" s="30"/>
      <c r="B21" s="30"/>
      <c r="C21" s="30"/>
      <c r="D21" s="30"/>
      <c r="E21" s="30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30"/>
      <c r="R21" s="121"/>
      <c r="S21" s="121"/>
      <c r="T21" s="30"/>
      <c r="U21" s="121"/>
      <c r="V21" s="121"/>
      <c r="W21" s="121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7.5" customHeigh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121"/>
      <c r="N22" s="121"/>
      <c r="O22" s="121"/>
      <c r="P22" s="121"/>
      <c r="Q22" s="30"/>
      <c r="R22" s="121"/>
      <c r="S22" s="121"/>
      <c r="T22" s="30"/>
      <c r="U22" s="121"/>
      <c r="V22" s="121"/>
      <c r="W22" s="121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7.5" customHeigh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121"/>
      <c r="N23" s="121"/>
      <c r="O23" s="121"/>
      <c r="P23" s="121"/>
      <c r="Q23" s="30"/>
      <c r="R23" s="121"/>
      <c r="S23" s="121"/>
      <c r="T23" s="30"/>
      <c r="U23" s="121"/>
      <c r="V23" s="121"/>
      <c r="W23" s="121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7.5" customHeigh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21"/>
      <c r="N24" s="121"/>
      <c r="O24" s="121"/>
      <c r="P24" s="121"/>
      <c r="Q24" s="30"/>
      <c r="R24" s="121"/>
      <c r="S24" s="121"/>
      <c r="T24" s="30"/>
      <c r="U24" s="121"/>
      <c r="V24" s="121"/>
      <c r="W24" s="121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7" customHeigh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121"/>
      <c r="N25" s="121"/>
      <c r="O25" s="121"/>
      <c r="P25" s="121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7.5" customHeigh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121"/>
      <c r="N26" s="121"/>
      <c r="O26" s="121"/>
      <c r="P26" s="121"/>
      <c r="Q26" s="30"/>
      <c r="R26" s="121"/>
      <c r="S26" s="121"/>
      <c r="T26" s="129"/>
      <c r="U26" s="121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7.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121"/>
      <c r="N27" s="121"/>
      <c r="O27" s="121"/>
      <c r="P27" s="121"/>
      <c r="Q27" s="30"/>
      <c r="R27" s="121"/>
      <c r="S27" s="121"/>
      <c r="T27" s="30"/>
      <c r="U27" s="121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121"/>
      <c r="N28" s="121"/>
      <c r="O28" s="121"/>
      <c r="P28" s="121"/>
      <c r="Q28" s="30"/>
      <c r="R28" s="121"/>
      <c r="S28" s="121"/>
      <c r="T28" s="30"/>
      <c r="U28" s="121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121"/>
      <c r="N29" s="121"/>
      <c r="O29" s="121"/>
      <c r="P29" s="121"/>
      <c r="Q29" s="30"/>
      <c r="R29" s="121"/>
      <c r="S29" s="121"/>
      <c r="T29" s="129"/>
      <c r="U29" s="121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121"/>
      <c r="S30" s="121"/>
      <c r="T30" s="30"/>
      <c r="U30" s="121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30"/>
      <c r="R31" s="121"/>
      <c r="S31" s="121"/>
      <c r="T31" s="30"/>
      <c r="U31" s="121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30"/>
      <c r="R32" s="121"/>
      <c r="S32" s="121"/>
      <c r="T32" s="30"/>
      <c r="U32" s="121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" customHeight="1">
      <c r="A33" s="83"/>
      <c r="B33" s="30"/>
      <c r="C33" s="30"/>
      <c r="D33" s="30"/>
      <c r="E33" s="30"/>
      <c r="F33" s="28"/>
      <c r="G33" s="28"/>
      <c r="H33" s="28"/>
      <c r="I33" s="28"/>
      <c r="J33" s="28"/>
      <c r="K33" s="125"/>
      <c r="L33" s="28"/>
      <c r="M33" s="28"/>
      <c r="N33" s="28"/>
      <c r="O33" s="28"/>
      <c r="P33" s="28"/>
      <c r="Q33" s="30"/>
      <c r="R33" s="30"/>
      <c r="S33" s="30"/>
      <c r="T33" s="30"/>
      <c r="U33" s="112" cm="1">
        <f t="array" ref="U33">SUM(U3:U32)</f>
        <v>0</v>
      </c>
      <c r="V33" s="112" cm="1">
        <f t="array" ref="V33">SUM(V3:V32)</f>
        <v>0</v>
      </c>
      <c r="W33" s="112" cm="1">
        <f t="array" ref="W33">SUM(W3:W32)</f>
        <v>0</v>
      </c>
      <c r="X33" s="30"/>
      <c r="Y33" s="30"/>
      <c r="Z33" s="112" cm="1">
        <f t="array" ref="Z33">SUM(Z3:Z32)</f>
        <v>0</v>
      </c>
      <c r="AA33" s="112" cm="1">
        <f t="array" ref="AA33">SUM(AA3:AA32)</f>
        <v>0</v>
      </c>
      <c r="AB33" s="112" cm="1">
        <f t="array" ref="AB33">SUM(AB3:AB32)</f>
        <v>0</v>
      </c>
      <c r="AC33" s="112" cm="1">
        <f t="array" ref="AC33">SUM(AC3:AC32)</f>
        <v>0</v>
      </c>
      <c r="AD33" s="112" cm="1">
        <f t="array" ref="AD33">SUM(AD3:AD32)</f>
        <v>0</v>
      </c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" customHeight="1">
      <c r="A34" s="30"/>
      <c r="B34" s="30"/>
      <c r="C34" s="30"/>
      <c r="D34" s="30"/>
      <c r="E34" s="30"/>
      <c r="F34" s="28"/>
      <c r="G34" s="28"/>
      <c r="H34" s="28"/>
      <c r="I34" s="28"/>
      <c r="J34" s="163"/>
      <c r="K34" s="297"/>
      <c r="L34" s="165"/>
      <c r="M34" s="28"/>
      <c r="N34" s="28"/>
      <c r="O34" s="28"/>
      <c r="P34" s="28"/>
      <c r="Q34" s="87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" customHeight="1">
      <c r="A35" s="30"/>
      <c r="B35" s="30"/>
      <c r="C35" s="30"/>
      <c r="D35" s="30"/>
      <c r="E35" s="30"/>
      <c r="F35" s="30"/>
      <c r="G35" s="130"/>
      <c r="H35" s="130"/>
      <c r="I35" s="130"/>
      <c r="J35" s="30"/>
      <c r="K35" s="30"/>
      <c r="L35" s="30"/>
      <c r="M35" s="30"/>
      <c r="N35" s="30"/>
      <c r="O35" s="30"/>
      <c r="P35" s="30"/>
      <c r="Q35" s="87"/>
      <c r="R35" s="130"/>
      <c r="S35" s="130"/>
      <c r="T35" s="1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.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121"/>
      <c r="S36" s="121"/>
      <c r="T36" s="129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130"/>
      <c r="S37" s="130"/>
      <c r="T37" s="130"/>
      <c r="U37" s="30"/>
      <c r="V37" s="30"/>
      <c r="W37" s="30"/>
      <c r="X37" s="30"/>
      <c r="Y37" s="30"/>
      <c r="Z37" s="30"/>
      <c r="AA37" s="30"/>
      <c r="AB37" s="30"/>
      <c r="AC37" s="134"/>
      <c r="AD37" s="134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121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1.xml><?xml version="1.0" encoding="utf-8"?>
<worksheet xmlns:r="http://schemas.openxmlformats.org/officeDocument/2006/relationships" xmlns="http://schemas.openxmlformats.org/spreadsheetml/2006/main">
  <dimension ref="A1:BC63"/>
  <sheetViews>
    <sheetView workbookViewId="0" showGridLines="0" defaultGridColor="1"/>
  </sheetViews>
  <sheetFormatPr defaultColWidth="10.8333" defaultRowHeight="16" customHeight="1" outlineLevelRow="0" outlineLevelCol="0"/>
  <cols>
    <col min="1" max="3" width="10.8516" style="526" customWidth="1"/>
    <col min="4" max="4" width="17.8516" style="526" customWidth="1"/>
    <col min="5" max="5" width="20.1719" style="526" customWidth="1"/>
    <col min="6" max="6" width="22.8516" style="526" customWidth="1"/>
    <col min="7" max="10" width="10.8516" style="526" customWidth="1"/>
    <col min="11" max="11" width="19.1719" style="526" customWidth="1"/>
    <col min="12" max="12" width="7.85156" style="526" customWidth="1"/>
    <col min="13" max="13" width="10" style="526" customWidth="1"/>
    <col min="14" max="14" width="44.3516" style="526" customWidth="1"/>
    <col min="15" max="15" width="18.5" style="526" customWidth="1"/>
    <col min="16" max="16" width="11.5" style="526" customWidth="1"/>
    <col min="17" max="17" width="11.6719" style="526" customWidth="1"/>
    <col min="18" max="18" width="12.3516" style="526" customWidth="1"/>
    <col min="19" max="19" width="10.8516" style="526" customWidth="1"/>
    <col min="20" max="20" width="15.1719" style="526" customWidth="1"/>
    <col min="21" max="23" width="10.8516" style="526" customWidth="1"/>
    <col min="24" max="24" width="31" style="526" customWidth="1"/>
    <col min="25" max="25" width="19.8516" style="526" customWidth="1"/>
    <col min="26" max="26" width="12.1719" style="526" customWidth="1"/>
    <col min="27" max="29" width="16.5" style="526" customWidth="1"/>
    <col min="30" max="30" width="25.3516" style="526" customWidth="1"/>
    <col min="31" max="31" width="14.6719" style="526" customWidth="1"/>
    <col min="32" max="32" width="10.8516" style="526" customWidth="1"/>
    <col min="33" max="33" width="42.5" style="526" customWidth="1"/>
    <col min="34" max="34" width="11.1719" style="526" customWidth="1"/>
    <col min="35" max="35" width="7.85156" style="526" customWidth="1"/>
    <col min="36" max="37" width="10.8516" style="526" customWidth="1"/>
    <col min="38" max="38" width="7.35156" style="526" customWidth="1"/>
    <col min="39" max="39" width="10.8516" style="526" customWidth="1"/>
    <col min="40" max="40" width="9.17188" style="526" customWidth="1"/>
    <col min="41" max="41" width="10.8516" style="526" customWidth="1"/>
    <col min="42" max="42" width="12.5" style="526" customWidth="1"/>
    <col min="43" max="43" width="13" style="526" customWidth="1"/>
    <col min="44" max="55" width="10.8516" style="526" customWidth="1"/>
    <col min="56" max="16384" width="10.8516" style="526" customWidth="1"/>
  </cols>
  <sheetData>
    <row r="1" ht="79" customHeight="1">
      <c r="A1" t="s" s="82">
        <v>268</v>
      </c>
      <c r="B1" t="s" s="82">
        <v>453</v>
      </c>
      <c r="C1" t="s" s="82">
        <v>454</v>
      </c>
      <c r="D1" t="s" s="82">
        <v>455</v>
      </c>
      <c r="E1" t="s" s="82">
        <v>269</v>
      </c>
      <c r="F1" t="s" s="83">
        <v>456</v>
      </c>
      <c r="G1" t="s" s="83">
        <v>272</v>
      </c>
      <c r="H1" t="s" s="27">
        <v>273</v>
      </c>
      <c r="I1" t="s" s="27">
        <v>457</v>
      </c>
      <c r="J1" t="s" s="27">
        <v>274</v>
      </c>
      <c r="K1" s="84"/>
      <c r="L1" s="84"/>
      <c r="M1" s="84"/>
      <c r="N1" t="s" s="85">
        <v>275</v>
      </c>
      <c r="O1" s="84"/>
      <c r="P1" s="84"/>
      <c r="Q1" s="84"/>
      <c r="R1" s="84"/>
      <c r="S1" s="84"/>
      <c r="T1" t="s" s="85">
        <v>276</v>
      </c>
      <c r="U1" t="s" s="85">
        <v>277</v>
      </c>
      <c r="V1" t="s" s="85">
        <v>278</v>
      </c>
      <c r="W1" t="s" s="27">
        <v>279</v>
      </c>
      <c r="X1" t="s" s="27">
        <v>280</v>
      </c>
      <c r="Y1" t="s" s="27">
        <v>281</v>
      </c>
      <c r="Z1" t="s" s="27">
        <v>282</v>
      </c>
      <c r="AA1" t="s" s="27">
        <v>283</v>
      </c>
      <c r="AB1" t="s" s="27">
        <v>284</v>
      </c>
      <c r="AC1" t="s" s="27">
        <v>285</v>
      </c>
      <c r="AD1" t="s" s="27">
        <v>286</v>
      </c>
      <c r="AE1" s="84"/>
      <c r="AF1" t="s" s="27">
        <v>287</v>
      </c>
      <c r="AG1" s="84"/>
      <c r="AH1" t="s" s="27">
        <v>458</v>
      </c>
      <c r="AI1" t="s" s="83">
        <v>288</v>
      </c>
      <c r="AJ1" s="84"/>
      <c r="AK1" s="86"/>
      <c r="AL1" s="86"/>
      <c r="AM1" s="84"/>
      <c r="AN1" s="84"/>
      <c r="AO1" s="87"/>
      <c r="AP1" s="84"/>
      <c r="AQ1" s="84"/>
      <c r="AR1" s="84"/>
      <c r="AS1" s="87"/>
      <c r="AT1" s="86"/>
      <c r="AU1" s="86"/>
      <c r="AV1" s="86"/>
      <c r="AW1" s="86"/>
      <c r="AX1" s="86"/>
      <c r="AY1" s="86"/>
      <c r="AZ1" s="86"/>
      <c r="BA1" s="84"/>
      <c r="BB1" s="87"/>
      <c r="BC1" s="87"/>
    </row>
    <row r="2" ht="34" customHeight="1">
      <c r="A2" t="s" s="88">
        <v>290</v>
      </c>
      <c r="B2" s="89"/>
      <c r="C2" s="107"/>
      <c r="D2" s="107"/>
      <c r="E2" t="s" s="108">
        <v>291</v>
      </c>
      <c r="F2" s="91"/>
      <c r="G2" s="87"/>
      <c r="H2" s="84"/>
      <c r="I2" s="84"/>
      <c r="J2" t="s" s="27">
        <v>292</v>
      </c>
      <c r="K2" t="s" s="27">
        <v>293</v>
      </c>
      <c r="L2" t="s" s="27">
        <v>294</v>
      </c>
      <c r="M2" t="s" s="92">
        <v>295</v>
      </c>
      <c r="N2" t="s" s="109">
        <v>296</v>
      </c>
      <c r="O2" t="s" s="94">
        <v>297</v>
      </c>
      <c r="P2" t="s" s="27">
        <v>298</v>
      </c>
      <c r="Q2" t="s" s="27">
        <v>299</v>
      </c>
      <c r="R2" t="s" s="27">
        <v>300</v>
      </c>
      <c r="S2" t="s" s="92">
        <v>11</v>
      </c>
      <c r="T2" t="s" s="109">
        <v>301</v>
      </c>
      <c r="U2" t="s" s="109">
        <v>302</v>
      </c>
      <c r="V2" t="s" s="109">
        <v>303</v>
      </c>
      <c r="W2" t="s" s="95">
        <v>304</v>
      </c>
      <c r="X2" s="84"/>
      <c r="Y2" s="84"/>
      <c r="Z2" s="84"/>
      <c r="AA2" s="84"/>
      <c r="AB2" s="84"/>
      <c r="AC2" s="84"/>
      <c r="AD2" t="s" s="27">
        <v>8</v>
      </c>
      <c r="AE2" t="s" s="27">
        <v>459</v>
      </c>
      <c r="AF2" t="s" s="27">
        <v>306</v>
      </c>
      <c r="AG2" t="s" s="83">
        <v>300</v>
      </c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</row>
    <row r="3" ht="19" customHeight="1">
      <c r="A3" t="s" s="110">
        <v>1443</v>
      </c>
      <c r="B3" s="141"/>
      <c r="C3" s="30"/>
      <c r="D3" s="30"/>
      <c r="E3" s="30"/>
      <c r="F3" s="29"/>
      <c r="G3" t="s" s="83">
        <v>1444</v>
      </c>
      <c r="H3" t="s" s="83">
        <v>199</v>
      </c>
      <c r="I3" s="116"/>
      <c r="J3" s="155">
        <v>1</v>
      </c>
      <c r="K3" s="29"/>
      <c r="L3" s="29"/>
      <c r="M3" s="29"/>
      <c r="N3" s="114">
        <v>1</v>
      </c>
      <c r="O3" s="29"/>
      <c r="P3" s="29"/>
      <c r="Q3" s="29"/>
      <c r="R3" s="29"/>
      <c r="S3" s="29"/>
      <c r="T3" s="118">
        <v>56</v>
      </c>
      <c r="U3" s="29"/>
      <c r="V3" s="114">
        <v>1</v>
      </c>
      <c r="W3" s="29"/>
      <c r="X3" s="29"/>
      <c r="Y3" s="29"/>
      <c r="Z3" s="29"/>
      <c r="AA3" t="s" s="119">
        <v>1445</v>
      </c>
      <c r="AB3" s="115"/>
      <c r="AC3" s="114">
        <v>1</v>
      </c>
      <c r="AD3" t="s" s="119">
        <v>1446</v>
      </c>
      <c r="AE3" t="s" s="83">
        <v>31</v>
      </c>
      <c r="AF3" s="30"/>
      <c r="AG3" t="s" s="119">
        <v>1447</v>
      </c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116"/>
      <c r="BA3" s="62"/>
      <c r="BB3" s="62"/>
      <c r="BC3" s="62"/>
    </row>
    <row r="4" ht="19" customHeight="1">
      <c r="A4" s="30"/>
      <c r="B4" s="30"/>
      <c r="C4" s="30"/>
      <c r="D4" s="30"/>
      <c r="E4" s="30"/>
      <c r="F4" s="29"/>
      <c r="G4" t="s" s="83">
        <v>731</v>
      </c>
      <c r="H4" t="s" s="83">
        <v>1055</v>
      </c>
      <c r="I4" s="74"/>
      <c r="J4" s="123">
        <v>1</v>
      </c>
      <c r="K4" s="29"/>
      <c r="L4" s="29"/>
      <c r="M4" s="29"/>
      <c r="N4" s="29"/>
      <c r="O4" s="29"/>
      <c r="P4" s="29"/>
      <c r="Q4" s="29"/>
      <c r="R4" s="29"/>
      <c r="S4" s="29"/>
      <c r="T4" s="118">
        <v>27</v>
      </c>
      <c r="U4" s="29"/>
      <c r="V4" s="114">
        <v>1</v>
      </c>
      <c r="W4" s="29"/>
      <c r="X4" s="29"/>
      <c r="Y4" s="29"/>
      <c r="Z4" s="29"/>
      <c r="AA4" t="s" s="119">
        <v>1448</v>
      </c>
      <c r="AB4" s="122"/>
      <c r="AC4" s="114">
        <v>1</v>
      </c>
      <c r="AD4" t="s" s="119">
        <v>1449</v>
      </c>
      <c r="AE4" t="s" s="83">
        <v>1450</v>
      </c>
      <c r="AF4" s="30"/>
      <c r="AG4" t="s" s="119">
        <v>1451</v>
      </c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74"/>
      <c r="BA4" s="16"/>
      <c r="BB4" s="16"/>
      <c r="BC4" s="16"/>
    </row>
    <row r="5" ht="19" customHeight="1">
      <c r="A5" s="30"/>
      <c r="B5" s="30"/>
      <c r="C5" s="30"/>
      <c r="D5" s="30"/>
      <c r="E5" s="30"/>
      <c r="F5" s="29"/>
      <c r="G5" t="s" s="83">
        <v>1444</v>
      </c>
      <c r="H5" t="s" s="83">
        <v>1452</v>
      </c>
      <c r="I5" s="74"/>
      <c r="J5" s="123">
        <v>1</v>
      </c>
      <c r="K5" s="29"/>
      <c r="L5" s="29"/>
      <c r="M5" s="29"/>
      <c r="N5" s="29"/>
      <c r="O5" s="29"/>
      <c r="P5" s="29"/>
      <c r="Q5" s="29"/>
      <c r="R5" s="29"/>
      <c r="S5" s="114">
        <v>1</v>
      </c>
      <c r="T5" s="118">
        <v>24</v>
      </c>
      <c r="U5" s="29"/>
      <c r="V5" s="114">
        <v>1</v>
      </c>
      <c r="W5" s="29"/>
      <c r="X5" s="29"/>
      <c r="Y5" s="29"/>
      <c r="Z5" s="29"/>
      <c r="AA5" t="s" s="119">
        <v>1453</v>
      </c>
      <c r="AB5" s="122"/>
      <c r="AC5" s="114">
        <v>1</v>
      </c>
      <c r="AD5" t="s" s="119">
        <v>1454</v>
      </c>
      <c r="AE5" t="s" s="83">
        <v>11</v>
      </c>
      <c r="AF5" s="112">
        <v>1</v>
      </c>
      <c r="AG5" t="s" s="119">
        <v>1455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74"/>
      <c r="BA5" s="16"/>
      <c r="BB5" s="16"/>
      <c r="BC5" s="16"/>
    </row>
    <row r="6" ht="19" customHeight="1">
      <c r="A6" s="30"/>
      <c r="B6" s="30"/>
      <c r="C6" s="30"/>
      <c r="D6" s="30"/>
      <c r="E6" s="30"/>
      <c r="F6" s="29"/>
      <c r="G6" t="s" s="83">
        <v>705</v>
      </c>
      <c r="H6" t="s" s="83">
        <v>704</v>
      </c>
      <c r="I6" s="74"/>
      <c r="J6" s="123">
        <v>1</v>
      </c>
      <c r="K6" s="29"/>
      <c r="L6" s="29"/>
      <c r="M6" s="29"/>
      <c r="N6" s="29"/>
      <c r="O6" s="29"/>
      <c r="P6" s="29"/>
      <c r="Q6" s="29"/>
      <c r="R6" s="29"/>
      <c r="S6" s="114">
        <v>1</v>
      </c>
      <c r="T6" s="118">
        <v>19</v>
      </c>
      <c r="U6" s="29"/>
      <c r="V6" s="114">
        <v>1</v>
      </c>
      <c r="W6" s="29"/>
      <c r="X6" s="29"/>
      <c r="Y6" s="29"/>
      <c r="Z6" s="29"/>
      <c r="AA6" t="s" s="119">
        <v>1456</v>
      </c>
      <c r="AB6" s="122"/>
      <c r="AC6" s="114">
        <v>1</v>
      </c>
      <c r="AD6" t="s" s="119">
        <v>1457</v>
      </c>
      <c r="AE6" t="s" s="83">
        <v>11</v>
      </c>
      <c r="AF6" s="30"/>
      <c r="AG6" t="s" s="119">
        <v>1458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74"/>
      <c r="BA6" s="16"/>
      <c r="BB6" s="16"/>
      <c r="BC6" s="16"/>
    </row>
    <row r="7" ht="19" customHeight="1">
      <c r="A7" s="30"/>
      <c r="B7" s="30"/>
      <c r="C7" s="30"/>
      <c r="D7" s="30"/>
      <c r="E7" s="30"/>
      <c r="F7" s="29"/>
      <c r="G7" t="s" s="83">
        <v>1459</v>
      </c>
      <c r="H7" t="s" s="83">
        <v>106</v>
      </c>
      <c r="I7" s="74"/>
      <c r="J7" s="123">
        <v>1</v>
      </c>
      <c r="K7" s="29"/>
      <c r="L7" s="29"/>
      <c r="M7" s="29"/>
      <c r="N7" s="29"/>
      <c r="O7" s="29"/>
      <c r="P7" s="29"/>
      <c r="Q7" s="29"/>
      <c r="R7" s="29"/>
      <c r="S7" s="29"/>
      <c r="T7" s="112">
        <v>25</v>
      </c>
      <c r="U7" s="29"/>
      <c r="V7" s="114">
        <v>1</v>
      </c>
      <c r="W7" s="29"/>
      <c r="X7" s="29"/>
      <c r="Y7" s="29"/>
      <c r="Z7" s="29"/>
      <c r="AA7" t="s" s="83">
        <v>1460</v>
      </c>
      <c r="AB7" s="122"/>
      <c r="AC7" s="114">
        <v>1</v>
      </c>
      <c r="AD7" t="s" s="83">
        <v>1461</v>
      </c>
      <c r="AE7" t="s" s="83">
        <v>11</v>
      </c>
      <c r="AF7" s="30"/>
      <c r="AG7" t="s" s="83">
        <v>183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74"/>
      <c r="BA7" s="16"/>
      <c r="BB7" s="16"/>
      <c r="BC7" s="16"/>
    </row>
    <row r="8" ht="19" customHeight="1">
      <c r="A8" s="30"/>
      <c r="B8" s="30"/>
      <c r="C8" s="30"/>
      <c r="D8" s="30"/>
      <c r="E8" s="30"/>
      <c r="F8" s="29"/>
      <c r="G8" t="s" s="83">
        <v>309</v>
      </c>
      <c r="H8" t="s" s="83">
        <v>774</v>
      </c>
      <c r="I8" s="74"/>
      <c r="J8" s="123">
        <v>1</v>
      </c>
      <c r="K8" s="29"/>
      <c r="L8" s="29"/>
      <c r="M8" s="29"/>
      <c r="N8" s="29"/>
      <c r="O8" s="29"/>
      <c r="P8" s="29"/>
      <c r="Q8" s="29"/>
      <c r="R8" s="29"/>
      <c r="S8" s="29"/>
      <c r="T8" s="118">
        <v>23</v>
      </c>
      <c r="U8" s="29"/>
      <c r="V8" s="114">
        <v>1</v>
      </c>
      <c r="W8" s="29"/>
      <c r="X8" s="29"/>
      <c r="Y8" s="29"/>
      <c r="Z8" s="29"/>
      <c r="AA8" t="s" s="119">
        <v>1462</v>
      </c>
      <c r="AB8" s="122"/>
      <c r="AC8" s="114">
        <v>1</v>
      </c>
      <c r="AD8" t="s" s="119">
        <v>1463</v>
      </c>
      <c r="AE8" t="s" s="83">
        <v>11</v>
      </c>
      <c r="AF8" s="30"/>
      <c r="AG8" t="s" s="119">
        <v>183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74"/>
      <c r="BA8" s="16"/>
      <c r="BB8" s="16"/>
      <c r="BC8" s="16"/>
    </row>
    <row r="9" ht="19" customHeight="1">
      <c r="A9" s="30"/>
      <c r="B9" s="30"/>
      <c r="C9" s="30"/>
      <c r="D9" s="30"/>
      <c r="E9" s="30"/>
      <c r="F9" s="29"/>
      <c r="G9" t="s" s="83">
        <v>1464</v>
      </c>
      <c r="H9" t="s" s="83">
        <v>321</v>
      </c>
      <c r="I9" s="74"/>
      <c r="J9" s="123">
        <v>1</v>
      </c>
      <c r="K9" s="29"/>
      <c r="L9" s="29"/>
      <c r="M9" s="29"/>
      <c r="N9" s="29"/>
      <c r="O9" s="29"/>
      <c r="P9" s="29"/>
      <c r="Q9" s="29"/>
      <c r="R9" s="29"/>
      <c r="S9" s="29"/>
      <c r="T9" s="118">
        <v>36</v>
      </c>
      <c r="U9" s="29"/>
      <c r="V9" s="114">
        <v>1</v>
      </c>
      <c r="W9" s="29"/>
      <c r="X9" s="29"/>
      <c r="Y9" s="29"/>
      <c r="Z9" s="29"/>
      <c r="AA9" t="s" s="119">
        <v>1465</v>
      </c>
      <c r="AB9" s="122"/>
      <c r="AC9" s="114">
        <v>1</v>
      </c>
      <c r="AD9" t="s" s="119">
        <v>1466</v>
      </c>
      <c r="AE9" t="s" s="83">
        <v>11</v>
      </c>
      <c r="AF9" s="30"/>
      <c r="AG9" t="s" s="119">
        <v>1386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74"/>
      <c r="BA9" s="16"/>
      <c r="BB9" s="16"/>
      <c r="BC9" s="16"/>
    </row>
    <row r="10" ht="19" customHeight="1">
      <c r="A10" s="30"/>
      <c r="B10" s="30"/>
      <c r="C10" s="30"/>
      <c r="D10" s="30"/>
      <c r="E10" s="30"/>
      <c r="F10" s="29"/>
      <c r="G10" t="s" s="83">
        <v>1467</v>
      </c>
      <c r="H10" t="s" s="83">
        <v>115</v>
      </c>
      <c r="I10" s="74"/>
      <c r="J10" s="123">
        <v>1</v>
      </c>
      <c r="K10" s="29"/>
      <c r="L10" s="29"/>
      <c r="M10" s="29"/>
      <c r="N10" s="29"/>
      <c r="O10" s="29"/>
      <c r="P10" s="29"/>
      <c r="Q10" s="29"/>
      <c r="R10" s="29"/>
      <c r="S10" s="29"/>
      <c r="T10" s="118">
        <v>25</v>
      </c>
      <c r="U10" s="29"/>
      <c r="V10" s="114">
        <v>1</v>
      </c>
      <c r="W10" s="29"/>
      <c r="X10" s="29"/>
      <c r="Y10" s="29"/>
      <c r="Z10" s="29"/>
      <c r="AA10" t="s" s="119">
        <v>1465</v>
      </c>
      <c r="AB10" s="122"/>
      <c r="AC10" s="114">
        <v>1</v>
      </c>
      <c r="AD10" t="s" s="119">
        <v>1466</v>
      </c>
      <c r="AE10" t="s" s="83">
        <v>11</v>
      </c>
      <c r="AF10" s="30"/>
      <c r="AG10" t="s" s="119">
        <v>1468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74"/>
      <c r="BA10" s="16"/>
      <c r="BB10" s="16"/>
      <c r="BC10" s="16"/>
    </row>
    <row r="11" ht="19" customHeight="1">
      <c r="A11" s="30"/>
      <c r="B11" s="30"/>
      <c r="C11" s="30"/>
      <c r="D11" s="30"/>
      <c r="E11" s="30"/>
      <c r="F11" s="29"/>
      <c r="G11" t="s" s="83">
        <v>137</v>
      </c>
      <c r="H11" t="s" s="83">
        <v>1469</v>
      </c>
      <c r="I11" s="74"/>
      <c r="J11" s="123">
        <v>1</v>
      </c>
      <c r="K11" s="29"/>
      <c r="L11" s="29"/>
      <c r="M11" s="29"/>
      <c r="N11" s="29"/>
      <c r="O11" s="29"/>
      <c r="P11" s="29"/>
      <c r="Q11" s="29"/>
      <c r="R11" s="29"/>
      <c r="S11" s="29"/>
      <c r="T11" s="118">
        <v>22</v>
      </c>
      <c r="U11" s="29"/>
      <c r="V11" s="114">
        <v>1</v>
      </c>
      <c r="W11" s="29"/>
      <c r="X11" s="29"/>
      <c r="Y11" s="29"/>
      <c r="Z11" s="29"/>
      <c r="AA11" t="s" s="119">
        <v>1465</v>
      </c>
      <c r="AB11" s="122"/>
      <c r="AC11" s="114">
        <v>1</v>
      </c>
      <c r="AD11" t="s" s="119">
        <v>1466</v>
      </c>
      <c r="AE11" t="s" s="83">
        <v>11</v>
      </c>
      <c r="AF11" s="30"/>
      <c r="AG11" t="s" s="119">
        <v>1470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74"/>
      <c r="BA11" s="16"/>
      <c r="BB11" s="16"/>
      <c r="BC11" s="16"/>
    </row>
    <row r="12" ht="19" customHeight="1">
      <c r="A12" s="30"/>
      <c r="B12" s="30"/>
      <c r="C12" s="30"/>
      <c r="D12" s="30"/>
      <c r="E12" s="30"/>
      <c r="F12" s="29"/>
      <c r="G12" t="s" s="83">
        <v>1471</v>
      </c>
      <c r="H12" t="s" s="83">
        <v>1472</v>
      </c>
      <c r="I12" s="74"/>
      <c r="J12" s="123">
        <v>1</v>
      </c>
      <c r="K12" s="29"/>
      <c r="L12" s="29"/>
      <c r="M12" s="29"/>
      <c r="N12" s="29"/>
      <c r="O12" s="29"/>
      <c r="P12" s="29"/>
      <c r="Q12" s="29"/>
      <c r="R12" s="29"/>
      <c r="S12" s="29"/>
      <c r="T12" s="118">
        <v>21</v>
      </c>
      <c r="U12" s="29"/>
      <c r="V12" s="114">
        <v>1</v>
      </c>
      <c r="W12" s="29"/>
      <c r="X12" s="29"/>
      <c r="Y12" s="29"/>
      <c r="Z12" s="29"/>
      <c r="AA12" t="s" s="119">
        <v>1465</v>
      </c>
      <c r="AB12" s="122"/>
      <c r="AC12" s="114">
        <v>1</v>
      </c>
      <c r="AD12" t="s" s="119">
        <v>1473</v>
      </c>
      <c r="AE12" t="s" s="83">
        <v>11</v>
      </c>
      <c r="AF12" s="30"/>
      <c r="AG12" t="s" s="119">
        <v>1474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74"/>
      <c r="BA12" s="16"/>
      <c r="BB12" s="16"/>
      <c r="BC12" s="16"/>
    </row>
    <row r="13" ht="19" customHeight="1">
      <c r="A13" s="30"/>
      <c r="B13" s="30"/>
      <c r="C13" s="30"/>
      <c r="D13" s="30"/>
      <c r="E13" s="30"/>
      <c r="F13" s="29"/>
      <c r="G13" t="s" s="83">
        <v>1475</v>
      </c>
      <c r="H13" t="s" s="83">
        <v>109</v>
      </c>
      <c r="I13" s="74"/>
      <c r="J13" s="123">
        <v>1</v>
      </c>
      <c r="K13" s="29"/>
      <c r="L13" s="29"/>
      <c r="M13" s="29"/>
      <c r="N13" s="29"/>
      <c r="O13" s="29"/>
      <c r="P13" s="29"/>
      <c r="Q13" s="29"/>
      <c r="R13" s="29"/>
      <c r="S13" s="29"/>
      <c r="T13" s="118">
        <v>32</v>
      </c>
      <c r="U13" s="29"/>
      <c r="V13" s="114">
        <v>1</v>
      </c>
      <c r="W13" s="29"/>
      <c r="X13" s="29"/>
      <c r="Y13" s="29"/>
      <c r="Z13" s="29"/>
      <c r="AA13" t="s" s="119">
        <v>1476</v>
      </c>
      <c r="AB13" s="122"/>
      <c r="AC13" s="114">
        <v>1</v>
      </c>
      <c r="AD13" t="s" s="119">
        <v>1477</v>
      </c>
      <c r="AE13" t="s" s="83">
        <v>34</v>
      </c>
      <c r="AF13" s="30"/>
      <c r="AG13" t="s" s="119">
        <v>183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74"/>
      <c r="BA13" s="16"/>
      <c r="BB13" s="16"/>
      <c r="BC13" s="16"/>
    </row>
    <row r="14" ht="19" customHeight="1">
      <c r="A14" s="30"/>
      <c r="B14" s="30"/>
      <c r="C14" s="30"/>
      <c r="D14" s="30"/>
      <c r="E14" s="30"/>
      <c r="F14" s="29"/>
      <c r="G14" t="s" s="83">
        <v>1478</v>
      </c>
      <c r="H14" t="s" s="83">
        <v>1479</v>
      </c>
      <c r="I14" s="74"/>
      <c r="J14" s="123">
        <v>1</v>
      </c>
      <c r="K14" s="29"/>
      <c r="L14" s="29"/>
      <c r="M14" s="29"/>
      <c r="N14" s="29"/>
      <c r="O14" s="29"/>
      <c r="P14" s="29"/>
      <c r="Q14" s="29"/>
      <c r="R14" s="29"/>
      <c r="S14" s="29"/>
      <c r="T14" s="118">
        <v>50</v>
      </c>
      <c r="U14" s="29"/>
      <c r="V14" s="114">
        <v>1</v>
      </c>
      <c r="W14" s="29"/>
      <c r="X14" s="29"/>
      <c r="Y14" s="29"/>
      <c r="Z14" s="29"/>
      <c r="AA14" t="s" s="119">
        <v>1480</v>
      </c>
      <c r="AB14" s="122"/>
      <c r="AC14" s="114">
        <v>1</v>
      </c>
      <c r="AD14" t="s" s="119">
        <v>1477</v>
      </c>
      <c r="AE14" t="s" s="83">
        <v>34</v>
      </c>
      <c r="AF14" s="30"/>
      <c r="AG14" t="s" s="119">
        <v>1140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74"/>
      <c r="BA14" s="16"/>
      <c r="BB14" s="16"/>
      <c r="BC14" s="16"/>
    </row>
    <row r="15" ht="19" customHeight="1">
      <c r="A15" s="30"/>
      <c r="B15" s="30"/>
      <c r="C15" s="30"/>
      <c r="D15" s="30"/>
      <c r="E15" s="30"/>
      <c r="F15" s="29"/>
      <c r="G15" t="s" s="83">
        <v>170</v>
      </c>
      <c r="H15" t="s" s="83">
        <v>1481</v>
      </c>
      <c r="I15" s="74"/>
      <c r="J15" s="123">
        <v>1</v>
      </c>
      <c r="K15" s="29"/>
      <c r="L15" s="29"/>
      <c r="M15" s="29"/>
      <c r="N15" s="29"/>
      <c r="O15" s="29"/>
      <c r="P15" s="29"/>
      <c r="Q15" s="29"/>
      <c r="R15" s="29"/>
      <c r="S15" s="29"/>
      <c r="T15" s="112">
        <v>35</v>
      </c>
      <c r="U15" s="29"/>
      <c r="V15" s="114">
        <v>1</v>
      </c>
      <c r="W15" s="29"/>
      <c r="X15" s="29"/>
      <c r="Y15" s="29"/>
      <c r="Z15" s="29"/>
      <c r="AA15" t="s" s="83">
        <v>1480</v>
      </c>
      <c r="AB15" s="122"/>
      <c r="AC15" s="114">
        <v>1</v>
      </c>
      <c r="AD15" t="s" s="83">
        <v>1477</v>
      </c>
      <c r="AE15" t="s" s="83">
        <v>34</v>
      </c>
      <c r="AF15" s="30"/>
      <c r="AG15" t="s" s="83">
        <v>1482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74"/>
      <c r="BA15" s="16"/>
      <c r="BB15" s="16"/>
      <c r="BC15" s="16"/>
    </row>
    <row r="16" ht="19" customHeight="1">
      <c r="A16" s="30"/>
      <c r="B16" s="30"/>
      <c r="C16" s="30"/>
      <c r="D16" s="30"/>
      <c r="E16" s="30"/>
      <c r="F16" s="29"/>
      <c r="G16" t="s" s="83">
        <v>1483</v>
      </c>
      <c r="H16" t="s" s="83">
        <v>48</v>
      </c>
      <c r="I16" s="74"/>
      <c r="J16" s="123">
        <v>1</v>
      </c>
      <c r="K16" s="29"/>
      <c r="L16" s="29"/>
      <c r="M16" s="29"/>
      <c r="N16" s="29"/>
      <c r="O16" s="29"/>
      <c r="P16" s="29"/>
      <c r="Q16" s="29"/>
      <c r="R16" s="29"/>
      <c r="S16" s="29"/>
      <c r="T16" s="112">
        <v>27</v>
      </c>
      <c r="U16" s="29"/>
      <c r="V16" s="114">
        <v>1</v>
      </c>
      <c r="W16" s="29"/>
      <c r="X16" s="29"/>
      <c r="Y16" s="29"/>
      <c r="Z16" s="29"/>
      <c r="AA16" t="s" s="83">
        <v>1484</v>
      </c>
      <c r="AB16" s="122"/>
      <c r="AC16" s="114">
        <v>1</v>
      </c>
      <c r="AD16" t="s" s="83">
        <v>1477</v>
      </c>
      <c r="AE16" t="s" s="83">
        <v>34</v>
      </c>
      <c r="AF16" s="30"/>
      <c r="AG16" t="s" s="83">
        <v>1485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74"/>
      <c r="BA16" s="16"/>
      <c r="BB16" s="16"/>
      <c r="BC16" s="16"/>
    </row>
    <row r="17" ht="19" customHeight="1">
      <c r="A17" s="30"/>
      <c r="B17" s="30"/>
      <c r="C17" s="30"/>
      <c r="D17" s="30"/>
      <c r="E17" s="30"/>
      <c r="F17" s="29"/>
      <c r="G17" t="s" s="83">
        <v>1486</v>
      </c>
      <c r="H17" t="s" s="83">
        <v>1469</v>
      </c>
      <c r="I17" s="74"/>
      <c r="J17" s="123">
        <v>1</v>
      </c>
      <c r="K17" s="29"/>
      <c r="L17" s="29"/>
      <c r="M17" s="29"/>
      <c r="N17" s="29"/>
      <c r="O17" s="29"/>
      <c r="P17" s="29"/>
      <c r="Q17" s="29"/>
      <c r="R17" s="29"/>
      <c r="S17" s="29"/>
      <c r="T17" s="112">
        <v>38</v>
      </c>
      <c r="U17" s="29"/>
      <c r="V17" s="114">
        <v>1</v>
      </c>
      <c r="W17" s="29"/>
      <c r="X17" s="29"/>
      <c r="Y17" s="29"/>
      <c r="Z17" s="29"/>
      <c r="AA17" t="s" s="83">
        <v>1487</v>
      </c>
      <c r="AB17" s="122"/>
      <c r="AC17" s="114">
        <v>1</v>
      </c>
      <c r="AD17" t="s" s="83">
        <v>1477</v>
      </c>
      <c r="AE17" t="s" s="83">
        <v>34</v>
      </c>
      <c r="AF17" s="30"/>
      <c r="AG17" t="s" s="83">
        <v>553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74"/>
      <c r="BA17" s="16"/>
      <c r="BB17" s="16"/>
      <c r="BC17" s="16"/>
    </row>
    <row r="18" ht="19" customHeight="1">
      <c r="A18" s="30"/>
      <c r="B18" s="30"/>
      <c r="C18" s="30"/>
      <c r="D18" s="30"/>
      <c r="E18" s="30"/>
      <c r="F18" s="29"/>
      <c r="G18" t="s" s="83">
        <v>1488</v>
      </c>
      <c r="H18" t="s" s="83">
        <v>109</v>
      </c>
      <c r="I18" s="74"/>
      <c r="J18" s="123">
        <v>1</v>
      </c>
      <c r="K18" s="29"/>
      <c r="L18" s="29"/>
      <c r="M18" s="29"/>
      <c r="N18" s="29"/>
      <c r="O18" s="29"/>
      <c r="P18" s="29"/>
      <c r="Q18" s="29"/>
      <c r="R18" s="29"/>
      <c r="S18" s="29"/>
      <c r="T18" s="112">
        <v>46</v>
      </c>
      <c r="U18" s="29"/>
      <c r="V18" s="114">
        <v>1</v>
      </c>
      <c r="W18" s="29"/>
      <c r="X18" s="29"/>
      <c r="Y18" s="29"/>
      <c r="Z18" s="29"/>
      <c r="AA18" t="s" s="83">
        <v>1489</v>
      </c>
      <c r="AB18" s="122"/>
      <c r="AC18" s="114">
        <v>1</v>
      </c>
      <c r="AD18" t="s" s="83">
        <v>1477</v>
      </c>
      <c r="AE18" t="s" s="83">
        <v>34</v>
      </c>
      <c r="AF18" s="30"/>
      <c r="AG18" t="s" s="83">
        <v>1490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74"/>
      <c r="BA18" s="16"/>
      <c r="BB18" s="16"/>
      <c r="BC18" s="16"/>
    </row>
    <row r="19" ht="19" customHeight="1">
      <c r="A19" s="30"/>
      <c r="B19" s="30"/>
      <c r="C19" s="30"/>
      <c r="D19" s="30"/>
      <c r="E19" s="30"/>
      <c r="F19" s="29"/>
      <c r="G19" t="s" s="83">
        <v>1282</v>
      </c>
      <c r="H19" t="s" s="83">
        <v>1491</v>
      </c>
      <c r="I19" s="74"/>
      <c r="J19" s="123">
        <v>1</v>
      </c>
      <c r="K19" s="29"/>
      <c r="L19" s="29"/>
      <c r="M19" s="29"/>
      <c r="N19" s="29"/>
      <c r="O19" s="29"/>
      <c r="P19" s="29"/>
      <c r="Q19" s="29"/>
      <c r="R19" s="29"/>
      <c r="S19" s="29"/>
      <c r="T19" s="112">
        <v>27</v>
      </c>
      <c r="U19" s="29"/>
      <c r="V19" s="114">
        <v>1</v>
      </c>
      <c r="W19" s="29"/>
      <c r="X19" s="29"/>
      <c r="Y19" s="29"/>
      <c r="Z19" s="29"/>
      <c r="AA19" t="s" s="83">
        <v>1465</v>
      </c>
      <c r="AB19" s="122"/>
      <c r="AC19" s="114">
        <v>1</v>
      </c>
      <c r="AD19" t="s" s="83">
        <v>1477</v>
      </c>
      <c r="AE19" t="s" s="83">
        <v>34</v>
      </c>
      <c r="AF19" s="30"/>
      <c r="AG19" t="s" s="83">
        <v>1492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74"/>
      <c r="BA19" s="16"/>
      <c r="BB19" s="16"/>
      <c r="BC19" s="16"/>
    </row>
    <row r="20" ht="19" customHeight="1">
      <c r="A20" s="30"/>
      <c r="B20" s="30"/>
      <c r="C20" s="30"/>
      <c r="D20" s="30"/>
      <c r="E20" s="30"/>
      <c r="F20" s="29"/>
      <c r="G20" t="s" s="83">
        <v>1253</v>
      </c>
      <c r="H20" t="s" s="83">
        <v>1493</v>
      </c>
      <c r="I20" s="74"/>
      <c r="J20" s="123">
        <v>1</v>
      </c>
      <c r="K20" s="29"/>
      <c r="L20" s="29"/>
      <c r="M20" s="29"/>
      <c r="N20" s="29"/>
      <c r="O20" s="29"/>
      <c r="P20" s="29"/>
      <c r="Q20" s="29"/>
      <c r="R20" s="29"/>
      <c r="S20" s="29"/>
      <c r="T20" s="112">
        <v>21</v>
      </c>
      <c r="U20" s="29"/>
      <c r="V20" s="114">
        <v>1</v>
      </c>
      <c r="W20" s="29"/>
      <c r="X20" s="29"/>
      <c r="Y20" s="29"/>
      <c r="Z20" s="29"/>
      <c r="AA20" t="s" s="83">
        <v>1465</v>
      </c>
      <c r="AB20" s="122"/>
      <c r="AC20" s="114">
        <v>1</v>
      </c>
      <c r="AD20" t="s" s="83">
        <v>1477</v>
      </c>
      <c r="AE20" t="s" s="83">
        <v>34</v>
      </c>
      <c r="AF20" s="112">
        <v>1</v>
      </c>
      <c r="AG20" t="s" s="83">
        <v>25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74"/>
      <c r="BA20" s="16"/>
      <c r="BB20" s="16"/>
      <c r="BC20" s="16"/>
    </row>
    <row r="21" ht="19" customHeight="1">
      <c r="A21" s="30"/>
      <c r="B21" s="30"/>
      <c r="C21" s="30"/>
      <c r="D21" s="30"/>
      <c r="E21" s="30"/>
      <c r="F21" s="29"/>
      <c r="G21" t="s" s="326">
        <v>1494</v>
      </c>
      <c r="H21" t="s" s="327">
        <v>1495</v>
      </c>
      <c r="I21" s="132"/>
      <c r="J21" s="142">
        <v>1</v>
      </c>
      <c r="K21" s="29"/>
      <c r="L21" s="29"/>
      <c r="M21" s="29"/>
      <c r="N21" s="29"/>
      <c r="O21" s="29"/>
      <c r="P21" s="29"/>
      <c r="Q21" s="29"/>
      <c r="R21" s="29"/>
      <c r="S21" s="114" cm="1">
        <f t="array" ref="S21">SUM(S5:S20)</f>
        <v>2</v>
      </c>
      <c r="T21" s="112">
        <v>22</v>
      </c>
      <c r="U21" s="29"/>
      <c r="V21" s="114">
        <v>1</v>
      </c>
      <c r="W21" s="29"/>
      <c r="X21" s="29"/>
      <c r="Y21" s="29"/>
      <c r="Z21" s="29"/>
      <c r="AA21" t="s" s="326">
        <v>1465</v>
      </c>
      <c r="AB21" s="133"/>
      <c r="AC21" s="114">
        <v>1</v>
      </c>
      <c r="AD21" t="s" s="326">
        <v>1477</v>
      </c>
      <c r="AE21" t="s" s="328">
        <v>34</v>
      </c>
      <c r="AF21" s="30"/>
      <c r="AG21" t="s" s="83">
        <v>1492</v>
      </c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74"/>
      <c r="BA21" s="16"/>
      <c r="BB21" s="16"/>
      <c r="BC21" s="16"/>
    </row>
    <row r="22" ht="19" customHeight="1">
      <c r="A22" s="30"/>
      <c r="B22" s="30"/>
      <c r="C22" s="30"/>
      <c r="D22" s="30"/>
      <c r="E22" s="30"/>
      <c r="F22" s="29"/>
      <c r="G22" s="29"/>
      <c r="H22" s="29"/>
      <c r="I22" s="29"/>
      <c r="J22" s="114" cm="1">
        <f t="array" ref="J22">SUM(J3:J21)</f>
        <v>19</v>
      </c>
      <c r="K22" s="29"/>
      <c r="L22" s="29"/>
      <c r="M22" s="29"/>
      <c r="N22" s="29"/>
      <c r="O22" s="29"/>
      <c r="P22" s="29"/>
      <c r="Q22" s="29"/>
      <c r="R22" s="29"/>
      <c r="S22" s="29"/>
      <c r="T22" s="114" cm="1">
        <f t="array" ref="T22">SUM(T3:T21)</f>
        <v>576</v>
      </c>
      <c r="U22" s="114" cm="1">
        <f t="array" ref="U22">SUM(U3:U21)</f>
        <v>0</v>
      </c>
      <c r="V22" s="114" cm="1">
        <f t="array" ref="V22">SUM(V3:V21)</f>
        <v>19</v>
      </c>
      <c r="W22" s="29"/>
      <c r="X22" s="29"/>
      <c r="Y22" s="29"/>
      <c r="Z22" s="29"/>
      <c r="AA22" s="29"/>
      <c r="AB22" s="29"/>
      <c r="AC22" s="29"/>
      <c r="AD22" s="29"/>
      <c r="AE22" s="30"/>
      <c r="AF22" s="112" cm="1">
        <f t="array" ref="AF22">SUM(AF3:AF21)</f>
        <v>2</v>
      </c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74"/>
      <c r="BA22" s="16"/>
      <c r="BB22" s="16"/>
      <c r="BC22" s="16"/>
    </row>
    <row r="23" ht="19" customHeight="1">
      <c r="A23" s="30"/>
      <c r="B23" s="30"/>
      <c r="C23" s="30"/>
      <c r="D23" s="30"/>
      <c r="E23" s="30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114" cm="1">
        <f t="array" ref="T23">T22/J22</f>
        <v>30.3157894736842</v>
      </c>
      <c r="U23" s="29" cm="1">
        <f t="array" ref="U23">U22/K22</f>
      </c>
      <c r="V23" s="29" cm="1">
        <f t="array" ref="V23">V22/L22</f>
      </c>
      <c r="W23" s="29"/>
      <c r="X23" s="29"/>
      <c r="Y23" s="29"/>
      <c r="Z23" s="29"/>
      <c r="AA23" s="29"/>
      <c r="AB23" s="29"/>
      <c r="AC23" s="29"/>
      <c r="AD23" s="29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74"/>
      <c r="BA23" s="16"/>
      <c r="BB23" s="16"/>
      <c r="BC23" s="16"/>
    </row>
    <row r="24" ht="19" customHeight="1">
      <c r="A24" s="30"/>
      <c r="B24" s="30"/>
      <c r="C24" s="30"/>
      <c r="D24" s="30"/>
      <c r="E24" s="30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74"/>
      <c r="BA24" s="16"/>
      <c r="BB24" s="16"/>
      <c r="BC24" s="16"/>
    </row>
    <row r="25" ht="19" customHeight="1">
      <c r="A25" s="30"/>
      <c r="B25" s="30"/>
      <c r="C25" s="30"/>
      <c r="D25" s="30"/>
      <c r="E25" s="30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74"/>
      <c r="BA25" s="16"/>
      <c r="BB25" s="16"/>
      <c r="BC25" s="16"/>
    </row>
    <row r="26" ht="19" customHeight="1">
      <c r="A26" s="30"/>
      <c r="B26" s="30"/>
      <c r="C26" s="30"/>
      <c r="D26" s="30"/>
      <c r="E26" s="30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74"/>
      <c r="BA26" s="16"/>
      <c r="BB26" s="16"/>
      <c r="BC26" s="16"/>
    </row>
    <row r="27" ht="19" customHeight="1">
      <c r="A27" s="30"/>
      <c r="B27" s="30"/>
      <c r="C27" s="30"/>
      <c r="D27" s="30"/>
      <c r="E27" s="30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74"/>
      <c r="BA27" s="16"/>
      <c r="BB27" s="16"/>
      <c r="BC27" s="16"/>
    </row>
    <row r="28" ht="17.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  <c r="K28" s="30"/>
      <c r="L28" s="30"/>
      <c r="M28" s="121"/>
      <c r="N28" s="121"/>
      <c r="O28" s="121"/>
      <c r="P28" s="121"/>
      <c r="Q28" s="30"/>
      <c r="R28" s="121"/>
      <c r="S28" s="121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74"/>
      <c r="BA28" s="16"/>
      <c r="BB28" s="16"/>
      <c r="BC28" s="16"/>
    </row>
    <row r="29" ht="17.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121"/>
      <c r="N29" s="121"/>
      <c r="O29" s="121"/>
      <c r="P29" s="121"/>
      <c r="Q29" s="121"/>
      <c r="R29" s="121"/>
      <c r="S29" s="121"/>
      <c r="T29" s="121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74"/>
      <c r="BA29" s="16"/>
      <c r="BB29" s="16"/>
      <c r="BC29" s="16"/>
    </row>
    <row r="30" ht="17.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121"/>
      <c r="N30" s="121"/>
      <c r="O30" s="121"/>
      <c r="P30" s="121"/>
      <c r="Q30" s="121"/>
      <c r="R30" s="121"/>
      <c r="S30" s="121"/>
      <c r="T30" s="121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74"/>
      <c r="BA30" s="16"/>
      <c r="BB30" s="16"/>
      <c r="BC30" s="16"/>
    </row>
    <row r="31" ht="17.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121"/>
      <c r="N31" s="121"/>
      <c r="O31" s="121"/>
      <c r="P31" s="121"/>
      <c r="Q31" s="121"/>
      <c r="R31" s="121"/>
      <c r="S31" s="121"/>
      <c r="T31" s="121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74"/>
      <c r="BA31" s="16"/>
      <c r="BB31" s="16"/>
      <c r="BC31" s="16"/>
    </row>
    <row r="32" ht="17.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  <c r="K32" s="30"/>
      <c r="L32" s="30"/>
      <c r="M32" s="121"/>
      <c r="N32" s="121"/>
      <c r="O32" s="121"/>
      <c r="P32" s="121"/>
      <c r="Q32" s="121"/>
      <c r="R32" s="121"/>
      <c r="S32" s="121"/>
      <c r="T32" s="121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74"/>
      <c r="BA32" s="16"/>
      <c r="BB32" s="16"/>
      <c r="BC32" s="16"/>
    </row>
    <row r="33" ht="17.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121"/>
      <c r="N33" s="121"/>
      <c r="O33" s="121"/>
      <c r="P33" s="121"/>
      <c r="Q33" s="30"/>
      <c r="R33" s="121"/>
      <c r="S33" s="121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74"/>
      <c r="BA33" s="16"/>
      <c r="BB33" s="16"/>
      <c r="BC33" s="16"/>
    </row>
    <row r="34" ht="17.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121"/>
      <c r="N34" s="121"/>
      <c r="O34" s="121"/>
      <c r="P34" s="121"/>
      <c r="Q34" s="121"/>
      <c r="R34" s="121"/>
      <c r="S34" s="121"/>
      <c r="T34" s="121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74"/>
      <c r="BA34" s="16"/>
      <c r="BB34" s="16"/>
      <c r="BC34" s="16"/>
    </row>
    <row r="35" ht="17.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121"/>
      <c r="N35" s="121"/>
      <c r="O35" s="121"/>
      <c r="P35" s="121"/>
      <c r="Q35" s="121"/>
      <c r="R35" s="121"/>
      <c r="S35" s="121"/>
      <c r="T35" s="121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74"/>
      <c r="BA35" s="16"/>
      <c r="BB35" s="16"/>
      <c r="BC35" s="16"/>
    </row>
    <row r="36" ht="17" customHeight="1">
      <c r="A36" t="s" s="83">
        <v>723</v>
      </c>
      <c r="B36" s="30"/>
      <c r="C36" s="30"/>
      <c r="D36" s="30"/>
      <c r="E36" s="30"/>
      <c r="F36" s="30"/>
      <c r="G36" s="112" cm="1">
        <f t="array" ref="G36">SUM(G3:G35)</f>
        <v>0</v>
      </c>
      <c r="H36" s="112" cm="1">
        <f t="array" ref="H36">SUM(H3:H35)</f>
        <v>0</v>
      </c>
      <c r="I36" s="112" cm="1">
        <f t="array" ref="I36">SUM(I3:I35)</f>
        <v>0</v>
      </c>
      <c r="J36" s="112" cm="1">
        <f t="array" ref="J36">SUM(J3:J35)</f>
        <v>38</v>
      </c>
      <c r="K36" s="112" cm="1">
        <f t="array" ref="K36">SUM(K3:K35)</f>
        <v>0</v>
      </c>
      <c r="L36" s="112" cm="1">
        <f t="array" ref="L36">SUM(L3:L35)</f>
        <v>0</v>
      </c>
      <c r="M36" s="112" cm="1">
        <f t="array" ref="M36">SUM(M3:M35)</f>
        <v>0</v>
      </c>
      <c r="N36" s="112" cm="1">
        <f t="array" ref="N36">SUM(N3:N35)</f>
        <v>1</v>
      </c>
      <c r="O36" s="112" cm="1">
        <f t="array" ref="O36">SUM(O3:O35)</f>
        <v>0</v>
      </c>
      <c r="P36" s="112" cm="1">
        <f t="array" ref="P36">SUM(P3:P35)</f>
        <v>0</v>
      </c>
      <c r="Q36" s="112" cm="1">
        <f t="array" ref="Q36">SUM(Q3:Q35)</f>
        <v>0</v>
      </c>
      <c r="R36" s="112" cm="1">
        <f t="array" ref="R36">SUM(R3:R35)</f>
        <v>0</v>
      </c>
      <c r="S36" s="112" cm="1">
        <f t="array" ref="S36">SUM(S3:S35)</f>
        <v>4</v>
      </c>
      <c r="T36" s="112" cm="1">
        <f t="array" ref="T36">SUM(T3:T35)</f>
        <v>1182.315789473680</v>
      </c>
      <c r="U36" s="30" cm="1">
        <f t="array" ref="U36">SUM(U3:U35)</f>
      </c>
      <c r="V36" s="30" cm="1">
        <f t="array" ref="V36">SUM(V3:V35)</f>
      </c>
      <c r="W36" s="112" cm="1">
        <f t="array" ref="W36">SUM(W3:W35)</f>
        <v>0</v>
      </c>
      <c r="X36" s="112" cm="1">
        <f t="array" ref="X36">SUM(X3:X35)</f>
        <v>0</v>
      </c>
      <c r="Y36" s="112" cm="1">
        <f t="array" ref="Y36">SUM(Y3:Y35)</f>
        <v>0</v>
      </c>
      <c r="Z36" s="112" cm="1">
        <f t="array" ref="Z36">SUM(Z3:Z35)</f>
        <v>0</v>
      </c>
      <c r="AA36" s="112" cm="1">
        <f t="array" ref="AA36">SUM(AA3:AA35)</f>
        <v>0</v>
      </c>
      <c r="AB36" s="112" cm="1">
        <f t="array" ref="AB36">SUM(AB3:AB35)</f>
        <v>0</v>
      </c>
      <c r="AC36" s="112" cm="1">
        <f t="array" ref="AC36">SUM(AC3:AC35)</f>
        <v>19</v>
      </c>
      <c r="AD36" s="112" cm="1">
        <f t="array" ref="AD36">SUM(AD3:AD35)</f>
        <v>0</v>
      </c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74"/>
      <c r="BA36" s="16"/>
      <c r="BB36" s="16"/>
      <c r="BC36" s="16"/>
    </row>
    <row r="37" ht="17.5" customHeight="1">
      <c r="A37" s="30"/>
      <c r="B37" s="30"/>
      <c r="C37" s="30"/>
      <c r="D37" s="30"/>
      <c r="E37" s="30"/>
      <c r="F37" s="30"/>
      <c r="G37" s="112" cm="1">
        <f t="array" ref="G37">G36+H36+I36+J36</f>
        <v>38</v>
      </c>
      <c r="H37" s="30"/>
      <c r="I37" s="30"/>
      <c r="J37" s="30"/>
      <c r="K37" s="112" cm="1">
        <f t="array" ref="K37">K36+L36+M36+N36+O36+P36</f>
        <v>1</v>
      </c>
      <c r="L37" s="30"/>
      <c r="M37" s="121"/>
      <c r="N37" s="121"/>
      <c r="O37" s="121"/>
      <c r="P37" s="121"/>
      <c r="Q37" s="118" cm="1">
        <f t="array" ref="Q37">Q36/K37</f>
        <v>0</v>
      </c>
      <c r="R37" s="121"/>
      <c r="S37" s="121"/>
      <c r="T37" s="121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74"/>
      <c r="BA37" s="16"/>
      <c r="BB37" s="16"/>
      <c r="BC37" s="16"/>
    </row>
    <row r="38" ht="17.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121"/>
      <c r="N38" s="121"/>
      <c r="O38" s="121"/>
      <c r="P38" s="121"/>
      <c r="Q38" s="121"/>
      <c r="R38" s="121"/>
      <c r="S38" s="121"/>
      <c r="T38" s="121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74"/>
      <c r="BA38" s="16"/>
      <c r="BB38" s="16"/>
      <c r="BC38" s="16"/>
    </row>
    <row r="39" ht="17.5" customHeight="1">
      <c r="A39" s="124"/>
      <c r="B39" s="124"/>
      <c r="C39" s="124"/>
      <c r="D39" s="28"/>
      <c r="E39" s="124"/>
      <c r="F39" s="28"/>
      <c r="G39" s="28"/>
      <c r="H39" s="28"/>
      <c r="I39" s="28"/>
      <c r="J39" s="28"/>
      <c r="K39" s="125"/>
      <c r="L39" s="28"/>
      <c r="M39" s="28"/>
      <c r="N39" s="28"/>
      <c r="O39" s="28"/>
      <c r="P39" s="28"/>
      <c r="Q39" s="125"/>
      <c r="R39" s="125"/>
      <c r="S39" s="125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74"/>
      <c r="BA39" s="16"/>
      <c r="BB39" s="16"/>
      <c r="BC39" s="16"/>
    </row>
    <row r="40" ht="28" customHeight="1">
      <c r="A40" s="124"/>
      <c r="B40" s="124"/>
      <c r="C40" s="124"/>
      <c r="D40" s="28"/>
      <c r="E40" s="124"/>
      <c r="F40" s="28"/>
      <c r="G40" s="28"/>
      <c r="H40" s="28"/>
      <c r="I40" s="28"/>
      <c r="J40" s="163"/>
      <c r="K40" s="164"/>
      <c r="L40" s="165"/>
      <c r="M40" s="28"/>
      <c r="N40" s="28"/>
      <c r="O40" s="28"/>
      <c r="P40" s="163"/>
      <c r="Q40" s="164"/>
      <c r="R40" s="164"/>
      <c r="S40" s="164"/>
      <c r="T40" s="166"/>
      <c r="U40" s="28"/>
      <c r="V40" s="28"/>
      <c r="W40" s="28"/>
      <c r="X40" s="28"/>
      <c r="Y40" s="28"/>
      <c r="Z40" s="28"/>
      <c r="AA40" s="28"/>
      <c r="AB40" s="28"/>
      <c r="AC40" s="28"/>
      <c r="AD40" s="124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74"/>
      <c r="BA40" s="16"/>
      <c r="BB40" s="16"/>
      <c r="BC40" s="16"/>
    </row>
    <row r="41" ht="17.5" customHeight="1">
      <c r="A41" s="146"/>
      <c r="B41" s="30"/>
      <c r="C41" s="30"/>
      <c r="D41" s="30"/>
      <c r="E41" s="30"/>
      <c r="F41" s="30"/>
      <c r="G41" s="30"/>
      <c r="H41" s="30"/>
      <c r="I41" s="30"/>
      <c r="J41" s="30"/>
      <c r="K41" s="141"/>
      <c r="L41" s="30"/>
      <c r="M41" s="121"/>
      <c r="N41" s="121"/>
      <c r="O41" s="121"/>
      <c r="P41" s="121"/>
      <c r="Q41" s="147"/>
      <c r="R41" s="147"/>
      <c r="S41" s="147"/>
      <c r="T41" s="121"/>
      <c r="U41" s="121"/>
      <c r="V41" s="121"/>
      <c r="W41" s="121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74"/>
      <c r="BA41" s="16"/>
      <c r="BB41" s="16"/>
      <c r="BC41" s="16"/>
    </row>
    <row r="42" ht="17.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121"/>
      <c r="N42" s="121"/>
      <c r="O42" s="121"/>
      <c r="P42" s="121"/>
      <c r="Q42" s="30"/>
      <c r="R42" s="121"/>
      <c r="S42" s="121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74"/>
      <c r="BA42" s="16"/>
      <c r="BB42" s="16"/>
      <c r="BC42" s="16"/>
    </row>
    <row r="43" ht="17.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121"/>
      <c r="N43" s="121"/>
      <c r="O43" s="121"/>
      <c r="P43" s="121"/>
      <c r="Q43" s="121"/>
      <c r="R43" s="121"/>
      <c r="S43" s="121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74"/>
      <c r="BA43" s="16"/>
      <c r="BB43" s="16"/>
      <c r="BC43" s="16"/>
    </row>
    <row r="44" ht="17.5" customHeight="1">
      <c r="A44" s="30"/>
      <c r="B44" s="30"/>
      <c r="C44" s="30"/>
      <c r="D44" s="30"/>
      <c r="E44" s="30"/>
      <c r="F44" s="30"/>
      <c r="G44" s="30"/>
      <c r="H44" t="s" s="83">
        <v>0</v>
      </c>
      <c r="I44" t="s" s="83">
        <v>1</v>
      </c>
      <c r="J44" t="s" s="83">
        <v>2</v>
      </c>
      <c r="K44" t="s" s="83">
        <v>3</v>
      </c>
      <c r="L44" t="s" s="83">
        <v>4</v>
      </c>
      <c r="M44" t="s" s="119">
        <v>5</v>
      </c>
      <c r="N44" t="s" s="119">
        <v>6</v>
      </c>
      <c r="O44" t="s" s="119">
        <v>7</v>
      </c>
      <c r="P44" t="s" s="119">
        <v>8</v>
      </c>
      <c r="Q44" s="121"/>
      <c r="R44" s="121"/>
      <c r="S44" s="121"/>
      <c r="T44" s="30"/>
      <c r="U44" s="121"/>
      <c r="V44" s="121"/>
      <c r="W44" s="121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74"/>
      <c r="BA44" s="16"/>
      <c r="BB44" s="16"/>
      <c r="BC44" s="16"/>
    </row>
    <row r="45" ht="17.5" customHeight="1">
      <c r="A45" s="30"/>
      <c r="B45" s="30"/>
      <c r="C45" s="30"/>
      <c r="D45" s="30"/>
      <c r="E45" s="30"/>
      <c r="F45" s="30"/>
      <c r="G45" s="30"/>
      <c r="H45" t="s" s="83">
        <v>199</v>
      </c>
      <c r="I45" t="s" s="83">
        <v>1444</v>
      </c>
      <c r="J45" t="s" s="83">
        <v>31</v>
      </c>
      <c r="K45" t="s" s="83">
        <v>12</v>
      </c>
      <c r="L45" s="112">
        <v>1864</v>
      </c>
      <c r="M45" s="118">
        <v>56</v>
      </c>
      <c r="N45" t="s" s="119">
        <v>1447</v>
      </c>
      <c r="O45" t="s" s="119">
        <v>1445</v>
      </c>
      <c r="P45" t="s" s="119">
        <v>1446</v>
      </c>
      <c r="Q45" s="30"/>
      <c r="R45" s="121"/>
      <c r="S45" s="121"/>
      <c r="T45" s="30"/>
      <c r="U45" s="121"/>
      <c r="V45" s="121"/>
      <c r="W45" s="121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74"/>
      <c r="BA45" s="16"/>
      <c r="BB45" s="16"/>
      <c r="BC45" s="16"/>
    </row>
    <row r="46" ht="17.5" customHeight="1">
      <c r="A46" s="30"/>
      <c r="B46" s="30"/>
      <c r="C46" s="30"/>
      <c r="D46" s="30"/>
      <c r="E46" s="30"/>
      <c r="F46" s="30"/>
      <c r="G46" s="30"/>
      <c r="H46" t="s" s="83">
        <v>1055</v>
      </c>
      <c r="I46" t="s" s="83">
        <v>731</v>
      </c>
      <c r="J46" t="s" s="83">
        <v>1450</v>
      </c>
      <c r="K46" t="s" s="83">
        <v>12</v>
      </c>
      <c r="L46" s="112">
        <v>1894</v>
      </c>
      <c r="M46" s="118">
        <v>27</v>
      </c>
      <c r="N46" t="s" s="119">
        <v>1451</v>
      </c>
      <c r="O46" t="s" s="119">
        <v>1448</v>
      </c>
      <c r="P46" t="s" s="119">
        <v>1449</v>
      </c>
      <c r="Q46" s="30"/>
      <c r="R46" s="121"/>
      <c r="S46" s="121"/>
      <c r="T46" s="30"/>
      <c r="U46" s="121"/>
      <c r="V46" s="121"/>
      <c r="W46" s="121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74"/>
      <c r="BA46" s="16"/>
      <c r="BB46" s="16"/>
      <c r="BC46" s="16"/>
    </row>
    <row r="47" ht="17.5" customHeight="1">
      <c r="A47" s="30"/>
      <c r="B47" s="30"/>
      <c r="C47" s="30"/>
      <c r="D47" s="30"/>
      <c r="E47" s="30"/>
      <c r="F47" s="30"/>
      <c r="G47" s="30"/>
      <c r="H47" t="s" s="83">
        <v>1452</v>
      </c>
      <c r="I47" t="s" s="83">
        <v>1444</v>
      </c>
      <c r="J47" t="s" s="83">
        <v>11</v>
      </c>
      <c r="K47" t="s" s="83">
        <v>12</v>
      </c>
      <c r="L47" s="112">
        <v>1897</v>
      </c>
      <c r="M47" s="118">
        <v>24</v>
      </c>
      <c r="N47" t="s" s="119">
        <v>1455</v>
      </c>
      <c r="O47" t="s" s="119">
        <v>1453</v>
      </c>
      <c r="P47" t="s" s="119">
        <v>1454</v>
      </c>
      <c r="Q47" s="30"/>
      <c r="R47" s="121"/>
      <c r="S47" s="121"/>
      <c r="T47" s="30"/>
      <c r="U47" s="121"/>
      <c r="V47" s="121"/>
      <c r="W47" s="121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74"/>
      <c r="BA47" s="16"/>
      <c r="BB47" s="16"/>
      <c r="BC47" s="16"/>
    </row>
    <row r="48" ht="17.5" customHeight="1">
      <c r="A48" s="30"/>
      <c r="B48" s="30"/>
      <c r="C48" s="30"/>
      <c r="D48" s="30"/>
      <c r="E48" s="30"/>
      <c r="F48" s="30"/>
      <c r="G48" s="30"/>
      <c r="H48" t="s" s="83">
        <v>704</v>
      </c>
      <c r="I48" t="s" s="83">
        <v>705</v>
      </c>
      <c r="J48" t="s" s="83">
        <v>11</v>
      </c>
      <c r="K48" t="s" s="83">
        <v>12</v>
      </c>
      <c r="L48" s="112">
        <v>1902</v>
      </c>
      <c r="M48" s="118">
        <v>19</v>
      </c>
      <c r="N48" t="s" s="119">
        <v>1458</v>
      </c>
      <c r="O48" t="s" s="119">
        <v>1456</v>
      </c>
      <c r="P48" t="s" s="119">
        <v>1457</v>
      </c>
      <c r="Q48" s="30"/>
      <c r="R48" s="121"/>
      <c r="S48" s="121"/>
      <c r="T48" s="30"/>
      <c r="U48" s="121"/>
      <c r="V48" s="121"/>
      <c r="W48" s="121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74"/>
      <c r="BA48" s="16"/>
      <c r="BB48" s="16"/>
      <c r="BC48" s="16"/>
    </row>
    <row r="49" ht="17" customHeight="1">
      <c r="A49" s="30"/>
      <c r="B49" s="30"/>
      <c r="C49" s="30"/>
      <c r="D49" s="30"/>
      <c r="E49" s="30"/>
      <c r="F49" s="30"/>
      <c r="G49" s="30"/>
      <c r="H49" t="s" s="83">
        <v>106</v>
      </c>
      <c r="I49" t="s" s="83">
        <v>1459</v>
      </c>
      <c r="J49" t="s" s="83">
        <v>11</v>
      </c>
      <c r="K49" t="s" s="83">
        <v>12</v>
      </c>
      <c r="L49" s="112">
        <v>1895</v>
      </c>
      <c r="M49" s="112">
        <v>25</v>
      </c>
      <c r="N49" t="s" s="83">
        <v>183</v>
      </c>
      <c r="O49" t="s" s="83">
        <v>1460</v>
      </c>
      <c r="P49" t="s" s="83">
        <v>1461</v>
      </c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74"/>
      <c r="BA49" s="16"/>
      <c r="BB49" s="16"/>
      <c r="BC49" s="16"/>
    </row>
    <row r="50" ht="17.5" customHeight="1">
      <c r="A50" s="30"/>
      <c r="B50" s="30"/>
      <c r="C50" s="30"/>
      <c r="D50" s="30"/>
      <c r="E50" s="30"/>
      <c r="F50" s="30"/>
      <c r="G50" s="30"/>
      <c r="H50" t="s" s="83">
        <v>774</v>
      </c>
      <c r="I50" t="s" s="83">
        <v>309</v>
      </c>
      <c r="J50" t="s" s="83">
        <v>11</v>
      </c>
      <c r="K50" t="s" s="83">
        <v>12</v>
      </c>
      <c r="L50" s="112">
        <v>1898</v>
      </c>
      <c r="M50" s="118">
        <v>23</v>
      </c>
      <c r="N50" t="s" s="119">
        <v>183</v>
      </c>
      <c r="O50" t="s" s="119">
        <v>1462</v>
      </c>
      <c r="P50" t="s" s="119">
        <v>1463</v>
      </c>
      <c r="Q50" s="30"/>
      <c r="R50" s="121"/>
      <c r="S50" s="121"/>
      <c r="T50" s="129"/>
      <c r="U50" s="121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74"/>
      <c r="BA50" s="16"/>
      <c r="BB50" s="16"/>
      <c r="BC50" s="16"/>
    </row>
    <row r="51" ht="17.5" customHeight="1">
      <c r="A51" s="30"/>
      <c r="B51" s="30"/>
      <c r="C51" s="30"/>
      <c r="D51" s="30"/>
      <c r="E51" s="30"/>
      <c r="F51" s="30"/>
      <c r="G51" s="30"/>
      <c r="H51" t="s" s="83">
        <v>321</v>
      </c>
      <c r="I51" t="s" s="83">
        <v>1464</v>
      </c>
      <c r="J51" t="s" s="83">
        <v>11</v>
      </c>
      <c r="K51" t="s" s="83">
        <v>12</v>
      </c>
      <c r="L51" s="112">
        <v>1884</v>
      </c>
      <c r="M51" s="118">
        <v>36</v>
      </c>
      <c r="N51" t="s" s="119">
        <v>1386</v>
      </c>
      <c r="O51" t="s" s="119">
        <v>1465</v>
      </c>
      <c r="P51" t="s" s="119">
        <v>1466</v>
      </c>
      <c r="Q51" s="30"/>
      <c r="R51" s="121"/>
      <c r="S51" s="121"/>
      <c r="T51" s="30"/>
      <c r="U51" s="121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74"/>
      <c r="BA51" s="16"/>
      <c r="BB51" s="16"/>
      <c r="BC51" s="16"/>
    </row>
    <row r="52" ht="17.5" customHeight="1">
      <c r="A52" s="30"/>
      <c r="B52" s="30"/>
      <c r="C52" s="30"/>
      <c r="D52" s="30"/>
      <c r="E52" s="30"/>
      <c r="F52" s="30"/>
      <c r="G52" s="30"/>
      <c r="H52" t="s" s="83">
        <v>115</v>
      </c>
      <c r="I52" t="s" s="83">
        <v>1467</v>
      </c>
      <c r="J52" t="s" s="83">
        <v>11</v>
      </c>
      <c r="K52" t="s" s="83">
        <v>12</v>
      </c>
      <c r="L52" s="112">
        <v>1896</v>
      </c>
      <c r="M52" s="118">
        <v>25</v>
      </c>
      <c r="N52" t="s" s="119">
        <v>1468</v>
      </c>
      <c r="O52" t="s" s="119">
        <v>1465</v>
      </c>
      <c r="P52" t="s" s="119">
        <v>1466</v>
      </c>
      <c r="Q52" s="30"/>
      <c r="R52" s="121"/>
      <c r="S52" s="121"/>
      <c r="T52" s="30"/>
      <c r="U52" s="121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74"/>
      <c r="BA52" s="16"/>
      <c r="BB52" s="16"/>
      <c r="BC52" s="16"/>
    </row>
    <row r="53" ht="17.5" customHeight="1">
      <c r="A53" s="30"/>
      <c r="B53" s="30"/>
      <c r="C53" s="30"/>
      <c r="D53" s="30"/>
      <c r="E53" s="30"/>
      <c r="F53" s="30"/>
      <c r="G53" s="30"/>
      <c r="H53" t="s" s="83">
        <v>1469</v>
      </c>
      <c r="I53" t="s" s="83">
        <v>137</v>
      </c>
      <c r="J53" t="s" s="83">
        <v>11</v>
      </c>
      <c r="K53" t="s" s="83">
        <v>12</v>
      </c>
      <c r="L53" s="112">
        <v>1898</v>
      </c>
      <c r="M53" s="118">
        <v>22</v>
      </c>
      <c r="N53" t="s" s="119">
        <v>1470</v>
      </c>
      <c r="O53" t="s" s="119">
        <v>1465</v>
      </c>
      <c r="P53" t="s" s="119">
        <v>1466</v>
      </c>
      <c r="Q53" s="30"/>
      <c r="R53" s="121"/>
      <c r="S53" s="121"/>
      <c r="T53" s="129"/>
      <c r="U53" s="121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74"/>
      <c r="BA53" s="16"/>
      <c r="BB53" s="16"/>
      <c r="BC53" s="16"/>
    </row>
    <row r="54" ht="17.5" customHeight="1">
      <c r="A54" s="30"/>
      <c r="B54" s="30"/>
      <c r="C54" s="30"/>
      <c r="D54" s="30"/>
      <c r="E54" s="30"/>
      <c r="F54" s="30"/>
      <c r="G54" s="30"/>
      <c r="H54" t="s" s="83">
        <v>1472</v>
      </c>
      <c r="I54" t="s" s="83">
        <v>1471</v>
      </c>
      <c r="J54" t="s" s="83">
        <v>11</v>
      </c>
      <c r="K54" t="s" s="83">
        <v>12</v>
      </c>
      <c r="L54" s="112">
        <v>1900</v>
      </c>
      <c r="M54" s="118">
        <v>21</v>
      </c>
      <c r="N54" t="s" s="119">
        <v>1474</v>
      </c>
      <c r="O54" t="s" s="119">
        <v>1465</v>
      </c>
      <c r="P54" t="s" s="119">
        <v>1473</v>
      </c>
      <c r="Q54" s="30"/>
      <c r="R54" s="121"/>
      <c r="S54" s="121"/>
      <c r="T54" s="30"/>
      <c r="U54" s="121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74"/>
      <c r="BA54" s="16"/>
      <c r="BB54" s="16"/>
      <c r="BC54" s="16"/>
    </row>
    <row r="55" ht="17.5" customHeight="1">
      <c r="A55" s="30"/>
      <c r="B55" s="30"/>
      <c r="C55" s="30"/>
      <c r="D55" s="30"/>
      <c r="E55" s="30"/>
      <c r="F55" s="30"/>
      <c r="G55" s="30"/>
      <c r="H55" t="s" s="83">
        <v>109</v>
      </c>
      <c r="I55" t="s" s="83">
        <v>1475</v>
      </c>
      <c r="J55" t="s" s="83">
        <v>34</v>
      </c>
      <c r="K55" t="s" s="83">
        <v>12</v>
      </c>
      <c r="L55" s="112">
        <v>1889</v>
      </c>
      <c r="M55" s="118">
        <v>32</v>
      </c>
      <c r="N55" t="s" s="119">
        <v>183</v>
      </c>
      <c r="O55" t="s" s="119">
        <v>1476</v>
      </c>
      <c r="P55" t="s" s="119">
        <v>1477</v>
      </c>
      <c r="Q55" s="30"/>
      <c r="R55" s="121"/>
      <c r="S55" s="121"/>
      <c r="T55" s="30"/>
      <c r="U55" s="121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74"/>
      <c r="BA55" s="16"/>
      <c r="BB55" s="16"/>
      <c r="BC55" s="16"/>
    </row>
    <row r="56" ht="17.5" customHeight="1">
      <c r="A56" s="30"/>
      <c r="B56" s="30"/>
      <c r="C56" s="30"/>
      <c r="D56" s="30"/>
      <c r="E56" s="30"/>
      <c r="F56" s="30"/>
      <c r="G56" s="30"/>
      <c r="H56" t="s" s="83">
        <v>1479</v>
      </c>
      <c r="I56" t="s" s="83">
        <v>1478</v>
      </c>
      <c r="J56" t="s" s="83">
        <v>34</v>
      </c>
      <c r="K56" t="s" s="83">
        <v>12</v>
      </c>
      <c r="L56" s="112">
        <v>1870</v>
      </c>
      <c r="M56" s="118">
        <v>50</v>
      </c>
      <c r="N56" t="s" s="119">
        <v>1140</v>
      </c>
      <c r="O56" t="s" s="119">
        <v>1480</v>
      </c>
      <c r="P56" t="s" s="119">
        <v>1477</v>
      </c>
      <c r="Q56" s="30"/>
      <c r="R56" s="121"/>
      <c r="S56" s="121"/>
      <c r="T56" s="30"/>
      <c r="U56" s="121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74"/>
      <c r="BA56" s="16"/>
      <c r="BB56" s="16"/>
      <c r="BC56" s="16"/>
    </row>
    <row r="57" ht="17" customHeight="1">
      <c r="A57" t="s" s="83">
        <v>723</v>
      </c>
      <c r="B57" s="30"/>
      <c r="C57" s="30"/>
      <c r="D57" s="30"/>
      <c r="E57" s="30"/>
      <c r="F57" s="30"/>
      <c r="G57" s="112" cm="1">
        <f t="array" ref="G57">SUM(G3:G56)</f>
        <v>38</v>
      </c>
      <c r="H57" t="s" s="83">
        <v>1481</v>
      </c>
      <c r="I57" t="s" s="83">
        <v>170</v>
      </c>
      <c r="J57" t="s" s="83">
        <v>34</v>
      </c>
      <c r="K57" t="s" s="83">
        <v>12</v>
      </c>
      <c r="L57" s="112">
        <v>1886</v>
      </c>
      <c r="M57" s="112">
        <v>35</v>
      </c>
      <c r="N57" t="s" s="83">
        <v>1482</v>
      </c>
      <c r="O57" t="s" s="83">
        <v>1480</v>
      </c>
      <c r="P57" t="s" s="83">
        <v>1477</v>
      </c>
      <c r="Q57" s="112" cm="1">
        <f t="array" ref="Q57">SUM(Q3:Q56)</f>
        <v>0</v>
      </c>
      <c r="R57" s="112" cm="1">
        <f t="array" ref="R57">SUM(R3:R56)</f>
        <v>0</v>
      </c>
      <c r="S57" s="112" cm="1">
        <f t="array" ref="S57">SUM(S3:S56)</f>
        <v>8</v>
      </c>
      <c r="T57" s="112" cm="1">
        <f t="array" ref="T57">SUM(T3:T56)</f>
        <v>2364.631578947360</v>
      </c>
      <c r="U57" s="30" cm="1">
        <f t="array" ref="U57">SUM(U3:U56)</f>
      </c>
      <c r="V57" s="30" cm="1">
        <f t="array" ref="V57">SUM(V3:V56)</f>
      </c>
      <c r="W57" s="112" cm="1">
        <f t="array" ref="W57">SUM(W3:W56)</f>
        <v>0</v>
      </c>
      <c r="X57" s="30"/>
      <c r="Y57" s="30"/>
      <c r="Z57" s="112" cm="1">
        <f t="array" ref="Z57">SUM(Z3:Z56)</f>
        <v>0</v>
      </c>
      <c r="AA57" s="112" cm="1">
        <f t="array" ref="AA57">SUM(AA3:AA56)</f>
        <v>0</v>
      </c>
      <c r="AB57" s="112" cm="1">
        <f t="array" ref="AB57">SUM(AB3:AB56)</f>
        <v>0</v>
      </c>
      <c r="AC57" s="112" cm="1">
        <f t="array" ref="AC57">SUM(AC3:AC56)</f>
        <v>38</v>
      </c>
      <c r="AD57" s="112" cm="1">
        <f t="array" ref="AD57">SUM(AD3:AD56)</f>
        <v>0</v>
      </c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74"/>
      <c r="BA57" s="16"/>
      <c r="BB57" s="16"/>
      <c r="BC57" s="16"/>
    </row>
    <row r="58" ht="17" customHeight="1">
      <c r="A58" s="30"/>
      <c r="B58" s="30"/>
      <c r="C58" s="30"/>
      <c r="D58" s="30"/>
      <c r="E58" s="30"/>
      <c r="F58" s="30"/>
      <c r="G58" s="30"/>
      <c r="H58" t="s" s="83">
        <v>48</v>
      </c>
      <c r="I58" t="s" s="83">
        <v>1483</v>
      </c>
      <c r="J58" t="s" s="83">
        <v>34</v>
      </c>
      <c r="K58" t="s" s="83">
        <v>12</v>
      </c>
      <c r="L58" s="112">
        <v>1894</v>
      </c>
      <c r="M58" s="112">
        <v>27</v>
      </c>
      <c r="N58" t="s" s="83">
        <v>1485</v>
      </c>
      <c r="O58" t="s" s="83">
        <v>1484</v>
      </c>
      <c r="P58" t="s" s="83">
        <v>1477</v>
      </c>
      <c r="Q58" s="87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74"/>
      <c r="BA58" s="16"/>
      <c r="BB58" s="16"/>
      <c r="BC58" s="16"/>
    </row>
    <row r="59" ht="17" customHeight="1">
      <c r="A59" s="30"/>
      <c r="B59" s="30"/>
      <c r="C59" s="30"/>
      <c r="D59" s="30"/>
      <c r="E59" s="30"/>
      <c r="F59" s="30"/>
      <c r="G59" s="130"/>
      <c r="H59" t="s" s="83">
        <v>1469</v>
      </c>
      <c r="I59" t="s" s="83">
        <v>1486</v>
      </c>
      <c r="J59" t="s" s="83">
        <v>34</v>
      </c>
      <c r="K59" t="s" s="83">
        <v>12</v>
      </c>
      <c r="L59" s="112">
        <v>1883</v>
      </c>
      <c r="M59" s="112">
        <v>38</v>
      </c>
      <c r="N59" t="s" s="83">
        <v>553</v>
      </c>
      <c r="O59" t="s" s="83">
        <v>1487</v>
      </c>
      <c r="P59" t="s" s="83">
        <v>1477</v>
      </c>
      <c r="Q59" s="87"/>
      <c r="R59" s="130"/>
      <c r="S59" s="130"/>
      <c r="T59" s="1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74"/>
      <c r="BA59" s="16"/>
      <c r="BB59" s="16"/>
      <c r="BC59" s="16"/>
    </row>
    <row r="60" ht="17.5" customHeight="1">
      <c r="A60" s="30"/>
      <c r="B60" s="30"/>
      <c r="C60" s="30"/>
      <c r="D60" s="30"/>
      <c r="E60" s="30"/>
      <c r="F60" s="30"/>
      <c r="G60" s="30"/>
      <c r="H60" t="s" s="83">
        <v>109</v>
      </c>
      <c r="I60" t="s" s="83">
        <v>1488</v>
      </c>
      <c r="J60" t="s" s="83">
        <v>34</v>
      </c>
      <c r="K60" t="s" s="83">
        <v>12</v>
      </c>
      <c r="L60" s="112">
        <v>1875</v>
      </c>
      <c r="M60" s="112">
        <v>46</v>
      </c>
      <c r="N60" t="s" s="83">
        <v>1490</v>
      </c>
      <c r="O60" t="s" s="83">
        <v>1489</v>
      </c>
      <c r="P60" t="s" s="83">
        <v>1477</v>
      </c>
      <c r="Q60" s="30"/>
      <c r="R60" s="121"/>
      <c r="S60" s="121"/>
      <c r="T60" s="129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74"/>
      <c r="BA60" s="16"/>
      <c r="BB60" s="16"/>
      <c r="BC60" s="16"/>
    </row>
    <row r="61" ht="17" customHeight="1">
      <c r="A61" s="30"/>
      <c r="B61" s="30"/>
      <c r="C61" s="30"/>
      <c r="D61" s="30"/>
      <c r="E61" s="30"/>
      <c r="F61" s="30"/>
      <c r="G61" s="30"/>
      <c r="H61" t="s" s="83">
        <v>1491</v>
      </c>
      <c r="I61" t="s" s="83">
        <v>1282</v>
      </c>
      <c r="J61" t="s" s="83">
        <v>34</v>
      </c>
      <c r="K61" t="s" s="83">
        <v>12</v>
      </c>
      <c r="L61" s="112">
        <v>1894</v>
      </c>
      <c r="M61" s="112">
        <v>27</v>
      </c>
      <c r="N61" t="s" s="83">
        <v>1492</v>
      </c>
      <c r="O61" t="s" s="83">
        <v>1465</v>
      </c>
      <c r="P61" t="s" s="83">
        <v>1477</v>
      </c>
      <c r="Q61" s="30"/>
      <c r="R61" s="130"/>
      <c r="S61" s="130"/>
      <c r="T61" s="130"/>
      <c r="U61" s="30"/>
      <c r="V61" s="30"/>
      <c r="W61" s="30"/>
      <c r="X61" s="30"/>
      <c r="Y61" s="30"/>
      <c r="Z61" s="30"/>
      <c r="AA61" s="30"/>
      <c r="AB61" s="30"/>
      <c r="AC61" s="134"/>
      <c r="AD61" s="134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74"/>
      <c r="BA61" s="16"/>
      <c r="BB61" s="16"/>
      <c r="BC61" s="16"/>
    </row>
    <row r="62" ht="17.5" customHeight="1">
      <c r="A62" s="30"/>
      <c r="B62" s="30"/>
      <c r="C62" s="30"/>
      <c r="D62" s="30"/>
      <c r="E62" s="30"/>
      <c r="F62" s="30"/>
      <c r="G62" s="30"/>
      <c r="H62" t="s" s="83">
        <v>1493</v>
      </c>
      <c r="I62" t="s" s="83">
        <v>1253</v>
      </c>
      <c r="J62" t="s" s="83">
        <v>34</v>
      </c>
      <c r="K62" t="s" s="83">
        <v>12</v>
      </c>
      <c r="L62" s="112">
        <v>1900</v>
      </c>
      <c r="M62" s="112">
        <v>21</v>
      </c>
      <c r="N62" t="s" s="83">
        <v>25</v>
      </c>
      <c r="O62" t="s" s="83">
        <v>1465</v>
      </c>
      <c r="P62" t="s" s="83">
        <v>1477</v>
      </c>
      <c r="Q62" s="30"/>
      <c r="R62" s="121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74"/>
      <c r="BA62" s="16"/>
      <c r="BB62" s="16"/>
      <c r="BC62" s="16"/>
    </row>
    <row r="63" ht="15.35" customHeight="1">
      <c r="A63" s="62"/>
      <c r="B63" s="62"/>
      <c r="C63" s="62"/>
      <c r="D63" s="62"/>
      <c r="E63" s="62"/>
      <c r="F63" s="62"/>
      <c r="G63" s="62"/>
      <c r="H63" t="s" s="98">
        <v>1495</v>
      </c>
      <c r="I63" t="s" s="98">
        <v>1494</v>
      </c>
      <c r="J63" t="s" s="98">
        <v>34</v>
      </c>
      <c r="K63" t="s" s="98">
        <v>12</v>
      </c>
      <c r="L63" s="97">
        <v>1899</v>
      </c>
      <c r="M63" s="97">
        <v>22</v>
      </c>
      <c r="N63" t="s" s="98">
        <v>1492</v>
      </c>
      <c r="O63" t="s" s="98">
        <v>1465</v>
      </c>
      <c r="P63" t="s" s="98">
        <v>1477</v>
      </c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62"/>
      <c r="AF63" s="62"/>
      <c r="AG63" s="62"/>
      <c r="AH63" s="62"/>
      <c r="AI63" s="62"/>
      <c r="AJ63" s="62"/>
      <c r="AK63" s="62"/>
      <c r="AL63" s="62"/>
      <c r="AM63" s="62"/>
      <c r="AN63" s="62"/>
      <c r="AO63" s="62"/>
      <c r="AP63" s="62"/>
      <c r="AQ63" s="62"/>
      <c r="AR63" s="62"/>
      <c r="AS63" s="62"/>
      <c r="AT63" s="62"/>
      <c r="AU63" s="62"/>
      <c r="AV63" s="62"/>
      <c r="AW63" s="62"/>
      <c r="AX63" s="62"/>
      <c r="AY63" s="62"/>
      <c r="AZ63" s="16"/>
      <c r="BA63" s="16"/>
      <c r="BB63" s="16"/>
      <c r="BC63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2.xml><?xml version="1.0" encoding="utf-8"?>
<worksheet xmlns:r="http://schemas.openxmlformats.org/officeDocument/2006/relationships" xmlns="http://schemas.openxmlformats.org/spreadsheetml/2006/main">
  <dimension ref="A1:BT47"/>
  <sheetViews>
    <sheetView workbookViewId="0" showGridLines="0" defaultGridColor="1"/>
  </sheetViews>
  <sheetFormatPr defaultColWidth="10.8333" defaultRowHeight="16" customHeight="1" outlineLevelRow="0" outlineLevelCol="0"/>
  <cols>
    <col min="1" max="2" width="10.8516" style="527" customWidth="1"/>
    <col min="3" max="3" width="7.17188" style="527" customWidth="1"/>
    <col min="4" max="4" width="18.1719" style="527" customWidth="1"/>
    <col min="5" max="9" width="10.8516" style="527" customWidth="1"/>
    <col min="10" max="10" width="10.1719" style="527" customWidth="1"/>
    <col min="11" max="11" width="6.5" style="527" customWidth="1"/>
    <col min="12" max="12" width="8.35156" style="527" customWidth="1"/>
    <col min="13" max="13" width="6.5" style="527" customWidth="1"/>
    <col min="14" max="14" width="11.8516" style="527" customWidth="1"/>
    <col min="15" max="15" width="7.17188" style="527" customWidth="1"/>
    <col min="16" max="16" width="10.8516" style="527" customWidth="1"/>
    <col min="17" max="17" width="6.35156" style="527" customWidth="1"/>
    <col min="18" max="18" width="7.5" style="527" customWidth="1"/>
    <col min="19" max="19" width="8.35156" style="527" customWidth="1"/>
    <col min="20" max="20" width="6.67188" style="527" customWidth="1"/>
    <col min="21" max="21" width="14.3516" style="527" customWidth="1"/>
    <col min="22" max="22" width="5.85156" style="527" customWidth="1"/>
    <col min="23" max="23" width="5.35156" style="527" customWidth="1"/>
    <col min="24" max="24" width="11.8516" style="527" customWidth="1"/>
    <col min="25" max="26" width="10.8516" style="527" customWidth="1"/>
    <col min="27" max="27" width="12.3516" style="527" customWidth="1"/>
    <col min="28" max="28" width="17" style="527" customWidth="1"/>
    <col min="29" max="29" width="12.1719" style="527" customWidth="1"/>
    <col min="30" max="30" width="10.8516" style="527" customWidth="1"/>
    <col min="31" max="31" width="8" style="527" customWidth="1"/>
    <col min="32" max="32" width="15.6719" style="527" customWidth="1"/>
    <col min="33" max="34" width="10.8516" style="527" customWidth="1"/>
    <col min="35" max="35" width="6.67188" style="527" customWidth="1"/>
    <col min="36" max="36" width="7.17188" style="527" customWidth="1"/>
    <col min="37" max="38" width="11" style="527" customWidth="1"/>
    <col min="39" max="39" width="10.3516" style="527" customWidth="1"/>
    <col min="40" max="40" width="6.67188" style="527" customWidth="1"/>
    <col min="41" max="43" width="7.85156" style="527" customWidth="1"/>
    <col min="44" max="45" width="9.35156" style="527" customWidth="1"/>
    <col min="46" max="46" width="12.1719" style="527" customWidth="1"/>
    <col min="47" max="47" width="7.85156" style="527" customWidth="1"/>
    <col min="48" max="50" width="10.8516" style="527" customWidth="1"/>
    <col min="51" max="51" width="12.3516" style="527" customWidth="1"/>
    <col min="52" max="54" width="10.8516" style="527" customWidth="1"/>
    <col min="55" max="55" width="12" style="527" customWidth="1"/>
    <col min="56" max="57" width="10.8516" style="527" customWidth="1"/>
    <col min="58" max="58" width="11.8516" style="527" customWidth="1"/>
    <col min="59" max="72" width="10.8516" style="527" customWidth="1"/>
    <col min="73" max="16384" width="10.8516" style="527" customWidth="1"/>
  </cols>
  <sheetData>
    <row r="1" ht="85" customHeight="1">
      <c r="A1" t="s" s="37">
        <v>3054</v>
      </c>
      <c r="B1" t="s" s="37">
        <v>3009</v>
      </c>
      <c r="C1" t="s" s="37">
        <v>3127</v>
      </c>
      <c r="D1" t="s" s="35">
        <v>455</v>
      </c>
      <c r="E1" s="460"/>
      <c r="F1" t="s" s="35">
        <v>3056</v>
      </c>
      <c r="G1" s="528"/>
      <c r="H1" t="s" s="529">
        <v>3128</v>
      </c>
      <c r="I1" t="s" s="530">
        <v>3129</v>
      </c>
      <c r="J1" t="s" s="35">
        <v>274</v>
      </c>
      <c r="K1" s="32"/>
      <c r="L1" s="32"/>
      <c r="M1" s="32"/>
      <c r="N1" t="s" s="35">
        <v>275</v>
      </c>
      <c r="O1" s="32"/>
      <c r="P1" s="33"/>
      <c r="Q1" s="33"/>
      <c r="R1" s="33"/>
      <c r="S1" s="33"/>
      <c r="T1" t="s" s="35">
        <v>276</v>
      </c>
      <c r="U1" t="s" s="35">
        <v>3058</v>
      </c>
      <c r="V1" s="33"/>
      <c r="W1" s="33"/>
      <c r="X1" t="s" s="35">
        <v>3059</v>
      </c>
      <c r="Y1" t="s" s="35">
        <v>3060</v>
      </c>
      <c r="Z1" t="s" s="35">
        <v>3061</v>
      </c>
      <c r="AA1" t="s" s="35">
        <v>283</v>
      </c>
      <c r="AB1" t="s" s="35">
        <v>284</v>
      </c>
      <c r="AC1" t="s" s="35">
        <v>285</v>
      </c>
      <c r="AD1" t="s" s="35">
        <v>286</v>
      </c>
      <c r="AE1" s="33"/>
      <c r="AF1" t="s" s="35">
        <v>3062</v>
      </c>
      <c r="AG1" s="33"/>
      <c r="AH1" s="33"/>
      <c r="AI1" s="481"/>
      <c r="AJ1" s="29"/>
      <c r="AK1" s="29"/>
      <c r="AL1" s="29"/>
      <c r="AM1" s="28"/>
      <c r="AN1" s="28"/>
      <c r="AO1" s="29"/>
      <c r="AP1" s="29"/>
      <c r="AQ1" s="30"/>
      <c r="AR1" s="29"/>
      <c r="AS1" s="29"/>
      <c r="AT1" s="29"/>
      <c r="AU1" s="30"/>
      <c r="AV1" s="28"/>
      <c r="AW1" s="28"/>
      <c r="AX1" s="28"/>
      <c r="AY1" s="28"/>
      <c r="AZ1" s="28"/>
      <c r="BA1" s="28"/>
      <c r="BB1" s="28"/>
      <c r="BC1" s="29"/>
      <c r="BD1" s="30"/>
      <c r="BE1" s="30"/>
      <c r="BF1" s="30"/>
      <c r="BG1" s="30"/>
      <c r="BH1" s="30"/>
      <c r="BI1" s="29"/>
      <c r="BJ1" s="29"/>
      <c r="BK1" s="29"/>
      <c r="BL1" s="29"/>
      <c r="BM1" s="29"/>
      <c r="BN1" s="29"/>
      <c r="BO1" s="28"/>
      <c r="BP1" s="28"/>
      <c r="BQ1" s="28"/>
      <c r="BR1" s="28"/>
      <c r="BS1" s="28"/>
      <c r="BT1" s="30"/>
    </row>
    <row r="2" ht="34" customHeight="1">
      <c r="A2" s="32"/>
      <c r="B2" s="32"/>
      <c r="C2" s="42"/>
      <c r="D2" s="32"/>
      <c r="E2" s="460"/>
      <c r="F2" s="32"/>
      <c r="G2" s="531"/>
      <c r="H2" s="531"/>
      <c r="I2" s="532"/>
      <c r="J2" t="s" s="35">
        <v>292</v>
      </c>
      <c r="K2" t="s" s="35">
        <v>293</v>
      </c>
      <c r="L2" t="s" s="35">
        <v>294</v>
      </c>
      <c r="M2" t="s" s="35">
        <v>295</v>
      </c>
      <c r="N2" t="s" s="35">
        <v>3063</v>
      </c>
      <c r="O2" t="s" s="35">
        <v>297</v>
      </c>
      <c r="P2" t="s" s="35">
        <v>298</v>
      </c>
      <c r="Q2" t="s" s="35">
        <v>299</v>
      </c>
      <c r="R2" t="s" s="35">
        <v>300</v>
      </c>
      <c r="S2" t="s" s="35">
        <v>11</v>
      </c>
      <c r="T2" s="33"/>
      <c r="U2" t="s" s="35">
        <v>293</v>
      </c>
      <c r="V2" t="s" s="35">
        <v>3064</v>
      </c>
      <c r="W2" t="s" s="35">
        <v>292</v>
      </c>
      <c r="X2" s="33"/>
      <c r="Y2" s="33"/>
      <c r="Z2" s="54"/>
      <c r="AA2" t="s" s="35">
        <v>3065</v>
      </c>
      <c r="AB2" t="s" s="35">
        <v>3065</v>
      </c>
      <c r="AC2" s="33"/>
      <c r="AD2" t="s" s="35">
        <v>8</v>
      </c>
      <c r="AE2" t="s" s="35">
        <v>3066</v>
      </c>
      <c r="AF2" t="s" s="451">
        <v>306</v>
      </c>
      <c r="AG2" t="s" s="37">
        <v>300</v>
      </c>
      <c r="AH2" t="s" s="483">
        <v>458</v>
      </c>
      <c r="AI2" t="s" s="484">
        <v>3130</v>
      </c>
      <c r="AJ2" s="30"/>
      <c r="AK2" s="30"/>
      <c r="AL2" s="30"/>
      <c r="AM2" s="300"/>
      <c r="AN2" s="300"/>
      <c r="AO2" s="300"/>
      <c r="AP2" s="300"/>
      <c r="AQ2" s="300"/>
      <c r="AR2" s="300"/>
      <c r="AS2" s="300"/>
      <c r="AT2" s="300"/>
      <c r="AU2" s="300"/>
      <c r="AV2" s="300"/>
      <c r="AW2" s="300"/>
      <c r="AX2" s="300"/>
      <c r="AY2" s="300"/>
      <c r="AZ2" s="300"/>
      <c r="BA2" s="300"/>
      <c r="BB2" s="300"/>
      <c r="BC2" s="300"/>
      <c r="BD2" s="300"/>
      <c r="BE2" s="300"/>
      <c r="BF2" s="29"/>
      <c r="BG2" s="29"/>
      <c r="BH2" s="29"/>
      <c r="BI2" s="29"/>
      <c r="BJ2" s="29"/>
      <c r="BK2" s="29"/>
      <c r="BL2" s="121"/>
      <c r="BM2" s="121"/>
      <c r="BN2" s="121"/>
      <c r="BO2" s="121"/>
      <c r="BP2" s="121"/>
      <c r="BQ2" s="30"/>
      <c r="BR2" s="30"/>
      <c r="BS2" s="30"/>
      <c r="BT2" s="30"/>
    </row>
    <row r="3" ht="17.45" customHeight="1">
      <c r="A3" t="s" s="37">
        <v>571</v>
      </c>
      <c r="B3" t="s" s="37">
        <v>3131</v>
      </c>
      <c r="C3" s="39">
        <v>4</v>
      </c>
      <c r="D3" t="s" s="37">
        <v>572</v>
      </c>
      <c r="E3" s="460"/>
      <c r="F3" s="39">
        <v>6</v>
      </c>
      <c r="G3" s="531"/>
      <c r="H3" s="531"/>
      <c r="I3" s="532">
        <v>18</v>
      </c>
      <c r="J3" s="39">
        <v>9</v>
      </c>
      <c r="K3" s="39">
        <v>7</v>
      </c>
      <c r="L3" s="39">
        <v>2</v>
      </c>
      <c r="M3" s="39">
        <v>0</v>
      </c>
      <c r="N3" s="39">
        <v>4</v>
      </c>
      <c r="O3" s="39">
        <v>3</v>
      </c>
      <c r="P3" s="39">
        <v>6</v>
      </c>
      <c r="Q3" s="39">
        <v>2</v>
      </c>
      <c r="R3" s="39">
        <v>3</v>
      </c>
      <c r="S3" s="39">
        <v>0</v>
      </c>
      <c r="T3" s="39">
        <v>669</v>
      </c>
      <c r="U3" s="39">
        <v>8</v>
      </c>
      <c r="V3" s="39">
        <v>7</v>
      </c>
      <c r="W3" s="39">
        <v>1</v>
      </c>
      <c r="X3" s="39">
        <v>96</v>
      </c>
      <c r="Y3" s="39">
        <v>12</v>
      </c>
      <c r="Z3" s="39">
        <v>11</v>
      </c>
      <c r="AA3" s="32"/>
      <c r="AB3" s="42"/>
      <c r="AC3" s="43">
        <v>12</v>
      </c>
      <c r="AD3" s="39">
        <v>0</v>
      </c>
      <c r="AE3" s="39" cm="1">
        <f t="array" ref="AE3">AC3-AD3</f>
        <v>12</v>
      </c>
      <c r="AF3" s="39">
        <v>15</v>
      </c>
      <c r="AG3" s="56" cm="1">
        <f t="array" ref="AG3">I3-AF3</f>
        <v>3</v>
      </c>
      <c r="AH3" s="56" cm="1">
        <f t="array" ref="AH3">AF3+AG3</f>
        <v>18</v>
      </c>
      <c r="AI3" s="38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</row>
    <row r="4" ht="17" customHeight="1">
      <c r="A4" t="s" s="31">
        <v>3132</v>
      </c>
      <c r="B4" t="s" s="37">
        <v>3131</v>
      </c>
      <c r="C4" s="43">
        <v>14</v>
      </c>
      <c r="D4" t="s" s="533">
        <v>3133</v>
      </c>
      <c r="E4" s="460"/>
      <c r="F4" s="39">
        <v>11</v>
      </c>
      <c r="G4" s="531"/>
      <c r="H4" s="531"/>
      <c r="I4" s="532">
        <v>62</v>
      </c>
      <c r="J4" s="39">
        <v>49</v>
      </c>
      <c r="K4" s="39">
        <v>11</v>
      </c>
      <c r="L4" s="39">
        <v>2</v>
      </c>
      <c r="M4" s="39">
        <v>0</v>
      </c>
      <c r="N4" s="39">
        <v>13</v>
      </c>
      <c r="O4" s="39">
        <v>5</v>
      </c>
      <c r="P4" s="39">
        <v>10</v>
      </c>
      <c r="Q4" s="39">
        <v>2</v>
      </c>
      <c r="R4" s="39">
        <v>6</v>
      </c>
      <c r="S4" s="39">
        <v>26</v>
      </c>
      <c r="T4" s="39">
        <v>2532</v>
      </c>
      <c r="U4" s="39">
        <v>11</v>
      </c>
      <c r="V4" s="39">
        <v>37</v>
      </c>
      <c r="W4" s="39">
        <v>12</v>
      </c>
      <c r="X4" s="39">
        <v>216</v>
      </c>
      <c r="Y4" s="39">
        <v>29</v>
      </c>
      <c r="Z4" s="39">
        <v>25</v>
      </c>
      <c r="AA4" s="32"/>
      <c r="AB4" s="32"/>
      <c r="AC4" s="43">
        <v>39</v>
      </c>
      <c r="AD4" s="39">
        <v>8</v>
      </c>
      <c r="AE4" s="39" cm="1">
        <f t="array" ref="AE4">AC4-AD4</f>
        <v>31</v>
      </c>
      <c r="AF4" s="39">
        <v>29</v>
      </c>
      <c r="AG4" s="56" cm="1">
        <f t="array" ref="AG4">I4-AF4</f>
        <v>33</v>
      </c>
      <c r="AH4" s="56" cm="1">
        <f t="array" ref="AH4">AF4+AG4</f>
        <v>62</v>
      </c>
      <c r="AI4" s="38"/>
      <c r="AJ4" t="s" s="83">
        <v>3134</v>
      </c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</row>
    <row r="5" ht="17" customHeight="1">
      <c r="A5" t="s" s="31">
        <v>465</v>
      </c>
      <c r="B5" t="s" s="37">
        <v>3131</v>
      </c>
      <c r="C5" s="43">
        <v>13</v>
      </c>
      <c r="D5" t="s" s="533">
        <v>3135</v>
      </c>
      <c r="E5" s="460"/>
      <c r="F5" s="39">
        <v>7</v>
      </c>
      <c r="G5" s="531"/>
      <c r="H5" s="531"/>
      <c r="I5" s="532">
        <v>48</v>
      </c>
      <c r="J5" s="39">
        <v>34</v>
      </c>
      <c r="K5" s="39">
        <v>14</v>
      </c>
      <c r="L5" s="39">
        <v>0</v>
      </c>
      <c r="M5" s="39">
        <v>0</v>
      </c>
      <c r="N5" s="39">
        <v>8</v>
      </c>
      <c r="O5" s="39">
        <v>5</v>
      </c>
      <c r="P5" s="39">
        <v>6</v>
      </c>
      <c r="Q5" s="39">
        <v>5</v>
      </c>
      <c r="R5" s="39">
        <v>4</v>
      </c>
      <c r="S5" s="39">
        <v>20</v>
      </c>
      <c r="T5" s="39">
        <v>1723</v>
      </c>
      <c r="U5" s="39">
        <v>10</v>
      </c>
      <c r="V5" s="39">
        <v>36</v>
      </c>
      <c r="W5" s="39">
        <v>1</v>
      </c>
      <c r="X5" s="39">
        <v>130</v>
      </c>
      <c r="Y5" s="39">
        <v>12</v>
      </c>
      <c r="Z5" s="39">
        <v>10</v>
      </c>
      <c r="AA5" s="39">
        <v>0</v>
      </c>
      <c r="AB5" s="39">
        <v>0</v>
      </c>
      <c r="AC5" s="43">
        <v>33</v>
      </c>
      <c r="AD5" s="39">
        <v>8</v>
      </c>
      <c r="AE5" s="39" cm="1">
        <f t="array" ref="AE5">AC5-AD5</f>
        <v>25</v>
      </c>
      <c r="AF5" s="39">
        <v>31</v>
      </c>
      <c r="AG5" s="56" cm="1">
        <f t="array" ref="AG5">I5-AF5</f>
        <v>17</v>
      </c>
      <c r="AH5" s="32"/>
      <c r="AI5" s="38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</row>
    <row r="6" ht="18" customHeight="1">
      <c r="A6" t="s" s="534">
        <v>3136</v>
      </c>
      <c r="B6" t="s" s="37">
        <v>3131</v>
      </c>
      <c r="C6" s="535">
        <v>4</v>
      </c>
      <c r="D6" t="s" s="533">
        <v>3137</v>
      </c>
      <c r="E6" s="460"/>
      <c r="F6" s="139">
        <v>4</v>
      </c>
      <c r="G6" s="536"/>
      <c r="H6" s="536"/>
      <c r="I6" s="537">
        <v>18</v>
      </c>
      <c r="J6" s="139">
        <v>10</v>
      </c>
      <c r="K6" s="139">
        <v>4</v>
      </c>
      <c r="L6" s="139">
        <v>0</v>
      </c>
      <c r="M6" s="139">
        <v>4</v>
      </c>
      <c r="N6" s="538">
        <v>4</v>
      </c>
      <c r="O6" s="538">
        <v>2</v>
      </c>
      <c r="P6" s="538">
        <v>1</v>
      </c>
      <c r="Q6" s="538">
        <v>4</v>
      </c>
      <c r="R6" s="538">
        <v>2</v>
      </c>
      <c r="S6" s="538">
        <v>5</v>
      </c>
      <c r="T6" s="139">
        <v>592</v>
      </c>
      <c r="U6" s="139">
        <v>5</v>
      </c>
      <c r="V6" s="139">
        <v>7</v>
      </c>
      <c r="W6" s="139">
        <v>2</v>
      </c>
      <c r="X6" s="139">
        <v>15</v>
      </c>
      <c r="Y6" s="139">
        <v>2</v>
      </c>
      <c r="Z6" s="139">
        <v>2</v>
      </c>
      <c r="AA6" s="139">
        <v>0</v>
      </c>
      <c r="AB6" s="139">
        <v>0</v>
      </c>
      <c r="AC6" s="535">
        <v>10</v>
      </c>
      <c r="AD6" s="139">
        <v>4</v>
      </c>
      <c r="AE6" s="39" cm="1">
        <f t="array" ref="AE6">AC6-AD6</f>
        <v>6</v>
      </c>
      <c r="AF6" s="139">
        <v>10</v>
      </c>
      <c r="AG6" s="56" cm="1">
        <f t="array" ref="AG6">I6-AF6</f>
        <v>8</v>
      </c>
      <c r="AH6" s="56" cm="1">
        <f t="array" ref="AH6">AF6+AG6</f>
        <v>18</v>
      </c>
      <c r="AI6" s="539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</row>
    <row r="7" ht="17.95" customHeight="1">
      <c r="A7" t="s" s="450">
        <v>685</v>
      </c>
      <c r="B7" t="s" s="57">
        <v>3131</v>
      </c>
      <c r="C7" s="540">
        <v>3</v>
      </c>
      <c r="D7" t="s" s="533">
        <v>686</v>
      </c>
      <c r="E7" s="541"/>
      <c r="F7" s="362">
        <v>2</v>
      </c>
      <c r="G7" s="542"/>
      <c r="H7" s="542"/>
      <c r="I7" s="543">
        <v>16</v>
      </c>
      <c r="J7" s="362">
        <v>8</v>
      </c>
      <c r="K7" s="362">
        <v>6</v>
      </c>
      <c r="L7" s="362">
        <v>1</v>
      </c>
      <c r="M7" s="362">
        <v>1</v>
      </c>
      <c r="N7" s="544">
        <v>2</v>
      </c>
      <c r="O7" s="544">
        <v>2</v>
      </c>
      <c r="P7" s="544">
        <v>2</v>
      </c>
      <c r="Q7" s="544">
        <v>5</v>
      </c>
      <c r="R7" s="544">
        <v>0</v>
      </c>
      <c r="S7" s="544">
        <v>5</v>
      </c>
      <c r="T7" s="362">
        <v>458</v>
      </c>
      <c r="U7" s="362">
        <v>4</v>
      </c>
      <c r="V7" s="362">
        <v>10</v>
      </c>
      <c r="W7" s="362">
        <v>0</v>
      </c>
      <c r="X7" s="362">
        <v>25</v>
      </c>
      <c r="Y7" s="362">
        <v>5</v>
      </c>
      <c r="Z7" s="362">
        <v>5</v>
      </c>
      <c r="AA7" s="362">
        <v>0</v>
      </c>
      <c r="AB7" s="362">
        <v>0</v>
      </c>
      <c r="AC7" s="362">
        <v>12</v>
      </c>
      <c r="AD7" s="540">
        <v>0</v>
      </c>
      <c r="AE7" s="545" cm="1">
        <f t="array" ref="AE7">AC7-AD7</f>
        <v>12</v>
      </c>
      <c r="AF7" s="540">
        <v>9</v>
      </c>
      <c r="AG7" s="56" cm="1">
        <f t="array" ref="AG7">I7-AF7</f>
        <v>7</v>
      </c>
      <c r="AH7" s="545" cm="1">
        <f t="array" ref="AH7">AF7+AG7</f>
        <v>16</v>
      </c>
      <c r="AI7" s="546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</row>
    <row r="8" ht="17.45" customHeight="1">
      <c r="A8" t="s" s="37">
        <v>724</v>
      </c>
      <c r="B8" t="s" s="37">
        <v>3131</v>
      </c>
      <c r="C8" s="39">
        <v>4</v>
      </c>
      <c r="D8" t="s" s="533">
        <v>726</v>
      </c>
      <c r="E8" s="460"/>
      <c r="F8" s="39">
        <v>3</v>
      </c>
      <c r="G8" s="531"/>
      <c r="H8" s="531"/>
      <c r="I8" s="532">
        <v>25</v>
      </c>
      <c r="J8" s="39">
        <v>19</v>
      </c>
      <c r="K8" s="39">
        <v>5</v>
      </c>
      <c r="L8" s="39">
        <v>1</v>
      </c>
      <c r="M8" s="39">
        <v>0</v>
      </c>
      <c r="N8" s="39">
        <v>3</v>
      </c>
      <c r="O8" s="39">
        <v>1</v>
      </c>
      <c r="P8" s="39">
        <v>0</v>
      </c>
      <c r="Q8" s="39">
        <v>0</v>
      </c>
      <c r="R8" s="39">
        <v>4</v>
      </c>
      <c r="S8" s="39">
        <v>17</v>
      </c>
      <c r="T8" s="39">
        <v>881</v>
      </c>
      <c r="U8" s="39">
        <v>4</v>
      </c>
      <c r="V8" s="39">
        <v>15</v>
      </c>
      <c r="W8" s="39">
        <v>2</v>
      </c>
      <c r="X8" s="39">
        <v>15</v>
      </c>
      <c r="Y8" s="39">
        <v>1</v>
      </c>
      <c r="Z8" s="39">
        <v>1</v>
      </c>
      <c r="AA8" s="39">
        <v>0</v>
      </c>
      <c r="AB8" s="39">
        <v>0</v>
      </c>
      <c r="AC8" s="39">
        <v>21</v>
      </c>
      <c r="AD8" s="39">
        <v>3</v>
      </c>
      <c r="AE8" s="39" cm="1">
        <f t="array" ref="AE8">AC8-AD8</f>
        <v>18</v>
      </c>
      <c r="AF8" s="39">
        <v>12</v>
      </c>
      <c r="AG8" s="56" cm="1">
        <f t="array" ref="AG8">I8-AF8</f>
        <v>13</v>
      </c>
      <c r="AH8" s="56" cm="1">
        <f t="array" ref="AH8">AF8+AG8</f>
        <v>25</v>
      </c>
      <c r="AI8" s="38"/>
      <c r="AJ8" t="s" s="83">
        <v>3138</v>
      </c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</row>
    <row r="9" ht="17.45" customHeight="1">
      <c r="A9" t="s" s="37">
        <v>767</v>
      </c>
      <c r="B9" t="s" s="37">
        <v>3131</v>
      </c>
      <c r="C9" s="39">
        <v>7</v>
      </c>
      <c r="D9" t="s" s="533">
        <v>768</v>
      </c>
      <c r="E9" s="460"/>
      <c r="F9" s="39">
        <v>14</v>
      </c>
      <c r="G9" s="532"/>
      <c r="H9" s="532"/>
      <c r="I9" s="532">
        <v>31</v>
      </c>
      <c r="J9" s="39">
        <v>24</v>
      </c>
      <c r="K9" s="39">
        <v>6</v>
      </c>
      <c r="L9" s="39">
        <v>1</v>
      </c>
      <c r="M9" s="39">
        <v>0</v>
      </c>
      <c r="N9" s="39">
        <v>6</v>
      </c>
      <c r="O9" s="39">
        <v>2</v>
      </c>
      <c r="P9" s="39">
        <v>2</v>
      </c>
      <c r="Q9" s="39">
        <v>1</v>
      </c>
      <c r="R9" s="39">
        <v>4</v>
      </c>
      <c r="S9" s="39">
        <v>16</v>
      </c>
      <c r="T9" s="39">
        <v>1177</v>
      </c>
      <c r="U9" s="39">
        <v>7</v>
      </c>
      <c r="V9" s="39">
        <v>21</v>
      </c>
      <c r="W9" s="39">
        <v>3</v>
      </c>
      <c r="X9" s="39">
        <v>60</v>
      </c>
      <c r="Y9" s="39">
        <v>4</v>
      </c>
      <c r="Z9" s="39">
        <v>3</v>
      </c>
      <c r="AA9" s="39">
        <v>0</v>
      </c>
      <c r="AB9" s="39">
        <v>0</v>
      </c>
      <c r="AC9" s="39">
        <v>22</v>
      </c>
      <c r="AD9" s="39">
        <v>4</v>
      </c>
      <c r="AE9" s="39" cm="1">
        <f t="array" ref="AE9">AC9-AD9</f>
        <v>18</v>
      </c>
      <c r="AF9" s="39">
        <v>11</v>
      </c>
      <c r="AG9" s="56" cm="1">
        <f t="array" ref="AG9">I9-AF9</f>
        <v>20</v>
      </c>
      <c r="AH9" s="56" cm="1">
        <f t="array" ref="AH9">AF9+AG9</f>
        <v>31</v>
      </c>
      <c r="AI9" s="38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</row>
    <row r="10" ht="17.45" customHeight="1">
      <c r="A10" t="s" s="37">
        <v>832</v>
      </c>
      <c r="B10" t="s" s="37">
        <v>3131</v>
      </c>
      <c r="C10" s="43">
        <v>12</v>
      </c>
      <c r="D10" t="s" s="533">
        <v>833</v>
      </c>
      <c r="E10" s="460"/>
      <c r="F10" s="39">
        <v>11</v>
      </c>
      <c r="G10" s="531"/>
      <c r="H10" s="531"/>
      <c r="I10" s="532">
        <v>55</v>
      </c>
      <c r="J10" s="39">
        <v>29</v>
      </c>
      <c r="K10" s="39">
        <v>16</v>
      </c>
      <c r="L10" s="39">
        <v>6</v>
      </c>
      <c r="M10" s="39">
        <v>4</v>
      </c>
      <c r="N10" s="39">
        <v>12</v>
      </c>
      <c r="O10" s="39">
        <v>9</v>
      </c>
      <c r="P10" s="39">
        <v>9</v>
      </c>
      <c r="Q10" s="39">
        <v>10</v>
      </c>
      <c r="R10" s="39">
        <v>1</v>
      </c>
      <c r="S10" s="39">
        <v>14</v>
      </c>
      <c r="T10" s="39">
        <v>1585</v>
      </c>
      <c r="U10" s="39">
        <v>18</v>
      </c>
      <c r="V10" s="39">
        <v>24</v>
      </c>
      <c r="W10" s="39">
        <v>2</v>
      </c>
      <c r="X10" s="39">
        <v>106</v>
      </c>
      <c r="Y10" s="39">
        <v>26</v>
      </c>
      <c r="Z10" s="39">
        <v>22</v>
      </c>
      <c r="AA10" s="39">
        <v>0</v>
      </c>
      <c r="AB10" s="39">
        <v>0</v>
      </c>
      <c r="AC10" s="39">
        <v>29</v>
      </c>
      <c r="AD10" s="39">
        <v>7</v>
      </c>
      <c r="AE10" s="39" cm="1">
        <f t="array" ref="AE10">AC10-AD10</f>
        <v>22</v>
      </c>
      <c r="AF10" s="39">
        <v>27</v>
      </c>
      <c r="AG10" s="56" cm="1">
        <f t="array" ref="AG10">I10-AF10</f>
        <v>28</v>
      </c>
      <c r="AH10" s="56" cm="1">
        <f t="array" ref="AH10">AF10+AG10</f>
        <v>55</v>
      </c>
      <c r="AI10" s="38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</row>
    <row r="11" ht="17.45" customHeight="1">
      <c r="A11" t="s" s="37">
        <v>1496</v>
      </c>
      <c r="B11" t="s" s="37">
        <v>3131</v>
      </c>
      <c r="C11" s="43">
        <v>24</v>
      </c>
      <c r="D11" t="s" s="533">
        <v>3139</v>
      </c>
      <c r="E11" s="460"/>
      <c r="F11" s="39">
        <v>20</v>
      </c>
      <c r="G11" s="531"/>
      <c r="H11" s="531"/>
      <c r="I11" s="532">
        <v>120</v>
      </c>
      <c r="J11" s="39">
        <v>69</v>
      </c>
      <c r="K11" s="39">
        <v>34</v>
      </c>
      <c r="L11" s="39">
        <v>9</v>
      </c>
      <c r="M11" s="39">
        <v>8</v>
      </c>
      <c r="N11" s="39">
        <v>22</v>
      </c>
      <c r="O11" s="39">
        <v>14</v>
      </c>
      <c r="P11" s="39">
        <v>27</v>
      </c>
      <c r="Q11" s="39">
        <v>16</v>
      </c>
      <c r="R11" s="39">
        <v>6</v>
      </c>
      <c r="S11" s="39">
        <v>35</v>
      </c>
      <c r="T11" s="39">
        <v>3745.5</v>
      </c>
      <c r="U11" s="39">
        <v>28</v>
      </c>
      <c r="V11" s="39">
        <v>86</v>
      </c>
      <c r="W11" s="39">
        <v>6</v>
      </c>
      <c r="X11" s="39">
        <v>287</v>
      </c>
      <c r="Y11" s="32"/>
      <c r="Z11" s="32"/>
      <c r="AA11" s="32"/>
      <c r="AB11" s="32"/>
      <c r="AC11" s="39">
        <v>76</v>
      </c>
      <c r="AD11" s="39">
        <v>12</v>
      </c>
      <c r="AE11" s="39" cm="1">
        <f t="array" ref="AE11">AC11-AD11</f>
        <v>64</v>
      </c>
      <c r="AF11" s="39">
        <v>74</v>
      </c>
      <c r="AG11" s="56" cm="1">
        <f t="array" ref="AG11">I11-AF11</f>
        <v>46</v>
      </c>
      <c r="AH11" s="56" cm="1">
        <f t="array" ref="AH11">AF11+AG11</f>
        <v>120</v>
      </c>
      <c r="AI11" s="38"/>
      <c r="AJ11" t="s" s="83">
        <v>3140</v>
      </c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</row>
    <row r="12" ht="17.45" customHeight="1">
      <c r="A12" t="s" s="37">
        <v>941</v>
      </c>
      <c r="B12" t="s" s="37">
        <v>3131</v>
      </c>
      <c r="C12" s="547">
        <v>4</v>
      </c>
      <c r="D12" t="s" s="37">
        <v>3141</v>
      </c>
      <c r="E12" s="460"/>
      <c r="F12" s="39">
        <v>12</v>
      </c>
      <c r="G12" s="531"/>
      <c r="H12" s="531"/>
      <c r="I12" s="532">
        <v>19</v>
      </c>
      <c r="J12" s="39">
        <v>15</v>
      </c>
      <c r="K12" s="39">
        <v>4</v>
      </c>
      <c r="L12" s="39">
        <v>0</v>
      </c>
      <c r="M12" s="39">
        <v>0</v>
      </c>
      <c r="N12" s="39">
        <v>4</v>
      </c>
      <c r="O12" s="39">
        <v>1</v>
      </c>
      <c r="P12" s="39">
        <v>1</v>
      </c>
      <c r="Q12" s="39">
        <v>0</v>
      </c>
      <c r="R12" s="39">
        <v>3</v>
      </c>
      <c r="S12" s="39">
        <v>10</v>
      </c>
      <c r="T12" s="39">
        <v>868</v>
      </c>
      <c r="U12" s="39">
        <v>2</v>
      </c>
      <c r="V12" s="39">
        <v>15</v>
      </c>
      <c r="W12" s="39">
        <v>2</v>
      </c>
      <c r="X12" s="39">
        <v>16</v>
      </c>
      <c r="Y12" s="39">
        <v>0</v>
      </c>
      <c r="Z12" s="39">
        <v>0</v>
      </c>
      <c r="AA12" s="32"/>
      <c r="AB12" s="32"/>
      <c r="AC12" s="39">
        <v>16</v>
      </c>
      <c r="AD12" s="39">
        <v>4</v>
      </c>
      <c r="AE12" s="39" cm="1">
        <f t="array" ref="AE12">AC12-AD12</f>
        <v>12</v>
      </c>
      <c r="AF12" s="39">
        <v>10</v>
      </c>
      <c r="AG12" s="56" cm="1">
        <f t="array" ref="AG12">I12-AF12</f>
        <v>9</v>
      </c>
      <c r="AH12" s="56" cm="1">
        <f t="array" ref="AH12">AF12+AG12</f>
        <v>19</v>
      </c>
      <c r="AI12" s="38"/>
      <c r="AJ12" t="s" s="83">
        <v>3142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</row>
    <row r="13" ht="17.45" customHeight="1">
      <c r="A13" t="s" s="37">
        <v>989</v>
      </c>
      <c r="B13" t="s" s="37">
        <v>3131</v>
      </c>
      <c r="C13" s="547">
        <v>1</v>
      </c>
      <c r="D13" t="s" s="37">
        <v>990</v>
      </c>
      <c r="E13" s="460"/>
      <c r="F13" s="39">
        <v>5</v>
      </c>
      <c r="G13" s="531"/>
      <c r="H13" s="531"/>
      <c r="I13" s="532">
        <v>11</v>
      </c>
      <c r="J13" s="39">
        <v>5</v>
      </c>
      <c r="K13" s="39">
        <v>1</v>
      </c>
      <c r="L13" s="39">
        <v>4</v>
      </c>
      <c r="M13" s="39">
        <v>1</v>
      </c>
      <c r="N13" s="39">
        <v>1</v>
      </c>
      <c r="O13" s="39">
        <v>1</v>
      </c>
      <c r="P13" s="39">
        <v>4</v>
      </c>
      <c r="Q13" s="39">
        <v>1</v>
      </c>
      <c r="R13" s="39">
        <v>0</v>
      </c>
      <c r="S13" s="39">
        <v>4</v>
      </c>
      <c r="T13" s="56">
        <v>224.4</v>
      </c>
      <c r="U13" s="39">
        <v>2</v>
      </c>
      <c r="V13" s="39">
        <v>9</v>
      </c>
      <c r="W13" s="39">
        <v>0</v>
      </c>
      <c r="X13" s="39">
        <v>0</v>
      </c>
      <c r="Y13" s="32"/>
      <c r="Z13" s="32"/>
      <c r="AA13" s="32"/>
      <c r="AB13" s="32"/>
      <c r="AC13" s="39">
        <v>5</v>
      </c>
      <c r="AD13" s="39">
        <v>1</v>
      </c>
      <c r="AE13" s="39" cm="1">
        <f t="array" ref="AE13">AC13-AD13</f>
        <v>4</v>
      </c>
      <c r="AF13" s="39">
        <v>8</v>
      </c>
      <c r="AG13" s="56" cm="1">
        <f t="array" ref="AG13">I13-AF13</f>
        <v>3</v>
      </c>
      <c r="AH13" s="56" cm="1">
        <f t="array" ref="AH13">AF13+AG13</f>
        <v>11</v>
      </c>
      <c r="AI13" s="38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</row>
    <row r="14" ht="17.45" customHeight="1">
      <c r="A14" t="s" s="37">
        <v>998</v>
      </c>
      <c r="B14" t="s" s="37">
        <v>3131</v>
      </c>
      <c r="C14" s="547">
        <v>4</v>
      </c>
      <c r="D14" t="s" s="37">
        <v>999</v>
      </c>
      <c r="E14" s="460"/>
      <c r="F14" s="39">
        <v>4</v>
      </c>
      <c r="G14" s="531"/>
      <c r="H14" s="531"/>
      <c r="I14" s="532">
        <v>31</v>
      </c>
      <c r="J14" s="39">
        <v>24</v>
      </c>
      <c r="K14" s="39">
        <v>7</v>
      </c>
      <c r="L14" s="39">
        <v>0</v>
      </c>
      <c r="M14" s="39">
        <v>0</v>
      </c>
      <c r="N14" s="39">
        <v>4</v>
      </c>
      <c r="O14" s="39">
        <v>3</v>
      </c>
      <c r="P14" s="39">
        <v>7</v>
      </c>
      <c r="Q14" s="39">
        <v>1</v>
      </c>
      <c r="R14" s="39">
        <v>3</v>
      </c>
      <c r="S14" s="39">
        <v>13</v>
      </c>
      <c r="T14" s="39">
        <v>1225</v>
      </c>
      <c r="U14" s="545">
        <v>9</v>
      </c>
      <c r="V14" s="548">
        <v>21</v>
      </c>
      <c r="W14" s="39">
        <v>1</v>
      </c>
      <c r="X14" s="39">
        <v>135</v>
      </c>
      <c r="Y14" s="32"/>
      <c r="Z14" s="32"/>
      <c r="AA14" s="32"/>
      <c r="AB14" s="32"/>
      <c r="AC14" s="39">
        <v>17</v>
      </c>
      <c r="AD14" s="39">
        <v>4</v>
      </c>
      <c r="AE14" s="39" cm="1">
        <f t="array" ref="AE14">AC14-AD14</f>
        <v>13</v>
      </c>
      <c r="AF14" s="39">
        <v>16</v>
      </c>
      <c r="AG14" s="56" cm="1">
        <f t="array" ref="AG14">I14-AF14</f>
        <v>15</v>
      </c>
      <c r="AH14" s="56" cm="1">
        <f t="array" ref="AH14">AF14+AG14</f>
        <v>31</v>
      </c>
      <c r="AI14" s="38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</row>
    <row r="15" ht="17.45" customHeight="1">
      <c r="A15" t="s" s="37">
        <v>3143</v>
      </c>
      <c r="B15" t="s" s="37">
        <v>3131</v>
      </c>
      <c r="C15" s="547">
        <v>18</v>
      </c>
      <c r="D15" t="s" s="37">
        <v>3144</v>
      </c>
      <c r="E15" s="460"/>
      <c r="F15" s="39">
        <v>15</v>
      </c>
      <c r="G15" s="531"/>
      <c r="H15" s="531"/>
      <c r="I15" s="532">
        <v>114</v>
      </c>
      <c r="J15" s="39">
        <v>74</v>
      </c>
      <c r="K15" s="39">
        <v>23</v>
      </c>
      <c r="L15" s="39">
        <v>9</v>
      </c>
      <c r="M15" s="39">
        <v>8</v>
      </c>
      <c r="N15" s="39">
        <v>16</v>
      </c>
      <c r="O15" s="39">
        <v>11</v>
      </c>
      <c r="P15" s="39">
        <v>10</v>
      </c>
      <c r="Q15" s="39">
        <v>12</v>
      </c>
      <c r="R15" s="39">
        <v>6</v>
      </c>
      <c r="S15" s="39">
        <v>59</v>
      </c>
      <c r="T15" s="39">
        <v>3282</v>
      </c>
      <c r="U15" s="39">
        <v>21</v>
      </c>
      <c r="V15" s="39">
        <v>71</v>
      </c>
      <c r="W15" s="39">
        <v>5</v>
      </c>
      <c r="X15" s="39">
        <v>41</v>
      </c>
      <c r="Y15" s="39">
        <v>8</v>
      </c>
      <c r="Z15" s="39">
        <v>8</v>
      </c>
      <c r="AA15" s="39">
        <v>0</v>
      </c>
      <c r="AB15" s="39">
        <v>0</v>
      </c>
      <c r="AC15" s="39">
        <v>81</v>
      </c>
      <c r="AD15" s="39">
        <v>14</v>
      </c>
      <c r="AE15" s="39" cm="1">
        <f t="array" ref="AE15">AC15-AD15</f>
        <v>67</v>
      </c>
      <c r="AF15" s="39">
        <v>61</v>
      </c>
      <c r="AG15" s="56" cm="1">
        <f t="array" ref="AG15">I15-AF15</f>
        <v>53</v>
      </c>
      <c r="AH15" s="56" cm="1">
        <f t="array" ref="AH15">AF15+AG15</f>
        <v>114</v>
      </c>
      <c r="AI15" s="38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</row>
    <row r="16" ht="17.45" customHeight="1">
      <c r="A16" t="s" s="37">
        <v>1099</v>
      </c>
      <c r="B16" t="s" s="37">
        <v>3131</v>
      </c>
      <c r="C16" s="547">
        <v>6</v>
      </c>
      <c r="D16" t="s" s="37">
        <v>3145</v>
      </c>
      <c r="E16" s="460"/>
      <c r="F16" s="39">
        <v>4</v>
      </c>
      <c r="G16" s="531"/>
      <c r="H16" s="531"/>
      <c r="I16" s="532">
        <v>35</v>
      </c>
      <c r="J16" s="39">
        <v>25</v>
      </c>
      <c r="K16" s="39">
        <v>10</v>
      </c>
      <c r="L16" s="39">
        <v>0</v>
      </c>
      <c r="M16" s="39">
        <v>0</v>
      </c>
      <c r="N16" s="39">
        <v>5</v>
      </c>
      <c r="O16" s="39">
        <v>4</v>
      </c>
      <c r="P16" s="39">
        <v>4</v>
      </c>
      <c r="Q16" s="39">
        <v>5</v>
      </c>
      <c r="R16" s="39">
        <v>1</v>
      </c>
      <c r="S16" s="39">
        <v>16</v>
      </c>
      <c r="T16" s="39">
        <v>1416</v>
      </c>
      <c r="U16" s="39">
        <v>7</v>
      </c>
      <c r="V16" s="39">
        <v>21</v>
      </c>
      <c r="W16" s="39">
        <v>3</v>
      </c>
      <c r="X16" s="39">
        <v>129</v>
      </c>
      <c r="Y16" s="39">
        <v>8</v>
      </c>
      <c r="Z16" s="39">
        <v>8</v>
      </c>
      <c r="AA16" s="39">
        <v>0</v>
      </c>
      <c r="AB16" s="39">
        <v>0</v>
      </c>
      <c r="AC16" s="39">
        <v>24</v>
      </c>
      <c r="AD16" s="39">
        <v>4</v>
      </c>
      <c r="AE16" s="39" cm="1">
        <f t="array" ref="AE16">AC16-AD16</f>
        <v>20</v>
      </c>
      <c r="AF16" s="39">
        <v>14</v>
      </c>
      <c r="AG16" s="56" cm="1">
        <f t="array" ref="AG16">I16-AF16</f>
        <v>21</v>
      </c>
      <c r="AH16" s="56" cm="1">
        <f t="array" ref="AH16">AF16+AG16</f>
        <v>35</v>
      </c>
      <c r="AI16" s="38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</row>
    <row r="17" ht="17.45" customHeight="1">
      <c r="A17" t="s" s="37">
        <v>3146</v>
      </c>
      <c r="B17" t="s" s="37">
        <v>3131</v>
      </c>
      <c r="C17" s="547">
        <v>11</v>
      </c>
      <c r="D17" t="s" s="37">
        <v>3147</v>
      </c>
      <c r="E17" s="460"/>
      <c r="F17" s="39">
        <v>7</v>
      </c>
      <c r="G17" s="531"/>
      <c r="H17" s="531"/>
      <c r="I17" s="532">
        <v>55</v>
      </c>
      <c r="J17" s="39">
        <v>44</v>
      </c>
      <c r="K17" s="39">
        <v>9</v>
      </c>
      <c r="L17" s="39">
        <v>2</v>
      </c>
      <c r="M17" s="39">
        <v>0</v>
      </c>
      <c r="N17" s="39">
        <v>9</v>
      </c>
      <c r="O17" s="39">
        <v>4</v>
      </c>
      <c r="P17" s="39">
        <v>5</v>
      </c>
      <c r="Q17" s="39">
        <v>3</v>
      </c>
      <c r="R17" s="39">
        <v>11</v>
      </c>
      <c r="S17" s="39">
        <v>23</v>
      </c>
      <c r="T17" s="39">
        <v>2047</v>
      </c>
      <c r="U17" s="39">
        <v>8</v>
      </c>
      <c r="V17" s="39">
        <v>38</v>
      </c>
      <c r="W17" s="39">
        <v>1</v>
      </c>
      <c r="X17" s="39">
        <v>77</v>
      </c>
      <c r="Y17" s="39">
        <v>21</v>
      </c>
      <c r="Z17" s="39">
        <v>19</v>
      </c>
      <c r="AA17" s="39">
        <v>0</v>
      </c>
      <c r="AB17" s="39">
        <v>0</v>
      </c>
      <c r="AC17" s="39">
        <v>37</v>
      </c>
      <c r="AD17" s="39">
        <v>5</v>
      </c>
      <c r="AE17" s="39" cm="1">
        <f t="array" ref="AE17">AC17-AD17</f>
        <v>32</v>
      </c>
      <c r="AF17" s="39">
        <v>28</v>
      </c>
      <c r="AG17" s="56" cm="1">
        <f t="array" ref="AG17">I17-AF17</f>
        <v>27</v>
      </c>
      <c r="AH17" s="56" cm="1">
        <f t="array" ref="AH17">AF17+AG17</f>
        <v>55</v>
      </c>
      <c r="AI17" s="38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</row>
    <row r="18" ht="17.45" customHeight="1">
      <c r="A18" t="s" s="37">
        <v>1229</v>
      </c>
      <c r="B18" t="s" s="37">
        <v>3131</v>
      </c>
      <c r="C18" s="547">
        <v>3</v>
      </c>
      <c r="D18" t="s" s="37">
        <v>3148</v>
      </c>
      <c r="E18" s="460"/>
      <c r="F18" s="39">
        <v>3</v>
      </c>
      <c r="G18" s="531"/>
      <c r="H18" s="531"/>
      <c r="I18" s="532">
        <v>14</v>
      </c>
      <c r="J18" s="39">
        <v>9</v>
      </c>
      <c r="K18" s="39">
        <v>3</v>
      </c>
      <c r="L18" s="39">
        <v>1</v>
      </c>
      <c r="M18" s="39">
        <v>1</v>
      </c>
      <c r="N18" s="39">
        <v>3</v>
      </c>
      <c r="O18" s="39">
        <v>1</v>
      </c>
      <c r="P18" s="39">
        <v>2</v>
      </c>
      <c r="Q18" s="39">
        <v>0</v>
      </c>
      <c r="R18" s="39">
        <v>3</v>
      </c>
      <c r="S18" s="39">
        <v>5</v>
      </c>
      <c r="T18" s="39">
        <v>391</v>
      </c>
      <c r="U18" s="39">
        <v>3</v>
      </c>
      <c r="V18" s="39">
        <v>9</v>
      </c>
      <c r="W18" s="39">
        <v>2</v>
      </c>
      <c r="X18" s="39">
        <v>3</v>
      </c>
      <c r="Y18" s="39">
        <v>2</v>
      </c>
      <c r="Z18" s="39">
        <v>2</v>
      </c>
      <c r="AA18" s="32"/>
      <c r="AB18" s="39">
        <v>0</v>
      </c>
      <c r="AC18" s="39">
        <v>7</v>
      </c>
      <c r="AD18" s="39">
        <v>2</v>
      </c>
      <c r="AE18" s="39" cm="1">
        <f t="array" ref="AE18">AC18-AD18</f>
        <v>5</v>
      </c>
      <c r="AF18" s="39">
        <v>6</v>
      </c>
      <c r="AG18" s="56" cm="1">
        <f t="array" ref="AG18">I18-AF18</f>
        <v>8</v>
      </c>
      <c r="AH18" s="56" cm="1">
        <f t="array" ref="AH18">AF18+AG18</f>
        <v>14</v>
      </c>
      <c r="AI18" s="38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</row>
    <row r="19" ht="15.35" customHeight="1">
      <c r="A19" t="s" s="37">
        <v>1251</v>
      </c>
      <c r="B19" t="s" s="37">
        <v>3131</v>
      </c>
      <c r="C19" s="39">
        <v>27</v>
      </c>
      <c r="D19" t="s" s="37">
        <v>1252</v>
      </c>
      <c r="E19" s="460"/>
      <c r="F19" s="39">
        <v>16</v>
      </c>
      <c r="G19" s="531"/>
      <c r="H19" s="531"/>
      <c r="I19" s="532">
        <v>145</v>
      </c>
      <c r="J19" s="39">
        <v>102</v>
      </c>
      <c r="K19" s="39">
        <v>28</v>
      </c>
      <c r="L19" s="39">
        <v>8</v>
      </c>
      <c r="M19" s="39">
        <v>7</v>
      </c>
      <c r="N19" s="39">
        <v>25</v>
      </c>
      <c r="O19" s="39">
        <v>15</v>
      </c>
      <c r="P19" s="39">
        <v>24</v>
      </c>
      <c r="Q19" s="39">
        <v>14</v>
      </c>
      <c r="R19" s="39">
        <v>10</v>
      </c>
      <c r="S19" s="39">
        <v>57</v>
      </c>
      <c r="T19" s="39">
        <v>5194</v>
      </c>
      <c r="U19" s="39">
        <v>30</v>
      </c>
      <c r="V19" s="39">
        <v>97</v>
      </c>
      <c r="W19" s="39">
        <v>4</v>
      </c>
      <c r="X19" s="39">
        <v>403</v>
      </c>
      <c r="Y19" s="39">
        <v>53</v>
      </c>
      <c r="Z19" s="39">
        <v>45</v>
      </c>
      <c r="AA19" s="39">
        <v>0</v>
      </c>
      <c r="AB19" s="39">
        <v>0</v>
      </c>
      <c r="AC19" s="39">
        <v>83</v>
      </c>
      <c r="AD19" s="39">
        <v>18</v>
      </c>
      <c r="AE19" s="39" cm="1">
        <f t="array" ref="AE19">AC19-AD19</f>
        <v>65</v>
      </c>
      <c r="AF19" s="39">
        <v>72</v>
      </c>
      <c r="AG19" s="56" cm="1">
        <f t="array" ref="AG19">I19-AF19</f>
        <v>73</v>
      </c>
      <c r="AH19" s="56" cm="1">
        <f t="array" ref="AH19">AF19+AG19</f>
        <v>145</v>
      </c>
      <c r="AI19" s="38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</row>
    <row r="20" ht="15.35" customHeight="1">
      <c r="A20" t="s" s="37">
        <v>3149</v>
      </c>
      <c r="B20" t="s" s="37">
        <v>3131</v>
      </c>
      <c r="C20" s="39">
        <v>1</v>
      </c>
      <c r="D20" t="s" s="37">
        <v>3150</v>
      </c>
      <c r="E20" s="460"/>
      <c r="F20" s="39">
        <v>1</v>
      </c>
      <c r="G20" s="531"/>
      <c r="H20" s="531"/>
      <c r="I20" s="532">
        <v>3</v>
      </c>
      <c r="J20" s="39">
        <v>2</v>
      </c>
      <c r="K20" s="39">
        <v>1</v>
      </c>
      <c r="L20" s="39">
        <v>0</v>
      </c>
      <c r="M20" s="39">
        <v>0</v>
      </c>
      <c r="N20" s="39">
        <v>0</v>
      </c>
      <c r="O20" s="39">
        <v>0</v>
      </c>
      <c r="P20" s="39">
        <v>1</v>
      </c>
      <c r="Q20" s="39">
        <v>0</v>
      </c>
      <c r="R20" s="39">
        <v>0</v>
      </c>
      <c r="S20" s="39">
        <v>2</v>
      </c>
      <c r="T20" s="39">
        <v>158</v>
      </c>
      <c r="U20" s="39">
        <v>2</v>
      </c>
      <c r="V20" s="39">
        <v>1</v>
      </c>
      <c r="W20" s="39">
        <v>0</v>
      </c>
      <c r="X20" s="39">
        <v>15</v>
      </c>
      <c r="Y20" s="39">
        <v>0</v>
      </c>
      <c r="Z20" s="39">
        <v>0</v>
      </c>
      <c r="AA20" s="39">
        <v>0</v>
      </c>
      <c r="AB20" s="39">
        <v>0</v>
      </c>
      <c r="AC20" s="39">
        <v>2</v>
      </c>
      <c r="AD20" s="39">
        <v>0</v>
      </c>
      <c r="AE20" s="39" cm="1">
        <f t="array" ref="AE20">AC20-AD20</f>
        <v>2</v>
      </c>
      <c r="AF20" s="39">
        <v>1</v>
      </c>
      <c r="AG20" s="56" cm="1">
        <f t="array" ref="AG20">I20-AF20</f>
        <v>2</v>
      </c>
      <c r="AH20" s="56" cm="1">
        <f t="array" ref="AH20">AF20+AG20</f>
        <v>3</v>
      </c>
      <c r="AI20" s="38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</row>
    <row r="21" ht="15.35" customHeight="1">
      <c r="A21" t="s" s="37">
        <v>1670</v>
      </c>
      <c r="B21" t="s" s="37">
        <v>3131</v>
      </c>
      <c r="C21" s="39">
        <v>4</v>
      </c>
      <c r="D21" t="s" s="37">
        <v>3151</v>
      </c>
      <c r="E21" s="460"/>
      <c r="F21" s="39">
        <v>5</v>
      </c>
      <c r="G21" s="531"/>
      <c r="H21" s="531"/>
      <c r="I21" s="532">
        <v>27</v>
      </c>
      <c r="J21" s="39">
        <v>17</v>
      </c>
      <c r="K21" s="39">
        <v>4</v>
      </c>
      <c r="L21" s="39">
        <v>4</v>
      </c>
      <c r="M21" s="39">
        <v>2</v>
      </c>
      <c r="N21" s="39">
        <v>4</v>
      </c>
      <c r="O21" s="39">
        <v>4</v>
      </c>
      <c r="P21" s="39">
        <v>10</v>
      </c>
      <c r="Q21" s="39">
        <v>2</v>
      </c>
      <c r="R21" s="39">
        <v>0</v>
      </c>
      <c r="S21" s="39">
        <v>7</v>
      </c>
      <c r="T21" s="39">
        <v>788</v>
      </c>
      <c r="U21" s="39">
        <v>8</v>
      </c>
      <c r="V21" s="39">
        <v>13</v>
      </c>
      <c r="W21" s="39">
        <v>0</v>
      </c>
      <c r="X21" s="39">
        <v>88</v>
      </c>
      <c r="Y21" s="39">
        <v>15</v>
      </c>
      <c r="Z21" s="39">
        <v>14</v>
      </c>
      <c r="AA21" s="39">
        <v>0</v>
      </c>
      <c r="AB21" s="39">
        <v>0</v>
      </c>
      <c r="AC21" s="39">
        <v>11</v>
      </c>
      <c r="AD21" s="39">
        <v>4</v>
      </c>
      <c r="AE21" s="39" cm="1">
        <f t="array" ref="AE21">AC21-AD21</f>
        <v>7</v>
      </c>
      <c r="AF21" s="39">
        <v>9</v>
      </c>
      <c r="AG21" s="56" cm="1">
        <f t="array" ref="AG21">I21-AF21</f>
        <v>18</v>
      </c>
      <c r="AH21" s="56" cm="1">
        <f t="array" ref="AH21">AF21+AG21</f>
        <v>27</v>
      </c>
      <c r="AI21" s="38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</row>
    <row r="22" ht="15.35" customHeight="1">
      <c r="A22" t="s" s="549">
        <v>1713</v>
      </c>
      <c r="B22" t="s" s="57">
        <v>3131</v>
      </c>
      <c r="C22" s="548">
        <v>5</v>
      </c>
      <c r="D22" t="s" s="37">
        <v>1714</v>
      </c>
      <c r="E22" s="460"/>
      <c r="F22" s="550">
        <v>6</v>
      </c>
      <c r="G22" s="551"/>
      <c r="H22" s="551"/>
      <c r="I22" s="552">
        <v>30</v>
      </c>
      <c r="J22" s="553">
        <v>13</v>
      </c>
      <c r="K22" s="553">
        <v>11</v>
      </c>
      <c r="L22" s="553">
        <v>3</v>
      </c>
      <c r="M22" s="553">
        <v>3</v>
      </c>
      <c r="N22" s="553">
        <v>5</v>
      </c>
      <c r="O22" s="553">
        <v>3</v>
      </c>
      <c r="P22" s="553">
        <v>6</v>
      </c>
      <c r="Q22" s="553">
        <v>2</v>
      </c>
      <c r="R22" s="553">
        <v>11</v>
      </c>
      <c r="S22" s="553">
        <v>3</v>
      </c>
      <c r="T22" s="553">
        <v>905</v>
      </c>
      <c r="U22" s="553">
        <v>7</v>
      </c>
      <c r="V22" s="553">
        <v>20</v>
      </c>
      <c r="W22" s="553">
        <v>3</v>
      </c>
      <c r="X22" s="553">
        <v>107</v>
      </c>
      <c r="Y22" s="553">
        <v>26</v>
      </c>
      <c r="Z22" s="553">
        <v>20</v>
      </c>
      <c r="AA22" s="553">
        <v>0</v>
      </c>
      <c r="AB22" s="553">
        <v>0</v>
      </c>
      <c r="AC22" s="553">
        <v>19</v>
      </c>
      <c r="AD22" s="554">
        <v>4</v>
      </c>
      <c r="AE22" s="545" cm="1">
        <f t="array" ref="AE22">AC22-AD22</f>
        <v>15</v>
      </c>
      <c r="AF22" s="554">
        <v>12</v>
      </c>
      <c r="AG22" s="56" cm="1">
        <f t="array" ref="AG22">I22-AF22</f>
        <v>18</v>
      </c>
      <c r="AH22" s="56" cm="1">
        <f t="array" ref="AH22">AF22+AG22</f>
        <v>30</v>
      </c>
      <c r="AI22" s="38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83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</row>
    <row r="23" ht="17.45" customHeight="1">
      <c r="A23" t="s" s="450">
        <v>1759</v>
      </c>
      <c r="B23" t="s" s="37">
        <v>3131</v>
      </c>
      <c r="C23" s="545">
        <v>20</v>
      </c>
      <c r="D23" t="s" s="555">
        <v>1760</v>
      </c>
      <c r="E23" s="122"/>
      <c r="F23" s="362">
        <v>20</v>
      </c>
      <c r="G23" s="542"/>
      <c r="H23" s="542"/>
      <c r="I23" s="543">
        <v>100</v>
      </c>
      <c r="J23" s="362">
        <v>53</v>
      </c>
      <c r="K23" s="362">
        <v>32</v>
      </c>
      <c r="L23" s="362">
        <v>8</v>
      </c>
      <c r="M23" s="362">
        <v>7</v>
      </c>
      <c r="N23" s="362">
        <v>21</v>
      </c>
      <c r="O23" s="362">
        <v>11</v>
      </c>
      <c r="P23" s="362">
        <v>23</v>
      </c>
      <c r="Q23" s="362">
        <v>18</v>
      </c>
      <c r="R23" s="362">
        <v>15</v>
      </c>
      <c r="S23" s="362">
        <v>12</v>
      </c>
      <c r="T23" s="362">
        <v>3340</v>
      </c>
      <c r="U23" s="362">
        <v>25</v>
      </c>
      <c r="V23" s="362">
        <v>49</v>
      </c>
      <c r="W23" s="362">
        <v>11</v>
      </c>
      <c r="X23" s="362">
        <v>321</v>
      </c>
      <c r="Y23" s="362">
        <v>48</v>
      </c>
      <c r="Z23" s="362">
        <v>40</v>
      </c>
      <c r="AA23" s="362">
        <v>0</v>
      </c>
      <c r="AB23" s="362">
        <v>0</v>
      </c>
      <c r="AC23" s="362">
        <v>55</v>
      </c>
      <c r="AD23" s="540">
        <v>7</v>
      </c>
      <c r="AE23" s="545" cm="1">
        <f t="array" ref="AE23">AC23-AD23</f>
        <v>48</v>
      </c>
      <c r="AF23" s="540">
        <v>62</v>
      </c>
      <c r="AG23" s="56" cm="1">
        <f t="array" ref="AG23">I23-AF23</f>
        <v>38</v>
      </c>
      <c r="AH23" s="56" cm="1">
        <f t="array" ref="AH23">AF23+AG23</f>
        <v>100</v>
      </c>
      <c r="AI23" s="38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121"/>
      <c r="AY23" s="121"/>
      <c r="AZ23" s="121"/>
      <c r="BA23" s="121"/>
      <c r="BB23" s="121"/>
      <c r="BC23" t="s" s="83">
        <v>723</v>
      </c>
      <c r="BD23" s="30"/>
      <c r="BE23" s="112">
        <v>20</v>
      </c>
      <c r="BF23" t="s" s="83">
        <v>1760</v>
      </c>
      <c r="BG23" s="112">
        <v>42</v>
      </c>
      <c r="BH23" s="112">
        <v>100</v>
      </c>
      <c r="BI23" s="112">
        <v>53</v>
      </c>
      <c r="BJ23" s="112">
        <v>32</v>
      </c>
      <c r="BK23" s="112">
        <v>8</v>
      </c>
      <c r="BL23" s="112">
        <v>7</v>
      </c>
      <c r="BM23" s="112">
        <v>21</v>
      </c>
      <c r="BN23" s="112">
        <v>11</v>
      </c>
      <c r="BO23" s="112">
        <v>23</v>
      </c>
      <c r="BP23" s="112">
        <v>18</v>
      </c>
      <c r="BQ23" s="112">
        <v>15</v>
      </c>
      <c r="BR23" s="112">
        <v>12</v>
      </c>
      <c r="BS23" s="112">
        <v>3339</v>
      </c>
      <c r="BT23" s="112">
        <v>25</v>
      </c>
    </row>
    <row r="24" ht="17.45" customHeight="1">
      <c r="A24" t="s" s="370">
        <v>1913</v>
      </c>
      <c r="B24" t="s" s="37">
        <v>3131</v>
      </c>
      <c r="C24" s="39">
        <v>16</v>
      </c>
      <c r="D24" t="s" s="556">
        <v>1914</v>
      </c>
      <c r="E24" s="16"/>
      <c r="F24" s="557">
        <v>11</v>
      </c>
      <c r="G24" s="558"/>
      <c r="H24" s="558"/>
      <c r="I24" s="559">
        <v>85</v>
      </c>
      <c r="J24" s="560">
        <v>46</v>
      </c>
      <c r="K24" s="560">
        <v>21</v>
      </c>
      <c r="L24" s="560">
        <v>13</v>
      </c>
      <c r="M24" s="560">
        <v>5</v>
      </c>
      <c r="N24" s="560">
        <v>16</v>
      </c>
      <c r="O24" s="560">
        <v>12</v>
      </c>
      <c r="P24" s="560">
        <v>16</v>
      </c>
      <c r="Q24" s="560">
        <v>8</v>
      </c>
      <c r="R24" s="560">
        <v>12</v>
      </c>
      <c r="S24" s="560">
        <v>21</v>
      </c>
      <c r="T24" s="560">
        <v>2573</v>
      </c>
      <c r="U24" s="560">
        <v>26</v>
      </c>
      <c r="V24" s="560">
        <v>37</v>
      </c>
      <c r="W24" s="560">
        <v>4</v>
      </c>
      <c r="X24" s="560">
        <v>255</v>
      </c>
      <c r="Y24" s="560">
        <v>40</v>
      </c>
      <c r="Z24" s="560">
        <v>34</v>
      </c>
      <c r="AA24" s="560">
        <v>0</v>
      </c>
      <c r="AB24" s="560">
        <v>0</v>
      </c>
      <c r="AC24" s="560">
        <v>39</v>
      </c>
      <c r="AD24" s="561">
        <v>4</v>
      </c>
      <c r="AE24" s="39" cm="1">
        <f t="array" ref="AE24">AC24-AD24</f>
        <v>35</v>
      </c>
      <c r="AF24" s="39">
        <v>35</v>
      </c>
      <c r="AG24" s="56" cm="1">
        <f t="array" ref="AG24">I24-AF24</f>
        <v>50</v>
      </c>
      <c r="AH24" s="56" cm="1">
        <f t="array" ref="AH24">AF24+AG24</f>
        <v>85</v>
      </c>
      <c r="AI24" s="562">
        <v>124</v>
      </c>
      <c r="AJ24" s="112" cm="1">
        <f t="array" ref="AJ24">AI24/C24</f>
        <v>7.75</v>
      </c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121"/>
      <c r="AY24" s="121"/>
      <c r="AZ24" s="121"/>
      <c r="BA24" s="121"/>
      <c r="BB24" s="121"/>
      <c r="BC24" s="83"/>
      <c r="BD24" s="30"/>
      <c r="BE24" s="30"/>
      <c r="BF24" s="83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</row>
    <row r="25" ht="17.45" customHeight="1">
      <c r="A25" t="s" s="370">
        <v>2055</v>
      </c>
      <c r="B25" t="s" s="37">
        <v>3131</v>
      </c>
      <c r="C25" s="39">
        <v>4</v>
      </c>
      <c r="D25" t="s" s="556">
        <v>2056</v>
      </c>
      <c r="E25" s="16"/>
      <c r="F25" s="557">
        <v>3</v>
      </c>
      <c r="G25" s="558"/>
      <c r="H25" s="558"/>
      <c r="I25" s="559">
        <v>17</v>
      </c>
      <c r="J25" s="560">
        <v>9</v>
      </c>
      <c r="K25" s="560">
        <v>6</v>
      </c>
      <c r="L25" s="560">
        <v>0</v>
      </c>
      <c r="M25" s="560">
        <v>2</v>
      </c>
      <c r="N25" s="560">
        <v>3</v>
      </c>
      <c r="O25" s="560">
        <v>3</v>
      </c>
      <c r="P25" s="560">
        <v>0</v>
      </c>
      <c r="Q25" s="560">
        <v>5</v>
      </c>
      <c r="R25" s="560">
        <v>0</v>
      </c>
      <c r="S25" s="560">
        <v>6</v>
      </c>
      <c r="T25" s="560">
        <v>539</v>
      </c>
      <c r="U25" s="560">
        <v>6</v>
      </c>
      <c r="V25" s="560">
        <v>9</v>
      </c>
      <c r="W25" s="560">
        <v>0</v>
      </c>
      <c r="X25" s="560">
        <v>61</v>
      </c>
      <c r="Y25" s="560">
        <v>6</v>
      </c>
      <c r="Z25" s="560">
        <v>5</v>
      </c>
      <c r="AA25" s="563"/>
      <c r="AB25" s="563"/>
      <c r="AC25" s="560">
        <v>12</v>
      </c>
      <c r="AD25" s="561">
        <v>2</v>
      </c>
      <c r="AE25" s="39" cm="1">
        <f t="array" ref="AE25">AC25-AD25</f>
        <v>10</v>
      </c>
      <c r="AF25" s="39">
        <v>8</v>
      </c>
      <c r="AG25" s="56" cm="1">
        <f t="array" ref="AG25">I25-AF25</f>
        <v>9</v>
      </c>
      <c r="AH25" s="56" cm="1">
        <f t="array" ref="AH25">AF25+AG25</f>
        <v>17</v>
      </c>
      <c r="AI25" s="562">
        <v>37</v>
      </c>
      <c r="AJ25" s="112" cm="1">
        <f t="array" ref="AJ25">AI25/C25</f>
        <v>9.25</v>
      </c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121"/>
      <c r="AY25" s="121"/>
      <c r="AZ25" s="121"/>
      <c r="BA25" s="121"/>
      <c r="BB25" s="121"/>
      <c r="BC25" s="83"/>
      <c r="BD25" s="30"/>
      <c r="BE25" s="30"/>
      <c r="BF25" s="83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</row>
    <row r="26" ht="17.45" customHeight="1">
      <c r="A26" t="s" s="370">
        <v>2079</v>
      </c>
      <c r="B26" t="s" s="37">
        <v>3131</v>
      </c>
      <c r="C26" s="39">
        <v>15</v>
      </c>
      <c r="D26" t="s" s="556">
        <v>2080</v>
      </c>
      <c r="E26" s="16"/>
      <c r="F26" s="557">
        <v>11</v>
      </c>
      <c r="G26" s="558"/>
      <c r="H26" s="558"/>
      <c r="I26" s="559">
        <v>72</v>
      </c>
      <c r="J26" s="560">
        <v>54</v>
      </c>
      <c r="K26" s="560">
        <v>14</v>
      </c>
      <c r="L26" s="560">
        <v>2</v>
      </c>
      <c r="M26" s="560">
        <v>2</v>
      </c>
      <c r="N26" s="560">
        <v>17</v>
      </c>
      <c r="O26" s="560">
        <v>9</v>
      </c>
      <c r="P26" s="560">
        <v>3</v>
      </c>
      <c r="Q26" s="560">
        <v>2</v>
      </c>
      <c r="R26" s="560">
        <v>7</v>
      </c>
      <c r="S26" s="560">
        <v>34</v>
      </c>
      <c r="T26" s="560">
        <v>2577</v>
      </c>
      <c r="U26" s="560">
        <v>18</v>
      </c>
      <c r="V26" s="560">
        <v>46</v>
      </c>
      <c r="W26" s="560">
        <v>4</v>
      </c>
      <c r="X26" s="560">
        <v>0</v>
      </c>
      <c r="Y26" s="560">
        <v>0</v>
      </c>
      <c r="Z26" s="560">
        <v>0</v>
      </c>
      <c r="AA26" s="560">
        <v>0</v>
      </c>
      <c r="AB26" s="560">
        <v>0</v>
      </c>
      <c r="AC26" s="560">
        <v>46</v>
      </c>
      <c r="AD26" s="561">
        <v>0</v>
      </c>
      <c r="AE26" s="39" cm="1">
        <f t="array" ref="AE26">AC26-AD26</f>
        <v>46</v>
      </c>
      <c r="AF26" s="39">
        <v>32</v>
      </c>
      <c r="AG26" s="56" cm="1">
        <f t="array" ref="AG26">I26-AF26</f>
        <v>40</v>
      </c>
      <c r="AH26" s="56" cm="1">
        <f t="array" ref="AH26">AF26+AG26</f>
        <v>72</v>
      </c>
      <c r="AI26" s="564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121"/>
      <c r="AY26" s="121"/>
      <c r="AZ26" s="121"/>
      <c r="BA26" s="121"/>
      <c r="BB26" s="121"/>
      <c r="BC26" s="83"/>
      <c r="BD26" s="30"/>
      <c r="BE26" s="30"/>
      <c r="BF26" s="83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</row>
    <row r="27" ht="17.45" customHeight="1">
      <c r="A27" t="s" s="370">
        <v>2208</v>
      </c>
      <c r="B27" t="s" s="37">
        <v>3131</v>
      </c>
      <c r="C27" s="39">
        <v>15</v>
      </c>
      <c r="D27" t="s" s="556">
        <v>2206</v>
      </c>
      <c r="E27" s="16"/>
      <c r="F27" s="557">
        <v>11</v>
      </c>
      <c r="G27" s="558"/>
      <c r="H27" s="558"/>
      <c r="I27" s="559">
        <v>68</v>
      </c>
      <c r="J27" s="560">
        <v>41</v>
      </c>
      <c r="K27" s="560">
        <v>18</v>
      </c>
      <c r="L27" s="560">
        <v>6</v>
      </c>
      <c r="M27" s="560">
        <v>3</v>
      </c>
      <c r="N27" s="560">
        <v>17</v>
      </c>
      <c r="O27" s="560">
        <v>5</v>
      </c>
      <c r="P27" s="560">
        <v>6</v>
      </c>
      <c r="Q27" s="560">
        <v>5</v>
      </c>
      <c r="R27" s="560">
        <v>6</v>
      </c>
      <c r="S27" s="560">
        <v>29</v>
      </c>
      <c r="T27" s="560">
        <v>2163</v>
      </c>
      <c r="U27" s="560">
        <v>15</v>
      </c>
      <c r="V27" s="560">
        <v>38</v>
      </c>
      <c r="W27" s="560">
        <v>6</v>
      </c>
      <c r="X27" s="560">
        <v>0</v>
      </c>
      <c r="Y27" s="560">
        <v>0</v>
      </c>
      <c r="Z27" s="560">
        <v>0</v>
      </c>
      <c r="AA27" s="560">
        <v>0</v>
      </c>
      <c r="AB27" s="560">
        <v>0</v>
      </c>
      <c r="AC27" s="560">
        <v>45</v>
      </c>
      <c r="AD27" s="561">
        <v>0</v>
      </c>
      <c r="AE27" s="39" cm="1">
        <f t="array" ref="AE27">AC27-AD27</f>
        <v>45</v>
      </c>
      <c r="AF27" s="39">
        <v>42</v>
      </c>
      <c r="AG27" s="56" cm="1">
        <f t="array" ref="AG27">I27-AF27</f>
        <v>26</v>
      </c>
      <c r="AH27" s="56" cm="1">
        <f t="array" ref="AH27">AF27+AG27</f>
        <v>68</v>
      </c>
      <c r="AI27" s="541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121"/>
      <c r="AY27" s="121"/>
      <c r="AZ27" s="121"/>
      <c r="BA27" s="121"/>
      <c r="BB27" s="121"/>
      <c r="BC27" s="83"/>
      <c r="BD27" s="30"/>
      <c r="BE27" s="30"/>
      <c r="BF27" s="83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</row>
    <row r="28" ht="17.45" customHeight="1">
      <c r="A28" t="s" s="372">
        <v>2329</v>
      </c>
      <c r="B28" t="s" s="37">
        <v>3131</v>
      </c>
      <c r="C28" s="139">
        <v>7</v>
      </c>
      <c r="D28" t="s" s="565">
        <v>2330</v>
      </c>
      <c r="E28" s="16"/>
      <c r="F28" s="566">
        <v>9</v>
      </c>
      <c r="G28" s="567"/>
      <c r="H28" s="567"/>
      <c r="I28" s="568">
        <v>37</v>
      </c>
      <c r="J28" s="569">
        <v>21</v>
      </c>
      <c r="K28" s="569">
        <v>11</v>
      </c>
      <c r="L28" s="569">
        <v>4</v>
      </c>
      <c r="M28" s="569">
        <v>1</v>
      </c>
      <c r="N28" s="569">
        <v>6</v>
      </c>
      <c r="O28" s="569">
        <v>4</v>
      </c>
      <c r="P28" s="569">
        <v>6</v>
      </c>
      <c r="Q28" s="569">
        <v>4</v>
      </c>
      <c r="R28" s="569">
        <v>7</v>
      </c>
      <c r="S28" s="569">
        <v>10</v>
      </c>
      <c r="T28" s="569">
        <v>1144</v>
      </c>
      <c r="U28" s="569">
        <v>11</v>
      </c>
      <c r="V28" s="569">
        <v>18</v>
      </c>
      <c r="W28" s="569">
        <v>3</v>
      </c>
      <c r="X28" s="569">
        <v>0</v>
      </c>
      <c r="Y28" s="569">
        <v>0</v>
      </c>
      <c r="Z28" s="569">
        <v>0</v>
      </c>
      <c r="AA28" s="569">
        <v>0</v>
      </c>
      <c r="AB28" s="569">
        <v>0</v>
      </c>
      <c r="AC28" s="569">
        <v>20</v>
      </c>
      <c r="AD28" s="570">
        <v>0</v>
      </c>
      <c r="AE28" s="39" cm="1">
        <f t="array" ref="AE28">AC28-AD28</f>
        <v>20</v>
      </c>
      <c r="AF28" s="139">
        <v>16</v>
      </c>
      <c r="AG28" s="56" cm="1">
        <f t="array" ref="AG28">I28-AF28</f>
        <v>21</v>
      </c>
      <c r="AH28" s="56" cm="1">
        <f t="array" ref="AH28">AF28+AG28</f>
        <v>37</v>
      </c>
      <c r="AI28" s="571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121"/>
      <c r="AY28" s="121"/>
      <c r="AZ28" s="121"/>
      <c r="BA28" s="121"/>
      <c r="BB28" s="121"/>
      <c r="BC28" s="83"/>
      <c r="BD28" s="30"/>
      <c r="BE28" s="30"/>
      <c r="BF28" s="83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</row>
    <row r="29" ht="15.35" customHeight="1">
      <c r="A29" t="s" s="450">
        <v>2391</v>
      </c>
      <c r="B29" t="s" s="57">
        <v>3131</v>
      </c>
      <c r="C29" s="362">
        <v>2</v>
      </c>
      <c r="D29" t="s" s="23">
        <v>3152</v>
      </c>
      <c r="E29" s="572"/>
      <c r="F29" s="362">
        <v>2</v>
      </c>
      <c r="G29" s="542"/>
      <c r="H29" s="542"/>
      <c r="I29" s="543">
        <v>9</v>
      </c>
      <c r="J29" s="362">
        <v>6</v>
      </c>
      <c r="K29" s="362">
        <v>3</v>
      </c>
      <c r="L29" s="362">
        <v>0</v>
      </c>
      <c r="M29" s="362">
        <v>0</v>
      </c>
      <c r="N29" s="362">
        <v>2</v>
      </c>
      <c r="O29" s="362">
        <v>0</v>
      </c>
      <c r="P29" s="362">
        <v>0</v>
      </c>
      <c r="Q29" s="362">
        <v>0</v>
      </c>
      <c r="R29" s="362">
        <v>2</v>
      </c>
      <c r="S29" s="362">
        <v>5</v>
      </c>
      <c r="T29" s="362">
        <v>342</v>
      </c>
      <c r="U29" s="362">
        <v>3</v>
      </c>
      <c r="V29" s="362">
        <v>6</v>
      </c>
      <c r="W29" s="362">
        <v>0</v>
      </c>
      <c r="X29" s="362">
        <v>0</v>
      </c>
      <c r="Y29" s="362">
        <v>0</v>
      </c>
      <c r="Z29" s="362">
        <v>0</v>
      </c>
      <c r="AA29" s="362">
        <v>0</v>
      </c>
      <c r="AB29" s="362">
        <v>0</v>
      </c>
      <c r="AC29" s="362">
        <v>7</v>
      </c>
      <c r="AD29" s="540">
        <v>0</v>
      </c>
      <c r="AE29" s="545" cm="1">
        <f t="array" ref="AE29">AC29-AD29</f>
        <v>7</v>
      </c>
      <c r="AF29" s="540">
        <v>2</v>
      </c>
      <c r="AG29" s="56" cm="1">
        <f t="array" ref="AG29">I29-AF29</f>
        <v>7</v>
      </c>
      <c r="AH29" s="545" cm="1">
        <f t="array" ref="AH29">AF29+AG29</f>
        <v>9</v>
      </c>
      <c r="AI29" s="573"/>
      <c r="AJ29" s="573"/>
      <c r="AK29" s="573"/>
      <c r="AL29" s="573"/>
      <c r="AM29" s="573"/>
      <c r="AN29" s="573"/>
      <c r="AO29" s="573"/>
      <c r="AP29" s="573"/>
      <c r="AQ29" s="573"/>
      <c r="AR29" s="573"/>
      <c r="AS29" s="573"/>
      <c r="AT29" s="573"/>
      <c r="AU29" s="573"/>
      <c r="AV29" s="573"/>
      <c r="AW29" s="573"/>
      <c r="AX29" s="573"/>
      <c r="AY29" s="573"/>
      <c r="AZ29" s="573"/>
      <c r="BA29" s="573"/>
      <c r="BB29" s="573"/>
      <c r="BC29" s="574"/>
      <c r="BD29" s="575"/>
      <c r="BE29" s="575"/>
      <c r="BF29" s="575"/>
      <c r="BG29" s="575"/>
      <c r="BH29" s="575"/>
      <c r="BI29" s="575"/>
      <c r="BJ29" s="575"/>
      <c r="BK29" s="575"/>
      <c r="BL29" s="575"/>
      <c r="BM29" s="575"/>
      <c r="BN29" s="575"/>
      <c r="BO29" s="575"/>
      <c r="BP29" s="575"/>
      <c r="BQ29" s="575"/>
      <c r="BR29" s="575"/>
      <c r="BS29" s="575"/>
      <c r="BT29" s="575"/>
    </row>
    <row r="30" ht="15.35" customHeight="1">
      <c r="A30" t="s" s="37">
        <v>3153</v>
      </c>
      <c r="B30" t="s" s="37">
        <v>3131</v>
      </c>
      <c r="C30" s="39">
        <v>4</v>
      </c>
      <c r="D30" t="s" s="37">
        <v>3154</v>
      </c>
      <c r="E30" s="32"/>
      <c r="F30" s="39">
        <v>3</v>
      </c>
      <c r="G30" s="531"/>
      <c r="H30" s="531"/>
      <c r="I30" s="532">
        <v>20</v>
      </c>
      <c r="J30" s="39">
        <v>10</v>
      </c>
      <c r="K30" s="39">
        <v>8</v>
      </c>
      <c r="L30" s="39">
        <v>1</v>
      </c>
      <c r="M30" s="39">
        <v>1</v>
      </c>
      <c r="N30" s="39">
        <v>3</v>
      </c>
      <c r="O30" s="39">
        <v>3</v>
      </c>
      <c r="P30" s="39">
        <v>4</v>
      </c>
      <c r="Q30" s="39">
        <v>3</v>
      </c>
      <c r="R30" s="39">
        <v>1</v>
      </c>
      <c r="S30" s="39">
        <v>6</v>
      </c>
      <c r="T30" s="39">
        <v>696</v>
      </c>
      <c r="U30" s="39">
        <v>6</v>
      </c>
      <c r="V30" s="39">
        <v>12</v>
      </c>
      <c r="W30" s="39">
        <v>0</v>
      </c>
      <c r="X30" s="39">
        <v>0</v>
      </c>
      <c r="Y30" s="39">
        <v>0</v>
      </c>
      <c r="Z30" s="39">
        <v>0</v>
      </c>
      <c r="AA30" s="39">
        <v>0</v>
      </c>
      <c r="AB30" s="39">
        <v>0</v>
      </c>
      <c r="AC30" s="39">
        <v>13</v>
      </c>
      <c r="AD30" s="39">
        <v>0</v>
      </c>
      <c r="AE30" s="39" cm="1">
        <f t="array" ref="AE30">AC30-AD30</f>
        <v>13</v>
      </c>
      <c r="AF30" s="39">
        <v>11</v>
      </c>
      <c r="AG30" s="56" cm="1">
        <f t="array" ref="AG30">I30-AF30</f>
        <v>9</v>
      </c>
      <c r="AH30" s="39" cm="1">
        <f t="array" ref="AH30">AF30+AG30</f>
        <v>20</v>
      </c>
      <c r="AI30" s="576"/>
      <c r="AJ30" s="577"/>
      <c r="AK30" s="577"/>
      <c r="AL30" s="577"/>
      <c r="AM30" s="577"/>
      <c r="AN30" s="577"/>
      <c r="AO30" s="577"/>
      <c r="AP30" s="577"/>
      <c r="AQ30" s="577"/>
      <c r="AR30" s="577"/>
      <c r="AS30" s="577"/>
      <c r="AT30" s="577"/>
      <c r="AU30" s="577"/>
      <c r="AV30" s="577"/>
      <c r="AW30" s="577"/>
      <c r="AX30" s="577"/>
      <c r="AY30" s="577"/>
      <c r="AZ30" s="577"/>
      <c r="BA30" s="577"/>
      <c r="BB30" s="577"/>
      <c r="BC30" s="563"/>
      <c r="BD30" s="563"/>
      <c r="BE30" s="563"/>
      <c r="BF30" s="563"/>
      <c r="BG30" s="563"/>
      <c r="BH30" s="563"/>
      <c r="BI30" s="563"/>
      <c r="BJ30" s="563"/>
      <c r="BK30" s="563"/>
      <c r="BL30" s="563"/>
      <c r="BM30" s="563"/>
      <c r="BN30" s="563"/>
      <c r="BO30" s="563"/>
      <c r="BP30" s="563"/>
      <c r="BQ30" s="563"/>
      <c r="BR30" s="563"/>
      <c r="BS30" s="563"/>
      <c r="BT30" s="563"/>
    </row>
    <row r="31" ht="15.35" customHeight="1">
      <c r="A31" t="s" s="37">
        <v>2421</v>
      </c>
      <c r="B31" t="s" s="37">
        <v>3131</v>
      </c>
      <c r="C31" s="39">
        <v>3</v>
      </c>
      <c r="D31" t="s" s="37">
        <v>2422</v>
      </c>
      <c r="E31" s="32"/>
      <c r="F31" s="39">
        <v>2</v>
      </c>
      <c r="G31" s="531"/>
      <c r="H31" s="531"/>
      <c r="I31" s="532">
        <v>15</v>
      </c>
      <c r="J31" s="39">
        <v>9</v>
      </c>
      <c r="K31" s="39">
        <v>6</v>
      </c>
      <c r="L31" s="39">
        <v>0</v>
      </c>
      <c r="M31" s="39">
        <v>0</v>
      </c>
      <c r="N31" s="39">
        <v>2</v>
      </c>
      <c r="O31" s="39">
        <v>1</v>
      </c>
      <c r="P31" s="39">
        <v>1</v>
      </c>
      <c r="Q31" s="39">
        <v>3</v>
      </c>
      <c r="R31" s="39">
        <v>0</v>
      </c>
      <c r="S31" s="39">
        <v>8</v>
      </c>
      <c r="T31" s="39">
        <v>445</v>
      </c>
      <c r="U31" s="39">
        <v>5</v>
      </c>
      <c r="V31" s="39">
        <v>10</v>
      </c>
      <c r="W31" s="39">
        <v>0</v>
      </c>
      <c r="X31" s="39">
        <v>0</v>
      </c>
      <c r="Y31" s="39">
        <v>0</v>
      </c>
      <c r="Z31" s="39">
        <v>0</v>
      </c>
      <c r="AA31" s="39">
        <v>0</v>
      </c>
      <c r="AB31" s="39">
        <v>0</v>
      </c>
      <c r="AC31" s="39">
        <v>13</v>
      </c>
      <c r="AD31" s="39">
        <v>0</v>
      </c>
      <c r="AE31" s="39" cm="1">
        <f t="array" ref="AE31">AC31-AD31</f>
        <v>13</v>
      </c>
      <c r="AF31" s="39">
        <v>6</v>
      </c>
      <c r="AG31" s="56" cm="1">
        <f t="array" ref="AG31">I31-AF31</f>
        <v>9</v>
      </c>
      <c r="AH31" s="39" cm="1">
        <f t="array" ref="AH31">AF31+AG31</f>
        <v>15</v>
      </c>
      <c r="AI31" s="578"/>
      <c r="AJ31" s="563"/>
      <c r="AK31" s="563"/>
      <c r="AL31" s="563"/>
      <c r="AM31" s="563"/>
      <c r="AN31" s="563"/>
      <c r="AO31" s="563"/>
      <c r="AP31" s="563"/>
      <c r="AQ31" s="563"/>
      <c r="AR31" s="563"/>
      <c r="AS31" s="563"/>
      <c r="AT31" s="563"/>
      <c r="AU31" s="563"/>
      <c r="AV31" s="563"/>
      <c r="AW31" s="563"/>
      <c r="AX31" s="563"/>
      <c r="AY31" s="563"/>
      <c r="AZ31" s="563"/>
      <c r="BA31" s="563"/>
      <c r="BB31" s="563"/>
      <c r="BC31" s="563"/>
      <c r="BD31" s="563"/>
      <c r="BE31" s="563"/>
      <c r="BF31" s="563"/>
      <c r="BG31" s="563"/>
      <c r="BH31" s="563"/>
      <c r="BI31" s="563"/>
      <c r="BJ31" s="563"/>
      <c r="BK31" s="563"/>
      <c r="BL31" s="563"/>
      <c r="BM31" s="563"/>
      <c r="BN31" s="563"/>
      <c r="BO31" s="563"/>
      <c r="BP31" s="563"/>
      <c r="BQ31" s="563"/>
      <c r="BR31" s="563"/>
      <c r="BS31" s="563"/>
      <c r="BT31" s="563"/>
    </row>
    <row r="32" ht="15.35" customHeight="1">
      <c r="A32" t="s" s="549">
        <v>2469</v>
      </c>
      <c r="B32" t="s" s="57">
        <v>3131</v>
      </c>
      <c r="C32" s="553">
        <v>3</v>
      </c>
      <c r="D32" t="s" s="364">
        <v>3155</v>
      </c>
      <c r="E32" s="579"/>
      <c r="F32" s="553">
        <v>2</v>
      </c>
      <c r="G32" s="551"/>
      <c r="H32" s="551"/>
      <c r="I32" s="552">
        <v>13</v>
      </c>
      <c r="J32" s="553">
        <v>9</v>
      </c>
      <c r="K32" s="553">
        <v>3</v>
      </c>
      <c r="L32" s="553">
        <v>1</v>
      </c>
      <c r="M32" s="553">
        <v>0</v>
      </c>
      <c r="N32" s="553">
        <v>2</v>
      </c>
      <c r="O32" s="553">
        <v>1</v>
      </c>
      <c r="P32" s="553">
        <v>2</v>
      </c>
      <c r="Q32" s="553">
        <v>1</v>
      </c>
      <c r="R32" s="553">
        <v>2</v>
      </c>
      <c r="S32" s="553">
        <v>5</v>
      </c>
      <c r="T32" s="553">
        <v>448</v>
      </c>
      <c r="U32" s="553">
        <v>2</v>
      </c>
      <c r="V32" s="553">
        <v>8</v>
      </c>
      <c r="W32" s="553">
        <v>2</v>
      </c>
      <c r="X32" s="553">
        <v>0</v>
      </c>
      <c r="Y32" s="553">
        <v>0</v>
      </c>
      <c r="Z32" s="553">
        <v>0</v>
      </c>
      <c r="AA32" s="553">
        <v>0</v>
      </c>
      <c r="AB32" s="553">
        <v>0</v>
      </c>
      <c r="AC32" s="553">
        <v>10</v>
      </c>
      <c r="AD32" s="554">
        <v>0</v>
      </c>
      <c r="AE32" s="545" cm="1">
        <f t="array" ref="AE32">AC32-AD32</f>
        <v>10</v>
      </c>
      <c r="AF32" s="554">
        <v>6</v>
      </c>
      <c r="AG32" s="56" cm="1">
        <f t="array" ref="AG32">I32-AF32</f>
        <v>7</v>
      </c>
      <c r="AH32" s="56" cm="1">
        <f t="array" ref="AH32">AF32+AG32</f>
        <v>13</v>
      </c>
      <c r="AI32" s="64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</row>
    <row r="33" ht="15.35" customHeight="1">
      <c r="A33" t="s" s="363">
        <v>2499</v>
      </c>
      <c r="B33" t="s" s="37">
        <v>3131</v>
      </c>
      <c r="C33" s="580">
        <v>7</v>
      </c>
      <c r="D33" t="s" s="327">
        <v>3156</v>
      </c>
      <c r="E33" s="16"/>
      <c r="F33" s="581">
        <v>7</v>
      </c>
      <c r="G33" s="582"/>
      <c r="H33" s="582"/>
      <c r="I33" s="583">
        <v>45</v>
      </c>
      <c r="J33" s="127">
        <v>34</v>
      </c>
      <c r="K33" s="127">
        <v>10</v>
      </c>
      <c r="L33" s="127">
        <v>1</v>
      </c>
      <c r="M33" s="127">
        <v>0</v>
      </c>
      <c r="N33" s="127">
        <v>8</v>
      </c>
      <c r="O33" s="127">
        <v>6</v>
      </c>
      <c r="P33" s="127">
        <v>6</v>
      </c>
      <c r="Q33" s="127">
        <v>3</v>
      </c>
      <c r="R33" s="127">
        <v>1</v>
      </c>
      <c r="S33" s="127">
        <v>21</v>
      </c>
      <c r="T33" s="127">
        <v>1763</v>
      </c>
      <c r="U33" s="127">
        <v>12</v>
      </c>
      <c r="V33" s="127">
        <v>29</v>
      </c>
      <c r="W33" s="127">
        <v>3</v>
      </c>
      <c r="X33" s="127">
        <v>0</v>
      </c>
      <c r="Y33" s="127">
        <v>0</v>
      </c>
      <c r="Z33" s="127">
        <v>0</v>
      </c>
      <c r="AA33" s="127">
        <v>0</v>
      </c>
      <c r="AB33" s="127">
        <v>0</v>
      </c>
      <c r="AC33" s="127">
        <v>28</v>
      </c>
      <c r="AD33" s="584">
        <v>0</v>
      </c>
      <c r="AE33" s="39" cm="1">
        <f t="array" ref="AE33">AC33-AD33</f>
        <v>28</v>
      </c>
      <c r="AF33" s="585">
        <v>29</v>
      </c>
      <c r="AG33" s="56" cm="1">
        <f t="array" ref="AG33">I33-AF33</f>
        <v>16</v>
      </c>
      <c r="AH33" s="56" cm="1">
        <f t="array" ref="AH33">AF33+AG33</f>
        <v>45</v>
      </c>
      <c r="AI33" s="291"/>
      <c r="AJ33" s="132"/>
      <c r="AK33" s="132"/>
      <c r="AL33" s="132"/>
      <c r="AM33" s="132"/>
      <c r="AN33" s="132"/>
      <c r="AO33" s="132"/>
      <c r="AP33" s="132"/>
      <c r="AQ33" s="132"/>
      <c r="AR33" s="132"/>
      <c r="AS33" s="132"/>
      <c r="AT33" s="132"/>
      <c r="AU33" s="132"/>
      <c r="AV33" s="132"/>
      <c r="AW33" s="132"/>
      <c r="AX33" s="132"/>
      <c r="AY33" s="132"/>
      <c r="AZ33" s="132"/>
      <c r="BA33" s="132"/>
      <c r="BB33" s="132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</row>
    <row r="34" ht="15.35" customHeight="1">
      <c r="A34" t="s" s="586">
        <v>2560</v>
      </c>
      <c r="B34" t="s" s="57">
        <v>3131</v>
      </c>
      <c r="C34" s="112">
        <v>10</v>
      </c>
      <c r="D34" t="s" s="83">
        <v>3157</v>
      </c>
      <c r="E34" s="122"/>
      <c r="F34" s="112">
        <v>4</v>
      </c>
      <c r="G34" s="587"/>
      <c r="H34" s="587"/>
      <c r="I34" s="487">
        <v>26</v>
      </c>
      <c r="J34" s="112">
        <v>16</v>
      </c>
      <c r="K34" s="112">
        <v>7</v>
      </c>
      <c r="L34" s="112">
        <v>1</v>
      </c>
      <c r="M34" s="112">
        <v>2</v>
      </c>
      <c r="N34" s="112">
        <v>4</v>
      </c>
      <c r="O34" s="112">
        <v>3</v>
      </c>
      <c r="P34" s="112">
        <v>3</v>
      </c>
      <c r="Q34" s="112">
        <v>3</v>
      </c>
      <c r="R34" s="112">
        <v>2</v>
      </c>
      <c r="S34" s="112">
        <v>11</v>
      </c>
      <c r="T34" s="112">
        <v>895</v>
      </c>
      <c r="U34" s="112">
        <v>8</v>
      </c>
      <c r="V34" s="112">
        <v>14</v>
      </c>
      <c r="W34" s="112">
        <v>0</v>
      </c>
      <c r="X34" s="112">
        <v>16</v>
      </c>
      <c r="Y34" s="112">
        <v>4</v>
      </c>
      <c r="Z34" s="112">
        <v>4</v>
      </c>
      <c r="AA34" s="112">
        <v>0</v>
      </c>
      <c r="AB34" s="112">
        <v>0</v>
      </c>
      <c r="AC34" s="112">
        <v>18</v>
      </c>
      <c r="AD34" s="588">
        <v>2</v>
      </c>
      <c r="AE34" s="545" cm="1">
        <f t="array" ref="AE34">AC34-AD34</f>
        <v>16</v>
      </c>
      <c r="AF34" s="588">
        <v>14</v>
      </c>
      <c r="AG34" s="56" cm="1">
        <f t="array" ref="AG34">I34-AF34</f>
        <v>12</v>
      </c>
      <c r="AH34" s="545" cm="1">
        <f t="array" ref="AH34">AF34+AG34</f>
        <v>26</v>
      </c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74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</row>
    <row r="35" ht="15.35" customHeight="1">
      <c r="A35" t="s" s="268">
        <v>2606</v>
      </c>
      <c r="B35" t="s" s="37">
        <v>3131</v>
      </c>
      <c r="C35" s="589">
        <v>7</v>
      </c>
      <c r="D35" t="s" s="98">
        <v>3158</v>
      </c>
      <c r="E35" s="16"/>
      <c r="F35" s="590">
        <v>6</v>
      </c>
      <c r="G35" s="591"/>
      <c r="H35" s="591"/>
      <c r="I35" s="592">
        <v>40</v>
      </c>
      <c r="J35" s="97">
        <v>27</v>
      </c>
      <c r="K35" s="97">
        <v>6</v>
      </c>
      <c r="L35" s="97">
        <v>4</v>
      </c>
      <c r="M35" s="97">
        <v>4</v>
      </c>
      <c r="N35" s="97">
        <v>7</v>
      </c>
      <c r="O35" s="97">
        <v>5</v>
      </c>
      <c r="P35" s="97">
        <v>7</v>
      </c>
      <c r="Q35" s="97">
        <v>4</v>
      </c>
      <c r="R35" s="97">
        <v>1</v>
      </c>
      <c r="S35" s="97">
        <v>16</v>
      </c>
      <c r="T35" s="97">
        <v>1203</v>
      </c>
      <c r="U35" s="97">
        <v>11</v>
      </c>
      <c r="V35" s="97">
        <v>20</v>
      </c>
      <c r="W35" s="97">
        <v>1</v>
      </c>
      <c r="X35" s="97">
        <v>0</v>
      </c>
      <c r="Y35" s="97">
        <v>0</v>
      </c>
      <c r="Z35" s="97">
        <v>0</v>
      </c>
      <c r="AA35" s="97">
        <v>0</v>
      </c>
      <c r="AB35" s="97">
        <v>0</v>
      </c>
      <c r="AC35" s="97">
        <v>22</v>
      </c>
      <c r="AD35" s="593">
        <v>0</v>
      </c>
      <c r="AE35" s="39" cm="1">
        <f t="array" ref="AE35">AC35-AD35</f>
        <v>22</v>
      </c>
      <c r="AF35" s="594">
        <v>16</v>
      </c>
      <c r="AG35" s="56" cm="1">
        <f t="array" ref="AG35">I35-AF35</f>
        <v>24</v>
      </c>
      <c r="AH35" s="56" cm="1">
        <f t="array" ref="AH35">AF35+AG35</f>
        <v>40</v>
      </c>
      <c r="AI35" s="564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74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</row>
    <row r="36" ht="15.35" customHeight="1">
      <c r="A36" t="s" s="595">
        <v>1759</v>
      </c>
      <c r="B36" t="s" s="37">
        <v>3131</v>
      </c>
      <c r="C36" s="596">
        <v>11</v>
      </c>
      <c r="D36" t="s" s="181">
        <v>2643</v>
      </c>
      <c r="E36" s="16"/>
      <c r="F36" s="597">
        <v>9</v>
      </c>
      <c r="G36" s="598"/>
      <c r="H36" s="598"/>
      <c r="I36" s="599">
        <v>56</v>
      </c>
      <c r="J36" s="126">
        <v>34</v>
      </c>
      <c r="K36" s="126">
        <v>12</v>
      </c>
      <c r="L36" s="126">
        <v>6</v>
      </c>
      <c r="M36" s="126">
        <v>4</v>
      </c>
      <c r="N36" s="126">
        <v>11</v>
      </c>
      <c r="O36" s="126">
        <v>8</v>
      </c>
      <c r="P36" s="126">
        <v>14</v>
      </c>
      <c r="Q36" s="126">
        <v>7</v>
      </c>
      <c r="R36" s="126">
        <v>2</v>
      </c>
      <c r="S36" s="126">
        <v>14</v>
      </c>
      <c r="T36" s="126">
        <v>1603</v>
      </c>
      <c r="U36" s="126">
        <v>15</v>
      </c>
      <c r="V36" s="126">
        <v>25</v>
      </c>
      <c r="W36" s="126">
        <v>1</v>
      </c>
      <c r="X36" s="126">
        <v>0</v>
      </c>
      <c r="Y36" s="126">
        <v>0</v>
      </c>
      <c r="Z36" s="126">
        <v>0</v>
      </c>
      <c r="AA36" s="126">
        <v>0</v>
      </c>
      <c r="AB36" s="126">
        <v>0</v>
      </c>
      <c r="AC36" s="126">
        <v>30</v>
      </c>
      <c r="AD36" s="290">
        <v>0</v>
      </c>
      <c r="AE36" s="39" cm="1">
        <f t="array" ref="AE36">AC36-AD36</f>
        <v>30</v>
      </c>
      <c r="AF36" s="600">
        <v>29</v>
      </c>
      <c r="AG36" s="56" cm="1">
        <f t="array" ref="AG36">I36-AF36</f>
        <v>27</v>
      </c>
      <c r="AH36" s="56" cm="1">
        <f t="array" ref="AH36">AF36+AG36</f>
        <v>56</v>
      </c>
      <c r="AI36" s="571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74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</row>
    <row r="37" ht="15.35" customHeight="1">
      <c r="A37" t="s" s="586">
        <v>2712</v>
      </c>
      <c r="B37" t="s" s="57">
        <v>3131</v>
      </c>
      <c r="C37" s="112">
        <v>11</v>
      </c>
      <c r="D37" t="s" s="83">
        <v>3159</v>
      </c>
      <c r="E37" s="122"/>
      <c r="F37" s="112">
        <v>8</v>
      </c>
      <c r="G37" s="587"/>
      <c r="H37" s="587"/>
      <c r="I37" s="487">
        <v>56</v>
      </c>
      <c r="J37" s="112">
        <v>39</v>
      </c>
      <c r="K37" s="112">
        <v>14</v>
      </c>
      <c r="L37" s="112">
        <v>0</v>
      </c>
      <c r="M37" s="112">
        <v>3</v>
      </c>
      <c r="N37" s="112">
        <v>11</v>
      </c>
      <c r="O37" s="112">
        <v>6</v>
      </c>
      <c r="P37" s="112">
        <v>3</v>
      </c>
      <c r="Q37" s="112">
        <v>3</v>
      </c>
      <c r="R37" s="112">
        <v>6</v>
      </c>
      <c r="S37" s="112">
        <v>27</v>
      </c>
      <c r="T37" s="112">
        <v>2049</v>
      </c>
      <c r="U37" s="112">
        <v>14</v>
      </c>
      <c r="V37" s="112">
        <v>35</v>
      </c>
      <c r="W37" s="112">
        <v>4</v>
      </c>
      <c r="X37" s="112">
        <v>0</v>
      </c>
      <c r="Y37" s="112">
        <v>0</v>
      </c>
      <c r="Z37" s="112">
        <v>0</v>
      </c>
      <c r="AA37" s="112">
        <v>0</v>
      </c>
      <c r="AB37" s="112">
        <v>0</v>
      </c>
      <c r="AC37" s="112">
        <v>39</v>
      </c>
      <c r="AD37" s="588">
        <v>0</v>
      </c>
      <c r="AE37" s="545" cm="1">
        <f t="array" ref="AE37">AC37-AD37</f>
        <v>39</v>
      </c>
      <c r="AF37" s="588">
        <v>24</v>
      </c>
      <c r="AG37" s="56" cm="1">
        <f t="array" ref="AG37">I37-AF37</f>
        <v>32</v>
      </c>
      <c r="AH37" s="545" cm="1">
        <f t="array" ref="AH37">AF37+AG37</f>
        <v>56</v>
      </c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74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</row>
    <row r="38" ht="15.35" customHeight="1">
      <c r="A38" t="s" s="268">
        <v>2879</v>
      </c>
      <c r="B38" t="s" s="37">
        <v>3131</v>
      </c>
      <c r="C38" s="589">
        <v>3</v>
      </c>
      <c r="D38" t="s" s="98">
        <v>2880</v>
      </c>
      <c r="E38" s="16"/>
      <c r="F38" s="590">
        <v>3</v>
      </c>
      <c r="G38" s="591"/>
      <c r="H38" s="591"/>
      <c r="I38" s="592">
        <v>11</v>
      </c>
      <c r="J38" s="97">
        <v>7</v>
      </c>
      <c r="K38" s="97">
        <v>2</v>
      </c>
      <c r="L38" s="97">
        <v>0</v>
      </c>
      <c r="M38" s="97">
        <v>2</v>
      </c>
      <c r="N38" s="97">
        <v>2</v>
      </c>
      <c r="O38" s="97">
        <v>3</v>
      </c>
      <c r="P38" s="97">
        <v>0</v>
      </c>
      <c r="Q38" s="97">
        <v>2</v>
      </c>
      <c r="R38" s="97">
        <v>3</v>
      </c>
      <c r="S38" s="97">
        <v>1</v>
      </c>
      <c r="T38" s="97">
        <v>357</v>
      </c>
      <c r="U38" s="97">
        <v>5</v>
      </c>
      <c r="V38" s="97">
        <v>4</v>
      </c>
      <c r="W38" s="97">
        <v>0</v>
      </c>
      <c r="X38" s="97">
        <v>0</v>
      </c>
      <c r="Y38" s="97">
        <v>0</v>
      </c>
      <c r="Z38" s="97">
        <v>0</v>
      </c>
      <c r="AA38" s="97">
        <v>0</v>
      </c>
      <c r="AB38" s="97">
        <v>0</v>
      </c>
      <c r="AC38" s="97">
        <v>4</v>
      </c>
      <c r="AD38" s="593">
        <v>0</v>
      </c>
      <c r="AE38" s="39" cm="1">
        <f t="array" ref="AE38">AC38-AD38</f>
        <v>4</v>
      </c>
      <c r="AF38" s="594">
        <v>5</v>
      </c>
      <c r="AG38" s="56" cm="1">
        <f t="array" ref="AG38">I38-AF38</f>
        <v>6</v>
      </c>
      <c r="AH38" s="56" cm="1">
        <f t="array" ref="AH38">AF38+AG38</f>
        <v>11</v>
      </c>
      <c r="AI38" s="564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74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</row>
    <row r="39" ht="15.35" customHeight="1">
      <c r="A39" t="s" s="271">
        <v>3160</v>
      </c>
      <c r="B39" t="s" s="37">
        <v>3131</v>
      </c>
      <c r="C39" s="272">
        <v>8</v>
      </c>
      <c r="D39" t="s" s="96">
        <v>3161</v>
      </c>
      <c r="E39" s="16"/>
      <c r="F39" s="440">
        <v>6</v>
      </c>
      <c r="G39" s="77"/>
      <c r="H39" s="77"/>
      <c r="I39" s="601">
        <v>47</v>
      </c>
      <c r="J39" s="79">
        <v>46</v>
      </c>
      <c r="K39" s="79">
        <v>12</v>
      </c>
      <c r="L39" s="79">
        <v>5</v>
      </c>
      <c r="M39" s="79">
        <v>6</v>
      </c>
      <c r="N39" s="79">
        <v>12</v>
      </c>
      <c r="O39" s="79">
        <v>12</v>
      </c>
      <c r="P39" s="79">
        <v>7</v>
      </c>
      <c r="Q39" s="79">
        <v>7</v>
      </c>
      <c r="R39" s="79">
        <v>10</v>
      </c>
      <c r="S39" s="79">
        <v>21</v>
      </c>
      <c r="T39" s="79">
        <v>2221</v>
      </c>
      <c r="U39" s="79">
        <v>22</v>
      </c>
      <c r="V39" s="79">
        <v>33</v>
      </c>
      <c r="W39" s="79">
        <v>3</v>
      </c>
      <c r="X39" s="79">
        <v>0</v>
      </c>
      <c r="Y39" s="79">
        <v>0</v>
      </c>
      <c r="Z39" s="79">
        <v>0</v>
      </c>
      <c r="AA39" s="79">
        <v>0</v>
      </c>
      <c r="AB39" s="79">
        <v>0</v>
      </c>
      <c r="AC39" s="79">
        <v>38</v>
      </c>
      <c r="AD39" s="274">
        <v>0</v>
      </c>
      <c r="AE39" s="39" cm="1">
        <f t="array" ref="AE39">AC39-AD39</f>
        <v>38</v>
      </c>
      <c r="AF39" s="458">
        <v>36</v>
      </c>
      <c r="AG39" s="56" cm="1">
        <f t="array" ref="AG39">I39-AF39</f>
        <v>11</v>
      </c>
      <c r="AH39" s="56" cm="1">
        <f t="array" ref="AH39">AF39+AG39</f>
        <v>47</v>
      </c>
      <c r="AI39" s="541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74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</row>
    <row r="40" ht="15.35" customHeight="1">
      <c r="A40" t="s" s="367">
        <v>2926</v>
      </c>
      <c r="B40" t="s" s="37">
        <v>3131</v>
      </c>
      <c r="C40" s="602">
        <v>10</v>
      </c>
      <c r="D40" t="s" s="603">
        <v>2936</v>
      </c>
      <c r="E40" s="16"/>
      <c r="F40" s="604">
        <v>9</v>
      </c>
      <c r="G40" s="605"/>
      <c r="H40" s="605"/>
      <c r="I40" s="606">
        <v>40</v>
      </c>
      <c r="J40" s="477">
        <v>23</v>
      </c>
      <c r="K40" s="477">
        <v>11</v>
      </c>
      <c r="L40" s="477">
        <v>4</v>
      </c>
      <c r="M40" s="477">
        <v>2</v>
      </c>
      <c r="N40" s="477">
        <v>10</v>
      </c>
      <c r="O40" s="477">
        <v>0</v>
      </c>
      <c r="P40" s="477">
        <v>6</v>
      </c>
      <c r="Q40" s="477">
        <v>2</v>
      </c>
      <c r="R40" s="477">
        <v>3</v>
      </c>
      <c r="S40" s="477">
        <v>10</v>
      </c>
      <c r="T40" s="477">
        <v>1489</v>
      </c>
      <c r="U40" s="477">
        <v>20</v>
      </c>
      <c r="V40" s="477">
        <v>12</v>
      </c>
      <c r="W40" s="477">
        <v>2</v>
      </c>
      <c r="X40" s="466"/>
      <c r="Y40" s="466"/>
      <c r="Z40" s="466"/>
      <c r="AA40" s="466"/>
      <c r="AB40" s="466"/>
      <c r="AC40" s="477">
        <v>21</v>
      </c>
      <c r="AD40" s="607">
        <v>0</v>
      </c>
      <c r="AE40" s="39" cm="1">
        <f t="array" ref="AE40">AC40-AD40</f>
        <v>21</v>
      </c>
      <c r="AF40" s="608">
        <v>13</v>
      </c>
      <c r="AG40" s="56" cm="1">
        <f t="array" ref="AG40">I40-AF40</f>
        <v>27</v>
      </c>
      <c r="AH40" s="56" cm="1">
        <f t="array" ref="AH40">AF40+AG40</f>
        <v>40</v>
      </c>
      <c r="AI40" s="609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131"/>
      <c r="BD40" s="132"/>
      <c r="BE40" s="132"/>
      <c r="BF40" s="132"/>
      <c r="BG40" s="132"/>
      <c r="BH40" s="132"/>
      <c r="BI40" s="132"/>
      <c r="BJ40" s="132"/>
      <c r="BK40" s="132"/>
      <c r="BL40" s="132"/>
      <c r="BM40" s="132"/>
      <c r="BN40" s="132"/>
      <c r="BO40" s="132"/>
      <c r="BP40" s="132"/>
      <c r="BQ40" s="132"/>
      <c r="BR40" s="132"/>
      <c r="BS40" s="132"/>
      <c r="BT40" s="132"/>
    </row>
    <row r="41" ht="17.45" customHeight="1">
      <c r="A41" t="s" s="37">
        <v>723</v>
      </c>
      <c r="B41" t="s" s="37">
        <v>3131</v>
      </c>
      <c r="C41" s="39" cm="1">
        <f t="array" ref="C41">SUM(C3:C40)</f>
        <v>325</v>
      </c>
      <c r="D41" s="39">
        <v>38</v>
      </c>
      <c r="E41" s="460"/>
      <c r="F41" s="39" cm="1">
        <f t="array" ref="F41">SUM(F3:F40)</f>
        <v>282</v>
      </c>
      <c r="G41" s="610"/>
      <c r="H41" s="610"/>
      <c r="I41" s="611" cm="1">
        <f t="array" ref="I41">SUM(I3:I40)</f>
        <v>1634</v>
      </c>
      <c r="J41" s="612" cm="1">
        <f t="array" ref="J41">SUM(J3:J40)</f>
        <v>1065</v>
      </c>
      <c r="K41" s="612" cm="1">
        <f t="array" ref="K41">SUM(K3:K40)</f>
        <v>400</v>
      </c>
      <c r="L41" s="612" cm="1">
        <f t="array" ref="L41">SUM(L3:L40)</f>
        <v>109</v>
      </c>
      <c r="M41" s="612" cm="1">
        <f t="array" ref="M41">SUM(M3:M40)</f>
        <v>83</v>
      </c>
      <c r="N41" s="612" cm="1">
        <f t="array" ref="N41">SUM(N3:N40)</f>
        <v>304</v>
      </c>
      <c r="O41" s="612" cm="1">
        <f t="array" ref="O41">SUM(O3:O40)</f>
        <v>182</v>
      </c>
      <c r="P41" s="612" cm="1">
        <f t="array" ref="P41">SUM(P3:P40)</f>
        <v>244</v>
      </c>
      <c r="Q41" s="612" cm="1">
        <f t="array" ref="Q41">SUM(Q3:Q40)</f>
        <v>165</v>
      </c>
      <c r="R41" s="612" cm="1">
        <f t="array" ref="R41">SUM(R3:R40)</f>
        <v>158</v>
      </c>
      <c r="S41" s="612" cm="1">
        <f t="array" ref="S41">SUM(S3:S40)</f>
        <v>594</v>
      </c>
      <c r="T41" s="612" cm="1">
        <f t="array" ref="T41">SUM(T3:T40)</f>
        <v>55707.9</v>
      </c>
      <c r="U41" s="612" cm="1">
        <f t="array" ref="U41">SUM(U3:U40)</f>
        <v>418</v>
      </c>
      <c r="V41" s="612" cm="1">
        <f t="array" ref="V41">SUM(V3:V40)</f>
        <v>963</v>
      </c>
      <c r="W41" s="612" cm="1">
        <f t="array" ref="W41">SUM(W3:W40)</f>
        <v>94</v>
      </c>
      <c r="X41" s="612" cm="1">
        <f t="array" ref="X41">SUM(X3:X40)</f>
        <v>2617</v>
      </c>
      <c r="Y41" s="612" cm="1">
        <f t="array" ref="Y41">SUM(Y3:Y40)</f>
        <v>322</v>
      </c>
      <c r="Z41" s="612" cm="1">
        <f t="array" ref="Z41">SUM(Z3:Z40)</f>
        <v>278</v>
      </c>
      <c r="AA41" s="612" cm="1">
        <f t="array" ref="AA41">SUM(AA3:AA40)</f>
        <v>0</v>
      </c>
      <c r="AB41" s="612" cm="1">
        <f t="array" ref="AB41">SUM(AB3:AB40)</f>
        <v>0</v>
      </c>
      <c r="AC41" s="612" cm="1">
        <f t="array" ref="AC41">SUM(AC3:AC40)</f>
        <v>1016</v>
      </c>
      <c r="AD41" s="612" cm="1">
        <f t="array" ref="AD41">SUM(AD3:AD40)</f>
        <v>121</v>
      </c>
      <c r="AE41" s="612" cm="1">
        <f t="array" ref="AE41">SUM(AE3:AE40)</f>
        <v>895</v>
      </c>
      <c r="AF41" s="612" cm="1">
        <f t="array" ref="AF41">SUM(AF3:AF40)</f>
        <v>841</v>
      </c>
      <c r="AG41" s="612" cm="1">
        <f t="array" ref="AG41">SUM(AG3:AG40)</f>
        <v>793</v>
      </c>
      <c r="AH41" s="612" cm="1">
        <f t="array" ref="AH41">SUM(AH3:AH40)</f>
        <v>1586</v>
      </c>
      <c r="AI41" s="613" cm="1">
        <f t="array" ref="AI41">SUM(AI3:AI40)</f>
        <v>161</v>
      </c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28"/>
      <c r="AY41" s="28"/>
      <c r="AZ41" s="28"/>
      <c r="BA41" s="28"/>
      <c r="BB41" s="28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</row>
    <row r="42" ht="17" customHeight="1">
      <c r="A42" s="65"/>
      <c r="B42" s="65"/>
      <c r="C42" s="553" cm="1">
        <f t="array" ref="C42">C41/D41</f>
        <v>8.55263157894737</v>
      </c>
      <c r="D42" s="65"/>
      <c r="E42" s="122"/>
      <c r="F42" s="65"/>
      <c r="G42" s="551"/>
      <c r="H42" s="551"/>
      <c r="I42" s="552"/>
      <c r="J42" s="614"/>
      <c r="K42" s="614"/>
      <c r="L42" s="615"/>
      <c r="M42" s="614"/>
      <c r="N42" s="616"/>
      <c r="O42" s="616"/>
      <c r="P42" s="616"/>
      <c r="Q42" s="616"/>
      <c r="R42" s="616"/>
      <c r="S42" s="617"/>
      <c r="T42" s="65"/>
      <c r="U42" s="65"/>
      <c r="V42" s="65"/>
      <c r="W42" s="65"/>
      <c r="X42" s="65"/>
      <c r="Y42" s="65"/>
      <c r="Z42" s="65"/>
      <c r="AA42" s="65"/>
      <c r="AB42" s="65"/>
      <c r="AC42" s="614"/>
      <c r="AD42" s="65"/>
      <c r="AE42" s="65"/>
      <c r="AF42" s="65"/>
      <c r="AG42" s="618" cm="1">
        <f t="array" ref="AG42">I41-AF41</f>
        <v>793</v>
      </c>
      <c r="AH42" s="65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</row>
    <row r="43" ht="17" customHeight="1">
      <c r="A43" s="30"/>
      <c r="B43" s="30"/>
      <c r="C43" s="30"/>
      <c r="D43" s="116"/>
      <c r="E43" s="75"/>
      <c r="F43" s="30"/>
      <c r="G43" s="587"/>
      <c r="H43" s="587"/>
      <c r="I43" s="487"/>
      <c r="J43" s="30"/>
      <c r="K43" s="30"/>
      <c r="L43" s="130"/>
      <c r="M43" s="30"/>
      <c r="N43" s="619"/>
      <c r="O43" s="620"/>
      <c r="P43" s="620"/>
      <c r="Q43" s="620"/>
      <c r="R43" s="620"/>
      <c r="S43" s="620"/>
      <c r="T43" s="38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</row>
    <row r="44" ht="16" customHeight="1">
      <c r="A44" s="180"/>
      <c r="B44" s="180"/>
      <c r="C44" s="180"/>
      <c r="D44" s="16"/>
      <c r="E44" s="16"/>
      <c r="F44" s="621"/>
      <c r="G44" s="582"/>
      <c r="H44" s="582"/>
      <c r="I44" s="622"/>
      <c r="J44" s="623"/>
      <c r="K44" s="623"/>
      <c r="L44" s="180"/>
      <c r="M44" s="180"/>
      <c r="N44" s="624"/>
      <c r="O44" s="624"/>
      <c r="P44" s="624"/>
      <c r="Q44" s="624"/>
      <c r="R44" s="624"/>
      <c r="S44" s="624"/>
      <c r="T44" s="180"/>
      <c r="U44" s="180"/>
      <c r="V44" s="180"/>
      <c r="W44" s="180"/>
      <c r="X44" s="180"/>
      <c r="Y44" s="180"/>
      <c r="Z44" s="180"/>
      <c r="AA44" s="180"/>
      <c r="AB44" s="180"/>
      <c r="AC44" s="180"/>
      <c r="AD44" s="180"/>
      <c r="AE44" s="180"/>
      <c r="AF44" s="180"/>
      <c r="AG44" s="180"/>
      <c r="AH44" s="180"/>
      <c r="AI44" s="180"/>
      <c r="AJ44" s="180"/>
      <c r="AK44" s="180"/>
      <c r="AL44" s="180"/>
      <c r="AM44" s="180"/>
      <c r="AN44" s="180"/>
      <c r="AO44" s="180"/>
      <c r="AP44" s="180"/>
      <c r="AQ44" s="180"/>
      <c r="AR44" s="180"/>
      <c r="AS44" s="180"/>
      <c r="AT44" s="180"/>
      <c r="AU44" s="180"/>
      <c r="AV44" s="180"/>
      <c r="AW44" s="180"/>
      <c r="AX44" s="180"/>
      <c r="AY44" s="180"/>
      <c r="AZ44" s="180"/>
      <c r="BA44" s="180"/>
      <c r="BB44" s="180"/>
      <c r="BC44" s="180"/>
      <c r="BD44" s="180"/>
      <c r="BE44" s="180"/>
      <c r="BF44" s="180"/>
      <c r="BG44" s="180"/>
      <c r="BH44" s="180"/>
      <c r="BI44" s="180"/>
      <c r="BJ44" s="180"/>
      <c r="BK44" s="180"/>
      <c r="BL44" s="180"/>
      <c r="BM44" s="180"/>
      <c r="BN44" s="180"/>
      <c r="BO44" s="180"/>
      <c r="BP44" s="180"/>
      <c r="BQ44" s="180"/>
      <c r="BR44" s="180"/>
      <c r="BS44" s="180"/>
      <c r="BT44" s="180"/>
    </row>
    <row r="45" ht="15.35" customHeight="1">
      <c r="A45" s="30"/>
      <c r="B45" s="30"/>
      <c r="C45" s="30"/>
      <c r="D45" s="74"/>
      <c r="E45" s="75"/>
      <c r="F45" s="30"/>
      <c r="G45" s="587"/>
      <c r="H45" s="587"/>
      <c r="I45" s="487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30"/>
      <c r="BD45" s="30"/>
      <c r="BE45" s="30"/>
      <c r="BF45" s="30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</row>
    <row r="46" ht="15.35" customHeight="1">
      <c r="A46" s="267"/>
      <c r="B46" s="267"/>
      <c r="C46" s="267"/>
      <c r="D46" s="625"/>
      <c r="E46" s="626"/>
      <c r="F46" s="267"/>
      <c r="G46" s="542"/>
      <c r="H46" s="542"/>
      <c r="I46" s="543"/>
      <c r="J46" s="267"/>
      <c r="K46" s="267"/>
      <c r="L46" s="267"/>
      <c r="M46" s="267"/>
      <c r="N46" s="267"/>
      <c r="O46" s="267"/>
      <c r="P46" s="267"/>
      <c r="Q46" s="267"/>
      <c r="R46" s="267"/>
      <c r="S46" s="267"/>
      <c r="T46" s="267"/>
      <c r="U46" s="267"/>
      <c r="V46" s="267"/>
      <c r="W46" s="267"/>
      <c r="X46" s="267"/>
      <c r="Y46" s="267"/>
      <c r="Z46" s="267"/>
      <c r="AA46" s="267"/>
      <c r="AB46" s="267"/>
      <c r="AC46" s="267"/>
      <c r="AD46" s="267"/>
      <c r="AE46" s="267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  <c r="AV46" s="30"/>
      <c r="AW46" s="30"/>
      <c r="AX46" s="30"/>
      <c r="AY46" s="30"/>
      <c r="AZ46" s="30"/>
      <c r="BA46" s="30"/>
      <c r="BB46" s="30"/>
      <c r="BC46" s="30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0"/>
      <c r="BO46" s="30"/>
      <c r="BP46" s="30"/>
      <c r="BQ46" s="30"/>
      <c r="BR46" s="30"/>
      <c r="BS46" s="30"/>
      <c r="BT46" s="30"/>
    </row>
    <row r="47" ht="17.5" customHeight="1">
      <c r="A47" s="37"/>
      <c r="B47" s="32"/>
      <c r="C47" s="32"/>
      <c r="D47" s="533"/>
      <c r="E47" s="32"/>
      <c r="F47" s="56"/>
      <c r="G47" s="627"/>
      <c r="H47" s="627"/>
      <c r="I47" s="627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8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30"/>
      <c r="AY47" s="30"/>
      <c r="AZ47" s="30"/>
      <c r="BA47" s="30"/>
      <c r="BB47" s="30"/>
      <c r="BC47" s="30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116"/>
      <c r="BS47" s="62"/>
      <c r="BT47" s="62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3.xml><?xml version="1.0" encoding="utf-8"?>
<worksheet xmlns:r="http://schemas.openxmlformats.org/officeDocument/2006/relationships" xmlns="http://schemas.openxmlformats.org/spreadsheetml/2006/main">
  <dimension ref="A1:BT47"/>
  <sheetViews>
    <sheetView workbookViewId="0" showGridLines="0" defaultGridColor="1"/>
  </sheetViews>
  <sheetFormatPr defaultColWidth="10.8333" defaultRowHeight="16" customHeight="1" outlineLevelRow="0" outlineLevelCol="0"/>
  <cols>
    <col min="1" max="1" width="6.5" style="628" customWidth="1"/>
    <col min="2" max="2" width="5.85156" style="628" customWidth="1"/>
    <col min="3" max="3" width="6.85156" style="628" customWidth="1"/>
    <col min="4" max="4" width="16.6719" style="628" customWidth="1"/>
    <col min="5" max="5" width="10.1719" style="628" customWidth="1"/>
    <col min="6" max="72" width="10.8516" style="628" customWidth="1"/>
    <col min="73" max="16384" width="10.8516" style="628" customWidth="1"/>
  </cols>
  <sheetData>
    <row r="1" ht="85" customHeight="1">
      <c r="A1" t="s" s="37">
        <v>3054</v>
      </c>
      <c r="B1" t="s" s="37">
        <v>453</v>
      </c>
      <c r="C1" t="s" s="37">
        <v>3010</v>
      </c>
      <c r="D1" t="s" s="35">
        <v>455</v>
      </c>
      <c r="E1" t="s" s="35">
        <v>3055</v>
      </c>
      <c r="F1" t="s" s="37">
        <v>456</v>
      </c>
      <c r="G1" t="s" s="35">
        <v>3056</v>
      </c>
      <c r="H1" t="s" s="35">
        <v>3057</v>
      </c>
      <c r="I1" t="s" s="35">
        <v>3011</v>
      </c>
      <c r="J1" t="s" s="35">
        <v>274</v>
      </c>
      <c r="K1" s="32"/>
      <c r="L1" s="32"/>
      <c r="M1" s="32"/>
      <c r="N1" t="s" s="35">
        <v>275</v>
      </c>
      <c r="O1" s="32"/>
      <c r="P1" s="33"/>
      <c r="Q1" s="33"/>
      <c r="R1" s="33"/>
      <c r="S1" s="33"/>
      <c r="T1" t="s" s="35">
        <v>276</v>
      </c>
      <c r="U1" t="s" s="35">
        <v>3058</v>
      </c>
      <c r="V1" s="33"/>
      <c r="W1" s="33"/>
      <c r="X1" t="s" s="35">
        <v>3059</v>
      </c>
      <c r="Y1" t="s" s="35">
        <v>3060</v>
      </c>
      <c r="Z1" t="s" s="35">
        <v>3061</v>
      </c>
      <c r="AA1" t="s" s="35">
        <v>283</v>
      </c>
      <c r="AB1" t="s" s="35">
        <v>284</v>
      </c>
      <c r="AC1" t="s" s="35">
        <v>285</v>
      </c>
      <c r="AD1" t="s" s="35">
        <v>286</v>
      </c>
      <c r="AE1" s="33"/>
      <c r="AF1" t="s" s="35">
        <v>3062</v>
      </c>
      <c r="AG1" s="33"/>
      <c r="AH1" s="33"/>
      <c r="AI1" s="481"/>
      <c r="AJ1" s="29"/>
      <c r="AK1" s="29"/>
      <c r="AL1" s="29"/>
      <c r="AM1" s="28"/>
      <c r="AN1" s="28"/>
      <c r="AO1" s="29"/>
      <c r="AP1" s="29"/>
      <c r="AQ1" s="30"/>
      <c r="AR1" s="29"/>
      <c r="AS1" s="29"/>
      <c r="AT1" s="29"/>
      <c r="AU1" s="30"/>
      <c r="AV1" s="28"/>
      <c r="AW1" s="28"/>
      <c r="AX1" s="28"/>
      <c r="AY1" s="28"/>
      <c r="AZ1" s="28"/>
      <c r="BA1" s="28"/>
      <c r="BB1" s="28"/>
      <c r="BC1" s="29"/>
      <c r="BD1" s="30"/>
      <c r="BE1" s="30"/>
      <c r="BF1" s="30"/>
      <c r="BG1" s="30"/>
      <c r="BH1" s="30"/>
      <c r="BI1" s="29"/>
      <c r="BJ1" s="29"/>
      <c r="BK1" s="29"/>
      <c r="BL1" s="29"/>
      <c r="BM1" s="29"/>
      <c r="BN1" s="29"/>
      <c r="BO1" s="28"/>
      <c r="BP1" s="28"/>
      <c r="BQ1" s="28"/>
      <c r="BR1" s="28"/>
      <c r="BS1" s="28"/>
      <c r="BT1" s="30"/>
    </row>
    <row r="2" ht="51" customHeight="1">
      <c r="A2" s="32"/>
      <c r="B2" s="32"/>
      <c r="C2" s="42"/>
      <c r="D2" s="42"/>
      <c r="E2" s="42"/>
      <c r="F2" s="32"/>
      <c r="G2" s="32"/>
      <c r="H2" s="32"/>
      <c r="I2" s="56"/>
      <c r="J2" t="s" s="35">
        <v>292</v>
      </c>
      <c r="K2" t="s" s="35">
        <v>293</v>
      </c>
      <c r="L2" t="s" s="35">
        <v>294</v>
      </c>
      <c r="M2" t="s" s="35">
        <v>295</v>
      </c>
      <c r="N2" t="s" s="35">
        <v>3063</v>
      </c>
      <c r="O2" t="s" s="35">
        <v>297</v>
      </c>
      <c r="P2" t="s" s="35">
        <v>298</v>
      </c>
      <c r="Q2" t="s" s="35">
        <v>299</v>
      </c>
      <c r="R2" t="s" s="35">
        <v>300</v>
      </c>
      <c r="S2" t="s" s="35">
        <v>11</v>
      </c>
      <c r="T2" s="33"/>
      <c r="U2" t="s" s="35">
        <v>293</v>
      </c>
      <c r="V2" t="s" s="35">
        <v>3064</v>
      </c>
      <c r="W2" t="s" s="35">
        <v>292</v>
      </c>
      <c r="X2" s="33"/>
      <c r="Y2" s="33"/>
      <c r="Z2" s="54"/>
      <c r="AA2" t="s" s="35">
        <v>3065</v>
      </c>
      <c r="AB2" t="s" s="35">
        <v>3065</v>
      </c>
      <c r="AC2" s="33"/>
      <c r="AD2" t="s" s="35">
        <v>8</v>
      </c>
      <c r="AE2" t="s" s="35">
        <v>3066</v>
      </c>
      <c r="AF2" t="s" s="451">
        <v>306</v>
      </c>
      <c r="AG2" t="s" s="37">
        <v>300</v>
      </c>
      <c r="AH2" t="s" s="483">
        <v>458</v>
      </c>
      <c r="AI2" t="s" s="629">
        <v>3067</v>
      </c>
      <c r="AJ2" s="30"/>
      <c r="AK2" s="30"/>
      <c r="AL2" s="30"/>
      <c r="AM2" s="300"/>
      <c r="AN2" s="300"/>
      <c r="AO2" s="300"/>
      <c r="AP2" s="300"/>
      <c r="AQ2" s="300"/>
      <c r="AR2" s="300"/>
      <c r="AS2" s="300"/>
      <c r="AT2" s="300"/>
      <c r="AU2" s="300"/>
      <c r="AV2" s="300"/>
      <c r="AW2" s="300"/>
      <c r="AX2" s="300"/>
      <c r="AY2" s="300"/>
      <c r="AZ2" s="300"/>
      <c r="BA2" s="300"/>
      <c r="BB2" s="300"/>
      <c r="BC2" s="300"/>
      <c r="BD2" s="300"/>
      <c r="BE2" s="300"/>
      <c r="BF2" s="29"/>
      <c r="BG2" s="29"/>
      <c r="BH2" s="29"/>
      <c r="BI2" s="29"/>
      <c r="BJ2" s="29"/>
      <c r="BK2" s="29"/>
      <c r="BL2" s="121"/>
      <c r="BM2" s="121"/>
      <c r="BN2" s="121"/>
      <c r="BO2" s="121"/>
      <c r="BP2" s="121"/>
      <c r="BQ2" s="30"/>
      <c r="BR2" s="30"/>
      <c r="BS2" s="30"/>
      <c r="BT2" s="30"/>
    </row>
    <row r="3" ht="15.35" customHeight="1">
      <c r="A3" t="s" s="37">
        <v>571</v>
      </c>
      <c r="B3" s="39">
        <v>1921</v>
      </c>
      <c r="C3" s="39">
        <v>7</v>
      </c>
      <c r="D3" t="s" s="630">
        <v>572</v>
      </c>
      <c r="E3" s="631"/>
      <c r="F3" s="632"/>
      <c r="G3" s="633"/>
      <c r="H3" s="633"/>
      <c r="I3" s="39">
        <v>21</v>
      </c>
      <c r="J3" s="39">
        <v>14</v>
      </c>
      <c r="K3" s="39">
        <v>5</v>
      </c>
      <c r="L3" s="39">
        <v>1</v>
      </c>
      <c r="M3" s="39">
        <v>1</v>
      </c>
      <c r="N3" s="39">
        <v>7</v>
      </c>
      <c r="O3" s="39">
        <v>3</v>
      </c>
      <c r="P3" s="39">
        <v>2</v>
      </c>
      <c r="Q3" s="39">
        <v>2</v>
      </c>
      <c r="R3" s="39">
        <v>3</v>
      </c>
      <c r="S3" s="39">
        <v>4</v>
      </c>
      <c r="T3" s="39">
        <v>832</v>
      </c>
      <c r="U3" s="634">
        <v>0</v>
      </c>
      <c r="V3" s="634">
        <v>1</v>
      </c>
      <c r="W3" s="634">
        <v>0</v>
      </c>
      <c r="X3" s="634">
        <v>0</v>
      </c>
      <c r="Y3" s="634">
        <v>0</v>
      </c>
      <c r="Z3" s="634">
        <v>0</v>
      </c>
      <c r="AA3" s="634">
        <v>0</v>
      </c>
      <c r="AB3" s="634">
        <v>0</v>
      </c>
      <c r="AC3" s="39">
        <v>12</v>
      </c>
      <c r="AD3" s="39">
        <v>0</v>
      </c>
      <c r="AE3" s="39" cm="1">
        <f t="array" ref="AE3">AC3-AD3</f>
        <v>12</v>
      </c>
      <c r="AF3" s="39">
        <v>18</v>
      </c>
      <c r="AG3" s="39" cm="1">
        <f t="array" ref="AG3">I4-AF4</f>
        <v>23</v>
      </c>
      <c r="AH3" s="634" cm="1">
        <f t="array" ref="AH3">AG3+AF3</f>
        <v>41</v>
      </c>
      <c r="AI3" s="634">
        <v>0</v>
      </c>
      <c r="AJ3" s="635">
        <v>0</v>
      </c>
      <c r="AK3" s="636">
        <v>0</v>
      </c>
      <c r="AL3" s="636">
        <v>0</v>
      </c>
      <c r="AM3" s="636">
        <v>0</v>
      </c>
      <c r="AN3" s="636">
        <v>0</v>
      </c>
      <c r="AO3" s="636">
        <v>0</v>
      </c>
      <c r="AP3" s="636">
        <v>0</v>
      </c>
      <c r="AQ3" s="575"/>
      <c r="AR3" s="575"/>
      <c r="AS3" s="575"/>
      <c r="AT3" s="575"/>
      <c r="AU3" s="575"/>
      <c r="AV3" s="575"/>
      <c r="AW3" s="575"/>
      <c r="AX3" s="575"/>
      <c r="AY3" s="575"/>
      <c r="AZ3" s="575"/>
      <c r="BA3" s="575"/>
      <c r="BB3" s="575"/>
      <c r="BC3" s="575"/>
      <c r="BD3" s="575"/>
      <c r="BE3" s="575"/>
      <c r="BF3" s="575"/>
      <c r="BG3" s="575"/>
      <c r="BH3" s="575"/>
      <c r="BI3" s="575"/>
      <c r="BJ3" s="575"/>
      <c r="BK3" s="575"/>
      <c r="BL3" s="575"/>
      <c r="BM3" s="575"/>
      <c r="BN3" s="575"/>
      <c r="BO3" s="575"/>
      <c r="BP3" s="575"/>
      <c r="BQ3" s="575"/>
      <c r="BR3" s="575"/>
      <c r="BS3" s="575"/>
      <c r="BT3" s="575"/>
    </row>
    <row r="4" ht="17" customHeight="1">
      <c r="A4" t="s" s="31">
        <v>3132</v>
      </c>
      <c r="B4" t="s" s="37">
        <v>725</v>
      </c>
      <c r="C4" s="39">
        <v>11</v>
      </c>
      <c r="D4" t="s" s="35">
        <v>308</v>
      </c>
      <c r="E4" s="637"/>
      <c r="F4" s="563"/>
      <c r="G4" s="577"/>
      <c r="H4" s="638"/>
      <c r="I4" s="39">
        <v>59</v>
      </c>
      <c r="J4" s="39">
        <v>44</v>
      </c>
      <c r="K4" s="39">
        <v>11</v>
      </c>
      <c r="L4" s="39">
        <v>4</v>
      </c>
      <c r="M4" s="39">
        <v>0</v>
      </c>
      <c r="N4" s="39">
        <v>11</v>
      </c>
      <c r="O4" s="39">
        <v>6</v>
      </c>
      <c r="P4" s="39">
        <v>8</v>
      </c>
      <c r="Q4" s="39">
        <v>3</v>
      </c>
      <c r="R4" s="39">
        <v>8</v>
      </c>
      <c r="S4" s="39">
        <v>23</v>
      </c>
      <c r="T4" s="39">
        <v>1968</v>
      </c>
      <c r="U4" s="576"/>
      <c r="V4" s="577"/>
      <c r="W4" s="577"/>
      <c r="X4" s="577"/>
      <c r="Y4" s="577"/>
      <c r="Z4" s="577"/>
      <c r="AA4" s="577"/>
      <c r="AB4" s="638"/>
      <c r="AC4" s="39">
        <v>34</v>
      </c>
      <c r="AD4" s="39">
        <v>6</v>
      </c>
      <c r="AE4" s="39" cm="1">
        <f t="array" ref="AE4">AC4-AD4</f>
        <v>28</v>
      </c>
      <c r="AF4" s="39">
        <v>36</v>
      </c>
      <c r="AG4" s="39" cm="1">
        <f t="array" ref="AG4">I4-AF4</f>
        <v>23</v>
      </c>
      <c r="AH4" s="639" cm="1">
        <f t="array" ref="AH4">AG4+AF4</f>
        <v>59</v>
      </c>
      <c r="AI4" s="577"/>
      <c r="AJ4" s="577"/>
      <c r="AK4" s="577"/>
      <c r="AL4" s="577"/>
      <c r="AM4" s="577"/>
      <c r="AN4" s="577"/>
      <c r="AO4" s="577"/>
      <c r="AP4" s="577"/>
      <c r="AQ4" s="563"/>
      <c r="AR4" s="563"/>
      <c r="AS4" s="563"/>
      <c r="AT4" s="563"/>
      <c r="AU4" s="563"/>
      <c r="AV4" s="563"/>
      <c r="AW4" s="563"/>
      <c r="AX4" s="563"/>
      <c r="AY4" s="563"/>
      <c r="AZ4" s="563"/>
      <c r="BA4" s="563"/>
      <c r="BB4" s="563"/>
      <c r="BC4" s="563"/>
      <c r="BD4" s="563"/>
      <c r="BE4" s="563"/>
      <c r="BF4" s="563"/>
      <c r="BG4" s="563"/>
      <c r="BH4" s="563"/>
      <c r="BI4" s="563"/>
      <c r="BJ4" s="563"/>
      <c r="BK4" s="563"/>
      <c r="BL4" s="563"/>
      <c r="BM4" s="563"/>
      <c r="BN4" s="563"/>
      <c r="BO4" s="563"/>
      <c r="BP4" s="563"/>
      <c r="BQ4" s="563"/>
      <c r="BR4" s="563"/>
      <c r="BS4" s="563"/>
      <c r="BT4" s="563"/>
    </row>
    <row r="5" ht="17" customHeight="1">
      <c r="A5" t="s" s="31">
        <v>465</v>
      </c>
      <c r="B5" t="s" s="37">
        <v>725</v>
      </c>
      <c r="C5" s="640">
        <v>10</v>
      </c>
      <c r="D5" t="s" s="641">
        <v>461</v>
      </c>
      <c r="E5" s="642"/>
      <c r="F5" s="71"/>
      <c r="G5" s="71"/>
      <c r="H5" s="71"/>
      <c r="I5" s="72">
        <v>42</v>
      </c>
      <c r="J5" s="72">
        <v>29</v>
      </c>
      <c r="K5" s="72">
        <v>10</v>
      </c>
      <c r="L5" s="72">
        <v>0</v>
      </c>
      <c r="M5" s="72">
        <v>3</v>
      </c>
      <c r="N5" s="72">
        <v>11</v>
      </c>
      <c r="O5" s="72">
        <v>5</v>
      </c>
      <c r="P5" s="72">
        <v>2</v>
      </c>
      <c r="Q5" s="72">
        <v>2</v>
      </c>
      <c r="R5" s="72">
        <v>8</v>
      </c>
      <c r="S5" s="72">
        <v>14</v>
      </c>
      <c r="T5" s="72">
        <v>1718</v>
      </c>
      <c r="U5" s="72">
        <v>0</v>
      </c>
      <c r="V5" s="72">
        <v>0</v>
      </c>
      <c r="W5" s="72">
        <v>5</v>
      </c>
      <c r="X5" s="72">
        <v>0</v>
      </c>
      <c r="Y5" s="72">
        <v>0</v>
      </c>
      <c r="Z5" s="72">
        <v>0</v>
      </c>
      <c r="AA5" s="71"/>
      <c r="AB5" s="72">
        <v>0</v>
      </c>
      <c r="AC5" s="72">
        <v>28</v>
      </c>
      <c r="AD5" s="643">
        <v>5</v>
      </c>
      <c r="AE5" s="39" cm="1">
        <f t="array" ref="AE5">AC5-AD5</f>
        <v>23</v>
      </c>
      <c r="AF5" s="456">
        <v>17</v>
      </c>
      <c r="AG5" s="39" cm="1">
        <f t="array" ref="AG5">I5-AF5</f>
        <v>25</v>
      </c>
      <c r="AH5" s="644" cm="1">
        <f t="array" ref="AH5">AG5+AF5</f>
        <v>42</v>
      </c>
      <c r="AI5" s="645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  <c r="BP5" s="71"/>
      <c r="BQ5" s="71"/>
      <c r="BR5" s="71"/>
      <c r="BS5" s="71"/>
      <c r="BT5" s="71"/>
    </row>
    <row r="6" ht="17" customHeight="1">
      <c r="A6" t="s" s="534">
        <v>3136</v>
      </c>
      <c r="B6" t="s" s="37">
        <v>725</v>
      </c>
      <c r="C6" s="272">
        <v>7</v>
      </c>
      <c r="D6" t="s" s="101">
        <v>3137</v>
      </c>
      <c r="E6" s="475"/>
      <c r="F6" s="16"/>
      <c r="G6" s="16"/>
      <c r="H6" s="16"/>
      <c r="I6" s="79">
        <v>29</v>
      </c>
      <c r="J6" s="79">
        <v>22</v>
      </c>
      <c r="K6" s="79">
        <v>7</v>
      </c>
      <c r="L6" s="79">
        <v>0</v>
      </c>
      <c r="M6" s="79">
        <v>0</v>
      </c>
      <c r="N6" s="79">
        <v>7</v>
      </c>
      <c r="O6" s="79">
        <v>4</v>
      </c>
      <c r="P6" s="79">
        <v>1</v>
      </c>
      <c r="Q6" s="79">
        <v>0</v>
      </c>
      <c r="R6" s="79">
        <v>4</v>
      </c>
      <c r="S6" s="79">
        <v>13</v>
      </c>
      <c r="T6" s="79">
        <v>1185</v>
      </c>
      <c r="U6" s="79">
        <v>0</v>
      </c>
      <c r="V6" s="79">
        <v>0</v>
      </c>
      <c r="W6" s="79">
        <v>0</v>
      </c>
      <c r="X6" s="79">
        <v>0</v>
      </c>
      <c r="Y6" s="79">
        <v>0</v>
      </c>
      <c r="Z6" s="79">
        <v>0</v>
      </c>
      <c r="AA6" s="79">
        <v>0</v>
      </c>
      <c r="AB6" s="79">
        <v>0</v>
      </c>
      <c r="AC6" s="79">
        <v>21</v>
      </c>
      <c r="AD6" s="274">
        <v>5</v>
      </c>
      <c r="AE6" s="39" cm="1">
        <f t="array" ref="AE6">AC6-AD6</f>
        <v>16</v>
      </c>
      <c r="AF6" s="458">
        <v>10</v>
      </c>
      <c r="AG6" s="39" cm="1">
        <f t="array" ref="AG6">I6-AF6</f>
        <v>19</v>
      </c>
      <c r="AH6" s="272" cm="1">
        <f t="array" ref="AH6">AG6+AF6</f>
        <v>29</v>
      </c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</row>
    <row r="7" ht="17.45" customHeight="1">
      <c r="A7" t="s" s="450">
        <v>685</v>
      </c>
      <c r="B7" s="39">
        <v>1921</v>
      </c>
      <c r="C7" s="458">
        <v>3</v>
      </c>
      <c r="D7" t="s" s="646">
        <v>686</v>
      </c>
      <c r="E7" s="647"/>
      <c r="F7" s="16"/>
      <c r="G7" s="16"/>
      <c r="H7" s="16"/>
      <c r="I7" s="79">
        <v>16</v>
      </c>
      <c r="J7" s="79">
        <v>13</v>
      </c>
      <c r="K7" s="79">
        <v>3</v>
      </c>
      <c r="L7" s="79">
        <v>0</v>
      </c>
      <c r="M7" s="79">
        <v>0</v>
      </c>
      <c r="N7" s="79">
        <v>3</v>
      </c>
      <c r="O7" s="79">
        <v>3</v>
      </c>
      <c r="P7" s="79">
        <v>1</v>
      </c>
      <c r="Q7" s="79">
        <v>0</v>
      </c>
      <c r="R7" s="79">
        <v>1</v>
      </c>
      <c r="S7" s="79">
        <v>8</v>
      </c>
      <c r="T7" s="79">
        <v>600</v>
      </c>
      <c r="U7" s="79">
        <v>0</v>
      </c>
      <c r="V7" s="79">
        <v>0</v>
      </c>
      <c r="W7" s="79">
        <v>0</v>
      </c>
      <c r="X7" s="79">
        <v>0</v>
      </c>
      <c r="Y7" s="79">
        <v>0</v>
      </c>
      <c r="Z7" s="79">
        <v>0</v>
      </c>
      <c r="AA7" s="79">
        <v>0</v>
      </c>
      <c r="AB7" s="79">
        <v>0</v>
      </c>
      <c r="AC7" s="79">
        <v>12</v>
      </c>
      <c r="AD7" s="274">
        <v>2</v>
      </c>
      <c r="AE7" s="39" cm="1">
        <f t="array" ref="AE7">AC7-AD7</f>
        <v>10</v>
      </c>
      <c r="AF7" s="458">
        <v>7</v>
      </c>
      <c r="AG7" s="39" cm="1">
        <f t="array" ref="AG7">I7-AF7</f>
        <v>9</v>
      </c>
      <c r="AH7" s="272" cm="1">
        <f t="array" ref="AH7">AG7+AF7</f>
        <v>16</v>
      </c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</row>
    <row r="8" ht="17.45" customHeight="1">
      <c r="A8" t="s" s="37">
        <v>724</v>
      </c>
      <c r="B8" t="s" s="37">
        <v>725</v>
      </c>
      <c r="C8" s="458">
        <v>2</v>
      </c>
      <c r="D8" t="s" s="648">
        <v>726</v>
      </c>
      <c r="E8" s="647"/>
      <c r="F8" s="16"/>
      <c r="G8" s="16"/>
      <c r="H8" s="16"/>
      <c r="I8" s="79">
        <v>14</v>
      </c>
      <c r="J8" s="79">
        <v>8</v>
      </c>
      <c r="K8" s="79">
        <v>2</v>
      </c>
      <c r="L8" s="79">
        <v>3</v>
      </c>
      <c r="M8" s="79">
        <v>1</v>
      </c>
      <c r="N8" s="79">
        <v>2</v>
      </c>
      <c r="O8" s="79">
        <v>2</v>
      </c>
      <c r="P8" s="79">
        <v>0</v>
      </c>
      <c r="Q8" s="79">
        <v>0</v>
      </c>
      <c r="R8" s="79">
        <v>2</v>
      </c>
      <c r="S8" s="79">
        <v>8</v>
      </c>
      <c r="T8" s="79">
        <v>460</v>
      </c>
      <c r="U8" s="79">
        <v>0</v>
      </c>
      <c r="V8" s="79">
        <v>0</v>
      </c>
      <c r="W8" s="79">
        <v>0</v>
      </c>
      <c r="X8" s="79">
        <v>0</v>
      </c>
      <c r="Y8" s="79">
        <v>0</v>
      </c>
      <c r="Z8" s="79">
        <v>0</v>
      </c>
      <c r="AA8" s="16"/>
      <c r="AB8" s="16"/>
      <c r="AC8" s="79">
        <v>11</v>
      </c>
      <c r="AD8" s="274">
        <v>1</v>
      </c>
      <c r="AE8" s="39" cm="1">
        <f t="array" ref="AE8">AC8-AD8</f>
        <v>10</v>
      </c>
      <c r="AF8" s="458">
        <v>2</v>
      </c>
      <c r="AG8" s="39" cm="1">
        <f t="array" ref="AG8">I8-AF8</f>
        <v>12</v>
      </c>
      <c r="AH8" s="272" cm="1">
        <f t="array" ref="AH8">AG8+AF8</f>
        <v>14</v>
      </c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</row>
    <row r="9" ht="17.45" customHeight="1">
      <c r="A9" t="s" s="37">
        <v>767</v>
      </c>
      <c r="B9" s="39">
        <v>1921</v>
      </c>
      <c r="C9" s="458">
        <v>6</v>
      </c>
      <c r="D9" t="s" s="648">
        <v>768</v>
      </c>
      <c r="E9" s="647"/>
      <c r="F9" s="16"/>
      <c r="G9" s="16"/>
      <c r="H9" s="16"/>
      <c r="I9" s="79">
        <v>33</v>
      </c>
      <c r="J9" s="79">
        <v>21</v>
      </c>
      <c r="K9" s="79">
        <v>7</v>
      </c>
      <c r="L9" s="79">
        <v>3</v>
      </c>
      <c r="M9" s="79">
        <v>2</v>
      </c>
      <c r="N9" s="79">
        <v>6</v>
      </c>
      <c r="O9" s="79">
        <v>5</v>
      </c>
      <c r="P9" s="79">
        <v>5</v>
      </c>
      <c r="Q9" s="79">
        <v>2</v>
      </c>
      <c r="R9" s="79">
        <v>3</v>
      </c>
      <c r="S9" s="79">
        <v>12</v>
      </c>
      <c r="T9" s="79">
        <v>1139</v>
      </c>
      <c r="U9" s="79">
        <v>0</v>
      </c>
      <c r="V9" s="79">
        <v>0</v>
      </c>
      <c r="W9" s="79">
        <v>0</v>
      </c>
      <c r="X9" s="79">
        <v>0</v>
      </c>
      <c r="Y9" s="79">
        <v>0</v>
      </c>
      <c r="Z9" s="79">
        <v>0</v>
      </c>
      <c r="AA9" s="79">
        <v>0</v>
      </c>
      <c r="AB9" s="79">
        <v>0</v>
      </c>
      <c r="AC9" s="79">
        <v>20</v>
      </c>
      <c r="AD9" s="274">
        <v>3</v>
      </c>
      <c r="AE9" s="39" cm="1">
        <f t="array" ref="AE9">AC9-AD9</f>
        <v>17</v>
      </c>
      <c r="AF9" s="458">
        <v>17</v>
      </c>
      <c r="AG9" s="39" cm="1">
        <f t="array" ref="AG9">I9-AF9</f>
        <v>16</v>
      </c>
      <c r="AH9" s="272" cm="1">
        <f t="array" ref="AH9">AG9+AF9</f>
        <v>33</v>
      </c>
      <c r="AI9" s="79">
        <v>0</v>
      </c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</row>
    <row r="10" ht="17.45" customHeight="1">
      <c r="A10" t="s" s="37">
        <v>832</v>
      </c>
      <c r="B10" s="39">
        <v>1921</v>
      </c>
      <c r="C10" s="458">
        <v>10</v>
      </c>
      <c r="D10" t="s" s="648">
        <v>833</v>
      </c>
      <c r="E10" s="647"/>
      <c r="F10" s="16"/>
      <c r="G10" s="16"/>
      <c r="H10" s="16"/>
      <c r="I10" s="79">
        <v>46</v>
      </c>
      <c r="J10" s="79">
        <v>27</v>
      </c>
      <c r="K10" s="79">
        <v>12</v>
      </c>
      <c r="L10" s="79">
        <v>4</v>
      </c>
      <c r="M10" s="79">
        <v>3</v>
      </c>
      <c r="N10" s="79">
        <v>10</v>
      </c>
      <c r="O10" s="79">
        <v>6</v>
      </c>
      <c r="P10" s="79">
        <v>6</v>
      </c>
      <c r="Q10" s="79">
        <v>6</v>
      </c>
      <c r="R10" s="79">
        <v>8</v>
      </c>
      <c r="S10" s="79">
        <v>10</v>
      </c>
      <c r="T10" s="79">
        <v>1622</v>
      </c>
      <c r="U10" s="79">
        <v>0</v>
      </c>
      <c r="V10" s="79">
        <v>0</v>
      </c>
      <c r="W10" s="79">
        <v>0</v>
      </c>
      <c r="X10" s="79">
        <v>0</v>
      </c>
      <c r="Y10" s="79">
        <v>0</v>
      </c>
      <c r="Z10" s="79">
        <v>0</v>
      </c>
      <c r="AA10" s="79">
        <v>0</v>
      </c>
      <c r="AB10" s="79">
        <v>0</v>
      </c>
      <c r="AC10" s="79">
        <v>26</v>
      </c>
      <c r="AD10" s="274">
        <v>2</v>
      </c>
      <c r="AE10" s="39" cm="1">
        <f t="array" ref="AE10">AC10-AD10</f>
        <v>24</v>
      </c>
      <c r="AF10" s="458">
        <v>13</v>
      </c>
      <c r="AG10" s="39" cm="1">
        <f t="array" ref="AG10">I10-AF10</f>
        <v>33</v>
      </c>
      <c r="AH10" s="272" cm="1">
        <f t="array" ref="AH10">AG10+AF10</f>
        <v>46</v>
      </c>
      <c r="AI10" s="79">
        <v>0</v>
      </c>
      <c r="AJ10" s="79">
        <v>0</v>
      </c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</row>
    <row r="11" ht="17.45" customHeight="1">
      <c r="A11" t="s" s="37">
        <v>1496</v>
      </c>
      <c r="B11" s="39">
        <v>1921</v>
      </c>
      <c r="C11" s="458">
        <v>21</v>
      </c>
      <c r="D11" t="s" s="648">
        <v>1497</v>
      </c>
      <c r="E11" s="647"/>
      <c r="F11" s="16"/>
      <c r="G11" s="16"/>
      <c r="H11" s="16"/>
      <c r="I11" s="79">
        <v>86</v>
      </c>
      <c r="J11" s="79">
        <v>54</v>
      </c>
      <c r="K11" s="79">
        <v>25</v>
      </c>
      <c r="L11" s="79">
        <v>5</v>
      </c>
      <c r="M11" s="79">
        <v>2</v>
      </c>
      <c r="N11" s="79">
        <v>20</v>
      </c>
      <c r="O11" s="79">
        <v>16</v>
      </c>
      <c r="P11" s="79">
        <v>13</v>
      </c>
      <c r="Q11" s="79">
        <v>6</v>
      </c>
      <c r="R11" s="79">
        <v>10</v>
      </c>
      <c r="S11" s="79">
        <v>21</v>
      </c>
      <c r="T11" s="79">
        <v>3030</v>
      </c>
      <c r="U11" s="79">
        <v>0</v>
      </c>
      <c r="V11" s="79">
        <v>0</v>
      </c>
      <c r="W11" s="79">
        <v>0</v>
      </c>
      <c r="X11" s="79">
        <v>0</v>
      </c>
      <c r="Y11" s="79">
        <v>0</v>
      </c>
      <c r="Z11" s="79">
        <v>0</v>
      </c>
      <c r="AA11" s="79">
        <v>0</v>
      </c>
      <c r="AB11" s="79">
        <v>0</v>
      </c>
      <c r="AC11" s="79">
        <v>50</v>
      </c>
      <c r="AD11" s="274">
        <v>8</v>
      </c>
      <c r="AE11" s="39" cm="1">
        <f t="array" ref="AE11">AC11-AD11</f>
        <v>42</v>
      </c>
      <c r="AF11" s="458">
        <v>36</v>
      </c>
      <c r="AG11" s="39" cm="1">
        <f t="array" ref="AG11">I11-AF11</f>
        <v>50</v>
      </c>
      <c r="AH11" s="272" cm="1">
        <f t="array" ref="AH11">AG11+AF11</f>
        <v>86</v>
      </c>
      <c r="AI11" s="79">
        <v>0</v>
      </c>
      <c r="AJ11" s="79">
        <v>0</v>
      </c>
      <c r="AK11" s="79">
        <v>0</v>
      </c>
      <c r="AL11" s="79">
        <v>0</v>
      </c>
      <c r="AM11" s="79">
        <v>0</v>
      </c>
      <c r="AN11" s="79">
        <v>0</v>
      </c>
      <c r="AO11" s="79">
        <v>0</v>
      </c>
      <c r="AP11" s="79">
        <v>0</v>
      </c>
      <c r="AQ11" s="79">
        <v>0</v>
      </c>
      <c r="AR11" s="79">
        <v>0</v>
      </c>
      <c r="AS11" s="79">
        <v>0</v>
      </c>
      <c r="AT11" s="79">
        <v>0</v>
      </c>
      <c r="AU11" s="79">
        <v>0</v>
      </c>
      <c r="AV11" s="79">
        <v>0</v>
      </c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</row>
    <row r="12" ht="15.35" customHeight="1">
      <c r="A12" t="s" s="37">
        <v>941</v>
      </c>
      <c r="B12" s="39">
        <v>1921</v>
      </c>
      <c r="C12" s="458">
        <v>3</v>
      </c>
      <c r="D12" t="s" s="630">
        <v>967</v>
      </c>
      <c r="E12" s="647"/>
      <c r="F12" s="16"/>
      <c r="G12" s="16"/>
      <c r="H12" s="16"/>
      <c r="I12" s="79">
        <v>21</v>
      </c>
      <c r="J12" s="79">
        <v>17</v>
      </c>
      <c r="K12" s="79">
        <v>2</v>
      </c>
      <c r="L12" s="79">
        <v>1</v>
      </c>
      <c r="M12" s="79">
        <v>1</v>
      </c>
      <c r="N12" s="79">
        <v>2</v>
      </c>
      <c r="O12" s="79">
        <v>3</v>
      </c>
      <c r="P12" s="79">
        <v>1</v>
      </c>
      <c r="Q12" s="79">
        <v>1</v>
      </c>
      <c r="R12" s="79">
        <v>0</v>
      </c>
      <c r="S12" s="79">
        <v>14</v>
      </c>
      <c r="T12" s="79">
        <v>729</v>
      </c>
      <c r="U12" s="16"/>
      <c r="V12" s="16"/>
      <c r="W12" s="16"/>
      <c r="X12" s="16"/>
      <c r="Y12" s="16"/>
      <c r="Z12" s="16"/>
      <c r="AA12" s="16"/>
      <c r="AB12" s="16"/>
      <c r="AC12" s="79">
        <v>14</v>
      </c>
      <c r="AD12" s="274">
        <v>1</v>
      </c>
      <c r="AE12" s="39" cm="1">
        <f t="array" ref="AE12">AC12-AD12</f>
        <v>13</v>
      </c>
      <c r="AF12" s="458">
        <v>11</v>
      </c>
      <c r="AG12" s="39" cm="1">
        <f t="array" ref="AG12">I12-AF12</f>
        <v>10</v>
      </c>
      <c r="AH12" s="272" cm="1">
        <f t="array" ref="AH12">AG12+AF12</f>
        <v>21</v>
      </c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</row>
    <row r="13" ht="15.35" customHeight="1">
      <c r="A13" t="s" s="37">
        <v>989</v>
      </c>
      <c r="B13" s="39">
        <v>1921</v>
      </c>
      <c r="C13" s="458">
        <v>1</v>
      </c>
      <c r="D13" t="s" s="630">
        <v>990</v>
      </c>
      <c r="E13" s="647"/>
      <c r="F13" s="16"/>
      <c r="G13" s="16"/>
      <c r="H13" s="16"/>
      <c r="I13" s="79">
        <v>3</v>
      </c>
      <c r="J13" s="79">
        <v>3</v>
      </c>
      <c r="K13" s="79">
        <v>0</v>
      </c>
      <c r="L13" s="79">
        <v>0</v>
      </c>
      <c r="M13" s="79">
        <v>0</v>
      </c>
      <c r="N13" s="79">
        <v>0</v>
      </c>
      <c r="O13" s="79">
        <v>0</v>
      </c>
      <c r="P13" s="16"/>
      <c r="Q13" s="79">
        <v>0</v>
      </c>
      <c r="R13" s="79">
        <v>0</v>
      </c>
      <c r="S13" s="79">
        <v>0</v>
      </c>
      <c r="T13" s="79">
        <v>123</v>
      </c>
      <c r="U13" s="79">
        <v>0</v>
      </c>
      <c r="V13" s="79">
        <v>0</v>
      </c>
      <c r="W13" s="79">
        <v>0</v>
      </c>
      <c r="X13" s="79">
        <v>0</v>
      </c>
      <c r="Y13" s="79">
        <v>0</v>
      </c>
      <c r="Z13" s="79">
        <v>0</v>
      </c>
      <c r="AA13" s="79">
        <v>0</v>
      </c>
      <c r="AB13" s="79">
        <v>0</v>
      </c>
      <c r="AC13" s="79">
        <v>2</v>
      </c>
      <c r="AD13" s="274">
        <v>0</v>
      </c>
      <c r="AE13" s="39" cm="1">
        <f t="array" ref="AE13">AC13-AD13</f>
        <v>2</v>
      </c>
      <c r="AF13" s="458">
        <v>2</v>
      </c>
      <c r="AG13" s="39" cm="1">
        <f t="array" ref="AG13">I13-AF13</f>
        <v>1</v>
      </c>
      <c r="AH13" s="272" cm="1">
        <f t="array" ref="AH13">AG13+AF13</f>
        <v>3</v>
      </c>
      <c r="AI13" s="16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</row>
    <row r="14" ht="15.35" customHeight="1">
      <c r="A14" t="s" s="37">
        <v>998</v>
      </c>
      <c r="B14" s="39">
        <v>1921</v>
      </c>
      <c r="C14" s="458">
        <v>5</v>
      </c>
      <c r="D14" t="s" s="630">
        <v>999</v>
      </c>
      <c r="E14" s="647"/>
      <c r="F14" s="16"/>
      <c r="G14" s="16"/>
      <c r="H14" s="16"/>
      <c r="I14" s="79">
        <v>44</v>
      </c>
      <c r="J14" s="79">
        <v>33</v>
      </c>
      <c r="K14" s="79">
        <v>10</v>
      </c>
      <c r="L14" s="79">
        <v>1</v>
      </c>
      <c r="M14" s="79">
        <v>0</v>
      </c>
      <c r="N14" s="79">
        <v>4</v>
      </c>
      <c r="O14" s="79">
        <v>5</v>
      </c>
      <c r="P14" s="79">
        <v>4</v>
      </c>
      <c r="Q14" s="79">
        <v>3</v>
      </c>
      <c r="R14" s="79">
        <v>14</v>
      </c>
      <c r="S14" s="79">
        <v>14</v>
      </c>
      <c r="T14" s="79">
        <v>1585</v>
      </c>
      <c r="U14" s="16"/>
      <c r="V14" s="79">
        <v>0</v>
      </c>
      <c r="W14" s="16"/>
      <c r="X14" s="79">
        <v>0</v>
      </c>
      <c r="Y14" s="79">
        <v>0</v>
      </c>
      <c r="Z14" s="79">
        <v>0</v>
      </c>
      <c r="AA14" s="79">
        <v>0</v>
      </c>
      <c r="AB14" s="79">
        <v>0</v>
      </c>
      <c r="AC14" s="79">
        <v>23</v>
      </c>
      <c r="AD14" s="274">
        <v>5</v>
      </c>
      <c r="AE14" s="39" cm="1">
        <f t="array" ref="AE14">AC14-AD14</f>
        <v>18</v>
      </c>
      <c r="AF14" s="458">
        <v>10</v>
      </c>
      <c r="AG14" s="39" cm="1">
        <f t="array" ref="AG14">I14-AF14</f>
        <v>34</v>
      </c>
      <c r="AH14" s="272" cm="1">
        <f t="array" ref="AH14">AG14+AF14</f>
        <v>44</v>
      </c>
      <c r="AI14" s="16"/>
      <c r="AJ14" s="16"/>
      <c r="AK14" s="16"/>
      <c r="AL14" s="16"/>
      <c r="AM14" s="16"/>
      <c r="AN14" s="16"/>
      <c r="AO14" s="16"/>
      <c r="AP14" s="16"/>
      <c r="AQ14" s="16"/>
      <c r="AR14" s="16"/>
      <c r="AS14" s="16"/>
      <c r="AT14" s="16"/>
      <c r="AU14" s="16"/>
      <c r="AV14" s="16"/>
      <c r="AW14" s="16"/>
      <c r="AX14" s="16"/>
      <c r="AY14" s="16"/>
      <c r="AZ14" s="16"/>
      <c r="BA14" s="16"/>
      <c r="BB14" s="16"/>
      <c r="BC14" s="16"/>
      <c r="BD14" s="16"/>
      <c r="BE14" s="16"/>
      <c r="BF14" s="16"/>
      <c r="BG14" s="16"/>
      <c r="BH14" s="16"/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  <c r="BT14" s="16"/>
    </row>
    <row r="15" ht="15.35" customHeight="1">
      <c r="A15" t="s" s="37">
        <v>3143</v>
      </c>
      <c r="B15" t="s" s="37">
        <v>725</v>
      </c>
      <c r="C15" s="458">
        <v>19</v>
      </c>
      <c r="D15" t="s" s="630">
        <v>3144</v>
      </c>
      <c r="E15" s="647"/>
      <c r="F15" s="16"/>
      <c r="G15" s="16"/>
      <c r="H15" s="16"/>
      <c r="I15" s="79">
        <v>97</v>
      </c>
      <c r="J15" s="79">
        <v>71</v>
      </c>
      <c r="K15" s="79">
        <v>19</v>
      </c>
      <c r="L15" s="79">
        <v>4</v>
      </c>
      <c r="M15" s="79">
        <v>3</v>
      </c>
      <c r="N15" s="79">
        <v>14</v>
      </c>
      <c r="O15" s="79">
        <v>5</v>
      </c>
      <c r="P15" s="79">
        <v>10</v>
      </c>
      <c r="Q15" s="79">
        <v>6</v>
      </c>
      <c r="R15" s="79">
        <v>13</v>
      </c>
      <c r="S15" s="79">
        <v>49</v>
      </c>
      <c r="T15" s="79">
        <v>3426</v>
      </c>
      <c r="U15" s="79">
        <v>0</v>
      </c>
      <c r="V15" s="79">
        <v>0</v>
      </c>
      <c r="W15" s="79">
        <v>0</v>
      </c>
      <c r="X15" s="79">
        <v>0</v>
      </c>
      <c r="Y15" s="79">
        <v>0</v>
      </c>
      <c r="Z15" s="79">
        <v>0</v>
      </c>
      <c r="AA15" s="79">
        <v>0</v>
      </c>
      <c r="AB15" s="79">
        <v>0</v>
      </c>
      <c r="AC15" s="79">
        <v>67</v>
      </c>
      <c r="AD15" s="274">
        <v>8</v>
      </c>
      <c r="AE15" s="39" cm="1">
        <f t="array" ref="AE15">AC15-AD15</f>
        <v>59</v>
      </c>
      <c r="AF15" s="458">
        <v>53</v>
      </c>
      <c r="AG15" s="39" cm="1">
        <f t="array" ref="AG15">I15-AF15</f>
        <v>44</v>
      </c>
      <c r="AH15" s="272" cm="1">
        <f t="array" ref="AH15">AG15+AF15</f>
        <v>97</v>
      </c>
      <c r="AI15" s="16"/>
      <c r="AJ15" s="16"/>
      <c r="AK15" s="16"/>
      <c r="AL15" s="16"/>
      <c r="AM15" s="16"/>
      <c r="AN15" s="16"/>
      <c r="AO15" s="16"/>
      <c r="AP15" s="16"/>
      <c r="AQ15" s="16"/>
      <c r="AR15" s="16"/>
      <c r="AS15" s="16"/>
      <c r="AT15" s="16"/>
      <c r="AU15" s="16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6"/>
      <c r="BG15" s="16"/>
      <c r="BH15" s="16"/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  <c r="BT15" s="16"/>
    </row>
    <row r="16" ht="15.35" customHeight="1">
      <c r="A16" t="s" s="37">
        <v>1099</v>
      </c>
      <c r="B16" s="39">
        <v>1921</v>
      </c>
      <c r="C16" s="458">
        <v>4</v>
      </c>
      <c r="D16" t="s" s="630">
        <v>1100</v>
      </c>
      <c r="E16" s="647"/>
      <c r="F16" s="16"/>
      <c r="G16" s="16"/>
      <c r="H16" s="16"/>
      <c r="I16" s="79">
        <v>21</v>
      </c>
      <c r="J16" s="79">
        <v>12</v>
      </c>
      <c r="K16" s="79">
        <v>6</v>
      </c>
      <c r="L16" s="79">
        <v>0</v>
      </c>
      <c r="M16" s="79">
        <v>3</v>
      </c>
      <c r="N16" s="79">
        <v>4</v>
      </c>
      <c r="O16" s="79">
        <v>4</v>
      </c>
      <c r="P16" s="79">
        <v>0</v>
      </c>
      <c r="Q16" s="79">
        <v>4</v>
      </c>
      <c r="R16" s="79">
        <v>1</v>
      </c>
      <c r="S16" s="79">
        <v>8</v>
      </c>
      <c r="T16" s="79">
        <v>729</v>
      </c>
      <c r="U16" s="16"/>
      <c r="V16" s="79">
        <v>0</v>
      </c>
      <c r="W16" s="79">
        <v>0</v>
      </c>
      <c r="X16" s="79">
        <v>0</v>
      </c>
      <c r="Y16" s="79">
        <v>0</v>
      </c>
      <c r="Z16" s="79">
        <v>0</v>
      </c>
      <c r="AA16" s="79">
        <v>0</v>
      </c>
      <c r="AB16" s="79">
        <v>0</v>
      </c>
      <c r="AC16" s="79">
        <v>13</v>
      </c>
      <c r="AD16" s="274">
        <v>3</v>
      </c>
      <c r="AE16" s="39" cm="1">
        <f t="array" ref="AE16">AC16-AD16</f>
        <v>10</v>
      </c>
      <c r="AF16" s="458">
        <v>6</v>
      </c>
      <c r="AG16" s="39" cm="1">
        <f t="array" ref="AG16">I16-AF16</f>
        <v>15</v>
      </c>
      <c r="AH16" s="272" cm="1">
        <f t="array" ref="AH16">AG16+AF16</f>
        <v>21</v>
      </c>
      <c r="AI16" s="79">
        <v>0</v>
      </c>
      <c r="AJ16" s="79">
        <v>0</v>
      </c>
      <c r="AK16" s="16"/>
      <c r="AL16" s="16"/>
      <c r="AM16" s="16"/>
      <c r="AN16" s="16"/>
      <c r="AO16" s="16"/>
      <c r="AP16" s="16"/>
      <c r="AQ16" s="16"/>
      <c r="AR16" s="16"/>
      <c r="AS16" s="16"/>
      <c r="AT16" s="16"/>
      <c r="AU16" s="16"/>
      <c r="AV16" s="16"/>
      <c r="AW16" s="16"/>
      <c r="AX16" s="16"/>
      <c r="AY16" s="16"/>
      <c r="AZ16" s="16"/>
      <c r="BA16" s="16"/>
      <c r="BB16" s="16"/>
      <c r="BC16" s="16"/>
      <c r="BD16" s="16"/>
      <c r="BE16" s="16"/>
      <c r="BF16" s="16"/>
      <c r="BG16" s="16"/>
      <c r="BH16" s="16"/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  <c r="BT16" s="16"/>
    </row>
    <row r="17" ht="15.35" customHeight="1">
      <c r="A17" t="s" s="37">
        <v>998</v>
      </c>
      <c r="B17" s="39">
        <v>1921</v>
      </c>
      <c r="C17" s="458">
        <v>8</v>
      </c>
      <c r="D17" t="s" s="630">
        <v>1146</v>
      </c>
      <c r="E17" s="647"/>
      <c r="F17" s="16"/>
      <c r="G17" s="16"/>
      <c r="H17" s="16"/>
      <c r="I17" s="79">
        <v>21</v>
      </c>
      <c r="J17" s="79">
        <v>30</v>
      </c>
      <c r="K17" s="79">
        <v>5</v>
      </c>
      <c r="L17" s="79">
        <v>0</v>
      </c>
      <c r="M17" s="79">
        <v>0</v>
      </c>
      <c r="N17" s="79">
        <v>7</v>
      </c>
      <c r="O17" s="79">
        <v>4</v>
      </c>
      <c r="P17" s="79">
        <v>3</v>
      </c>
      <c r="Q17" s="79">
        <v>0</v>
      </c>
      <c r="R17" s="79">
        <v>1</v>
      </c>
      <c r="S17" s="79">
        <v>20</v>
      </c>
      <c r="T17" s="79">
        <v>1406</v>
      </c>
      <c r="U17" s="79">
        <v>0</v>
      </c>
      <c r="V17" s="79">
        <v>0</v>
      </c>
      <c r="W17" s="16"/>
      <c r="X17" s="79">
        <v>0</v>
      </c>
      <c r="Y17" s="79">
        <v>0</v>
      </c>
      <c r="Z17" s="79">
        <v>0</v>
      </c>
      <c r="AA17" s="79">
        <v>0</v>
      </c>
      <c r="AB17" s="79">
        <v>0</v>
      </c>
      <c r="AC17" s="79">
        <v>25</v>
      </c>
      <c r="AD17" s="274">
        <v>2</v>
      </c>
      <c r="AE17" s="39" cm="1">
        <f t="array" ref="AE17">AC17-AD17</f>
        <v>23</v>
      </c>
      <c r="AF17" s="458">
        <v>26</v>
      </c>
      <c r="AG17" s="39" cm="1">
        <f t="array" ref="AG17">I17-AF17</f>
        <v>-5</v>
      </c>
      <c r="AH17" s="272" cm="1">
        <f t="array" ref="AH17">AG17+AF17</f>
        <v>21</v>
      </c>
      <c r="AI17" s="79">
        <v>0</v>
      </c>
      <c r="AJ17" s="99"/>
      <c r="AK17" s="99"/>
      <c r="AL17" s="79">
        <v>0</v>
      </c>
      <c r="AM17" s="79">
        <v>0</v>
      </c>
      <c r="AN17" s="79">
        <v>0</v>
      </c>
      <c r="AO17" s="79">
        <v>0</v>
      </c>
      <c r="AP17" s="79">
        <v>0</v>
      </c>
      <c r="AQ17" s="79">
        <v>0</v>
      </c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  <c r="BT17" s="16"/>
    </row>
    <row r="18" ht="15.35" customHeight="1">
      <c r="A18" t="s" s="37">
        <v>1229</v>
      </c>
      <c r="B18" s="39">
        <v>1921</v>
      </c>
      <c r="C18" s="458">
        <v>3</v>
      </c>
      <c r="D18" t="s" s="630">
        <v>1230</v>
      </c>
      <c r="E18" s="647"/>
      <c r="F18" s="16"/>
      <c r="G18" s="16"/>
      <c r="H18" s="16"/>
      <c r="I18" s="79">
        <v>9</v>
      </c>
      <c r="J18" s="79">
        <v>7</v>
      </c>
      <c r="K18" s="79">
        <v>2</v>
      </c>
      <c r="L18" s="79">
        <v>0</v>
      </c>
      <c r="M18" s="79">
        <v>0</v>
      </c>
      <c r="N18" s="79">
        <v>2</v>
      </c>
      <c r="O18" s="79">
        <v>0</v>
      </c>
      <c r="P18" s="79">
        <v>4</v>
      </c>
      <c r="Q18" s="79">
        <v>1</v>
      </c>
      <c r="R18" s="79">
        <v>0</v>
      </c>
      <c r="S18" s="79">
        <v>2</v>
      </c>
      <c r="T18" s="79">
        <v>352</v>
      </c>
      <c r="U18" s="79">
        <v>0</v>
      </c>
      <c r="V18" s="79">
        <v>0</v>
      </c>
      <c r="W18" s="79">
        <v>0</v>
      </c>
      <c r="X18" s="16"/>
      <c r="Y18" s="79">
        <v>0</v>
      </c>
      <c r="Z18" s="79">
        <v>0</v>
      </c>
      <c r="AA18" s="16"/>
      <c r="AB18" s="16"/>
      <c r="AC18" s="79">
        <v>0</v>
      </c>
      <c r="AD18" s="274">
        <v>0</v>
      </c>
      <c r="AE18" s="39" cm="1">
        <f t="array" ref="AE18">AC18-AD18</f>
        <v>0</v>
      </c>
      <c r="AF18" s="458">
        <v>7</v>
      </c>
      <c r="AG18" s="39" cm="1">
        <f t="array" ref="AG18">I18-AF18</f>
        <v>2</v>
      </c>
      <c r="AH18" s="272" cm="1">
        <f t="array" ref="AH18">AG18+AF18</f>
        <v>9</v>
      </c>
      <c r="AI18" s="79">
        <v>0</v>
      </c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</row>
    <row r="19" ht="15.35" customHeight="1">
      <c r="A19" t="s" s="37">
        <v>1251</v>
      </c>
      <c r="B19" s="39">
        <v>2021</v>
      </c>
      <c r="C19" s="458">
        <v>23</v>
      </c>
      <c r="D19" t="s" s="630">
        <v>1252</v>
      </c>
      <c r="E19" s="647"/>
      <c r="F19" s="16"/>
      <c r="G19" s="16"/>
      <c r="H19" s="16"/>
      <c r="I19" s="79">
        <v>108</v>
      </c>
      <c r="J19" s="79">
        <v>69</v>
      </c>
      <c r="K19" s="79">
        <v>24</v>
      </c>
      <c r="L19" s="79">
        <v>6</v>
      </c>
      <c r="M19" s="79">
        <v>9</v>
      </c>
      <c r="N19" s="79">
        <v>21</v>
      </c>
      <c r="O19" s="79">
        <v>14</v>
      </c>
      <c r="P19" s="79">
        <v>12</v>
      </c>
      <c r="Q19" s="79">
        <v>15</v>
      </c>
      <c r="R19" s="79">
        <v>10</v>
      </c>
      <c r="S19" s="79">
        <v>36</v>
      </c>
      <c r="T19" s="79">
        <v>3867</v>
      </c>
      <c r="U19" s="79">
        <v>0</v>
      </c>
      <c r="V19" s="79">
        <v>0</v>
      </c>
      <c r="W19" s="79">
        <v>0</v>
      </c>
      <c r="X19" s="16"/>
      <c r="Y19" s="16"/>
      <c r="Z19" s="79">
        <v>0</v>
      </c>
      <c r="AA19" s="79">
        <v>0</v>
      </c>
      <c r="AB19" s="79">
        <v>0</v>
      </c>
      <c r="AC19" s="79">
        <v>53</v>
      </c>
      <c r="AD19" s="274">
        <v>6</v>
      </c>
      <c r="AE19" s="39" cm="1">
        <f t="array" ref="AE19">AC19-AD19</f>
        <v>47</v>
      </c>
      <c r="AF19" s="458">
        <v>52</v>
      </c>
      <c r="AG19" s="39" cm="1">
        <f t="array" ref="AG19">I19-AF19</f>
        <v>56</v>
      </c>
      <c r="AH19" s="272" cm="1">
        <f t="array" ref="AH19">AG19+AF19</f>
        <v>108</v>
      </c>
      <c r="AI19" s="79">
        <v>0</v>
      </c>
      <c r="AJ19" s="16"/>
      <c r="AK19" s="16"/>
      <c r="AL19" s="16"/>
      <c r="AM19" s="16"/>
      <c r="AN19" s="16"/>
      <c r="AO19" s="16"/>
      <c r="AP19" s="16"/>
      <c r="AQ19" s="16"/>
      <c r="AR19" s="16"/>
      <c r="AS19" s="16"/>
      <c r="AT19" s="16"/>
      <c r="AU19" s="16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6"/>
      <c r="BG19" s="16"/>
      <c r="BH19" s="16"/>
      <c r="BI19" s="16"/>
      <c r="BJ19" s="16"/>
      <c r="BK19" s="16"/>
      <c r="BL19" s="16"/>
      <c r="BM19" s="16"/>
      <c r="BN19" s="16"/>
      <c r="BO19" s="16"/>
      <c r="BP19" s="16"/>
      <c r="BQ19" s="16"/>
      <c r="BR19" s="16"/>
      <c r="BS19" s="16"/>
      <c r="BT19" s="16"/>
    </row>
    <row r="20" ht="15.35" customHeight="1">
      <c r="A20" t="s" s="37">
        <v>3149</v>
      </c>
      <c r="B20" t="s" s="37">
        <v>725</v>
      </c>
      <c r="C20" s="458">
        <v>1</v>
      </c>
      <c r="D20" t="s" s="630">
        <v>3150</v>
      </c>
      <c r="E20" s="647"/>
      <c r="F20" s="16"/>
      <c r="G20" s="16"/>
      <c r="H20" s="16"/>
      <c r="I20" s="79">
        <v>19</v>
      </c>
      <c r="J20" s="79">
        <v>19</v>
      </c>
      <c r="K20" s="16"/>
      <c r="L20" s="16"/>
      <c r="M20" s="16"/>
      <c r="N20" s="79">
        <v>1</v>
      </c>
      <c r="O20" s="16"/>
      <c r="P20" s="16"/>
      <c r="Q20" s="16"/>
      <c r="R20" s="16"/>
      <c r="S20" s="79">
        <v>2</v>
      </c>
      <c r="T20" s="79">
        <v>576</v>
      </c>
      <c r="U20" s="16"/>
      <c r="V20" s="79">
        <v>19</v>
      </c>
      <c r="W20" s="16"/>
      <c r="X20" s="16"/>
      <c r="Y20" s="16"/>
      <c r="Z20" s="16"/>
      <c r="AA20" s="16"/>
      <c r="AB20" s="16"/>
      <c r="AC20" s="79">
        <v>19</v>
      </c>
      <c r="AD20" s="470"/>
      <c r="AE20" s="39" cm="1">
        <f t="array" ref="AE20">AC20-AD20</f>
        <v>19</v>
      </c>
      <c r="AF20" s="458">
        <v>2</v>
      </c>
      <c r="AG20" s="39" cm="1">
        <f t="array" ref="AG20">I20-AF20</f>
        <v>17</v>
      </c>
      <c r="AH20" s="272" cm="1">
        <f t="array" ref="AH20">AG20+AF20</f>
        <v>19</v>
      </c>
      <c r="AI20" s="16"/>
      <c r="AJ20" t="s" s="96">
        <v>3162</v>
      </c>
      <c r="AK20" s="16"/>
      <c r="AL20" s="16"/>
      <c r="AM20" s="16"/>
      <c r="AN20" s="16"/>
      <c r="AO20" s="16"/>
      <c r="AP20" s="16"/>
      <c r="AQ20" s="16"/>
      <c r="AR20" s="16"/>
      <c r="AS20" s="16"/>
      <c r="AT20" s="16"/>
      <c r="AU20" s="16"/>
      <c r="AV20" s="16"/>
      <c r="AW20" s="16"/>
      <c r="AX20" s="16"/>
      <c r="AY20" s="16"/>
      <c r="AZ20" s="16"/>
      <c r="BA20" s="16"/>
      <c r="BB20" s="16"/>
      <c r="BC20" s="16"/>
      <c r="BD20" s="16"/>
      <c r="BE20" s="16"/>
      <c r="BF20" s="16"/>
      <c r="BG20" s="16"/>
      <c r="BH20" s="16"/>
      <c r="BI20" s="16"/>
      <c r="BJ20" s="16"/>
      <c r="BK20" s="16"/>
      <c r="BL20" s="16"/>
      <c r="BM20" s="16"/>
      <c r="BN20" s="16"/>
      <c r="BO20" s="16"/>
      <c r="BP20" s="16"/>
      <c r="BQ20" s="16"/>
      <c r="BR20" s="16"/>
      <c r="BS20" s="16"/>
      <c r="BT20" s="16"/>
    </row>
    <row r="21" ht="15.35" customHeight="1">
      <c r="A21" t="s" s="37">
        <v>1670</v>
      </c>
      <c r="B21" s="39">
        <v>1921</v>
      </c>
      <c r="C21" s="458">
        <v>4</v>
      </c>
      <c r="D21" t="s" s="630">
        <v>1672</v>
      </c>
      <c r="E21" s="647"/>
      <c r="F21" s="16"/>
      <c r="G21" s="16"/>
      <c r="H21" s="16"/>
      <c r="I21" s="79">
        <v>15</v>
      </c>
      <c r="J21" s="79">
        <v>9</v>
      </c>
      <c r="K21" s="79">
        <v>5</v>
      </c>
      <c r="L21" s="79">
        <v>0</v>
      </c>
      <c r="M21" s="79">
        <v>1</v>
      </c>
      <c r="N21" s="79">
        <v>4</v>
      </c>
      <c r="O21" s="79">
        <v>2</v>
      </c>
      <c r="P21" s="79">
        <v>4</v>
      </c>
      <c r="Q21" s="79">
        <v>3</v>
      </c>
      <c r="R21" s="79">
        <v>0</v>
      </c>
      <c r="S21" s="79">
        <v>2</v>
      </c>
      <c r="T21" s="79">
        <v>605</v>
      </c>
      <c r="U21" s="79">
        <v>0</v>
      </c>
      <c r="V21" s="79">
        <v>0</v>
      </c>
      <c r="W21" s="79">
        <v>0</v>
      </c>
      <c r="X21" s="79">
        <v>0</v>
      </c>
      <c r="Y21" s="79">
        <v>0</v>
      </c>
      <c r="Z21" s="79">
        <v>0</v>
      </c>
      <c r="AA21" s="99"/>
      <c r="AB21" s="99"/>
      <c r="AC21" s="79">
        <v>7</v>
      </c>
      <c r="AD21" s="274">
        <v>2</v>
      </c>
      <c r="AE21" s="39" cm="1">
        <f t="array" ref="AE21">AC21-AD21</f>
        <v>5</v>
      </c>
      <c r="AF21" s="458">
        <v>8</v>
      </c>
      <c r="AG21" s="39" cm="1">
        <f t="array" ref="AG21">I21-AF21</f>
        <v>7</v>
      </c>
      <c r="AH21" s="272" cm="1">
        <f t="array" ref="AH21">AG21+AF21</f>
        <v>15</v>
      </c>
      <c r="AI21" s="79">
        <v>0</v>
      </c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6"/>
      <c r="BL21" s="16"/>
      <c r="BM21" s="16"/>
      <c r="BN21" s="16"/>
      <c r="BO21" s="16"/>
      <c r="BP21" s="16"/>
      <c r="BQ21" s="16"/>
      <c r="BR21" s="16"/>
      <c r="BS21" s="16"/>
      <c r="BT21" s="16"/>
    </row>
    <row r="22" ht="15.35" customHeight="1">
      <c r="A22" t="s" s="549">
        <v>1713</v>
      </c>
      <c r="B22" s="39">
        <v>1921</v>
      </c>
      <c r="C22" s="458">
        <v>3</v>
      </c>
      <c r="D22" t="s" s="630">
        <v>1714</v>
      </c>
      <c r="E22" s="647"/>
      <c r="F22" s="16"/>
      <c r="G22" s="16"/>
      <c r="H22" s="16"/>
      <c r="I22" s="79">
        <v>19</v>
      </c>
      <c r="J22" s="79">
        <v>10</v>
      </c>
      <c r="K22" s="79">
        <v>8</v>
      </c>
      <c r="L22" s="79">
        <v>0</v>
      </c>
      <c r="M22" s="79">
        <v>1</v>
      </c>
      <c r="N22" s="79">
        <v>3</v>
      </c>
      <c r="O22" s="79">
        <v>4</v>
      </c>
      <c r="P22" s="79">
        <v>5</v>
      </c>
      <c r="Q22" s="79">
        <v>1</v>
      </c>
      <c r="R22" s="79">
        <v>6</v>
      </c>
      <c r="S22" s="79">
        <v>0</v>
      </c>
      <c r="T22" s="79">
        <v>649</v>
      </c>
      <c r="U22" s="79">
        <v>0</v>
      </c>
      <c r="V22" s="79">
        <v>0</v>
      </c>
      <c r="W22" s="79">
        <v>0</v>
      </c>
      <c r="X22" s="79">
        <v>0</v>
      </c>
      <c r="Y22" s="79">
        <v>0</v>
      </c>
      <c r="Z22" s="79">
        <v>0</v>
      </c>
      <c r="AA22" s="79">
        <v>0</v>
      </c>
      <c r="AB22" s="79">
        <v>0</v>
      </c>
      <c r="AC22" s="79">
        <v>14</v>
      </c>
      <c r="AD22" s="274">
        <v>3</v>
      </c>
      <c r="AE22" s="39" cm="1">
        <f t="array" ref="AE22">AC22-AD22</f>
        <v>11</v>
      </c>
      <c r="AF22" s="458">
        <v>10</v>
      </c>
      <c r="AG22" s="39" cm="1">
        <f t="array" ref="AG22">I22-AF22</f>
        <v>9</v>
      </c>
      <c r="AH22" s="272" cm="1">
        <f t="array" ref="AH22">AG22+AF22</f>
        <v>19</v>
      </c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</row>
    <row r="23" ht="15.35" customHeight="1">
      <c r="A23" t="s" s="450">
        <v>1759</v>
      </c>
      <c r="B23" s="39">
        <v>1921</v>
      </c>
      <c r="C23" s="649">
        <v>20</v>
      </c>
      <c r="D23" t="s" s="650">
        <v>1760</v>
      </c>
      <c r="E23" s="474"/>
      <c r="F23" s="16"/>
      <c r="G23" s="16"/>
      <c r="H23" s="16"/>
      <c r="I23" s="79">
        <v>79</v>
      </c>
      <c r="J23" s="79">
        <v>38</v>
      </c>
      <c r="K23" s="79">
        <v>32</v>
      </c>
      <c r="L23" s="79">
        <v>3</v>
      </c>
      <c r="M23" s="79">
        <v>6</v>
      </c>
      <c r="N23" s="79">
        <v>19</v>
      </c>
      <c r="O23" s="79">
        <v>13</v>
      </c>
      <c r="P23" s="79">
        <v>16</v>
      </c>
      <c r="Q23" s="79">
        <v>13</v>
      </c>
      <c r="R23" s="79">
        <v>16</v>
      </c>
      <c r="S23" s="79">
        <v>2</v>
      </c>
      <c r="T23" s="79">
        <v>3116</v>
      </c>
      <c r="U23" s="79">
        <v>0</v>
      </c>
      <c r="V23" s="79">
        <v>0</v>
      </c>
      <c r="W23" s="79">
        <v>0</v>
      </c>
      <c r="X23" s="79">
        <v>0</v>
      </c>
      <c r="Y23" s="79">
        <v>0</v>
      </c>
      <c r="Z23" s="79">
        <v>0</v>
      </c>
      <c r="AA23" s="79">
        <v>0</v>
      </c>
      <c r="AB23" s="79">
        <v>0</v>
      </c>
      <c r="AC23" s="79">
        <v>55</v>
      </c>
      <c r="AD23" s="274">
        <v>2</v>
      </c>
      <c r="AE23" s="39" cm="1">
        <f t="array" ref="AE23">AC23-AD23</f>
        <v>53</v>
      </c>
      <c r="AF23" s="458">
        <v>44</v>
      </c>
      <c r="AG23" s="39" cm="1">
        <f t="array" ref="AG23">I23-AF23</f>
        <v>35</v>
      </c>
      <c r="AH23" s="272" cm="1">
        <f t="array" ref="AH23">AG23+AF23</f>
        <v>79</v>
      </c>
      <c r="AI23" s="79">
        <v>0</v>
      </c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</row>
    <row r="24" ht="15.35" customHeight="1">
      <c r="A24" t="s" s="370">
        <v>1913</v>
      </c>
      <c r="B24" t="s" s="37">
        <v>725</v>
      </c>
      <c r="C24" s="272">
        <v>15</v>
      </c>
      <c r="D24" t="s" s="651">
        <v>1914</v>
      </c>
      <c r="E24" s="273"/>
      <c r="F24" s="16"/>
      <c r="G24" s="16"/>
      <c r="H24" s="16"/>
      <c r="I24" s="79">
        <v>62</v>
      </c>
      <c r="J24" s="79">
        <v>34</v>
      </c>
      <c r="K24" s="79">
        <v>21</v>
      </c>
      <c r="L24" s="79">
        <v>4</v>
      </c>
      <c r="M24" s="79">
        <v>3</v>
      </c>
      <c r="N24" s="79">
        <v>14</v>
      </c>
      <c r="O24" s="79">
        <v>12</v>
      </c>
      <c r="P24" s="79">
        <v>7</v>
      </c>
      <c r="Q24" s="79">
        <v>4</v>
      </c>
      <c r="R24" s="79">
        <v>17</v>
      </c>
      <c r="S24" s="79">
        <v>8</v>
      </c>
      <c r="T24" s="79">
        <v>2199</v>
      </c>
      <c r="U24" s="79">
        <v>0</v>
      </c>
      <c r="V24" s="79">
        <v>0</v>
      </c>
      <c r="W24" s="79">
        <v>0</v>
      </c>
      <c r="X24" s="79">
        <v>0</v>
      </c>
      <c r="Y24" s="79">
        <v>0</v>
      </c>
      <c r="Z24" s="79">
        <v>0</v>
      </c>
      <c r="AA24" s="79">
        <v>0</v>
      </c>
      <c r="AB24" s="79">
        <v>0</v>
      </c>
      <c r="AC24" s="79">
        <v>29</v>
      </c>
      <c r="AD24" s="274">
        <v>3</v>
      </c>
      <c r="AE24" s="39" cm="1">
        <f t="array" ref="AE24">AC24-AD24</f>
        <v>26</v>
      </c>
      <c r="AF24" s="458">
        <v>23</v>
      </c>
      <c r="AG24" s="39" cm="1">
        <f t="array" ref="AG24">I24-AF24</f>
        <v>39</v>
      </c>
      <c r="AH24" s="272" cm="1">
        <f t="array" ref="AH24">AG24+AF24</f>
        <v>62</v>
      </c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6"/>
      <c r="BB24" s="16"/>
      <c r="BC24" s="16"/>
      <c r="BD24" s="16"/>
      <c r="BE24" s="16"/>
      <c r="BF24" s="16"/>
      <c r="BG24" s="16"/>
      <c r="BH24" s="16"/>
      <c r="BI24" s="16"/>
      <c r="BJ24" s="16"/>
      <c r="BK24" s="16"/>
      <c r="BL24" s="16"/>
      <c r="BM24" s="16"/>
      <c r="BN24" s="16"/>
      <c r="BO24" s="16"/>
      <c r="BP24" s="16"/>
      <c r="BQ24" s="16"/>
      <c r="BR24" s="16"/>
      <c r="BS24" s="16"/>
      <c r="BT24" s="16"/>
    </row>
    <row r="25" ht="15.35" customHeight="1">
      <c r="A25" t="s" s="370">
        <v>2055</v>
      </c>
      <c r="B25" t="s" s="37">
        <v>725</v>
      </c>
      <c r="C25" s="272">
        <v>3</v>
      </c>
      <c r="D25" t="s" s="651">
        <v>2056</v>
      </c>
      <c r="E25" s="273"/>
      <c r="F25" s="16"/>
      <c r="G25" s="16"/>
      <c r="H25" s="16"/>
      <c r="I25" s="79">
        <v>11</v>
      </c>
      <c r="J25" s="79">
        <v>6</v>
      </c>
      <c r="K25" s="79">
        <v>3</v>
      </c>
      <c r="L25" s="79">
        <v>2</v>
      </c>
      <c r="M25" s="79">
        <v>0</v>
      </c>
      <c r="N25" s="79">
        <v>3</v>
      </c>
      <c r="O25" s="79">
        <v>2</v>
      </c>
      <c r="P25" s="79">
        <v>2</v>
      </c>
      <c r="Q25" s="79">
        <v>0</v>
      </c>
      <c r="R25" s="79">
        <v>0</v>
      </c>
      <c r="S25" s="79">
        <v>4</v>
      </c>
      <c r="T25" s="79">
        <v>366</v>
      </c>
      <c r="U25" s="79">
        <v>0</v>
      </c>
      <c r="V25" s="79">
        <v>0</v>
      </c>
      <c r="W25" s="79">
        <v>0</v>
      </c>
      <c r="X25" s="79">
        <v>0</v>
      </c>
      <c r="Y25" s="79">
        <v>0</v>
      </c>
      <c r="Z25" s="79">
        <v>0</v>
      </c>
      <c r="AA25" s="79">
        <v>0</v>
      </c>
      <c r="AB25" s="79">
        <v>0</v>
      </c>
      <c r="AC25" s="79">
        <v>6</v>
      </c>
      <c r="AD25" s="274">
        <v>1</v>
      </c>
      <c r="AE25" s="39" cm="1">
        <f t="array" ref="AE25">AC25-AD25</f>
        <v>5</v>
      </c>
      <c r="AF25" s="458">
        <v>5</v>
      </c>
      <c r="AG25" s="39" cm="1">
        <f t="array" ref="AG25">I25-AF25</f>
        <v>6</v>
      </c>
      <c r="AH25" s="272" cm="1">
        <f t="array" ref="AH25">AG25+AF25</f>
        <v>11</v>
      </c>
      <c r="AI25" s="79">
        <v>0</v>
      </c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6"/>
      <c r="BG25" s="16"/>
      <c r="BH25" s="16"/>
      <c r="BI25" s="16"/>
      <c r="BJ25" s="16"/>
      <c r="BK25" s="16"/>
      <c r="BL25" s="16"/>
      <c r="BM25" s="16"/>
      <c r="BN25" s="16"/>
      <c r="BO25" s="16"/>
      <c r="BP25" s="16"/>
      <c r="BQ25" s="16"/>
      <c r="BR25" s="16"/>
      <c r="BS25" s="16"/>
      <c r="BT25" s="16"/>
    </row>
    <row r="26" ht="15.35" customHeight="1">
      <c r="A26" t="s" s="370">
        <v>2079</v>
      </c>
      <c r="B26" t="s" s="37">
        <v>725</v>
      </c>
      <c r="C26" s="272">
        <v>17</v>
      </c>
      <c r="D26" t="s" s="651">
        <v>2080</v>
      </c>
      <c r="E26" s="273"/>
      <c r="F26" s="16"/>
      <c r="G26" s="16"/>
      <c r="H26" s="16"/>
      <c r="I26" s="79">
        <v>71</v>
      </c>
      <c r="J26" s="79">
        <v>51</v>
      </c>
      <c r="K26" s="79">
        <v>17</v>
      </c>
      <c r="L26" s="79">
        <v>2</v>
      </c>
      <c r="M26" s="79">
        <v>1</v>
      </c>
      <c r="N26" s="79">
        <v>17</v>
      </c>
      <c r="O26" s="79">
        <v>9</v>
      </c>
      <c r="P26" s="79">
        <v>8</v>
      </c>
      <c r="Q26" s="79">
        <v>2</v>
      </c>
      <c r="R26" s="79">
        <v>11</v>
      </c>
      <c r="S26" s="79">
        <v>24</v>
      </c>
      <c r="T26" s="79">
        <v>2585</v>
      </c>
      <c r="U26" s="79">
        <v>0</v>
      </c>
      <c r="V26" s="79">
        <v>0</v>
      </c>
      <c r="W26" s="79">
        <v>0</v>
      </c>
      <c r="X26" s="79">
        <v>0</v>
      </c>
      <c r="Y26" s="79">
        <v>0</v>
      </c>
      <c r="Z26" s="79">
        <v>0</v>
      </c>
      <c r="AA26" s="79">
        <v>0</v>
      </c>
      <c r="AB26" s="79">
        <v>0</v>
      </c>
      <c r="AC26" s="79">
        <v>44</v>
      </c>
      <c r="AD26" s="274">
        <v>2</v>
      </c>
      <c r="AE26" s="39" cm="1">
        <f t="array" ref="AE26">AC26-AD26</f>
        <v>42</v>
      </c>
      <c r="AF26" s="458">
        <v>31</v>
      </c>
      <c r="AG26" s="39" cm="1">
        <f t="array" ref="AG26">I26-AF26</f>
        <v>40</v>
      </c>
      <c r="AH26" s="272" cm="1">
        <f t="array" ref="AH26">AG26+AF26</f>
        <v>71</v>
      </c>
      <c r="AI26" s="79">
        <v>0</v>
      </c>
      <c r="AJ26" s="79">
        <v>0</v>
      </c>
      <c r="AK26" s="79">
        <v>0</v>
      </c>
      <c r="AL26" s="79">
        <v>0</v>
      </c>
      <c r="AM26" s="79">
        <v>0</v>
      </c>
      <c r="AN26" s="79">
        <v>0</v>
      </c>
      <c r="AO26" s="79">
        <v>0</v>
      </c>
      <c r="AP26" s="79">
        <v>0</v>
      </c>
      <c r="AQ26" s="79">
        <v>0</v>
      </c>
      <c r="AR26" s="79">
        <v>0</v>
      </c>
      <c r="AS26" s="79">
        <v>0</v>
      </c>
      <c r="AT26" s="79">
        <v>0</v>
      </c>
      <c r="AU26" s="79">
        <v>0</v>
      </c>
      <c r="AV26" s="79">
        <v>0</v>
      </c>
      <c r="AW26" s="79">
        <v>0</v>
      </c>
      <c r="AX26" s="79">
        <v>0</v>
      </c>
      <c r="AY26" s="79">
        <v>0</v>
      </c>
      <c r="AZ26" s="79">
        <v>0</v>
      </c>
      <c r="BA26" s="79">
        <v>0</v>
      </c>
      <c r="BB26" s="79">
        <v>0</v>
      </c>
      <c r="BC26" s="79">
        <v>0</v>
      </c>
      <c r="BD26" s="79">
        <v>0</v>
      </c>
      <c r="BE26" s="16"/>
      <c r="BF26" s="16"/>
      <c r="BG26" s="16"/>
      <c r="BH26" s="16"/>
      <c r="BI26" s="16"/>
      <c r="BJ26" s="16"/>
      <c r="BK26" s="16"/>
      <c r="BL26" s="16"/>
      <c r="BM26" s="16"/>
      <c r="BN26" s="16"/>
      <c r="BO26" s="16"/>
      <c r="BP26" s="16"/>
      <c r="BQ26" s="16"/>
      <c r="BR26" s="16"/>
      <c r="BS26" s="16"/>
      <c r="BT26" s="16"/>
    </row>
    <row r="27" ht="15.35" customHeight="1">
      <c r="A27" t="s" s="370">
        <v>2208</v>
      </c>
      <c r="B27" s="39">
        <v>1921</v>
      </c>
      <c r="C27" s="272">
        <v>15</v>
      </c>
      <c r="D27" t="s" s="651">
        <v>2206</v>
      </c>
      <c r="E27" s="273"/>
      <c r="F27" s="16"/>
      <c r="G27" s="16"/>
      <c r="H27" s="16"/>
      <c r="I27" s="79">
        <v>72</v>
      </c>
      <c r="J27" s="79">
        <v>40</v>
      </c>
      <c r="K27" s="79">
        <v>26</v>
      </c>
      <c r="L27" s="79">
        <v>4</v>
      </c>
      <c r="M27" s="79">
        <v>2</v>
      </c>
      <c r="N27" s="79">
        <v>16</v>
      </c>
      <c r="O27" s="79">
        <v>12</v>
      </c>
      <c r="P27" s="79">
        <v>5</v>
      </c>
      <c r="Q27" s="79">
        <v>9</v>
      </c>
      <c r="R27" s="79">
        <v>8</v>
      </c>
      <c r="S27" s="79">
        <v>22</v>
      </c>
      <c r="T27" s="79">
        <v>2724</v>
      </c>
      <c r="U27" s="79">
        <v>0</v>
      </c>
      <c r="V27" s="79">
        <v>0</v>
      </c>
      <c r="W27" s="79">
        <v>0</v>
      </c>
      <c r="X27" s="79">
        <v>0</v>
      </c>
      <c r="Y27" s="79">
        <v>0</v>
      </c>
      <c r="Z27" s="79">
        <v>0</v>
      </c>
      <c r="AA27" s="79">
        <v>0</v>
      </c>
      <c r="AB27" s="79">
        <v>0</v>
      </c>
      <c r="AC27" s="79">
        <v>43</v>
      </c>
      <c r="AD27" s="274">
        <v>6</v>
      </c>
      <c r="AE27" s="39" cm="1">
        <f t="array" ref="AE27">AC27-AD27</f>
        <v>37</v>
      </c>
      <c r="AF27" s="458">
        <v>35</v>
      </c>
      <c r="AG27" s="39" cm="1">
        <f t="array" ref="AG27">I27-AF27</f>
        <v>37</v>
      </c>
      <c r="AH27" s="272" cm="1">
        <f t="array" ref="AH27">AG27+AF27</f>
        <v>72</v>
      </c>
      <c r="AI27" s="79">
        <v>0</v>
      </c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</row>
    <row r="28" ht="15.35" customHeight="1">
      <c r="A28" t="s" s="372">
        <v>2329</v>
      </c>
      <c r="B28" s="39">
        <v>1921</v>
      </c>
      <c r="C28" s="272">
        <v>8</v>
      </c>
      <c r="D28" t="s" s="652">
        <v>2330</v>
      </c>
      <c r="E28" s="273"/>
      <c r="F28" s="16"/>
      <c r="G28" s="16"/>
      <c r="H28" s="16"/>
      <c r="I28" s="79">
        <v>31</v>
      </c>
      <c r="J28" s="79">
        <v>20</v>
      </c>
      <c r="K28" s="79">
        <v>6</v>
      </c>
      <c r="L28" s="79">
        <v>3</v>
      </c>
      <c r="M28" s="79">
        <v>2</v>
      </c>
      <c r="N28" s="79">
        <v>8</v>
      </c>
      <c r="O28" s="79">
        <v>5</v>
      </c>
      <c r="P28" s="79">
        <v>4</v>
      </c>
      <c r="Q28" s="79">
        <v>2</v>
      </c>
      <c r="R28" s="79">
        <v>2</v>
      </c>
      <c r="S28" s="79">
        <v>10</v>
      </c>
      <c r="T28" s="79">
        <v>1029</v>
      </c>
      <c r="U28" s="79">
        <v>0</v>
      </c>
      <c r="V28" s="79">
        <v>0</v>
      </c>
      <c r="W28" s="79">
        <v>0</v>
      </c>
      <c r="X28" s="79">
        <v>0</v>
      </c>
      <c r="Y28" s="79">
        <v>0</v>
      </c>
      <c r="Z28" s="79">
        <v>0</v>
      </c>
      <c r="AA28" s="79">
        <v>0</v>
      </c>
      <c r="AB28" s="79">
        <v>0</v>
      </c>
      <c r="AC28" s="79">
        <v>17</v>
      </c>
      <c r="AD28" s="274">
        <v>2</v>
      </c>
      <c r="AE28" s="39" cm="1">
        <f t="array" ref="AE28">AC28-AD28</f>
        <v>15</v>
      </c>
      <c r="AF28" s="458">
        <v>7</v>
      </c>
      <c r="AG28" s="39" cm="1">
        <f t="array" ref="AG28">I28-AF28</f>
        <v>24</v>
      </c>
      <c r="AH28" s="272" cm="1">
        <f t="array" ref="AH28">AG28+AF28</f>
        <v>31</v>
      </c>
      <c r="AI28" s="79">
        <v>0</v>
      </c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</row>
    <row r="29" ht="15.35" customHeight="1">
      <c r="A29" t="s" s="450">
        <v>2391</v>
      </c>
      <c r="B29" s="39">
        <v>2021</v>
      </c>
      <c r="C29" s="653">
        <v>2</v>
      </c>
      <c r="D29" t="s" s="654">
        <v>2392</v>
      </c>
      <c r="E29" s="655"/>
      <c r="F29" s="3"/>
      <c r="G29" s="3"/>
      <c r="H29" s="3"/>
      <c r="I29" s="319">
        <v>11</v>
      </c>
      <c r="J29" s="319">
        <v>8</v>
      </c>
      <c r="K29" s="319">
        <v>2</v>
      </c>
      <c r="L29" s="319">
        <v>0</v>
      </c>
      <c r="M29" s="319">
        <v>1</v>
      </c>
      <c r="N29" s="319">
        <v>2</v>
      </c>
      <c r="O29" s="319">
        <v>1</v>
      </c>
      <c r="P29" s="319">
        <v>0</v>
      </c>
      <c r="Q29" s="319">
        <v>1</v>
      </c>
      <c r="R29" s="319">
        <v>3</v>
      </c>
      <c r="S29" s="319">
        <v>4</v>
      </c>
      <c r="T29" s="319">
        <v>446</v>
      </c>
      <c r="U29" s="319">
        <v>0</v>
      </c>
      <c r="V29" s="319">
        <v>0</v>
      </c>
      <c r="W29" s="319">
        <v>0</v>
      </c>
      <c r="X29" s="319">
        <v>0</v>
      </c>
      <c r="Y29" s="319">
        <v>0</v>
      </c>
      <c r="Z29" s="319">
        <v>0</v>
      </c>
      <c r="AA29" s="319">
        <v>0</v>
      </c>
      <c r="AB29" s="319">
        <v>0</v>
      </c>
      <c r="AC29" s="319">
        <v>6</v>
      </c>
      <c r="AD29" s="275">
        <v>2</v>
      </c>
      <c r="AE29" s="39" cm="1">
        <f t="array" ref="AE29">AC29-AD29</f>
        <v>4</v>
      </c>
      <c r="AF29" s="656">
        <v>3</v>
      </c>
      <c r="AG29" s="39" cm="1">
        <f t="array" ref="AG29">I29-AF29</f>
        <v>8</v>
      </c>
      <c r="AH29" s="272" cm="1">
        <f t="array" ref="AH29">AG29+AF29</f>
        <v>11</v>
      </c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</row>
    <row r="30" ht="34" customHeight="1">
      <c r="A30" t="s" s="37">
        <v>3153</v>
      </c>
      <c r="B30" t="s" s="37">
        <v>725</v>
      </c>
      <c r="C30" s="657"/>
      <c r="D30" t="s" s="658">
        <v>3154</v>
      </c>
      <c r="E30" t="s" s="659">
        <v>3163</v>
      </c>
      <c r="F30" s="660"/>
      <c r="G30" s="660"/>
      <c r="H30" s="660"/>
      <c r="I30" s="13"/>
      <c r="J30" s="660"/>
      <c r="K30" s="660"/>
      <c r="L30" s="660"/>
      <c r="M30" s="660"/>
      <c r="N30" s="660"/>
      <c r="O30" s="660"/>
      <c r="P30" s="660"/>
      <c r="Q30" s="660"/>
      <c r="R30" s="660"/>
      <c r="S30" s="660"/>
      <c r="T30" s="660"/>
      <c r="U30" s="13"/>
      <c r="V30" s="13"/>
      <c r="W30" s="13"/>
      <c r="X30" s="660"/>
      <c r="Y30" s="660"/>
      <c r="Z30" s="660"/>
      <c r="AA30" s="660"/>
      <c r="AB30" s="660"/>
      <c r="AC30" s="661">
        <v>0</v>
      </c>
      <c r="AD30" s="662"/>
      <c r="AE30" s="281" cm="1">
        <f t="array" ref="AE30">AC30-AD30</f>
        <v>0</v>
      </c>
      <c r="AF30" s="657"/>
      <c r="AG30" s="281" cm="1">
        <f t="array" ref="AG30">I30-AF30</f>
        <v>0</v>
      </c>
      <c r="AH30" s="663" cm="1">
        <f t="array" ref="AH30">AG30+AF30</f>
        <v>0</v>
      </c>
      <c r="AI30" s="660"/>
      <c r="AJ30" s="660"/>
      <c r="AK30" s="660"/>
      <c r="AL30" s="660"/>
      <c r="AM30" s="660"/>
      <c r="AN30" s="660"/>
      <c r="AO30" s="660"/>
      <c r="AP30" s="660"/>
      <c r="AQ30" s="660"/>
      <c r="AR30" s="660"/>
      <c r="AS30" s="660"/>
      <c r="AT30" s="660"/>
      <c r="AU30" s="660"/>
      <c r="AV30" s="660"/>
      <c r="AW30" s="660"/>
      <c r="AX30" s="660"/>
      <c r="AY30" s="660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0"/>
    </row>
    <row r="31" ht="17.5" customHeight="1">
      <c r="A31" t="s" s="364">
        <v>2421</v>
      </c>
      <c r="B31" s="664">
        <v>1921</v>
      </c>
      <c r="C31" s="112">
        <v>4</v>
      </c>
      <c r="D31" t="s" s="337">
        <v>2422</v>
      </c>
      <c r="E31" s="338"/>
      <c r="F31" s="30"/>
      <c r="G31" s="30"/>
      <c r="H31" s="30"/>
      <c r="I31" s="199">
        <v>24</v>
      </c>
      <c r="J31" s="112">
        <v>17</v>
      </c>
      <c r="K31" s="112">
        <v>7</v>
      </c>
      <c r="L31" s="112">
        <v>0</v>
      </c>
      <c r="M31" s="112">
        <v>0</v>
      </c>
      <c r="N31" s="112">
        <v>4</v>
      </c>
      <c r="O31" s="112">
        <v>4</v>
      </c>
      <c r="P31" s="112">
        <v>3</v>
      </c>
      <c r="Q31" s="112">
        <v>0</v>
      </c>
      <c r="R31" s="112">
        <v>4</v>
      </c>
      <c r="S31" s="112">
        <v>9</v>
      </c>
      <c r="T31" s="112">
        <v>927</v>
      </c>
      <c r="U31" s="316">
        <v>0</v>
      </c>
      <c r="V31" s="264">
        <v>0</v>
      </c>
      <c r="W31" s="203">
        <v>0</v>
      </c>
      <c r="X31" s="112">
        <v>0</v>
      </c>
      <c r="Y31" s="112">
        <v>0</v>
      </c>
      <c r="Z31" s="112">
        <v>0</v>
      </c>
      <c r="AA31" s="118">
        <v>0</v>
      </c>
      <c r="AB31" s="118">
        <v>0</v>
      </c>
      <c r="AC31" s="112">
        <v>13</v>
      </c>
      <c r="AD31" s="588">
        <v>1</v>
      </c>
      <c r="AE31" s="545">
        <v>12</v>
      </c>
      <c r="AF31" s="588">
        <v>12</v>
      </c>
      <c r="AG31" s="39" cm="1">
        <f t="array" ref="AG31">I31-AF31</f>
        <v>12</v>
      </c>
      <c r="AH31" s="649" cm="1">
        <f t="array" ref="AH31">AG31+AF31</f>
        <v>24</v>
      </c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200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</row>
    <row r="32" ht="15.35" customHeight="1">
      <c r="A32" t="s" s="586">
        <v>2469</v>
      </c>
      <c r="B32" s="39">
        <v>1921</v>
      </c>
      <c r="C32" s="665">
        <v>4</v>
      </c>
      <c r="D32" t="s" s="337">
        <v>2470</v>
      </c>
      <c r="E32" s="666"/>
      <c r="F32" s="62"/>
      <c r="G32" s="62"/>
      <c r="H32" s="62"/>
      <c r="I32" s="79">
        <v>14</v>
      </c>
      <c r="J32" s="97">
        <v>8</v>
      </c>
      <c r="K32" s="97">
        <v>6</v>
      </c>
      <c r="L32" s="97">
        <v>0</v>
      </c>
      <c r="M32" s="97">
        <v>0</v>
      </c>
      <c r="N32" s="97">
        <v>4</v>
      </c>
      <c r="O32" s="97">
        <v>1</v>
      </c>
      <c r="P32" s="97">
        <v>2</v>
      </c>
      <c r="Q32" s="97">
        <v>4</v>
      </c>
      <c r="R32" s="97">
        <v>0</v>
      </c>
      <c r="S32" s="97">
        <v>3</v>
      </c>
      <c r="T32" s="97">
        <v>536</v>
      </c>
      <c r="U32" s="79">
        <v>9</v>
      </c>
      <c r="V32" s="79">
        <v>0</v>
      </c>
      <c r="W32" s="79">
        <v>0</v>
      </c>
      <c r="X32" s="97">
        <v>0</v>
      </c>
      <c r="Y32" s="97">
        <v>0</v>
      </c>
      <c r="Z32" s="97">
        <v>0</v>
      </c>
      <c r="AA32" s="97">
        <v>0</v>
      </c>
      <c r="AB32" s="97">
        <v>0</v>
      </c>
      <c r="AC32" s="97">
        <v>8</v>
      </c>
      <c r="AD32" s="593">
        <v>1</v>
      </c>
      <c r="AE32" s="39" cm="1">
        <f t="array" ref="AE32">AC32-AD32</f>
        <v>7</v>
      </c>
      <c r="AF32" s="594">
        <v>9</v>
      </c>
      <c r="AG32" s="39" cm="1">
        <f t="array" ref="AG32">I32-AF32</f>
        <v>5</v>
      </c>
      <c r="AH32" s="272" cm="1">
        <f t="array" ref="AH32">AG32+AF32</f>
        <v>14</v>
      </c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/>
      <c r="AU32" s="62"/>
      <c r="AV32" s="62"/>
      <c r="AW32" s="62"/>
      <c r="AX32" s="62"/>
      <c r="AY32" s="62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</row>
    <row r="33" ht="15.35" customHeight="1">
      <c r="A33" t="s" s="363">
        <v>2499</v>
      </c>
      <c r="B33" s="39">
        <v>1921</v>
      </c>
      <c r="C33" s="272">
        <v>8</v>
      </c>
      <c r="D33" t="s" s="667">
        <v>2500</v>
      </c>
      <c r="E33" s="273"/>
      <c r="F33" s="16"/>
      <c r="G33" s="16"/>
      <c r="H33" s="16"/>
      <c r="I33" s="79">
        <v>35</v>
      </c>
      <c r="J33" s="79">
        <v>26</v>
      </c>
      <c r="K33" s="79">
        <v>9</v>
      </c>
      <c r="L33" s="79">
        <v>0</v>
      </c>
      <c r="M33" s="79">
        <v>0</v>
      </c>
      <c r="N33" s="79">
        <v>8</v>
      </c>
      <c r="O33" s="79">
        <v>4</v>
      </c>
      <c r="P33" s="79">
        <v>1</v>
      </c>
      <c r="Q33" s="79">
        <v>0</v>
      </c>
      <c r="R33" s="79">
        <v>3</v>
      </c>
      <c r="S33" s="79">
        <v>19</v>
      </c>
      <c r="T33" s="79">
        <v>1646</v>
      </c>
      <c r="U33" s="79">
        <v>0</v>
      </c>
      <c r="V33" s="79">
        <v>0</v>
      </c>
      <c r="W33" s="79">
        <v>0</v>
      </c>
      <c r="X33" s="79">
        <v>0</v>
      </c>
      <c r="Y33" s="79">
        <v>0</v>
      </c>
      <c r="Z33" s="79">
        <v>0</v>
      </c>
      <c r="AA33" s="79">
        <v>0</v>
      </c>
      <c r="AB33" s="79">
        <v>0</v>
      </c>
      <c r="AC33" s="79">
        <v>26</v>
      </c>
      <c r="AD33" s="274">
        <v>3</v>
      </c>
      <c r="AE33" s="39" cm="1">
        <f t="array" ref="AE33">AC33-AD33</f>
        <v>23</v>
      </c>
      <c r="AF33" s="458">
        <v>15</v>
      </c>
      <c r="AG33" s="39" cm="1">
        <f t="array" ref="AG33">I33-AF33</f>
        <v>20</v>
      </c>
      <c r="AH33" s="272" cm="1">
        <f t="array" ref="AH33">AG33+AF33</f>
        <v>35</v>
      </c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</row>
    <row r="34" ht="15.35" customHeight="1">
      <c r="A34" t="s" s="586">
        <v>2560</v>
      </c>
      <c r="B34" s="39">
        <v>1921</v>
      </c>
      <c r="C34" s="649">
        <v>4</v>
      </c>
      <c r="D34" t="s" s="337">
        <v>2561</v>
      </c>
      <c r="E34" s="474"/>
      <c r="F34" s="16"/>
      <c r="G34" s="16"/>
      <c r="H34" s="16"/>
      <c r="I34" s="79">
        <v>20</v>
      </c>
      <c r="J34" s="79">
        <v>18</v>
      </c>
      <c r="K34" s="79">
        <v>2</v>
      </c>
      <c r="L34" s="79">
        <v>0</v>
      </c>
      <c r="M34" s="79">
        <v>0</v>
      </c>
      <c r="N34" s="79">
        <v>2</v>
      </c>
      <c r="O34" s="79">
        <v>2</v>
      </c>
      <c r="P34" s="79">
        <v>2</v>
      </c>
      <c r="Q34" s="79">
        <v>0</v>
      </c>
      <c r="R34" s="79">
        <v>3</v>
      </c>
      <c r="S34" s="79">
        <v>11</v>
      </c>
      <c r="T34" s="79">
        <v>648</v>
      </c>
      <c r="U34" s="79">
        <v>0</v>
      </c>
      <c r="V34" s="79">
        <v>0</v>
      </c>
      <c r="W34" s="79">
        <v>0</v>
      </c>
      <c r="X34" s="79">
        <v>0</v>
      </c>
      <c r="Y34" s="79">
        <v>0</v>
      </c>
      <c r="Z34" s="79">
        <v>0</v>
      </c>
      <c r="AA34" s="16"/>
      <c r="AB34" s="16"/>
      <c r="AC34" s="79">
        <v>15</v>
      </c>
      <c r="AD34" s="274">
        <v>1</v>
      </c>
      <c r="AE34" s="39" cm="1">
        <f t="array" ref="AE34">AC34-AD34</f>
        <v>14</v>
      </c>
      <c r="AF34" s="458">
        <v>7</v>
      </c>
      <c r="AG34" s="39" cm="1">
        <f t="array" ref="AG34">I34-AF34</f>
        <v>13</v>
      </c>
      <c r="AH34" s="272" cm="1">
        <f t="array" ref="AH34">AG34+AF34</f>
        <v>20</v>
      </c>
      <c r="AI34" s="16"/>
      <c r="AJ34" s="16"/>
      <c r="AK34" s="16"/>
      <c r="AL34" s="16"/>
      <c r="AM34" s="16"/>
      <c r="AN34" s="16"/>
      <c r="AO34" s="16"/>
      <c r="AP34" s="16"/>
      <c r="AQ34" s="16"/>
      <c r="AR34" s="16"/>
      <c r="AS34" s="16"/>
      <c r="AT34" s="16"/>
      <c r="AU34" s="16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  <c r="BI34" s="16"/>
      <c r="BJ34" s="16"/>
      <c r="BK34" s="16"/>
      <c r="BL34" s="16"/>
      <c r="BM34" s="16"/>
      <c r="BN34" s="16"/>
      <c r="BO34" s="16"/>
      <c r="BP34" s="16"/>
      <c r="BQ34" s="16"/>
      <c r="BR34" s="16"/>
      <c r="BS34" s="16"/>
      <c r="BT34" s="16"/>
    </row>
    <row r="35" ht="15.35" customHeight="1">
      <c r="A35" t="s" s="268">
        <v>2606</v>
      </c>
      <c r="B35" s="39">
        <v>1921</v>
      </c>
      <c r="C35" s="272">
        <v>5</v>
      </c>
      <c r="D35" t="s" s="491">
        <v>2607</v>
      </c>
      <c r="E35" s="273"/>
      <c r="F35" s="16"/>
      <c r="G35" s="16"/>
      <c r="H35" s="16"/>
      <c r="I35" s="79">
        <v>18</v>
      </c>
      <c r="J35" s="79">
        <v>14</v>
      </c>
      <c r="K35" s="79">
        <v>4</v>
      </c>
      <c r="L35" s="79">
        <v>0</v>
      </c>
      <c r="M35" s="79">
        <v>0</v>
      </c>
      <c r="N35" s="79">
        <v>5</v>
      </c>
      <c r="O35" s="79">
        <v>2</v>
      </c>
      <c r="P35" s="79">
        <v>1</v>
      </c>
      <c r="Q35" s="79">
        <v>0</v>
      </c>
      <c r="R35" s="79">
        <v>4</v>
      </c>
      <c r="S35" s="79">
        <v>6</v>
      </c>
      <c r="T35" s="79">
        <v>746</v>
      </c>
      <c r="U35" s="79">
        <v>0</v>
      </c>
      <c r="V35" s="79">
        <v>0</v>
      </c>
      <c r="W35" s="79">
        <v>0</v>
      </c>
      <c r="X35" s="79">
        <v>0</v>
      </c>
      <c r="Y35" s="79">
        <v>0</v>
      </c>
      <c r="Z35" s="79">
        <v>0</v>
      </c>
      <c r="AA35" s="79">
        <v>0</v>
      </c>
      <c r="AB35" s="79">
        <v>0</v>
      </c>
      <c r="AC35" s="79">
        <v>11</v>
      </c>
      <c r="AD35" s="274">
        <v>1</v>
      </c>
      <c r="AE35" s="39" cm="1">
        <f t="array" ref="AE35">AC35-AD35</f>
        <v>10</v>
      </c>
      <c r="AF35" s="458">
        <v>13</v>
      </c>
      <c r="AG35" s="39" cm="1">
        <f t="array" ref="AG35">I35-AF35</f>
        <v>5</v>
      </c>
      <c r="AH35" s="272" cm="1">
        <f t="array" ref="AH35">AG35+AF35</f>
        <v>18</v>
      </c>
      <c r="AI35" s="79">
        <v>0</v>
      </c>
      <c r="AJ35" s="79">
        <v>0</v>
      </c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6"/>
      <c r="BL35" s="16"/>
      <c r="BM35" s="16"/>
      <c r="BN35" s="16"/>
      <c r="BO35" s="16"/>
      <c r="BP35" s="16"/>
      <c r="BQ35" s="16"/>
      <c r="BR35" s="16"/>
      <c r="BS35" s="16"/>
      <c r="BT35" s="16"/>
    </row>
    <row r="36" ht="15.35" customHeight="1">
      <c r="A36" t="s" s="595">
        <v>1759</v>
      </c>
      <c r="B36" s="39">
        <v>1921</v>
      </c>
      <c r="C36" s="272">
        <v>9</v>
      </c>
      <c r="D36" t="s" s="509">
        <v>2643</v>
      </c>
      <c r="E36" s="273"/>
      <c r="F36" s="16"/>
      <c r="G36" s="16"/>
      <c r="H36" s="16"/>
      <c r="I36" s="79">
        <v>43</v>
      </c>
      <c r="J36" s="79">
        <v>27</v>
      </c>
      <c r="K36" s="79">
        <v>8</v>
      </c>
      <c r="L36" s="79">
        <v>6</v>
      </c>
      <c r="M36" s="79">
        <v>2</v>
      </c>
      <c r="N36" s="79">
        <v>8</v>
      </c>
      <c r="O36" s="79">
        <v>7</v>
      </c>
      <c r="P36" s="79">
        <v>12</v>
      </c>
      <c r="Q36" s="79">
        <v>3</v>
      </c>
      <c r="R36" s="79">
        <v>3</v>
      </c>
      <c r="S36" s="79">
        <v>10</v>
      </c>
      <c r="T36" s="79">
        <v>1288</v>
      </c>
      <c r="U36" s="79">
        <v>0</v>
      </c>
      <c r="V36" s="79">
        <v>0</v>
      </c>
      <c r="W36" s="79">
        <v>0</v>
      </c>
      <c r="X36" s="79">
        <v>0</v>
      </c>
      <c r="Y36" s="79">
        <v>0</v>
      </c>
      <c r="Z36" s="79">
        <v>0</v>
      </c>
      <c r="AA36" s="79">
        <v>0</v>
      </c>
      <c r="AB36" s="79">
        <v>0</v>
      </c>
      <c r="AC36" s="79">
        <v>17</v>
      </c>
      <c r="AD36" s="274">
        <v>4</v>
      </c>
      <c r="AE36" s="39" cm="1">
        <f t="array" ref="AE36">AC36-AD36</f>
        <v>13</v>
      </c>
      <c r="AF36" s="458">
        <v>17</v>
      </c>
      <c r="AG36" s="39" cm="1">
        <f t="array" ref="AG36">I36-AF36</f>
        <v>26</v>
      </c>
      <c r="AH36" s="272" cm="1">
        <f t="array" ref="AH36">AG36+AF36</f>
        <v>43</v>
      </c>
      <c r="AI36" s="79">
        <v>0</v>
      </c>
      <c r="AJ36" s="79">
        <v>0</v>
      </c>
      <c r="AK36" s="16"/>
      <c r="AL36" s="16"/>
      <c r="AM36" s="16"/>
      <c r="AN36" s="16"/>
      <c r="AO36" s="16"/>
      <c r="AP36" s="16"/>
      <c r="AQ36" s="16"/>
      <c r="AR36" s="16"/>
      <c r="AS36" s="16"/>
      <c r="AT36" s="16"/>
      <c r="AU36" s="16"/>
      <c r="AV36" s="16"/>
      <c r="AW36" s="16"/>
      <c r="AX36" s="16"/>
      <c r="AY36" s="16"/>
      <c r="AZ36" s="16"/>
      <c r="BA36" s="16"/>
      <c r="BB36" s="16"/>
      <c r="BC36" s="16"/>
      <c r="BD36" s="16"/>
      <c r="BE36" s="16"/>
      <c r="BF36" s="16"/>
      <c r="BG36" s="16"/>
      <c r="BH36" s="16"/>
      <c r="BI36" s="16"/>
      <c r="BJ36" s="16"/>
      <c r="BK36" s="16"/>
      <c r="BL36" s="16"/>
      <c r="BM36" s="16"/>
      <c r="BN36" s="16"/>
      <c r="BO36" s="16"/>
      <c r="BP36" s="16"/>
      <c r="BQ36" s="16"/>
      <c r="BR36" s="16"/>
      <c r="BS36" s="16"/>
      <c r="BT36" s="16"/>
    </row>
    <row r="37" ht="15.35" customHeight="1">
      <c r="A37" t="s" s="586">
        <v>2712</v>
      </c>
      <c r="B37" s="39">
        <v>1921</v>
      </c>
      <c r="C37" s="649">
        <v>24</v>
      </c>
      <c r="D37" t="s" s="337">
        <v>2713</v>
      </c>
      <c r="E37" s="474"/>
      <c r="F37" s="16"/>
      <c r="G37" s="16"/>
      <c r="H37" s="16"/>
      <c r="I37" s="79">
        <v>122</v>
      </c>
      <c r="J37" s="79">
        <v>92</v>
      </c>
      <c r="K37" s="79">
        <v>23</v>
      </c>
      <c r="L37" s="79">
        <v>4</v>
      </c>
      <c r="M37" s="79">
        <v>3</v>
      </c>
      <c r="N37" s="79">
        <v>20</v>
      </c>
      <c r="O37" s="79">
        <v>14</v>
      </c>
      <c r="P37" s="79">
        <v>10</v>
      </c>
      <c r="Q37" s="79">
        <v>3</v>
      </c>
      <c r="R37" s="79">
        <v>18</v>
      </c>
      <c r="S37" s="79">
        <v>57</v>
      </c>
      <c r="T37" s="79">
        <v>4570</v>
      </c>
      <c r="U37" s="79">
        <v>0</v>
      </c>
      <c r="V37" s="79">
        <v>0</v>
      </c>
      <c r="W37" s="79">
        <v>0</v>
      </c>
      <c r="X37" s="79">
        <v>0</v>
      </c>
      <c r="Y37" s="79">
        <v>0</v>
      </c>
      <c r="Z37" s="79">
        <v>0</v>
      </c>
      <c r="AA37" s="79">
        <v>0</v>
      </c>
      <c r="AB37" s="79">
        <v>0</v>
      </c>
      <c r="AC37" s="79">
        <v>79</v>
      </c>
      <c r="AD37" s="274">
        <v>6</v>
      </c>
      <c r="AE37" s="39">
        <v>73</v>
      </c>
      <c r="AF37" s="458">
        <v>42</v>
      </c>
      <c r="AG37" s="39" cm="1">
        <f t="array" ref="AG37">I37-AF37</f>
        <v>80</v>
      </c>
      <c r="AH37" s="272" cm="1">
        <f t="array" ref="AH37">AG37+AF37</f>
        <v>122</v>
      </c>
      <c r="AI37" s="79">
        <v>0</v>
      </c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</row>
    <row r="38" ht="15.35" customHeight="1">
      <c r="A38" t="s" s="268">
        <v>2879</v>
      </c>
      <c r="B38" s="39">
        <v>1921</v>
      </c>
      <c r="C38" s="272">
        <v>2</v>
      </c>
      <c r="D38" t="s" s="491">
        <v>2880</v>
      </c>
      <c r="E38" s="475"/>
      <c r="F38" s="16"/>
      <c r="G38" s="16"/>
      <c r="H38" s="79">
        <v>3</v>
      </c>
      <c r="I38" s="79">
        <v>6</v>
      </c>
      <c r="J38" s="79">
        <v>3</v>
      </c>
      <c r="K38" s="79">
        <v>2</v>
      </c>
      <c r="L38" s="79">
        <v>1</v>
      </c>
      <c r="M38" s="79">
        <v>0</v>
      </c>
      <c r="N38" s="79">
        <v>2</v>
      </c>
      <c r="O38" s="79">
        <v>1</v>
      </c>
      <c r="P38" s="79">
        <v>1</v>
      </c>
      <c r="Q38" s="79">
        <v>0</v>
      </c>
      <c r="R38" s="79">
        <v>0</v>
      </c>
      <c r="S38" s="79">
        <v>2</v>
      </c>
      <c r="T38" s="79">
        <v>240</v>
      </c>
      <c r="U38" s="79">
        <v>0</v>
      </c>
      <c r="V38" s="79">
        <v>0</v>
      </c>
      <c r="W38" s="79">
        <v>0</v>
      </c>
      <c r="X38" s="79">
        <v>0</v>
      </c>
      <c r="Y38" s="79">
        <v>0</v>
      </c>
      <c r="Z38" s="79">
        <v>0</v>
      </c>
      <c r="AA38" s="79">
        <v>0</v>
      </c>
      <c r="AB38" s="79">
        <v>0</v>
      </c>
      <c r="AC38" s="79">
        <v>4</v>
      </c>
      <c r="AD38" s="274">
        <v>0</v>
      </c>
      <c r="AE38" s="39" cm="1">
        <f t="array" ref="AE38">AC38-AD38</f>
        <v>4</v>
      </c>
      <c r="AF38" s="458">
        <v>3</v>
      </c>
      <c r="AG38" s="39" cm="1">
        <f t="array" ref="AG38">I38-AF38</f>
        <v>3</v>
      </c>
      <c r="AH38" s="272" cm="1">
        <f t="array" ref="AH38">AG38+AF38</f>
        <v>6</v>
      </c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</row>
    <row r="39" ht="15.35" customHeight="1">
      <c r="A39" t="s" s="271">
        <v>2896</v>
      </c>
      <c r="B39" s="39">
        <v>1921</v>
      </c>
      <c r="C39" s="272">
        <v>13</v>
      </c>
      <c r="D39" t="s" s="101">
        <v>2897</v>
      </c>
      <c r="E39" t="s" s="101">
        <v>3164</v>
      </c>
      <c r="F39" s="16"/>
      <c r="G39" s="16"/>
      <c r="H39" s="16"/>
      <c r="I39" s="79">
        <v>60</v>
      </c>
      <c r="J39" s="79">
        <v>41</v>
      </c>
      <c r="K39" s="79">
        <v>12</v>
      </c>
      <c r="L39" s="79">
        <v>6</v>
      </c>
      <c r="M39" s="79">
        <v>1</v>
      </c>
      <c r="N39" s="79">
        <v>12</v>
      </c>
      <c r="O39" s="79">
        <v>6</v>
      </c>
      <c r="P39" s="79">
        <v>8</v>
      </c>
      <c r="Q39" s="79">
        <v>3</v>
      </c>
      <c r="R39" s="79">
        <v>8</v>
      </c>
      <c r="S39" s="79">
        <v>23</v>
      </c>
      <c r="T39" s="79">
        <v>1979</v>
      </c>
      <c r="U39" s="79">
        <v>0</v>
      </c>
      <c r="V39" s="79">
        <v>0</v>
      </c>
      <c r="W39" s="79">
        <v>0</v>
      </c>
      <c r="X39" s="79">
        <v>0</v>
      </c>
      <c r="Y39" s="79">
        <v>0</v>
      </c>
      <c r="Z39" s="79">
        <v>0</v>
      </c>
      <c r="AA39" s="79">
        <v>0</v>
      </c>
      <c r="AB39" s="79">
        <v>0</v>
      </c>
      <c r="AC39" s="79">
        <v>31</v>
      </c>
      <c r="AD39" s="274">
        <v>9</v>
      </c>
      <c r="AE39" s="39" cm="1">
        <f t="array" ref="AE39">AC39-AD39</f>
        <v>22</v>
      </c>
      <c r="AF39" s="458">
        <v>32</v>
      </c>
      <c r="AG39" s="39" cm="1">
        <f t="array" ref="AG39">I39-AF39</f>
        <v>28</v>
      </c>
      <c r="AH39" s="272" cm="1">
        <f t="array" ref="AH39">AG39+AF39</f>
        <v>60</v>
      </c>
      <c r="AI39" s="79">
        <v>0</v>
      </c>
      <c r="AJ39" s="79">
        <v>0</v>
      </c>
      <c r="AK39" s="79">
        <v>0</v>
      </c>
      <c r="AL39" s="79">
        <v>0</v>
      </c>
      <c r="AM39" s="79">
        <v>0</v>
      </c>
      <c r="AN39" s="79">
        <v>0</v>
      </c>
      <c r="AO39" s="79">
        <v>0</v>
      </c>
      <c r="AP39" s="79">
        <v>0</v>
      </c>
      <c r="AQ39" s="79">
        <v>0</v>
      </c>
      <c r="AR39" s="79">
        <v>0</v>
      </c>
      <c r="AS39" s="79">
        <v>0</v>
      </c>
      <c r="AT39" s="79">
        <v>0</v>
      </c>
      <c r="AU39" s="79">
        <v>0</v>
      </c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6"/>
      <c r="BL39" s="16"/>
      <c r="BM39" s="16"/>
      <c r="BN39" s="16"/>
      <c r="BO39" s="16"/>
      <c r="BP39" s="16"/>
      <c r="BQ39" s="16"/>
      <c r="BR39" s="16"/>
      <c r="BS39" s="16"/>
      <c r="BT39" s="16"/>
    </row>
    <row r="40" ht="15.35" customHeight="1">
      <c r="A40" t="s" s="367">
        <v>2926</v>
      </c>
      <c r="B40" s="39">
        <v>1921</v>
      </c>
      <c r="C40" s="272">
        <v>11</v>
      </c>
      <c r="D40" t="s" s="101">
        <v>2936</v>
      </c>
      <c r="E40" s="273"/>
      <c r="F40" s="16"/>
      <c r="G40" s="16"/>
      <c r="H40" s="16"/>
      <c r="I40" s="79">
        <v>42</v>
      </c>
      <c r="J40" s="79">
        <v>24</v>
      </c>
      <c r="K40" s="79">
        <v>13</v>
      </c>
      <c r="L40" s="79">
        <v>5</v>
      </c>
      <c r="M40" s="79">
        <v>0</v>
      </c>
      <c r="N40" s="79">
        <v>10</v>
      </c>
      <c r="O40" s="79">
        <v>5</v>
      </c>
      <c r="P40" s="79">
        <v>7</v>
      </c>
      <c r="Q40" s="79">
        <v>1</v>
      </c>
      <c r="R40" s="79">
        <v>12</v>
      </c>
      <c r="S40" s="79">
        <v>7</v>
      </c>
      <c r="T40" s="79">
        <v>1567</v>
      </c>
      <c r="U40" s="16"/>
      <c r="V40" s="16"/>
      <c r="W40" s="16"/>
      <c r="X40" s="79">
        <v>0</v>
      </c>
      <c r="Y40" s="79">
        <v>0</v>
      </c>
      <c r="Z40" s="79">
        <v>0</v>
      </c>
      <c r="AA40" s="79">
        <v>0</v>
      </c>
      <c r="AB40" s="79">
        <v>1</v>
      </c>
      <c r="AC40" s="79">
        <v>17</v>
      </c>
      <c r="AD40" s="274">
        <v>2</v>
      </c>
      <c r="AE40" s="456" cm="1">
        <f t="array" ref="AE40">AC40-AD40</f>
        <v>15</v>
      </c>
      <c r="AF40" s="458">
        <v>23</v>
      </c>
      <c r="AG40" s="39" cm="1">
        <f t="array" ref="AG40">I40-AF40</f>
        <v>19</v>
      </c>
      <c r="AH40" s="272" cm="1">
        <f t="array" ref="AH40">AG40+AF40</f>
        <v>42</v>
      </c>
      <c r="AI40" s="16"/>
      <c r="AJ40" s="16"/>
      <c r="AK40" s="16"/>
      <c r="AL40" s="16"/>
      <c r="AM40" s="16"/>
      <c r="AN40" s="16"/>
      <c r="AO40" s="16"/>
      <c r="AP40" s="16"/>
      <c r="AQ40" s="16"/>
      <c r="AR40" s="16"/>
      <c r="AS40" s="16"/>
      <c r="AT40" s="16"/>
      <c r="AU40" s="16"/>
      <c r="AV40" s="16"/>
      <c r="AW40" s="16"/>
      <c r="AX40" s="16"/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</row>
    <row r="41" ht="15.35" customHeight="1">
      <c r="A41" t="s" s="451">
        <v>723</v>
      </c>
      <c r="B41" t="s" s="37">
        <v>725</v>
      </c>
      <c r="C41" s="272" cm="1">
        <f t="array" ref="C41">SUM(C3:C40)</f>
        <v>315</v>
      </c>
      <c r="D41" s="476">
        <v>36</v>
      </c>
      <c r="E41" s="273"/>
      <c r="F41" s="16"/>
      <c r="G41" s="16"/>
      <c r="H41" s="16"/>
      <c r="I41" s="79" cm="1">
        <f t="array" ref="I41">SUM(I3:I40)</f>
        <v>1444</v>
      </c>
      <c r="J41" s="79" cm="1">
        <f t="array" ref="J41">SUM(J3:J40)</f>
        <v>979</v>
      </c>
      <c r="K41" s="79" cm="1">
        <f t="array" ref="K41">SUM(K3:K40)</f>
        <v>356</v>
      </c>
      <c r="L41" s="79" cm="1">
        <f t="array" ref="L41">SUM(L3:L40)</f>
        <v>72</v>
      </c>
      <c r="M41" s="79" cm="1">
        <f t="array" ref="M41">SUM(M3:M40)</f>
        <v>51</v>
      </c>
      <c r="N41" s="79" cm="1">
        <f t="array" ref="N41">SUM(N3:N40)</f>
        <v>293</v>
      </c>
      <c r="O41" s="79" cm="1">
        <f t="array" ref="O41">SUM(O3:O40)</f>
        <v>191</v>
      </c>
      <c r="P41" s="79" cm="1">
        <f t="array" ref="P41">SUM(P3:P40)</f>
        <v>170</v>
      </c>
      <c r="Q41" s="79" cm="1">
        <f t="array" ref="Q41">SUM(Q3:Q40)</f>
        <v>100</v>
      </c>
      <c r="R41" s="79" cm="1">
        <f t="array" ref="R41">SUM(R3:R40)</f>
        <v>204</v>
      </c>
      <c r="S41" s="79" cm="1">
        <f t="array" ref="S41">SUM(S3:S40)</f>
        <v>481</v>
      </c>
      <c r="T41" s="79" cm="1">
        <f t="array" ref="T41">SUM(T3:T40)</f>
        <v>53213</v>
      </c>
      <c r="U41" s="79" cm="1">
        <f t="array" ref="U41">SUM(U3:U40)</f>
        <v>9</v>
      </c>
      <c r="V41" s="79" cm="1">
        <f t="array" ref="V41">SUM(V3:V40)</f>
        <v>20</v>
      </c>
      <c r="W41" s="79" cm="1">
        <f t="array" ref="W41">SUM(W3:W40)</f>
        <v>5</v>
      </c>
      <c r="X41" s="79" cm="1">
        <f t="array" ref="X41">SUM(X3:X40)</f>
        <v>0</v>
      </c>
      <c r="Y41" s="79" cm="1">
        <f t="array" ref="Y41">SUM(Y3:Y40)</f>
        <v>0</v>
      </c>
      <c r="Z41" s="79" cm="1">
        <f t="array" ref="Z41">SUM(Z3:Z40)</f>
        <v>0</v>
      </c>
      <c r="AA41" s="79" cm="1">
        <f t="array" ref="AA41">SUM(AA3:AA40)</f>
        <v>0</v>
      </c>
      <c r="AB41" s="79" cm="1">
        <f t="array" ref="AB41">SUM(AB3:AB40)</f>
        <v>1</v>
      </c>
      <c r="AC41" s="79" cm="1">
        <f t="array" ref="AC41">SUM(AC3:AC40)</f>
        <v>872</v>
      </c>
      <c r="AD41" s="79" cm="1">
        <f t="array" ref="AD41">SUM(AD3:AD40)</f>
        <v>108</v>
      </c>
      <c r="AE41" s="79" cm="1">
        <f t="array" ref="AE41">SUM(AE3:AE40)</f>
        <v>764</v>
      </c>
      <c r="AF41" s="274" cm="1">
        <f t="array" ref="AF41">SUM(AF3:AF40)</f>
        <v>664</v>
      </c>
      <c r="AG41" s="39" cm="1">
        <f t="array" ref="AG41">I41-AF41</f>
        <v>780</v>
      </c>
      <c r="AH41" s="272" cm="1">
        <f t="array" ref="AH41">AG41+AF41</f>
        <v>1444</v>
      </c>
      <c r="AI41" s="16"/>
      <c r="AJ41" s="16"/>
      <c r="AK41" s="16"/>
      <c r="AL41" s="16"/>
      <c r="AM41" s="16"/>
      <c r="AN41" s="16"/>
      <c r="AO41" s="16"/>
      <c r="AP41" s="16"/>
      <c r="AQ41" s="16"/>
      <c r="AR41" s="16"/>
      <c r="AS41" s="16"/>
      <c r="AT41" s="16"/>
      <c r="AU41" s="16"/>
      <c r="AV41" s="16"/>
      <c r="AW41" s="16"/>
      <c r="AX41" s="16"/>
      <c r="AY41" s="16"/>
      <c r="AZ41" s="16"/>
      <c r="BA41" s="16"/>
      <c r="BB41" s="16"/>
      <c r="BC41" s="16"/>
      <c r="BD41" s="16"/>
      <c r="BE41" s="16"/>
      <c r="BF41" s="16"/>
      <c r="BG41" s="16"/>
      <c r="BH41" s="16"/>
      <c r="BI41" s="16"/>
      <c r="BJ41" s="16"/>
      <c r="BK41" s="16"/>
      <c r="BL41" s="16"/>
      <c r="BM41" s="16"/>
      <c r="BN41" s="16"/>
      <c r="BO41" s="16"/>
      <c r="BP41" s="16"/>
      <c r="BQ41" s="16"/>
      <c r="BR41" s="16"/>
      <c r="BS41" s="16"/>
      <c r="BT41" s="16"/>
    </row>
    <row r="42" ht="15.35" customHeight="1">
      <c r="A42" s="65"/>
      <c r="B42" s="66"/>
      <c r="C42" s="16"/>
      <c r="D42" s="273"/>
      <c r="E42" s="273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71"/>
      <c r="AH42" s="16"/>
      <c r="AI42" s="16"/>
      <c r="AJ42" s="16"/>
      <c r="AK42" s="16"/>
      <c r="AL42" s="16"/>
      <c r="AM42" s="16"/>
      <c r="AN42" s="16"/>
      <c r="AO42" s="16"/>
      <c r="AP42" s="16"/>
      <c r="AQ42" s="16"/>
      <c r="AR42" s="16"/>
      <c r="AS42" s="16"/>
      <c r="AT42" s="16"/>
      <c r="AU42" s="16"/>
      <c r="AV42" s="16"/>
      <c r="AW42" s="16"/>
      <c r="AX42" s="16"/>
      <c r="AY42" s="16"/>
      <c r="AZ42" s="16"/>
      <c r="BA42" s="16"/>
      <c r="BB42" s="16"/>
      <c r="BC42" s="16"/>
      <c r="BD42" s="16"/>
      <c r="BE42" s="16"/>
      <c r="BF42" s="16"/>
      <c r="BG42" s="16"/>
      <c r="BH42" s="16"/>
      <c r="BI42" s="16"/>
      <c r="BJ42" s="16"/>
      <c r="BK42" s="16"/>
      <c r="BL42" s="16"/>
      <c r="BM42" s="16"/>
      <c r="BN42" s="16"/>
      <c r="BO42" s="16"/>
      <c r="BP42" s="16"/>
      <c r="BQ42" s="16"/>
      <c r="BR42" s="16"/>
      <c r="BS42" s="16"/>
      <c r="BT42" s="16"/>
    </row>
    <row r="43" ht="15.35" customHeight="1">
      <c r="A43" s="30"/>
      <c r="B43" s="74"/>
      <c r="C43" s="16"/>
      <c r="D43" s="273"/>
      <c r="E43" s="273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  <c r="AQ43" s="16"/>
      <c r="AR43" s="16"/>
      <c r="AS43" s="16"/>
      <c r="AT43" s="16"/>
      <c r="AU43" s="16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16"/>
      <c r="BQ43" s="16"/>
      <c r="BR43" s="16"/>
      <c r="BS43" s="16"/>
      <c r="BT43" s="16"/>
    </row>
    <row r="44" ht="15.35" customHeight="1">
      <c r="A44" s="180"/>
      <c r="B44" s="16"/>
      <c r="C44" s="16"/>
      <c r="D44" s="273"/>
      <c r="E44" s="273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  <c r="AQ44" s="16"/>
      <c r="AR44" s="16"/>
      <c r="AS44" s="16"/>
      <c r="AT44" s="16"/>
      <c r="AU44" s="16"/>
      <c r="AV44" s="16"/>
      <c r="AW44" s="16"/>
      <c r="AX44" s="16"/>
      <c r="AY44" s="16"/>
      <c r="AZ44" s="16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16"/>
      <c r="BQ44" s="16"/>
      <c r="BR44" s="16"/>
      <c r="BS44" s="16"/>
      <c r="BT44" s="16"/>
    </row>
    <row r="45" ht="15.35" customHeight="1">
      <c r="A45" s="30"/>
      <c r="B45" s="74"/>
      <c r="C45" s="16"/>
      <c r="D45" s="273"/>
      <c r="E45" s="273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  <c r="AQ45" s="16"/>
      <c r="AR45" s="16"/>
      <c r="AS45" s="16"/>
      <c r="AT45" s="16"/>
      <c r="AU45" s="16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16"/>
      <c r="BQ45" s="16"/>
      <c r="BR45" s="16"/>
      <c r="BS45" s="16"/>
      <c r="BT45" s="16"/>
    </row>
    <row r="46" ht="15.35" customHeight="1">
      <c r="A46" s="30"/>
      <c r="B46" s="74"/>
      <c r="C46" s="16"/>
      <c r="D46" s="273"/>
      <c r="E46" s="273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  <c r="AQ46" s="16"/>
      <c r="AR46" s="16"/>
      <c r="AS46" s="16"/>
      <c r="AT46" s="16"/>
      <c r="AU46" s="16"/>
      <c r="AV46" s="16"/>
      <c r="AW46" s="16"/>
      <c r="AX46" s="16"/>
      <c r="AY46" s="16"/>
      <c r="AZ46" s="16"/>
      <c r="BA46" s="16"/>
      <c r="BB46" s="16"/>
      <c r="BC46" s="16"/>
      <c r="BD46" s="16"/>
      <c r="BE46" s="16"/>
      <c r="BF46" s="16"/>
      <c r="BG46" s="16"/>
      <c r="BH46" s="16"/>
      <c r="BI46" s="16"/>
      <c r="BJ46" s="16"/>
      <c r="BK46" s="16"/>
      <c r="BL46" s="16"/>
      <c r="BM46" s="16"/>
      <c r="BN46" s="16"/>
      <c r="BO46" s="16"/>
      <c r="BP46" s="16"/>
      <c r="BQ46" s="16"/>
      <c r="BR46" s="16"/>
      <c r="BS46" s="16"/>
      <c r="BT46" s="16"/>
    </row>
    <row r="47" ht="15.35" customHeight="1">
      <c r="A47" s="30"/>
      <c r="B47" s="74"/>
      <c r="C47" s="16"/>
      <c r="D47" s="273"/>
      <c r="E47" s="273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  <c r="AQ47" s="16"/>
      <c r="AR47" s="16"/>
      <c r="AS47" s="16"/>
      <c r="AT47" s="16"/>
      <c r="AU47" s="16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4.xml><?xml version="1.0" encoding="utf-8"?>
<worksheet xmlns:r="http://schemas.openxmlformats.org/officeDocument/2006/relationships" xmlns="http://schemas.openxmlformats.org/spreadsheetml/2006/main">
  <dimension ref="A1:BT85"/>
  <sheetViews>
    <sheetView workbookViewId="0" showGridLines="0" defaultGridColor="1"/>
  </sheetViews>
  <sheetFormatPr defaultColWidth="10.8333" defaultRowHeight="16" customHeight="1" outlineLevelRow="0" outlineLevelCol="0"/>
  <cols>
    <col min="1" max="1" width="8.17188" style="668" customWidth="1"/>
    <col min="2" max="2" width="9.67188" style="668" customWidth="1"/>
    <col min="3" max="3" width="9.17188" style="668" customWidth="1"/>
    <col min="4" max="4" width="16.6719" style="668" customWidth="1"/>
    <col min="5" max="5" width="17.1719" style="668" customWidth="1"/>
    <col min="6" max="6" width="11" style="668" customWidth="1"/>
    <col min="7" max="7" width="9.67188" style="668" customWidth="1"/>
    <col min="8" max="10" width="10.6719" style="668" customWidth="1"/>
    <col min="11" max="13" width="10.8516" style="668" customWidth="1"/>
    <col min="14" max="14" width="12.3516" style="668" customWidth="1"/>
    <col min="15" max="72" width="10.8516" style="668" customWidth="1"/>
    <col min="73" max="16384" width="10.8516" style="668" customWidth="1"/>
  </cols>
  <sheetData>
    <row r="1" ht="51" customHeight="1">
      <c r="A1" t="s" s="23">
        <v>3165</v>
      </c>
      <c r="B1" t="s" s="669">
        <v>3009</v>
      </c>
      <c r="C1" t="s" s="23">
        <v>3166</v>
      </c>
      <c r="D1" t="s" s="23">
        <v>455</v>
      </c>
      <c r="E1" t="s" s="23">
        <v>3167</v>
      </c>
      <c r="F1" t="s" s="670">
        <v>3168</v>
      </c>
      <c r="G1" s="671"/>
      <c r="H1" s="74"/>
      <c r="I1" t="s" s="672">
        <v>3129</v>
      </c>
      <c r="J1" t="s" s="24">
        <v>274</v>
      </c>
      <c r="K1" s="26"/>
      <c r="L1" s="26"/>
      <c r="M1" s="26"/>
      <c r="N1" t="s" s="24">
        <v>275</v>
      </c>
      <c r="O1" s="26"/>
      <c r="P1" s="26"/>
      <c r="Q1" s="26"/>
      <c r="R1" s="26"/>
      <c r="S1" s="26"/>
      <c r="T1" t="s" s="24">
        <v>276</v>
      </c>
      <c r="U1" t="s" s="24">
        <v>277</v>
      </c>
      <c r="V1" t="s" s="24">
        <v>278</v>
      </c>
      <c r="W1" t="s" s="24">
        <v>279</v>
      </c>
      <c r="X1" t="s" s="24">
        <v>280</v>
      </c>
      <c r="Y1" t="s" s="24">
        <v>281</v>
      </c>
      <c r="Z1" t="s" s="24">
        <v>282</v>
      </c>
      <c r="AA1" t="s" s="24">
        <v>283</v>
      </c>
      <c r="AB1" t="s" s="24">
        <v>284</v>
      </c>
      <c r="AC1" t="s" s="24">
        <v>285</v>
      </c>
      <c r="AD1" t="s" s="24">
        <v>286</v>
      </c>
      <c r="AE1" s="454"/>
      <c r="AF1" t="s" s="35">
        <v>3062</v>
      </c>
      <c r="AG1" s="33"/>
      <c r="AH1" s="33"/>
      <c r="AI1" s="453"/>
      <c r="AJ1" s="26"/>
      <c r="AK1" s="28"/>
      <c r="AL1" s="28"/>
      <c r="AM1" s="29"/>
      <c r="AN1" s="29"/>
      <c r="AO1" s="30"/>
      <c r="AP1" s="29"/>
      <c r="AQ1" s="29"/>
      <c r="AR1" s="29"/>
      <c r="AS1" s="30"/>
      <c r="AT1" s="28"/>
      <c r="AU1" s="28"/>
      <c r="AV1" s="28"/>
      <c r="AW1" s="28"/>
      <c r="AX1" s="28"/>
      <c r="AY1" s="28"/>
      <c r="AZ1" s="28"/>
      <c r="BA1" s="29"/>
      <c r="BB1" s="30"/>
      <c r="BC1" s="30"/>
      <c r="BD1" s="74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</row>
    <row r="2" ht="34" customHeight="1">
      <c r="A2" s="31"/>
      <c r="B2" s="673"/>
      <c r="C2" s="32"/>
      <c r="D2" s="32"/>
      <c r="E2" s="32"/>
      <c r="F2" s="464"/>
      <c r="G2" s="34"/>
      <c r="H2" s="464"/>
      <c r="I2" s="33"/>
      <c r="J2" t="s" s="35">
        <v>292</v>
      </c>
      <c r="K2" t="s" s="35">
        <v>293</v>
      </c>
      <c r="L2" t="s" s="35">
        <v>294</v>
      </c>
      <c r="M2" t="s" s="35">
        <v>295</v>
      </c>
      <c r="N2" t="s" s="35">
        <v>296</v>
      </c>
      <c r="O2" t="s" s="35">
        <v>297</v>
      </c>
      <c r="P2" t="s" s="35">
        <v>298</v>
      </c>
      <c r="Q2" t="s" s="35">
        <v>299</v>
      </c>
      <c r="R2" t="s" s="35">
        <v>300</v>
      </c>
      <c r="S2" t="s" s="35">
        <v>11</v>
      </c>
      <c r="T2" t="s" s="35">
        <v>301</v>
      </c>
      <c r="U2" t="s" s="35">
        <v>302</v>
      </c>
      <c r="V2" t="s" s="35">
        <v>303</v>
      </c>
      <c r="W2" t="s" s="36">
        <v>304</v>
      </c>
      <c r="X2" s="33"/>
      <c r="Y2" s="33"/>
      <c r="Z2" s="33"/>
      <c r="AA2" s="33"/>
      <c r="AB2" s="33"/>
      <c r="AC2" s="33"/>
      <c r="AD2" t="s" s="35">
        <v>8</v>
      </c>
      <c r="AE2" t="s" s="35">
        <v>459</v>
      </c>
      <c r="AF2" t="s" s="451">
        <v>306</v>
      </c>
      <c r="AG2" t="s" s="37">
        <v>300</v>
      </c>
      <c r="AH2" t="s" s="483">
        <v>458</v>
      </c>
      <c r="AI2" s="674"/>
      <c r="AJ2" s="674"/>
      <c r="AK2" s="38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131"/>
      <c r="BE2" s="132"/>
      <c r="BF2" s="132"/>
      <c r="BG2" s="132"/>
      <c r="BH2" s="132"/>
      <c r="BI2" s="132"/>
      <c r="BJ2" s="132"/>
      <c r="BK2" s="132"/>
      <c r="BL2" s="132"/>
      <c r="BM2" s="132"/>
      <c r="BN2" s="132"/>
      <c r="BO2" s="132"/>
      <c r="BP2" s="132"/>
      <c r="BQ2" s="132"/>
      <c r="BR2" s="132"/>
      <c r="BS2" s="132"/>
      <c r="BT2" s="132"/>
    </row>
    <row r="3" ht="17.45" customHeight="1">
      <c r="A3" t="s" s="37">
        <v>571</v>
      </c>
      <c r="B3" t="s" s="630">
        <v>3131</v>
      </c>
      <c r="C3" s="39">
        <v>4</v>
      </c>
      <c r="D3" t="s" s="37">
        <v>572</v>
      </c>
      <c r="E3" s="675"/>
      <c r="F3" s="39">
        <v>6</v>
      </c>
      <c r="G3" s="531"/>
      <c r="H3" s="531"/>
      <c r="I3" s="56">
        <v>18</v>
      </c>
      <c r="J3" s="39">
        <v>9</v>
      </c>
      <c r="K3" s="39">
        <v>7</v>
      </c>
      <c r="L3" s="39">
        <v>2</v>
      </c>
      <c r="M3" s="39">
        <v>0</v>
      </c>
      <c r="N3" s="39">
        <v>4</v>
      </c>
      <c r="O3" s="39">
        <v>3</v>
      </c>
      <c r="P3" s="39">
        <v>6</v>
      </c>
      <c r="Q3" s="39">
        <v>2</v>
      </c>
      <c r="R3" s="39">
        <v>3</v>
      </c>
      <c r="S3" s="39">
        <v>0</v>
      </c>
      <c r="T3" s="39">
        <v>669</v>
      </c>
      <c r="U3" s="39">
        <v>8</v>
      </c>
      <c r="V3" s="39">
        <v>7</v>
      </c>
      <c r="W3" s="39">
        <v>1</v>
      </c>
      <c r="X3" s="39">
        <v>96</v>
      </c>
      <c r="Y3" s="39">
        <v>12</v>
      </c>
      <c r="Z3" s="39">
        <v>11</v>
      </c>
      <c r="AA3" s="32"/>
      <c r="AB3" s="42"/>
      <c r="AC3" s="43">
        <v>12</v>
      </c>
      <c r="AD3" s="39">
        <v>0</v>
      </c>
      <c r="AE3" s="39" cm="1">
        <f t="array" ref="AE3">AC3-AD3</f>
        <v>12</v>
      </c>
      <c r="AF3" s="39">
        <v>15</v>
      </c>
      <c r="AG3" s="56" cm="1">
        <f t="array" ref="AG3">I3-AF3</f>
        <v>3</v>
      </c>
      <c r="AH3" s="56" cm="1">
        <f t="array" ref="AH3">AF3+AG3</f>
        <v>18</v>
      </c>
      <c r="AI3" s="44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</row>
    <row r="4" ht="15.35" customHeight="1">
      <c r="A4" t="s" s="37">
        <v>571</v>
      </c>
      <c r="B4" s="281">
        <v>1921</v>
      </c>
      <c r="C4" s="39">
        <v>7</v>
      </c>
      <c r="D4" t="s" s="37">
        <v>572</v>
      </c>
      <c r="E4" s="465"/>
      <c r="F4" s="468"/>
      <c r="G4" s="627"/>
      <c r="H4" s="675"/>
      <c r="I4" s="39">
        <v>21</v>
      </c>
      <c r="J4" s="39">
        <v>14</v>
      </c>
      <c r="K4" s="39">
        <v>5</v>
      </c>
      <c r="L4" s="39">
        <v>1</v>
      </c>
      <c r="M4" s="39">
        <v>1</v>
      </c>
      <c r="N4" s="39">
        <v>7</v>
      </c>
      <c r="O4" s="39">
        <v>3</v>
      </c>
      <c r="P4" s="39">
        <v>2</v>
      </c>
      <c r="Q4" s="39">
        <v>2</v>
      </c>
      <c r="R4" s="39">
        <v>3</v>
      </c>
      <c r="S4" s="39">
        <v>4</v>
      </c>
      <c r="T4" s="39">
        <v>832</v>
      </c>
      <c r="U4" s="39">
        <v>0</v>
      </c>
      <c r="V4" s="39">
        <v>1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12</v>
      </c>
      <c r="AD4" s="39">
        <v>0</v>
      </c>
      <c r="AE4" s="39" cm="1">
        <f t="array" ref="AE4">AC4-AD4</f>
        <v>12</v>
      </c>
      <c r="AF4" s="39">
        <v>18</v>
      </c>
      <c r="AG4" s="56" cm="1">
        <f t="array" ref="AG4">I4-AF4</f>
        <v>3</v>
      </c>
      <c r="AH4" s="56" cm="1">
        <f t="array" ref="AH4">AF4+AG4</f>
        <v>21</v>
      </c>
      <c r="AI4" s="456">
        <v>0</v>
      </c>
      <c r="AJ4" s="589">
        <v>0</v>
      </c>
      <c r="AK4" s="97">
        <v>0</v>
      </c>
      <c r="AL4" s="97">
        <v>0</v>
      </c>
      <c r="AM4" s="97">
        <v>0</v>
      </c>
      <c r="AN4" s="97">
        <v>0</v>
      </c>
      <c r="AO4" s="97">
        <v>0</v>
      </c>
      <c r="AP4" s="97">
        <v>0</v>
      </c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62"/>
      <c r="BI4" s="62"/>
      <c r="BJ4" s="62"/>
      <c r="BK4" s="62"/>
      <c r="BL4" s="62"/>
      <c r="BM4" s="62"/>
      <c r="BN4" s="62"/>
      <c r="BO4" s="62"/>
      <c r="BP4" s="62"/>
      <c r="BQ4" s="62"/>
      <c r="BR4" s="62"/>
      <c r="BS4" s="62"/>
      <c r="BT4" s="62"/>
    </row>
    <row r="5" ht="15.35" customHeight="1">
      <c r="A5" t="s" s="676">
        <v>3132</v>
      </c>
      <c r="B5" s="677">
        <v>1911</v>
      </c>
      <c r="C5" s="39">
        <v>14</v>
      </c>
      <c r="D5" t="s" s="37">
        <v>3169</v>
      </c>
      <c r="E5" s="32"/>
      <c r="F5" s="460"/>
      <c r="G5" s="41"/>
      <c r="H5" s="460"/>
      <c r="I5" s="39">
        <v>62</v>
      </c>
      <c r="J5" s="39">
        <v>49</v>
      </c>
      <c r="K5" s="39">
        <v>11</v>
      </c>
      <c r="L5" s="39">
        <v>2</v>
      </c>
      <c r="M5" s="39">
        <v>0</v>
      </c>
      <c r="N5" s="39">
        <v>13</v>
      </c>
      <c r="O5" s="39">
        <v>5</v>
      </c>
      <c r="P5" s="39">
        <v>10</v>
      </c>
      <c r="Q5" s="39">
        <v>2</v>
      </c>
      <c r="R5" s="39">
        <v>6</v>
      </c>
      <c r="S5" s="39">
        <v>26</v>
      </c>
      <c r="T5" s="39">
        <v>2532</v>
      </c>
      <c r="U5" s="39">
        <v>11</v>
      </c>
      <c r="V5" s="39">
        <v>37</v>
      </c>
      <c r="W5" s="39">
        <v>12</v>
      </c>
      <c r="X5" s="39">
        <v>216</v>
      </c>
      <c r="Y5" s="39">
        <v>29</v>
      </c>
      <c r="Z5" s="39">
        <v>25</v>
      </c>
      <c r="AA5" s="32"/>
      <c r="AB5" s="32"/>
      <c r="AC5" s="39">
        <v>39</v>
      </c>
      <c r="AD5" s="39">
        <v>8</v>
      </c>
      <c r="AE5" s="39" cm="1">
        <f t="array" ref="AE5">AC5-AD5</f>
        <v>31</v>
      </c>
      <c r="AF5" s="39">
        <v>29</v>
      </c>
      <c r="AG5" s="56" cm="1">
        <f t="array" ref="AG5">I5-AF5</f>
        <v>33</v>
      </c>
      <c r="AH5" s="56" cm="1">
        <f t="array" ref="AH5">AF5+AG5</f>
        <v>62</v>
      </c>
      <c r="AI5" s="63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  <c r="BP5" s="16"/>
      <c r="BQ5" s="16"/>
      <c r="BR5" s="16"/>
      <c r="BS5" s="16"/>
      <c r="BT5" s="16"/>
    </row>
    <row r="6" ht="15.35" customHeight="1">
      <c r="A6" t="s" s="678">
        <v>3132</v>
      </c>
      <c r="B6" s="281">
        <v>1921</v>
      </c>
      <c r="C6" s="679">
        <v>11</v>
      </c>
      <c r="D6" t="s" s="37">
        <v>3169</v>
      </c>
      <c r="E6" s="680"/>
      <c r="F6" s="464"/>
      <c r="G6" s="681"/>
      <c r="H6" s="682"/>
      <c r="I6" s="39">
        <v>59</v>
      </c>
      <c r="J6" s="679">
        <v>44</v>
      </c>
      <c r="K6" s="679">
        <v>11</v>
      </c>
      <c r="L6" s="679">
        <v>4</v>
      </c>
      <c r="M6" s="679">
        <v>0</v>
      </c>
      <c r="N6" s="679">
        <v>11</v>
      </c>
      <c r="O6" s="679">
        <v>6</v>
      </c>
      <c r="P6" s="679">
        <v>8</v>
      </c>
      <c r="Q6" s="679">
        <v>3</v>
      </c>
      <c r="R6" s="679">
        <v>8</v>
      </c>
      <c r="S6" s="679">
        <v>23</v>
      </c>
      <c r="T6" s="683">
        <v>1968</v>
      </c>
      <c r="U6" s="32"/>
      <c r="V6" s="32"/>
      <c r="W6" s="32"/>
      <c r="X6" s="32"/>
      <c r="Y6" s="32"/>
      <c r="Z6" s="32"/>
      <c r="AA6" s="32"/>
      <c r="AB6" s="32"/>
      <c r="AC6" s="39">
        <v>34</v>
      </c>
      <c r="AD6" s="39">
        <v>6</v>
      </c>
      <c r="AE6" s="39" cm="1">
        <f t="array" ref="AE6">AC6-AD6</f>
        <v>28</v>
      </c>
      <c r="AF6" s="39">
        <v>36</v>
      </c>
      <c r="AG6" s="56" cm="1">
        <f t="array" ref="AG6">I6-AF6</f>
        <v>23</v>
      </c>
      <c r="AH6" s="56" cm="1">
        <f t="array" ref="AH6">AF6+AG6</f>
        <v>59</v>
      </c>
      <c r="AI6" s="291"/>
      <c r="AJ6" s="132"/>
      <c r="AK6" s="132"/>
      <c r="AL6" s="132"/>
      <c r="AM6" s="132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32"/>
      <c r="BB6" s="132"/>
      <c r="BC6" s="132"/>
      <c r="BD6" s="132"/>
      <c r="BE6" s="132"/>
      <c r="BF6" s="132"/>
      <c r="BG6" s="132"/>
      <c r="BH6" s="132"/>
      <c r="BI6" s="132"/>
      <c r="BJ6" s="132"/>
      <c r="BK6" s="132"/>
      <c r="BL6" s="132"/>
      <c r="BM6" s="132"/>
      <c r="BN6" s="132"/>
      <c r="BO6" s="132"/>
      <c r="BP6" s="132"/>
      <c r="BQ6" s="132"/>
      <c r="BR6" s="132"/>
      <c r="BS6" s="132"/>
      <c r="BT6" s="132"/>
    </row>
    <row r="7" ht="17" customHeight="1">
      <c r="A7" t="s" s="31">
        <v>465</v>
      </c>
      <c r="B7" t="s" s="630">
        <v>3131</v>
      </c>
      <c r="C7" s="43">
        <v>13</v>
      </c>
      <c r="D7" t="s" s="533">
        <v>3135</v>
      </c>
      <c r="E7" s="33"/>
      <c r="F7" s="39">
        <v>7</v>
      </c>
      <c r="G7" s="531"/>
      <c r="H7" s="531"/>
      <c r="I7" s="56">
        <v>48</v>
      </c>
      <c r="J7" s="39">
        <v>34</v>
      </c>
      <c r="K7" s="39">
        <v>14</v>
      </c>
      <c r="L7" s="39">
        <v>0</v>
      </c>
      <c r="M7" s="39">
        <v>0</v>
      </c>
      <c r="N7" s="39">
        <v>8</v>
      </c>
      <c r="O7" s="39">
        <v>5</v>
      </c>
      <c r="P7" s="39">
        <v>6</v>
      </c>
      <c r="Q7" s="39">
        <v>5</v>
      </c>
      <c r="R7" s="39">
        <v>4</v>
      </c>
      <c r="S7" s="39">
        <v>20</v>
      </c>
      <c r="T7" s="39">
        <v>1723</v>
      </c>
      <c r="U7" s="39">
        <v>10</v>
      </c>
      <c r="V7" s="39">
        <v>36</v>
      </c>
      <c r="W7" s="39">
        <v>1</v>
      </c>
      <c r="X7" s="39">
        <v>130</v>
      </c>
      <c r="Y7" s="39">
        <v>12</v>
      </c>
      <c r="Z7" s="39">
        <v>10</v>
      </c>
      <c r="AA7" s="39">
        <v>0</v>
      </c>
      <c r="AB7" s="39">
        <v>0</v>
      </c>
      <c r="AC7" s="43">
        <v>33</v>
      </c>
      <c r="AD7" s="39">
        <v>8</v>
      </c>
      <c r="AE7" s="39" cm="1">
        <f t="array" ref="AE7">AC7-AD7</f>
        <v>25</v>
      </c>
      <c r="AF7" s="39">
        <v>31</v>
      </c>
      <c r="AG7" s="56" cm="1">
        <f t="array" ref="AG7">I7-AF7</f>
        <v>17</v>
      </c>
      <c r="AH7" s="56" cm="1">
        <f t="array" ref="AH7">AF7+AG7</f>
        <v>48</v>
      </c>
      <c r="AI7" s="38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</row>
    <row r="8" ht="17.45" customHeight="1">
      <c r="A8" t="s" s="371">
        <v>465</v>
      </c>
      <c r="B8" s="684">
        <v>1921</v>
      </c>
      <c r="C8" s="561">
        <v>10</v>
      </c>
      <c r="D8" t="s" s="533">
        <v>3135</v>
      </c>
      <c r="E8" s="32"/>
      <c r="F8" s="64"/>
      <c r="G8" s="685"/>
      <c r="H8" s="71"/>
      <c r="I8" s="560">
        <v>42</v>
      </c>
      <c r="J8" s="560">
        <v>29</v>
      </c>
      <c r="K8" s="560">
        <v>10</v>
      </c>
      <c r="L8" s="560">
        <v>0</v>
      </c>
      <c r="M8" s="560">
        <v>3</v>
      </c>
      <c r="N8" s="560">
        <v>11</v>
      </c>
      <c r="O8" s="560">
        <v>5</v>
      </c>
      <c r="P8" s="560">
        <v>2</v>
      </c>
      <c r="Q8" s="560">
        <v>2</v>
      </c>
      <c r="R8" s="560">
        <v>8</v>
      </c>
      <c r="S8" s="560">
        <v>14</v>
      </c>
      <c r="T8" s="560">
        <v>1718</v>
      </c>
      <c r="U8" s="560">
        <v>0</v>
      </c>
      <c r="V8" s="560">
        <v>0</v>
      </c>
      <c r="W8" s="560">
        <v>5</v>
      </c>
      <c r="X8" s="560">
        <v>0</v>
      </c>
      <c r="Y8" s="560">
        <v>0</v>
      </c>
      <c r="Z8" s="560">
        <v>0</v>
      </c>
      <c r="AA8" s="563"/>
      <c r="AB8" s="560">
        <v>0</v>
      </c>
      <c r="AC8" s="560">
        <v>28</v>
      </c>
      <c r="AD8" s="561">
        <v>5</v>
      </c>
      <c r="AE8" s="39" cm="1">
        <f t="array" ref="AE8">AC8-AD8</f>
        <v>23</v>
      </c>
      <c r="AF8" s="39">
        <v>17</v>
      </c>
      <c r="AG8" s="56" cm="1">
        <f t="array" ref="AG8">I8-AF8</f>
        <v>25</v>
      </c>
      <c r="AH8" s="56" cm="1">
        <f t="array" ref="AH8">AF8+AG8</f>
        <v>42</v>
      </c>
      <c r="AI8" s="376"/>
      <c r="AJ8" s="180"/>
      <c r="AK8" s="180"/>
      <c r="AL8" s="180"/>
      <c r="AM8" s="180"/>
      <c r="AN8" s="180"/>
      <c r="AO8" s="180"/>
      <c r="AP8" s="180"/>
      <c r="AQ8" s="180"/>
      <c r="AR8" s="180"/>
      <c r="AS8" s="180"/>
      <c r="AT8" s="180"/>
      <c r="AU8" s="180"/>
      <c r="AV8" s="180"/>
      <c r="AW8" s="180"/>
      <c r="AX8" s="180"/>
      <c r="AY8" s="180"/>
      <c r="AZ8" s="180"/>
      <c r="BA8" s="180"/>
      <c r="BB8" s="180"/>
      <c r="BC8" s="180"/>
      <c r="BD8" s="180"/>
      <c r="BE8" s="180"/>
      <c r="BF8" s="180"/>
      <c r="BG8" s="180"/>
      <c r="BH8" s="180"/>
      <c r="BI8" s="180"/>
      <c r="BJ8" s="180"/>
      <c r="BK8" s="180"/>
      <c r="BL8" s="180"/>
      <c r="BM8" s="180"/>
      <c r="BN8" s="180"/>
      <c r="BO8" s="180"/>
      <c r="BP8" s="180"/>
      <c r="BQ8" s="180"/>
      <c r="BR8" s="180"/>
      <c r="BS8" s="180"/>
      <c r="BT8" s="180"/>
    </row>
    <row r="9" ht="17" customHeight="1">
      <c r="A9" t="s" s="31">
        <v>3136</v>
      </c>
      <c r="B9" s="686">
        <v>1911</v>
      </c>
      <c r="C9" s="43">
        <v>4</v>
      </c>
      <c r="D9" t="s" s="533">
        <v>3137</v>
      </c>
      <c r="E9" s="33"/>
      <c r="F9" s="460"/>
      <c r="G9" s="531"/>
      <c r="H9" s="460"/>
      <c r="I9" s="56">
        <v>18</v>
      </c>
      <c r="J9" s="39">
        <v>10</v>
      </c>
      <c r="K9" s="39">
        <v>4</v>
      </c>
      <c r="L9" s="39">
        <v>0</v>
      </c>
      <c r="M9" s="39">
        <v>4</v>
      </c>
      <c r="N9" s="39">
        <v>4</v>
      </c>
      <c r="O9" s="39">
        <v>2</v>
      </c>
      <c r="P9" s="39">
        <v>1</v>
      </c>
      <c r="Q9" s="39">
        <v>4</v>
      </c>
      <c r="R9" s="39">
        <v>2</v>
      </c>
      <c r="S9" s="39">
        <v>5</v>
      </c>
      <c r="T9" s="39">
        <v>592</v>
      </c>
      <c r="U9" s="39">
        <v>5</v>
      </c>
      <c r="V9" s="39">
        <v>7</v>
      </c>
      <c r="W9" s="39">
        <v>2</v>
      </c>
      <c r="X9" s="39">
        <v>15</v>
      </c>
      <c r="Y9" s="39">
        <v>2</v>
      </c>
      <c r="Z9" s="39">
        <v>2</v>
      </c>
      <c r="AA9" s="39">
        <v>0</v>
      </c>
      <c r="AB9" s="39">
        <v>0</v>
      </c>
      <c r="AC9" s="43">
        <v>10</v>
      </c>
      <c r="AD9" s="39">
        <v>4</v>
      </c>
      <c r="AE9" s="39" cm="1">
        <f t="array" ref="AE9">AC9-AD9</f>
        <v>6</v>
      </c>
      <c r="AF9" s="39">
        <v>10</v>
      </c>
      <c r="AG9" s="56" cm="1">
        <f t="array" ref="AG9">I9-AF9</f>
        <v>8</v>
      </c>
      <c r="AH9" s="56" cm="1">
        <f t="array" ref="AH9">AF9+AG9</f>
        <v>18</v>
      </c>
      <c r="AI9" s="539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</row>
    <row r="10" ht="17" customHeight="1">
      <c r="A10" t="s" s="534">
        <v>3136</v>
      </c>
      <c r="B10" t="s" s="687">
        <v>725</v>
      </c>
      <c r="C10" s="535">
        <v>7</v>
      </c>
      <c r="D10" t="s" s="533">
        <v>3137</v>
      </c>
      <c r="E10" s="32"/>
      <c r="F10" s="688"/>
      <c r="G10" s="689"/>
      <c r="H10" s="688"/>
      <c r="I10" s="690">
        <v>29</v>
      </c>
      <c r="J10" s="139">
        <v>22</v>
      </c>
      <c r="K10" s="139">
        <v>7</v>
      </c>
      <c r="L10" s="139">
        <v>0</v>
      </c>
      <c r="M10" s="139">
        <v>0</v>
      </c>
      <c r="N10" s="538">
        <v>7</v>
      </c>
      <c r="O10" s="538">
        <v>4</v>
      </c>
      <c r="P10" s="538">
        <v>1</v>
      </c>
      <c r="Q10" s="538">
        <v>0</v>
      </c>
      <c r="R10" s="538">
        <v>4</v>
      </c>
      <c r="S10" s="538">
        <v>13</v>
      </c>
      <c r="T10" s="139">
        <v>1185</v>
      </c>
      <c r="U10" s="139">
        <v>0</v>
      </c>
      <c r="V10" s="139">
        <v>0</v>
      </c>
      <c r="W10" s="139">
        <v>0</v>
      </c>
      <c r="X10" s="139">
        <v>0</v>
      </c>
      <c r="Y10" s="139">
        <v>0</v>
      </c>
      <c r="Z10" s="139">
        <v>0</v>
      </c>
      <c r="AA10" s="139">
        <v>0</v>
      </c>
      <c r="AB10" s="535">
        <v>0</v>
      </c>
      <c r="AC10" s="139">
        <v>21</v>
      </c>
      <c r="AD10" s="139">
        <v>5</v>
      </c>
      <c r="AE10" s="39" cm="1">
        <f t="array" ref="AE10">AC10-AD10</f>
        <v>16</v>
      </c>
      <c r="AF10" s="139">
        <v>10</v>
      </c>
      <c r="AG10" s="56" cm="1">
        <f t="array" ref="AG10">I10-AF10</f>
        <v>19</v>
      </c>
      <c r="AH10" s="56" cm="1">
        <f t="array" ref="AH10">AF10+AG10</f>
        <v>29</v>
      </c>
      <c r="AI10" s="38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179"/>
    </row>
    <row r="11" ht="17.95" customHeight="1">
      <c r="A11" t="s" s="586">
        <v>685</v>
      </c>
      <c r="B11" t="s" s="691">
        <v>3131</v>
      </c>
      <c r="C11" s="588">
        <v>3</v>
      </c>
      <c r="D11" t="s" s="692">
        <v>686</v>
      </c>
      <c r="E11" s="693"/>
      <c r="F11" s="112">
        <v>2</v>
      </c>
      <c r="G11" s="587"/>
      <c r="H11" s="587"/>
      <c r="I11" s="87">
        <v>16</v>
      </c>
      <c r="J11" s="112">
        <v>8</v>
      </c>
      <c r="K11" s="112">
        <v>6</v>
      </c>
      <c r="L11" s="112">
        <v>1</v>
      </c>
      <c r="M11" s="112">
        <v>1</v>
      </c>
      <c r="N11" s="694">
        <v>2</v>
      </c>
      <c r="O11" s="694">
        <v>2</v>
      </c>
      <c r="P11" s="694">
        <v>2</v>
      </c>
      <c r="Q11" s="694">
        <v>5</v>
      </c>
      <c r="R11" s="694">
        <v>0</v>
      </c>
      <c r="S11" s="694">
        <v>5</v>
      </c>
      <c r="T11" s="112">
        <v>458</v>
      </c>
      <c r="U11" s="112">
        <v>4</v>
      </c>
      <c r="V11" s="112">
        <v>10</v>
      </c>
      <c r="W11" s="112">
        <v>0</v>
      </c>
      <c r="X11" s="112">
        <v>25</v>
      </c>
      <c r="Y11" s="112">
        <v>5</v>
      </c>
      <c r="Z11" s="112">
        <v>5</v>
      </c>
      <c r="AA11" s="112">
        <v>0</v>
      </c>
      <c r="AB11" s="112">
        <v>0</v>
      </c>
      <c r="AC11" s="112">
        <v>12</v>
      </c>
      <c r="AD11" s="588">
        <v>0</v>
      </c>
      <c r="AE11" s="545" cm="1">
        <f t="array" ref="AE11">AC11-AD11</f>
        <v>12</v>
      </c>
      <c r="AF11" s="588">
        <v>9</v>
      </c>
      <c r="AG11" s="56" cm="1">
        <f t="array" ref="AG11">I11-AF11</f>
        <v>7</v>
      </c>
      <c r="AH11" s="545" cm="1">
        <f t="array" ref="AH11">AF11+AG11</f>
        <v>16</v>
      </c>
      <c r="AI11" s="546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</row>
    <row r="12" ht="17.45" customHeight="1">
      <c r="A12" t="s" s="23">
        <v>685</v>
      </c>
      <c r="B12" s="695">
        <v>1921</v>
      </c>
      <c r="C12" s="540">
        <v>3</v>
      </c>
      <c r="D12" t="s" s="696">
        <v>686</v>
      </c>
      <c r="E12" s="63"/>
      <c r="F12" s="697"/>
      <c r="G12" s="698"/>
      <c r="H12" s="699"/>
      <c r="I12" s="700">
        <v>16</v>
      </c>
      <c r="J12" s="700">
        <v>13</v>
      </c>
      <c r="K12" s="700">
        <v>3</v>
      </c>
      <c r="L12" s="700">
        <v>0</v>
      </c>
      <c r="M12" s="700">
        <v>0</v>
      </c>
      <c r="N12" s="700">
        <v>3</v>
      </c>
      <c r="O12" s="700">
        <v>3</v>
      </c>
      <c r="P12" s="700">
        <v>1</v>
      </c>
      <c r="Q12" s="700">
        <v>0</v>
      </c>
      <c r="R12" s="700">
        <v>1</v>
      </c>
      <c r="S12" s="700">
        <v>8</v>
      </c>
      <c r="T12" s="700">
        <v>600</v>
      </c>
      <c r="U12" s="700">
        <v>0</v>
      </c>
      <c r="V12" s="700">
        <v>0</v>
      </c>
      <c r="W12" s="700">
        <v>0</v>
      </c>
      <c r="X12" s="700">
        <v>0</v>
      </c>
      <c r="Y12" s="700">
        <v>0</v>
      </c>
      <c r="Z12" s="700">
        <v>0</v>
      </c>
      <c r="AA12" s="700">
        <v>0</v>
      </c>
      <c r="AB12" s="700">
        <v>0</v>
      </c>
      <c r="AC12" s="700">
        <v>12</v>
      </c>
      <c r="AD12" s="701">
        <v>2</v>
      </c>
      <c r="AE12" s="39" cm="1">
        <f t="array" ref="AE12">AC12-AD12</f>
        <v>10</v>
      </c>
      <c r="AF12" s="702">
        <v>7</v>
      </c>
      <c r="AG12" s="56" cm="1">
        <f t="array" ref="AG12">I12-AF12</f>
        <v>9</v>
      </c>
      <c r="AH12" s="56" cm="1">
        <f t="array" ref="AH12">AF12+AG12</f>
        <v>16</v>
      </c>
      <c r="AI12" s="376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  <c r="AT12" s="180"/>
      <c r="AU12" s="180"/>
      <c r="AV12" s="180"/>
      <c r="AW12" s="180"/>
      <c r="AX12" s="180"/>
      <c r="AY12" s="180"/>
      <c r="AZ12" s="180"/>
      <c r="BA12" s="180"/>
      <c r="BB12" s="180"/>
      <c r="BC12" s="180"/>
      <c r="BD12" s="180"/>
      <c r="BE12" s="180"/>
      <c r="BF12" s="180"/>
      <c r="BG12" s="180"/>
      <c r="BH12" s="180"/>
      <c r="BI12" s="180"/>
      <c r="BJ12" s="180"/>
      <c r="BK12" s="180"/>
      <c r="BL12" s="180"/>
      <c r="BM12" s="180"/>
      <c r="BN12" s="180"/>
      <c r="BO12" s="180"/>
      <c r="BP12" s="180"/>
      <c r="BQ12" s="180"/>
      <c r="BR12" s="180"/>
      <c r="BS12" s="180"/>
      <c r="BT12" s="180"/>
    </row>
    <row r="13" ht="17.45" customHeight="1">
      <c r="A13" t="s" s="37">
        <v>724</v>
      </c>
      <c r="B13" t="s" s="630">
        <v>3131</v>
      </c>
      <c r="C13" s="39">
        <v>4</v>
      </c>
      <c r="D13" t="s" s="533">
        <v>726</v>
      </c>
      <c r="E13" s="460"/>
      <c r="F13" s="39">
        <v>3</v>
      </c>
      <c r="G13" s="531"/>
      <c r="H13" s="531"/>
      <c r="I13" s="56">
        <v>25</v>
      </c>
      <c r="J13" s="39">
        <v>19</v>
      </c>
      <c r="K13" s="39">
        <v>5</v>
      </c>
      <c r="L13" s="39">
        <v>1</v>
      </c>
      <c r="M13" s="39">
        <v>0</v>
      </c>
      <c r="N13" s="39">
        <v>3</v>
      </c>
      <c r="O13" s="39">
        <v>1</v>
      </c>
      <c r="P13" s="39">
        <v>0</v>
      </c>
      <c r="Q13" s="39">
        <v>0</v>
      </c>
      <c r="R13" s="39">
        <v>4</v>
      </c>
      <c r="S13" s="39">
        <v>17</v>
      </c>
      <c r="T13" s="39">
        <v>881</v>
      </c>
      <c r="U13" s="39">
        <v>4</v>
      </c>
      <c r="V13" s="39">
        <v>15</v>
      </c>
      <c r="W13" s="39">
        <v>2</v>
      </c>
      <c r="X13" s="39">
        <v>15</v>
      </c>
      <c r="Y13" s="39">
        <v>1</v>
      </c>
      <c r="Z13" s="39">
        <v>1</v>
      </c>
      <c r="AA13" s="39">
        <v>0</v>
      </c>
      <c r="AB13" s="39">
        <v>0</v>
      </c>
      <c r="AC13" s="39">
        <v>21</v>
      </c>
      <c r="AD13" s="39">
        <v>3</v>
      </c>
      <c r="AE13" s="39" cm="1">
        <f t="array" ref="AE13">AC13-AD13</f>
        <v>18</v>
      </c>
      <c r="AF13" s="39">
        <v>12</v>
      </c>
      <c r="AG13" s="56" cm="1">
        <f t="array" ref="AG13">I13-AF13</f>
        <v>13</v>
      </c>
      <c r="AH13" s="56" cm="1">
        <f t="array" ref="AH13">AF13+AG13</f>
        <v>25</v>
      </c>
      <c r="AI13" s="38"/>
      <c r="AJ13" t="s" s="83">
        <v>3138</v>
      </c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</row>
    <row r="14" ht="17.45" customHeight="1">
      <c r="A14" t="s" s="37">
        <v>724</v>
      </c>
      <c r="B14" t="s" s="630">
        <v>725</v>
      </c>
      <c r="C14" s="39">
        <v>2</v>
      </c>
      <c r="D14" t="s" s="533">
        <v>726</v>
      </c>
      <c r="E14" s="647"/>
      <c r="F14" s="563"/>
      <c r="G14" s="685"/>
      <c r="H14" s="563"/>
      <c r="I14" s="560">
        <v>14</v>
      </c>
      <c r="J14" s="560">
        <v>8</v>
      </c>
      <c r="K14" s="560">
        <v>2</v>
      </c>
      <c r="L14" s="560">
        <v>3</v>
      </c>
      <c r="M14" s="560">
        <v>1</v>
      </c>
      <c r="N14" s="560">
        <v>2</v>
      </c>
      <c r="O14" s="560">
        <v>2</v>
      </c>
      <c r="P14" s="560">
        <v>0</v>
      </c>
      <c r="Q14" s="560">
        <v>0</v>
      </c>
      <c r="R14" s="560">
        <v>2</v>
      </c>
      <c r="S14" s="560">
        <v>8</v>
      </c>
      <c r="T14" s="560">
        <v>460</v>
      </c>
      <c r="U14" s="560">
        <v>0</v>
      </c>
      <c r="V14" s="560">
        <v>0</v>
      </c>
      <c r="W14" s="560">
        <v>0</v>
      </c>
      <c r="X14" s="560">
        <v>0</v>
      </c>
      <c r="Y14" s="560">
        <v>0</v>
      </c>
      <c r="Z14" s="560">
        <v>0</v>
      </c>
      <c r="AA14" s="563"/>
      <c r="AB14" s="563"/>
      <c r="AC14" s="560">
        <v>11</v>
      </c>
      <c r="AD14" s="561">
        <v>1</v>
      </c>
      <c r="AE14" s="39" cm="1">
        <f t="array" ref="AE14">AC14-AD14</f>
        <v>10</v>
      </c>
      <c r="AF14" s="39">
        <v>2</v>
      </c>
      <c r="AG14" s="56" cm="1">
        <f t="array" ref="AG14">I14-AF14</f>
        <v>12</v>
      </c>
      <c r="AH14" s="56" cm="1">
        <f t="array" ref="AH14">AF14+AG14</f>
        <v>14</v>
      </c>
      <c r="AI14" s="376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  <c r="AT14" s="180"/>
      <c r="AU14" s="180"/>
      <c r="AV14" s="180"/>
      <c r="AW14" s="180"/>
      <c r="AX14" s="180"/>
      <c r="AY14" s="180"/>
      <c r="AZ14" s="180"/>
      <c r="BA14" s="180"/>
      <c r="BB14" s="180"/>
      <c r="BC14" s="180"/>
      <c r="BD14" s="180"/>
      <c r="BE14" s="180"/>
      <c r="BF14" s="180"/>
      <c r="BG14" s="180"/>
      <c r="BH14" s="180"/>
      <c r="BI14" s="180"/>
      <c r="BJ14" s="180"/>
      <c r="BK14" s="180"/>
      <c r="BL14" s="180"/>
      <c r="BM14" s="180"/>
      <c r="BN14" s="180"/>
      <c r="BO14" s="180"/>
      <c r="BP14" s="180"/>
      <c r="BQ14" s="180"/>
      <c r="BR14" s="180"/>
      <c r="BS14" s="180"/>
      <c r="BT14" s="180"/>
    </row>
    <row r="15" ht="17.45" customHeight="1">
      <c r="A15" t="s" s="37">
        <v>767</v>
      </c>
      <c r="B15" t="s" s="630">
        <v>3131</v>
      </c>
      <c r="C15" s="39">
        <v>7</v>
      </c>
      <c r="D15" t="s" s="533">
        <v>768</v>
      </c>
      <c r="E15" s="460"/>
      <c r="F15" s="39">
        <v>14</v>
      </c>
      <c r="G15" s="531"/>
      <c r="H15" s="531"/>
      <c r="I15" s="56">
        <v>31</v>
      </c>
      <c r="J15" s="39">
        <v>24</v>
      </c>
      <c r="K15" s="39">
        <v>6</v>
      </c>
      <c r="L15" s="39">
        <v>1</v>
      </c>
      <c r="M15" s="39">
        <v>0</v>
      </c>
      <c r="N15" s="39">
        <v>6</v>
      </c>
      <c r="O15" s="39">
        <v>2</v>
      </c>
      <c r="P15" s="39">
        <v>2</v>
      </c>
      <c r="Q15" s="39">
        <v>1</v>
      </c>
      <c r="R15" s="39">
        <v>4</v>
      </c>
      <c r="S15" s="39">
        <v>16</v>
      </c>
      <c r="T15" s="39">
        <v>1177</v>
      </c>
      <c r="U15" s="39">
        <v>7</v>
      </c>
      <c r="V15" s="39">
        <v>21</v>
      </c>
      <c r="W15" s="39">
        <v>3</v>
      </c>
      <c r="X15" s="39">
        <v>60</v>
      </c>
      <c r="Y15" s="39">
        <v>4</v>
      </c>
      <c r="Z15" s="39">
        <v>3</v>
      </c>
      <c r="AA15" s="39">
        <v>0</v>
      </c>
      <c r="AB15" s="39">
        <v>0</v>
      </c>
      <c r="AC15" s="39">
        <v>22</v>
      </c>
      <c r="AD15" s="39">
        <v>4</v>
      </c>
      <c r="AE15" s="39" cm="1">
        <f t="array" ref="AE15">AC15-AD15</f>
        <v>18</v>
      </c>
      <c r="AF15" s="39">
        <v>11</v>
      </c>
      <c r="AG15" s="56" cm="1">
        <f t="array" ref="AG15">I15-AF15</f>
        <v>20</v>
      </c>
      <c r="AH15" s="56" cm="1">
        <f t="array" ref="AH15">AF15+AG15</f>
        <v>31</v>
      </c>
      <c r="AI15" s="38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</row>
    <row r="16" ht="17.45" customHeight="1">
      <c r="A16" t="s" s="37">
        <v>767</v>
      </c>
      <c r="B16" s="281">
        <v>1921</v>
      </c>
      <c r="C16" s="39">
        <v>6</v>
      </c>
      <c r="D16" t="s" s="533">
        <v>768</v>
      </c>
      <c r="E16" s="647"/>
      <c r="F16" s="563"/>
      <c r="G16" s="685"/>
      <c r="H16" s="563"/>
      <c r="I16" s="560">
        <v>33</v>
      </c>
      <c r="J16" s="560">
        <v>21</v>
      </c>
      <c r="K16" s="560">
        <v>7</v>
      </c>
      <c r="L16" s="560">
        <v>3</v>
      </c>
      <c r="M16" s="560">
        <v>2</v>
      </c>
      <c r="N16" s="560">
        <v>6</v>
      </c>
      <c r="O16" s="560">
        <v>5</v>
      </c>
      <c r="P16" s="560">
        <v>5</v>
      </c>
      <c r="Q16" s="560">
        <v>2</v>
      </c>
      <c r="R16" s="560">
        <v>3</v>
      </c>
      <c r="S16" s="560">
        <v>12</v>
      </c>
      <c r="T16" s="560">
        <v>1139</v>
      </c>
      <c r="U16" s="560">
        <v>0</v>
      </c>
      <c r="V16" s="560">
        <v>0</v>
      </c>
      <c r="W16" s="560">
        <v>0</v>
      </c>
      <c r="X16" s="560">
        <v>0</v>
      </c>
      <c r="Y16" s="560">
        <v>0</v>
      </c>
      <c r="Z16" s="560">
        <v>0</v>
      </c>
      <c r="AA16" s="560">
        <v>0</v>
      </c>
      <c r="AB16" s="560">
        <v>0</v>
      </c>
      <c r="AC16" s="560">
        <v>20</v>
      </c>
      <c r="AD16" s="561">
        <v>3</v>
      </c>
      <c r="AE16" s="39" cm="1">
        <f t="array" ref="AE16">AC16-AD16</f>
        <v>17</v>
      </c>
      <c r="AF16" s="39">
        <v>17</v>
      </c>
      <c r="AG16" s="56" cm="1">
        <f t="array" ref="AG16">I16-AF16</f>
        <v>16</v>
      </c>
      <c r="AH16" s="56" cm="1">
        <f t="array" ref="AH16">AF16+AG16</f>
        <v>33</v>
      </c>
      <c r="AI16" s="580">
        <v>0</v>
      </c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  <c r="AT16" s="180"/>
      <c r="AU16" s="180"/>
      <c r="AV16" s="180"/>
      <c r="AW16" s="180"/>
      <c r="AX16" s="180"/>
      <c r="AY16" s="180"/>
      <c r="AZ16" s="180"/>
      <c r="BA16" s="180"/>
      <c r="BB16" s="180"/>
      <c r="BC16" s="180"/>
      <c r="BD16" s="180"/>
      <c r="BE16" s="180"/>
      <c r="BF16" s="180"/>
      <c r="BG16" s="180"/>
      <c r="BH16" s="180"/>
      <c r="BI16" s="180"/>
      <c r="BJ16" s="180"/>
      <c r="BK16" s="180"/>
      <c r="BL16" s="180"/>
      <c r="BM16" s="180"/>
      <c r="BN16" s="180"/>
      <c r="BO16" s="180"/>
      <c r="BP16" s="180"/>
      <c r="BQ16" s="180"/>
      <c r="BR16" s="180"/>
      <c r="BS16" s="180"/>
      <c r="BT16" s="180"/>
    </row>
    <row r="17" ht="17.45" customHeight="1">
      <c r="A17" t="s" s="37">
        <v>832</v>
      </c>
      <c r="B17" t="s" s="630">
        <v>3131</v>
      </c>
      <c r="C17" s="43">
        <v>12</v>
      </c>
      <c r="D17" t="s" s="533">
        <v>833</v>
      </c>
      <c r="E17" s="460"/>
      <c r="F17" s="39">
        <v>11</v>
      </c>
      <c r="G17" s="531"/>
      <c r="H17" s="531"/>
      <c r="I17" s="56">
        <v>55</v>
      </c>
      <c r="J17" s="39">
        <v>29</v>
      </c>
      <c r="K17" s="39">
        <v>16</v>
      </c>
      <c r="L17" s="39">
        <v>6</v>
      </c>
      <c r="M17" s="39">
        <v>4</v>
      </c>
      <c r="N17" s="39">
        <v>12</v>
      </c>
      <c r="O17" s="39">
        <v>9</v>
      </c>
      <c r="P17" s="39">
        <v>9</v>
      </c>
      <c r="Q17" s="39">
        <v>10</v>
      </c>
      <c r="R17" s="39">
        <v>1</v>
      </c>
      <c r="S17" s="39">
        <v>14</v>
      </c>
      <c r="T17" s="39">
        <v>1585</v>
      </c>
      <c r="U17" s="39">
        <v>18</v>
      </c>
      <c r="V17" s="39">
        <v>24</v>
      </c>
      <c r="W17" s="39">
        <v>2</v>
      </c>
      <c r="X17" s="39">
        <v>106</v>
      </c>
      <c r="Y17" s="39">
        <v>26</v>
      </c>
      <c r="Z17" s="39">
        <v>22</v>
      </c>
      <c r="AA17" s="39">
        <v>0</v>
      </c>
      <c r="AB17" s="39">
        <v>0</v>
      </c>
      <c r="AC17" s="39">
        <v>29</v>
      </c>
      <c r="AD17" s="39">
        <v>7</v>
      </c>
      <c r="AE17" s="39" cm="1">
        <f t="array" ref="AE17">AC17-AD17</f>
        <v>22</v>
      </c>
      <c r="AF17" s="39">
        <v>27</v>
      </c>
      <c r="AG17" s="56" cm="1">
        <f t="array" ref="AG17">I17-AF17</f>
        <v>28</v>
      </c>
      <c r="AH17" s="56" cm="1">
        <f t="array" ref="AH17">AF17+AG17</f>
        <v>55</v>
      </c>
      <c r="AI17" s="38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</row>
    <row r="18" ht="17.45" customHeight="1">
      <c r="A18" t="s" s="37">
        <v>832</v>
      </c>
      <c r="B18" s="281">
        <v>1921</v>
      </c>
      <c r="C18" s="43">
        <v>10</v>
      </c>
      <c r="D18" t="s" s="533">
        <v>833</v>
      </c>
      <c r="E18" s="460"/>
      <c r="F18" s="32"/>
      <c r="G18" s="531"/>
      <c r="H18" s="531"/>
      <c r="I18" s="56">
        <v>46</v>
      </c>
      <c r="J18" s="39">
        <v>27</v>
      </c>
      <c r="K18" s="39">
        <v>12</v>
      </c>
      <c r="L18" s="39">
        <v>4</v>
      </c>
      <c r="M18" s="39">
        <v>3</v>
      </c>
      <c r="N18" s="39">
        <v>10</v>
      </c>
      <c r="O18" s="39">
        <v>6</v>
      </c>
      <c r="P18" s="39">
        <v>6</v>
      </c>
      <c r="Q18" s="39">
        <v>6</v>
      </c>
      <c r="R18" s="39">
        <v>8</v>
      </c>
      <c r="S18" s="39">
        <v>10</v>
      </c>
      <c r="T18" s="39">
        <v>1622</v>
      </c>
      <c r="U18" s="39">
        <v>0</v>
      </c>
      <c r="V18" s="39">
        <v>0</v>
      </c>
      <c r="W18" s="39">
        <v>0</v>
      </c>
      <c r="X18" s="39">
        <v>0</v>
      </c>
      <c r="Y18" s="39">
        <v>0</v>
      </c>
      <c r="Z18" s="39">
        <v>0</v>
      </c>
      <c r="AA18" s="39">
        <v>0</v>
      </c>
      <c r="AB18" s="39">
        <v>0</v>
      </c>
      <c r="AC18" s="39">
        <v>26</v>
      </c>
      <c r="AD18" s="39">
        <v>2</v>
      </c>
      <c r="AE18" s="39" cm="1">
        <f t="array" ref="AE18">AC18-AD18</f>
        <v>24</v>
      </c>
      <c r="AF18" s="39">
        <v>13</v>
      </c>
      <c r="AG18" s="56" cm="1">
        <f t="array" ref="AG18">I18-AF18</f>
        <v>33</v>
      </c>
      <c r="AH18" s="56" cm="1">
        <f t="array" ref="AH18">AF18+AG18</f>
        <v>46</v>
      </c>
      <c r="AI18" s="562">
        <v>0</v>
      </c>
      <c r="AJ18" s="112">
        <v>0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</row>
    <row r="19" ht="17.45" customHeight="1">
      <c r="A19" t="s" s="37">
        <v>1496</v>
      </c>
      <c r="B19" t="s" s="630">
        <v>3131</v>
      </c>
      <c r="C19" s="43">
        <v>24</v>
      </c>
      <c r="D19" t="s" s="533">
        <v>3139</v>
      </c>
      <c r="E19" s="460"/>
      <c r="F19" s="39">
        <v>20</v>
      </c>
      <c r="G19" s="531"/>
      <c r="H19" s="531"/>
      <c r="I19" s="56">
        <v>120</v>
      </c>
      <c r="J19" s="39">
        <v>69</v>
      </c>
      <c r="K19" s="39">
        <v>34</v>
      </c>
      <c r="L19" s="39">
        <v>9</v>
      </c>
      <c r="M19" s="39">
        <v>8</v>
      </c>
      <c r="N19" s="39">
        <v>22</v>
      </c>
      <c r="O19" s="39">
        <v>14</v>
      </c>
      <c r="P19" s="39">
        <v>27</v>
      </c>
      <c r="Q19" s="39">
        <v>16</v>
      </c>
      <c r="R19" s="39">
        <v>6</v>
      </c>
      <c r="S19" s="39">
        <v>35</v>
      </c>
      <c r="T19" s="39">
        <v>3745.5</v>
      </c>
      <c r="U19" s="39">
        <v>28</v>
      </c>
      <c r="V19" s="39">
        <v>86</v>
      </c>
      <c r="W19" s="39">
        <v>6</v>
      </c>
      <c r="X19" s="39">
        <v>287</v>
      </c>
      <c r="Y19" s="32"/>
      <c r="Z19" s="32"/>
      <c r="AA19" s="32"/>
      <c r="AB19" s="32"/>
      <c r="AC19" s="39">
        <v>76</v>
      </c>
      <c r="AD19" s="39">
        <v>12</v>
      </c>
      <c r="AE19" s="39" cm="1">
        <f t="array" ref="AE19">AC19-AD19</f>
        <v>64</v>
      </c>
      <c r="AF19" s="39">
        <v>74</v>
      </c>
      <c r="AG19" s="56" cm="1">
        <f t="array" ref="AG19">I19-AF19</f>
        <v>46</v>
      </c>
      <c r="AH19" s="56" cm="1">
        <f t="array" ref="AH19">AF19+AG19</f>
        <v>120</v>
      </c>
      <c r="AI19" s="38"/>
      <c r="AJ19" t="s" s="83">
        <v>3140</v>
      </c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</row>
    <row r="20" ht="17.45" customHeight="1">
      <c r="A20" t="s" s="37">
        <v>1496</v>
      </c>
      <c r="B20" s="281">
        <v>1921</v>
      </c>
      <c r="C20" s="43">
        <v>21</v>
      </c>
      <c r="D20" t="s" s="533">
        <v>1497</v>
      </c>
      <c r="E20" s="460"/>
      <c r="F20" s="32"/>
      <c r="G20" s="531"/>
      <c r="H20" s="531"/>
      <c r="I20" s="56">
        <v>86</v>
      </c>
      <c r="J20" s="39">
        <v>54</v>
      </c>
      <c r="K20" s="39">
        <v>25</v>
      </c>
      <c r="L20" s="39">
        <v>5</v>
      </c>
      <c r="M20" s="39">
        <v>2</v>
      </c>
      <c r="N20" s="39">
        <v>20</v>
      </c>
      <c r="O20" s="39">
        <v>16</v>
      </c>
      <c r="P20" s="39">
        <v>13</v>
      </c>
      <c r="Q20" s="39">
        <v>6</v>
      </c>
      <c r="R20" s="39">
        <v>10</v>
      </c>
      <c r="S20" s="39">
        <v>21</v>
      </c>
      <c r="T20" s="39">
        <v>3030</v>
      </c>
      <c r="U20" s="39">
        <v>0</v>
      </c>
      <c r="V20" s="39">
        <v>0</v>
      </c>
      <c r="W20" s="39">
        <v>0</v>
      </c>
      <c r="X20" s="39">
        <v>0</v>
      </c>
      <c r="Y20" s="39">
        <v>0</v>
      </c>
      <c r="Z20" s="39">
        <v>0</v>
      </c>
      <c r="AA20" s="39">
        <v>0</v>
      </c>
      <c r="AB20" s="39">
        <v>0</v>
      </c>
      <c r="AC20" s="39">
        <v>50</v>
      </c>
      <c r="AD20" s="39">
        <v>8</v>
      </c>
      <c r="AE20" s="39" cm="1">
        <f t="array" ref="AE20">AC20-AD20</f>
        <v>42</v>
      </c>
      <c r="AF20" s="39">
        <v>36</v>
      </c>
      <c r="AG20" s="56" cm="1">
        <f t="array" ref="AG20">I20-AF20</f>
        <v>50</v>
      </c>
      <c r="AH20" s="56" cm="1">
        <f t="array" ref="AH20">AF20+AG20</f>
        <v>86</v>
      </c>
      <c r="AI20" s="562">
        <v>0</v>
      </c>
      <c r="AJ20" s="112">
        <v>0</v>
      </c>
      <c r="AK20" s="112">
        <v>0</v>
      </c>
      <c r="AL20" s="112">
        <v>0</v>
      </c>
      <c r="AM20" s="112">
        <v>0</v>
      </c>
      <c r="AN20" s="112">
        <v>0</v>
      </c>
      <c r="AO20" s="112">
        <v>0</v>
      </c>
      <c r="AP20" s="112">
        <v>0</v>
      </c>
      <c r="AQ20" s="112">
        <v>0</v>
      </c>
      <c r="AR20" s="112">
        <v>0</v>
      </c>
      <c r="AS20" s="112">
        <v>0</v>
      </c>
      <c r="AT20" s="112">
        <v>0</v>
      </c>
      <c r="AU20" s="112">
        <v>0</v>
      </c>
      <c r="AV20" s="112">
        <v>0</v>
      </c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</row>
    <row r="21" ht="17.45" customHeight="1">
      <c r="A21" t="s" s="37">
        <v>941</v>
      </c>
      <c r="B21" t="s" s="630">
        <v>3131</v>
      </c>
      <c r="C21" s="547">
        <v>4</v>
      </c>
      <c r="D21" t="s" s="37">
        <v>3141</v>
      </c>
      <c r="E21" s="460"/>
      <c r="F21" s="39">
        <v>12</v>
      </c>
      <c r="G21" s="531"/>
      <c r="H21" s="531"/>
      <c r="I21" s="56">
        <v>19</v>
      </c>
      <c r="J21" s="39">
        <v>15</v>
      </c>
      <c r="K21" s="39">
        <v>4</v>
      </c>
      <c r="L21" s="39">
        <v>0</v>
      </c>
      <c r="M21" s="39">
        <v>0</v>
      </c>
      <c r="N21" s="39">
        <v>4</v>
      </c>
      <c r="O21" s="39">
        <v>1</v>
      </c>
      <c r="P21" s="39">
        <v>1</v>
      </c>
      <c r="Q21" s="39">
        <v>0</v>
      </c>
      <c r="R21" s="39">
        <v>3</v>
      </c>
      <c r="S21" s="39">
        <v>10</v>
      </c>
      <c r="T21" s="39">
        <v>868</v>
      </c>
      <c r="U21" s="39">
        <v>2</v>
      </c>
      <c r="V21" s="39">
        <v>15</v>
      </c>
      <c r="W21" s="39">
        <v>2</v>
      </c>
      <c r="X21" s="39">
        <v>16</v>
      </c>
      <c r="Y21" s="39">
        <v>0</v>
      </c>
      <c r="Z21" s="39">
        <v>0</v>
      </c>
      <c r="AA21" s="32"/>
      <c r="AB21" s="32"/>
      <c r="AC21" s="39">
        <v>16</v>
      </c>
      <c r="AD21" s="39">
        <v>4</v>
      </c>
      <c r="AE21" s="39" cm="1">
        <f t="array" ref="AE21">AC21-AD21</f>
        <v>12</v>
      </c>
      <c r="AF21" s="39">
        <v>10</v>
      </c>
      <c r="AG21" s="56" cm="1">
        <f t="array" ref="AG21">I21-AF21</f>
        <v>9</v>
      </c>
      <c r="AH21" s="56" cm="1">
        <f t="array" ref="AH21">AF21+AG21</f>
        <v>19</v>
      </c>
      <c r="AI21" s="38"/>
      <c r="AJ21" t="s" s="83">
        <v>3142</v>
      </c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</row>
    <row r="22" ht="17.45" customHeight="1">
      <c r="A22" t="s" s="37">
        <v>941</v>
      </c>
      <c r="B22" s="281">
        <v>1921</v>
      </c>
      <c r="C22" s="547">
        <v>3</v>
      </c>
      <c r="D22" t="s" s="37">
        <v>967</v>
      </c>
      <c r="E22" s="460"/>
      <c r="F22" s="32"/>
      <c r="G22" s="531"/>
      <c r="H22" s="531"/>
      <c r="I22" s="56">
        <v>21</v>
      </c>
      <c r="J22" s="39">
        <v>17</v>
      </c>
      <c r="K22" s="39">
        <v>2</v>
      </c>
      <c r="L22" s="39">
        <v>1</v>
      </c>
      <c r="M22" s="39">
        <v>1</v>
      </c>
      <c r="N22" s="39">
        <v>2</v>
      </c>
      <c r="O22" s="39">
        <v>3</v>
      </c>
      <c r="P22" s="39">
        <v>1</v>
      </c>
      <c r="Q22" s="39">
        <v>1</v>
      </c>
      <c r="R22" s="39">
        <v>0</v>
      </c>
      <c r="S22" s="39">
        <v>14</v>
      </c>
      <c r="T22" s="39">
        <v>729</v>
      </c>
      <c r="U22" s="32"/>
      <c r="V22" s="32"/>
      <c r="W22" s="32"/>
      <c r="X22" s="32"/>
      <c r="Y22" s="32"/>
      <c r="Z22" s="32"/>
      <c r="AA22" s="32"/>
      <c r="AB22" s="32"/>
      <c r="AC22" s="39">
        <v>14</v>
      </c>
      <c r="AD22" s="39">
        <v>1</v>
      </c>
      <c r="AE22" s="39" cm="1">
        <f t="array" ref="AE22">AC22-AD22</f>
        <v>13</v>
      </c>
      <c r="AF22" s="39">
        <v>11</v>
      </c>
      <c r="AG22" s="56" cm="1">
        <f t="array" ref="AG22">I22-AF22</f>
        <v>10</v>
      </c>
      <c r="AH22" s="56" cm="1">
        <f t="array" ref="AH22">AF22+AG22</f>
        <v>21</v>
      </c>
      <c r="AI22" s="38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</row>
    <row r="23" ht="17.45" customHeight="1">
      <c r="A23" t="s" s="37">
        <v>989</v>
      </c>
      <c r="B23" t="s" s="630">
        <v>3131</v>
      </c>
      <c r="C23" s="547">
        <v>1</v>
      </c>
      <c r="D23" t="s" s="37">
        <v>990</v>
      </c>
      <c r="E23" s="460"/>
      <c r="F23" s="39">
        <v>5</v>
      </c>
      <c r="G23" s="531"/>
      <c r="H23" s="531"/>
      <c r="I23" s="56">
        <v>11</v>
      </c>
      <c r="J23" s="39">
        <v>5</v>
      </c>
      <c r="K23" s="39">
        <v>1</v>
      </c>
      <c r="L23" s="39">
        <v>4</v>
      </c>
      <c r="M23" s="39">
        <v>1</v>
      </c>
      <c r="N23" s="39">
        <v>1</v>
      </c>
      <c r="O23" s="39">
        <v>1</v>
      </c>
      <c r="P23" s="39">
        <v>4</v>
      </c>
      <c r="Q23" s="39">
        <v>1</v>
      </c>
      <c r="R23" s="39">
        <v>0</v>
      </c>
      <c r="S23" s="39">
        <v>4</v>
      </c>
      <c r="T23" s="56">
        <v>224.4</v>
      </c>
      <c r="U23" s="39">
        <v>2</v>
      </c>
      <c r="V23" s="39">
        <v>9</v>
      </c>
      <c r="W23" s="39">
        <v>0</v>
      </c>
      <c r="X23" s="39">
        <v>0</v>
      </c>
      <c r="Y23" s="32"/>
      <c r="Z23" s="32"/>
      <c r="AA23" s="32"/>
      <c r="AB23" s="32"/>
      <c r="AC23" s="39">
        <v>5</v>
      </c>
      <c r="AD23" s="39">
        <v>1</v>
      </c>
      <c r="AE23" s="39" cm="1">
        <f t="array" ref="AE23">AC23-AD23</f>
        <v>4</v>
      </c>
      <c r="AF23" s="39">
        <v>8</v>
      </c>
      <c r="AG23" s="56" cm="1">
        <f t="array" ref="AG23">I23-AF23</f>
        <v>3</v>
      </c>
      <c r="AH23" s="56" cm="1">
        <f t="array" ref="AH23">AF23+AG23</f>
        <v>11</v>
      </c>
      <c r="AI23" s="38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</row>
    <row r="24" ht="17.45" customHeight="1">
      <c r="A24" t="s" s="37">
        <v>989</v>
      </c>
      <c r="B24" s="281">
        <v>1921</v>
      </c>
      <c r="C24" s="547">
        <v>1</v>
      </c>
      <c r="D24" t="s" s="37">
        <v>990</v>
      </c>
      <c r="E24" s="460"/>
      <c r="F24" s="32"/>
      <c r="G24" s="531"/>
      <c r="H24" s="531"/>
      <c r="I24" s="56">
        <v>3</v>
      </c>
      <c r="J24" s="39">
        <v>3</v>
      </c>
      <c r="K24" s="39">
        <v>0</v>
      </c>
      <c r="L24" s="39">
        <v>0</v>
      </c>
      <c r="M24" s="39">
        <v>0</v>
      </c>
      <c r="N24" s="39">
        <v>0</v>
      </c>
      <c r="O24" s="39">
        <v>0</v>
      </c>
      <c r="P24" s="32"/>
      <c r="Q24" s="39">
        <v>0</v>
      </c>
      <c r="R24" s="39">
        <v>0</v>
      </c>
      <c r="S24" s="39">
        <v>0</v>
      </c>
      <c r="T24" s="56">
        <v>123</v>
      </c>
      <c r="U24" s="703">
        <v>0</v>
      </c>
      <c r="V24" s="561">
        <v>0</v>
      </c>
      <c r="W24" s="39">
        <v>0</v>
      </c>
      <c r="X24" s="39">
        <v>0</v>
      </c>
      <c r="Y24" s="39">
        <v>0</v>
      </c>
      <c r="Z24" s="39">
        <v>0</v>
      </c>
      <c r="AA24" s="39">
        <v>0</v>
      </c>
      <c r="AB24" s="39">
        <v>0</v>
      </c>
      <c r="AC24" s="39">
        <v>2</v>
      </c>
      <c r="AD24" s="39">
        <v>0</v>
      </c>
      <c r="AE24" s="39" cm="1">
        <f t="array" ref="AE24">AC24-AD24</f>
        <v>2</v>
      </c>
      <c r="AF24" s="39">
        <v>2</v>
      </c>
      <c r="AG24" s="56" cm="1">
        <f t="array" ref="AG24">I24-AF24</f>
        <v>1</v>
      </c>
      <c r="AH24" s="56" cm="1">
        <f t="array" ref="AH24">AF24+AG24</f>
        <v>3</v>
      </c>
      <c r="AI24" s="38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</row>
    <row r="25" ht="17.45" customHeight="1">
      <c r="A25" t="s" s="37">
        <v>998</v>
      </c>
      <c r="B25" t="s" s="630">
        <v>3131</v>
      </c>
      <c r="C25" s="547">
        <v>4</v>
      </c>
      <c r="D25" t="s" s="37">
        <v>999</v>
      </c>
      <c r="E25" s="460"/>
      <c r="F25" s="39">
        <v>4</v>
      </c>
      <c r="G25" s="531"/>
      <c r="H25" s="531"/>
      <c r="I25" s="56">
        <v>31</v>
      </c>
      <c r="J25" s="39">
        <v>24</v>
      </c>
      <c r="K25" s="39">
        <v>7</v>
      </c>
      <c r="L25" s="39">
        <v>0</v>
      </c>
      <c r="M25" s="39">
        <v>0</v>
      </c>
      <c r="N25" s="39">
        <v>4</v>
      </c>
      <c r="O25" s="39">
        <v>3</v>
      </c>
      <c r="P25" s="39">
        <v>7</v>
      </c>
      <c r="Q25" s="39">
        <v>1</v>
      </c>
      <c r="R25" s="39">
        <v>3</v>
      </c>
      <c r="S25" s="39">
        <v>13</v>
      </c>
      <c r="T25" s="39">
        <v>1225</v>
      </c>
      <c r="U25" s="545">
        <v>9</v>
      </c>
      <c r="V25" s="548">
        <v>21</v>
      </c>
      <c r="W25" s="39">
        <v>1</v>
      </c>
      <c r="X25" s="39">
        <v>135</v>
      </c>
      <c r="Y25" s="32"/>
      <c r="Z25" s="32"/>
      <c r="AA25" s="32"/>
      <c r="AB25" s="32"/>
      <c r="AC25" s="39">
        <v>17</v>
      </c>
      <c r="AD25" s="39">
        <v>4</v>
      </c>
      <c r="AE25" s="39" cm="1">
        <f t="array" ref="AE25">AC25-AD25</f>
        <v>13</v>
      </c>
      <c r="AF25" s="39">
        <v>16</v>
      </c>
      <c r="AG25" s="56" cm="1">
        <f t="array" ref="AG25">I25-AF25</f>
        <v>15</v>
      </c>
      <c r="AH25" s="56" cm="1">
        <f t="array" ref="AH25">AF25+AG25</f>
        <v>31</v>
      </c>
      <c r="AI25" s="38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</row>
    <row r="26" ht="17.45" customHeight="1">
      <c r="A26" t="s" s="37">
        <v>998</v>
      </c>
      <c r="B26" s="704">
        <v>1921</v>
      </c>
      <c r="C26" s="705">
        <v>5</v>
      </c>
      <c r="D26" t="s" s="37">
        <v>999</v>
      </c>
      <c r="E26" s="465"/>
      <c r="F26" s="68"/>
      <c r="G26" s="558"/>
      <c r="H26" s="706">
        <v>7</v>
      </c>
      <c r="I26" s="707">
        <v>44</v>
      </c>
      <c r="J26" s="560">
        <v>33</v>
      </c>
      <c r="K26" s="560">
        <v>10</v>
      </c>
      <c r="L26" s="560">
        <v>1</v>
      </c>
      <c r="M26" s="560">
        <v>0</v>
      </c>
      <c r="N26" s="560">
        <v>4</v>
      </c>
      <c r="O26" s="560">
        <v>5</v>
      </c>
      <c r="P26" s="560">
        <v>4</v>
      </c>
      <c r="Q26" s="560">
        <v>3</v>
      </c>
      <c r="R26" s="560">
        <v>14</v>
      </c>
      <c r="S26" s="560">
        <v>14</v>
      </c>
      <c r="T26" s="560">
        <v>1585</v>
      </c>
      <c r="U26" s="563"/>
      <c r="V26" s="560">
        <v>0</v>
      </c>
      <c r="W26" s="563"/>
      <c r="X26" s="560">
        <v>0</v>
      </c>
      <c r="Y26" s="560">
        <v>0</v>
      </c>
      <c r="Z26" s="560">
        <v>0</v>
      </c>
      <c r="AA26" s="560">
        <v>0</v>
      </c>
      <c r="AB26" s="560">
        <v>0</v>
      </c>
      <c r="AC26" s="560">
        <v>23</v>
      </c>
      <c r="AD26" s="561">
        <v>5</v>
      </c>
      <c r="AE26" s="39" cm="1">
        <f t="array" ref="AE26">AC26-AD26</f>
        <v>18</v>
      </c>
      <c r="AF26" s="39">
        <v>10</v>
      </c>
      <c r="AG26" s="56" cm="1">
        <f t="array" ref="AG26">I26-AF26</f>
        <v>34</v>
      </c>
      <c r="AH26" s="56" cm="1">
        <f t="array" ref="AH26">AF26+AG26</f>
        <v>44</v>
      </c>
      <c r="AI26" s="38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116"/>
    </row>
    <row r="27" ht="17.5" customHeight="1">
      <c r="A27" t="s" s="451">
        <v>3143</v>
      </c>
      <c r="B27" s="708">
        <v>1911</v>
      </c>
      <c r="C27" s="39">
        <v>18</v>
      </c>
      <c r="D27" t="s" s="37">
        <v>3144</v>
      </c>
      <c r="E27" s="32"/>
      <c r="F27" s="460"/>
      <c r="G27" s="41"/>
      <c r="H27" s="709"/>
      <c r="I27" s="56">
        <v>114</v>
      </c>
      <c r="J27" s="39">
        <v>74</v>
      </c>
      <c r="K27" s="39">
        <v>23</v>
      </c>
      <c r="L27" s="39">
        <v>9</v>
      </c>
      <c r="M27" s="39">
        <v>8</v>
      </c>
      <c r="N27" s="39">
        <v>16</v>
      </c>
      <c r="O27" s="39">
        <v>11</v>
      </c>
      <c r="P27" s="39">
        <v>10</v>
      </c>
      <c r="Q27" s="39">
        <v>12</v>
      </c>
      <c r="R27" s="39">
        <v>6</v>
      </c>
      <c r="S27" s="39">
        <v>59</v>
      </c>
      <c r="T27" s="39">
        <v>3282</v>
      </c>
      <c r="U27" s="39">
        <v>21</v>
      </c>
      <c r="V27" s="39">
        <v>71</v>
      </c>
      <c r="W27" s="39">
        <v>5</v>
      </c>
      <c r="X27" s="39">
        <v>41</v>
      </c>
      <c r="Y27" s="39">
        <v>8</v>
      </c>
      <c r="Z27" s="39">
        <v>8</v>
      </c>
      <c r="AA27" s="39">
        <v>0</v>
      </c>
      <c r="AB27" s="39">
        <v>0</v>
      </c>
      <c r="AC27" s="39">
        <v>81</v>
      </c>
      <c r="AD27" s="39">
        <v>14</v>
      </c>
      <c r="AE27" s="39" cm="1">
        <f t="array" ref="AE27">AC27-AD27</f>
        <v>67</v>
      </c>
      <c r="AF27" s="39">
        <v>61</v>
      </c>
      <c r="AG27" s="56" cm="1">
        <f t="array" ref="AG27">I27-AF27</f>
        <v>53</v>
      </c>
      <c r="AH27" s="56" cm="1">
        <f t="array" ref="AH27">AF27+AG27</f>
        <v>114</v>
      </c>
      <c r="AI27" s="38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74"/>
    </row>
    <row r="28" ht="15.35" customHeight="1">
      <c r="A28" t="s" s="37">
        <v>3143</v>
      </c>
      <c r="B28" t="s" s="710">
        <v>725</v>
      </c>
      <c r="C28" s="39">
        <v>19</v>
      </c>
      <c r="D28" t="s" s="37">
        <v>3144</v>
      </c>
      <c r="E28" s="32"/>
      <c r="F28" s="464"/>
      <c r="G28" s="41"/>
      <c r="H28" s="464"/>
      <c r="I28" s="39">
        <v>97</v>
      </c>
      <c r="J28" s="39">
        <v>71</v>
      </c>
      <c r="K28" s="39">
        <v>19</v>
      </c>
      <c r="L28" s="39">
        <v>4</v>
      </c>
      <c r="M28" s="39">
        <v>3</v>
      </c>
      <c r="N28" s="39">
        <v>14</v>
      </c>
      <c r="O28" s="39">
        <v>5</v>
      </c>
      <c r="P28" s="39">
        <v>10</v>
      </c>
      <c r="Q28" s="39">
        <v>6</v>
      </c>
      <c r="R28" s="39">
        <v>13</v>
      </c>
      <c r="S28" s="39">
        <v>49</v>
      </c>
      <c r="T28" s="39">
        <v>3426</v>
      </c>
      <c r="U28" s="39">
        <v>0</v>
      </c>
      <c r="V28" s="39">
        <v>0</v>
      </c>
      <c r="W28" s="39">
        <v>0</v>
      </c>
      <c r="X28" s="39">
        <v>0</v>
      </c>
      <c r="Y28" s="39">
        <v>0</v>
      </c>
      <c r="Z28" s="39">
        <v>0</v>
      </c>
      <c r="AA28" s="39">
        <v>0</v>
      </c>
      <c r="AB28" s="39">
        <v>0</v>
      </c>
      <c r="AC28" s="39">
        <v>67</v>
      </c>
      <c r="AD28" s="39">
        <v>8</v>
      </c>
      <c r="AE28" s="39" cm="1">
        <f t="array" ref="AE28">AC28-AD28</f>
        <v>59</v>
      </c>
      <c r="AF28" s="39">
        <v>53</v>
      </c>
      <c r="AG28" s="56" cm="1">
        <f t="array" ref="AG28">I28-AF28</f>
        <v>44</v>
      </c>
      <c r="AH28" s="56" cm="1">
        <f t="array" ref="AH28">AF28+AG28</f>
        <v>97</v>
      </c>
      <c r="AI28" s="376"/>
      <c r="AJ28" s="180"/>
      <c r="AK28" s="180"/>
      <c r="AL28" s="180"/>
      <c r="AM28" s="180"/>
      <c r="AN28" s="180"/>
      <c r="AO28" s="180"/>
      <c r="AP28" s="180"/>
      <c r="AQ28" s="180"/>
      <c r="AR28" s="180"/>
      <c r="AS28" s="180"/>
      <c r="AT28" s="180"/>
      <c r="AU28" s="180"/>
      <c r="AV28" s="180"/>
      <c r="AW28" s="180"/>
      <c r="AX28" s="180"/>
      <c r="AY28" s="180"/>
      <c r="AZ28" s="180"/>
      <c r="BA28" s="180"/>
      <c r="BB28" s="180"/>
      <c r="BC28" s="180"/>
      <c r="BD28" s="180"/>
      <c r="BE28" s="180"/>
      <c r="BF28" s="180"/>
      <c r="BG28" s="180"/>
      <c r="BH28" s="180"/>
      <c r="BI28" s="180"/>
      <c r="BJ28" s="180"/>
      <c r="BK28" s="180"/>
      <c r="BL28" s="180"/>
      <c r="BM28" s="180"/>
      <c r="BN28" s="180"/>
      <c r="BO28" s="180"/>
      <c r="BP28" s="180"/>
      <c r="BQ28" s="180"/>
      <c r="BR28" s="180"/>
      <c r="BS28" s="180"/>
      <c r="BT28" s="132"/>
    </row>
    <row r="29" ht="17.45" customHeight="1">
      <c r="A29" t="s" s="37">
        <v>1099</v>
      </c>
      <c r="B29" t="s" s="630">
        <v>3131</v>
      </c>
      <c r="C29" s="547">
        <v>6</v>
      </c>
      <c r="D29" t="s" s="37">
        <v>3145</v>
      </c>
      <c r="E29" s="675"/>
      <c r="F29" s="39">
        <v>4</v>
      </c>
      <c r="G29" s="531"/>
      <c r="H29" s="531"/>
      <c r="I29" s="56">
        <v>35</v>
      </c>
      <c r="J29" s="39">
        <v>25</v>
      </c>
      <c r="K29" s="39">
        <v>10</v>
      </c>
      <c r="L29" s="39">
        <v>0</v>
      </c>
      <c r="M29" s="39">
        <v>0</v>
      </c>
      <c r="N29" s="39">
        <v>5</v>
      </c>
      <c r="O29" s="39">
        <v>4</v>
      </c>
      <c r="P29" s="39">
        <v>4</v>
      </c>
      <c r="Q29" s="39">
        <v>5</v>
      </c>
      <c r="R29" s="39">
        <v>1</v>
      </c>
      <c r="S29" s="39">
        <v>16</v>
      </c>
      <c r="T29" s="39">
        <v>1416</v>
      </c>
      <c r="U29" s="39">
        <v>7</v>
      </c>
      <c r="V29" s="39">
        <v>21</v>
      </c>
      <c r="W29" s="39">
        <v>3</v>
      </c>
      <c r="X29" s="39">
        <v>129</v>
      </c>
      <c r="Y29" s="39">
        <v>8</v>
      </c>
      <c r="Z29" s="39">
        <v>8</v>
      </c>
      <c r="AA29" s="39">
        <v>0</v>
      </c>
      <c r="AB29" s="39">
        <v>0</v>
      </c>
      <c r="AC29" s="39">
        <v>24</v>
      </c>
      <c r="AD29" s="39">
        <v>4</v>
      </c>
      <c r="AE29" s="39" cm="1">
        <f t="array" ref="AE29">AC29-AD29</f>
        <v>20</v>
      </c>
      <c r="AF29" s="39">
        <v>14</v>
      </c>
      <c r="AG29" s="56" cm="1">
        <f t="array" ref="AG29">I29-AF29</f>
        <v>21</v>
      </c>
      <c r="AH29" s="56" cm="1">
        <f t="array" ref="AH29">AF29+AG29</f>
        <v>35</v>
      </c>
      <c r="AI29" s="38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</row>
    <row r="30" ht="17.45" customHeight="1">
      <c r="A30" t="s" s="371">
        <v>1099</v>
      </c>
      <c r="B30" s="711">
        <v>1921</v>
      </c>
      <c r="C30" s="547">
        <v>4</v>
      </c>
      <c r="D30" t="s" s="37">
        <v>1100</v>
      </c>
      <c r="E30" s="460"/>
      <c r="F30" s="32"/>
      <c r="G30" s="531"/>
      <c r="H30" s="531"/>
      <c r="I30" s="56">
        <v>21</v>
      </c>
      <c r="J30" s="39">
        <v>12</v>
      </c>
      <c r="K30" s="39">
        <v>6</v>
      </c>
      <c r="L30" s="39">
        <v>0</v>
      </c>
      <c r="M30" s="39">
        <v>3</v>
      </c>
      <c r="N30" s="39">
        <v>4</v>
      </c>
      <c r="O30" s="39">
        <v>4</v>
      </c>
      <c r="P30" s="39">
        <v>0</v>
      </c>
      <c r="Q30" s="39">
        <v>4</v>
      </c>
      <c r="R30" s="39">
        <v>1</v>
      </c>
      <c r="S30" s="39">
        <v>8</v>
      </c>
      <c r="T30" s="39">
        <v>729</v>
      </c>
      <c r="U30" s="32"/>
      <c r="V30" s="39">
        <v>0</v>
      </c>
      <c r="W30" s="39">
        <v>0</v>
      </c>
      <c r="X30" s="39">
        <v>0</v>
      </c>
      <c r="Y30" s="39">
        <v>0</v>
      </c>
      <c r="Z30" s="39">
        <v>0</v>
      </c>
      <c r="AA30" s="39">
        <v>0</v>
      </c>
      <c r="AB30" s="39">
        <v>0</v>
      </c>
      <c r="AC30" s="39">
        <v>13</v>
      </c>
      <c r="AD30" s="39">
        <v>3</v>
      </c>
      <c r="AE30" s="39" cm="1">
        <f t="array" ref="AE30">AC30-AD30</f>
        <v>10</v>
      </c>
      <c r="AF30" s="39">
        <v>6</v>
      </c>
      <c r="AG30" s="56" cm="1">
        <f t="array" ref="AG30">I30-AF30</f>
        <v>15</v>
      </c>
      <c r="AH30" s="56" cm="1">
        <f t="array" ref="AH30">AF30+AG30</f>
        <v>21</v>
      </c>
      <c r="AI30" s="562">
        <v>0</v>
      </c>
      <c r="AJ30" s="112">
        <v>0</v>
      </c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</row>
    <row r="31" ht="17.45" customHeight="1">
      <c r="A31" t="s" s="37">
        <v>3146</v>
      </c>
      <c r="B31" t="s" s="630">
        <v>3131</v>
      </c>
      <c r="C31" s="547">
        <v>11</v>
      </c>
      <c r="D31" t="s" s="37">
        <v>3147</v>
      </c>
      <c r="E31" s="460"/>
      <c r="F31" s="39">
        <v>7</v>
      </c>
      <c r="G31" s="531"/>
      <c r="H31" s="531"/>
      <c r="I31" s="56">
        <v>55</v>
      </c>
      <c r="J31" s="39">
        <v>44</v>
      </c>
      <c r="K31" s="39">
        <v>9</v>
      </c>
      <c r="L31" s="39">
        <v>2</v>
      </c>
      <c r="M31" s="39">
        <v>0</v>
      </c>
      <c r="N31" s="39">
        <v>9</v>
      </c>
      <c r="O31" s="39">
        <v>4</v>
      </c>
      <c r="P31" s="39">
        <v>5</v>
      </c>
      <c r="Q31" s="39">
        <v>3</v>
      </c>
      <c r="R31" s="39">
        <v>11</v>
      </c>
      <c r="S31" s="39">
        <v>23</v>
      </c>
      <c r="T31" s="39">
        <v>2047</v>
      </c>
      <c r="U31" s="39">
        <v>8</v>
      </c>
      <c r="V31" s="39">
        <v>38</v>
      </c>
      <c r="W31" s="39">
        <v>1</v>
      </c>
      <c r="X31" s="39">
        <v>77</v>
      </c>
      <c r="Y31" s="39">
        <v>21</v>
      </c>
      <c r="Z31" s="39">
        <v>19</v>
      </c>
      <c r="AA31" s="39">
        <v>0</v>
      </c>
      <c r="AB31" s="39">
        <v>0</v>
      </c>
      <c r="AC31" s="39">
        <v>37</v>
      </c>
      <c r="AD31" s="39">
        <v>5</v>
      </c>
      <c r="AE31" s="39" cm="1">
        <f t="array" ref="AE31">AC31-AD31</f>
        <v>32</v>
      </c>
      <c r="AF31" s="39">
        <v>28</v>
      </c>
      <c r="AG31" s="56" cm="1">
        <f t="array" ref="AG31">I31-AF31</f>
        <v>27</v>
      </c>
      <c r="AH31" s="56" cm="1">
        <f t="array" ref="AH31">AF31+AG31</f>
        <v>55</v>
      </c>
      <c r="AI31" s="38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</row>
    <row r="32" ht="17.45" customHeight="1">
      <c r="A32" t="s" s="37">
        <v>998</v>
      </c>
      <c r="B32" s="281">
        <v>1921</v>
      </c>
      <c r="C32" s="547">
        <v>8</v>
      </c>
      <c r="D32" t="s" s="37">
        <v>1146</v>
      </c>
      <c r="E32" s="460"/>
      <c r="F32" s="32"/>
      <c r="G32" s="531"/>
      <c r="H32" s="531"/>
      <c r="I32" s="56">
        <v>21</v>
      </c>
      <c r="J32" s="39">
        <v>30</v>
      </c>
      <c r="K32" s="39">
        <v>5</v>
      </c>
      <c r="L32" s="39">
        <v>0</v>
      </c>
      <c r="M32" s="39">
        <v>0</v>
      </c>
      <c r="N32" s="39">
        <v>7</v>
      </c>
      <c r="O32" s="39">
        <v>4</v>
      </c>
      <c r="P32" s="39">
        <v>3</v>
      </c>
      <c r="Q32" s="39">
        <v>0</v>
      </c>
      <c r="R32" s="39">
        <v>1</v>
      </c>
      <c r="S32" s="39">
        <v>20</v>
      </c>
      <c r="T32" s="39">
        <v>1406</v>
      </c>
      <c r="U32" s="39">
        <v>0</v>
      </c>
      <c r="V32" s="39">
        <v>0</v>
      </c>
      <c r="W32" s="32"/>
      <c r="X32" s="39">
        <v>0</v>
      </c>
      <c r="Y32" s="39">
        <v>0</v>
      </c>
      <c r="Z32" s="39">
        <v>0</v>
      </c>
      <c r="AA32" s="39">
        <v>0</v>
      </c>
      <c r="AB32" s="39">
        <v>0</v>
      </c>
      <c r="AC32" s="39">
        <v>25</v>
      </c>
      <c r="AD32" s="39">
        <v>2</v>
      </c>
      <c r="AE32" s="39" cm="1">
        <f t="array" ref="AE32">AC32-AD32</f>
        <v>23</v>
      </c>
      <c r="AF32" s="39">
        <v>26</v>
      </c>
      <c r="AG32" s="56" cm="1">
        <f t="array" ref="AG32">I32-AF32</f>
        <v>-5</v>
      </c>
      <c r="AH32" s="56" cm="1">
        <f t="array" ref="AH32">AF32+AG32</f>
        <v>21</v>
      </c>
      <c r="AI32" s="562">
        <v>0</v>
      </c>
      <c r="AJ32" s="87"/>
      <c r="AK32" s="87"/>
      <c r="AL32" s="112">
        <v>0</v>
      </c>
      <c r="AM32" s="112">
        <v>0</v>
      </c>
      <c r="AN32" s="112">
        <v>0</v>
      </c>
      <c r="AO32" s="112">
        <v>0</v>
      </c>
      <c r="AP32" s="112">
        <v>0</v>
      </c>
      <c r="AQ32" s="112">
        <v>0</v>
      </c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</row>
    <row r="33" ht="17.45" customHeight="1">
      <c r="A33" t="s" s="37">
        <v>1229</v>
      </c>
      <c r="B33" t="s" s="630">
        <v>3131</v>
      </c>
      <c r="C33" s="547">
        <v>3</v>
      </c>
      <c r="D33" t="s" s="37">
        <v>3148</v>
      </c>
      <c r="E33" s="460"/>
      <c r="F33" s="39">
        <v>3</v>
      </c>
      <c r="G33" s="531"/>
      <c r="H33" s="531"/>
      <c r="I33" s="56">
        <v>14</v>
      </c>
      <c r="J33" s="39">
        <v>9</v>
      </c>
      <c r="K33" s="39">
        <v>3</v>
      </c>
      <c r="L33" s="39">
        <v>1</v>
      </c>
      <c r="M33" s="39">
        <v>1</v>
      </c>
      <c r="N33" s="39">
        <v>3</v>
      </c>
      <c r="O33" s="39">
        <v>1</v>
      </c>
      <c r="P33" s="39">
        <v>2</v>
      </c>
      <c r="Q33" s="39">
        <v>0</v>
      </c>
      <c r="R33" s="39">
        <v>3</v>
      </c>
      <c r="S33" s="39">
        <v>5</v>
      </c>
      <c r="T33" s="39">
        <v>391</v>
      </c>
      <c r="U33" s="39">
        <v>3</v>
      </c>
      <c r="V33" s="39">
        <v>9</v>
      </c>
      <c r="W33" s="39">
        <v>2</v>
      </c>
      <c r="X33" s="39">
        <v>3</v>
      </c>
      <c r="Y33" s="39">
        <v>2</v>
      </c>
      <c r="Z33" s="39">
        <v>2</v>
      </c>
      <c r="AA33" s="32"/>
      <c r="AB33" s="39">
        <v>0</v>
      </c>
      <c r="AC33" s="39">
        <v>7</v>
      </c>
      <c r="AD33" s="39">
        <v>2</v>
      </c>
      <c r="AE33" s="39" cm="1">
        <f t="array" ref="AE33">AC33-AD33</f>
        <v>5</v>
      </c>
      <c r="AF33" s="39">
        <v>6</v>
      </c>
      <c r="AG33" s="56" cm="1">
        <f t="array" ref="AG33">I33-AF33</f>
        <v>8</v>
      </c>
      <c r="AH33" s="56" cm="1">
        <f t="array" ref="AH33">AF33+AG33</f>
        <v>14</v>
      </c>
      <c r="AI33" s="38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</row>
    <row r="34" ht="17.45" customHeight="1">
      <c r="A34" t="s" s="37">
        <v>1229</v>
      </c>
      <c r="B34" s="281">
        <v>1921</v>
      </c>
      <c r="C34" s="547">
        <v>3</v>
      </c>
      <c r="D34" t="s" s="37">
        <v>1230</v>
      </c>
      <c r="E34" s="460"/>
      <c r="F34" s="32"/>
      <c r="G34" s="531"/>
      <c r="H34" s="531"/>
      <c r="I34" s="56">
        <v>9</v>
      </c>
      <c r="J34" s="39">
        <v>7</v>
      </c>
      <c r="K34" s="39">
        <v>2</v>
      </c>
      <c r="L34" s="39">
        <v>0</v>
      </c>
      <c r="M34" s="39">
        <v>0</v>
      </c>
      <c r="N34" s="39">
        <v>2</v>
      </c>
      <c r="O34" s="39">
        <v>0</v>
      </c>
      <c r="P34" s="39">
        <v>4</v>
      </c>
      <c r="Q34" s="39">
        <v>1</v>
      </c>
      <c r="R34" s="39">
        <v>0</v>
      </c>
      <c r="S34" s="39">
        <v>2</v>
      </c>
      <c r="T34" s="39">
        <v>352</v>
      </c>
      <c r="U34" s="39">
        <v>0</v>
      </c>
      <c r="V34" s="39">
        <v>0</v>
      </c>
      <c r="W34" s="39">
        <v>0</v>
      </c>
      <c r="X34" s="32"/>
      <c r="Y34" s="39">
        <v>0</v>
      </c>
      <c r="Z34" s="39">
        <v>0</v>
      </c>
      <c r="AA34" s="32"/>
      <c r="AB34" s="32"/>
      <c r="AC34" s="39">
        <v>0</v>
      </c>
      <c r="AD34" s="39">
        <v>0</v>
      </c>
      <c r="AE34" s="39" cm="1">
        <f t="array" ref="AE34">AC34-AD34</f>
        <v>0</v>
      </c>
      <c r="AF34" s="39">
        <v>7</v>
      </c>
      <c r="AG34" s="56" cm="1">
        <f t="array" ref="AG34">I34-AF34</f>
        <v>2</v>
      </c>
      <c r="AH34" s="56" cm="1">
        <f t="array" ref="AH34">AF34+AG34</f>
        <v>9</v>
      </c>
      <c r="AI34" s="562">
        <v>0</v>
      </c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</row>
    <row r="35" ht="15.35" customHeight="1">
      <c r="A35" t="s" s="37">
        <v>1251</v>
      </c>
      <c r="B35" t="s" s="630">
        <v>3131</v>
      </c>
      <c r="C35" s="39">
        <v>27</v>
      </c>
      <c r="D35" t="s" s="37">
        <v>1252</v>
      </c>
      <c r="E35" s="460"/>
      <c r="F35" s="39">
        <v>16</v>
      </c>
      <c r="G35" s="531"/>
      <c r="H35" s="531"/>
      <c r="I35" s="56">
        <v>145</v>
      </c>
      <c r="J35" s="39">
        <v>102</v>
      </c>
      <c r="K35" s="39">
        <v>28</v>
      </c>
      <c r="L35" s="39">
        <v>8</v>
      </c>
      <c r="M35" s="39">
        <v>7</v>
      </c>
      <c r="N35" s="39">
        <v>25</v>
      </c>
      <c r="O35" s="39">
        <v>15</v>
      </c>
      <c r="P35" s="39">
        <v>24</v>
      </c>
      <c r="Q35" s="39">
        <v>14</v>
      </c>
      <c r="R35" s="39">
        <v>10</v>
      </c>
      <c r="S35" s="39">
        <v>57</v>
      </c>
      <c r="T35" s="39">
        <v>5194</v>
      </c>
      <c r="U35" s="39">
        <v>30</v>
      </c>
      <c r="V35" s="39">
        <v>97</v>
      </c>
      <c r="W35" s="39">
        <v>4</v>
      </c>
      <c r="X35" s="39">
        <v>403</v>
      </c>
      <c r="Y35" s="39">
        <v>53</v>
      </c>
      <c r="Z35" s="39">
        <v>45</v>
      </c>
      <c r="AA35" s="39">
        <v>0</v>
      </c>
      <c r="AB35" s="39">
        <v>0</v>
      </c>
      <c r="AC35" s="39">
        <v>83</v>
      </c>
      <c r="AD35" s="39">
        <v>18</v>
      </c>
      <c r="AE35" s="39" cm="1">
        <f t="array" ref="AE35">AC35-AD35</f>
        <v>65</v>
      </c>
      <c r="AF35" s="39">
        <v>72</v>
      </c>
      <c r="AG35" s="56" cm="1">
        <f t="array" ref="AG35">I35-AF35</f>
        <v>73</v>
      </c>
      <c r="AH35" s="56" cm="1">
        <f t="array" ref="AH35">AF35+AG35</f>
        <v>145</v>
      </c>
      <c r="AI35" s="38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</row>
    <row r="36" ht="15.35" customHeight="1">
      <c r="A36" t="s" s="37">
        <v>1251</v>
      </c>
      <c r="B36" s="281">
        <v>2021</v>
      </c>
      <c r="C36" s="39">
        <v>23</v>
      </c>
      <c r="D36" t="s" s="37">
        <v>1252</v>
      </c>
      <c r="E36" s="460"/>
      <c r="F36" s="32"/>
      <c r="G36" s="531"/>
      <c r="H36" s="531"/>
      <c r="I36" s="56">
        <v>108</v>
      </c>
      <c r="J36" s="39">
        <v>69</v>
      </c>
      <c r="K36" s="39">
        <v>24</v>
      </c>
      <c r="L36" s="39">
        <v>6</v>
      </c>
      <c r="M36" s="39">
        <v>9</v>
      </c>
      <c r="N36" s="39">
        <v>21</v>
      </c>
      <c r="O36" s="39">
        <v>14</v>
      </c>
      <c r="P36" s="39">
        <v>12</v>
      </c>
      <c r="Q36" s="39">
        <v>15</v>
      </c>
      <c r="R36" s="39">
        <v>10</v>
      </c>
      <c r="S36" s="39">
        <v>36</v>
      </c>
      <c r="T36" s="39">
        <v>3867</v>
      </c>
      <c r="U36" s="39">
        <v>0</v>
      </c>
      <c r="V36" s="39">
        <v>0</v>
      </c>
      <c r="W36" s="39">
        <v>0</v>
      </c>
      <c r="X36" s="32"/>
      <c r="Y36" s="32"/>
      <c r="Z36" s="39">
        <v>0</v>
      </c>
      <c r="AA36" s="39">
        <v>0</v>
      </c>
      <c r="AB36" s="39">
        <v>0</v>
      </c>
      <c r="AC36" s="39">
        <v>53</v>
      </c>
      <c r="AD36" s="39">
        <v>6</v>
      </c>
      <c r="AE36" s="39" cm="1">
        <f t="array" ref="AE36">AC36-AD36</f>
        <v>47</v>
      </c>
      <c r="AF36" s="39">
        <v>52</v>
      </c>
      <c r="AG36" s="56" cm="1">
        <f t="array" ref="AG36">I36-AF36</f>
        <v>56</v>
      </c>
      <c r="AH36" s="56" cm="1">
        <f t="array" ref="AH36">AF36+AG36</f>
        <v>108</v>
      </c>
      <c r="AI36" s="562">
        <v>0</v>
      </c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</row>
    <row r="37" ht="15.35" customHeight="1">
      <c r="A37" t="s" s="37">
        <v>3149</v>
      </c>
      <c r="B37" t="s" s="630">
        <v>3131</v>
      </c>
      <c r="C37" s="39">
        <v>1</v>
      </c>
      <c r="D37" t="s" s="37">
        <v>3150</v>
      </c>
      <c r="E37" s="460"/>
      <c r="F37" s="39">
        <v>1</v>
      </c>
      <c r="G37" s="531"/>
      <c r="H37" s="531"/>
      <c r="I37" s="56">
        <v>3</v>
      </c>
      <c r="J37" s="39">
        <v>2</v>
      </c>
      <c r="K37" s="39">
        <v>1</v>
      </c>
      <c r="L37" s="39">
        <v>0</v>
      </c>
      <c r="M37" s="39">
        <v>0</v>
      </c>
      <c r="N37" s="39">
        <v>0</v>
      </c>
      <c r="O37" s="39">
        <v>0</v>
      </c>
      <c r="P37" s="39">
        <v>1</v>
      </c>
      <c r="Q37" s="39">
        <v>0</v>
      </c>
      <c r="R37" s="39">
        <v>0</v>
      </c>
      <c r="S37" s="39">
        <v>2</v>
      </c>
      <c r="T37" s="39">
        <v>158</v>
      </c>
      <c r="U37" s="39">
        <v>2</v>
      </c>
      <c r="V37" s="39">
        <v>1</v>
      </c>
      <c r="W37" s="39">
        <v>0</v>
      </c>
      <c r="X37" s="39">
        <v>15</v>
      </c>
      <c r="Y37" s="39">
        <v>0</v>
      </c>
      <c r="Z37" s="39">
        <v>0</v>
      </c>
      <c r="AA37" s="39">
        <v>0</v>
      </c>
      <c r="AB37" s="39">
        <v>0</v>
      </c>
      <c r="AC37" s="39">
        <v>2</v>
      </c>
      <c r="AD37" s="39">
        <v>0</v>
      </c>
      <c r="AE37" s="39" cm="1">
        <f t="array" ref="AE37">AC37-AD37</f>
        <v>2</v>
      </c>
      <c r="AF37" s="39">
        <v>1</v>
      </c>
      <c r="AG37" s="56" cm="1">
        <f t="array" ref="AG37">I37-AF37</f>
        <v>2</v>
      </c>
      <c r="AH37" s="56" cm="1">
        <f t="array" ref="AH37">AF37+AG37</f>
        <v>3</v>
      </c>
      <c r="AI37" s="38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</row>
    <row r="38" ht="15.35" customHeight="1">
      <c r="A38" t="s" s="37">
        <v>3149</v>
      </c>
      <c r="B38" t="s" s="630">
        <v>725</v>
      </c>
      <c r="C38" s="39">
        <v>1</v>
      </c>
      <c r="D38" t="s" s="37">
        <v>3150</v>
      </c>
      <c r="E38" s="647"/>
      <c r="F38" s="563"/>
      <c r="G38" s="685"/>
      <c r="H38" s="563"/>
      <c r="I38" s="560">
        <v>19</v>
      </c>
      <c r="J38" s="560">
        <v>19</v>
      </c>
      <c r="K38" s="563"/>
      <c r="L38" s="563"/>
      <c r="M38" s="563"/>
      <c r="N38" s="560">
        <v>1</v>
      </c>
      <c r="O38" s="563"/>
      <c r="P38" s="563"/>
      <c r="Q38" s="563"/>
      <c r="R38" s="563"/>
      <c r="S38" s="560">
        <v>2</v>
      </c>
      <c r="T38" s="560">
        <v>576</v>
      </c>
      <c r="U38" s="563"/>
      <c r="V38" s="560">
        <v>19</v>
      </c>
      <c r="W38" s="563"/>
      <c r="X38" s="563"/>
      <c r="Y38" s="563"/>
      <c r="Z38" s="563"/>
      <c r="AA38" s="563"/>
      <c r="AB38" s="563"/>
      <c r="AC38" s="560">
        <v>19</v>
      </c>
      <c r="AD38" s="632"/>
      <c r="AE38" s="39" cm="1">
        <f t="array" ref="AE38">AC38-AD38</f>
        <v>19</v>
      </c>
      <c r="AF38" s="39">
        <v>2</v>
      </c>
      <c r="AG38" s="56" cm="1">
        <f t="array" ref="AG38">I38-AF38</f>
        <v>17</v>
      </c>
      <c r="AH38" s="56" cm="1">
        <f t="array" ref="AH38">AF38+AG38</f>
        <v>19</v>
      </c>
      <c r="AI38" s="376"/>
      <c r="AJ38" t="s" s="327">
        <v>3162</v>
      </c>
      <c r="AK38" s="180"/>
      <c r="AL38" s="180"/>
      <c r="AM38" s="180"/>
      <c r="AN38" s="180"/>
      <c r="AO38" s="180"/>
      <c r="AP38" s="180"/>
      <c r="AQ38" s="180"/>
      <c r="AR38" s="180"/>
      <c r="AS38" s="180"/>
      <c r="AT38" s="180"/>
      <c r="AU38" s="180"/>
      <c r="AV38" s="180"/>
      <c r="AW38" s="180"/>
      <c r="AX38" s="180"/>
      <c r="AY38" s="180"/>
      <c r="AZ38" s="180"/>
      <c r="BA38" s="180"/>
      <c r="BB38" s="180"/>
      <c r="BC38" s="180"/>
      <c r="BD38" s="180"/>
      <c r="BE38" s="180"/>
      <c r="BF38" s="180"/>
      <c r="BG38" s="180"/>
      <c r="BH38" s="180"/>
      <c r="BI38" s="180"/>
      <c r="BJ38" s="180"/>
      <c r="BK38" s="180"/>
      <c r="BL38" s="180"/>
      <c r="BM38" s="180"/>
      <c r="BN38" s="180"/>
      <c r="BO38" s="180"/>
      <c r="BP38" s="180"/>
      <c r="BQ38" s="180"/>
      <c r="BR38" s="180"/>
      <c r="BS38" s="180"/>
      <c r="BT38" s="180"/>
    </row>
    <row r="39" ht="15.35" customHeight="1">
      <c r="A39" t="s" s="37">
        <v>1670</v>
      </c>
      <c r="B39" t="s" s="630">
        <v>3131</v>
      </c>
      <c r="C39" s="39">
        <v>4</v>
      </c>
      <c r="D39" t="s" s="37">
        <v>3151</v>
      </c>
      <c r="E39" s="460"/>
      <c r="F39" s="39">
        <v>5</v>
      </c>
      <c r="G39" s="531"/>
      <c r="H39" s="531"/>
      <c r="I39" s="56">
        <v>27</v>
      </c>
      <c r="J39" s="39">
        <v>17</v>
      </c>
      <c r="K39" s="39">
        <v>4</v>
      </c>
      <c r="L39" s="39">
        <v>4</v>
      </c>
      <c r="M39" s="39">
        <v>2</v>
      </c>
      <c r="N39" s="39">
        <v>4</v>
      </c>
      <c r="O39" s="39">
        <v>4</v>
      </c>
      <c r="P39" s="39">
        <v>10</v>
      </c>
      <c r="Q39" s="39">
        <v>2</v>
      </c>
      <c r="R39" s="39">
        <v>0</v>
      </c>
      <c r="S39" s="39">
        <v>7</v>
      </c>
      <c r="T39" s="39">
        <v>788</v>
      </c>
      <c r="U39" s="39">
        <v>8</v>
      </c>
      <c r="V39" s="39">
        <v>13</v>
      </c>
      <c r="W39" s="39">
        <v>0</v>
      </c>
      <c r="X39" s="39">
        <v>88</v>
      </c>
      <c r="Y39" s="39">
        <v>15</v>
      </c>
      <c r="Z39" s="39">
        <v>14</v>
      </c>
      <c r="AA39" s="39">
        <v>0</v>
      </c>
      <c r="AB39" s="39">
        <v>0</v>
      </c>
      <c r="AC39" s="39">
        <v>11</v>
      </c>
      <c r="AD39" s="39">
        <v>4</v>
      </c>
      <c r="AE39" s="39" cm="1">
        <f t="array" ref="AE39">AC39-AD39</f>
        <v>7</v>
      </c>
      <c r="AF39" s="39">
        <v>9</v>
      </c>
      <c r="AG39" s="56" cm="1">
        <f t="array" ref="AG39">I39-AF39</f>
        <v>18</v>
      </c>
      <c r="AH39" s="56" cm="1">
        <f t="array" ref="AH39">AF39+AG39</f>
        <v>27</v>
      </c>
      <c r="AI39" s="38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</row>
    <row r="40" ht="15.35" customHeight="1">
      <c r="A40" t="s" s="371">
        <v>1670</v>
      </c>
      <c r="B40" s="684">
        <v>1921</v>
      </c>
      <c r="C40" s="561">
        <v>4</v>
      </c>
      <c r="D40" t="s" s="37">
        <v>1672</v>
      </c>
      <c r="E40" s="460"/>
      <c r="F40" s="712"/>
      <c r="G40" s="558"/>
      <c r="H40" s="558"/>
      <c r="I40" s="707">
        <v>15</v>
      </c>
      <c r="J40" s="560">
        <v>9</v>
      </c>
      <c r="K40" s="560">
        <v>5</v>
      </c>
      <c r="L40" s="560">
        <v>0</v>
      </c>
      <c r="M40" s="560">
        <v>1</v>
      </c>
      <c r="N40" s="560">
        <v>4</v>
      </c>
      <c r="O40" s="560">
        <v>2</v>
      </c>
      <c r="P40" s="560">
        <v>4</v>
      </c>
      <c r="Q40" s="560">
        <v>3</v>
      </c>
      <c r="R40" s="560">
        <v>0</v>
      </c>
      <c r="S40" s="560">
        <v>2</v>
      </c>
      <c r="T40" s="560">
        <v>605</v>
      </c>
      <c r="U40" s="560">
        <v>0</v>
      </c>
      <c r="V40" s="560">
        <v>0</v>
      </c>
      <c r="W40" s="560">
        <v>0</v>
      </c>
      <c r="X40" s="560">
        <v>0</v>
      </c>
      <c r="Y40" s="560">
        <v>0</v>
      </c>
      <c r="Z40" s="560">
        <v>0</v>
      </c>
      <c r="AA40" s="713"/>
      <c r="AB40" s="713"/>
      <c r="AC40" s="560">
        <v>7</v>
      </c>
      <c r="AD40" s="561">
        <v>2</v>
      </c>
      <c r="AE40" s="39" cm="1">
        <f t="array" ref="AE40">AC40-AD40</f>
        <v>5</v>
      </c>
      <c r="AF40" s="39">
        <v>8</v>
      </c>
      <c r="AG40" s="56" cm="1">
        <f t="array" ref="AG40">I40-AF40</f>
        <v>7</v>
      </c>
      <c r="AH40" s="56" cm="1">
        <f t="array" ref="AH40">AF40+AG40</f>
        <v>15</v>
      </c>
      <c r="AI40" s="562">
        <v>0</v>
      </c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</row>
    <row r="41" ht="15.35" customHeight="1">
      <c r="A41" t="s" s="549">
        <v>1713</v>
      </c>
      <c r="B41" t="s" s="691">
        <v>3131</v>
      </c>
      <c r="C41" s="548">
        <v>5</v>
      </c>
      <c r="D41" t="s" s="37">
        <v>1714</v>
      </c>
      <c r="E41" s="460"/>
      <c r="F41" s="550">
        <v>6</v>
      </c>
      <c r="G41" s="551"/>
      <c r="H41" s="551"/>
      <c r="I41" s="618">
        <v>30</v>
      </c>
      <c r="J41" s="553">
        <v>13</v>
      </c>
      <c r="K41" s="553">
        <v>11</v>
      </c>
      <c r="L41" s="553">
        <v>3</v>
      </c>
      <c r="M41" s="553">
        <v>3</v>
      </c>
      <c r="N41" s="553">
        <v>5</v>
      </c>
      <c r="O41" s="553">
        <v>3</v>
      </c>
      <c r="P41" s="553">
        <v>6</v>
      </c>
      <c r="Q41" s="553">
        <v>2</v>
      </c>
      <c r="R41" s="553">
        <v>11</v>
      </c>
      <c r="S41" s="553">
        <v>3</v>
      </c>
      <c r="T41" s="553">
        <v>905</v>
      </c>
      <c r="U41" s="553">
        <v>7</v>
      </c>
      <c r="V41" s="553">
        <v>20</v>
      </c>
      <c r="W41" s="553">
        <v>3</v>
      </c>
      <c r="X41" s="553">
        <v>107</v>
      </c>
      <c r="Y41" s="553">
        <v>26</v>
      </c>
      <c r="Z41" s="553">
        <v>20</v>
      </c>
      <c r="AA41" s="553">
        <v>0</v>
      </c>
      <c r="AB41" s="553">
        <v>0</v>
      </c>
      <c r="AC41" s="553">
        <v>19</v>
      </c>
      <c r="AD41" s="554">
        <v>4</v>
      </c>
      <c r="AE41" s="545" cm="1">
        <f t="array" ref="AE41">AC41-AD41</f>
        <v>15</v>
      </c>
      <c r="AF41" s="554">
        <v>12</v>
      </c>
      <c r="AG41" s="56" cm="1">
        <f t="array" ref="AG41">I41-AF41</f>
        <v>18</v>
      </c>
      <c r="AH41" s="56" cm="1">
        <f t="array" ref="AH41">AF41+AG41</f>
        <v>30</v>
      </c>
      <c r="AI41" s="38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83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</row>
    <row r="42" ht="15.35" customHeight="1">
      <c r="A42" t="s" s="326">
        <v>1713</v>
      </c>
      <c r="B42" s="684">
        <v>1921</v>
      </c>
      <c r="C42" s="561">
        <v>3</v>
      </c>
      <c r="D42" t="s" s="556">
        <v>1714</v>
      </c>
      <c r="E42" s="16"/>
      <c r="F42" s="146"/>
      <c r="G42" s="587"/>
      <c r="H42" s="587"/>
      <c r="I42" s="87">
        <v>19</v>
      </c>
      <c r="J42" s="112">
        <v>10</v>
      </c>
      <c r="K42" s="112">
        <v>8</v>
      </c>
      <c r="L42" s="112">
        <v>0</v>
      </c>
      <c r="M42" s="112">
        <v>1</v>
      </c>
      <c r="N42" s="112">
        <v>3</v>
      </c>
      <c r="O42" s="112">
        <v>4</v>
      </c>
      <c r="P42" s="112">
        <v>5</v>
      </c>
      <c r="Q42" s="112">
        <v>1</v>
      </c>
      <c r="R42" s="112">
        <v>6</v>
      </c>
      <c r="S42" s="112">
        <v>0</v>
      </c>
      <c r="T42" s="112">
        <v>649</v>
      </c>
      <c r="U42" s="112">
        <v>0</v>
      </c>
      <c r="V42" s="112">
        <v>0</v>
      </c>
      <c r="W42" s="112">
        <v>0</v>
      </c>
      <c r="X42" s="112">
        <v>0</v>
      </c>
      <c r="Y42" s="112">
        <v>0</v>
      </c>
      <c r="Z42" s="112">
        <v>0</v>
      </c>
      <c r="AA42" s="112">
        <v>0</v>
      </c>
      <c r="AB42" s="112">
        <v>0</v>
      </c>
      <c r="AC42" s="112">
        <v>14</v>
      </c>
      <c r="AD42" s="588">
        <v>3</v>
      </c>
      <c r="AE42" s="545" cm="1">
        <f t="array" ref="AE42">AC42-AD42</f>
        <v>11</v>
      </c>
      <c r="AF42" s="588">
        <v>10</v>
      </c>
      <c r="AG42" s="56" cm="1">
        <f t="array" ref="AG42">I42-AF42</f>
        <v>9</v>
      </c>
      <c r="AH42" s="56" cm="1">
        <f t="array" ref="AH42">AF42+AG42</f>
        <v>19</v>
      </c>
      <c r="AI42" s="38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83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</row>
    <row r="43" ht="17.45" customHeight="1">
      <c r="A43" t="s" s="450">
        <v>1759</v>
      </c>
      <c r="B43" t="s" s="630">
        <v>3131</v>
      </c>
      <c r="C43" s="545">
        <v>20</v>
      </c>
      <c r="D43" t="s" s="555">
        <v>1760</v>
      </c>
      <c r="E43" s="122"/>
      <c r="F43" s="362">
        <v>20</v>
      </c>
      <c r="G43" s="542"/>
      <c r="H43" s="542"/>
      <c r="I43" s="714">
        <v>100</v>
      </c>
      <c r="J43" s="362">
        <v>53</v>
      </c>
      <c r="K43" s="362">
        <v>32</v>
      </c>
      <c r="L43" s="362">
        <v>8</v>
      </c>
      <c r="M43" s="362">
        <v>7</v>
      </c>
      <c r="N43" s="362">
        <v>21</v>
      </c>
      <c r="O43" s="362">
        <v>11</v>
      </c>
      <c r="P43" s="362">
        <v>23</v>
      </c>
      <c r="Q43" s="362">
        <v>18</v>
      </c>
      <c r="R43" s="362">
        <v>15</v>
      </c>
      <c r="S43" s="362">
        <v>12</v>
      </c>
      <c r="T43" s="362">
        <v>3340</v>
      </c>
      <c r="U43" s="362">
        <v>25</v>
      </c>
      <c r="V43" s="362">
        <v>49</v>
      </c>
      <c r="W43" s="362">
        <v>11</v>
      </c>
      <c r="X43" s="362">
        <v>321</v>
      </c>
      <c r="Y43" s="362">
        <v>48</v>
      </c>
      <c r="Z43" s="362">
        <v>40</v>
      </c>
      <c r="AA43" s="362">
        <v>0</v>
      </c>
      <c r="AB43" s="362">
        <v>0</v>
      </c>
      <c r="AC43" s="362">
        <v>55</v>
      </c>
      <c r="AD43" s="540">
        <v>7</v>
      </c>
      <c r="AE43" s="545" cm="1">
        <f t="array" ref="AE43">AC43-AD43</f>
        <v>48</v>
      </c>
      <c r="AF43" s="540">
        <v>62</v>
      </c>
      <c r="AG43" s="56" cm="1">
        <f t="array" ref="AG43">I43-AF43</f>
        <v>38</v>
      </c>
      <c r="AH43" s="56" cm="1">
        <f t="array" ref="AH43">AF43+AG43</f>
        <v>100</v>
      </c>
      <c r="AI43" s="38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121"/>
      <c r="AY43" s="121"/>
      <c r="AZ43" s="121"/>
      <c r="BA43" s="121"/>
      <c r="BB43" s="121"/>
      <c r="BC43" t="s" s="83">
        <v>723</v>
      </c>
      <c r="BD43" s="30"/>
      <c r="BE43" s="112">
        <v>20</v>
      </c>
      <c r="BF43" t="s" s="83">
        <v>1760</v>
      </c>
      <c r="BG43" s="112">
        <v>42</v>
      </c>
      <c r="BH43" s="112">
        <v>100</v>
      </c>
      <c r="BI43" s="112">
        <v>53</v>
      </c>
      <c r="BJ43" s="112">
        <v>32</v>
      </c>
      <c r="BK43" s="112">
        <v>8</v>
      </c>
      <c r="BL43" s="112">
        <v>7</v>
      </c>
      <c r="BM43" s="112">
        <v>21</v>
      </c>
      <c r="BN43" s="112">
        <v>11</v>
      </c>
      <c r="BO43" s="112">
        <v>23</v>
      </c>
      <c r="BP43" s="112">
        <v>18</v>
      </c>
      <c r="BQ43" s="112">
        <v>15</v>
      </c>
      <c r="BR43" s="112">
        <v>12</v>
      </c>
      <c r="BS43" s="112">
        <v>3339</v>
      </c>
      <c r="BT43" s="112">
        <v>25</v>
      </c>
    </row>
    <row r="44" ht="17.45" customHeight="1">
      <c r="A44" t="s" s="370">
        <v>1759</v>
      </c>
      <c r="B44" s="281">
        <v>1921</v>
      </c>
      <c r="C44" s="39">
        <v>20</v>
      </c>
      <c r="D44" t="s" s="556">
        <v>1760</v>
      </c>
      <c r="E44" s="16"/>
      <c r="F44" s="715"/>
      <c r="G44" s="558"/>
      <c r="H44" s="558"/>
      <c r="I44" s="707">
        <v>79</v>
      </c>
      <c r="J44" s="560">
        <v>38</v>
      </c>
      <c r="K44" s="560">
        <v>32</v>
      </c>
      <c r="L44" s="560">
        <v>3</v>
      </c>
      <c r="M44" s="560">
        <v>6</v>
      </c>
      <c r="N44" s="560">
        <v>19</v>
      </c>
      <c r="O44" s="560">
        <v>13</v>
      </c>
      <c r="P44" s="560">
        <v>16</v>
      </c>
      <c r="Q44" s="560">
        <v>13</v>
      </c>
      <c r="R44" s="560">
        <v>16</v>
      </c>
      <c r="S44" s="560">
        <v>2</v>
      </c>
      <c r="T44" s="560">
        <v>3116</v>
      </c>
      <c r="U44" s="560">
        <v>0</v>
      </c>
      <c r="V44" s="560">
        <v>0</v>
      </c>
      <c r="W44" s="560">
        <v>0</v>
      </c>
      <c r="X44" s="560">
        <v>0</v>
      </c>
      <c r="Y44" s="560">
        <v>0</v>
      </c>
      <c r="Z44" s="560">
        <v>0</v>
      </c>
      <c r="AA44" s="560">
        <v>0</v>
      </c>
      <c r="AB44" s="560">
        <v>0</v>
      </c>
      <c r="AC44" s="560">
        <v>55</v>
      </c>
      <c r="AD44" s="561">
        <v>2</v>
      </c>
      <c r="AE44" s="39" cm="1">
        <f t="array" ref="AE44">AC44-AD44</f>
        <v>53</v>
      </c>
      <c r="AF44" s="39">
        <v>44</v>
      </c>
      <c r="AG44" s="56" cm="1">
        <f t="array" ref="AG44">I44-AF44</f>
        <v>35</v>
      </c>
      <c r="AH44" s="56" cm="1">
        <f t="array" ref="AH44">AF44+AG44</f>
        <v>79</v>
      </c>
      <c r="AI44" s="562">
        <v>0</v>
      </c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121"/>
      <c r="AY44" s="121"/>
      <c r="AZ44" s="121"/>
      <c r="BA44" s="121"/>
      <c r="BB44" s="121"/>
      <c r="BC44" s="83"/>
      <c r="BD44" s="30"/>
      <c r="BE44" s="30"/>
      <c r="BF44" s="83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</row>
    <row r="45" ht="17.45" customHeight="1">
      <c r="A45" t="s" s="370">
        <v>1913</v>
      </c>
      <c r="B45" t="s" s="630">
        <v>3131</v>
      </c>
      <c r="C45" s="39">
        <v>16</v>
      </c>
      <c r="D45" t="s" s="556">
        <v>1914</v>
      </c>
      <c r="E45" s="16"/>
      <c r="F45" s="557">
        <v>11</v>
      </c>
      <c r="G45" s="558"/>
      <c r="H45" s="558"/>
      <c r="I45" s="707">
        <v>85</v>
      </c>
      <c r="J45" s="560">
        <v>46</v>
      </c>
      <c r="K45" s="560">
        <v>21</v>
      </c>
      <c r="L45" s="560">
        <v>13</v>
      </c>
      <c r="M45" s="560">
        <v>5</v>
      </c>
      <c r="N45" s="560">
        <v>16</v>
      </c>
      <c r="O45" s="560">
        <v>12</v>
      </c>
      <c r="P45" s="560">
        <v>16</v>
      </c>
      <c r="Q45" s="560">
        <v>8</v>
      </c>
      <c r="R45" s="560">
        <v>12</v>
      </c>
      <c r="S45" s="560">
        <v>21</v>
      </c>
      <c r="T45" s="560">
        <v>2573</v>
      </c>
      <c r="U45" s="560">
        <v>26</v>
      </c>
      <c r="V45" s="560">
        <v>37</v>
      </c>
      <c r="W45" s="560">
        <v>4</v>
      </c>
      <c r="X45" s="560">
        <v>255</v>
      </c>
      <c r="Y45" s="560">
        <v>40</v>
      </c>
      <c r="Z45" s="560">
        <v>34</v>
      </c>
      <c r="AA45" s="560">
        <v>0</v>
      </c>
      <c r="AB45" s="560">
        <v>0</v>
      </c>
      <c r="AC45" s="560">
        <v>39</v>
      </c>
      <c r="AD45" s="561">
        <v>4</v>
      </c>
      <c r="AE45" s="39" cm="1">
        <f t="array" ref="AE45">AC45-AD45</f>
        <v>35</v>
      </c>
      <c r="AF45" s="39">
        <v>35</v>
      </c>
      <c r="AG45" s="56" cm="1">
        <f t="array" ref="AG45">I45-AF45</f>
        <v>50</v>
      </c>
      <c r="AH45" s="56" cm="1">
        <f t="array" ref="AH45">AF45+AG45</f>
        <v>85</v>
      </c>
      <c r="AI45" s="562">
        <v>124</v>
      </c>
      <c r="AJ45" s="112" cm="1">
        <f t="array" ref="AJ45">AI45/C45</f>
        <v>7.75</v>
      </c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121"/>
      <c r="AY45" s="121"/>
      <c r="AZ45" s="121"/>
      <c r="BA45" s="121"/>
      <c r="BB45" s="121"/>
      <c r="BC45" s="83"/>
      <c r="BD45" s="30"/>
      <c r="BE45" s="30"/>
      <c r="BF45" s="83"/>
      <c r="BG45" s="30"/>
      <c r="BH45" s="30"/>
      <c r="BI45" s="30"/>
      <c r="BJ45" s="30"/>
      <c r="BK45" s="30"/>
      <c r="BL45" s="30"/>
      <c r="BM45" s="30"/>
      <c r="BN45" s="30"/>
      <c r="BO45" s="30"/>
      <c r="BP45" s="30"/>
      <c r="BQ45" s="30"/>
      <c r="BR45" s="30"/>
      <c r="BS45" s="30"/>
      <c r="BT45" s="30"/>
    </row>
    <row r="46" ht="15.35" customHeight="1">
      <c r="A46" t="s" s="370">
        <v>1913</v>
      </c>
      <c r="B46" t="s" s="630">
        <v>725</v>
      </c>
      <c r="C46" s="703">
        <v>15</v>
      </c>
      <c r="D46" t="s" s="371">
        <v>1914</v>
      </c>
      <c r="E46" s="273"/>
      <c r="F46" s="71"/>
      <c r="G46" s="716"/>
      <c r="H46" s="717"/>
      <c r="I46" s="72">
        <v>62</v>
      </c>
      <c r="J46" s="72">
        <v>34</v>
      </c>
      <c r="K46" s="72">
        <v>21</v>
      </c>
      <c r="L46" s="72">
        <v>4</v>
      </c>
      <c r="M46" s="72">
        <v>3</v>
      </c>
      <c r="N46" s="72">
        <v>14</v>
      </c>
      <c r="O46" s="72">
        <v>12</v>
      </c>
      <c r="P46" s="72">
        <v>7</v>
      </c>
      <c r="Q46" s="72">
        <v>4</v>
      </c>
      <c r="R46" s="72">
        <v>17</v>
      </c>
      <c r="S46" s="72">
        <v>8</v>
      </c>
      <c r="T46" s="72">
        <v>2199</v>
      </c>
      <c r="U46" s="72">
        <v>0</v>
      </c>
      <c r="V46" s="72">
        <v>0</v>
      </c>
      <c r="W46" s="72">
        <v>0</v>
      </c>
      <c r="X46" s="72">
        <v>0</v>
      </c>
      <c r="Y46" s="72">
        <v>0</v>
      </c>
      <c r="Z46" s="72">
        <v>0</v>
      </c>
      <c r="AA46" s="72">
        <v>0</v>
      </c>
      <c r="AB46" s="72">
        <v>0</v>
      </c>
      <c r="AC46" s="72">
        <v>29</v>
      </c>
      <c r="AD46" s="643">
        <v>3</v>
      </c>
      <c r="AE46" s="39" cm="1">
        <f t="array" ref="AE46">AC46-AD46</f>
        <v>26</v>
      </c>
      <c r="AF46" s="456">
        <v>23</v>
      </c>
      <c r="AG46" s="56" cm="1">
        <f t="array" ref="AG46">I46-AF46</f>
        <v>39</v>
      </c>
      <c r="AH46" s="56" cm="1">
        <f t="array" ref="AH46">AF46+AG46</f>
        <v>62</v>
      </c>
      <c r="AI46" s="376"/>
      <c r="AJ46" s="180"/>
      <c r="AK46" s="180"/>
      <c r="AL46" s="180"/>
      <c r="AM46" s="180"/>
      <c r="AN46" s="180"/>
      <c r="AO46" s="180"/>
      <c r="AP46" s="180"/>
      <c r="AQ46" s="180"/>
      <c r="AR46" s="180"/>
      <c r="AS46" s="180"/>
      <c r="AT46" s="180"/>
      <c r="AU46" s="180"/>
      <c r="AV46" s="180"/>
      <c r="AW46" s="180"/>
      <c r="AX46" s="180"/>
      <c r="AY46" s="180"/>
      <c r="AZ46" s="180"/>
      <c r="BA46" s="180"/>
      <c r="BB46" s="180"/>
      <c r="BC46" s="180"/>
      <c r="BD46" s="180"/>
      <c r="BE46" s="180"/>
      <c r="BF46" s="180"/>
      <c r="BG46" s="180"/>
      <c r="BH46" s="180"/>
      <c r="BI46" s="180"/>
      <c r="BJ46" s="180"/>
      <c r="BK46" s="180"/>
      <c r="BL46" s="180"/>
      <c r="BM46" s="180"/>
      <c r="BN46" s="180"/>
      <c r="BO46" s="180"/>
      <c r="BP46" s="180"/>
      <c r="BQ46" s="180"/>
      <c r="BR46" s="180"/>
      <c r="BS46" s="180"/>
      <c r="BT46" s="180"/>
    </row>
    <row r="47" ht="17.45" customHeight="1">
      <c r="A47" t="s" s="370">
        <v>2055</v>
      </c>
      <c r="B47" t="s" s="630">
        <v>3131</v>
      </c>
      <c r="C47" s="39">
        <v>4</v>
      </c>
      <c r="D47" t="s" s="556">
        <v>2056</v>
      </c>
      <c r="E47" s="16"/>
      <c r="F47" s="604">
        <v>3</v>
      </c>
      <c r="G47" s="718"/>
      <c r="H47" s="718"/>
      <c r="I47" s="719">
        <v>17</v>
      </c>
      <c r="J47" s="477">
        <v>9</v>
      </c>
      <c r="K47" s="477">
        <v>6</v>
      </c>
      <c r="L47" s="477">
        <v>0</v>
      </c>
      <c r="M47" s="477">
        <v>2</v>
      </c>
      <c r="N47" s="477">
        <v>3</v>
      </c>
      <c r="O47" s="477">
        <v>3</v>
      </c>
      <c r="P47" s="477">
        <v>0</v>
      </c>
      <c r="Q47" s="477">
        <v>5</v>
      </c>
      <c r="R47" s="477">
        <v>0</v>
      </c>
      <c r="S47" s="477">
        <v>6</v>
      </c>
      <c r="T47" s="477">
        <v>539</v>
      </c>
      <c r="U47" s="477">
        <v>6</v>
      </c>
      <c r="V47" s="477">
        <v>9</v>
      </c>
      <c r="W47" s="477">
        <v>0</v>
      </c>
      <c r="X47" s="477">
        <v>61</v>
      </c>
      <c r="Y47" s="477">
        <v>6</v>
      </c>
      <c r="Z47" s="477">
        <v>5</v>
      </c>
      <c r="AA47" s="466"/>
      <c r="AB47" s="466"/>
      <c r="AC47" s="477">
        <v>12</v>
      </c>
      <c r="AD47" s="607">
        <v>2</v>
      </c>
      <c r="AE47" s="39" cm="1">
        <f t="array" ref="AE47">AC47-AD47</f>
        <v>10</v>
      </c>
      <c r="AF47" s="608">
        <v>8</v>
      </c>
      <c r="AG47" s="56" cm="1">
        <f t="array" ref="AG47">I47-AF47</f>
        <v>9</v>
      </c>
      <c r="AH47" s="56" cm="1">
        <f t="array" ref="AH47">AF47+AG47</f>
        <v>17</v>
      </c>
      <c r="AI47" s="562">
        <v>37</v>
      </c>
      <c r="AJ47" s="112" cm="1">
        <f t="array" ref="AJ47">AI47/C47</f>
        <v>9.25</v>
      </c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  <c r="AV47" s="30"/>
      <c r="AW47" s="30"/>
      <c r="AX47" s="121"/>
      <c r="AY47" s="121"/>
      <c r="AZ47" s="121"/>
      <c r="BA47" s="121"/>
      <c r="BB47" s="121"/>
      <c r="BC47" s="83"/>
      <c r="BD47" s="30"/>
      <c r="BE47" s="30"/>
      <c r="BF47" s="83"/>
      <c r="BG47" s="30"/>
      <c r="BH47" s="30"/>
      <c r="BI47" s="30"/>
      <c r="BJ47" s="30"/>
      <c r="BK47" s="30"/>
      <c r="BL47" s="30"/>
      <c r="BM47" s="30"/>
      <c r="BN47" s="30"/>
      <c r="BO47" s="30"/>
      <c r="BP47" s="30"/>
      <c r="BQ47" s="30"/>
      <c r="BR47" s="30"/>
      <c r="BS47" s="30"/>
      <c r="BT47" s="30"/>
    </row>
    <row r="48" ht="17.45" customHeight="1">
      <c r="A48" t="s" s="370">
        <v>2055</v>
      </c>
      <c r="B48" t="s" s="630">
        <v>725</v>
      </c>
      <c r="C48" s="39">
        <v>3</v>
      </c>
      <c r="D48" t="s" s="556">
        <v>2056</v>
      </c>
      <c r="E48" s="16"/>
      <c r="F48" s="715"/>
      <c r="G48" s="558"/>
      <c r="H48" s="558"/>
      <c r="I48" s="707">
        <v>11</v>
      </c>
      <c r="J48" s="560">
        <v>6</v>
      </c>
      <c r="K48" s="560">
        <v>3</v>
      </c>
      <c r="L48" s="560">
        <v>2</v>
      </c>
      <c r="M48" s="560">
        <v>0</v>
      </c>
      <c r="N48" s="560">
        <v>3</v>
      </c>
      <c r="O48" s="560">
        <v>2</v>
      </c>
      <c r="P48" s="560">
        <v>2</v>
      </c>
      <c r="Q48" s="560">
        <v>0</v>
      </c>
      <c r="R48" s="560">
        <v>0</v>
      </c>
      <c r="S48" s="560">
        <v>4</v>
      </c>
      <c r="T48" s="560">
        <v>366</v>
      </c>
      <c r="U48" s="560">
        <v>0</v>
      </c>
      <c r="V48" s="560">
        <v>0</v>
      </c>
      <c r="W48" s="560">
        <v>0</v>
      </c>
      <c r="X48" s="560">
        <v>0</v>
      </c>
      <c r="Y48" s="560">
        <v>0</v>
      </c>
      <c r="Z48" s="560">
        <v>0</v>
      </c>
      <c r="AA48" s="560">
        <v>0</v>
      </c>
      <c r="AB48" s="560">
        <v>0</v>
      </c>
      <c r="AC48" s="560">
        <v>6</v>
      </c>
      <c r="AD48" s="561">
        <v>1</v>
      </c>
      <c r="AE48" s="39" cm="1">
        <f t="array" ref="AE48">AC48-AD48</f>
        <v>5</v>
      </c>
      <c r="AF48" s="39">
        <v>5</v>
      </c>
      <c r="AG48" s="56" cm="1">
        <f t="array" ref="AG48">I48-AF48</f>
        <v>6</v>
      </c>
      <c r="AH48" s="56" cm="1">
        <f t="array" ref="AH48">AF48+AG48</f>
        <v>11</v>
      </c>
      <c r="AI48" s="665">
        <v>0</v>
      </c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121"/>
      <c r="AY48" s="121"/>
      <c r="AZ48" s="121"/>
      <c r="BA48" s="121"/>
      <c r="BB48" s="121"/>
      <c r="BC48" s="83"/>
      <c r="BD48" s="30"/>
      <c r="BE48" s="30"/>
      <c r="BF48" s="83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</row>
    <row r="49" ht="17.45" customHeight="1">
      <c r="A49" t="s" s="370">
        <v>2079</v>
      </c>
      <c r="B49" t="s" s="630">
        <v>3131</v>
      </c>
      <c r="C49" s="39">
        <v>15</v>
      </c>
      <c r="D49" t="s" s="556">
        <v>2080</v>
      </c>
      <c r="E49" s="16"/>
      <c r="F49" s="557">
        <v>11</v>
      </c>
      <c r="G49" s="558"/>
      <c r="H49" s="558"/>
      <c r="I49" s="707">
        <v>72</v>
      </c>
      <c r="J49" s="560">
        <v>54</v>
      </c>
      <c r="K49" s="560">
        <v>14</v>
      </c>
      <c r="L49" s="560">
        <v>2</v>
      </c>
      <c r="M49" s="560">
        <v>2</v>
      </c>
      <c r="N49" s="560">
        <v>17</v>
      </c>
      <c r="O49" s="560">
        <v>9</v>
      </c>
      <c r="P49" s="560">
        <v>3</v>
      </c>
      <c r="Q49" s="560">
        <v>2</v>
      </c>
      <c r="R49" s="560">
        <v>7</v>
      </c>
      <c r="S49" s="560">
        <v>34</v>
      </c>
      <c r="T49" s="560">
        <v>2577</v>
      </c>
      <c r="U49" s="560">
        <v>18</v>
      </c>
      <c r="V49" s="560">
        <v>46</v>
      </c>
      <c r="W49" s="560">
        <v>4</v>
      </c>
      <c r="X49" s="560">
        <v>0</v>
      </c>
      <c r="Y49" s="560">
        <v>0</v>
      </c>
      <c r="Z49" s="560">
        <v>0</v>
      </c>
      <c r="AA49" s="560">
        <v>0</v>
      </c>
      <c r="AB49" s="560">
        <v>0</v>
      </c>
      <c r="AC49" s="560">
        <v>46</v>
      </c>
      <c r="AD49" s="561">
        <v>0</v>
      </c>
      <c r="AE49" s="39" cm="1">
        <f t="array" ref="AE49">AC49-AD49</f>
        <v>46</v>
      </c>
      <c r="AF49" s="39">
        <v>32</v>
      </c>
      <c r="AG49" s="56" cm="1">
        <f t="array" ref="AG49">I49-AF49</f>
        <v>40</v>
      </c>
      <c r="AH49" s="56" cm="1">
        <f t="array" ref="AH49">AF49+AG49</f>
        <v>72</v>
      </c>
      <c r="AI49" s="541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121"/>
      <c r="AY49" s="121"/>
      <c r="AZ49" s="121"/>
      <c r="BA49" s="121"/>
      <c r="BB49" s="121"/>
      <c r="BC49" s="83"/>
      <c r="BD49" s="30"/>
      <c r="BE49" s="30"/>
      <c r="BF49" s="83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</row>
    <row r="50" ht="15.35" customHeight="1">
      <c r="A50" t="s" s="370">
        <v>2079</v>
      </c>
      <c r="B50" t="s" s="630">
        <v>725</v>
      </c>
      <c r="C50" s="703">
        <v>17</v>
      </c>
      <c r="D50" t="s" s="371">
        <v>2080</v>
      </c>
      <c r="E50" s="273"/>
      <c r="F50" s="71"/>
      <c r="G50" s="716"/>
      <c r="H50" s="717"/>
      <c r="I50" s="72">
        <v>71</v>
      </c>
      <c r="J50" s="72">
        <v>51</v>
      </c>
      <c r="K50" s="72">
        <v>17</v>
      </c>
      <c r="L50" s="72">
        <v>2</v>
      </c>
      <c r="M50" s="72">
        <v>1</v>
      </c>
      <c r="N50" s="72">
        <v>17</v>
      </c>
      <c r="O50" s="72">
        <v>9</v>
      </c>
      <c r="P50" s="72">
        <v>8</v>
      </c>
      <c r="Q50" s="72">
        <v>2</v>
      </c>
      <c r="R50" s="72">
        <v>11</v>
      </c>
      <c r="S50" s="72">
        <v>24</v>
      </c>
      <c r="T50" s="72">
        <v>2585</v>
      </c>
      <c r="U50" s="72">
        <v>0</v>
      </c>
      <c r="V50" s="72">
        <v>0</v>
      </c>
      <c r="W50" s="72">
        <v>0</v>
      </c>
      <c r="X50" s="72">
        <v>0</v>
      </c>
      <c r="Y50" s="72">
        <v>0</v>
      </c>
      <c r="Z50" s="72">
        <v>0</v>
      </c>
      <c r="AA50" s="72">
        <v>0</v>
      </c>
      <c r="AB50" s="72">
        <v>0</v>
      </c>
      <c r="AC50" s="72">
        <v>44</v>
      </c>
      <c r="AD50" s="643">
        <v>2</v>
      </c>
      <c r="AE50" s="39" cm="1">
        <f t="array" ref="AE50">AC50-AD50</f>
        <v>42</v>
      </c>
      <c r="AF50" s="39">
        <v>31</v>
      </c>
      <c r="AG50" s="56" cm="1">
        <f t="array" ref="AG50">I50-AF50</f>
        <v>40</v>
      </c>
      <c r="AH50" s="56" cm="1">
        <f t="array" ref="AH50">AF50+AG50</f>
        <v>71</v>
      </c>
      <c r="AI50" s="602">
        <v>0</v>
      </c>
      <c r="AJ50" s="127">
        <v>0</v>
      </c>
      <c r="AK50" s="127">
        <v>0</v>
      </c>
      <c r="AL50" s="127">
        <v>0</v>
      </c>
      <c r="AM50" s="127">
        <v>0</v>
      </c>
      <c r="AN50" s="127">
        <v>0</v>
      </c>
      <c r="AO50" s="127">
        <v>0</v>
      </c>
      <c r="AP50" s="127">
        <v>0</v>
      </c>
      <c r="AQ50" s="127">
        <v>0</v>
      </c>
      <c r="AR50" s="127">
        <v>0</v>
      </c>
      <c r="AS50" s="127">
        <v>0</v>
      </c>
      <c r="AT50" s="127">
        <v>0</v>
      </c>
      <c r="AU50" s="127">
        <v>0</v>
      </c>
      <c r="AV50" s="127">
        <v>0</v>
      </c>
      <c r="AW50" s="127">
        <v>0</v>
      </c>
      <c r="AX50" s="127">
        <v>0</v>
      </c>
      <c r="AY50" s="127">
        <v>0</v>
      </c>
      <c r="AZ50" s="127">
        <v>0</v>
      </c>
      <c r="BA50" s="127">
        <v>0</v>
      </c>
      <c r="BB50" s="127">
        <v>0</v>
      </c>
      <c r="BC50" s="127">
        <v>0</v>
      </c>
      <c r="BD50" s="127">
        <v>0</v>
      </c>
      <c r="BE50" s="180"/>
      <c r="BF50" s="180"/>
      <c r="BG50" s="180"/>
      <c r="BH50" s="180"/>
      <c r="BI50" s="180"/>
      <c r="BJ50" s="180"/>
      <c r="BK50" s="180"/>
      <c r="BL50" s="180"/>
      <c r="BM50" s="180"/>
      <c r="BN50" s="180"/>
      <c r="BO50" s="180"/>
      <c r="BP50" s="180"/>
      <c r="BQ50" s="180"/>
      <c r="BR50" s="180"/>
      <c r="BS50" s="180"/>
      <c r="BT50" s="180"/>
    </row>
    <row r="51" ht="17.45" customHeight="1">
      <c r="A51" t="s" s="370">
        <v>2208</v>
      </c>
      <c r="B51" t="s" s="630">
        <v>3131</v>
      </c>
      <c r="C51" s="39">
        <v>15</v>
      </c>
      <c r="D51" t="s" s="556">
        <v>2206</v>
      </c>
      <c r="E51" s="16"/>
      <c r="F51" s="604">
        <v>11</v>
      </c>
      <c r="G51" s="718"/>
      <c r="H51" s="718"/>
      <c r="I51" s="719">
        <v>68</v>
      </c>
      <c r="J51" s="477">
        <v>41</v>
      </c>
      <c r="K51" s="477">
        <v>18</v>
      </c>
      <c r="L51" s="477">
        <v>6</v>
      </c>
      <c r="M51" s="477">
        <v>3</v>
      </c>
      <c r="N51" s="477">
        <v>17</v>
      </c>
      <c r="O51" s="477">
        <v>5</v>
      </c>
      <c r="P51" s="477">
        <v>6</v>
      </c>
      <c r="Q51" s="477">
        <v>5</v>
      </c>
      <c r="R51" s="477">
        <v>6</v>
      </c>
      <c r="S51" s="477">
        <v>29</v>
      </c>
      <c r="T51" s="477">
        <v>2163</v>
      </c>
      <c r="U51" s="477">
        <v>15</v>
      </c>
      <c r="V51" s="477">
        <v>38</v>
      </c>
      <c r="W51" s="477">
        <v>6</v>
      </c>
      <c r="X51" s="477">
        <v>0</v>
      </c>
      <c r="Y51" s="477">
        <v>0</v>
      </c>
      <c r="Z51" s="477">
        <v>0</v>
      </c>
      <c r="AA51" s="477">
        <v>0</v>
      </c>
      <c r="AB51" s="477">
        <v>0</v>
      </c>
      <c r="AC51" s="477">
        <v>45</v>
      </c>
      <c r="AD51" s="477">
        <v>0</v>
      </c>
      <c r="AE51" s="561">
        <v>45</v>
      </c>
      <c r="AF51" s="39">
        <v>42</v>
      </c>
      <c r="AG51" s="56" cm="1">
        <f t="array" ref="AG51">I51-AF51</f>
        <v>26</v>
      </c>
      <c r="AH51" s="56" cm="1">
        <f t="array" ref="AH51">AF51+AG51</f>
        <v>68</v>
      </c>
      <c r="AI51" s="545" cm="1">
        <f t="array" ref="AI51">AG51+AH51</f>
        <v>94</v>
      </c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121"/>
      <c r="AY51" s="121"/>
      <c r="AZ51" s="121"/>
      <c r="BA51" s="121"/>
      <c r="BB51" s="121"/>
      <c r="BC51" s="83"/>
      <c r="BD51" s="30"/>
      <c r="BE51" s="30"/>
      <c r="BF51" s="83"/>
      <c r="BG51" s="30"/>
      <c r="BH51" s="30"/>
      <c r="BI51" s="30"/>
      <c r="BJ51" s="30"/>
      <c r="BK51" s="30"/>
      <c r="BL51" s="30"/>
      <c r="BM51" s="30"/>
      <c r="BN51" s="30"/>
      <c r="BO51" s="30"/>
      <c r="BP51" s="30"/>
      <c r="BQ51" s="30"/>
      <c r="BR51" s="30"/>
      <c r="BS51" s="30"/>
      <c r="BT51" s="30"/>
    </row>
    <row r="52" ht="17.45" customHeight="1">
      <c r="A52" t="s" s="370">
        <v>2208</v>
      </c>
      <c r="B52" s="281">
        <v>1921</v>
      </c>
      <c r="C52" s="39">
        <v>15</v>
      </c>
      <c r="D52" t="s" s="556">
        <v>2206</v>
      </c>
      <c r="E52" s="16"/>
      <c r="F52" s="715"/>
      <c r="G52" s="558"/>
      <c r="H52" s="558"/>
      <c r="I52" s="707">
        <v>72</v>
      </c>
      <c r="J52" s="560">
        <v>40</v>
      </c>
      <c r="K52" s="560">
        <v>26</v>
      </c>
      <c r="L52" s="560">
        <v>4</v>
      </c>
      <c r="M52" s="560">
        <v>2</v>
      </c>
      <c r="N52" s="560">
        <v>16</v>
      </c>
      <c r="O52" s="560">
        <v>12</v>
      </c>
      <c r="P52" s="560">
        <v>5</v>
      </c>
      <c r="Q52" s="560">
        <v>9</v>
      </c>
      <c r="R52" s="560">
        <v>8</v>
      </c>
      <c r="S52" s="560">
        <v>22</v>
      </c>
      <c r="T52" s="560">
        <v>2724</v>
      </c>
      <c r="U52" s="560">
        <v>0</v>
      </c>
      <c r="V52" s="560">
        <v>0</v>
      </c>
      <c r="W52" s="560">
        <v>0</v>
      </c>
      <c r="X52" s="560">
        <v>0</v>
      </c>
      <c r="Y52" s="560">
        <v>0</v>
      </c>
      <c r="Z52" s="560">
        <v>0</v>
      </c>
      <c r="AA52" s="560">
        <v>0</v>
      </c>
      <c r="AB52" s="560">
        <v>0</v>
      </c>
      <c r="AC52" s="560">
        <v>43</v>
      </c>
      <c r="AD52" s="561">
        <v>6</v>
      </c>
      <c r="AE52" s="39" cm="1">
        <f t="array" ref="AE52">AC52-AD52</f>
        <v>37</v>
      </c>
      <c r="AF52" s="39">
        <v>35</v>
      </c>
      <c r="AG52" s="56" cm="1">
        <f t="array" ref="AG52">I52-AF52</f>
        <v>37</v>
      </c>
      <c r="AH52" s="56" cm="1">
        <f t="array" ref="AH52">AF52+AG52</f>
        <v>72</v>
      </c>
      <c r="AI52" s="720">
        <v>0</v>
      </c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121"/>
      <c r="AY52" s="121"/>
      <c r="AZ52" s="121"/>
      <c r="BA52" s="121"/>
      <c r="BB52" s="121"/>
      <c r="BC52" s="83"/>
      <c r="BD52" s="30"/>
      <c r="BE52" s="30"/>
      <c r="BF52" s="83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0"/>
      <c r="BR52" s="30"/>
      <c r="BS52" s="30"/>
      <c r="BT52" s="30"/>
    </row>
    <row r="53" ht="17.45" customHeight="1">
      <c r="A53" t="s" s="370">
        <v>2329</v>
      </c>
      <c r="B53" t="s" s="630">
        <v>3131</v>
      </c>
      <c r="C53" s="39">
        <v>7</v>
      </c>
      <c r="D53" t="s" s="556">
        <v>2330</v>
      </c>
      <c r="E53" s="16"/>
      <c r="F53" s="557">
        <v>9</v>
      </c>
      <c r="G53" s="558"/>
      <c r="H53" s="558"/>
      <c r="I53" s="707">
        <v>37</v>
      </c>
      <c r="J53" s="560">
        <v>21</v>
      </c>
      <c r="K53" s="560">
        <v>11</v>
      </c>
      <c r="L53" s="560">
        <v>4</v>
      </c>
      <c r="M53" s="560">
        <v>1</v>
      </c>
      <c r="N53" s="560">
        <v>6</v>
      </c>
      <c r="O53" s="560">
        <v>4</v>
      </c>
      <c r="P53" s="560">
        <v>6</v>
      </c>
      <c r="Q53" s="560">
        <v>4</v>
      </c>
      <c r="R53" s="560">
        <v>7</v>
      </c>
      <c r="S53" s="560">
        <v>10</v>
      </c>
      <c r="T53" s="560">
        <v>1144</v>
      </c>
      <c r="U53" s="560">
        <v>11</v>
      </c>
      <c r="V53" s="560">
        <v>18</v>
      </c>
      <c r="W53" s="560">
        <v>3</v>
      </c>
      <c r="X53" s="560">
        <v>0</v>
      </c>
      <c r="Y53" s="560">
        <v>0</v>
      </c>
      <c r="Z53" s="560">
        <v>0</v>
      </c>
      <c r="AA53" s="560">
        <v>0</v>
      </c>
      <c r="AB53" s="560">
        <v>0</v>
      </c>
      <c r="AC53" s="560">
        <v>20</v>
      </c>
      <c r="AD53" s="561">
        <v>0</v>
      </c>
      <c r="AE53" s="39" cm="1">
        <f t="array" ref="AE53">AC53-AD53</f>
        <v>20</v>
      </c>
      <c r="AF53" s="39">
        <v>16</v>
      </c>
      <c r="AG53" s="56" cm="1">
        <f t="array" ref="AG53">I53-AF53</f>
        <v>21</v>
      </c>
      <c r="AH53" s="56" cm="1">
        <f t="array" ref="AH53">AF53+AG53</f>
        <v>37</v>
      </c>
      <c r="AI53" s="541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121"/>
      <c r="AY53" s="121"/>
      <c r="AZ53" s="121"/>
      <c r="BA53" s="121"/>
      <c r="BB53" s="121"/>
      <c r="BC53" s="83"/>
      <c r="BD53" s="30"/>
      <c r="BE53" s="30"/>
      <c r="BF53" s="83"/>
      <c r="BG53" s="30"/>
      <c r="BH53" s="30"/>
      <c r="BI53" s="30"/>
      <c r="BJ53" s="30"/>
      <c r="BK53" s="30"/>
      <c r="BL53" s="30"/>
      <c r="BM53" s="30"/>
      <c r="BN53" s="30"/>
      <c r="BO53" s="30"/>
      <c r="BP53" s="30"/>
      <c r="BQ53" s="30"/>
      <c r="BR53" s="30"/>
      <c r="BS53" s="30"/>
      <c r="BT53" s="30"/>
    </row>
    <row r="54" ht="17.45" customHeight="1">
      <c r="A54" t="s" s="721">
        <v>2329</v>
      </c>
      <c r="B54" s="684">
        <v>1921</v>
      </c>
      <c r="C54" s="569">
        <v>8</v>
      </c>
      <c r="D54" t="s" s="721">
        <v>2330</v>
      </c>
      <c r="E54" s="16"/>
      <c r="F54" s="722"/>
      <c r="G54" s="567"/>
      <c r="H54" s="567"/>
      <c r="I54" s="723">
        <v>31</v>
      </c>
      <c r="J54" s="569">
        <v>20</v>
      </c>
      <c r="K54" s="569">
        <v>6</v>
      </c>
      <c r="L54" s="569">
        <v>3</v>
      </c>
      <c r="M54" s="569">
        <v>2</v>
      </c>
      <c r="N54" s="569">
        <v>8</v>
      </c>
      <c r="O54" s="569">
        <v>5</v>
      </c>
      <c r="P54" s="569">
        <v>4</v>
      </c>
      <c r="Q54" s="569">
        <v>2</v>
      </c>
      <c r="R54" s="569">
        <v>2</v>
      </c>
      <c r="S54" s="569">
        <v>10</v>
      </c>
      <c r="T54" s="569">
        <v>1029</v>
      </c>
      <c r="U54" s="569">
        <v>0</v>
      </c>
      <c r="V54" s="569">
        <v>0</v>
      </c>
      <c r="W54" s="569">
        <v>0</v>
      </c>
      <c r="X54" s="569">
        <v>0</v>
      </c>
      <c r="Y54" s="569">
        <v>0</v>
      </c>
      <c r="Z54" s="569">
        <v>0</v>
      </c>
      <c r="AA54" s="569">
        <v>0</v>
      </c>
      <c r="AB54" s="569">
        <v>0</v>
      </c>
      <c r="AC54" s="569">
        <v>17</v>
      </c>
      <c r="AD54" s="570">
        <v>2</v>
      </c>
      <c r="AE54" s="39" cm="1">
        <f t="array" ref="AE54">AC54-AD54</f>
        <v>15</v>
      </c>
      <c r="AF54" s="139">
        <v>7</v>
      </c>
      <c r="AG54" s="56" cm="1">
        <f t="array" ref="AG54">I54-AF54</f>
        <v>24</v>
      </c>
      <c r="AH54" s="56" cm="1">
        <f t="array" ref="AH54">AF54+AG54</f>
        <v>31</v>
      </c>
      <c r="AI54" s="724">
        <v>0</v>
      </c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121"/>
      <c r="AY54" s="121"/>
      <c r="AZ54" s="121"/>
      <c r="BA54" s="121"/>
      <c r="BB54" s="121"/>
      <c r="BC54" s="153"/>
      <c r="BD54" s="62"/>
      <c r="BE54" s="62"/>
      <c r="BF54" s="98"/>
      <c r="BG54" s="62"/>
      <c r="BH54" s="62"/>
      <c r="BI54" s="62"/>
      <c r="BJ54" s="62"/>
      <c r="BK54" s="62"/>
      <c r="BL54" s="62"/>
      <c r="BM54" s="62"/>
      <c r="BN54" s="62"/>
      <c r="BO54" s="62"/>
      <c r="BP54" s="62"/>
      <c r="BQ54" s="62"/>
      <c r="BR54" s="62"/>
      <c r="BS54" s="62"/>
      <c r="BT54" s="62"/>
    </row>
    <row r="55" ht="15.35" customHeight="1">
      <c r="A55" t="s" s="725">
        <v>2391</v>
      </c>
      <c r="B55" t="s" s="691">
        <v>3131</v>
      </c>
      <c r="C55" s="113">
        <v>2</v>
      </c>
      <c r="D55" t="s" s="82">
        <v>3152</v>
      </c>
      <c r="E55" s="122"/>
      <c r="F55" s="113">
        <v>2</v>
      </c>
      <c r="G55" s="726"/>
      <c r="H55" s="726"/>
      <c r="I55" s="174">
        <v>9</v>
      </c>
      <c r="J55" s="113">
        <v>6</v>
      </c>
      <c r="K55" s="113">
        <v>3</v>
      </c>
      <c r="L55" s="113">
        <v>0</v>
      </c>
      <c r="M55" s="113">
        <v>0</v>
      </c>
      <c r="N55" s="113">
        <v>2</v>
      </c>
      <c r="O55" s="113">
        <v>0</v>
      </c>
      <c r="P55" s="113">
        <v>0</v>
      </c>
      <c r="Q55" s="113">
        <v>0</v>
      </c>
      <c r="R55" s="113">
        <v>2</v>
      </c>
      <c r="S55" s="113">
        <v>5</v>
      </c>
      <c r="T55" s="113">
        <v>342</v>
      </c>
      <c r="U55" s="113">
        <v>3</v>
      </c>
      <c r="V55" s="113">
        <v>6</v>
      </c>
      <c r="W55" s="113">
        <v>0</v>
      </c>
      <c r="X55" s="113">
        <v>0</v>
      </c>
      <c r="Y55" s="113">
        <v>0</v>
      </c>
      <c r="Z55" s="113">
        <v>0</v>
      </c>
      <c r="AA55" s="113">
        <v>0</v>
      </c>
      <c r="AB55" s="113">
        <v>0</v>
      </c>
      <c r="AC55" s="113">
        <v>7</v>
      </c>
      <c r="AD55" s="727">
        <v>0</v>
      </c>
      <c r="AE55" s="545" cm="1">
        <f t="array" ref="AE55">AC55-AD55</f>
        <v>7</v>
      </c>
      <c r="AF55" s="727">
        <v>2</v>
      </c>
      <c r="AG55" s="56" cm="1">
        <f t="array" ref="AG55">I55-AF55</f>
        <v>7</v>
      </c>
      <c r="AH55" s="545" cm="1">
        <f t="array" ref="AH55">AF55+AG55</f>
        <v>9</v>
      </c>
      <c r="AI55" s="115"/>
      <c r="AJ55" s="115"/>
      <c r="AK55" s="115"/>
      <c r="AL55" s="115"/>
      <c r="AM55" s="115"/>
      <c r="AN55" s="115"/>
      <c r="AO55" s="115"/>
      <c r="AP55" s="115"/>
      <c r="AQ55" s="115"/>
      <c r="AR55" s="115"/>
      <c r="AS55" s="115"/>
      <c r="AT55" s="115"/>
      <c r="AU55" s="115"/>
      <c r="AV55" s="115"/>
      <c r="AW55" s="115"/>
      <c r="AX55" s="115"/>
      <c r="AY55" s="115"/>
      <c r="AZ55" s="115"/>
      <c r="BA55" s="115"/>
      <c r="BB55" s="115"/>
      <c r="BC55" s="74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16"/>
      <c r="BQ55" s="16"/>
      <c r="BR55" s="16"/>
      <c r="BS55" s="16"/>
      <c r="BT55" s="16"/>
    </row>
    <row r="56" ht="15.35" customHeight="1">
      <c r="A56" t="s" s="603">
        <v>2391</v>
      </c>
      <c r="B56" s="684">
        <v>2021</v>
      </c>
      <c r="C56" s="477">
        <v>2</v>
      </c>
      <c r="D56" t="s" s="603">
        <v>2392</v>
      </c>
      <c r="E56" s="466"/>
      <c r="F56" s="728"/>
      <c r="G56" s="718"/>
      <c r="H56" s="718"/>
      <c r="I56" s="719">
        <v>11</v>
      </c>
      <c r="J56" s="477">
        <v>8</v>
      </c>
      <c r="K56" s="477">
        <v>2</v>
      </c>
      <c r="L56" s="477">
        <v>0</v>
      </c>
      <c r="M56" s="477">
        <v>1</v>
      </c>
      <c r="N56" s="477">
        <v>2</v>
      </c>
      <c r="O56" s="477">
        <v>1</v>
      </c>
      <c r="P56" s="477">
        <v>0</v>
      </c>
      <c r="Q56" s="477">
        <v>1</v>
      </c>
      <c r="R56" s="477">
        <v>3</v>
      </c>
      <c r="S56" s="477">
        <v>4</v>
      </c>
      <c r="T56" s="477">
        <v>446</v>
      </c>
      <c r="U56" s="477">
        <v>0</v>
      </c>
      <c r="V56" s="477">
        <v>0</v>
      </c>
      <c r="W56" s="477">
        <v>0</v>
      </c>
      <c r="X56" s="477">
        <v>0</v>
      </c>
      <c r="Y56" s="477">
        <v>0</v>
      </c>
      <c r="Z56" s="477">
        <v>0</v>
      </c>
      <c r="AA56" s="477">
        <v>0</v>
      </c>
      <c r="AB56" s="477">
        <v>0</v>
      </c>
      <c r="AC56" s="477">
        <v>6</v>
      </c>
      <c r="AD56" s="607">
        <v>2</v>
      </c>
      <c r="AE56" s="39" cm="1">
        <f t="array" ref="AE56">AC56-AD56</f>
        <v>4</v>
      </c>
      <c r="AF56" s="608">
        <v>3</v>
      </c>
      <c r="AG56" s="56" cm="1">
        <f t="array" ref="AG56">I56-AF56</f>
        <v>8</v>
      </c>
      <c r="AH56" s="56" cm="1">
        <f t="array" ref="AH56">AF56+AG56</f>
        <v>11</v>
      </c>
      <c r="AI56" s="465"/>
      <c r="AJ56" s="466"/>
      <c r="AK56" s="466"/>
      <c r="AL56" s="466"/>
      <c r="AM56" s="466"/>
      <c r="AN56" s="466"/>
      <c r="AO56" s="466"/>
      <c r="AP56" s="466"/>
      <c r="AQ56" s="466"/>
      <c r="AR56" s="466"/>
      <c r="AS56" s="466"/>
      <c r="AT56" s="466"/>
      <c r="AU56" s="466"/>
      <c r="AV56" s="466"/>
      <c r="AW56" s="466"/>
      <c r="AX56" s="466"/>
      <c r="AY56" s="466"/>
      <c r="AZ56" s="466"/>
      <c r="BA56" s="466"/>
      <c r="BB56" s="466"/>
      <c r="BC56" s="466"/>
      <c r="BD56" s="466"/>
      <c r="BE56" s="466"/>
      <c r="BF56" s="466"/>
      <c r="BG56" s="466"/>
      <c r="BH56" s="466"/>
      <c r="BI56" s="466"/>
      <c r="BJ56" s="466"/>
      <c r="BK56" s="466"/>
      <c r="BL56" s="466"/>
      <c r="BM56" s="466"/>
      <c r="BN56" s="466"/>
      <c r="BO56" s="466"/>
      <c r="BP56" s="466"/>
      <c r="BQ56" s="466"/>
      <c r="BR56" s="466"/>
      <c r="BS56" s="466"/>
      <c r="BT56" s="466"/>
    </row>
    <row r="57" ht="15.35" customHeight="1">
      <c r="A57" t="s" s="37">
        <v>3153</v>
      </c>
      <c r="B57" t="s" s="710">
        <v>3131</v>
      </c>
      <c r="C57" s="39">
        <v>4</v>
      </c>
      <c r="D57" t="s" s="37">
        <v>3154</v>
      </c>
      <c r="E57" s="32"/>
      <c r="F57" s="39">
        <v>3</v>
      </c>
      <c r="G57" s="531"/>
      <c r="H57" s="531"/>
      <c r="I57" s="56">
        <v>20</v>
      </c>
      <c r="J57" s="39">
        <v>10</v>
      </c>
      <c r="K57" s="39">
        <v>8</v>
      </c>
      <c r="L57" s="39">
        <v>1</v>
      </c>
      <c r="M57" s="39">
        <v>1</v>
      </c>
      <c r="N57" s="39">
        <v>3</v>
      </c>
      <c r="O57" s="39">
        <v>3</v>
      </c>
      <c r="P57" s="39">
        <v>4</v>
      </c>
      <c r="Q57" s="39">
        <v>3</v>
      </c>
      <c r="R57" s="39">
        <v>1</v>
      </c>
      <c r="S57" s="39">
        <v>6</v>
      </c>
      <c r="T57" s="39">
        <v>696</v>
      </c>
      <c r="U57" s="39">
        <v>6</v>
      </c>
      <c r="V57" s="39">
        <v>12</v>
      </c>
      <c r="W57" s="39">
        <v>0</v>
      </c>
      <c r="X57" s="39">
        <v>0</v>
      </c>
      <c r="Y57" s="39">
        <v>0</v>
      </c>
      <c r="Z57" s="39">
        <v>0</v>
      </c>
      <c r="AA57" s="39">
        <v>0</v>
      </c>
      <c r="AB57" s="39">
        <v>0</v>
      </c>
      <c r="AC57" s="39">
        <v>13</v>
      </c>
      <c r="AD57" s="39">
        <v>0</v>
      </c>
      <c r="AE57" s="39" cm="1">
        <f t="array" ref="AE57">AC57-AD57</f>
        <v>13</v>
      </c>
      <c r="AF57" s="39">
        <v>11</v>
      </c>
      <c r="AG57" s="56" cm="1">
        <f t="array" ref="AG57">I57-AF57</f>
        <v>9</v>
      </c>
      <c r="AH57" s="56" cm="1">
        <f t="array" ref="AH57">AF57+AG57</f>
        <v>20</v>
      </c>
      <c r="AI57" s="578"/>
      <c r="AJ57" s="563"/>
      <c r="AK57" s="563"/>
      <c r="AL57" s="563"/>
      <c r="AM57" s="563"/>
      <c r="AN57" s="563"/>
      <c r="AO57" s="563"/>
      <c r="AP57" s="563"/>
      <c r="AQ57" s="563"/>
      <c r="AR57" s="563"/>
      <c r="AS57" s="563"/>
      <c r="AT57" s="563"/>
      <c r="AU57" s="563"/>
      <c r="AV57" s="563"/>
      <c r="AW57" s="563"/>
      <c r="AX57" s="563"/>
      <c r="AY57" s="563"/>
      <c r="AZ57" s="563"/>
      <c r="BA57" s="563"/>
      <c r="BB57" s="563"/>
      <c r="BC57" s="563"/>
      <c r="BD57" s="563"/>
      <c r="BE57" s="563"/>
      <c r="BF57" s="563"/>
      <c r="BG57" s="563"/>
      <c r="BH57" s="563"/>
      <c r="BI57" s="563"/>
      <c r="BJ57" s="563"/>
      <c r="BK57" s="563"/>
      <c r="BL57" s="563"/>
      <c r="BM57" s="563"/>
      <c r="BN57" s="563"/>
      <c r="BO57" s="563"/>
      <c r="BP57" s="563"/>
      <c r="BQ57" s="563"/>
      <c r="BR57" s="563"/>
      <c r="BS57" s="563"/>
      <c r="BT57" s="563"/>
    </row>
    <row r="58" ht="15.35" customHeight="1">
      <c r="A58" s="37"/>
      <c r="B58" t="s" s="729">
        <v>725</v>
      </c>
      <c r="C58" s="730"/>
      <c r="D58" s="730"/>
      <c r="E58" s="730"/>
      <c r="F58" s="731"/>
      <c r="G58" s="531"/>
      <c r="H58" s="56"/>
      <c r="I58" s="56"/>
      <c r="J58" s="712"/>
      <c r="K58" s="730"/>
      <c r="L58" s="730"/>
      <c r="M58" s="730"/>
      <c r="N58" s="730"/>
      <c r="O58" s="730"/>
      <c r="P58" s="730"/>
      <c r="Q58" s="730"/>
      <c r="R58" s="730"/>
      <c r="S58" s="730"/>
      <c r="T58" s="730"/>
      <c r="U58" s="730"/>
      <c r="V58" s="730"/>
      <c r="W58" s="730"/>
      <c r="X58" s="730"/>
      <c r="Y58" s="730"/>
      <c r="Z58" s="730"/>
      <c r="AA58" s="730"/>
      <c r="AB58" s="730"/>
      <c r="AC58" s="730"/>
      <c r="AD58" s="731"/>
      <c r="AE58" s="281" cm="1">
        <f t="array" ref="AE58">AC58-AD58</f>
        <v>0</v>
      </c>
      <c r="AF58" s="39">
        <v>0</v>
      </c>
      <c r="AG58" s="532" cm="1">
        <f t="array" ref="AG58">I58-AF58</f>
        <v>0</v>
      </c>
      <c r="AH58" s="532" cm="1">
        <f t="array" ref="AH58">AF58+AG58</f>
        <v>0</v>
      </c>
      <c r="AI58" s="712"/>
      <c r="AJ58" s="730"/>
      <c r="AK58" s="730"/>
      <c r="AL58" s="730"/>
      <c r="AM58" s="730"/>
      <c r="AN58" s="730"/>
      <c r="AO58" s="730"/>
      <c r="AP58" s="730"/>
      <c r="AQ58" s="730"/>
      <c r="AR58" s="730"/>
      <c r="AS58" s="730"/>
      <c r="AT58" s="730"/>
      <c r="AU58" s="730"/>
      <c r="AV58" s="730"/>
      <c r="AW58" s="730"/>
      <c r="AX58" s="730"/>
      <c r="AY58" s="730"/>
      <c r="AZ58" s="730"/>
      <c r="BA58" s="730"/>
      <c r="BB58" s="730"/>
      <c r="BC58" s="730"/>
      <c r="BD58" s="730"/>
      <c r="BE58" s="730"/>
      <c r="BF58" s="730"/>
      <c r="BG58" s="730"/>
      <c r="BH58" s="730"/>
      <c r="BI58" s="730"/>
      <c r="BJ58" s="730"/>
      <c r="BK58" s="730"/>
      <c r="BL58" s="730"/>
      <c r="BM58" s="730"/>
      <c r="BN58" s="730"/>
      <c r="BO58" s="730"/>
      <c r="BP58" s="730"/>
      <c r="BQ58" s="730"/>
      <c r="BR58" s="730"/>
      <c r="BS58" s="730"/>
      <c r="BT58" s="732"/>
    </row>
    <row r="59" ht="15.35" customHeight="1">
      <c r="A59" t="s" s="37">
        <v>2421</v>
      </c>
      <c r="B59" t="s" s="710">
        <v>3131</v>
      </c>
      <c r="C59" s="39">
        <v>3</v>
      </c>
      <c r="D59" t="s" s="37">
        <v>2422</v>
      </c>
      <c r="E59" s="32"/>
      <c r="F59" s="39">
        <v>2</v>
      </c>
      <c r="G59" s="531"/>
      <c r="H59" s="531"/>
      <c r="I59" s="56">
        <v>15</v>
      </c>
      <c r="J59" s="39">
        <v>9</v>
      </c>
      <c r="K59" s="39">
        <v>6</v>
      </c>
      <c r="L59" s="39">
        <v>0</v>
      </c>
      <c r="M59" s="39">
        <v>0</v>
      </c>
      <c r="N59" s="39">
        <v>2</v>
      </c>
      <c r="O59" s="39">
        <v>1</v>
      </c>
      <c r="P59" s="39">
        <v>1</v>
      </c>
      <c r="Q59" s="39">
        <v>3</v>
      </c>
      <c r="R59" s="39">
        <v>0</v>
      </c>
      <c r="S59" s="39">
        <v>8</v>
      </c>
      <c r="T59" s="39">
        <v>445</v>
      </c>
      <c r="U59" s="39">
        <v>5</v>
      </c>
      <c r="V59" s="39">
        <v>10</v>
      </c>
      <c r="W59" s="39">
        <v>0</v>
      </c>
      <c r="X59" s="39">
        <v>0</v>
      </c>
      <c r="Y59" s="39">
        <v>0</v>
      </c>
      <c r="Z59" s="39">
        <v>0</v>
      </c>
      <c r="AA59" s="39">
        <v>0</v>
      </c>
      <c r="AB59" s="39">
        <v>0</v>
      </c>
      <c r="AC59" s="39">
        <v>13</v>
      </c>
      <c r="AD59" s="39">
        <v>0</v>
      </c>
      <c r="AE59" s="39" cm="1">
        <f t="array" ref="AE59">AC59-AD59</f>
        <v>13</v>
      </c>
      <c r="AF59" s="39">
        <v>6</v>
      </c>
      <c r="AG59" s="56" cm="1">
        <f t="array" ref="AG59">I59-AF59</f>
        <v>9</v>
      </c>
      <c r="AH59" s="56" cm="1">
        <f t="array" ref="AH59">AF59+AG59</f>
        <v>15</v>
      </c>
      <c r="AI59" s="578"/>
      <c r="AJ59" s="563"/>
      <c r="AK59" s="563"/>
      <c r="AL59" s="563"/>
      <c r="AM59" s="563"/>
      <c r="AN59" s="563"/>
      <c r="AO59" s="563"/>
      <c r="AP59" s="563"/>
      <c r="AQ59" s="563"/>
      <c r="AR59" s="563"/>
      <c r="AS59" s="563"/>
      <c r="AT59" s="563"/>
      <c r="AU59" s="563"/>
      <c r="AV59" s="563"/>
      <c r="AW59" s="563"/>
      <c r="AX59" s="563"/>
      <c r="AY59" s="563"/>
      <c r="AZ59" s="563"/>
      <c r="BA59" s="563"/>
      <c r="BB59" s="563"/>
      <c r="BC59" s="563"/>
      <c r="BD59" s="563"/>
      <c r="BE59" s="563"/>
      <c r="BF59" s="563"/>
      <c r="BG59" s="563"/>
      <c r="BH59" s="563"/>
      <c r="BI59" s="563"/>
      <c r="BJ59" s="563"/>
      <c r="BK59" s="563"/>
      <c r="BL59" s="563"/>
      <c r="BM59" s="563"/>
      <c r="BN59" s="563"/>
      <c r="BO59" s="563"/>
      <c r="BP59" s="563"/>
      <c r="BQ59" s="563"/>
      <c r="BR59" s="563"/>
      <c r="BS59" s="563"/>
      <c r="BT59" s="563"/>
    </row>
    <row r="60" ht="15.35" customHeight="1">
      <c r="A60" t="s" s="73">
        <v>2421</v>
      </c>
      <c r="B60" s="684">
        <v>1921</v>
      </c>
      <c r="C60" s="72">
        <v>4</v>
      </c>
      <c r="D60" t="s" s="73">
        <v>2422</v>
      </c>
      <c r="E60" s="71"/>
      <c r="F60" s="68"/>
      <c r="G60" s="706"/>
      <c r="H60" s="706"/>
      <c r="I60" s="733">
        <v>24</v>
      </c>
      <c r="J60" s="72">
        <v>17</v>
      </c>
      <c r="K60" s="72">
        <v>7</v>
      </c>
      <c r="L60" s="72">
        <v>0</v>
      </c>
      <c r="M60" s="72">
        <v>0</v>
      </c>
      <c r="N60" s="72">
        <v>4</v>
      </c>
      <c r="O60" s="72">
        <v>4</v>
      </c>
      <c r="P60" s="72">
        <v>3</v>
      </c>
      <c r="Q60" s="72">
        <v>0</v>
      </c>
      <c r="R60" s="72">
        <v>4</v>
      </c>
      <c r="S60" s="72">
        <v>9</v>
      </c>
      <c r="T60" s="72">
        <v>927</v>
      </c>
      <c r="U60" s="72">
        <v>0</v>
      </c>
      <c r="V60" s="72">
        <v>0</v>
      </c>
      <c r="W60" s="72">
        <v>0</v>
      </c>
      <c r="X60" s="72">
        <v>0</v>
      </c>
      <c r="Y60" s="72">
        <v>0</v>
      </c>
      <c r="Z60" s="72">
        <v>0</v>
      </c>
      <c r="AA60" s="72">
        <v>0</v>
      </c>
      <c r="AB60" s="72">
        <v>0</v>
      </c>
      <c r="AC60" s="72">
        <v>13</v>
      </c>
      <c r="AD60" s="643">
        <v>1</v>
      </c>
      <c r="AE60" s="39">
        <v>12</v>
      </c>
      <c r="AF60" s="456">
        <v>12</v>
      </c>
      <c r="AG60" s="56" cm="1">
        <f t="array" ref="AG60">I60-AF60</f>
        <v>12</v>
      </c>
      <c r="AH60" s="56" cm="1">
        <f t="array" ref="AH60">AF60+AG60</f>
        <v>24</v>
      </c>
      <c r="AI60" s="64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</row>
    <row r="61" ht="15.35" customHeight="1">
      <c r="A61" t="s" s="734">
        <v>2469</v>
      </c>
      <c r="B61" t="s" s="691">
        <v>3131</v>
      </c>
      <c r="C61" s="111">
        <v>3</v>
      </c>
      <c r="D61" t="s" s="110">
        <v>3155</v>
      </c>
      <c r="E61" s="122"/>
      <c r="F61" s="111">
        <v>2</v>
      </c>
      <c r="G61" s="735"/>
      <c r="H61" s="735"/>
      <c r="I61" s="253">
        <v>13</v>
      </c>
      <c r="J61" s="111">
        <v>9</v>
      </c>
      <c r="K61" s="111">
        <v>3</v>
      </c>
      <c r="L61" s="111">
        <v>1</v>
      </c>
      <c r="M61" s="111">
        <v>0</v>
      </c>
      <c r="N61" s="111">
        <v>2</v>
      </c>
      <c r="O61" s="111">
        <v>1</v>
      </c>
      <c r="P61" s="111">
        <v>2</v>
      </c>
      <c r="Q61" s="111">
        <v>1</v>
      </c>
      <c r="R61" s="111">
        <v>2</v>
      </c>
      <c r="S61" s="111">
        <v>5</v>
      </c>
      <c r="T61" s="111">
        <v>448</v>
      </c>
      <c r="U61" s="111">
        <v>2</v>
      </c>
      <c r="V61" s="111">
        <v>8</v>
      </c>
      <c r="W61" s="111">
        <v>2</v>
      </c>
      <c r="X61" s="111">
        <v>0</v>
      </c>
      <c r="Y61" s="111">
        <v>0</v>
      </c>
      <c r="Z61" s="111">
        <v>0</v>
      </c>
      <c r="AA61" s="111">
        <v>0</v>
      </c>
      <c r="AB61" s="111">
        <v>0</v>
      </c>
      <c r="AC61" s="111">
        <v>10</v>
      </c>
      <c r="AD61" s="736">
        <v>0</v>
      </c>
      <c r="AE61" s="545" cm="1">
        <f t="array" ref="AE61">AC61-AD61</f>
        <v>10</v>
      </c>
      <c r="AF61" s="736">
        <v>6</v>
      </c>
      <c r="AG61" s="56" cm="1">
        <f t="array" ref="AG61">I61-AF61</f>
        <v>7</v>
      </c>
      <c r="AH61" s="56" cm="1">
        <f t="array" ref="AH61">AF61+AG61</f>
        <v>13</v>
      </c>
      <c r="AI61" s="63"/>
      <c r="AJ61" s="16"/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  <c r="AZ61" s="16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16"/>
      <c r="BQ61" s="16"/>
      <c r="BR61" s="16"/>
      <c r="BS61" s="16"/>
      <c r="BT61" s="16"/>
    </row>
    <row r="62" ht="15.35" customHeight="1">
      <c r="A62" t="s" s="98">
        <v>2469</v>
      </c>
      <c r="B62" s="684">
        <v>1921</v>
      </c>
      <c r="C62" s="97">
        <v>4</v>
      </c>
      <c r="D62" t="s" s="98">
        <v>2470</v>
      </c>
      <c r="E62" s="16"/>
      <c r="F62" s="737"/>
      <c r="G62" s="738"/>
      <c r="H62" s="738"/>
      <c r="I62" s="739">
        <v>14</v>
      </c>
      <c r="J62" s="97">
        <v>8</v>
      </c>
      <c r="K62" s="97">
        <v>6</v>
      </c>
      <c r="L62" s="97">
        <v>0</v>
      </c>
      <c r="M62" s="97">
        <v>0</v>
      </c>
      <c r="N62" s="97">
        <v>4</v>
      </c>
      <c r="O62" s="97">
        <v>1</v>
      </c>
      <c r="P62" s="97">
        <v>2</v>
      </c>
      <c r="Q62" s="97">
        <v>4</v>
      </c>
      <c r="R62" s="97">
        <v>0</v>
      </c>
      <c r="S62" s="97">
        <v>3</v>
      </c>
      <c r="T62" s="97">
        <v>536</v>
      </c>
      <c r="U62" s="97">
        <v>9</v>
      </c>
      <c r="V62" s="97">
        <v>0</v>
      </c>
      <c r="W62" s="97">
        <v>0</v>
      </c>
      <c r="X62" s="97">
        <v>0</v>
      </c>
      <c r="Y62" s="97">
        <v>0</v>
      </c>
      <c r="Z62" s="97">
        <v>0</v>
      </c>
      <c r="AA62" s="97">
        <v>0</v>
      </c>
      <c r="AB62" s="97">
        <v>0</v>
      </c>
      <c r="AC62" s="97">
        <v>8</v>
      </c>
      <c r="AD62" s="593">
        <v>1</v>
      </c>
      <c r="AE62" s="39" cm="1">
        <f t="array" ref="AE62">AC62-AD62</f>
        <v>7</v>
      </c>
      <c r="AF62" s="594">
        <v>9</v>
      </c>
      <c r="AG62" s="56" cm="1">
        <f t="array" ref="AG62">I62-AF62</f>
        <v>5</v>
      </c>
      <c r="AH62" s="56" cm="1">
        <f t="array" ref="AH62">AF62+AG62</f>
        <v>14</v>
      </c>
      <c r="AI62" s="63"/>
      <c r="AJ62" s="16"/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  <c r="AZ62" s="16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16"/>
      <c r="BQ62" s="16"/>
      <c r="BR62" s="16"/>
      <c r="BS62" s="16"/>
      <c r="BT62" s="16"/>
    </row>
    <row r="63" ht="15.35" customHeight="1">
      <c r="A63" t="s" s="271">
        <v>2499</v>
      </c>
      <c r="B63" t="s" s="630">
        <v>3131</v>
      </c>
      <c r="C63" s="272">
        <v>7</v>
      </c>
      <c r="D63" t="s" s="96">
        <v>3156</v>
      </c>
      <c r="E63" s="16"/>
      <c r="F63" s="440">
        <v>7</v>
      </c>
      <c r="G63" s="740"/>
      <c r="H63" s="740"/>
      <c r="I63" s="741">
        <v>45</v>
      </c>
      <c r="J63" s="79">
        <v>34</v>
      </c>
      <c r="K63" s="79">
        <v>10</v>
      </c>
      <c r="L63" s="79">
        <v>1</v>
      </c>
      <c r="M63" s="79">
        <v>0</v>
      </c>
      <c r="N63" s="79">
        <v>8</v>
      </c>
      <c r="O63" s="79">
        <v>6</v>
      </c>
      <c r="P63" s="79">
        <v>6</v>
      </c>
      <c r="Q63" s="79">
        <v>3</v>
      </c>
      <c r="R63" s="79">
        <v>1</v>
      </c>
      <c r="S63" s="79">
        <v>21</v>
      </c>
      <c r="T63" s="79">
        <v>1763</v>
      </c>
      <c r="U63" s="79">
        <v>12</v>
      </c>
      <c r="V63" s="79">
        <v>29</v>
      </c>
      <c r="W63" s="79">
        <v>3</v>
      </c>
      <c r="X63" s="79">
        <v>0</v>
      </c>
      <c r="Y63" s="79">
        <v>0</v>
      </c>
      <c r="Z63" s="79">
        <v>0</v>
      </c>
      <c r="AA63" s="79">
        <v>0</v>
      </c>
      <c r="AB63" s="79">
        <v>0</v>
      </c>
      <c r="AC63" s="79">
        <v>28</v>
      </c>
      <c r="AD63" s="274">
        <v>0</v>
      </c>
      <c r="AE63" s="39" cm="1">
        <f t="array" ref="AE63">AC63-AD63</f>
        <v>28</v>
      </c>
      <c r="AF63" s="458">
        <v>29</v>
      </c>
      <c r="AG63" s="56" cm="1">
        <f t="array" ref="AG63">I63-AF63</f>
        <v>16</v>
      </c>
      <c r="AH63" s="56" cm="1">
        <f t="array" ref="AH63">AF63+AG63</f>
        <v>45</v>
      </c>
      <c r="AI63" s="63"/>
      <c r="AJ63" s="16"/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  <c r="AZ63" s="16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16"/>
      <c r="BQ63" s="16"/>
      <c r="BR63" s="16"/>
      <c r="BS63" s="16"/>
      <c r="BT63" s="16"/>
    </row>
    <row r="64" ht="15.35" customHeight="1">
      <c r="A64" t="s" s="181">
        <v>2499</v>
      </c>
      <c r="B64" s="684">
        <v>1921</v>
      </c>
      <c r="C64" s="126">
        <v>8</v>
      </c>
      <c r="D64" t="s" s="181">
        <v>2500</v>
      </c>
      <c r="E64" s="16"/>
      <c r="F64" s="742"/>
      <c r="G64" s="743"/>
      <c r="H64" s="743"/>
      <c r="I64" s="744">
        <v>35</v>
      </c>
      <c r="J64" s="126">
        <v>26</v>
      </c>
      <c r="K64" s="126">
        <v>9</v>
      </c>
      <c r="L64" s="126">
        <v>0</v>
      </c>
      <c r="M64" s="126">
        <v>0</v>
      </c>
      <c r="N64" s="126">
        <v>8</v>
      </c>
      <c r="O64" s="126">
        <v>4</v>
      </c>
      <c r="P64" s="126">
        <v>1</v>
      </c>
      <c r="Q64" s="126">
        <v>0</v>
      </c>
      <c r="R64" s="126">
        <v>3</v>
      </c>
      <c r="S64" s="126">
        <v>19</v>
      </c>
      <c r="T64" s="126">
        <v>1646</v>
      </c>
      <c r="U64" s="126">
        <v>0</v>
      </c>
      <c r="V64" s="126">
        <v>0</v>
      </c>
      <c r="W64" s="126">
        <v>0</v>
      </c>
      <c r="X64" s="126">
        <v>0</v>
      </c>
      <c r="Y64" s="126">
        <v>0</v>
      </c>
      <c r="Z64" s="126">
        <v>0</v>
      </c>
      <c r="AA64" s="126">
        <v>0</v>
      </c>
      <c r="AB64" s="126">
        <v>0</v>
      </c>
      <c r="AC64" s="126">
        <v>26</v>
      </c>
      <c r="AD64" s="290">
        <v>3</v>
      </c>
      <c r="AE64" s="39" cm="1">
        <f t="array" ref="AE64">AC64-AD64</f>
        <v>23</v>
      </c>
      <c r="AF64" s="600">
        <v>15</v>
      </c>
      <c r="AG64" s="56" cm="1">
        <f t="array" ref="AG64">I64-AF64</f>
        <v>20</v>
      </c>
      <c r="AH64" s="56" cm="1">
        <f t="array" ref="AH64">AF64+AG64</f>
        <v>35</v>
      </c>
      <c r="AI64" s="291"/>
      <c r="AJ64" s="132"/>
      <c r="AK64" s="132"/>
      <c r="AL64" s="132"/>
      <c r="AM64" s="132"/>
      <c r="AN64" s="132"/>
      <c r="AO64" s="132"/>
      <c r="AP64" s="132"/>
      <c r="AQ64" s="132"/>
      <c r="AR64" s="132"/>
      <c r="AS64" s="132"/>
      <c r="AT64" s="132"/>
      <c r="AU64" s="132"/>
      <c r="AV64" s="132"/>
      <c r="AW64" s="132"/>
      <c r="AX64" s="132"/>
      <c r="AY64" s="132"/>
      <c r="AZ64" s="132"/>
      <c r="BA64" s="132"/>
      <c r="BB64" s="132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16"/>
      <c r="BQ64" s="16"/>
      <c r="BR64" s="16"/>
      <c r="BS64" s="16"/>
      <c r="BT64" s="16"/>
    </row>
    <row r="65" ht="15.35" customHeight="1">
      <c r="A65" t="s" s="586">
        <v>2560</v>
      </c>
      <c r="B65" t="s" s="691">
        <v>3131</v>
      </c>
      <c r="C65" s="112">
        <v>10</v>
      </c>
      <c r="D65" t="s" s="83">
        <v>3157</v>
      </c>
      <c r="E65" s="122"/>
      <c r="F65" s="112">
        <v>4</v>
      </c>
      <c r="G65" s="587"/>
      <c r="H65" s="587"/>
      <c r="I65" s="87">
        <v>26</v>
      </c>
      <c r="J65" s="112">
        <v>16</v>
      </c>
      <c r="K65" s="112">
        <v>7</v>
      </c>
      <c r="L65" s="112">
        <v>1</v>
      </c>
      <c r="M65" s="112">
        <v>2</v>
      </c>
      <c r="N65" s="112">
        <v>4</v>
      </c>
      <c r="O65" s="112">
        <v>3</v>
      </c>
      <c r="P65" s="112">
        <v>3</v>
      </c>
      <c r="Q65" s="112">
        <v>3</v>
      </c>
      <c r="R65" s="112">
        <v>2</v>
      </c>
      <c r="S65" s="112">
        <v>11</v>
      </c>
      <c r="T65" s="112">
        <v>895</v>
      </c>
      <c r="U65" s="112">
        <v>8</v>
      </c>
      <c r="V65" s="112">
        <v>14</v>
      </c>
      <c r="W65" s="112">
        <v>0</v>
      </c>
      <c r="X65" s="112">
        <v>16</v>
      </c>
      <c r="Y65" s="112">
        <v>4</v>
      </c>
      <c r="Z65" s="112">
        <v>4</v>
      </c>
      <c r="AA65" s="112">
        <v>0</v>
      </c>
      <c r="AB65" s="112">
        <v>0</v>
      </c>
      <c r="AC65" s="112">
        <v>18</v>
      </c>
      <c r="AD65" s="588">
        <v>2</v>
      </c>
      <c r="AE65" s="545" cm="1">
        <f t="array" ref="AE65">AC65-AD65</f>
        <v>16</v>
      </c>
      <c r="AF65" s="588">
        <v>14</v>
      </c>
      <c r="AG65" s="56" cm="1">
        <f t="array" ref="AG65">I65-AF65</f>
        <v>12</v>
      </c>
      <c r="AH65" s="545" cm="1">
        <f t="array" ref="AH65">AF65+AG65</f>
        <v>26</v>
      </c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74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</row>
    <row r="66" ht="15.35" customHeight="1">
      <c r="A66" t="s" s="98">
        <v>2560</v>
      </c>
      <c r="B66" s="684">
        <v>1921</v>
      </c>
      <c r="C66" s="97">
        <v>4</v>
      </c>
      <c r="D66" t="s" s="98">
        <v>2561</v>
      </c>
      <c r="E66" s="16"/>
      <c r="F66" s="62"/>
      <c r="G66" s="745"/>
      <c r="H66" s="746"/>
      <c r="I66" s="747">
        <v>20</v>
      </c>
      <c r="J66" s="97">
        <v>18</v>
      </c>
      <c r="K66" s="97">
        <v>2</v>
      </c>
      <c r="L66" s="97">
        <v>0</v>
      </c>
      <c r="M66" s="97">
        <v>0</v>
      </c>
      <c r="N66" s="97">
        <v>2</v>
      </c>
      <c r="O66" s="97">
        <v>2</v>
      </c>
      <c r="P66" s="97">
        <v>2</v>
      </c>
      <c r="Q66" s="97">
        <v>0</v>
      </c>
      <c r="R66" s="97">
        <v>3</v>
      </c>
      <c r="S66" s="97">
        <v>11</v>
      </c>
      <c r="T66" s="97">
        <v>648</v>
      </c>
      <c r="U66" s="97">
        <v>0</v>
      </c>
      <c r="V66" s="97">
        <v>0</v>
      </c>
      <c r="W66" s="97">
        <v>0</v>
      </c>
      <c r="X66" s="97">
        <v>0</v>
      </c>
      <c r="Y66" s="97">
        <v>0</v>
      </c>
      <c r="Z66" s="97">
        <v>0</v>
      </c>
      <c r="AA66" s="62"/>
      <c r="AB66" s="62"/>
      <c r="AC66" s="97">
        <v>15</v>
      </c>
      <c r="AD66" s="593">
        <v>1</v>
      </c>
      <c r="AE66" s="39" cm="1">
        <f t="array" ref="AE66">AC66-AD66</f>
        <v>14</v>
      </c>
      <c r="AF66" s="594">
        <v>7</v>
      </c>
      <c r="AG66" s="56" cm="1">
        <f t="array" ref="AG66">I66-AF66</f>
        <v>13</v>
      </c>
      <c r="AH66" s="56" cm="1">
        <f t="array" ref="AH66">AF66+AG66</f>
        <v>20</v>
      </c>
      <c r="AI66" s="564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74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</row>
    <row r="67" ht="15.35" customHeight="1">
      <c r="A67" t="s" s="271">
        <v>2606</v>
      </c>
      <c r="B67" t="s" s="630">
        <v>3131</v>
      </c>
      <c r="C67" s="272">
        <v>7</v>
      </c>
      <c r="D67" t="s" s="96">
        <v>3158</v>
      </c>
      <c r="E67" s="16"/>
      <c r="F67" s="440">
        <v>6</v>
      </c>
      <c r="G67" s="740"/>
      <c r="H67" s="740"/>
      <c r="I67" s="741">
        <v>40</v>
      </c>
      <c r="J67" s="79">
        <v>27</v>
      </c>
      <c r="K67" s="79">
        <v>6</v>
      </c>
      <c r="L67" s="79">
        <v>4</v>
      </c>
      <c r="M67" s="79">
        <v>4</v>
      </c>
      <c r="N67" s="79">
        <v>7</v>
      </c>
      <c r="O67" s="79">
        <v>5</v>
      </c>
      <c r="P67" s="79">
        <v>7</v>
      </c>
      <c r="Q67" s="79">
        <v>4</v>
      </c>
      <c r="R67" s="79">
        <v>1</v>
      </c>
      <c r="S67" s="79">
        <v>16</v>
      </c>
      <c r="T67" s="79">
        <v>1203</v>
      </c>
      <c r="U67" s="79">
        <v>11</v>
      </c>
      <c r="V67" s="79">
        <v>20</v>
      </c>
      <c r="W67" s="79">
        <v>1</v>
      </c>
      <c r="X67" s="79">
        <v>0</v>
      </c>
      <c r="Y67" s="79">
        <v>0</v>
      </c>
      <c r="Z67" s="79">
        <v>0</v>
      </c>
      <c r="AA67" s="79">
        <v>0</v>
      </c>
      <c r="AB67" s="79">
        <v>0</v>
      </c>
      <c r="AC67" s="79">
        <v>22</v>
      </c>
      <c r="AD67" s="274">
        <v>0</v>
      </c>
      <c r="AE67" s="39" cm="1">
        <f t="array" ref="AE67">AC67-AD67</f>
        <v>22</v>
      </c>
      <c r="AF67" s="458">
        <v>16</v>
      </c>
      <c r="AG67" s="56" cm="1">
        <f t="array" ref="AG67">I67-AF67</f>
        <v>24</v>
      </c>
      <c r="AH67" s="56" cm="1">
        <f t="array" ref="AH67">AF67+AG67</f>
        <v>40</v>
      </c>
      <c r="AI67" s="541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74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</row>
    <row r="68" ht="15.35" customHeight="1">
      <c r="A68" t="s" s="96">
        <v>2606</v>
      </c>
      <c r="B68" s="684">
        <v>1921</v>
      </c>
      <c r="C68" s="79">
        <v>5</v>
      </c>
      <c r="D68" t="s" s="96">
        <v>2607</v>
      </c>
      <c r="E68" s="16"/>
      <c r="F68" s="76"/>
      <c r="G68" s="740"/>
      <c r="H68" s="740"/>
      <c r="I68" s="741">
        <v>18</v>
      </c>
      <c r="J68" s="79">
        <v>14</v>
      </c>
      <c r="K68" s="79">
        <v>4</v>
      </c>
      <c r="L68" s="79">
        <v>0</v>
      </c>
      <c r="M68" s="79">
        <v>0</v>
      </c>
      <c r="N68" s="79">
        <v>5</v>
      </c>
      <c r="O68" s="79">
        <v>2</v>
      </c>
      <c r="P68" s="79">
        <v>1</v>
      </c>
      <c r="Q68" s="79">
        <v>0</v>
      </c>
      <c r="R68" s="79">
        <v>4</v>
      </c>
      <c r="S68" s="79">
        <v>6</v>
      </c>
      <c r="T68" s="79">
        <v>746</v>
      </c>
      <c r="U68" s="79">
        <v>0</v>
      </c>
      <c r="V68" s="79">
        <v>0</v>
      </c>
      <c r="W68" s="79">
        <v>0</v>
      </c>
      <c r="X68" s="79">
        <v>0</v>
      </c>
      <c r="Y68" s="79">
        <v>0</v>
      </c>
      <c r="Z68" s="79">
        <v>0</v>
      </c>
      <c r="AA68" s="79">
        <v>0</v>
      </c>
      <c r="AB68" s="79">
        <v>0</v>
      </c>
      <c r="AC68" s="79">
        <v>11</v>
      </c>
      <c r="AD68" s="274">
        <v>1</v>
      </c>
      <c r="AE68" s="39" cm="1">
        <f t="array" ref="AE68">AC68-AD68</f>
        <v>10</v>
      </c>
      <c r="AF68" s="458">
        <v>13</v>
      </c>
      <c r="AG68" s="56" cm="1">
        <f t="array" ref="AG68">I68-AF68</f>
        <v>5</v>
      </c>
      <c r="AH68" s="56" cm="1">
        <f t="array" ref="AH68">AF68+AG68</f>
        <v>18</v>
      </c>
      <c r="AI68" s="649">
        <v>0</v>
      </c>
      <c r="AJ68" s="112">
        <v>0</v>
      </c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74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</row>
    <row r="69" ht="15.35" customHeight="1">
      <c r="A69" t="s" s="271">
        <v>1759</v>
      </c>
      <c r="B69" t="s" s="630">
        <v>3131</v>
      </c>
      <c r="C69" s="272">
        <v>11</v>
      </c>
      <c r="D69" t="s" s="96">
        <v>2643</v>
      </c>
      <c r="E69" s="16"/>
      <c r="F69" s="440">
        <v>9</v>
      </c>
      <c r="G69" s="740"/>
      <c r="H69" s="740"/>
      <c r="I69" s="741">
        <v>56</v>
      </c>
      <c r="J69" s="79">
        <v>34</v>
      </c>
      <c r="K69" s="79">
        <v>12</v>
      </c>
      <c r="L69" s="79">
        <v>6</v>
      </c>
      <c r="M69" s="79">
        <v>4</v>
      </c>
      <c r="N69" s="79">
        <v>11</v>
      </c>
      <c r="O69" s="79">
        <v>8</v>
      </c>
      <c r="P69" s="79">
        <v>14</v>
      </c>
      <c r="Q69" s="79">
        <v>7</v>
      </c>
      <c r="R69" s="79">
        <v>2</v>
      </c>
      <c r="S69" s="79">
        <v>14</v>
      </c>
      <c r="T69" s="79">
        <v>1603</v>
      </c>
      <c r="U69" s="79">
        <v>15</v>
      </c>
      <c r="V69" s="79">
        <v>25</v>
      </c>
      <c r="W69" s="79">
        <v>1</v>
      </c>
      <c r="X69" s="79">
        <v>0</v>
      </c>
      <c r="Y69" s="79">
        <v>0</v>
      </c>
      <c r="Z69" s="79">
        <v>0</v>
      </c>
      <c r="AA69" s="79">
        <v>0</v>
      </c>
      <c r="AB69" s="79">
        <v>0</v>
      </c>
      <c r="AC69" s="79">
        <v>30</v>
      </c>
      <c r="AD69" s="274">
        <v>0</v>
      </c>
      <c r="AE69" s="39" cm="1">
        <f t="array" ref="AE69">AC69-AD69</f>
        <v>30</v>
      </c>
      <c r="AF69" s="458">
        <v>29</v>
      </c>
      <c r="AG69" s="56" cm="1">
        <f t="array" ref="AG69">I69-AF69</f>
        <v>27</v>
      </c>
      <c r="AH69" s="56" cm="1">
        <f t="array" ref="AH69">AF69+AG69</f>
        <v>56</v>
      </c>
      <c r="AI69" s="541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74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</row>
    <row r="70" ht="15.35" customHeight="1">
      <c r="A70" t="s" s="181">
        <v>1759</v>
      </c>
      <c r="B70" s="684">
        <v>1921</v>
      </c>
      <c r="C70" s="126">
        <v>9</v>
      </c>
      <c r="D70" t="s" s="181">
        <v>2643</v>
      </c>
      <c r="E70" s="16"/>
      <c r="F70" s="742"/>
      <c r="G70" s="743"/>
      <c r="H70" s="743"/>
      <c r="I70" s="744">
        <v>43</v>
      </c>
      <c r="J70" s="126">
        <v>27</v>
      </c>
      <c r="K70" s="126">
        <v>8</v>
      </c>
      <c r="L70" s="126">
        <v>6</v>
      </c>
      <c r="M70" s="126">
        <v>2</v>
      </c>
      <c r="N70" s="126">
        <v>8</v>
      </c>
      <c r="O70" s="126">
        <v>7</v>
      </c>
      <c r="P70" s="126">
        <v>12</v>
      </c>
      <c r="Q70" s="126">
        <v>3</v>
      </c>
      <c r="R70" s="126">
        <v>3</v>
      </c>
      <c r="S70" s="126">
        <v>10</v>
      </c>
      <c r="T70" s="126">
        <v>1288</v>
      </c>
      <c r="U70" s="126">
        <v>0</v>
      </c>
      <c r="V70" s="126">
        <v>0</v>
      </c>
      <c r="W70" s="126">
        <v>0</v>
      </c>
      <c r="X70" s="126">
        <v>0</v>
      </c>
      <c r="Y70" s="126">
        <v>0</v>
      </c>
      <c r="Z70" s="126">
        <v>0</v>
      </c>
      <c r="AA70" s="126">
        <v>0</v>
      </c>
      <c r="AB70" s="126">
        <v>0</v>
      </c>
      <c r="AC70" s="126">
        <v>17</v>
      </c>
      <c r="AD70" s="290">
        <v>4</v>
      </c>
      <c r="AE70" s="39" cm="1">
        <f t="array" ref="AE70">AC70-AD70</f>
        <v>13</v>
      </c>
      <c r="AF70" s="600">
        <v>17</v>
      </c>
      <c r="AG70" s="56" cm="1">
        <f t="array" ref="AG70">I70-AF70</f>
        <v>26</v>
      </c>
      <c r="AH70" s="56" cm="1">
        <f t="array" ref="AH70">AF70+AG70</f>
        <v>43</v>
      </c>
      <c r="AI70" s="724">
        <v>0</v>
      </c>
      <c r="AJ70" s="112">
        <v>0</v>
      </c>
      <c r="AK70" s="30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74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</row>
    <row r="71" ht="15.35" customHeight="1">
      <c r="A71" t="s" s="586">
        <v>2712</v>
      </c>
      <c r="B71" t="s" s="691">
        <v>3131</v>
      </c>
      <c r="C71" s="112">
        <v>11</v>
      </c>
      <c r="D71" t="s" s="83">
        <v>3159</v>
      </c>
      <c r="E71" s="122"/>
      <c r="F71" s="112">
        <v>8</v>
      </c>
      <c r="G71" s="587"/>
      <c r="H71" s="587"/>
      <c r="I71" s="87">
        <v>56</v>
      </c>
      <c r="J71" s="112">
        <v>39</v>
      </c>
      <c r="K71" s="112">
        <v>14</v>
      </c>
      <c r="L71" s="112">
        <v>0</v>
      </c>
      <c r="M71" s="112">
        <v>3</v>
      </c>
      <c r="N71" s="112">
        <v>11</v>
      </c>
      <c r="O71" s="112">
        <v>6</v>
      </c>
      <c r="P71" s="112">
        <v>3</v>
      </c>
      <c r="Q71" s="112">
        <v>3</v>
      </c>
      <c r="R71" s="112">
        <v>6</v>
      </c>
      <c r="S71" s="112">
        <v>27</v>
      </c>
      <c r="T71" s="112">
        <v>2049</v>
      </c>
      <c r="U71" s="112">
        <v>14</v>
      </c>
      <c r="V71" s="112">
        <v>35</v>
      </c>
      <c r="W71" s="112">
        <v>4</v>
      </c>
      <c r="X71" s="112">
        <v>0</v>
      </c>
      <c r="Y71" s="112">
        <v>0</v>
      </c>
      <c r="Z71" s="112">
        <v>0</v>
      </c>
      <c r="AA71" s="112">
        <v>0</v>
      </c>
      <c r="AB71" s="112">
        <v>0</v>
      </c>
      <c r="AC71" s="112">
        <v>39</v>
      </c>
      <c r="AD71" s="588">
        <v>0</v>
      </c>
      <c r="AE71" s="545" cm="1">
        <f t="array" ref="AE71">AC71-AD71</f>
        <v>39</v>
      </c>
      <c r="AF71" s="588">
        <v>24</v>
      </c>
      <c r="AG71" s="56" cm="1">
        <f t="array" ref="AG71">I71-AF71</f>
        <v>32</v>
      </c>
      <c r="AH71" s="545" cm="1">
        <f t="array" ref="AH71">AF71+AG71</f>
        <v>56</v>
      </c>
      <c r="AI71" s="30"/>
      <c r="AJ71" s="30"/>
      <c r="AK71" s="30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74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16"/>
      <c r="BQ71" s="16"/>
      <c r="BR71" s="16"/>
      <c r="BS71" s="16"/>
      <c r="BT71" s="16"/>
    </row>
    <row r="72" ht="15.35" customHeight="1">
      <c r="A72" t="s" s="98">
        <v>2712</v>
      </c>
      <c r="B72" s="684">
        <v>1921</v>
      </c>
      <c r="C72" s="97">
        <v>24</v>
      </c>
      <c r="D72" t="s" s="98">
        <v>2713</v>
      </c>
      <c r="E72" s="16"/>
      <c r="F72" s="737"/>
      <c r="G72" s="738"/>
      <c r="H72" s="738"/>
      <c r="I72" s="739">
        <v>122</v>
      </c>
      <c r="J72" s="97">
        <v>92</v>
      </c>
      <c r="K72" s="97">
        <v>23</v>
      </c>
      <c r="L72" s="97">
        <v>4</v>
      </c>
      <c r="M72" s="97">
        <v>3</v>
      </c>
      <c r="N72" s="97">
        <v>20</v>
      </c>
      <c r="O72" s="97">
        <v>14</v>
      </c>
      <c r="P72" s="97">
        <v>10</v>
      </c>
      <c r="Q72" s="97">
        <v>3</v>
      </c>
      <c r="R72" s="97">
        <v>18</v>
      </c>
      <c r="S72" s="97">
        <v>57</v>
      </c>
      <c r="T72" s="97">
        <v>4570</v>
      </c>
      <c r="U72" s="97">
        <v>0</v>
      </c>
      <c r="V72" s="97">
        <v>0</v>
      </c>
      <c r="W72" s="97">
        <v>0</v>
      </c>
      <c r="X72" s="97">
        <v>0</v>
      </c>
      <c r="Y72" s="97">
        <v>0</v>
      </c>
      <c r="Z72" s="97">
        <v>0</v>
      </c>
      <c r="AA72" s="97">
        <v>0</v>
      </c>
      <c r="AB72" s="97">
        <v>0</v>
      </c>
      <c r="AC72" s="97">
        <v>79</v>
      </c>
      <c r="AD72" s="593">
        <v>6</v>
      </c>
      <c r="AE72" s="39">
        <v>73</v>
      </c>
      <c r="AF72" s="594">
        <v>42</v>
      </c>
      <c r="AG72" s="56" cm="1">
        <f t="array" ref="AG72">I72-AF72</f>
        <v>80</v>
      </c>
      <c r="AH72" s="56" cm="1">
        <f t="array" ref="AH72">AF72+AG72</f>
        <v>122</v>
      </c>
      <c r="AI72" s="665">
        <v>0</v>
      </c>
      <c r="AJ72" s="30"/>
      <c r="AK72" s="30"/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74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</row>
    <row r="73" ht="15.35" customHeight="1">
      <c r="A73" t="s" s="271">
        <v>2879</v>
      </c>
      <c r="B73" t="s" s="630">
        <v>3131</v>
      </c>
      <c r="C73" s="272">
        <v>3</v>
      </c>
      <c r="D73" t="s" s="96">
        <v>2880</v>
      </c>
      <c r="E73" s="16"/>
      <c r="F73" s="440">
        <v>3</v>
      </c>
      <c r="G73" s="740"/>
      <c r="H73" s="740"/>
      <c r="I73" s="741">
        <v>11</v>
      </c>
      <c r="J73" s="79">
        <v>7</v>
      </c>
      <c r="K73" s="79">
        <v>2</v>
      </c>
      <c r="L73" s="79">
        <v>0</v>
      </c>
      <c r="M73" s="79">
        <v>2</v>
      </c>
      <c r="N73" s="79">
        <v>2</v>
      </c>
      <c r="O73" s="79">
        <v>3</v>
      </c>
      <c r="P73" s="79">
        <v>0</v>
      </c>
      <c r="Q73" s="79">
        <v>2</v>
      </c>
      <c r="R73" s="79">
        <v>3</v>
      </c>
      <c r="S73" s="79">
        <v>1</v>
      </c>
      <c r="T73" s="79">
        <v>357</v>
      </c>
      <c r="U73" s="79">
        <v>5</v>
      </c>
      <c r="V73" s="79">
        <v>4</v>
      </c>
      <c r="W73" s="79">
        <v>0</v>
      </c>
      <c r="X73" s="79">
        <v>0</v>
      </c>
      <c r="Y73" s="79">
        <v>0</v>
      </c>
      <c r="Z73" s="79">
        <v>0</v>
      </c>
      <c r="AA73" s="79">
        <v>0</v>
      </c>
      <c r="AB73" s="79">
        <v>0</v>
      </c>
      <c r="AC73" s="79">
        <v>4</v>
      </c>
      <c r="AD73" s="274">
        <v>0</v>
      </c>
      <c r="AE73" s="39" cm="1">
        <f t="array" ref="AE73">AC73-AD73</f>
        <v>4</v>
      </c>
      <c r="AF73" s="458">
        <v>5</v>
      </c>
      <c r="AG73" s="56" cm="1">
        <f t="array" ref="AG73">I73-AF73</f>
        <v>6</v>
      </c>
      <c r="AH73" s="56" cm="1">
        <f t="array" ref="AH73">AF73+AG73</f>
        <v>11</v>
      </c>
      <c r="AI73" s="541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74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16"/>
      <c r="BQ73" s="16"/>
      <c r="BR73" s="16"/>
      <c r="BS73" s="16"/>
      <c r="BT73" s="16"/>
    </row>
    <row r="74" ht="15.35" customHeight="1">
      <c r="A74" t="s" s="96">
        <v>2879</v>
      </c>
      <c r="B74" s="684">
        <v>1921</v>
      </c>
      <c r="C74" s="79">
        <v>2</v>
      </c>
      <c r="D74" t="s" s="96">
        <v>2880</v>
      </c>
      <c r="E74" s="16"/>
      <c r="F74" s="16"/>
      <c r="G74" s="748"/>
      <c r="H74" s="749"/>
      <c r="I74" s="99">
        <v>6</v>
      </c>
      <c r="J74" s="79">
        <v>3</v>
      </c>
      <c r="K74" s="79">
        <v>2</v>
      </c>
      <c r="L74" s="79">
        <v>1</v>
      </c>
      <c r="M74" s="79">
        <v>0</v>
      </c>
      <c r="N74" s="79">
        <v>2</v>
      </c>
      <c r="O74" s="79">
        <v>1</v>
      </c>
      <c r="P74" s="79">
        <v>1</v>
      </c>
      <c r="Q74" s="79">
        <v>0</v>
      </c>
      <c r="R74" s="79">
        <v>0</v>
      </c>
      <c r="S74" s="79">
        <v>2</v>
      </c>
      <c r="T74" s="79">
        <v>240</v>
      </c>
      <c r="U74" s="79">
        <v>0</v>
      </c>
      <c r="V74" s="79">
        <v>0</v>
      </c>
      <c r="W74" s="79">
        <v>0</v>
      </c>
      <c r="X74" s="79">
        <v>0</v>
      </c>
      <c r="Y74" s="79">
        <v>0</v>
      </c>
      <c r="Z74" s="79">
        <v>0</v>
      </c>
      <c r="AA74" s="79">
        <v>0</v>
      </c>
      <c r="AB74" s="79">
        <v>0</v>
      </c>
      <c r="AC74" s="79">
        <v>4</v>
      </c>
      <c r="AD74" s="274">
        <v>0</v>
      </c>
      <c r="AE74" s="39" cm="1">
        <f t="array" ref="AE74">AC74-AD74</f>
        <v>4</v>
      </c>
      <c r="AF74" s="458">
        <v>3</v>
      </c>
      <c r="AG74" s="56" cm="1">
        <f t="array" ref="AG74">I74-AF74</f>
        <v>3</v>
      </c>
      <c r="AH74" s="56" cm="1">
        <f t="array" ref="AH74">AF74+AG74</f>
        <v>6</v>
      </c>
      <c r="AI74" s="541"/>
      <c r="AJ74" s="30"/>
      <c r="AK74" s="30"/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74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16"/>
      <c r="BQ74" s="16"/>
      <c r="BR74" s="16"/>
      <c r="BS74" s="16"/>
      <c r="BT74" s="16"/>
    </row>
    <row r="75" ht="15.35" customHeight="1">
      <c r="A75" t="s" s="271">
        <v>3160</v>
      </c>
      <c r="B75" t="s" s="630">
        <v>3131</v>
      </c>
      <c r="C75" s="272">
        <v>8</v>
      </c>
      <c r="D75" t="s" s="96">
        <v>3161</v>
      </c>
      <c r="E75" s="16"/>
      <c r="F75" s="440">
        <v>6</v>
      </c>
      <c r="G75" s="740"/>
      <c r="H75" s="740"/>
      <c r="I75" s="741">
        <v>47</v>
      </c>
      <c r="J75" s="79">
        <v>46</v>
      </c>
      <c r="K75" s="79">
        <v>12</v>
      </c>
      <c r="L75" s="79">
        <v>5</v>
      </c>
      <c r="M75" s="79">
        <v>6</v>
      </c>
      <c r="N75" s="79">
        <v>12</v>
      </c>
      <c r="O75" s="79">
        <v>12</v>
      </c>
      <c r="P75" s="79">
        <v>7</v>
      </c>
      <c r="Q75" s="79">
        <v>7</v>
      </c>
      <c r="R75" s="79">
        <v>10</v>
      </c>
      <c r="S75" s="79">
        <v>21</v>
      </c>
      <c r="T75" s="79">
        <v>2221</v>
      </c>
      <c r="U75" s="79">
        <v>22</v>
      </c>
      <c r="V75" s="79">
        <v>33</v>
      </c>
      <c r="W75" s="79">
        <v>3</v>
      </c>
      <c r="X75" s="79">
        <v>0</v>
      </c>
      <c r="Y75" s="79">
        <v>0</v>
      </c>
      <c r="Z75" s="79">
        <v>0</v>
      </c>
      <c r="AA75" s="79">
        <v>0</v>
      </c>
      <c r="AB75" s="79">
        <v>0</v>
      </c>
      <c r="AC75" s="79">
        <v>38</v>
      </c>
      <c r="AD75" s="274">
        <v>0</v>
      </c>
      <c r="AE75" s="39" cm="1">
        <f t="array" ref="AE75">AC75-AD75</f>
        <v>38</v>
      </c>
      <c r="AF75" s="458">
        <v>36</v>
      </c>
      <c r="AG75" s="56" cm="1">
        <f t="array" ref="AG75">I75-AF75</f>
        <v>11</v>
      </c>
      <c r="AH75" s="56" cm="1">
        <f t="array" ref="AH75">AF75+AG75</f>
        <v>47</v>
      </c>
      <c r="AI75" s="541"/>
      <c r="AJ75" s="30"/>
      <c r="AK75" s="30"/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74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16"/>
      <c r="BQ75" s="16"/>
      <c r="BR75" s="16"/>
      <c r="BS75" s="16"/>
      <c r="BT75" s="16"/>
    </row>
    <row r="76" ht="15.35" customHeight="1">
      <c r="A76" t="s" s="96">
        <v>2896</v>
      </c>
      <c r="B76" s="684">
        <v>1921</v>
      </c>
      <c r="C76" s="79">
        <v>13</v>
      </c>
      <c r="D76" t="s" s="96">
        <v>2897</v>
      </c>
      <c r="E76" t="s" s="96">
        <v>3164</v>
      </c>
      <c r="F76" s="76"/>
      <c r="G76" s="740"/>
      <c r="H76" s="740"/>
      <c r="I76" s="741">
        <v>60</v>
      </c>
      <c r="J76" s="79">
        <v>41</v>
      </c>
      <c r="K76" s="79">
        <v>12</v>
      </c>
      <c r="L76" s="79">
        <v>6</v>
      </c>
      <c r="M76" s="79">
        <v>1</v>
      </c>
      <c r="N76" s="79">
        <v>12</v>
      </c>
      <c r="O76" s="79">
        <v>6</v>
      </c>
      <c r="P76" s="79">
        <v>8</v>
      </c>
      <c r="Q76" s="79">
        <v>3</v>
      </c>
      <c r="R76" s="79">
        <v>8</v>
      </c>
      <c r="S76" s="79">
        <v>23</v>
      </c>
      <c r="T76" s="79">
        <v>1979</v>
      </c>
      <c r="U76" s="79">
        <v>0</v>
      </c>
      <c r="V76" s="79">
        <v>0</v>
      </c>
      <c r="W76" s="79">
        <v>0</v>
      </c>
      <c r="X76" s="79">
        <v>0</v>
      </c>
      <c r="Y76" s="79">
        <v>0</v>
      </c>
      <c r="Z76" s="79">
        <v>0</v>
      </c>
      <c r="AA76" s="79">
        <v>0</v>
      </c>
      <c r="AB76" s="79">
        <v>0</v>
      </c>
      <c r="AC76" s="79">
        <v>31</v>
      </c>
      <c r="AD76" s="274">
        <v>9</v>
      </c>
      <c r="AE76" s="39" cm="1">
        <f t="array" ref="AE76">AC76-AD76</f>
        <v>22</v>
      </c>
      <c r="AF76" s="458">
        <v>32</v>
      </c>
      <c r="AG76" s="56" cm="1">
        <f t="array" ref="AG76">I76-AF76</f>
        <v>28</v>
      </c>
      <c r="AH76" s="56" cm="1">
        <f t="array" ref="AH76">AF76+AG76</f>
        <v>60</v>
      </c>
      <c r="AI76" s="649">
        <v>0</v>
      </c>
      <c r="AJ76" s="112">
        <v>0</v>
      </c>
      <c r="AK76" s="112">
        <v>0</v>
      </c>
      <c r="AL76" s="112">
        <v>0</v>
      </c>
      <c r="AM76" s="112">
        <v>0</v>
      </c>
      <c r="AN76" s="112">
        <v>0</v>
      </c>
      <c r="AO76" s="112">
        <v>0</v>
      </c>
      <c r="AP76" s="112">
        <v>0</v>
      </c>
      <c r="AQ76" s="112">
        <v>0</v>
      </c>
      <c r="AR76" s="112">
        <v>0</v>
      </c>
      <c r="AS76" s="112">
        <v>0</v>
      </c>
      <c r="AT76" s="112">
        <v>0</v>
      </c>
      <c r="AU76" s="112">
        <v>0</v>
      </c>
      <c r="AV76" s="30"/>
      <c r="AW76" s="30"/>
      <c r="AX76" s="30"/>
      <c r="AY76" s="30"/>
      <c r="AZ76" s="30"/>
      <c r="BA76" s="30"/>
      <c r="BB76" s="30"/>
      <c r="BC76" s="74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16"/>
      <c r="BQ76" s="16"/>
      <c r="BR76" s="16"/>
      <c r="BS76" s="16"/>
      <c r="BT76" s="16"/>
    </row>
    <row r="77" ht="15.35" customHeight="1">
      <c r="A77" t="s" s="271">
        <v>2926</v>
      </c>
      <c r="B77" t="s" s="630">
        <v>3131</v>
      </c>
      <c r="C77" s="272">
        <v>10</v>
      </c>
      <c r="D77" t="s" s="96">
        <v>2936</v>
      </c>
      <c r="E77" s="16"/>
      <c r="F77" s="440">
        <v>9</v>
      </c>
      <c r="G77" s="740"/>
      <c r="H77" s="740"/>
      <c r="I77" s="741">
        <v>40</v>
      </c>
      <c r="J77" s="79">
        <v>23</v>
      </c>
      <c r="K77" s="79">
        <v>11</v>
      </c>
      <c r="L77" s="79">
        <v>4</v>
      </c>
      <c r="M77" s="79">
        <v>2</v>
      </c>
      <c r="N77" s="79">
        <v>10</v>
      </c>
      <c r="O77" s="79">
        <v>0</v>
      </c>
      <c r="P77" s="79">
        <v>6</v>
      </c>
      <c r="Q77" s="79">
        <v>2</v>
      </c>
      <c r="R77" s="79">
        <v>3</v>
      </c>
      <c r="S77" s="79">
        <v>10</v>
      </c>
      <c r="T77" s="79">
        <v>1489</v>
      </c>
      <c r="U77" s="79">
        <v>20</v>
      </c>
      <c r="V77" s="79">
        <v>12</v>
      </c>
      <c r="W77" s="79">
        <v>2</v>
      </c>
      <c r="X77" s="16"/>
      <c r="Y77" s="16"/>
      <c r="Z77" s="16"/>
      <c r="AA77" s="16"/>
      <c r="AB77" s="16"/>
      <c r="AC77" s="79">
        <v>21</v>
      </c>
      <c r="AD77" s="470"/>
      <c r="AE77" s="39" cm="1">
        <f t="array" ref="AE77">AC77-AD77</f>
        <v>21</v>
      </c>
      <c r="AF77" s="458">
        <v>13</v>
      </c>
      <c r="AG77" s="56" cm="1">
        <f t="array" ref="AG77">I77-AF77</f>
        <v>27</v>
      </c>
      <c r="AH77" s="56" cm="1">
        <f t="array" ref="AH77">AF77+AG77</f>
        <v>40</v>
      </c>
      <c r="AI77" s="541"/>
      <c r="AJ77" s="30"/>
      <c r="AK77" s="30"/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  <c r="BC77" s="74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16"/>
      <c r="BQ77" s="16"/>
      <c r="BR77" s="16"/>
      <c r="BS77" s="16"/>
      <c r="BT77" s="16"/>
    </row>
    <row r="78" ht="15.35" customHeight="1">
      <c r="A78" t="s" s="96">
        <v>2926</v>
      </c>
      <c r="B78" s="750">
        <v>1921</v>
      </c>
      <c r="C78" s="79">
        <v>11</v>
      </c>
      <c r="D78" t="s" s="96">
        <v>2936</v>
      </c>
      <c r="E78" s="16"/>
      <c r="F78" s="76"/>
      <c r="G78" s="740"/>
      <c r="H78" s="740"/>
      <c r="I78" s="741">
        <v>42</v>
      </c>
      <c r="J78" s="79">
        <v>24</v>
      </c>
      <c r="K78" s="79">
        <v>13</v>
      </c>
      <c r="L78" s="79">
        <v>5</v>
      </c>
      <c r="M78" s="79">
        <v>0</v>
      </c>
      <c r="N78" s="79">
        <v>10</v>
      </c>
      <c r="O78" s="79">
        <v>5</v>
      </c>
      <c r="P78" s="79">
        <v>7</v>
      </c>
      <c r="Q78" s="79">
        <v>1</v>
      </c>
      <c r="R78" s="79">
        <v>12</v>
      </c>
      <c r="S78" s="79">
        <v>7</v>
      </c>
      <c r="T78" s="79">
        <v>1567</v>
      </c>
      <c r="U78" s="16"/>
      <c r="V78" s="16"/>
      <c r="W78" s="16"/>
      <c r="X78" s="79">
        <v>0</v>
      </c>
      <c r="Y78" s="79">
        <v>0</v>
      </c>
      <c r="Z78" s="79">
        <v>0</v>
      </c>
      <c r="AA78" s="79">
        <v>0</v>
      </c>
      <c r="AB78" s="79">
        <v>1</v>
      </c>
      <c r="AC78" s="79">
        <v>17</v>
      </c>
      <c r="AD78" s="274">
        <v>2</v>
      </c>
      <c r="AE78" s="39" cm="1">
        <f t="array" ref="AE78">AC78-AD78</f>
        <v>15</v>
      </c>
      <c r="AF78" s="458">
        <v>23</v>
      </c>
      <c r="AG78" s="56" cm="1">
        <f t="array" ref="AG78">I78-AF78</f>
        <v>19</v>
      </c>
      <c r="AH78" s="56" cm="1">
        <f t="array" ref="AH78">AF78+AG78</f>
        <v>42</v>
      </c>
      <c r="AI78" s="541"/>
      <c r="AJ78" s="30"/>
      <c r="AK78" s="30"/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74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16"/>
      <c r="BQ78" s="16"/>
      <c r="BR78" s="16"/>
      <c r="BS78" s="16"/>
      <c r="BT78" s="16"/>
    </row>
    <row r="79" ht="15.35" customHeight="1">
      <c r="A79" t="s" s="96">
        <v>3170</v>
      </c>
      <c r="B79" s="101"/>
      <c r="C79" s="79" cm="1">
        <f t="array" ref="C79">SUM(C3:C78)</f>
        <v>640</v>
      </c>
      <c r="D79" s="79" cm="1">
        <f t="array" ref="D79">SUM(D3:D78)</f>
        <v>0</v>
      </c>
      <c r="E79" s="79" cm="1">
        <f t="array" ref="E79">SUM(E3:E78)</f>
        <v>0</v>
      </c>
      <c r="F79" s="79" cm="1">
        <f t="array" ref="F79">SUM(F3:F78)</f>
        <v>252</v>
      </c>
      <c r="G79" s="751" cm="1">
        <f t="array" ref="G79">SUM(G3:G78)</f>
        <v>0</v>
      </c>
      <c r="H79" s="264" cm="1">
        <f t="array" ref="H79">SUM(H3:H78)</f>
        <v>7</v>
      </c>
      <c r="I79" s="99" cm="1">
        <f t="array" ref="I79">SUM(I3:I78)</f>
        <v>3078</v>
      </c>
      <c r="J79" s="79" cm="1">
        <f t="array" ref="J79">SUM(J3:J78)</f>
        <v>2044</v>
      </c>
      <c r="K79" s="79" cm="1">
        <f t="array" ref="K79">SUM(K3:K78)</f>
        <v>756</v>
      </c>
      <c r="L79" s="79" cm="1">
        <f t="array" ref="L79">SUM(L3:L78)</f>
        <v>181</v>
      </c>
      <c r="M79" s="79" cm="1">
        <f t="array" ref="M79">SUM(M3:M78)</f>
        <v>134</v>
      </c>
      <c r="N79" s="79" cm="1">
        <f t="array" ref="N79">SUM(N3:N78)</f>
        <v>597</v>
      </c>
      <c r="O79" s="79" cm="1">
        <f t="array" ref="O79">SUM(O3:O78)</f>
        <v>373</v>
      </c>
      <c r="P79" s="79" cm="1">
        <f t="array" ref="P79">SUM(P3:P78)</f>
        <v>414</v>
      </c>
      <c r="Q79" s="79" cm="1">
        <f t="array" ref="Q79">SUM(Q3:Q78)</f>
        <v>265</v>
      </c>
      <c r="R79" s="79" cm="1">
        <f t="array" ref="R79">SUM(R3:R78)</f>
        <v>362</v>
      </c>
      <c r="S79" s="79" cm="1">
        <f t="array" ref="S79">SUM(S3:S78)</f>
        <v>1075</v>
      </c>
      <c r="T79" s="99" cm="1">
        <f t="array" ref="T79">SUM(T3:T78)</f>
        <v>108920.9</v>
      </c>
      <c r="U79" s="79" cm="1">
        <f t="array" ref="U79">SUM(U3:U78)</f>
        <v>427</v>
      </c>
      <c r="V79" s="79" cm="1">
        <f t="array" ref="V79">SUM(V3:V78)</f>
        <v>983</v>
      </c>
      <c r="W79" s="79" cm="1">
        <f t="array" ref="W79">SUM(W3:W78)</f>
        <v>99</v>
      </c>
      <c r="X79" s="79" cm="1">
        <f t="array" ref="X79">SUM(X3:X78)</f>
        <v>2617</v>
      </c>
      <c r="Y79" s="79" cm="1">
        <f t="array" ref="Y79">SUM(Y3:Y78)</f>
        <v>322</v>
      </c>
      <c r="Z79" s="79" cm="1">
        <f t="array" ref="Z79">SUM(Z3:Z78)</f>
        <v>278</v>
      </c>
      <c r="AA79" s="79" cm="1">
        <f t="array" ref="AA79">SUM(AA3:AA78)</f>
        <v>0</v>
      </c>
      <c r="AB79" s="79" cm="1">
        <f t="array" ref="AB79">SUM(AB3:AB78)</f>
        <v>1</v>
      </c>
      <c r="AC79" s="79" cm="1">
        <f t="array" ref="AC79">SUM(AC3:AC78)</f>
        <v>1888</v>
      </c>
      <c r="AD79" s="79" cm="1">
        <f t="array" ref="AD79">SUM(AD3:AD78)</f>
        <v>229</v>
      </c>
      <c r="AE79" s="72" cm="1">
        <f t="array" ref="AE79">SUM(AE3:AE78)</f>
        <v>1659</v>
      </c>
      <c r="AF79" s="79" cm="1">
        <f t="array" ref="AF79">SUM(AF3:AF78)</f>
        <v>1505</v>
      </c>
      <c r="AG79" s="645" cm="1">
        <f t="array" ref="AG79">SUM(AG3:AG78)</f>
        <v>1573</v>
      </c>
      <c r="AH79" s="645" cm="1">
        <f t="array" ref="AH79">SUM(AH3:AH78)</f>
        <v>3078</v>
      </c>
      <c r="AI79" s="123" cm="1">
        <f t="array" ref="AI79">SUM(AI3:AI78)</f>
        <v>255</v>
      </c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74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16"/>
      <c r="BQ79" s="16"/>
      <c r="BR79" s="16"/>
      <c r="BS79" s="16"/>
      <c r="BT79" s="16"/>
    </row>
    <row r="80" ht="15.35" customHeight="1">
      <c r="A80" s="603"/>
      <c r="B80" s="752"/>
      <c r="C80" s="466"/>
      <c r="D80" s="466"/>
      <c r="E80" s="16"/>
      <c r="F80" s="466"/>
      <c r="G80" s="753"/>
      <c r="H80" s="466"/>
      <c r="I80" s="466"/>
      <c r="J80" s="466"/>
      <c r="K80" s="466"/>
      <c r="L80" s="466"/>
      <c r="M80" s="466"/>
      <c r="N80" s="466"/>
      <c r="O80" s="466"/>
      <c r="P80" s="466"/>
      <c r="Q80" s="466"/>
      <c r="R80" s="466"/>
      <c r="S80" s="466"/>
      <c r="T80" s="466"/>
      <c r="U80" s="466"/>
      <c r="V80" s="466"/>
      <c r="W80" s="466"/>
      <c r="X80" s="466"/>
      <c r="Y80" s="466"/>
      <c r="Z80" s="466"/>
      <c r="AA80" s="466"/>
      <c r="AB80" s="466"/>
      <c r="AC80" s="466"/>
      <c r="AD80" s="466"/>
      <c r="AE80" s="466"/>
      <c r="AF80" s="466"/>
      <c r="AG80" s="466"/>
      <c r="AH80" s="466"/>
      <c r="AI80" s="626"/>
      <c r="AJ80" s="30"/>
      <c r="AK80" s="30"/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131"/>
      <c r="BD80" s="132"/>
      <c r="BE80" s="132"/>
      <c r="BF80" s="132"/>
      <c r="BG80" s="132"/>
      <c r="BH80" s="132"/>
      <c r="BI80" s="132"/>
      <c r="BJ80" s="132"/>
      <c r="BK80" s="132"/>
      <c r="BL80" s="132"/>
      <c r="BM80" s="132"/>
      <c r="BN80" s="132"/>
      <c r="BO80" s="132"/>
      <c r="BP80" s="132"/>
      <c r="BQ80" s="132"/>
      <c r="BR80" s="132"/>
      <c r="BS80" s="132"/>
      <c r="BT80" s="132"/>
    </row>
    <row r="81" ht="17.45" customHeight="1">
      <c r="A81" t="s" s="37">
        <v>723</v>
      </c>
      <c r="B81" t="s" s="754">
        <v>3131</v>
      </c>
      <c r="C81" s="39">
        <v>325</v>
      </c>
      <c r="D81" s="39">
        <v>38</v>
      </c>
      <c r="E81" s="460"/>
      <c r="F81" s="39">
        <v>282</v>
      </c>
      <c r="G81" s="531"/>
      <c r="H81" s="531"/>
      <c r="I81" s="56">
        <v>1634</v>
      </c>
      <c r="J81" s="39">
        <v>1065</v>
      </c>
      <c r="K81" s="39">
        <v>400</v>
      </c>
      <c r="L81" s="39">
        <v>109</v>
      </c>
      <c r="M81" s="39">
        <v>83</v>
      </c>
      <c r="N81" s="39">
        <v>304</v>
      </c>
      <c r="O81" s="39">
        <v>182</v>
      </c>
      <c r="P81" s="39">
        <v>244</v>
      </c>
      <c r="Q81" s="39">
        <v>165</v>
      </c>
      <c r="R81" s="39">
        <v>158</v>
      </c>
      <c r="S81" s="39">
        <v>594</v>
      </c>
      <c r="T81" s="56">
        <v>55707.9</v>
      </c>
      <c r="U81" s="39">
        <v>418</v>
      </c>
      <c r="V81" s="39">
        <v>963</v>
      </c>
      <c r="W81" s="39">
        <v>94</v>
      </c>
      <c r="X81" s="39">
        <v>2617</v>
      </c>
      <c r="Y81" s="39">
        <v>322</v>
      </c>
      <c r="Z81" s="39">
        <v>278</v>
      </c>
      <c r="AA81" s="39">
        <v>0</v>
      </c>
      <c r="AB81" s="39">
        <v>0</v>
      </c>
      <c r="AC81" s="39">
        <v>1016</v>
      </c>
      <c r="AD81" s="39">
        <v>121</v>
      </c>
      <c r="AE81" s="39">
        <v>895</v>
      </c>
      <c r="AF81" s="39">
        <v>841</v>
      </c>
      <c r="AG81" s="39">
        <v>793</v>
      </c>
      <c r="AH81" s="39">
        <v>1634</v>
      </c>
      <c r="AI81" s="545">
        <v>161</v>
      </c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755"/>
      <c r="AY81" s="755"/>
      <c r="AZ81" s="755"/>
      <c r="BA81" s="755"/>
      <c r="BB81" s="755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</row>
    <row r="82" ht="15.35" customHeight="1">
      <c r="A82" t="s" s="73">
        <v>723</v>
      </c>
      <c r="B82" t="s" s="756">
        <v>725</v>
      </c>
      <c r="C82" s="72">
        <v>315</v>
      </c>
      <c r="D82" s="72">
        <v>36</v>
      </c>
      <c r="E82" s="16"/>
      <c r="F82" s="68"/>
      <c r="G82" s="69"/>
      <c r="H82" s="757"/>
      <c r="I82" s="72">
        <v>1444</v>
      </c>
      <c r="J82" s="72">
        <v>979</v>
      </c>
      <c r="K82" s="72">
        <v>356</v>
      </c>
      <c r="L82" s="72">
        <v>72</v>
      </c>
      <c r="M82" s="72">
        <v>51</v>
      </c>
      <c r="N82" s="72">
        <v>293</v>
      </c>
      <c r="O82" s="72">
        <v>191</v>
      </c>
      <c r="P82" s="72">
        <v>170</v>
      </c>
      <c r="Q82" s="72">
        <v>100</v>
      </c>
      <c r="R82" s="72">
        <v>204</v>
      </c>
      <c r="S82" s="72">
        <v>481</v>
      </c>
      <c r="T82" s="72">
        <v>53213</v>
      </c>
      <c r="U82" s="72">
        <v>9</v>
      </c>
      <c r="V82" s="72">
        <v>20</v>
      </c>
      <c r="W82" s="72">
        <v>5</v>
      </c>
      <c r="X82" s="72">
        <v>0</v>
      </c>
      <c r="Y82" s="72">
        <v>0</v>
      </c>
      <c r="Z82" s="72">
        <v>0</v>
      </c>
      <c r="AA82" s="645"/>
      <c r="AB82" s="645"/>
      <c r="AC82" s="72">
        <v>872</v>
      </c>
      <c r="AD82" s="72">
        <v>108</v>
      </c>
      <c r="AE82" s="72">
        <v>764</v>
      </c>
      <c r="AF82" s="72">
        <v>664</v>
      </c>
      <c r="AG82" s="72">
        <v>780</v>
      </c>
      <c r="AH82" s="72">
        <v>1444</v>
      </c>
      <c r="AI82" s="71"/>
      <c r="AJ82" s="62"/>
      <c r="AK82" s="62"/>
      <c r="AL82" s="62"/>
      <c r="AM82" s="62"/>
      <c r="AN82" s="62"/>
      <c r="AO82" s="62"/>
      <c r="AP82" s="62"/>
      <c r="AQ82" s="62"/>
      <c r="AR82" s="62"/>
      <c r="AS82" s="62"/>
      <c r="AT82" s="62"/>
      <c r="AU82" s="62"/>
      <c r="AV82" s="62"/>
      <c r="AW82" s="62"/>
      <c r="AX82" s="62"/>
      <c r="AY82" s="62"/>
      <c r="AZ82" s="62"/>
      <c r="BA82" s="62"/>
      <c r="BB82" s="62"/>
      <c r="BC82" s="62"/>
      <c r="BD82" s="62"/>
      <c r="BE82" s="62"/>
      <c r="BF82" s="62"/>
      <c r="BG82" s="62"/>
      <c r="BH82" s="62"/>
      <c r="BI82" s="62"/>
      <c r="BJ82" s="62"/>
      <c r="BK82" s="62"/>
      <c r="BL82" s="62"/>
      <c r="BM82" s="62"/>
      <c r="BN82" s="62"/>
      <c r="BO82" s="62"/>
      <c r="BP82" s="62"/>
      <c r="BQ82" s="62"/>
      <c r="BR82" s="62"/>
      <c r="BS82" s="62"/>
      <c r="BT82" s="62"/>
    </row>
    <row r="83" ht="15.35" customHeight="1">
      <c r="A83" t="s" s="96">
        <v>723</v>
      </c>
      <c r="B83" t="s" s="758">
        <v>3171</v>
      </c>
      <c r="C83" s="79" cm="1">
        <f t="array" ref="C83">SUM(C81:C82)</f>
        <v>640</v>
      </c>
      <c r="D83" s="79" cm="1">
        <f t="array" ref="D83">SUM(D81:D82)</f>
        <v>74</v>
      </c>
      <c r="E83" s="79" cm="1">
        <f t="array" ref="E83">SUM(E81:E82)</f>
        <v>0</v>
      </c>
      <c r="F83" s="79" cm="1">
        <f t="array" ref="F83">SUM(F81:F82)</f>
        <v>282</v>
      </c>
      <c r="G83" s="759" cm="1">
        <f t="array" ref="G83">SUM(G81:G82)</f>
        <v>0</v>
      </c>
      <c r="H83" s="99" cm="1">
        <f t="array" ref="H83">SUM(H81:H82)</f>
        <v>0</v>
      </c>
      <c r="I83" s="99" cm="1">
        <f t="array" ref="I83">SUM(I81:I82)</f>
        <v>3078</v>
      </c>
      <c r="J83" s="79" cm="1">
        <f t="array" ref="J83">SUM(J81:J82)</f>
        <v>2044</v>
      </c>
      <c r="K83" s="79" cm="1">
        <f t="array" ref="K83">SUM(K81:K82)</f>
        <v>756</v>
      </c>
      <c r="L83" s="79" cm="1">
        <f t="array" ref="L83">SUM(L81:L82)</f>
        <v>181</v>
      </c>
      <c r="M83" s="79" cm="1">
        <f t="array" ref="M83">SUM(M81:M82)</f>
        <v>134</v>
      </c>
      <c r="N83" s="79" cm="1">
        <f t="array" ref="N83">SUM(N81:N82)</f>
        <v>597</v>
      </c>
      <c r="O83" s="79" cm="1">
        <f t="array" ref="O83">SUM(O81:O82)</f>
        <v>373</v>
      </c>
      <c r="P83" s="79" cm="1">
        <f t="array" ref="P83">SUM(P81:P82)</f>
        <v>414</v>
      </c>
      <c r="Q83" s="79" cm="1">
        <f t="array" ref="Q83">SUM(Q81:Q82)</f>
        <v>265</v>
      </c>
      <c r="R83" s="79" cm="1">
        <f t="array" ref="R83">SUM(R81:R82)</f>
        <v>362</v>
      </c>
      <c r="S83" s="79" cm="1">
        <f t="array" ref="S83">SUM(S81:S82)</f>
        <v>1075</v>
      </c>
      <c r="T83" s="99" cm="1">
        <f t="array" ref="T83">SUM(T81:T82)</f>
        <v>108920.9</v>
      </c>
      <c r="U83" s="79" cm="1">
        <f t="array" ref="U83">SUM(U81:U82)</f>
        <v>427</v>
      </c>
      <c r="V83" s="79" cm="1">
        <f t="array" ref="V83">SUM(V81:V82)</f>
        <v>983</v>
      </c>
      <c r="W83" s="79" cm="1">
        <f t="array" ref="W83">SUM(W81:W82)</f>
        <v>99</v>
      </c>
      <c r="X83" s="79" cm="1">
        <f t="array" ref="X83">SUM(X81:X82)</f>
        <v>2617</v>
      </c>
      <c r="Y83" s="79" cm="1">
        <f t="array" ref="Y83">SUM(Y81:Y82)</f>
        <v>322</v>
      </c>
      <c r="Z83" s="79" cm="1">
        <f t="array" ref="Z83">SUM(Z81:Z82)</f>
        <v>278</v>
      </c>
      <c r="AA83" s="99" cm="1">
        <f t="array" ref="AA83">SUM(AA81:AA82)</f>
        <v>0</v>
      </c>
      <c r="AB83" s="99" cm="1">
        <f t="array" ref="AB83">SUM(AB81:AB82)</f>
        <v>0</v>
      </c>
      <c r="AC83" s="79" cm="1">
        <f t="array" ref="AC83">SUM(AC81:AC82)</f>
        <v>1888</v>
      </c>
      <c r="AD83" s="79" cm="1">
        <f t="array" ref="AD83">SUM(AD81:AD82)</f>
        <v>229</v>
      </c>
      <c r="AE83" s="79" cm="1">
        <f t="array" ref="AE83">SUM(AE81:AE82)</f>
        <v>1659</v>
      </c>
      <c r="AF83" s="79" cm="1">
        <f t="array" ref="AF83">SUM(AF81:AF82)</f>
        <v>1505</v>
      </c>
      <c r="AG83" s="79" cm="1">
        <f t="array" ref="AG83">SUM(AG81:AG82)</f>
        <v>1573</v>
      </c>
      <c r="AH83" s="79" cm="1">
        <f t="array" ref="AH83">SUM(AH81:AH82)</f>
        <v>3078</v>
      </c>
      <c r="AI83" s="79" cm="1">
        <f t="array" ref="AI83">SUM(AI81:AI82)</f>
        <v>161</v>
      </c>
      <c r="AJ83" s="16"/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  <c r="AZ83" s="16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16"/>
      <c r="BQ83" s="16"/>
      <c r="BR83" s="16"/>
      <c r="BS83" s="16"/>
      <c r="BT83" s="16"/>
    </row>
    <row r="84" ht="15.35" customHeight="1">
      <c r="A84" s="466"/>
      <c r="B84" s="753"/>
      <c r="C84" s="466"/>
      <c r="D84" s="466"/>
      <c r="E84" s="16"/>
      <c r="F84" s="728"/>
      <c r="G84" s="605"/>
      <c r="H84" s="760"/>
      <c r="I84" s="480"/>
      <c r="J84" s="480"/>
      <c r="K84" s="480"/>
      <c r="L84" s="480"/>
      <c r="M84" s="480"/>
      <c r="N84" s="480"/>
      <c r="O84" s="480"/>
      <c r="P84" s="480"/>
      <c r="Q84" s="480"/>
      <c r="R84" s="480"/>
      <c r="S84" s="480"/>
      <c r="T84" s="478"/>
      <c r="U84" s="480"/>
      <c r="V84" s="480"/>
      <c r="W84" s="480"/>
      <c r="X84" s="480"/>
      <c r="Y84" s="480"/>
      <c r="Z84" s="480"/>
      <c r="AA84" s="480"/>
      <c r="AB84" s="480"/>
      <c r="AC84" s="477" cm="1">
        <f t="array" ref="AC84">AC83-AC79</f>
        <v>0</v>
      </c>
      <c r="AD84" s="477" cm="1">
        <f t="array" ref="AD84">AD79-AD83</f>
        <v>0</v>
      </c>
      <c r="AE84" s="477" cm="1">
        <f t="array" ref="AE84">AE83-AE79</f>
        <v>0</v>
      </c>
      <c r="AF84" s="477" cm="1">
        <f t="array" ref="AF84">AF83-AF79</f>
        <v>0</v>
      </c>
      <c r="AG84" s="478" cm="1">
        <f t="array" ref="AG84">AG83-AG79</f>
        <v>0</v>
      </c>
      <c r="AH84" s="478" cm="1">
        <f t="array" ref="AH84">AH83-AH79</f>
        <v>0</v>
      </c>
      <c r="AI84" s="466"/>
      <c r="AJ84" s="132"/>
      <c r="AK84" s="132"/>
      <c r="AL84" s="132"/>
      <c r="AM84" s="132"/>
      <c r="AN84" s="132"/>
      <c r="AO84" s="132"/>
      <c r="AP84" s="132"/>
      <c r="AQ84" s="132"/>
      <c r="AR84" s="132"/>
      <c r="AS84" s="132"/>
      <c r="AT84" s="132"/>
      <c r="AU84" s="132"/>
      <c r="AV84" s="132"/>
      <c r="AW84" s="132"/>
      <c r="AX84" s="132"/>
      <c r="AY84" s="132"/>
      <c r="AZ84" s="132"/>
      <c r="BA84" s="132"/>
      <c r="BB84" s="132"/>
      <c r="BC84" s="132"/>
      <c r="BD84" s="132"/>
      <c r="BE84" s="132"/>
      <c r="BF84" s="132"/>
      <c r="BG84" s="132"/>
      <c r="BH84" s="132"/>
      <c r="BI84" s="132"/>
      <c r="BJ84" s="132"/>
      <c r="BK84" s="132"/>
      <c r="BL84" s="132"/>
      <c r="BM84" s="132"/>
      <c r="BN84" s="132"/>
      <c r="BO84" s="132"/>
      <c r="BP84" s="132"/>
      <c r="BQ84" s="132"/>
      <c r="BR84" s="132"/>
      <c r="BS84" s="132"/>
      <c r="BT84" s="132"/>
    </row>
    <row r="85" ht="17.45" customHeight="1">
      <c r="A85" s="37"/>
      <c r="B85" s="630"/>
      <c r="C85" s="32"/>
      <c r="D85" s="32"/>
      <c r="E85" s="460"/>
      <c r="F85" s="32"/>
      <c r="G85" s="610"/>
      <c r="H85" s="610"/>
      <c r="I85" s="761"/>
      <c r="J85" s="762"/>
      <c r="K85" s="762"/>
      <c r="L85" s="762"/>
      <c r="M85" s="762"/>
      <c r="N85" s="762"/>
      <c r="O85" s="762"/>
      <c r="P85" s="762"/>
      <c r="Q85" s="762"/>
      <c r="R85" s="762"/>
      <c r="S85" s="762"/>
      <c r="T85" s="762"/>
      <c r="U85" s="762"/>
      <c r="V85" s="762"/>
      <c r="W85" s="762"/>
      <c r="X85" s="762"/>
      <c r="Y85" s="762"/>
      <c r="Z85" s="762"/>
      <c r="AA85" s="762"/>
      <c r="AB85" s="762"/>
      <c r="AC85" s="762"/>
      <c r="AD85" s="762"/>
      <c r="AE85" s="762"/>
      <c r="AF85" s="762"/>
      <c r="AG85" s="762"/>
      <c r="AH85" s="762"/>
      <c r="AI85" s="763"/>
      <c r="AJ85" s="30"/>
      <c r="AK85" s="30"/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28"/>
      <c r="AY85" s="28"/>
      <c r="AZ85" s="28"/>
      <c r="BA85" s="28"/>
      <c r="BB85" s="28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5.xml><?xml version="1.0" encoding="utf-8"?>
<worksheet xmlns:r="http://schemas.openxmlformats.org/officeDocument/2006/relationships" xmlns="http://schemas.openxmlformats.org/spreadsheetml/2006/main">
  <dimension ref="A1:BT38"/>
  <sheetViews>
    <sheetView workbookViewId="0" showGridLines="0" defaultGridColor="1"/>
  </sheetViews>
  <sheetFormatPr defaultColWidth="10.8333" defaultRowHeight="16" customHeight="1" outlineLevelRow="0" outlineLevelCol="0"/>
  <cols>
    <col min="1" max="1" width="8.17188" style="764" customWidth="1"/>
    <col min="2" max="2" width="9.67188" style="764" customWidth="1"/>
    <col min="3" max="3" width="9.17188" style="764" customWidth="1"/>
    <col min="4" max="4" width="16.6719" style="764" customWidth="1"/>
    <col min="5" max="5" width="17.1719" style="764" customWidth="1"/>
    <col min="6" max="6" width="11" style="764" customWidth="1"/>
    <col min="7" max="7" width="9.67188" style="764" customWidth="1"/>
    <col min="8" max="10" width="10.6719" style="764" customWidth="1"/>
    <col min="11" max="13" width="10.8516" style="764" customWidth="1"/>
    <col min="14" max="14" width="12.3516" style="764" customWidth="1"/>
    <col min="15" max="72" width="10.8516" style="764" customWidth="1"/>
    <col min="73" max="16384" width="10.8516" style="764" customWidth="1"/>
  </cols>
  <sheetData>
    <row r="1" ht="51" customHeight="1">
      <c r="A1" t="s" s="23">
        <v>3165</v>
      </c>
      <c r="B1" t="s" s="23">
        <v>3009</v>
      </c>
      <c r="C1" t="s" s="23">
        <v>3166</v>
      </c>
      <c r="D1" t="s" s="23">
        <v>455</v>
      </c>
      <c r="E1" t="s" s="23">
        <v>3167</v>
      </c>
      <c r="F1" t="s" s="670">
        <v>3168</v>
      </c>
      <c r="G1" s="671"/>
      <c r="H1" s="74"/>
      <c r="I1" t="s" s="672">
        <v>3129</v>
      </c>
      <c r="J1" t="s" s="24">
        <v>274</v>
      </c>
      <c r="K1" s="26"/>
      <c r="L1" s="26"/>
      <c r="M1" s="26"/>
      <c r="N1" t="s" s="24">
        <v>275</v>
      </c>
      <c r="O1" s="26"/>
      <c r="P1" s="26"/>
      <c r="Q1" s="26"/>
      <c r="R1" s="26"/>
      <c r="S1" s="26"/>
      <c r="T1" t="s" s="24">
        <v>276</v>
      </c>
      <c r="U1" t="s" s="24">
        <v>277</v>
      </c>
      <c r="V1" t="s" s="24">
        <v>278</v>
      </c>
      <c r="W1" t="s" s="24">
        <v>279</v>
      </c>
      <c r="X1" t="s" s="24">
        <v>280</v>
      </c>
      <c r="Y1" t="s" s="24">
        <v>281</v>
      </c>
      <c r="Z1" t="s" s="24">
        <v>282</v>
      </c>
      <c r="AA1" t="s" s="24">
        <v>283</v>
      </c>
      <c r="AB1" t="s" s="24">
        <v>284</v>
      </c>
      <c r="AC1" t="s" s="24">
        <v>285</v>
      </c>
      <c r="AD1" t="s" s="24">
        <v>286</v>
      </c>
      <c r="AE1" s="454"/>
      <c r="AF1" t="s" s="35">
        <v>3062</v>
      </c>
      <c r="AG1" s="33"/>
      <c r="AH1" s="33"/>
      <c r="AI1" s="453"/>
      <c r="AJ1" s="26"/>
      <c r="AK1" s="28"/>
      <c r="AL1" s="28"/>
      <c r="AM1" s="29"/>
      <c r="AN1" s="29"/>
      <c r="AO1" s="30"/>
      <c r="AP1" s="29"/>
      <c r="AQ1" s="29"/>
      <c r="AR1" s="29"/>
      <c r="AS1" s="30"/>
      <c r="AT1" s="28"/>
      <c r="AU1" s="28"/>
      <c r="AV1" s="28"/>
      <c r="AW1" s="28"/>
      <c r="AX1" s="28"/>
      <c r="AY1" s="28"/>
      <c r="AZ1" s="28"/>
      <c r="BA1" s="29"/>
      <c r="BB1" s="30"/>
      <c r="BC1" s="30"/>
      <c r="BD1" s="74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  <c r="BP1" s="16"/>
      <c r="BQ1" s="16"/>
      <c r="BR1" s="16"/>
      <c r="BS1" s="16"/>
      <c r="BT1" s="16"/>
    </row>
    <row r="2" ht="34" customHeight="1">
      <c r="A2" s="31"/>
      <c r="B2" s="31"/>
      <c r="C2" s="32"/>
      <c r="D2" s="32"/>
      <c r="E2" s="32"/>
      <c r="F2" s="464"/>
      <c r="G2" s="34"/>
      <c r="H2" s="464"/>
      <c r="I2" s="33"/>
      <c r="J2" t="s" s="35">
        <v>292</v>
      </c>
      <c r="K2" t="s" s="35">
        <v>293</v>
      </c>
      <c r="L2" t="s" s="35">
        <v>294</v>
      </c>
      <c r="M2" t="s" s="35">
        <v>295</v>
      </c>
      <c r="N2" t="s" s="35">
        <v>296</v>
      </c>
      <c r="O2" t="s" s="35">
        <v>297</v>
      </c>
      <c r="P2" t="s" s="35">
        <v>298</v>
      </c>
      <c r="Q2" t="s" s="35">
        <v>299</v>
      </c>
      <c r="R2" t="s" s="35">
        <v>300</v>
      </c>
      <c r="S2" t="s" s="35">
        <v>11</v>
      </c>
      <c r="T2" t="s" s="35">
        <v>301</v>
      </c>
      <c r="U2" t="s" s="35">
        <v>302</v>
      </c>
      <c r="V2" t="s" s="35">
        <v>303</v>
      </c>
      <c r="W2" t="s" s="36">
        <v>304</v>
      </c>
      <c r="X2" s="33"/>
      <c r="Y2" s="33"/>
      <c r="Z2" s="33"/>
      <c r="AA2" s="33"/>
      <c r="AB2" s="33"/>
      <c r="AC2" s="33"/>
      <c r="AD2" t="s" s="35">
        <v>8</v>
      </c>
      <c r="AE2" t="s" s="35">
        <v>459</v>
      </c>
      <c r="AF2" t="s" s="451">
        <v>306</v>
      </c>
      <c r="AG2" t="s" s="37">
        <v>300</v>
      </c>
      <c r="AH2" t="s" s="483">
        <v>458</v>
      </c>
      <c r="AI2" s="674"/>
      <c r="AJ2" s="674"/>
      <c r="AK2" s="38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131"/>
      <c r="BE2" s="132"/>
      <c r="BF2" s="132"/>
      <c r="BG2" s="132"/>
      <c r="BH2" s="132"/>
      <c r="BI2" s="132"/>
      <c r="BJ2" s="132"/>
      <c r="BK2" s="132"/>
      <c r="BL2" s="132"/>
      <c r="BM2" s="132"/>
      <c r="BN2" s="132"/>
      <c r="BO2" s="132"/>
      <c r="BP2" s="132"/>
      <c r="BQ2" s="132"/>
      <c r="BR2" s="132"/>
      <c r="BS2" s="132"/>
      <c r="BT2" s="132"/>
    </row>
    <row r="3" ht="17.45" customHeight="1">
      <c r="A3" t="s" s="37">
        <v>571</v>
      </c>
      <c r="B3" t="s" s="37">
        <v>3131</v>
      </c>
      <c r="C3" s="39">
        <v>4</v>
      </c>
      <c r="D3" t="s" s="37">
        <v>572</v>
      </c>
      <c r="E3" s="675"/>
      <c r="F3" s="39">
        <v>6</v>
      </c>
      <c r="G3" s="531"/>
      <c r="H3" s="531"/>
      <c r="I3" s="56">
        <v>18</v>
      </c>
      <c r="J3" s="39">
        <v>9</v>
      </c>
      <c r="K3" s="39">
        <v>7</v>
      </c>
      <c r="L3" s="39">
        <v>2</v>
      </c>
      <c r="M3" s="39">
        <v>0</v>
      </c>
      <c r="N3" s="39">
        <v>4</v>
      </c>
      <c r="O3" s="39">
        <v>3</v>
      </c>
      <c r="P3" s="39">
        <v>6</v>
      </c>
      <c r="Q3" s="39">
        <v>2</v>
      </c>
      <c r="R3" s="39">
        <v>3</v>
      </c>
      <c r="S3" s="39">
        <v>0</v>
      </c>
      <c r="T3" s="39">
        <v>669</v>
      </c>
      <c r="U3" s="39">
        <v>8</v>
      </c>
      <c r="V3" s="39">
        <v>7</v>
      </c>
      <c r="W3" s="39">
        <v>1</v>
      </c>
      <c r="X3" s="39">
        <v>96</v>
      </c>
      <c r="Y3" s="39">
        <v>12</v>
      </c>
      <c r="Z3" s="39">
        <v>11</v>
      </c>
      <c r="AA3" s="32"/>
      <c r="AB3" s="42"/>
      <c r="AC3" s="43" cm="1">
        <f t="array" ref="AC3">AD3+AE3</f>
        <v>12</v>
      </c>
      <c r="AD3" s="39">
        <v>0</v>
      </c>
      <c r="AE3" s="39">
        <v>12</v>
      </c>
      <c r="AF3" s="39">
        <v>15</v>
      </c>
      <c r="AG3" s="39">
        <v>3</v>
      </c>
      <c r="AH3" s="39" cm="1">
        <f t="array" ref="AH3">AF3+AG3</f>
        <v>18</v>
      </c>
      <c r="AI3" s="44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</row>
    <row r="4" ht="15.35" customHeight="1">
      <c r="A4" t="s" s="37">
        <v>571</v>
      </c>
      <c r="B4" s="39">
        <v>1921</v>
      </c>
      <c r="C4" s="39">
        <v>7</v>
      </c>
      <c r="D4" t="s" s="37">
        <v>572</v>
      </c>
      <c r="E4" s="465"/>
      <c r="F4" s="468"/>
      <c r="G4" s="627"/>
      <c r="H4" s="675"/>
      <c r="I4" s="39">
        <v>21</v>
      </c>
      <c r="J4" s="39">
        <v>14</v>
      </c>
      <c r="K4" s="39">
        <v>5</v>
      </c>
      <c r="L4" s="39">
        <v>1</v>
      </c>
      <c r="M4" s="39">
        <v>1</v>
      </c>
      <c r="N4" s="39">
        <v>7</v>
      </c>
      <c r="O4" s="39">
        <v>3</v>
      </c>
      <c r="P4" s="39">
        <v>2</v>
      </c>
      <c r="Q4" s="39">
        <v>2</v>
      </c>
      <c r="R4" s="39">
        <v>3</v>
      </c>
      <c r="S4" s="39">
        <v>4</v>
      </c>
      <c r="T4" s="39">
        <v>832</v>
      </c>
      <c r="U4" s="39">
        <v>0</v>
      </c>
      <c r="V4" s="39">
        <v>1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12</v>
      </c>
      <c r="AD4" s="39">
        <v>0</v>
      </c>
      <c r="AE4" s="39">
        <v>0</v>
      </c>
      <c r="AF4" s="39">
        <v>18</v>
      </c>
      <c r="AG4" s="39">
        <v>3</v>
      </c>
      <c r="AH4" s="39" cm="1">
        <f t="array" ref="AH4">AG4+AF4</f>
        <v>21</v>
      </c>
      <c r="AI4" s="139">
        <v>0</v>
      </c>
      <c r="AJ4" s="580">
        <v>0</v>
      </c>
      <c r="AK4" s="127">
        <v>0</v>
      </c>
      <c r="AL4" s="127">
        <v>0</v>
      </c>
      <c r="AM4" s="127">
        <v>0</v>
      </c>
      <c r="AN4" s="127">
        <v>0</v>
      </c>
      <c r="AO4" s="127">
        <v>0</v>
      </c>
      <c r="AP4" s="127">
        <v>0</v>
      </c>
      <c r="AQ4" s="180"/>
      <c r="AR4" s="180"/>
      <c r="AS4" s="180"/>
      <c r="AT4" s="180"/>
      <c r="AU4" s="180"/>
      <c r="AV4" s="180"/>
      <c r="AW4" s="180"/>
      <c r="AX4" s="180"/>
      <c r="AY4" s="180"/>
      <c r="AZ4" s="180"/>
      <c r="BA4" s="180"/>
      <c r="BB4" s="180"/>
      <c r="BC4" s="180"/>
      <c r="BD4" s="180"/>
      <c r="BE4" s="180"/>
      <c r="BF4" s="180"/>
      <c r="BG4" s="180"/>
      <c r="BH4" s="180"/>
      <c r="BI4" s="180"/>
      <c r="BJ4" s="180"/>
      <c r="BK4" s="180"/>
      <c r="BL4" s="180"/>
      <c r="BM4" s="180"/>
      <c r="BN4" s="180"/>
      <c r="BO4" s="180"/>
      <c r="BP4" s="180"/>
      <c r="BQ4" s="180"/>
      <c r="BR4" s="180"/>
      <c r="BS4" s="180"/>
      <c r="BT4" s="62"/>
    </row>
    <row r="5" ht="17.5" customHeight="1">
      <c r="A5" t="s" s="451">
        <v>3143</v>
      </c>
      <c r="B5" s="49">
        <v>1911</v>
      </c>
      <c r="C5" s="39">
        <v>18</v>
      </c>
      <c r="D5" t="s" s="37">
        <v>3144</v>
      </c>
      <c r="E5" s="32"/>
      <c r="F5" s="460"/>
      <c r="G5" s="41"/>
      <c r="H5" s="460"/>
      <c r="I5" s="56">
        <v>114</v>
      </c>
      <c r="J5" s="39">
        <v>74</v>
      </c>
      <c r="K5" s="39">
        <v>23</v>
      </c>
      <c r="L5" s="39">
        <v>9</v>
      </c>
      <c r="M5" s="39">
        <v>8</v>
      </c>
      <c r="N5" s="39">
        <v>16</v>
      </c>
      <c r="O5" s="39">
        <v>11</v>
      </c>
      <c r="P5" s="39">
        <v>10</v>
      </c>
      <c r="Q5" s="39">
        <v>12</v>
      </c>
      <c r="R5" s="39">
        <v>6</v>
      </c>
      <c r="S5" s="39">
        <v>59</v>
      </c>
      <c r="T5" s="39">
        <v>3282</v>
      </c>
      <c r="U5" s="39">
        <v>21</v>
      </c>
      <c r="V5" s="39">
        <v>71</v>
      </c>
      <c r="W5" s="39">
        <v>5</v>
      </c>
      <c r="X5" s="39">
        <v>41</v>
      </c>
      <c r="Y5" s="39">
        <v>8</v>
      </c>
      <c r="Z5" s="39">
        <v>8</v>
      </c>
      <c r="AA5" s="39">
        <v>0</v>
      </c>
      <c r="AB5" s="39">
        <v>0</v>
      </c>
      <c r="AC5" s="39">
        <v>81</v>
      </c>
      <c r="AD5" s="39">
        <v>14</v>
      </c>
      <c r="AE5" s="39">
        <v>34</v>
      </c>
      <c r="AF5" s="39">
        <v>61</v>
      </c>
      <c r="AG5" s="39" cm="1">
        <f t="array" ref="AG5">I5-AF5</f>
        <v>53</v>
      </c>
      <c r="AH5" s="39" cm="1">
        <f t="array" ref="AH5">AG5+AF5</f>
        <v>114</v>
      </c>
      <c r="AI5" s="38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74"/>
    </row>
    <row r="6" ht="15.35" customHeight="1">
      <c r="A6" t="s" s="37">
        <v>3143</v>
      </c>
      <c r="B6" s="39">
        <v>1921</v>
      </c>
      <c r="C6" s="39">
        <v>18</v>
      </c>
      <c r="D6" t="s" s="37">
        <v>3144</v>
      </c>
      <c r="E6" s="32"/>
      <c r="F6" s="460"/>
      <c r="G6" s="41"/>
      <c r="H6" s="460"/>
      <c r="I6" s="39">
        <v>91</v>
      </c>
      <c r="J6" s="39">
        <v>69</v>
      </c>
      <c r="K6" s="39">
        <v>15</v>
      </c>
      <c r="L6" s="39">
        <v>4</v>
      </c>
      <c r="M6" s="39">
        <v>3</v>
      </c>
      <c r="N6" s="39">
        <v>15</v>
      </c>
      <c r="O6" s="39">
        <v>7</v>
      </c>
      <c r="P6" s="39">
        <v>11</v>
      </c>
      <c r="Q6" s="39">
        <v>6</v>
      </c>
      <c r="R6" s="39">
        <v>6</v>
      </c>
      <c r="S6" s="39">
        <v>46</v>
      </c>
      <c r="T6" s="39">
        <v>3138</v>
      </c>
      <c r="U6" s="39">
        <v>0</v>
      </c>
      <c r="V6" s="39">
        <v>0</v>
      </c>
      <c r="W6" s="39">
        <v>0</v>
      </c>
      <c r="X6" s="39">
        <v>0</v>
      </c>
      <c r="Y6" s="39">
        <v>0</v>
      </c>
      <c r="Z6" s="39">
        <v>0</v>
      </c>
      <c r="AA6" s="39">
        <v>0</v>
      </c>
      <c r="AB6" s="39">
        <v>0</v>
      </c>
      <c r="AC6" s="39">
        <v>60</v>
      </c>
      <c r="AD6" s="39">
        <v>0</v>
      </c>
      <c r="AE6" s="39">
        <v>6</v>
      </c>
      <c r="AF6" s="39">
        <v>48</v>
      </c>
      <c r="AG6" s="39" cm="1">
        <f t="array" ref="AG6">I6-AF6</f>
        <v>43</v>
      </c>
      <c r="AH6" s="39" cm="1">
        <f t="array" ref="AH6">AG6+AF6</f>
        <v>91</v>
      </c>
      <c r="AI6" s="61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  <c r="BO6" s="62"/>
      <c r="BP6" s="62"/>
      <c r="BQ6" s="62"/>
      <c r="BR6" s="62"/>
      <c r="BS6" s="62"/>
      <c r="BT6" s="16"/>
    </row>
    <row r="7" ht="30" customHeight="1">
      <c r="A7" t="s" s="451">
        <v>3143</v>
      </c>
      <c r="B7" s="49">
        <v>1911</v>
      </c>
      <c r="C7" s="39" cm="1">
        <f t="array" ref="C7">C5-C6</f>
        <v>0</v>
      </c>
      <c r="D7" t="s" s="37">
        <v>3144</v>
      </c>
      <c r="E7" t="s" s="35">
        <v>3172</v>
      </c>
      <c r="F7" s="460"/>
      <c r="G7" s="41"/>
      <c r="H7" s="460"/>
      <c r="I7" s="56" cm="1">
        <f t="array" ref="I7">I5-I6</f>
        <v>23</v>
      </c>
      <c r="J7" s="703" cm="1">
        <f t="array" ref="J7">J5-J6</f>
        <v>5</v>
      </c>
      <c r="K7" s="560" cm="1">
        <f t="array" ref="K7">K5-K6</f>
        <v>8</v>
      </c>
      <c r="L7" s="560" cm="1">
        <f t="array" ref="L7">L5-L6</f>
        <v>5</v>
      </c>
      <c r="M7" s="560" cm="1">
        <f t="array" ref="M7">M5-M6</f>
        <v>5</v>
      </c>
      <c r="N7" s="560" cm="1">
        <f t="array" ref="N7">N5-N6</f>
        <v>1</v>
      </c>
      <c r="O7" s="560" cm="1">
        <f t="array" ref="O7">O5-O6</f>
        <v>4</v>
      </c>
      <c r="P7" s="560" cm="1">
        <f t="array" ref="P7">P5-P6</f>
        <v>-1</v>
      </c>
      <c r="Q7" s="560" cm="1">
        <f t="array" ref="Q7">Q5-Q6</f>
        <v>6</v>
      </c>
      <c r="R7" s="560" cm="1">
        <f t="array" ref="R7">R5-R6</f>
        <v>0</v>
      </c>
      <c r="S7" s="560" cm="1">
        <f t="array" ref="S7">S5-S6</f>
        <v>13</v>
      </c>
      <c r="T7" s="765" cm="1">
        <f t="array" ref="T7">T5/G7</f>
      </c>
      <c r="U7" s="32"/>
      <c r="V7" s="32"/>
      <c r="W7" s="32"/>
      <c r="X7" s="32"/>
      <c r="Y7" s="32"/>
      <c r="Z7" s="32"/>
      <c r="AA7" s="32"/>
      <c r="AB7" s="32"/>
      <c r="AC7" s="56" cm="1">
        <f t="array" ref="AC7">AC5-AC6</f>
        <v>21</v>
      </c>
      <c r="AD7" s="56" cm="1">
        <f t="array" ref="AD7">AD5-AD6</f>
        <v>14</v>
      </c>
      <c r="AE7" s="56" cm="1">
        <f t="array" ref="AE7">AE5-AE6</f>
        <v>28</v>
      </c>
      <c r="AF7" s="39" cm="1">
        <f t="array" ref="AF7">AF5-AF6</f>
        <v>13</v>
      </c>
      <c r="AG7" s="39" cm="1">
        <f t="array" ref="AG7">I7-AF7</f>
        <v>10</v>
      </c>
      <c r="AH7" s="39" cm="1">
        <f t="array" ref="AH7">AH5-AH6</f>
        <v>23</v>
      </c>
      <c r="AI7" s="63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  <c r="BP7" s="16"/>
      <c r="BQ7" s="16"/>
      <c r="BR7" s="16"/>
      <c r="BS7" s="16"/>
      <c r="BT7" s="16"/>
    </row>
    <row r="8" ht="15.35" customHeight="1">
      <c r="A8" t="s" s="451">
        <v>3143</v>
      </c>
      <c r="B8" s="679">
        <v>1921</v>
      </c>
      <c r="C8" s="766" cm="1">
        <f t="array" ref="C8">C7/C6</f>
        <v>0</v>
      </c>
      <c r="D8" t="s" s="37">
        <v>3144</v>
      </c>
      <c r="E8" t="s" s="37">
        <v>3173</v>
      </c>
      <c r="F8" s="460"/>
      <c r="G8" s="767"/>
      <c r="H8" s="460"/>
      <c r="I8" s="58" cm="1">
        <f t="array" ref="I8">I6/I5</f>
        <v>0.798245614035088</v>
      </c>
      <c r="J8" s="58" cm="1">
        <f t="array" ref="J8">J7/J5</f>
        <v>0.0675675675675676</v>
      </c>
      <c r="K8" s="58" cm="1">
        <f t="array" ref="K8">K7/K5</f>
        <v>0.347826086956522</v>
      </c>
      <c r="L8" s="58" cm="1">
        <f t="array" ref="L8">L7/L5</f>
        <v>0.555555555555556</v>
      </c>
      <c r="M8" s="58" cm="1">
        <f t="array" ref="M8">M7/M5</f>
        <v>0.625</v>
      </c>
      <c r="N8" s="58" cm="1">
        <f t="array" ref="N8">N7/N5</f>
        <v>0.0625</v>
      </c>
      <c r="O8" s="58" cm="1">
        <f t="array" ref="O8">O7/O5</f>
        <v>0.363636363636364</v>
      </c>
      <c r="P8" s="58" cm="1">
        <f t="array" ref="P8">P7/P5</f>
        <v>-0.1</v>
      </c>
      <c r="Q8" s="58" cm="1">
        <f t="array" ref="Q8">Q7/Q5</f>
        <v>0.5</v>
      </c>
      <c r="R8" s="58" cm="1">
        <f t="array" ref="R8">R7/R5</f>
        <v>0</v>
      </c>
      <c r="S8" s="58" cm="1">
        <f t="array" ref="S8">S7/S5</f>
        <v>0.220338983050847</v>
      </c>
      <c r="T8" s="56" cm="1">
        <f t="array" ref="T8">T6/I6</f>
        <v>34.4835164835165</v>
      </c>
      <c r="U8" s="32"/>
      <c r="V8" s="32"/>
      <c r="W8" s="32"/>
      <c r="X8" s="32"/>
      <c r="Y8" s="32"/>
      <c r="Z8" s="32"/>
      <c r="AA8" s="33"/>
      <c r="AB8" s="33"/>
      <c r="AC8" s="58" cm="1">
        <f t="array" ref="AC8">AC7/AC5</f>
        <v>0.259259259259259</v>
      </c>
      <c r="AD8" s="58" cm="1">
        <f t="array" ref="AD8">AD7/AD5</f>
        <v>1</v>
      </c>
      <c r="AE8" s="58" cm="1">
        <f t="array" ref="AE8">AE7/AE5</f>
        <v>0.823529411764706</v>
      </c>
      <c r="AF8" s="58" cm="1">
        <f t="array" ref="AF8">AF7/AF5</f>
        <v>0.213114754098361</v>
      </c>
      <c r="AG8" s="58" cm="1">
        <f t="array" ref="AG8">AG7/AG5</f>
        <v>0.188679245283019</v>
      </c>
      <c r="AH8" s="58" cm="1">
        <f t="array" ref="AH8">AH7/AH5</f>
        <v>0.201754385964912</v>
      </c>
      <c r="AI8" s="63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  <c r="BP8" s="16"/>
      <c r="BQ8" s="16"/>
      <c r="BR8" s="16"/>
      <c r="BS8" s="16"/>
      <c r="BT8" s="16"/>
    </row>
    <row r="9" ht="15.35" customHeight="1">
      <c r="A9" s="71"/>
      <c r="B9" s="563"/>
      <c r="C9" s="466"/>
      <c r="D9" s="563"/>
      <c r="E9" s="563"/>
      <c r="F9" s="76"/>
      <c r="G9" s="768"/>
      <c r="H9" s="78"/>
      <c r="I9" s="563"/>
      <c r="J9" s="563"/>
      <c r="K9" s="563"/>
      <c r="L9" s="563"/>
      <c r="M9" s="563"/>
      <c r="N9" s="563"/>
      <c r="O9" s="563"/>
      <c r="P9" s="563"/>
      <c r="Q9" s="563"/>
      <c r="R9" s="563"/>
      <c r="S9" s="563"/>
      <c r="T9" s="563"/>
      <c r="U9" s="563"/>
      <c r="V9" s="563"/>
      <c r="W9" s="563"/>
      <c r="X9" s="563"/>
      <c r="Y9" s="563"/>
      <c r="Z9" s="563"/>
      <c r="AA9" s="563"/>
      <c r="AB9" s="563"/>
      <c r="AC9" s="563"/>
      <c r="AD9" s="563"/>
      <c r="AE9" s="563"/>
      <c r="AF9" s="563"/>
      <c r="AG9" s="563"/>
      <c r="AH9" s="563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  <c r="BP9" s="16"/>
      <c r="BQ9" s="16"/>
      <c r="BR9" s="16"/>
      <c r="BS9" s="16"/>
      <c r="BT9" s="16"/>
    </row>
    <row r="10" ht="15.35" customHeight="1">
      <c r="A10" t="s" s="271">
        <v>3132</v>
      </c>
      <c r="B10" s="39">
        <v>1911</v>
      </c>
      <c r="C10" s="39">
        <v>14</v>
      </c>
      <c r="D10" t="s" s="37">
        <v>3169</v>
      </c>
      <c r="E10" s="32"/>
      <c r="F10" s="460"/>
      <c r="G10" s="41"/>
      <c r="H10" s="460"/>
      <c r="I10" s="39">
        <v>62</v>
      </c>
      <c r="J10" s="39">
        <v>49</v>
      </c>
      <c r="K10" s="39">
        <v>11</v>
      </c>
      <c r="L10" s="39">
        <v>2</v>
      </c>
      <c r="M10" s="39">
        <v>0</v>
      </c>
      <c r="N10" s="39">
        <v>13</v>
      </c>
      <c r="O10" s="39">
        <v>5</v>
      </c>
      <c r="P10" s="39">
        <v>10</v>
      </c>
      <c r="Q10" s="39">
        <v>2</v>
      </c>
      <c r="R10" s="39">
        <v>6</v>
      </c>
      <c r="S10" s="39">
        <v>26</v>
      </c>
      <c r="T10" s="39">
        <v>2532</v>
      </c>
      <c r="U10" s="39">
        <v>11</v>
      </c>
      <c r="V10" s="39">
        <v>37</v>
      </c>
      <c r="W10" s="39">
        <v>12</v>
      </c>
      <c r="X10" s="39">
        <v>216</v>
      </c>
      <c r="Y10" s="39">
        <v>29</v>
      </c>
      <c r="Z10" s="39">
        <v>25</v>
      </c>
      <c r="AA10" s="32"/>
      <c r="AB10" s="32"/>
      <c r="AC10" s="39">
        <v>39</v>
      </c>
      <c r="AD10" s="39">
        <v>8</v>
      </c>
      <c r="AE10" s="39">
        <v>31</v>
      </c>
      <c r="AF10" s="39">
        <v>29</v>
      </c>
      <c r="AG10" s="39">
        <v>33</v>
      </c>
      <c r="AH10" s="39" cm="1">
        <f t="array" ref="AH10">AG10+AF10</f>
        <v>62</v>
      </c>
      <c r="AI10" s="63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  <c r="BP10" s="16"/>
      <c r="BQ10" s="16"/>
      <c r="BR10" s="16"/>
      <c r="BS10" s="16"/>
      <c r="BT10" s="16"/>
    </row>
    <row r="11" ht="15.35" customHeight="1">
      <c r="A11" t="s" s="769">
        <v>3132</v>
      </c>
      <c r="B11" s="679">
        <v>1921</v>
      </c>
      <c r="C11" s="679">
        <v>11</v>
      </c>
      <c r="D11" t="s" s="37">
        <v>3169</v>
      </c>
      <c r="E11" s="680"/>
      <c r="F11" s="460"/>
      <c r="G11" s="681"/>
      <c r="H11" s="770"/>
      <c r="I11" s="39">
        <v>59</v>
      </c>
      <c r="J11" s="679">
        <v>44</v>
      </c>
      <c r="K11" s="679">
        <v>11</v>
      </c>
      <c r="L11" s="679">
        <v>4</v>
      </c>
      <c r="M11" s="679">
        <v>0</v>
      </c>
      <c r="N11" s="679">
        <v>11</v>
      </c>
      <c r="O11" s="679">
        <v>6</v>
      </c>
      <c r="P11" s="679">
        <v>8</v>
      </c>
      <c r="Q11" s="679">
        <v>3</v>
      </c>
      <c r="R11" s="679">
        <v>8</v>
      </c>
      <c r="S11" s="679">
        <v>23</v>
      </c>
      <c r="T11" s="683">
        <v>1968</v>
      </c>
      <c r="U11" s="32"/>
      <c r="V11" s="32"/>
      <c r="W11" s="32"/>
      <c r="X11" s="32"/>
      <c r="Y11" s="32"/>
      <c r="Z11" s="32"/>
      <c r="AA11" s="32"/>
      <c r="AB11" s="32"/>
      <c r="AC11" s="39">
        <v>34</v>
      </c>
      <c r="AD11" s="39">
        <v>6</v>
      </c>
      <c r="AE11" s="39">
        <v>28</v>
      </c>
      <c r="AF11" s="39">
        <v>36</v>
      </c>
      <c r="AG11" s="39">
        <v>23</v>
      </c>
      <c r="AH11" s="39" cm="1">
        <f t="array" ref="AH11">AG11+AF11</f>
        <v>59</v>
      </c>
      <c r="AI11" s="63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6"/>
      <c r="BL11" s="16"/>
      <c r="BM11" s="16"/>
      <c r="BN11" s="16"/>
      <c r="BO11" s="16"/>
      <c r="BP11" s="16"/>
      <c r="BQ11" s="16"/>
      <c r="BR11" s="16"/>
      <c r="BS11" s="16"/>
      <c r="BT11" s="16"/>
    </row>
    <row r="12" ht="31" customHeight="1">
      <c r="A12" t="s" s="769">
        <v>3132</v>
      </c>
      <c r="B12" s="49">
        <v>1911</v>
      </c>
      <c r="C12" s="39" cm="1">
        <f t="array" ref="C12">C10-C11</f>
        <v>3</v>
      </c>
      <c r="D12" t="s" s="37">
        <v>3169</v>
      </c>
      <c r="E12" t="s" s="35">
        <v>3172</v>
      </c>
      <c r="F12" s="460"/>
      <c r="G12" s="681"/>
      <c r="H12" s="770"/>
      <c r="I12" s="39" cm="1">
        <f t="array" ref="I12">I10-I11</f>
        <v>3</v>
      </c>
      <c r="J12" s="39" cm="1">
        <f t="array" ref="J12">J10-J11</f>
        <v>5</v>
      </c>
      <c r="K12" s="39" cm="1">
        <f t="array" ref="K12">K10-K11</f>
        <v>0</v>
      </c>
      <c r="L12" s="39" cm="1">
        <f t="array" ref="L12">L10-L11</f>
        <v>-2</v>
      </c>
      <c r="M12" s="39" cm="1">
        <f t="array" ref="M12">M10-M11</f>
        <v>0</v>
      </c>
      <c r="N12" s="39" cm="1">
        <f t="array" ref="N12">N10-N11</f>
        <v>2</v>
      </c>
      <c r="O12" s="39" cm="1">
        <f t="array" ref="O12">O10-O11</f>
        <v>-1</v>
      </c>
      <c r="P12" s="39" cm="1">
        <f t="array" ref="P12">P10-P11</f>
        <v>2</v>
      </c>
      <c r="Q12" s="39" cm="1">
        <f t="array" ref="Q12">Q10-Q11</f>
        <v>-1</v>
      </c>
      <c r="R12" s="39" cm="1">
        <f t="array" ref="R12">R10-R11</f>
        <v>-2</v>
      </c>
      <c r="S12" s="39" cm="1">
        <f t="array" ref="S12">S10-S11</f>
        <v>3</v>
      </c>
      <c r="T12" s="56" cm="1">
        <f t="array" ref="T12">T10/I10</f>
        <v>40.8387096774194</v>
      </c>
      <c r="U12" s="39" cm="1">
        <f t="array" ref="U12">U10-U11</f>
        <v>11</v>
      </c>
      <c r="V12" s="39" cm="1">
        <f t="array" ref="V12">V10-V11</f>
        <v>37</v>
      </c>
      <c r="W12" s="39" cm="1">
        <f t="array" ref="W12">W10-W11</f>
        <v>12</v>
      </c>
      <c r="X12" s="39" cm="1">
        <f t="array" ref="X12">X10-X11</f>
        <v>216</v>
      </c>
      <c r="Y12" s="39" cm="1">
        <f t="array" ref="Y12">Y10-Y11</f>
        <v>29</v>
      </c>
      <c r="Z12" s="39" cm="1">
        <f t="array" ref="Z12">Z10-Z11</f>
        <v>25</v>
      </c>
      <c r="AA12" s="39" cm="1">
        <f t="array" ref="AA12">AA10-AA11</f>
        <v>0</v>
      </c>
      <c r="AB12" s="39" cm="1">
        <f t="array" ref="AB12">AB10-AB11</f>
        <v>0</v>
      </c>
      <c r="AC12" s="39" cm="1">
        <f t="array" ref="AC12">AC10-AC11</f>
        <v>5</v>
      </c>
      <c r="AD12" s="39" cm="1">
        <f t="array" ref="AD12">AD10-AD11</f>
        <v>2</v>
      </c>
      <c r="AE12" s="39" cm="1">
        <f t="array" ref="AE12">AE10-AE11</f>
        <v>3</v>
      </c>
      <c r="AF12" s="39" cm="1">
        <f t="array" ref="AF12">AF10-AF11</f>
        <v>-7</v>
      </c>
      <c r="AG12" s="39" cm="1">
        <f t="array" ref="AG12">AG10-AG11</f>
        <v>10</v>
      </c>
      <c r="AH12" s="39" cm="1">
        <f t="array" ref="AH12">AH10-AH11</f>
        <v>3</v>
      </c>
      <c r="AI12" s="63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/>
      <c r="BC12" s="16"/>
      <c r="BD12" s="16"/>
      <c r="BE12" s="16"/>
      <c r="BF12" s="16"/>
      <c r="BG12" s="16"/>
      <c r="BH12" s="16"/>
      <c r="BI12" s="16"/>
      <c r="BJ12" s="16"/>
      <c r="BK12" s="16"/>
      <c r="BL12" s="16"/>
      <c r="BM12" s="16"/>
      <c r="BN12" s="16"/>
      <c r="BO12" s="16"/>
      <c r="BP12" s="16"/>
      <c r="BQ12" s="16"/>
      <c r="BR12" s="16"/>
      <c r="BS12" s="16"/>
      <c r="BT12" s="16"/>
    </row>
    <row r="13" ht="15.35" customHeight="1">
      <c r="A13" t="s" s="769">
        <v>3132</v>
      </c>
      <c r="B13" s="679">
        <v>1921</v>
      </c>
      <c r="C13" s="771" cm="1">
        <f t="array" ref="C13">C12/C11</f>
        <v>0.272727272727273</v>
      </c>
      <c r="D13" t="s" s="370">
        <v>3169</v>
      </c>
      <c r="E13" t="s" s="37">
        <v>3173</v>
      </c>
      <c r="F13" s="460"/>
      <c r="G13" s="681"/>
      <c r="H13" s="770"/>
      <c r="I13" s="58" cm="1">
        <f t="array" ref="I13">I11/I10</f>
        <v>0.9516129032258061</v>
      </c>
      <c r="J13" s="58" cm="1">
        <f t="array" ref="J13">J12/J10</f>
        <v>0.102040816326531</v>
      </c>
      <c r="K13" s="58" cm="1">
        <f t="array" ref="K13">K12/K10</f>
        <v>0</v>
      </c>
      <c r="L13" s="58" cm="1">
        <f t="array" ref="L13">L12/L10</f>
        <v>-1</v>
      </c>
      <c r="M13" s="58">
        <v>0</v>
      </c>
      <c r="N13" s="58" cm="1">
        <f t="array" ref="N13">N12/N10</f>
        <v>0.153846153846154</v>
      </c>
      <c r="O13" s="58" cm="1">
        <f t="array" ref="O13">O12/O10</f>
        <v>-0.2</v>
      </c>
      <c r="P13" s="58" cm="1">
        <f t="array" ref="P13">P12/P10</f>
        <v>0.2</v>
      </c>
      <c r="Q13" s="58" cm="1">
        <f t="array" ref="Q13">Q12/Q10</f>
        <v>-0.5</v>
      </c>
      <c r="R13" s="58" cm="1">
        <f t="array" ref="R13">R12/R10</f>
        <v>-0.333333333333333</v>
      </c>
      <c r="S13" s="58" cm="1">
        <f t="array" ref="S13">S12/S10</f>
        <v>0.115384615384615</v>
      </c>
      <c r="T13" s="56" cm="1">
        <f t="array" ref="T13">T11/I11</f>
        <v>33.3559322033898</v>
      </c>
      <c r="U13" s="58"/>
      <c r="V13" s="58"/>
      <c r="W13" s="58"/>
      <c r="X13" s="58"/>
      <c r="Y13" s="58"/>
      <c r="Z13" s="58"/>
      <c r="AA13" s="58"/>
      <c r="AB13" s="58"/>
      <c r="AC13" s="58" cm="1">
        <f t="array" ref="AC13">AC12/AC10</f>
        <v>0.128205128205128</v>
      </c>
      <c r="AD13" s="58" cm="1">
        <f t="array" ref="AD13">AD12/AD10</f>
        <v>0.25</v>
      </c>
      <c r="AE13" s="58" cm="1">
        <f t="array" ref="AE13">AE12/AE10</f>
        <v>0.09677419354838709</v>
      </c>
      <c r="AF13" s="58" cm="1">
        <f t="array" ref="AF13">AF12/AF10</f>
        <v>-0.241379310344828</v>
      </c>
      <c r="AG13" s="58" cm="1">
        <f t="array" ref="AG13">AG12/AG10</f>
        <v>0.303030303030303</v>
      </c>
      <c r="AH13" s="58" cm="1">
        <f t="array" ref="AH13">AH12/AH10</f>
        <v>0.0483870967741935</v>
      </c>
      <c r="AI13" s="63"/>
      <c r="AJ13" s="16"/>
      <c r="AK13" s="16"/>
      <c r="AL13" s="16"/>
      <c r="AM13" s="16"/>
      <c r="AN13" s="16"/>
      <c r="AO13" s="16"/>
      <c r="AP13" s="16"/>
      <c r="AQ13" s="16"/>
      <c r="AR13" s="16"/>
      <c r="AS13" s="16"/>
      <c r="AT13" s="16"/>
      <c r="AU13" s="16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</row>
    <row r="14" ht="15.35" customHeight="1">
      <c r="A14" s="466"/>
      <c r="B14" s="563"/>
      <c r="C14" s="466"/>
      <c r="D14" s="563"/>
      <c r="E14" s="563"/>
      <c r="F14" s="76"/>
      <c r="G14" s="768"/>
      <c r="H14" s="78"/>
      <c r="I14" s="6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291"/>
      <c r="AJ14" s="132"/>
      <c r="AK14" s="132"/>
      <c r="AL14" s="132"/>
      <c r="AM14" s="132"/>
      <c r="AN14" s="132"/>
      <c r="AO14" s="132"/>
      <c r="AP14" s="132"/>
      <c r="AQ14" s="132"/>
      <c r="AR14" s="132"/>
      <c r="AS14" s="132"/>
      <c r="AT14" s="132"/>
      <c r="AU14" s="132"/>
      <c r="AV14" s="132"/>
      <c r="AW14" s="132"/>
      <c r="AX14" s="132"/>
      <c r="AY14" s="132"/>
      <c r="AZ14" s="132"/>
      <c r="BA14" s="132"/>
      <c r="BB14" s="132"/>
      <c r="BC14" s="132"/>
      <c r="BD14" s="132"/>
      <c r="BE14" s="132"/>
      <c r="BF14" s="132"/>
      <c r="BG14" s="132"/>
      <c r="BH14" s="132"/>
      <c r="BI14" s="132"/>
      <c r="BJ14" s="132"/>
      <c r="BK14" s="132"/>
      <c r="BL14" s="132"/>
      <c r="BM14" s="132"/>
      <c r="BN14" s="132"/>
      <c r="BO14" s="132"/>
      <c r="BP14" s="132"/>
      <c r="BQ14" s="132"/>
      <c r="BR14" s="132"/>
      <c r="BS14" s="132"/>
      <c r="BT14" s="132"/>
    </row>
    <row r="15" ht="17" customHeight="1">
      <c r="A15" t="s" s="31">
        <v>3136</v>
      </c>
      <c r="B15" s="43">
        <v>1911</v>
      </c>
      <c r="C15" s="43">
        <v>4</v>
      </c>
      <c r="D15" t="s" s="533">
        <v>3137</v>
      </c>
      <c r="E15" s="33"/>
      <c r="F15" s="460"/>
      <c r="G15" s="531"/>
      <c r="H15" s="460"/>
      <c r="I15" s="56">
        <v>18</v>
      </c>
      <c r="J15" s="39">
        <v>10</v>
      </c>
      <c r="K15" s="39">
        <v>4</v>
      </c>
      <c r="L15" s="39">
        <v>0</v>
      </c>
      <c r="M15" s="39">
        <v>4</v>
      </c>
      <c r="N15" s="39">
        <v>4</v>
      </c>
      <c r="O15" s="39">
        <v>2</v>
      </c>
      <c r="P15" s="39">
        <v>1</v>
      </c>
      <c r="Q15" s="39">
        <v>4</v>
      </c>
      <c r="R15" s="39">
        <v>2</v>
      </c>
      <c r="S15" s="39">
        <v>5</v>
      </c>
      <c r="T15" s="39">
        <v>592</v>
      </c>
      <c r="U15" s="39">
        <v>5</v>
      </c>
      <c r="V15" s="39">
        <v>7</v>
      </c>
      <c r="W15" s="39">
        <v>2</v>
      </c>
      <c r="X15" s="39">
        <v>15</v>
      </c>
      <c r="Y15" s="39">
        <v>2</v>
      </c>
      <c r="Z15" s="39">
        <v>2</v>
      </c>
      <c r="AA15" s="39">
        <v>0</v>
      </c>
      <c r="AB15" s="39">
        <v>0</v>
      </c>
      <c r="AC15" s="43">
        <v>10</v>
      </c>
      <c r="AD15" s="39">
        <v>4</v>
      </c>
      <c r="AE15" s="39">
        <v>6</v>
      </c>
      <c r="AF15" s="39">
        <v>10</v>
      </c>
      <c r="AG15" s="39">
        <v>8</v>
      </c>
      <c r="AH15" s="39" cm="1">
        <f t="array" ref="AH15">AG15+AF15</f>
        <v>18</v>
      </c>
      <c r="AI15" s="539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</row>
    <row r="16" ht="17" customHeight="1">
      <c r="A16" t="s" s="31">
        <v>3136</v>
      </c>
      <c r="B16" s="49">
        <v>1921</v>
      </c>
      <c r="C16" s="43">
        <v>6</v>
      </c>
      <c r="D16" t="s" s="533">
        <v>3137</v>
      </c>
      <c r="E16" s="32"/>
      <c r="F16" s="460"/>
      <c r="G16" s="41"/>
      <c r="H16" s="460"/>
      <c r="I16" s="56">
        <v>20</v>
      </c>
      <c r="J16" s="39">
        <v>15</v>
      </c>
      <c r="K16" s="39">
        <v>5</v>
      </c>
      <c r="L16" s="39">
        <v>0</v>
      </c>
      <c r="M16" s="39">
        <v>0</v>
      </c>
      <c r="N16" s="39">
        <v>6</v>
      </c>
      <c r="O16" s="39">
        <v>3</v>
      </c>
      <c r="P16" s="39">
        <v>0</v>
      </c>
      <c r="Q16" s="39">
        <v>0</v>
      </c>
      <c r="R16" s="39">
        <v>3</v>
      </c>
      <c r="S16" s="39">
        <v>8</v>
      </c>
      <c r="T16" s="39">
        <v>783</v>
      </c>
      <c r="U16" s="39">
        <v>0</v>
      </c>
      <c r="V16" s="39">
        <v>0</v>
      </c>
      <c r="W16" s="39">
        <v>0</v>
      </c>
      <c r="X16" s="39">
        <v>0</v>
      </c>
      <c r="Y16" s="39">
        <v>0</v>
      </c>
      <c r="Z16" s="39">
        <v>0</v>
      </c>
      <c r="AA16" s="39">
        <v>0</v>
      </c>
      <c r="AB16" s="43">
        <v>0</v>
      </c>
      <c r="AC16" s="39">
        <v>15</v>
      </c>
      <c r="AD16" s="39">
        <v>4</v>
      </c>
      <c r="AE16" s="39">
        <v>11</v>
      </c>
      <c r="AF16" s="39">
        <v>7</v>
      </c>
      <c r="AG16" s="39">
        <v>13</v>
      </c>
      <c r="AH16" s="39" cm="1">
        <f t="array" ref="AH16">AG16+AF16</f>
        <v>20</v>
      </c>
      <c r="AI16" s="38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116"/>
    </row>
    <row r="17" ht="31" customHeight="1">
      <c r="A17" t="s" s="31">
        <v>3136</v>
      </c>
      <c r="B17" s="49">
        <v>1911</v>
      </c>
      <c r="C17" s="39" cm="1">
        <f t="array" ref="C17">C15-C16</f>
        <v>-2</v>
      </c>
      <c r="D17" t="s" s="533">
        <v>3137</v>
      </c>
      <c r="E17" t="s" s="35">
        <v>3172</v>
      </c>
      <c r="F17" s="460"/>
      <c r="G17" s="41"/>
      <c r="H17" s="460"/>
      <c r="I17" s="56" cm="1">
        <f t="array" ref="I17">I15-I16</f>
        <v>-2</v>
      </c>
      <c r="J17" s="39" cm="1">
        <f t="array" ref="J17">J15-J16</f>
        <v>-5</v>
      </c>
      <c r="K17" s="39" cm="1">
        <f t="array" ref="K17">K15-K16</f>
        <v>-1</v>
      </c>
      <c r="L17" s="39" cm="1">
        <f t="array" ref="L17">L15-L16</f>
        <v>0</v>
      </c>
      <c r="M17" s="39" cm="1">
        <f t="array" ref="M17">M15-M16</f>
        <v>4</v>
      </c>
      <c r="N17" s="39" cm="1">
        <f t="array" ref="N17">N15-N16</f>
        <v>-2</v>
      </c>
      <c r="O17" s="39" cm="1">
        <f t="array" ref="O17">O15-O16</f>
        <v>-1</v>
      </c>
      <c r="P17" s="39" cm="1">
        <f t="array" ref="P17">P15-P16</f>
        <v>1</v>
      </c>
      <c r="Q17" s="39" cm="1">
        <f t="array" ref="Q17">Q15-Q16</f>
        <v>4</v>
      </c>
      <c r="R17" s="39" cm="1">
        <f t="array" ref="R17">R15-R16</f>
        <v>-1</v>
      </c>
      <c r="S17" s="39" cm="1">
        <f t="array" ref="S17">S15-S16</f>
        <v>-3</v>
      </c>
      <c r="T17" s="56" cm="1">
        <f t="array" ref="T17">T15/I15</f>
        <v>32.8888888888889</v>
      </c>
      <c r="U17" s="39" cm="1">
        <f t="array" ref="U17">U15-U16</f>
        <v>5</v>
      </c>
      <c r="V17" s="39" cm="1">
        <f t="array" ref="V17">V15-V16</f>
        <v>7</v>
      </c>
      <c r="W17" s="39" cm="1">
        <f t="array" ref="W17">W15-W16</f>
        <v>2</v>
      </c>
      <c r="X17" s="39" cm="1">
        <f t="array" ref="X17">X15-X16</f>
        <v>15</v>
      </c>
      <c r="Y17" s="39" cm="1">
        <f t="array" ref="Y17">Y15-Y16</f>
        <v>2</v>
      </c>
      <c r="Z17" s="39" cm="1">
        <f t="array" ref="Z17">Z15-Z16</f>
        <v>2</v>
      </c>
      <c r="AA17" s="39" cm="1">
        <f t="array" ref="AA17">AA15-AA16</f>
        <v>0</v>
      </c>
      <c r="AB17" s="39" cm="1">
        <f t="array" ref="AB17">AB15-AB16</f>
        <v>0</v>
      </c>
      <c r="AC17" s="39" cm="1">
        <f t="array" ref="AC17">AC15-AC16</f>
        <v>-5</v>
      </c>
      <c r="AD17" s="39" cm="1">
        <f t="array" ref="AD17">AD15-AD16</f>
        <v>0</v>
      </c>
      <c r="AE17" s="39" cm="1">
        <f t="array" ref="AE17">AE15-AE16</f>
        <v>-5</v>
      </c>
      <c r="AF17" s="39" cm="1">
        <f t="array" ref="AF17">AF15-AF16</f>
        <v>3</v>
      </c>
      <c r="AG17" s="39" cm="1">
        <f t="array" ref="AG17">AG15-AG16</f>
        <v>-5</v>
      </c>
      <c r="AH17" s="39" cm="1">
        <f t="array" ref="AH17">AH15-AH16</f>
        <v>-2</v>
      </c>
      <c r="AI17" s="61"/>
      <c r="AJ17" s="62"/>
      <c r="AK17" s="62"/>
      <c r="AL17" s="62"/>
      <c r="AM17" s="62"/>
      <c r="AN17" s="62"/>
      <c r="AO17" s="62"/>
      <c r="AP17" s="62"/>
      <c r="AQ17" s="62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  <c r="BO17" s="62"/>
      <c r="BP17" s="62"/>
      <c r="BQ17" s="62"/>
      <c r="BR17" s="62"/>
      <c r="BS17" s="62"/>
      <c r="BT17" s="16"/>
    </row>
    <row r="18" ht="17" customHeight="1">
      <c r="A18" t="s" s="31">
        <v>3136</v>
      </c>
      <c r="B18" s="683">
        <v>1921</v>
      </c>
      <c r="C18" s="58" cm="1">
        <f t="array" ref="C18">C17/C16</f>
        <v>-0.333333333333333</v>
      </c>
      <c r="D18" t="s" s="533">
        <v>3137</v>
      </c>
      <c r="E18" t="s" s="37">
        <v>3173</v>
      </c>
      <c r="F18" s="460"/>
      <c r="G18" s="41"/>
      <c r="H18" s="460"/>
      <c r="I18" s="58" cm="1">
        <f t="array" ref="I18">I16/I15</f>
        <v>1.11111111111111</v>
      </c>
      <c r="J18" s="58" cm="1">
        <f t="array" ref="J18">J17/J15</f>
        <v>-0.5</v>
      </c>
      <c r="K18" s="58" cm="1">
        <f t="array" ref="K18">K17/K15</f>
        <v>-0.25</v>
      </c>
      <c r="L18" s="58" cm="1">
        <f t="array" ref="L18">L17/L15</f>
      </c>
      <c r="M18" s="58">
        <v>0</v>
      </c>
      <c r="N18" s="58" cm="1">
        <f t="array" ref="N18">N17/N15</f>
        <v>-0.5</v>
      </c>
      <c r="O18" s="58" cm="1">
        <f t="array" ref="O18">O17/O15</f>
        <v>-0.5</v>
      </c>
      <c r="P18" s="58" cm="1">
        <f t="array" ref="P18">P17/P15</f>
        <v>1</v>
      </c>
      <c r="Q18" s="58" cm="1">
        <f t="array" ref="Q18">Q17/Q15</f>
        <v>1</v>
      </c>
      <c r="R18" s="58" cm="1">
        <f t="array" ref="R18">R17/R15</f>
        <v>-0.5</v>
      </c>
      <c r="S18" s="58" cm="1">
        <f t="array" ref="S18">S17/S15</f>
        <v>-0.6</v>
      </c>
      <c r="T18" s="56" cm="1">
        <f t="array" ref="T18">T16/I16</f>
        <v>39.15</v>
      </c>
      <c r="U18" s="58"/>
      <c r="V18" s="58"/>
      <c r="W18" s="58"/>
      <c r="X18" s="58"/>
      <c r="Y18" s="58"/>
      <c r="Z18" s="58"/>
      <c r="AA18" s="58"/>
      <c r="AB18" s="58"/>
      <c r="AC18" s="58" cm="1">
        <f t="array" ref="AC18">AC17/AC15</f>
        <v>-0.5</v>
      </c>
      <c r="AD18" s="58"/>
      <c r="AE18" s="58"/>
      <c r="AF18" s="58"/>
      <c r="AG18" s="58" cm="1">
        <f t="array" ref="AG18">AG17/AG15</f>
        <v>-0.625</v>
      </c>
      <c r="AH18" s="58" cm="1">
        <f t="array" ref="AH18">AH17/AH15</f>
        <v>-0.111111111111111</v>
      </c>
      <c r="AI18" s="63"/>
      <c r="AJ18" s="16"/>
      <c r="AK18" s="16"/>
      <c r="AL18" s="16"/>
      <c r="AM18" s="16"/>
      <c r="AN18" s="16"/>
      <c r="AO18" s="16"/>
      <c r="AP18" s="16"/>
      <c r="AQ18" s="16"/>
      <c r="AR18" s="16"/>
      <c r="AS18" s="16"/>
      <c r="AT18" s="16"/>
      <c r="AU18" s="16"/>
      <c r="AV18" s="16"/>
      <c r="AW18" s="16"/>
      <c r="AX18" s="16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  <c r="BT18" s="16"/>
    </row>
    <row r="19" ht="15.35" customHeight="1">
      <c r="A19" s="563"/>
      <c r="B19" s="563"/>
      <c r="C19" s="563"/>
      <c r="D19" s="563"/>
      <c r="E19" s="563"/>
      <c r="F19" s="728"/>
      <c r="G19" s="768"/>
      <c r="H19" s="760"/>
      <c r="I19" s="563"/>
      <c r="J19" s="563"/>
      <c r="K19" s="563"/>
      <c r="L19" s="563"/>
      <c r="M19" s="563"/>
      <c r="N19" s="563"/>
      <c r="O19" s="563"/>
      <c r="P19" s="563"/>
      <c r="Q19" s="563"/>
      <c r="R19" s="563"/>
      <c r="S19" s="563"/>
      <c r="T19" s="563"/>
      <c r="U19" s="563"/>
      <c r="V19" s="563"/>
      <c r="W19" s="563"/>
      <c r="X19" s="563"/>
      <c r="Y19" s="563"/>
      <c r="Z19" s="563"/>
      <c r="AA19" s="563"/>
      <c r="AB19" s="563"/>
      <c r="AC19" s="563"/>
      <c r="AD19" s="563"/>
      <c r="AE19" s="563"/>
      <c r="AF19" s="563"/>
      <c r="AG19" s="563"/>
      <c r="AH19" s="563"/>
      <c r="AI19" s="132"/>
      <c r="AJ19" s="132"/>
      <c r="AK19" s="132"/>
      <c r="AL19" s="132"/>
      <c r="AM19" s="132"/>
      <c r="AN19" s="132"/>
      <c r="AO19" s="132"/>
      <c r="AP19" s="132"/>
      <c r="AQ19" s="132"/>
      <c r="AR19" s="132"/>
      <c r="AS19" s="132"/>
      <c r="AT19" s="132"/>
      <c r="AU19" s="132"/>
      <c r="AV19" s="132"/>
      <c r="AW19" s="132"/>
      <c r="AX19" s="132"/>
      <c r="AY19" s="132"/>
      <c r="AZ19" s="132"/>
      <c r="BA19" s="132"/>
      <c r="BB19" s="132"/>
      <c r="BC19" s="132"/>
      <c r="BD19" s="132"/>
      <c r="BE19" s="132"/>
      <c r="BF19" s="132"/>
      <c r="BG19" s="132"/>
      <c r="BH19" s="132"/>
      <c r="BI19" s="132"/>
      <c r="BJ19" s="132"/>
      <c r="BK19" s="132"/>
      <c r="BL19" s="132"/>
      <c r="BM19" s="132"/>
      <c r="BN19" s="132"/>
      <c r="BO19" s="132"/>
      <c r="BP19" s="132"/>
      <c r="BQ19" s="132"/>
      <c r="BR19" s="132"/>
      <c r="BS19" s="132"/>
      <c r="BT19" s="132"/>
    </row>
    <row r="20" ht="38" customHeight="1">
      <c r="A20" t="s" s="31">
        <v>465</v>
      </c>
      <c r="B20" t="s" s="37">
        <v>3131</v>
      </c>
      <c r="C20" s="43">
        <v>13</v>
      </c>
      <c r="D20" t="s" s="533">
        <v>3135</v>
      </c>
      <c r="E20" s="33"/>
      <c r="F20" s="39">
        <v>7</v>
      </c>
      <c r="G20" s="531"/>
      <c r="H20" s="531"/>
      <c r="I20" s="56">
        <v>48</v>
      </c>
      <c r="J20" s="39">
        <v>34</v>
      </c>
      <c r="K20" s="39">
        <v>14</v>
      </c>
      <c r="L20" s="39">
        <v>0</v>
      </c>
      <c r="M20" s="39">
        <v>0</v>
      </c>
      <c r="N20" s="39">
        <v>8</v>
      </c>
      <c r="O20" s="39">
        <v>5</v>
      </c>
      <c r="P20" s="39">
        <v>6</v>
      </c>
      <c r="Q20" s="39">
        <v>5</v>
      </c>
      <c r="R20" s="39">
        <v>4</v>
      </c>
      <c r="S20" s="39">
        <v>20</v>
      </c>
      <c r="T20" s="39">
        <v>1723</v>
      </c>
      <c r="U20" s="39">
        <v>10</v>
      </c>
      <c r="V20" s="39">
        <v>36</v>
      </c>
      <c r="W20" s="39">
        <v>1</v>
      </c>
      <c r="X20" s="39">
        <v>130</v>
      </c>
      <c r="Y20" s="39">
        <v>12</v>
      </c>
      <c r="Z20" s="39">
        <v>10</v>
      </c>
      <c r="AA20" s="39">
        <v>0</v>
      </c>
      <c r="AB20" s="39">
        <v>0</v>
      </c>
      <c r="AC20" s="43">
        <v>33</v>
      </c>
      <c r="AD20" s="39">
        <v>8</v>
      </c>
      <c r="AE20" s="39">
        <v>17</v>
      </c>
      <c r="AF20" s="39">
        <v>31</v>
      </c>
      <c r="AG20" s="39">
        <v>17</v>
      </c>
      <c r="AH20" s="39" cm="1">
        <f t="array" ref="AH20">AG20+AF20</f>
        <v>48</v>
      </c>
      <c r="AI20" s="38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</row>
    <row r="21" ht="17.45" customHeight="1">
      <c r="A21" t="s" s="371">
        <v>465</v>
      </c>
      <c r="B21" s="560">
        <v>1921</v>
      </c>
      <c r="C21" s="643">
        <v>10</v>
      </c>
      <c r="D21" t="s" s="533">
        <v>3135</v>
      </c>
      <c r="E21" s="32"/>
      <c r="F21" s="64"/>
      <c r="G21" s="716"/>
      <c r="H21" s="71"/>
      <c r="I21" s="72">
        <v>42</v>
      </c>
      <c r="J21" s="72">
        <v>29</v>
      </c>
      <c r="K21" s="72">
        <v>10</v>
      </c>
      <c r="L21" s="72">
        <v>0</v>
      </c>
      <c r="M21" s="72">
        <v>3</v>
      </c>
      <c r="N21" s="72">
        <v>11</v>
      </c>
      <c r="O21" s="72">
        <v>5</v>
      </c>
      <c r="P21" s="72">
        <v>2</v>
      </c>
      <c r="Q21" s="72">
        <v>2</v>
      </c>
      <c r="R21" s="72">
        <v>8</v>
      </c>
      <c r="S21" s="72">
        <v>14</v>
      </c>
      <c r="T21" s="72">
        <v>1718</v>
      </c>
      <c r="U21" s="72">
        <v>0</v>
      </c>
      <c r="V21" s="72">
        <v>0</v>
      </c>
      <c r="W21" s="72">
        <v>5</v>
      </c>
      <c r="X21" s="72">
        <v>0</v>
      </c>
      <c r="Y21" s="72">
        <v>0</v>
      </c>
      <c r="Z21" s="72">
        <v>0</v>
      </c>
      <c r="AA21" s="71"/>
      <c r="AB21" s="72">
        <v>0</v>
      </c>
      <c r="AC21" s="72">
        <v>28</v>
      </c>
      <c r="AD21" s="72">
        <v>5</v>
      </c>
      <c r="AE21" s="72">
        <v>23</v>
      </c>
      <c r="AF21" s="72">
        <v>17</v>
      </c>
      <c r="AG21" s="72">
        <v>25</v>
      </c>
      <c r="AH21" s="72" cm="1">
        <f t="array" ref="AH21">AG21+AF21</f>
        <v>42</v>
      </c>
      <c r="AI21" s="62"/>
      <c r="AJ21" s="62"/>
      <c r="AK21" s="62"/>
      <c r="AL21" s="62"/>
      <c r="AM21" s="62"/>
      <c r="AN21" s="62"/>
      <c r="AO21" s="62"/>
      <c r="AP21" s="62"/>
      <c r="AQ21" s="62"/>
      <c r="AR21" s="62"/>
      <c r="AS21" s="62"/>
      <c r="AT21" s="62"/>
      <c r="AU21" s="62"/>
      <c r="AV21" s="62"/>
      <c r="AW21" s="62"/>
      <c r="AX21" s="62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  <c r="BO21" s="62"/>
      <c r="BP21" s="62"/>
      <c r="BQ21" s="62"/>
      <c r="BR21" s="62"/>
      <c r="BS21" s="62"/>
      <c r="BT21" s="62"/>
    </row>
    <row r="22" ht="30" customHeight="1">
      <c r="A22" t="s" s="31">
        <v>465</v>
      </c>
      <c r="B22" t="s" s="37">
        <v>3131</v>
      </c>
      <c r="C22" s="458" cm="1">
        <f t="array" ref="C22">C20-C21</f>
        <v>3</v>
      </c>
      <c r="D22" t="s" s="533">
        <v>3135</v>
      </c>
      <c r="E22" t="s" s="35">
        <v>3172</v>
      </c>
      <c r="F22" s="772"/>
      <c r="G22" s="77"/>
      <c r="H22" s="78"/>
      <c r="I22" s="79" cm="1">
        <f t="array" ref="I22">I20-I21</f>
        <v>6</v>
      </c>
      <c r="J22" s="79" cm="1">
        <f t="array" ref="J22">J20-J21</f>
        <v>5</v>
      </c>
      <c r="K22" s="79" cm="1">
        <f t="array" ref="K22">K20-K21</f>
        <v>4</v>
      </c>
      <c r="L22" s="79" cm="1">
        <f t="array" ref="L22">L20-L21</f>
        <v>0</v>
      </c>
      <c r="M22" s="79" cm="1">
        <f t="array" ref="M22">M20-M21</f>
        <v>-3</v>
      </c>
      <c r="N22" s="79" cm="1">
        <f t="array" ref="N22">N20-N21</f>
        <v>-3</v>
      </c>
      <c r="O22" s="79" cm="1">
        <f t="array" ref="O22">O20-O21</f>
        <v>0</v>
      </c>
      <c r="P22" s="79" cm="1">
        <f t="array" ref="P22">P20-P21</f>
        <v>4</v>
      </c>
      <c r="Q22" s="79" cm="1">
        <f t="array" ref="Q22">Q20-Q21</f>
        <v>3</v>
      </c>
      <c r="R22" s="79" cm="1">
        <f t="array" ref="R22">R20-R21</f>
        <v>-4</v>
      </c>
      <c r="S22" s="79" cm="1">
        <f t="array" ref="S22">S20-S21</f>
        <v>6</v>
      </c>
      <c r="T22" s="79" cm="1">
        <f t="array" ref="T22">T20-T21</f>
        <v>5</v>
      </c>
      <c r="U22" s="79" cm="1">
        <f t="array" ref="U22">U20-U21</f>
        <v>10</v>
      </c>
      <c r="V22" s="79" cm="1">
        <f t="array" ref="V22">V20-V21</f>
        <v>36</v>
      </c>
      <c r="W22" s="79" cm="1">
        <f t="array" ref="W22">W20-W21</f>
        <v>-4</v>
      </c>
      <c r="X22" s="79" cm="1">
        <f t="array" ref="X22">X20-X21</f>
        <v>130</v>
      </c>
      <c r="Y22" s="79" cm="1">
        <f t="array" ref="Y22">Y20-Y21</f>
        <v>12</v>
      </c>
      <c r="Z22" s="79" cm="1">
        <f t="array" ref="Z22">Z20-Z21</f>
        <v>10</v>
      </c>
      <c r="AA22" s="79" cm="1">
        <f t="array" ref="AA22">AA20-AA21</f>
        <v>0</v>
      </c>
      <c r="AB22" s="79" cm="1">
        <f t="array" ref="AB22">AB20-AB21</f>
        <v>0</v>
      </c>
      <c r="AC22" s="79" cm="1">
        <f t="array" ref="AC22">AC20-AC21</f>
        <v>5</v>
      </c>
      <c r="AD22" s="79" cm="1">
        <f t="array" ref="AD22">AD20-AD21</f>
        <v>3</v>
      </c>
      <c r="AE22" s="79" cm="1">
        <f t="array" ref="AE22">AE20-AE21</f>
        <v>-6</v>
      </c>
      <c r="AF22" s="79" cm="1">
        <f t="array" ref="AF22">AF20-AF21</f>
        <v>14</v>
      </c>
      <c r="AG22" s="79" cm="1">
        <f t="array" ref="AG22">AG20-AG21</f>
        <v>-8</v>
      </c>
      <c r="AH22" s="79" cm="1">
        <f t="array" ref="AH22">AH20-AH21</f>
        <v>6</v>
      </c>
      <c r="AI22" s="16"/>
      <c r="AJ22" s="16"/>
      <c r="AK22" s="16"/>
      <c r="AL22" s="16"/>
      <c r="AM22" s="16"/>
      <c r="AN22" s="16"/>
      <c r="AO22" s="16"/>
      <c r="AP22" s="16"/>
      <c r="AQ22" s="16"/>
      <c r="AR22" s="16"/>
      <c r="AS22" s="16"/>
      <c r="AT22" s="16"/>
      <c r="AU22" s="16"/>
      <c r="AV22" s="16"/>
      <c r="AW22" s="16"/>
      <c r="AX22" s="16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</row>
    <row r="23" ht="17.45" customHeight="1">
      <c r="A23" t="s" s="73">
        <v>465</v>
      </c>
      <c r="B23" s="72">
        <v>1921</v>
      </c>
      <c r="C23" s="773" cm="1">
        <f t="array" ref="C23">C22/C21</f>
        <v>0.3</v>
      </c>
      <c r="D23" t="s" s="533">
        <v>3135</v>
      </c>
      <c r="E23" t="s" s="37">
        <v>3173</v>
      </c>
      <c r="F23" s="772"/>
      <c r="G23" s="77"/>
      <c r="H23" s="78"/>
      <c r="I23" s="104" cm="1">
        <f t="array" ref="I23">I21/I20</f>
        <v>0.875</v>
      </c>
      <c r="J23" s="104" cm="1">
        <f t="array" ref="J23">J21/J20</f>
        <v>0.852941176470588</v>
      </c>
      <c r="K23" s="104" cm="1">
        <f t="array" ref="K23">K21/K20</f>
        <v>0.714285714285714</v>
      </c>
      <c r="L23" s="104" cm="1">
        <f t="array" ref="L23">L21/L20</f>
      </c>
      <c r="M23" s="104" cm="1">
        <f t="array" ref="M23">M21/M20</f>
      </c>
      <c r="N23" s="104" cm="1">
        <f t="array" ref="N23">N21/N20</f>
        <v>1.375</v>
      </c>
      <c r="O23" s="104" cm="1">
        <f t="array" ref="O23">O21/O20</f>
        <v>1</v>
      </c>
      <c r="P23" s="104" cm="1">
        <f t="array" ref="P23">P21/P20</f>
        <v>0.333333333333333</v>
      </c>
      <c r="Q23" s="104" cm="1">
        <f t="array" ref="Q23">Q21/Q20</f>
        <v>0.4</v>
      </c>
      <c r="R23" s="104" cm="1">
        <f t="array" ref="R23">R21/R20</f>
        <v>2</v>
      </c>
      <c r="S23" s="104" cm="1">
        <f t="array" ref="S23">S21/S20</f>
        <v>0.7</v>
      </c>
      <c r="T23" s="104" cm="1">
        <f t="array" ref="T23">T21/T20</f>
        <v>0.997098084735926</v>
      </c>
      <c r="U23" s="104" cm="1">
        <f t="array" ref="U23">U21/U20</f>
        <v>0</v>
      </c>
      <c r="V23" s="104" cm="1">
        <f t="array" ref="V23">V21/V20</f>
        <v>0</v>
      </c>
      <c r="W23" s="104" cm="1">
        <f t="array" ref="W23">W21/W20</f>
        <v>5</v>
      </c>
      <c r="X23" s="104" cm="1">
        <f t="array" ref="X23">X21/X20</f>
        <v>0</v>
      </c>
      <c r="Y23" s="104" cm="1">
        <f t="array" ref="Y23">Y21/Y20</f>
        <v>0</v>
      </c>
      <c r="Z23" s="104" cm="1">
        <f t="array" ref="Z23">Z21/Z20</f>
        <v>0</v>
      </c>
      <c r="AA23" s="104" cm="1">
        <f t="array" ref="AA23">AA21/AA20</f>
      </c>
      <c r="AB23" s="104" cm="1">
        <f t="array" ref="AB23">AB21/AB20</f>
      </c>
      <c r="AC23" s="104" cm="1">
        <f t="array" ref="AC23">AC21/AC20</f>
        <v>0.848484848484848</v>
      </c>
      <c r="AD23" s="104" cm="1">
        <f t="array" ref="AD23">AD21/AD20</f>
        <v>0.625</v>
      </c>
      <c r="AE23" s="104" cm="1">
        <f t="array" ref="AE23">AE21/AE20</f>
        <v>1.35294117647059</v>
      </c>
      <c r="AF23" s="104" cm="1">
        <f t="array" ref="AF23">AF21/AF20</f>
        <v>0.5483870967741939</v>
      </c>
      <c r="AG23" s="104" cm="1">
        <f t="array" ref="AG23">AG21/AG20</f>
        <v>1.47058823529412</v>
      </c>
      <c r="AH23" s="104" cm="1">
        <f t="array" ref="AH23">AH22/AH20</f>
        <v>0.125</v>
      </c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6"/>
      <c r="BG23" s="16"/>
      <c r="BH23" s="16"/>
      <c r="BI23" s="16"/>
      <c r="BJ23" s="16"/>
      <c r="BK23" s="16"/>
      <c r="BL23" s="16"/>
      <c r="BM23" s="16"/>
      <c r="BN23" s="16"/>
      <c r="BO23" s="16"/>
      <c r="BP23" s="16"/>
      <c r="BQ23" s="16"/>
      <c r="BR23" s="16"/>
      <c r="BS23" s="16"/>
      <c r="BT23" s="16"/>
    </row>
    <row r="24" ht="17" customHeight="1">
      <c r="A24" s="132"/>
      <c r="B24" s="466"/>
      <c r="C24" s="132"/>
      <c r="D24" s="71"/>
      <c r="E24" s="563"/>
      <c r="F24" s="742"/>
      <c r="G24" s="598"/>
      <c r="H24" s="774"/>
      <c r="I24" s="132"/>
      <c r="J24" s="132"/>
      <c r="K24" s="132"/>
      <c r="L24" s="132"/>
      <c r="M24" s="132"/>
      <c r="N24" s="775"/>
      <c r="O24" s="775"/>
      <c r="P24" s="775"/>
      <c r="Q24" s="775"/>
      <c r="R24" s="775"/>
      <c r="S24" s="775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  <c r="AH24" s="466"/>
      <c r="AI24" s="132"/>
      <c r="AJ24" s="132"/>
      <c r="AK24" s="132"/>
      <c r="AL24" s="132"/>
      <c r="AM24" s="132"/>
      <c r="AN24" s="132"/>
      <c r="AO24" s="132"/>
      <c r="AP24" s="132"/>
      <c r="AQ24" s="132"/>
      <c r="AR24" s="132"/>
      <c r="AS24" s="132"/>
      <c r="AT24" s="132"/>
      <c r="AU24" s="132"/>
      <c r="AV24" s="132"/>
      <c r="AW24" s="132"/>
      <c r="AX24" s="132"/>
      <c r="AY24" s="132"/>
      <c r="AZ24" s="132"/>
      <c r="BA24" s="132"/>
      <c r="BB24" s="132"/>
      <c r="BC24" s="132"/>
      <c r="BD24" s="132"/>
      <c r="BE24" s="132"/>
      <c r="BF24" s="132"/>
      <c r="BG24" s="132"/>
      <c r="BH24" s="132"/>
      <c r="BI24" s="132"/>
      <c r="BJ24" s="132"/>
      <c r="BK24" s="132"/>
      <c r="BL24" s="132"/>
      <c r="BM24" s="132"/>
      <c r="BN24" s="132"/>
      <c r="BO24" s="132"/>
      <c r="BP24" s="132"/>
      <c r="BQ24" s="132"/>
      <c r="BR24" s="132"/>
      <c r="BS24" s="132"/>
      <c r="BT24" s="132"/>
    </row>
    <row r="25" ht="17.95" customHeight="1">
      <c r="A25" t="s" s="586">
        <v>685</v>
      </c>
      <c r="B25" t="s" s="57">
        <v>3131</v>
      </c>
      <c r="C25" s="588">
        <v>3</v>
      </c>
      <c r="D25" t="s" s="776">
        <v>686</v>
      </c>
      <c r="E25" s="693"/>
      <c r="F25" s="112">
        <v>2</v>
      </c>
      <c r="G25" s="587"/>
      <c r="H25" s="587"/>
      <c r="I25" s="87">
        <v>16</v>
      </c>
      <c r="J25" s="112">
        <v>8</v>
      </c>
      <c r="K25" s="112">
        <v>6</v>
      </c>
      <c r="L25" s="112">
        <v>1</v>
      </c>
      <c r="M25" s="112">
        <v>1</v>
      </c>
      <c r="N25" s="694">
        <v>2</v>
      </c>
      <c r="O25" s="694">
        <v>2</v>
      </c>
      <c r="P25" s="694">
        <v>2</v>
      </c>
      <c r="Q25" s="694">
        <v>5</v>
      </c>
      <c r="R25" s="694">
        <v>0</v>
      </c>
      <c r="S25" s="694">
        <v>5</v>
      </c>
      <c r="T25" s="112">
        <v>458</v>
      </c>
      <c r="U25" s="112">
        <v>4</v>
      </c>
      <c r="V25" s="112">
        <v>10</v>
      </c>
      <c r="W25" s="112">
        <v>0</v>
      </c>
      <c r="X25" s="112">
        <v>25</v>
      </c>
      <c r="Y25" s="112">
        <v>5</v>
      </c>
      <c r="Z25" s="112">
        <v>5</v>
      </c>
      <c r="AA25" s="112">
        <v>0</v>
      </c>
      <c r="AB25" s="112">
        <v>0</v>
      </c>
      <c r="AC25" s="112">
        <v>12</v>
      </c>
      <c r="AD25" s="112">
        <v>0</v>
      </c>
      <c r="AE25" s="112">
        <v>9</v>
      </c>
      <c r="AF25" s="112">
        <v>9</v>
      </c>
      <c r="AG25" s="588">
        <v>7</v>
      </c>
      <c r="AH25" s="545" cm="1">
        <f t="array" ref="AH25">AF25+AG25</f>
        <v>16</v>
      </c>
      <c r="AI25" s="546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</row>
    <row r="26" ht="17.45" customHeight="1">
      <c r="A26" t="s" s="83">
        <v>685</v>
      </c>
      <c r="B26" s="664">
        <v>1921</v>
      </c>
      <c r="C26" s="588">
        <v>3</v>
      </c>
      <c r="D26" t="s" s="776">
        <v>686</v>
      </c>
      <c r="E26" s="465"/>
      <c r="F26" s="737"/>
      <c r="G26" s="591"/>
      <c r="H26" s="213"/>
      <c r="I26" s="97">
        <v>16</v>
      </c>
      <c r="J26" s="97">
        <v>13</v>
      </c>
      <c r="K26" s="97">
        <v>3</v>
      </c>
      <c r="L26" s="97">
        <v>0</v>
      </c>
      <c r="M26" s="97">
        <v>0</v>
      </c>
      <c r="N26" s="97">
        <v>3</v>
      </c>
      <c r="O26" s="97">
        <v>3</v>
      </c>
      <c r="P26" s="97">
        <v>1</v>
      </c>
      <c r="Q26" s="97">
        <v>0</v>
      </c>
      <c r="R26" s="97">
        <v>1</v>
      </c>
      <c r="S26" s="97">
        <v>8</v>
      </c>
      <c r="T26" s="97">
        <v>600</v>
      </c>
      <c r="U26" s="97">
        <v>0</v>
      </c>
      <c r="V26" s="97">
        <v>0</v>
      </c>
      <c r="W26" s="97">
        <v>0</v>
      </c>
      <c r="X26" s="97">
        <v>0</v>
      </c>
      <c r="Y26" s="97">
        <v>0</v>
      </c>
      <c r="Z26" s="97">
        <v>0</v>
      </c>
      <c r="AA26" s="97">
        <v>0</v>
      </c>
      <c r="AB26" s="97">
        <v>0</v>
      </c>
      <c r="AC26" s="97">
        <v>12</v>
      </c>
      <c r="AD26" s="97">
        <v>2</v>
      </c>
      <c r="AE26" s="97">
        <v>10</v>
      </c>
      <c r="AF26" s="97">
        <v>7</v>
      </c>
      <c r="AG26" s="97">
        <v>9</v>
      </c>
      <c r="AH26" s="72">
        <v>16</v>
      </c>
      <c r="AI26" s="62"/>
      <c r="AJ26" s="62"/>
      <c r="AK26" s="62"/>
      <c r="AL26" s="62"/>
      <c r="AM26" s="62"/>
      <c r="AN26" s="62"/>
      <c r="AO26" s="62"/>
      <c r="AP26" s="62"/>
      <c r="AQ26" s="62"/>
      <c r="AR26" s="62"/>
      <c r="AS26" s="62"/>
      <c r="AT26" s="62"/>
      <c r="AU26" s="62"/>
      <c r="AV26" s="62"/>
      <c r="AW26" s="62"/>
      <c r="AX26" s="62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  <c r="BO26" s="62"/>
      <c r="BP26" s="62"/>
      <c r="BQ26" s="62"/>
      <c r="BR26" s="62"/>
      <c r="BS26" s="62"/>
      <c r="BT26" s="62"/>
    </row>
    <row r="27" ht="35" customHeight="1">
      <c r="A27" t="s" s="586">
        <v>685</v>
      </c>
      <c r="B27" t="s" s="57">
        <v>3131</v>
      </c>
      <c r="C27" s="588" cm="1">
        <f t="array" ref="C27">C25-C26</f>
        <v>0</v>
      </c>
      <c r="D27" t="s" s="776">
        <v>686</v>
      </c>
      <c r="E27" t="s" s="35">
        <v>3172</v>
      </c>
      <c r="F27" s="772"/>
      <c r="G27" s="740"/>
      <c r="H27" s="740"/>
      <c r="I27" s="741" cm="1">
        <f t="array" ref="I27">I25-I26</f>
        <v>0</v>
      </c>
      <c r="J27" s="79" cm="1">
        <f t="array" ref="J27">J25-J26</f>
        <v>-5</v>
      </c>
      <c r="K27" s="79" cm="1">
        <f t="array" ref="K27">K25-K26</f>
        <v>3</v>
      </c>
      <c r="L27" s="79" cm="1">
        <f t="array" ref="L27">L25-L26</f>
        <v>1</v>
      </c>
      <c r="M27" s="79" cm="1">
        <f t="array" ref="M27">M25-M26</f>
        <v>1</v>
      </c>
      <c r="N27" s="79" cm="1">
        <f t="array" ref="N27">N25-N26</f>
        <v>-1</v>
      </c>
      <c r="O27" s="79" cm="1">
        <f t="array" ref="O27">O25-O26</f>
        <v>-1</v>
      </c>
      <c r="P27" s="79" cm="1">
        <f t="array" ref="P27">P25-P26</f>
        <v>1</v>
      </c>
      <c r="Q27" s="79" cm="1">
        <f t="array" ref="Q27">Q25-Q26</f>
        <v>5</v>
      </c>
      <c r="R27" s="79" cm="1">
        <f t="array" ref="R27">R25-R26</f>
        <v>-1</v>
      </c>
      <c r="S27" s="79" cm="1">
        <f t="array" ref="S27">S25-S26</f>
        <v>-3</v>
      </c>
      <c r="T27" s="79" cm="1">
        <f t="array" ref="T27">T25-T26</f>
        <v>-142</v>
      </c>
      <c r="U27" s="79" cm="1">
        <f t="array" ref="U27">U25-U26</f>
        <v>4</v>
      </c>
      <c r="V27" s="79" cm="1">
        <f t="array" ref="V27">V25-V26</f>
        <v>10</v>
      </c>
      <c r="W27" s="79" cm="1">
        <f t="array" ref="W27">W25-W26</f>
        <v>0</v>
      </c>
      <c r="X27" s="79" cm="1">
        <f t="array" ref="X27">X25-X26</f>
        <v>25</v>
      </c>
      <c r="Y27" s="79" cm="1">
        <f t="array" ref="Y27">Y25-Y26</f>
        <v>5</v>
      </c>
      <c r="Z27" s="79" cm="1">
        <f t="array" ref="Z27">Z25-Z26</f>
        <v>5</v>
      </c>
      <c r="AA27" s="79" cm="1">
        <f t="array" ref="AA27">AA25-AA26</f>
        <v>0</v>
      </c>
      <c r="AB27" s="79" cm="1">
        <f t="array" ref="AB27">AB25-AB26</f>
        <v>0</v>
      </c>
      <c r="AC27" s="79" cm="1">
        <f t="array" ref="AC27">AC25-AC26</f>
        <v>0</v>
      </c>
      <c r="AD27" s="79" cm="1">
        <f t="array" ref="AD27">AD25-AD26</f>
        <v>-2</v>
      </c>
      <c r="AE27" s="79" cm="1">
        <f t="array" ref="AE27">AE25-AE26</f>
        <v>-1</v>
      </c>
      <c r="AF27" s="79" cm="1">
        <f t="array" ref="AF27">AF25-AF26</f>
        <v>2</v>
      </c>
      <c r="AG27" s="79" cm="1">
        <f t="array" ref="AG27">AG25-AG26</f>
        <v>-2</v>
      </c>
      <c r="AH27" s="79" cm="1">
        <f t="array" ref="AH27">AH25-AH26</f>
        <v>0</v>
      </c>
      <c r="AI27" s="777"/>
      <c r="AJ27" s="16"/>
      <c r="AK27" s="16"/>
      <c r="AL27" s="16"/>
      <c r="AM27" s="16"/>
      <c r="AN27" s="16"/>
      <c r="AO27" s="16"/>
      <c r="AP27" s="16"/>
      <c r="AQ27" s="16"/>
      <c r="AR27" s="16"/>
      <c r="AS27" s="16"/>
      <c r="AT27" s="16"/>
      <c r="AU27" s="16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6"/>
      <c r="BG27" s="16"/>
      <c r="BH27" s="16"/>
      <c r="BI27" s="16"/>
      <c r="BJ27" s="16"/>
      <c r="BK27" s="16"/>
      <c r="BL27" s="16"/>
      <c r="BM27" s="16"/>
      <c r="BN27" s="16"/>
      <c r="BO27" s="16"/>
      <c r="BP27" s="16"/>
      <c r="BQ27" s="16"/>
      <c r="BR27" s="16"/>
      <c r="BS27" s="16"/>
      <c r="BT27" s="16"/>
    </row>
    <row r="28" ht="17.45" customHeight="1">
      <c r="A28" t="s" s="83">
        <v>685</v>
      </c>
      <c r="B28" s="778">
        <v>1921</v>
      </c>
      <c r="C28" s="779" cm="1">
        <f t="array" ref="C28">C27/C26</f>
        <v>0</v>
      </c>
      <c r="D28" t="s" s="776">
        <v>686</v>
      </c>
      <c r="E28" t="s" s="37">
        <v>3173</v>
      </c>
      <c r="F28" s="772"/>
      <c r="G28" s="77"/>
      <c r="H28" s="21"/>
      <c r="I28" s="104" cm="1">
        <f t="array" ref="I28">I26/I25</f>
        <v>1</v>
      </c>
      <c r="J28" s="104" cm="1">
        <f t="array" ref="J28">J26/J25</f>
        <v>1.625</v>
      </c>
      <c r="K28" s="104" cm="1">
        <f t="array" ref="K28">K26/K25</f>
        <v>0.5</v>
      </c>
      <c r="L28" s="104" cm="1">
        <f t="array" ref="L28">L26/L25</f>
        <v>0</v>
      </c>
      <c r="M28" s="104" cm="1">
        <f t="array" ref="M28">M26/M25</f>
        <v>0</v>
      </c>
      <c r="N28" s="104" cm="1">
        <f t="array" ref="N28">N26/N25</f>
        <v>1.5</v>
      </c>
      <c r="O28" s="104" cm="1">
        <f t="array" ref="O28">O26/O25</f>
        <v>1.5</v>
      </c>
      <c r="P28" s="104" cm="1">
        <f t="array" ref="P28">P26/P25</f>
        <v>0.5</v>
      </c>
      <c r="Q28" s="104" cm="1">
        <f t="array" ref="Q28">Q26/Q25</f>
        <v>0</v>
      </c>
      <c r="R28" s="104" cm="1">
        <f t="array" ref="R28">R26/R25</f>
      </c>
      <c r="S28" s="104" cm="1">
        <f t="array" ref="S28">S26/S25</f>
        <v>1.6</v>
      </c>
      <c r="T28" s="104" cm="1">
        <f t="array" ref="T28">T26/T25</f>
        <v>1.31004366812227</v>
      </c>
      <c r="U28" s="104" cm="1">
        <f t="array" ref="U28">U26/U25</f>
        <v>0</v>
      </c>
      <c r="V28" s="104" cm="1">
        <f t="array" ref="V28">V26/V25</f>
        <v>0</v>
      </c>
      <c r="W28" s="104" cm="1">
        <f t="array" ref="W28">W26/W25</f>
      </c>
      <c r="X28" s="104" cm="1">
        <f t="array" ref="X28">X26/X25</f>
        <v>0</v>
      </c>
      <c r="Y28" s="104" cm="1">
        <f t="array" ref="Y28">Y26/Y25</f>
        <v>0</v>
      </c>
      <c r="Z28" s="104" cm="1">
        <f t="array" ref="Z28">Z26/Z25</f>
        <v>0</v>
      </c>
      <c r="AA28" s="104"/>
      <c r="AB28" s="104"/>
      <c r="AC28" s="104" cm="1">
        <f t="array" ref="AC28">AC26/AC25</f>
        <v>1</v>
      </c>
      <c r="AD28" s="104"/>
      <c r="AE28" s="104" cm="1">
        <f t="array" ref="AE28">AE26/AE25</f>
        <v>1.11111111111111</v>
      </c>
      <c r="AF28" s="104" cm="1">
        <f t="array" ref="AF28">AF26/AF25</f>
        <v>0.777777777777778</v>
      </c>
      <c r="AG28" s="104" cm="1">
        <f t="array" ref="AG28">AG26/AG25</f>
        <v>1.28571428571429</v>
      </c>
      <c r="AH28" s="104" cm="1">
        <f t="array" ref="AH28">AH26/AH25</f>
        <v>1</v>
      </c>
      <c r="AI28" s="16"/>
      <c r="AJ28" s="16"/>
      <c r="AK28" s="16"/>
      <c r="AL28" s="16"/>
      <c r="AM28" s="16"/>
      <c r="AN28" s="16"/>
      <c r="AO28" s="16"/>
      <c r="AP28" s="16"/>
      <c r="AQ28" s="16"/>
      <c r="AR28" s="16"/>
      <c r="AS28" s="16"/>
      <c r="AT28" s="16"/>
      <c r="AU28" s="16"/>
      <c r="AV28" s="16"/>
      <c r="AW28" s="16"/>
      <c r="AX28" s="16"/>
      <c r="AY28" s="16"/>
      <c r="AZ28" s="16"/>
      <c r="BA28" s="16"/>
      <c r="BB28" s="16"/>
      <c r="BC28" s="16"/>
      <c r="BD28" s="16"/>
      <c r="BE28" s="16"/>
      <c r="BF28" s="16"/>
      <c r="BG28" s="16"/>
      <c r="BH28" s="16"/>
      <c r="BI28" s="16"/>
      <c r="BJ28" s="16"/>
      <c r="BK28" s="16"/>
      <c r="BL28" s="16"/>
      <c r="BM28" s="16"/>
      <c r="BN28" s="16"/>
      <c r="BO28" s="16"/>
      <c r="BP28" s="16"/>
      <c r="BQ28" s="16"/>
      <c r="BR28" s="16"/>
      <c r="BS28" s="16"/>
      <c r="BT28" s="16"/>
    </row>
    <row r="29" ht="15.35" customHeight="1">
      <c r="A29" s="575"/>
      <c r="B29" s="466"/>
      <c r="C29" s="575"/>
      <c r="D29" s="466"/>
      <c r="E29" s="71"/>
      <c r="F29" s="728"/>
      <c r="G29" s="605"/>
      <c r="H29" s="760"/>
      <c r="I29" s="466"/>
      <c r="J29" s="466"/>
      <c r="K29" s="466"/>
      <c r="L29" s="466"/>
      <c r="M29" s="466"/>
      <c r="N29" s="466"/>
      <c r="O29" s="466"/>
      <c r="P29" s="466"/>
      <c r="Q29" s="466"/>
      <c r="R29" s="466"/>
      <c r="S29" s="466"/>
      <c r="T29" s="466"/>
      <c r="U29" s="466"/>
      <c r="V29" s="466"/>
      <c r="W29" s="466"/>
      <c r="X29" s="466"/>
      <c r="Y29" s="466"/>
      <c r="Z29" s="466"/>
      <c r="AA29" s="466"/>
      <c r="AB29" s="466"/>
      <c r="AC29" s="466"/>
      <c r="AD29" s="466"/>
      <c r="AE29" s="466"/>
      <c r="AF29" s="466"/>
      <c r="AG29" s="466"/>
      <c r="AH29" s="466"/>
      <c r="AI29" s="132"/>
      <c r="AJ29" s="132"/>
      <c r="AK29" s="132"/>
      <c r="AL29" s="132"/>
      <c r="AM29" s="132"/>
      <c r="AN29" s="132"/>
      <c r="AO29" s="132"/>
      <c r="AP29" s="132"/>
      <c r="AQ29" s="132"/>
      <c r="AR29" s="132"/>
      <c r="AS29" s="132"/>
      <c r="AT29" s="132"/>
      <c r="AU29" s="132"/>
      <c r="AV29" s="132"/>
      <c r="AW29" s="132"/>
      <c r="AX29" s="132"/>
      <c r="AY29" s="132"/>
      <c r="AZ29" s="132"/>
      <c r="BA29" s="132"/>
      <c r="BB29" s="132"/>
      <c r="BC29" s="132"/>
      <c r="BD29" s="132"/>
      <c r="BE29" s="132"/>
      <c r="BF29" s="132"/>
      <c r="BG29" s="132"/>
      <c r="BH29" s="132"/>
      <c r="BI29" s="132"/>
      <c r="BJ29" s="132"/>
      <c r="BK29" s="132"/>
      <c r="BL29" s="132"/>
      <c r="BM29" s="132"/>
      <c r="BN29" s="132"/>
      <c r="BO29" s="132"/>
      <c r="BP29" s="132"/>
      <c r="BQ29" s="132"/>
      <c r="BR29" s="132"/>
      <c r="BS29" s="132"/>
      <c r="BT29" s="132"/>
    </row>
    <row r="30" ht="17.45" customHeight="1">
      <c r="A30" t="s" s="37">
        <v>724</v>
      </c>
      <c r="B30" t="s" s="37">
        <v>3131</v>
      </c>
      <c r="C30" s="39">
        <v>4</v>
      </c>
      <c r="D30" t="s" s="533">
        <v>726</v>
      </c>
      <c r="E30" s="460"/>
      <c r="F30" s="39">
        <v>3</v>
      </c>
      <c r="G30" s="531"/>
      <c r="H30" s="531"/>
      <c r="I30" s="56">
        <v>25</v>
      </c>
      <c r="J30" s="39">
        <v>19</v>
      </c>
      <c r="K30" s="39">
        <v>5</v>
      </c>
      <c r="L30" s="39">
        <v>1</v>
      </c>
      <c r="M30" s="39">
        <v>0</v>
      </c>
      <c r="N30" s="39">
        <v>3</v>
      </c>
      <c r="O30" s="39">
        <v>1</v>
      </c>
      <c r="P30" s="39">
        <v>0</v>
      </c>
      <c r="Q30" s="39">
        <v>0</v>
      </c>
      <c r="R30" s="39">
        <v>4</v>
      </c>
      <c r="S30" s="39">
        <v>17</v>
      </c>
      <c r="T30" s="39">
        <v>881</v>
      </c>
      <c r="U30" s="39">
        <v>4</v>
      </c>
      <c r="V30" s="39">
        <v>15</v>
      </c>
      <c r="W30" s="39">
        <v>2</v>
      </c>
      <c r="X30" s="39">
        <v>15</v>
      </c>
      <c r="Y30" s="39">
        <v>1</v>
      </c>
      <c r="Z30" s="39">
        <v>1</v>
      </c>
      <c r="AA30" s="39">
        <v>0</v>
      </c>
      <c r="AB30" s="39">
        <v>0</v>
      </c>
      <c r="AC30" s="39">
        <v>21</v>
      </c>
      <c r="AD30" s="39">
        <v>3</v>
      </c>
      <c r="AE30" s="39">
        <v>18</v>
      </c>
      <c r="AF30" s="39">
        <v>12</v>
      </c>
      <c r="AG30" s="39">
        <v>13</v>
      </c>
      <c r="AH30" s="39" cm="1">
        <f t="array" ref="AH30">AG30+AF30</f>
        <v>25</v>
      </c>
      <c r="AI30" s="38"/>
      <c r="AJ30" t="s" s="83">
        <v>3138</v>
      </c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</row>
    <row r="31" ht="17.45" customHeight="1">
      <c r="A31" t="s" s="37">
        <v>724</v>
      </c>
      <c r="B31" t="s" s="37">
        <v>725</v>
      </c>
      <c r="C31" s="456">
        <v>2</v>
      </c>
      <c r="D31" t="s" s="533">
        <v>726</v>
      </c>
      <c r="E31" s="780"/>
      <c r="F31" s="71"/>
      <c r="G31" s="716"/>
      <c r="H31" s="71"/>
      <c r="I31" s="72">
        <v>14</v>
      </c>
      <c r="J31" s="72">
        <v>8</v>
      </c>
      <c r="K31" s="72">
        <v>2</v>
      </c>
      <c r="L31" s="72">
        <v>3</v>
      </c>
      <c r="M31" s="72">
        <v>1</v>
      </c>
      <c r="N31" s="72">
        <v>2</v>
      </c>
      <c r="O31" s="72">
        <v>2</v>
      </c>
      <c r="P31" s="72">
        <v>0</v>
      </c>
      <c r="Q31" s="72">
        <v>0</v>
      </c>
      <c r="R31" s="72">
        <v>2</v>
      </c>
      <c r="S31" s="72">
        <v>8</v>
      </c>
      <c r="T31" s="72">
        <v>460</v>
      </c>
      <c r="U31" s="72">
        <v>0</v>
      </c>
      <c r="V31" s="72">
        <v>0</v>
      </c>
      <c r="W31" s="72">
        <v>0</v>
      </c>
      <c r="X31" s="72">
        <v>0</v>
      </c>
      <c r="Y31" s="72">
        <v>0</v>
      </c>
      <c r="Z31" s="72">
        <v>0</v>
      </c>
      <c r="AA31" s="71"/>
      <c r="AB31" s="71"/>
      <c r="AC31" s="72">
        <v>11</v>
      </c>
      <c r="AD31" s="72">
        <v>1</v>
      </c>
      <c r="AE31" s="72">
        <v>10</v>
      </c>
      <c r="AF31" s="72">
        <v>2</v>
      </c>
      <c r="AG31" s="72">
        <v>12</v>
      </c>
      <c r="AH31" s="72">
        <v>14</v>
      </c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/>
      <c r="AU31" s="62"/>
      <c r="AV31" s="62"/>
      <c r="AW31" s="62"/>
      <c r="AX31" s="62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  <c r="BO31" s="62"/>
      <c r="BP31" s="62"/>
      <c r="BQ31" s="62"/>
      <c r="BR31" s="62"/>
      <c r="BS31" s="62"/>
      <c r="BT31" s="62"/>
    </row>
    <row r="32" ht="35" customHeight="1">
      <c r="A32" t="s" s="37">
        <v>724</v>
      </c>
      <c r="B32" t="s" s="37">
        <v>3131</v>
      </c>
      <c r="C32" s="458" cm="1">
        <f t="array" ref="C32">C30-C31</f>
        <v>2</v>
      </c>
      <c r="D32" t="s" s="533">
        <v>726</v>
      </c>
      <c r="E32" t="s" s="35">
        <v>3172</v>
      </c>
      <c r="F32" s="772"/>
      <c r="G32" s="77"/>
      <c r="H32" s="78"/>
      <c r="I32" s="79" cm="1">
        <f t="array" ref="I32">I30-I31</f>
        <v>11</v>
      </c>
      <c r="J32" s="79" cm="1">
        <f t="array" ref="J32">J30-J31</f>
        <v>11</v>
      </c>
      <c r="K32" s="79" cm="1">
        <f t="array" ref="K32">K30-K31</f>
        <v>3</v>
      </c>
      <c r="L32" s="79" cm="1">
        <f t="array" ref="L32">L30-L31</f>
        <v>-2</v>
      </c>
      <c r="M32" s="79" cm="1">
        <f t="array" ref="M32">M30-M31</f>
        <v>-1</v>
      </c>
      <c r="N32" s="79" cm="1">
        <f t="array" ref="N32">N30-N31</f>
        <v>1</v>
      </c>
      <c r="O32" s="79" cm="1">
        <f t="array" ref="O32">O30-O31</f>
        <v>-1</v>
      </c>
      <c r="P32" s="79" cm="1">
        <f t="array" ref="P32">P30-P31</f>
        <v>0</v>
      </c>
      <c r="Q32" s="79" cm="1">
        <f t="array" ref="Q32">Q30-Q31</f>
        <v>0</v>
      </c>
      <c r="R32" s="79" cm="1">
        <f t="array" ref="R32">R30-R31</f>
        <v>2</v>
      </c>
      <c r="S32" s="79" cm="1">
        <f t="array" ref="S32">S30-S31</f>
        <v>9</v>
      </c>
      <c r="T32" s="79" cm="1">
        <f t="array" ref="T32">T30-T31</f>
        <v>421</v>
      </c>
      <c r="U32" s="79" cm="1">
        <f t="array" ref="U32">U30-U31</f>
        <v>4</v>
      </c>
      <c r="V32" s="79" cm="1">
        <f t="array" ref="V32">V30-V31</f>
        <v>15</v>
      </c>
      <c r="W32" s="79" cm="1">
        <f t="array" ref="W32">W30-W31</f>
        <v>2</v>
      </c>
      <c r="X32" s="79" cm="1">
        <f t="array" ref="X32">X30-X31</f>
        <v>15</v>
      </c>
      <c r="Y32" s="79" cm="1">
        <f t="array" ref="Y32">Y30-Y31</f>
        <v>1</v>
      </c>
      <c r="Z32" s="79" cm="1">
        <f t="array" ref="Z32">Z30-Z31</f>
        <v>1</v>
      </c>
      <c r="AA32" s="79" cm="1">
        <f t="array" ref="AA32">AA30-AA31</f>
        <v>0</v>
      </c>
      <c r="AB32" s="79" cm="1">
        <f t="array" ref="AB32">AB30-AB31</f>
        <v>0</v>
      </c>
      <c r="AC32" s="79" cm="1">
        <f t="array" ref="AC32">AC30-AC31</f>
        <v>10</v>
      </c>
      <c r="AD32" s="79" cm="1">
        <f t="array" ref="AD32">AD30-AD31</f>
        <v>2</v>
      </c>
      <c r="AE32" s="79" cm="1">
        <f t="array" ref="AE32">AE30-AE31</f>
        <v>8</v>
      </c>
      <c r="AF32" s="79" cm="1">
        <f t="array" ref="AF32">AF30-AF31</f>
        <v>10</v>
      </c>
      <c r="AG32" s="79" cm="1">
        <f t="array" ref="AG32">AG30-AG31</f>
        <v>1</v>
      </c>
      <c r="AH32" s="79" cm="1">
        <f t="array" ref="AH32">AG32+AF32</f>
        <v>11</v>
      </c>
      <c r="AI32" s="16"/>
      <c r="AJ32" s="16"/>
      <c r="AK32" s="16"/>
      <c r="AL32" s="16"/>
      <c r="AM32" s="16"/>
      <c r="AN32" s="16"/>
      <c r="AO32" s="16"/>
      <c r="AP32" s="16"/>
      <c r="AQ32" s="16"/>
      <c r="AR32" s="16"/>
      <c r="AS32" s="16"/>
      <c r="AT32" s="16"/>
      <c r="AU32" s="16"/>
      <c r="AV32" s="16"/>
      <c r="AW32" s="16"/>
      <c r="AX32" s="16"/>
      <c r="AY32" s="16"/>
      <c r="AZ32" s="16"/>
      <c r="BA32" s="16"/>
      <c r="BB32" s="16"/>
      <c r="BC32" s="16"/>
      <c r="BD32" s="16"/>
      <c r="BE32" s="16"/>
      <c r="BF32" s="16"/>
      <c r="BG32" s="16"/>
      <c r="BH32" s="16"/>
      <c r="BI32" s="16"/>
      <c r="BJ32" s="16"/>
      <c r="BK32" s="16"/>
      <c r="BL32" s="16"/>
      <c r="BM32" s="16"/>
      <c r="BN32" s="16"/>
      <c r="BO32" s="16"/>
      <c r="BP32" s="16"/>
      <c r="BQ32" s="16"/>
      <c r="BR32" s="16"/>
      <c r="BS32" s="16"/>
      <c r="BT32" s="16"/>
    </row>
    <row r="33" ht="17.45" customHeight="1">
      <c r="A33" t="s" s="37">
        <v>724</v>
      </c>
      <c r="B33" t="s" s="37">
        <v>725</v>
      </c>
      <c r="C33" s="781" cm="1">
        <f t="array" ref="C33">C32/C31</f>
        <v>1</v>
      </c>
      <c r="D33" t="s" s="533">
        <v>726</v>
      </c>
      <c r="E33" t="s" s="37">
        <v>3173</v>
      </c>
      <c r="F33" s="772"/>
      <c r="G33" s="77"/>
      <c r="H33" s="78"/>
      <c r="I33" s="104" cm="1">
        <f t="array" ref="I33">I31/I30</f>
        <v>0.5600000000000001</v>
      </c>
      <c r="J33" s="104" cm="1">
        <f t="array" ref="J33">J31/J30</f>
        <v>0.421052631578947</v>
      </c>
      <c r="K33" s="104" cm="1">
        <f t="array" ref="K33">K31/K30</f>
        <v>0.4</v>
      </c>
      <c r="L33" s="104" cm="1">
        <f t="array" ref="L33">L31/L30</f>
        <v>3</v>
      </c>
      <c r="M33" s="104" cm="1">
        <f t="array" ref="M33">M31/M30</f>
      </c>
      <c r="N33" s="104" cm="1">
        <f t="array" ref="N33">N31/N30</f>
        <v>0.666666666666667</v>
      </c>
      <c r="O33" s="104" cm="1">
        <f t="array" ref="O33">O31/O30</f>
        <v>2</v>
      </c>
      <c r="P33" s="104" cm="1">
        <f t="array" ref="P33">P31/P30</f>
      </c>
      <c r="Q33" s="104" cm="1">
        <f t="array" ref="Q33">Q31/Q30</f>
      </c>
      <c r="R33" s="104" cm="1">
        <f t="array" ref="R33">R31/R30</f>
        <v>0.5</v>
      </c>
      <c r="S33" s="104" cm="1">
        <f t="array" ref="S33">S31/S30</f>
        <v>0.470588235294118</v>
      </c>
      <c r="T33" s="104" cm="1">
        <f t="array" ref="T33">T31/T30</f>
        <v>0.522133938706016</v>
      </c>
      <c r="U33" s="104" cm="1">
        <f t="array" ref="U33">U31/U30</f>
        <v>0</v>
      </c>
      <c r="V33" s="104" cm="1">
        <f t="array" ref="V33">V31/V30</f>
        <v>0</v>
      </c>
      <c r="W33" s="104" cm="1">
        <f t="array" ref="W33">W31/W30</f>
        <v>0</v>
      </c>
      <c r="X33" s="104" cm="1">
        <f t="array" ref="X33">X31/X30</f>
        <v>0</v>
      </c>
      <c r="Y33" s="104" cm="1">
        <f t="array" ref="Y33">Y31/Y30</f>
        <v>0</v>
      </c>
      <c r="Z33" s="104" cm="1">
        <f t="array" ref="Z33">Z31/Z30</f>
        <v>0</v>
      </c>
      <c r="AA33" s="104"/>
      <c r="AB33" s="104"/>
      <c r="AC33" s="104" cm="1">
        <f t="array" ref="AC33">AC31/AC30</f>
        <v>0.5238095238095239</v>
      </c>
      <c r="AD33" s="104" cm="1">
        <f t="array" ref="AD33">AD31/AD30</f>
        <v>0.333333333333333</v>
      </c>
      <c r="AE33" s="104" cm="1">
        <f t="array" ref="AE33">AE31/AE30</f>
        <v>0.555555555555556</v>
      </c>
      <c r="AF33" s="104" cm="1">
        <f t="array" ref="AF33">AF31/AF30</f>
        <v>0.166666666666667</v>
      </c>
      <c r="AG33" s="104" cm="1">
        <f t="array" ref="AG33">AG31/AG30</f>
        <v>0.923076923076923</v>
      </c>
      <c r="AH33" s="104" cm="1">
        <f t="array" ref="AH33">AH31/AH30</f>
        <v>0.5600000000000001</v>
      </c>
      <c r="AI33" s="16"/>
      <c r="AJ33" s="16"/>
      <c r="AK33" s="16"/>
      <c r="AL33" s="16"/>
      <c r="AM33" s="16"/>
      <c r="AN33" s="16"/>
      <c r="AO33" s="16"/>
      <c r="AP33" s="16"/>
      <c r="AQ33" s="16"/>
      <c r="AR33" s="16"/>
      <c r="AS33" s="16"/>
      <c r="AT33" s="16"/>
      <c r="AU33" s="16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6"/>
      <c r="BG33" s="16"/>
      <c r="BH33" s="16"/>
      <c r="BI33" s="16"/>
      <c r="BJ33" s="16"/>
      <c r="BK33" s="16"/>
      <c r="BL33" s="16"/>
      <c r="BM33" s="16"/>
      <c r="BN33" s="16"/>
      <c r="BO33" s="16"/>
      <c r="BP33" s="16"/>
      <c r="BQ33" s="16"/>
      <c r="BR33" s="16"/>
      <c r="BS33" s="16"/>
      <c r="BT33" s="16"/>
    </row>
    <row r="34" ht="15.35" customHeight="1">
      <c r="A34" s="563"/>
      <c r="B34" s="563"/>
      <c r="C34" s="466"/>
      <c r="D34" s="563"/>
      <c r="E34" s="71"/>
      <c r="F34" s="728"/>
      <c r="G34" s="605"/>
      <c r="H34" s="760"/>
      <c r="I34" s="466"/>
      <c r="J34" s="466"/>
      <c r="K34" s="466"/>
      <c r="L34" s="466"/>
      <c r="M34" s="466"/>
      <c r="N34" s="466"/>
      <c r="O34" s="466"/>
      <c r="P34" s="466"/>
      <c r="Q34" s="466"/>
      <c r="R34" s="466"/>
      <c r="S34" s="466"/>
      <c r="T34" s="466"/>
      <c r="U34" s="466"/>
      <c r="V34" s="466"/>
      <c r="W34" s="466"/>
      <c r="X34" s="466"/>
      <c r="Y34" s="466"/>
      <c r="Z34" s="466"/>
      <c r="AA34" s="466"/>
      <c r="AB34" s="466"/>
      <c r="AC34" s="466"/>
      <c r="AD34" s="466"/>
      <c r="AE34" s="466"/>
      <c r="AF34" s="466"/>
      <c r="AG34" s="466"/>
      <c r="AH34" s="466"/>
      <c r="AI34" s="132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32"/>
      <c r="AU34" s="132"/>
      <c r="AV34" s="132"/>
      <c r="AW34" s="132"/>
      <c r="AX34" s="132"/>
      <c r="AY34" s="132"/>
      <c r="AZ34" s="132"/>
      <c r="BA34" s="132"/>
      <c r="BB34" s="132"/>
      <c r="BC34" s="132"/>
      <c r="BD34" s="132"/>
      <c r="BE34" s="132"/>
      <c r="BF34" s="132"/>
      <c r="BG34" s="132"/>
      <c r="BH34" s="132"/>
      <c r="BI34" s="132"/>
      <c r="BJ34" s="132"/>
      <c r="BK34" s="132"/>
      <c r="BL34" s="132"/>
      <c r="BM34" s="132"/>
      <c r="BN34" s="132"/>
      <c r="BO34" s="132"/>
      <c r="BP34" s="132"/>
      <c r="BQ34" s="132"/>
      <c r="BR34" s="132"/>
      <c r="BS34" s="132"/>
      <c r="BT34" s="132"/>
    </row>
    <row r="35" ht="17.45" customHeight="1">
      <c r="A35" t="s" s="37">
        <v>767</v>
      </c>
      <c r="B35" t="s" s="37">
        <v>3131</v>
      </c>
      <c r="C35" s="39">
        <v>7</v>
      </c>
      <c r="D35" t="s" s="533">
        <v>768</v>
      </c>
      <c r="E35" s="460"/>
      <c r="F35" s="39">
        <v>14</v>
      </c>
      <c r="G35" s="531"/>
      <c r="H35" s="531"/>
      <c r="I35" s="56">
        <v>31</v>
      </c>
      <c r="J35" s="39">
        <v>24</v>
      </c>
      <c r="K35" s="39">
        <v>6</v>
      </c>
      <c r="L35" s="39">
        <v>1</v>
      </c>
      <c r="M35" s="39">
        <v>0</v>
      </c>
      <c r="N35" s="39">
        <v>6</v>
      </c>
      <c r="O35" s="39">
        <v>2</v>
      </c>
      <c r="P35" s="39">
        <v>2</v>
      </c>
      <c r="Q35" s="39">
        <v>1</v>
      </c>
      <c r="R35" s="39">
        <v>4</v>
      </c>
      <c r="S35" s="39">
        <v>16</v>
      </c>
      <c r="T35" s="39">
        <v>1177</v>
      </c>
      <c r="U35" s="39">
        <v>7</v>
      </c>
      <c r="V35" s="39">
        <v>21</v>
      </c>
      <c r="W35" s="39">
        <v>3</v>
      </c>
      <c r="X35" s="39">
        <v>60</v>
      </c>
      <c r="Y35" s="39">
        <v>4</v>
      </c>
      <c r="Z35" s="39">
        <v>3</v>
      </c>
      <c r="AA35" s="39">
        <v>0</v>
      </c>
      <c r="AB35" s="39">
        <v>0</v>
      </c>
      <c r="AC35" s="39">
        <v>22</v>
      </c>
      <c r="AD35" s="39">
        <v>4</v>
      </c>
      <c r="AE35" s="39">
        <v>18</v>
      </c>
      <c r="AF35" s="39">
        <v>11</v>
      </c>
      <c r="AG35" s="39">
        <v>20</v>
      </c>
      <c r="AH35" s="39">
        <v>31</v>
      </c>
      <c r="AI35" s="38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</row>
    <row r="36" ht="17.45" customHeight="1">
      <c r="A36" t="s" s="37">
        <v>767</v>
      </c>
      <c r="B36" s="39">
        <v>1921</v>
      </c>
      <c r="C36" s="456">
        <v>6</v>
      </c>
      <c r="D36" t="s" s="533">
        <v>768</v>
      </c>
      <c r="E36" s="780"/>
      <c r="F36" s="71"/>
      <c r="G36" s="716"/>
      <c r="H36" s="71"/>
      <c r="I36" s="72">
        <v>33</v>
      </c>
      <c r="J36" s="72">
        <v>21</v>
      </c>
      <c r="K36" s="72">
        <v>7</v>
      </c>
      <c r="L36" s="72">
        <v>3</v>
      </c>
      <c r="M36" s="72">
        <v>2</v>
      </c>
      <c r="N36" s="72">
        <v>6</v>
      </c>
      <c r="O36" s="72">
        <v>5</v>
      </c>
      <c r="P36" s="72">
        <v>5</v>
      </c>
      <c r="Q36" s="72">
        <v>2</v>
      </c>
      <c r="R36" s="72">
        <v>3</v>
      </c>
      <c r="S36" s="72">
        <v>12</v>
      </c>
      <c r="T36" s="72">
        <v>1139</v>
      </c>
      <c r="U36" s="72">
        <v>0</v>
      </c>
      <c r="V36" s="72">
        <v>0</v>
      </c>
      <c r="W36" s="72">
        <v>0</v>
      </c>
      <c r="X36" s="72">
        <v>0</v>
      </c>
      <c r="Y36" s="72">
        <v>0</v>
      </c>
      <c r="Z36" s="72">
        <v>0</v>
      </c>
      <c r="AA36" s="72">
        <v>0</v>
      </c>
      <c r="AB36" s="72">
        <v>0</v>
      </c>
      <c r="AC36" s="72">
        <v>20</v>
      </c>
      <c r="AD36" s="72">
        <v>3</v>
      </c>
      <c r="AE36" s="72">
        <v>17</v>
      </c>
      <c r="AF36" s="72">
        <v>17</v>
      </c>
      <c r="AG36" s="72">
        <v>16</v>
      </c>
      <c r="AH36" s="72">
        <v>33</v>
      </c>
      <c r="AI36" s="97">
        <v>0</v>
      </c>
      <c r="AJ36" s="62"/>
      <c r="AK36" s="62"/>
      <c r="AL36" s="62"/>
      <c r="AM36" s="62"/>
      <c r="AN36" s="62"/>
      <c r="AO36" s="62"/>
      <c r="AP36" s="62"/>
      <c r="AQ36" s="62"/>
      <c r="AR36" s="62"/>
      <c r="AS36" s="62"/>
      <c r="AT36" s="62"/>
      <c r="AU36" s="62"/>
      <c r="AV36" s="62"/>
      <c r="AW36" s="62"/>
      <c r="AX36" s="62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  <c r="BO36" s="62"/>
      <c r="BP36" s="62"/>
      <c r="BQ36" s="62"/>
      <c r="BR36" s="62"/>
      <c r="BS36" s="62"/>
      <c r="BT36" s="62"/>
    </row>
    <row r="37" ht="51" customHeight="1">
      <c r="A37" t="s" s="37">
        <v>767</v>
      </c>
      <c r="B37" t="s" s="37">
        <v>3131</v>
      </c>
      <c r="C37" s="458" cm="1">
        <f t="array" ref="C37">C35-C36</f>
        <v>1</v>
      </c>
      <c r="D37" t="s" s="533">
        <v>768</v>
      </c>
      <c r="E37" t="s" s="35">
        <v>3172</v>
      </c>
      <c r="F37" s="772"/>
      <c r="G37" s="77"/>
      <c r="H37" s="78"/>
      <c r="I37" s="79" cm="1">
        <f t="array" ref="I37">I35-I36</f>
        <v>-2</v>
      </c>
      <c r="J37" s="79" cm="1">
        <f t="array" ref="J37">J35-J36</f>
        <v>3</v>
      </c>
      <c r="K37" s="79" cm="1">
        <f t="array" ref="K37">K35-K36</f>
        <v>-1</v>
      </c>
      <c r="L37" s="79" cm="1">
        <f t="array" ref="L37">L35-L36</f>
        <v>-2</v>
      </c>
      <c r="M37" s="79" cm="1">
        <f t="array" ref="M37">M35-M36</f>
        <v>-2</v>
      </c>
      <c r="N37" s="79" cm="1">
        <f t="array" ref="N37">N35-N36</f>
        <v>0</v>
      </c>
      <c r="O37" s="79" cm="1">
        <f t="array" ref="O37">O35-O36</f>
        <v>-3</v>
      </c>
      <c r="P37" s="79" cm="1">
        <f t="array" ref="P37">P35-P36</f>
        <v>-3</v>
      </c>
      <c r="Q37" s="79" cm="1">
        <f t="array" ref="Q37">Q35-Q36</f>
        <v>-1</v>
      </c>
      <c r="R37" s="79" cm="1">
        <f t="array" ref="R37">R35-R36</f>
        <v>1</v>
      </c>
      <c r="S37" s="79" cm="1">
        <f t="array" ref="S37">S35-S36</f>
        <v>4</v>
      </c>
      <c r="T37" s="79" cm="1">
        <f t="array" ref="T37">T35-T36</f>
        <v>38</v>
      </c>
      <c r="U37" s="79" cm="1">
        <f t="array" ref="U37">U35-U36</f>
        <v>7</v>
      </c>
      <c r="V37" s="79" cm="1">
        <f t="array" ref="V37">V35-V36</f>
        <v>21</v>
      </c>
      <c r="W37" s="79" cm="1">
        <f t="array" ref="W37">W35-W36</f>
        <v>3</v>
      </c>
      <c r="X37" s="79" cm="1">
        <f t="array" ref="X37">X35-X36</f>
        <v>60</v>
      </c>
      <c r="Y37" s="79" cm="1">
        <f t="array" ref="Y37">Y35-Y36</f>
        <v>4</v>
      </c>
      <c r="Z37" s="79" cm="1">
        <f t="array" ref="Z37">Z35-Z36</f>
        <v>3</v>
      </c>
      <c r="AA37" s="79" cm="1">
        <f t="array" ref="AA37">AA35-AA36</f>
        <v>0</v>
      </c>
      <c r="AB37" s="79" cm="1">
        <f t="array" ref="AB37">AB35-AB36</f>
        <v>0</v>
      </c>
      <c r="AC37" s="79" cm="1">
        <f t="array" ref="AC37">AC35-AC36</f>
        <v>2</v>
      </c>
      <c r="AD37" s="79" cm="1">
        <f t="array" ref="AD37">AD35-AD36</f>
        <v>1</v>
      </c>
      <c r="AE37" s="79" cm="1">
        <f t="array" ref="AE37">AE35-AE36</f>
        <v>1</v>
      </c>
      <c r="AF37" s="79" cm="1">
        <f t="array" ref="AF37">AF35-AF36</f>
        <v>-6</v>
      </c>
      <c r="AG37" s="79" cm="1">
        <f t="array" ref="AG37">AG35-AG36</f>
        <v>4</v>
      </c>
      <c r="AH37" s="79" cm="1">
        <f t="array" ref="AH37">AH35-AH36</f>
        <v>-2</v>
      </c>
      <c r="AI37" s="16"/>
      <c r="AJ37" s="16"/>
      <c r="AK37" s="16"/>
      <c r="AL37" s="16"/>
      <c r="AM37" s="16"/>
      <c r="AN37" s="16"/>
      <c r="AO37" s="16"/>
      <c r="AP37" s="16"/>
      <c r="AQ37" s="16"/>
      <c r="AR37" s="16"/>
      <c r="AS37" s="16"/>
      <c r="AT37" s="16"/>
      <c r="AU37" s="16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6"/>
      <c r="BG37" s="16"/>
      <c r="BH37" s="16"/>
      <c r="BI37" s="16"/>
      <c r="BJ37" s="16"/>
      <c r="BK37" s="16"/>
      <c r="BL37" s="16"/>
      <c r="BM37" s="16"/>
      <c r="BN37" s="16"/>
      <c r="BO37" s="16"/>
      <c r="BP37" s="16"/>
      <c r="BQ37" s="16"/>
      <c r="BR37" s="16"/>
      <c r="BS37" s="16"/>
      <c r="BT37" s="16"/>
    </row>
    <row r="38" ht="17.45" customHeight="1">
      <c r="A38" t="s" s="37">
        <v>767</v>
      </c>
      <c r="B38" s="39">
        <v>1921</v>
      </c>
      <c r="C38" s="781" cm="1">
        <f t="array" ref="C38">C37/C36</f>
        <v>0.166666666666667</v>
      </c>
      <c r="D38" t="s" s="533">
        <v>768</v>
      </c>
      <c r="E38" t="s" s="37">
        <v>3173</v>
      </c>
      <c r="F38" s="772"/>
      <c r="G38" s="80"/>
      <c r="H38" s="78"/>
      <c r="I38" s="104" cm="1">
        <f t="array" ref="I38">I36/I35</f>
        <v>1.06451612903226</v>
      </c>
      <c r="J38" s="104" cm="1">
        <f t="array" ref="J38">J36/J35</f>
        <v>0.875</v>
      </c>
      <c r="K38" s="104" cm="1">
        <f t="array" ref="K38">K36/K35</f>
        <v>1.16666666666667</v>
      </c>
      <c r="L38" s="104" cm="1">
        <f t="array" ref="L38">L36/L35</f>
        <v>3</v>
      </c>
      <c r="M38" s="104"/>
      <c r="N38" s="104" cm="1">
        <f t="array" ref="N38">N36/N35</f>
        <v>1</v>
      </c>
      <c r="O38" s="104" cm="1">
        <f t="array" ref="O38">O36/O35</f>
        <v>2.5</v>
      </c>
      <c r="P38" s="104" cm="1">
        <f t="array" ref="P38">P36/P35</f>
        <v>2.5</v>
      </c>
      <c r="Q38" s="104" cm="1">
        <f t="array" ref="Q38">Q36/Q35</f>
        <v>2</v>
      </c>
      <c r="R38" s="104" cm="1">
        <f t="array" ref="R38">R36/R35</f>
        <v>0.75</v>
      </c>
      <c r="S38" s="104" cm="1">
        <f t="array" ref="S38">S36/S35</f>
        <v>0.75</v>
      </c>
      <c r="T38" s="104" cm="1">
        <f t="array" ref="T38">T36/T35</f>
        <v>0.967714528462192</v>
      </c>
      <c r="U38" s="104" cm="1">
        <f t="array" ref="U38">U36/U35</f>
        <v>0</v>
      </c>
      <c r="V38" s="104" cm="1">
        <f t="array" ref="V38">V36/V35</f>
        <v>0</v>
      </c>
      <c r="W38" s="104" cm="1">
        <f t="array" ref="W38">W36/W35</f>
        <v>0</v>
      </c>
      <c r="X38" s="104" cm="1">
        <f t="array" ref="X38">X36/X35</f>
        <v>0</v>
      </c>
      <c r="Y38" s="104" cm="1">
        <f t="array" ref="Y38">Y36/Y35</f>
        <v>0</v>
      </c>
      <c r="Z38" s="104" cm="1">
        <f t="array" ref="Z38">Z36/Z35</f>
        <v>0</v>
      </c>
      <c r="AA38" s="104" cm="1">
        <f t="array" ref="AA38">AA36/AA35</f>
      </c>
      <c r="AB38" s="104" cm="1">
        <f t="array" ref="AB38">AB36/AB35</f>
      </c>
      <c r="AC38" s="104" cm="1">
        <f t="array" ref="AC38">AC36/AC35</f>
        <v>0.9090909090909089</v>
      </c>
      <c r="AD38" s="104" cm="1">
        <f t="array" ref="AD38">AD36/AD35</f>
        <v>0.75</v>
      </c>
      <c r="AE38" s="104" cm="1">
        <f t="array" ref="AE38">AE36/AE35</f>
        <v>0.944444444444444</v>
      </c>
      <c r="AF38" s="104" cm="1">
        <f t="array" ref="AF38">AF36/AF35</f>
        <v>1.54545454545455</v>
      </c>
      <c r="AG38" s="104" cm="1">
        <f t="array" ref="AG38">AG36/AG35</f>
        <v>0.8</v>
      </c>
      <c r="AH38" s="104" cm="1">
        <f t="array" ref="AH38">AH36/AH35</f>
        <v>1.06451612903226</v>
      </c>
      <c r="AI38" s="16"/>
      <c r="AJ38" s="16"/>
      <c r="AK38" s="16"/>
      <c r="AL38" s="16"/>
      <c r="AM38" s="16"/>
      <c r="AN38" s="16"/>
      <c r="AO38" s="16"/>
      <c r="AP38" s="16"/>
      <c r="AQ38" s="16"/>
      <c r="AR38" s="16"/>
      <c r="AS38" s="16"/>
      <c r="AT38" s="16"/>
      <c r="AU38" s="16"/>
      <c r="AV38" s="16"/>
      <c r="AW38" s="16"/>
      <c r="AX38" s="16"/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